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5" windowWidth="28575" windowHeight="1135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Data'!$A$1:$BH$6</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<sst xmlns="http://schemas.openxmlformats.org/spreadsheetml/2006/main" count="4565" uniqueCount="4134">
  <si>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</si>
  <si>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</si>
  <si>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</si>
  <si>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</si>
  <si>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</si>
  <si>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</si>
  <si>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</si>
  <si>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</si>
  <si>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</si>
  <si>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</si>
  <si>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</si>
  <si>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</si>
  <si>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</si>
  <si>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</si>
  <si>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</si>
  <si>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</si>
  <si>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</si>
  <si>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</si>
  <si>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</si>
  <si>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</si>
  <si>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</si>
  <si>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</si>
  <si>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</si>
  <si>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</si>
  <si>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</si>
  <si>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</si>
  <si>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</si>
  <si>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</si>
  <si>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</si>
  <si>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</si>
  <si>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</si>
  <si>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</si>
  <si>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</si>
  <si>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</si>
  <si>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</si>
  <si>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</si>
  <si>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</si>
  <si>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</si>
  <si>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</si>
  <si>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</si>
  <si>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</si>
  <si>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</si>
  <si>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</si>
  <si>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</si>
  <si>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</si>
  <si>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</si>
  <si>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</si>
  <si>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</si>
  <si>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</si>
  <si>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Censored</t>
  </si>
  <si>
    <t>No</t>
  </si>
  <si>
    <t>Yes</t>
  </si>
  <si>
    <t>Version</t>
  </si>
  <si>
    <t>Set order</t>
  </si>
  <si>
    <t>Card Number</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</si>
  <si>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</si>
  <si>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</si>
  <si>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</si>
  <si>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</si>
  <si>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</si>
  <si>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</si>
  <si>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</si>
  <si>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</si>
  <si>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</si>
  <si>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</si>
  <si>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</si>
  <si>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</si>
  <si>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</si>
  <si>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</si>
  <si>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</si>
  <si>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</si>
  <si>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</si>
  <si>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</si>
  <si>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</si>
  <si>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</si>
  <si>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</si>
  <si>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</si>
  <si>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</si>
  <si>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</si>
  <si>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</si>
  <si>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</si>
  <si>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</si>
  <si>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</si>
  <si>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</si>
  <si>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</si>
  <si>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</si>
  <si>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</si>
  <si>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</si>
  <si>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</si>
  <si>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</si>
  <si>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</si>
  <si>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</si>
  <si>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</si>
  <si>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</si>
  <si>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</si>
  <si>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</si>
  <si>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</si>
  <si>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</si>
  <si>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</si>
  <si>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</si>
  <si>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</si>
  <si>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</si>
  <si>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</si>
  <si>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</si>
  <si>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</si>
  <si>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</si>
  <si>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</si>
  <si>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</si>
  <si>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</si>
  <si>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</si>
  <si>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</si>
  <si>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</si>
  <si>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</si>
  <si>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</si>
  <si>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</si>
  <si>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</si>
  <si>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</si>
  <si>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</si>
  <si>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</si>
  <si>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</si>
  <si>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</si>
  <si>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</si>
  <si>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</si>
  <si>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</si>
  <si>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</si>
  <si>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</si>
  <si>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</si>
  <si>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</si>
  <si>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</si>
  <si>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</si>
  <si>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</si>
  <si>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</si>
  <si>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</si>
  <si>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</si>
  <si>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</si>
  <si>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</si>
  <si>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</si>
  <si>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</si>
  <si>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</si>
  <si>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</si>
  <si>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</si>
  <si>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</si>
  <si>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</si>
  <si>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</si>
  <si>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</si>
  <si>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</si>
  <si>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</si>
  <si>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</si>
  <si>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</si>
  <si>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</si>
  <si>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</si>
  <si>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</si>
  <si>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</si>
  <si>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</si>
  <si>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</si>
  <si>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</si>
  <si>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</si>
  <si>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</si>
  <si>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</si>
  <si>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</si>
  <si>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</si>
  <si>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</si>
  <si>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</si>
  <si>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</si>
  <si>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</si>
  <si>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</si>
  <si>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</si>
  <si>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</si>
  <si>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</si>
  <si>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</si>
  <si>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</si>
  <si>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</si>
  <si>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</si>
  <si>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</si>
  <si>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</si>
  <si>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</si>
  <si>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</si>
  <si>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</si>
  <si>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</si>
  <si>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</si>
  <si>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</si>
  <si>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</si>
  <si>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</si>
  <si>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</si>
  <si>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</si>
  <si>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</si>
  <si>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</si>
  <si>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</si>
  <si>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</si>
  <si>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</si>
  <si>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</si>
  <si>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</si>
  <si>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</si>
  <si>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</si>
  <si>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</si>
  <si>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</si>
  <si>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</si>
  <si>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</si>
  <si>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</si>
  <si>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</si>
  <si>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</si>
  <si>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</si>
  <si>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</si>
  <si>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</si>
  <si>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</si>
  <si>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</si>
  <si>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</si>
  <si>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</si>
  <si>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</si>
  <si>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</si>
  <si>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</si>
  <si>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</si>
  <si>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</si>
  <si>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</si>
  <si>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</si>
  <si>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</si>
  <si>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</si>
  <si>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</si>
  <si>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</si>
  <si>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</si>
  <si>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</si>
  <si>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</si>
  <si>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</si>
  <si>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</si>
  <si>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</si>
  <si>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</si>
  <si>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</si>
  <si>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</si>
  <si>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</si>
  <si>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</si>
  <si>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</si>
  <si>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</si>
  <si>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</si>
  <si>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</si>
  <si>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</si>
  <si>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</si>
  <si>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</si>
  <si>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</si>
  <si>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</si>
  <si>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</si>
  <si>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</si>
  <si>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</si>
  <si>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</si>
  <si>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</si>
  <si>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</si>
  <si>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</si>
  <si>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</si>
  <si>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</si>
  <si>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</si>
  <si>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</si>
  <si>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</si>
  <si>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</si>
  <si>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</si>
  <si>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</si>
  <si>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</si>
  <si>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</si>
  <si>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</si>
  <si>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</si>
  <si>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</si>
  <si>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</si>
  <si>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</si>
  <si>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</si>
  <si>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</si>
  <si>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</si>
  <si>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</si>
  <si>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</si>
  <si>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</si>
  <si>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</si>
  <si>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</si>
  <si>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</si>
  <si>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</si>
  <si>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</si>
  <si>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</si>
  <si>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</si>
  <si>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</si>
  <si>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</si>
  <si>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</si>
  <si>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</si>
  <si>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</si>
  <si>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</si>
  <si>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</si>
  <si>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</si>
  <si>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</si>
  <si>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</si>
  <si>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</si>
  <si>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</si>
  <si>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</si>
  <si>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</si>
  <si>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</si>
  <si>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</si>
  <si>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</si>
  <si>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</si>
  <si>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</si>
  <si>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</si>
  <si>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</si>
  <si>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</si>
  <si>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</si>
  <si>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</si>
  <si>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</si>
  <si>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</si>
  <si>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</si>
  <si>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</si>
  <si>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</si>
  <si>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</si>
  <si>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</si>
  <si>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</si>
  <si>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</si>
  <si>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</si>
  <si>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</si>
  <si>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</si>
  <si>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</si>
  <si>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</si>
  <si>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</si>
  <si>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</si>
  <si>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</si>
  <si>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</si>
  <si>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</si>
  <si>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</si>
  <si>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</si>
  <si>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</si>
  <si>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</si>
  <si>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</si>
  <si>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</si>
  <si>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</si>
  <si>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</si>
  <si>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</si>
  <si>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</si>
  <si>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</si>
  <si>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</si>
  <si>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</si>
  <si>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</si>
  <si>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</si>
  <si>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</si>
  <si>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</si>
  <si>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</si>
  <si>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</si>
  <si>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</si>
  <si>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</si>
  <si>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</si>
  <si>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</si>
  <si>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</si>
  <si>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</si>
  <si>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</si>
  <si>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</si>
  <si>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</si>
  <si>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</si>
  <si>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</si>
  <si>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</si>
  <si>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</si>
  <si>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</si>
  <si>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</si>
  <si>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</si>
  <si>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</si>
  <si>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</si>
  <si>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</si>
  <si>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</si>
  <si>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</si>
  <si>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</si>
  <si>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</si>
  <si>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</si>
  <si>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</si>
  <si>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</si>
  <si>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</si>
  <si>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</si>
  <si>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</si>
  <si>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</si>
  <si>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</si>
  <si>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</si>
  <si>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</si>
  <si>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</si>
  <si>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</si>
  <si>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</si>
  <si>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</si>
  <si>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</si>
  <si>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</si>
  <si>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</si>
  <si>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</si>
  <si>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</si>
  <si>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</si>
  <si>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</si>
  <si>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</si>
  <si>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</si>
  <si>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</si>
  <si>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</si>
  <si>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</si>
  <si>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</si>
  <si>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</si>
  <si>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</si>
  <si>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</si>
  <si>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</si>
  <si>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</si>
  <si>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</si>
  <si>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</si>
  <si>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</si>
  <si>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</si>
  <si>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</si>
  <si>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</si>
  <si>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</si>
  <si>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</si>
  <si>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</si>
  <si>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</si>
  <si>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</si>
  <si>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</si>
  <si>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</si>
  <si>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</si>
  <si>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</si>
  <si>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</si>
  <si>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</si>
  <si>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</si>
  <si>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</si>
  <si>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</si>
  <si>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</si>
  <si>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</si>
  <si>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</si>
  <si>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</si>
  <si>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</si>
  <si>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</si>
  <si>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</si>
  <si>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</si>
  <si>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</si>
  <si>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</si>
  <si>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</si>
  <si>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</si>
  <si>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</si>
  <si>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</si>
  <si>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</si>
  <si>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</si>
  <si>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</si>
  <si>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</si>
  <si>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</si>
  <si>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</si>
  <si>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</si>
  <si>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</si>
  <si>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</si>
  <si>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</si>
  <si>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</si>
  <si>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</si>
  <si>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</si>
  <si>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</si>
  <si>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</si>
  <si>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</si>
  <si>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</si>
  <si>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</si>
  <si>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</si>
  <si>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</si>
  <si>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</si>
  <si>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</si>
  <si>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</si>
  <si>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</si>
  <si>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</si>
  <si>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</si>
  <si>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</si>
  <si>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</si>
  <si>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</si>
  <si>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</si>
  <si>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</si>
  <si>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</si>
  <si>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</si>
  <si>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</si>
  <si>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</si>
  <si>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</si>
  <si>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</si>
  <si>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</si>
  <si>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</si>
  <si>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</si>
  <si>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</si>
  <si>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</si>
  <si>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</si>
  <si>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</si>
  <si>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</si>
  <si>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</si>
  <si>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</si>
  <si>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</si>
  <si>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</si>
  <si>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</si>
  <si>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</si>
  <si>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</si>
  <si>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</si>
  <si>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</si>
  <si>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</si>
  <si>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</si>
  <si>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</si>
  <si>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</si>
  <si>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</si>
  <si>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</si>
  <si>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</si>
  <si>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</si>
  <si>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</si>
  <si>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</si>
  <si>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</si>
  <si>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</si>
  <si>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</si>
  <si>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</si>
  <si>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</si>
  <si>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</si>
  <si>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</si>
  <si>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</si>
  <si>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</si>
  <si>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</si>
  <si>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</si>
  <si>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</si>
  <si>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</si>
  <si>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</si>
  <si>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</si>
  <si>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</si>
  <si>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</si>
  <si>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</si>
  <si>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</si>
  <si>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</si>
  <si>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</si>
  <si>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</si>
  <si>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</si>
  <si>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</si>
  <si>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</si>
  <si>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</si>
  <si>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</si>
  <si>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</si>
  <si>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</si>
  <si>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</si>
  <si>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</si>
  <si>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</si>
  <si>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</si>
  <si>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</si>
  <si>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</si>
  <si>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</si>
  <si>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</si>
  <si>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</si>
  <si>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</si>
  <si>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</si>
  <si>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</si>
  <si>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</si>
  <si>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</si>
  <si>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</si>
  <si>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</si>
  <si>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</si>
  <si>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</si>
  <si>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</si>
  <si>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</si>
  <si>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</si>
  <si>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</si>
  <si>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</si>
  <si>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</si>
  <si>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</si>
  <si>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</si>
  <si>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</si>
  <si>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</si>
  <si>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</si>
  <si>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</si>
  <si>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</si>
  <si>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</si>
  <si>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</si>
  <si>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</si>
  <si>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</si>
  <si>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</si>
  <si>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</si>
  <si>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</si>
  <si>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</si>
  <si>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</si>
  <si>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</si>
  <si>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</si>
  <si>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</si>
  <si>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</si>
  <si>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</si>
  <si>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</si>
  <si>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</si>
  <si>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</si>
  <si>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</si>
  <si>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</si>
  <si>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</si>
  <si>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</si>
  <si>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</si>
  <si>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</si>
  <si>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</si>
  <si>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</si>
  <si>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</si>
  <si>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</si>
  <si>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</si>
  <si>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</si>
  <si>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</si>
  <si>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</si>
  <si>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</si>
  <si>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</si>
  <si>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</si>
  <si>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</si>
  <si>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</si>
  <si>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</si>
  <si>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</si>
  <si>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</si>
  <si>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</si>
  <si>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</si>
  <si>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</si>
  <si>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</si>
  <si>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</si>
  <si>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</si>
  <si>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</si>
  <si>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</si>
  <si>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</si>
  <si>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</si>
  <si>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</si>
  <si>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</si>
  <si>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</si>
  <si>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</si>
  <si>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</si>
  <si>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</si>
  <si>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</si>
  <si>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</si>
  <si>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</si>
  <si>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</si>
  <si>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</si>
  <si>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</si>
  <si>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</si>
  <si>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</si>
  <si>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</si>
  <si>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</si>
  <si>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</si>
  <si>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</si>
  <si>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</si>
  <si>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</si>
  <si>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</si>
  <si>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</si>
  <si>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</si>
  <si>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</si>
  <si>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</si>
  <si>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</si>
  <si>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</si>
  <si>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</si>
  <si>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</si>
  <si>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</si>
  <si>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</si>
  <si>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</si>
  <si>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</si>
  <si>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</si>
  <si>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</si>
  <si>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</si>
  <si>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</si>
  <si>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</si>
  <si>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</si>
  <si>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</si>
  <si>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</si>
  <si>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</si>
  <si>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</si>
  <si>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</si>
  <si>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</si>
  <si>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</si>
  <si>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</si>
  <si>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</si>
  <si>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</si>
  <si>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</si>
  <si>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</si>
  <si>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</si>
  <si>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</si>
  <si>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</si>
  <si>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</si>
  <si>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</si>
  <si>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</si>
  <si>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</si>
  <si>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</si>
  <si>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</si>
  <si>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</si>
  <si>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</si>
  <si>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</si>
  <si>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</si>
  <si>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</si>
  <si>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</si>
  <si>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</si>
  <si>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</si>
  <si>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</si>
  <si>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</si>
  <si>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</si>
  <si>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</si>
  <si>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</si>
  <si>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</si>
  <si>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</si>
  <si>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</si>
  <si>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</si>
  <si>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</si>
  <si>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</si>
  <si>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</si>
  <si>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</si>
  <si>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</si>
  <si>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</si>
  <si>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</si>
  <si>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</si>
  <si>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</si>
  <si>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</si>
  <si>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</si>
  <si>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</si>
  <si>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</si>
  <si>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</si>
  <si>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</si>
  <si>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</si>
  <si>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</si>
  <si>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</si>
  <si>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</si>
  <si>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</si>
  <si>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</si>
  <si>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</si>
  <si>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</si>
  <si>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</si>
  <si>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</si>
  <si>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</si>
  <si>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</si>
  <si>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</si>
  <si>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</si>
  <si>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</si>
  <si>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</si>
  <si>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</si>
  <si>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</si>
  <si>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</si>
  <si>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</si>
  <si>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</si>
  <si>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</si>
  <si>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</si>
  <si>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</si>
  <si>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</si>
  <si>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</si>
  <si>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</si>
  <si>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</si>
  <si>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</si>
  <si>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</si>
  <si>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</si>
  <si>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</si>
  <si>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</si>
  <si>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</si>
  <si>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</si>
  <si>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</si>
  <si>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</si>
  <si>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</si>
  <si>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</si>
  <si>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</si>
  <si>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</si>
  <si>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</si>
  <si>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</si>
  <si>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</si>
  <si>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</si>
  <si>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</si>
  <si>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</si>
  <si>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</si>
  <si>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</si>
  <si>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</si>
  <si>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</si>
  <si>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</si>
  <si>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</si>
  <si>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</si>
  <si>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</si>
  <si>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</si>
  <si>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</si>
  <si>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</si>
  <si>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</si>
  <si>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</si>
  <si>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</si>
  <si>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</si>
  <si>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</si>
  <si>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</si>
  <si>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</si>
  <si>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</si>
  <si>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</si>
  <si>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</si>
  <si>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</si>
  <si>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</si>
  <si>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</si>
  <si>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</si>
  <si>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</si>
  <si>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</si>
  <si>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</si>
  <si>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</si>
  <si>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</si>
  <si>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</si>
  <si>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</si>
  <si>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</si>
  <si>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</si>
  <si>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</si>
  <si>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</si>
  <si>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</si>
  <si>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</si>
  <si>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</si>
  <si>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</si>
  <si>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</si>
  <si>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</si>
  <si>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</si>
  <si>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</si>
  <si>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</si>
  <si>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</si>
  <si>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</si>
  <si>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</si>
  <si>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</si>
  <si>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</si>
  <si>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</si>
  <si>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</si>
  <si>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</si>
  <si>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</si>
  <si>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</si>
  <si>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</si>
  <si>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</si>
  <si>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</si>
  <si>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</si>
  <si>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</si>
  <si>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</si>
  <si>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</si>
  <si>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</si>
  <si>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</si>
  <si>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</si>
  <si>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</si>
  <si>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</si>
  <si>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</si>
  <si>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</si>
  <si>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</si>
  <si>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</si>
  <si>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</si>
  <si>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</si>
  <si>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</si>
  <si>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</si>
  <si>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</si>
  <si>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</si>
  <si>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</si>
  <si>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</si>
  <si>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</si>
  <si>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</si>
  <si>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</si>
  <si>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</si>
  <si>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</si>
  <si>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</si>
  <si>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</si>
  <si>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</si>
  <si>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</si>
  <si>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</si>
  <si>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</si>
  <si>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</si>
  <si>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</si>
  <si>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</si>
  <si>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</si>
  <si>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</si>
  <si>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</si>
  <si>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</si>
  <si>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</si>
  <si>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</si>
  <si>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</si>
  <si>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</si>
  <si>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</si>
  <si>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</si>
  <si>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</si>
  <si>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</si>
  <si>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</si>
  <si>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</si>
  <si>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</si>
  <si>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</si>
  <si>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</si>
  <si>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</si>
  <si>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</si>
  <si>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</si>
  <si>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</si>
  <si>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</si>
  <si>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</si>
  <si>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</si>
  <si>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</si>
  <si>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</si>
  <si>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</si>
  <si>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</si>
  <si>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</si>
  <si>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</si>
  <si>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</si>
  <si>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</si>
  <si>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</si>
  <si>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</si>
  <si>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</si>
  <si>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</si>
  <si>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</si>
  <si>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</si>
  <si>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</si>
  <si>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</si>
  <si>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</si>
  <si>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</si>
  <si>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</si>
  <si>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</si>
  <si>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</si>
  <si>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</si>
  <si>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</si>
  <si>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</si>
  <si>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</si>
  <si>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</si>
  <si>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</si>
  <si>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</si>
  <si>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</si>
  <si>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</si>
  <si>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</si>
  <si>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</si>
  <si>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</si>
  <si>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</si>
  <si>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</si>
  <si>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</si>
  <si>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</si>
  <si>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</si>
  <si>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</si>
  <si>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</si>
  <si>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</si>
  <si>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</si>
  <si>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</si>
  <si>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</si>
  <si>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</si>
  <si>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</si>
  <si>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</si>
  <si>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</si>
  <si>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</si>
  <si>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</si>
  <si>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</si>
  <si>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</si>
  <si>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</si>
  <si>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</si>
  <si>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</si>
  <si>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</si>
  <si>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</si>
  <si>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</si>
  <si>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</si>
  <si>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</si>
  <si>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</si>
  <si>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</si>
  <si>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</si>
  <si>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</si>
  <si>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</si>
  <si>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</si>
  <si>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</si>
  <si>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</si>
  <si>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</si>
  <si>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</si>
  <si>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</si>
  <si>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</si>
  <si>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</si>
  <si>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</si>
  <si>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</si>
  <si>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</si>
  <si>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</si>
  <si>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</si>
  <si>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</si>
  <si>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</si>
  <si>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</si>
  <si>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</si>
  <si>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</si>
  <si>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</si>
  <si>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</si>
  <si>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</si>
  <si>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</si>
  <si>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</si>
  <si>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</si>
  <si>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</si>
  <si>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</si>
  <si>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</si>
  <si>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</si>
  <si>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</si>
  <si>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</si>
  <si>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</si>
  <si>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</si>
  <si>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</si>
  <si>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</si>
  <si>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</si>
  <si>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</si>
  <si>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</si>
  <si>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</si>
  <si>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</si>
  <si>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</si>
  <si>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</si>
  <si>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</si>
  <si>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</si>
  <si>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</si>
  <si>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</si>
  <si>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</si>
  <si>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</si>
  <si>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</si>
  <si>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</si>
  <si>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</si>
  <si>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</si>
  <si>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</si>
  <si>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</si>
  <si>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</si>
  <si>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</si>
  <si>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</si>
  <si>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</si>
  <si>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</si>
  <si>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</si>
  <si>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</si>
  <si>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</si>
  <si>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</si>
  <si>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</si>
  <si>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</si>
  <si>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</si>
  <si>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</si>
  <si>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</si>
  <si>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</si>
  <si>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</si>
  <si>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</si>
  <si>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</si>
  <si>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</si>
  <si>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</si>
  <si>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</si>
  <si>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</si>
  <si>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</si>
  <si>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</si>
  <si>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</si>
  <si>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</si>
  <si>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</si>
  <si>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</si>
  <si>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</si>
  <si>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</si>
  <si>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</si>
  <si>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</si>
  <si>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</si>
  <si>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</si>
  <si>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</si>
  <si>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</si>
  <si>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</si>
  <si>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</si>
  <si>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</si>
  <si>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</si>
  <si>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</si>
  <si>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</si>
  <si>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</si>
  <si>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</si>
  <si>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</si>
  <si>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</si>
  <si>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</si>
  <si>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</si>
  <si>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</si>
  <si>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</si>
  <si>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</si>
  <si>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</si>
  <si>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</si>
  <si>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</si>
  <si>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</si>
  <si>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</si>
  <si>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</si>
  <si>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</si>
  <si>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</si>
  <si>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</si>
  <si>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</si>
  <si>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</si>
  <si>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</si>
  <si>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</si>
  <si>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</si>
  <si>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</si>
  <si>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</si>
  <si>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</si>
  <si>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</si>
  <si>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</si>
  <si>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</si>
  <si>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</si>
  <si>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</si>
  <si>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</si>
  <si>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</si>
  <si>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</si>
  <si>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</si>
  <si>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</si>
  <si>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</si>
  <si>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</si>
  <si>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</si>
  <si>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</si>
  <si>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</si>
  <si>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</si>
  <si>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</si>
  <si>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</si>
  <si>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</si>
  <si>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</si>
  <si>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</si>
  <si>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</si>
  <si>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</si>
  <si>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</si>
  <si>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</si>
  <si>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</si>
  <si>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</si>
  <si>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</si>
  <si>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</si>
  <si>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</si>
  <si>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</si>
  <si>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</si>
  <si>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</si>
  <si>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</si>
  <si>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</si>
  <si>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</si>
  <si>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</si>
  <si>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</si>
  <si>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</si>
  <si>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</si>
  <si>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</si>
  <si>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</si>
  <si>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</si>
  <si>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</si>
  <si>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</si>
  <si>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</si>
  <si>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</si>
  <si>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</si>
  <si>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</si>
  <si>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</si>
  <si>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</si>
  <si>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</si>
  <si>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</si>
  <si>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</si>
  <si>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</si>
  <si>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</si>
  <si>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</si>
  <si>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</si>
  <si>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</si>
  <si>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</si>
  <si>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</si>
  <si>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</si>
  <si>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</si>
  <si>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</si>
  <si>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</si>
  <si>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</si>
  <si>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</si>
  <si>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</si>
  <si>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</si>
  <si>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</si>
  <si>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</si>
  <si>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</si>
  <si>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</si>
  <si>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</si>
  <si>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</si>
  <si>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</si>
  <si>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</si>
  <si>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</si>
  <si>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</si>
  <si>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</si>
  <si>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</si>
  <si>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</si>
  <si>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</si>
  <si>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</si>
  <si>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</si>
  <si>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</si>
  <si>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</si>
  <si>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</si>
  <si>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</si>
  <si>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</si>
  <si>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</si>
  <si>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</si>
  <si>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</si>
  <si>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</si>
  <si>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</si>
  <si>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</si>
  <si>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</si>
  <si>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</si>
  <si>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</si>
  <si>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</si>
  <si>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</si>
  <si>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</si>
  <si>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</si>
  <si>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</si>
  <si>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</si>
  <si>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</si>
  <si>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</si>
  <si>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</si>
  <si>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</si>
  <si>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</si>
  <si>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</si>
  <si>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</si>
  <si>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</si>
  <si>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</si>
  <si>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</si>
  <si>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</si>
  <si>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</si>
  <si>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</si>
  <si>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</si>
  <si>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</si>
  <si>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</si>
  <si>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</si>
  <si>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</si>
  <si>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</si>
  <si>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</si>
  <si>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</si>
  <si>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</si>
  <si>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</si>
  <si>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</si>
  <si>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</si>
  <si>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</si>
  <si>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</si>
  <si>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</si>
  <si>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</si>
  <si>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</si>
  <si>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</si>
  <si>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</si>
  <si>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</si>
  <si>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</si>
  <si>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</si>
  <si>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</si>
  <si>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</si>
  <si>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</si>
  <si>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</si>
  <si>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</si>
  <si>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</si>
  <si>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</si>
  <si>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</si>
  <si>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</si>
  <si>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</si>
  <si>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</si>
  <si>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</si>
  <si>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</si>
  <si>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</si>
  <si>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</si>
  <si>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</si>
  <si>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</si>
  <si>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</si>
  <si>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</si>
  <si>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</si>
  <si>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</si>
  <si>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</si>
  <si>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</si>
  <si>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</si>
  <si>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</si>
  <si>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</si>
  <si>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</si>
  <si>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</si>
  <si>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</si>
  <si>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</si>
  <si>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</si>
  <si>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</si>
  <si>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</si>
  <si>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</si>
  <si>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</si>
  <si>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</si>
  <si>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</si>
  <si>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</si>
  <si>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</si>
  <si>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</si>
  <si>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</si>
  <si>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</si>
  <si>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</si>
  <si>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</si>
  <si>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</si>
  <si>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</si>
  <si>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</si>
  <si>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</si>
  <si>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</si>
  <si>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</si>
  <si>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</si>
  <si>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</si>
  <si>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</si>
  <si>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</si>
  <si>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</si>
  <si>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</si>
  <si>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</si>
  <si>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</si>
  <si>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</si>
  <si>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</si>
  <si>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</si>
  <si>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</si>
  <si>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</si>
  <si>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</si>
  <si>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</si>
  <si>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</si>
  <si>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</si>
  <si>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</si>
  <si>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</si>
  <si>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</si>
  <si>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</si>
  <si>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</si>
  <si>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</si>
  <si>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</si>
  <si>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</si>
  <si>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</si>
  <si>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</si>
  <si>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</si>
  <si>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</si>
  <si>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</si>
  <si>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</si>
  <si>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</si>
  <si>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</si>
  <si>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</si>
  <si>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</si>
  <si>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</si>
  <si>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</si>
  <si>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</si>
  <si>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</si>
  <si>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</si>
  <si>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</si>
  <si>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</si>
  <si>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</si>
  <si>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</si>
  <si>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</si>
  <si>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</si>
  <si>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</si>
  <si>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</si>
  <si>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</si>
  <si>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</si>
  <si>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</si>
  <si>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</si>
  <si>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</si>
  <si>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</si>
  <si>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</si>
  <si>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</si>
  <si>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</si>
  <si>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</si>
  <si>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</si>
  <si>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</si>
  <si>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</si>
  <si>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</si>
  <si>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</si>
  <si>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</si>
  <si>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</si>
  <si>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</si>
  <si>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</si>
  <si>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</si>
  <si>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</si>
  <si>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</si>
  <si>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</si>
  <si>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</si>
  <si>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</si>
  <si>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</si>
  <si>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</si>
  <si>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</si>
  <si>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</si>
  <si>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</si>
  <si>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</si>
  <si>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</si>
  <si>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</si>
  <si>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</si>
  <si>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</si>
  <si>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</si>
  <si>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</si>
  <si>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</si>
  <si>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</si>
  <si>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</si>
  <si>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</si>
  <si>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</si>
  <si>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</si>
  <si>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</si>
  <si>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</si>
  <si>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</si>
  <si>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</si>
  <si>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</si>
  <si>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</si>
  <si>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</si>
  <si>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</si>
  <si>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</si>
  <si>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</si>
  <si>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</si>
  <si>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</si>
  <si>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</si>
  <si>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</si>
  <si>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</si>
  <si>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</si>
  <si>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</si>
  <si>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</si>
  <si>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</si>
  <si>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</si>
  <si>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</si>
  <si>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</si>
  <si>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</si>
  <si>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</si>
  <si>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</si>
  <si>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</si>
  <si>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</si>
  <si>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</si>
  <si>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</si>
  <si>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</si>
  <si>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</si>
  <si>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</si>
  <si>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</si>
  <si>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</si>
  <si>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</si>
  <si>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</si>
  <si>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</si>
  <si>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</si>
  <si>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</si>
  <si>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</si>
  <si>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</si>
  <si>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</si>
  <si>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</si>
  <si>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</si>
  <si>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</si>
  <si>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</si>
  <si>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</si>
  <si>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</si>
  <si>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</si>
  <si>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</si>
  <si>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</si>
  <si>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</si>
  <si>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</si>
  <si>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</si>
  <si>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</si>
  <si>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</si>
  <si>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</si>
  <si>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</si>
  <si>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</si>
  <si>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</si>
  <si>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</si>
  <si>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</si>
  <si>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</si>
  <si>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</si>
  <si>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</si>
  <si>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</si>
  <si>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</si>
  <si>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</si>
  <si>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</si>
  <si>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</si>
  <si>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</si>
  <si>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</si>
  <si>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</si>
  <si>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</si>
  <si>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</si>
  <si>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</si>
  <si>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</si>
  <si>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</si>
  <si>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</si>
  <si>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</si>
  <si>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</si>
  <si>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</si>
  <si>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</si>
  <si>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</si>
  <si>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</si>
  <si>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</si>
  <si>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</si>
  <si>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</si>
  <si>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</si>
  <si>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</si>
  <si>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</si>
  <si>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</si>
  <si>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</si>
  <si>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</si>
  <si>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</si>
  <si>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</si>
  <si>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</si>
  <si>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</si>
  <si>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</si>
  <si>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</si>
  <si>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</si>
  <si>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</si>
  <si>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</si>
  <si>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</si>
  <si>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</si>
  <si>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</si>
  <si>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</si>
  <si>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</si>
  <si>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</si>
  <si>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</si>
  <si>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</si>
  <si>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</si>
  <si>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</si>
  <si>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</si>
  <si>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</si>
  <si>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</si>
  <si>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</si>
  <si>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</si>
  <si>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</si>
  <si>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</si>
  <si>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</si>
  <si>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</si>
  <si>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</si>
  <si>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</si>
  <si>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</si>
  <si>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</si>
  <si>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</si>
  <si>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</si>
  <si>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</si>
  <si>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</si>
  <si>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</si>
  <si>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</si>
  <si>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</si>
  <si>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</si>
  <si>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</si>
  <si>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</si>
  <si>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</si>
  <si>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</si>
  <si>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</si>
  <si>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</si>
  <si>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</si>
  <si>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</si>
  <si>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</si>
  <si>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</si>
  <si>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</si>
  <si>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</si>
  <si>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</si>
  <si>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</si>
  <si>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</si>
  <si>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</si>
  <si>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</si>
  <si>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</si>
  <si>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</si>
  <si>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</si>
  <si>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</si>
  <si>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</si>
  <si>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</si>
  <si>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</si>
  <si>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</si>
  <si>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</si>
  <si>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</si>
  <si>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</si>
  <si>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</si>
  <si>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</si>
  <si>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</si>
  <si>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</si>
  <si>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</si>
  <si>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</si>
  <si>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</si>
  <si>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</si>
  <si>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</si>
  <si>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</si>
  <si>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</si>
  <si>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</si>
  <si>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</si>
  <si>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</si>
  <si>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</si>
  <si>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</si>
  <si>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</si>
  <si>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</si>
  <si>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</si>
  <si>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</si>
  <si>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</si>
  <si>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</si>
  <si>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</si>
  <si>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</si>
  <si>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</si>
  <si>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</si>
  <si>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</si>
  <si>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</si>
  <si>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</si>
  <si>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</si>
  <si>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</si>
  <si>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</si>
  <si>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</si>
  <si>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</si>
  <si>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</si>
  <si>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</si>
  <si>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</si>
  <si>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</si>
  <si>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</si>
  <si>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</si>
  <si>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</si>
  <si>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</si>
  <si>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</si>
  <si>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</si>
  <si>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</si>
  <si>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</si>
  <si>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</si>
  <si>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</si>
  <si>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</si>
  <si>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</si>
  <si>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</si>
  <si>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</si>
  <si>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</si>
  <si>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</si>
  <si>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</si>
  <si>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</si>
  <si>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</si>
  <si>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</si>
  <si>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</si>
  <si>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</si>
  <si>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</si>
  <si>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</si>
  <si>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</si>
  <si>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</si>
  <si>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</si>
  <si>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</si>
  <si>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</si>
  <si>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</si>
  <si>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</si>
  <si>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</si>
  <si>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</si>
  <si>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</si>
  <si>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</si>
  <si>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</si>
  <si>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</si>
  <si>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</si>
  <si>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</si>
  <si>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</si>
  <si>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</si>
  <si>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</si>
  <si>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</si>
  <si>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</si>
  <si>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</si>
  <si>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</si>
  <si>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</si>
  <si>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</si>
  <si>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</si>
  <si>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</si>
  <si>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</si>
  <si>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</si>
  <si>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</si>
  <si>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</si>
  <si>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</si>
  <si>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</si>
  <si>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</si>
  <si>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</si>
  <si>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</si>
  <si>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</si>
  <si>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</si>
  <si>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</si>
  <si>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</si>
  <si>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</si>
  <si>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</si>
  <si>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</si>
  <si>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</si>
  <si>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</si>
  <si>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</si>
  <si>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</si>
  <si>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</si>
  <si>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</si>
  <si>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</si>
  <si>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</si>
  <si>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</si>
  <si>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</si>
  <si>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</si>
  <si>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</si>
  <si>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</si>
  <si>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</si>
  <si>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</si>
  <si>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</si>
  <si>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</si>
  <si>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</si>
  <si>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</si>
  <si>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</si>
  <si>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</si>
  <si>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</si>
  <si>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</si>
  <si>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</si>
  <si>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</si>
  <si>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</si>
  <si>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</si>
  <si>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</si>
  <si>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</si>
  <si>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</si>
  <si>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</si>
  <si>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</si>
  <si>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</si>
  <si>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</si>
  <si>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</si>
  <si>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</si>
  <si>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</si>
  <si>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</si>
  <si>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</si>
  <si>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</si>
  <si>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</si>
  <si>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</si>
  <si>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</si>
  <si>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</si>
  <si>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</si>
  <si>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</si>
  <si>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</si>
  <si>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</si>
  <si>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</si>
  <si>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</si>
  <si>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</si>
  <si>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</si>
  <si>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</si>
  <si>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</si>
  <si>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</si>
  <si>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</si>
  <si>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</si>
  <si>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</si>
  <si>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</si>
  <si>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</si>
  <si>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</si>
  <si>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</si>
  <si>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</si>
  <si>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</si>
  <si>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</si>
  <si>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</si>
  <si>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</si>
  <si>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</si>
  <si>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</si>
  <si>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</si>
  <si>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</si>
  <si>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</si>
  <si>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</si>
  <si>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</si>
  <si>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</si>
  <si>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</si>
  <si>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</si>
  <si>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</si>
  <si>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</si>
  <si>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</si>
  <si>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</si>
  <si>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</si>
  <si>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</si>
  <si>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</si>
  <si>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</si>
  <si>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</si>
  <si>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</si>
  <si>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</si>
  <si>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</si>
  <si>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</si>
  <si>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</si>
  <si>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</si>
  <si>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</si>
  <si>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</si>
  <si>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</si>
  <si>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</si>
  <si>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</si>
  <si>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</si>
  <si>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</si>
  <si>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</si>
  <si>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</si>
  <si>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</si>
  <si>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</si>
  <si>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</si>
  <si>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</si>
  <si>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</si>
  <si>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</si>
  <si>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</si>
  <si>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</si>
  <si>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</si>
  <si>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</si>
  <si>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</si>
  <si>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</si>
  <si>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</si>
  <si>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</si>
  <si>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</si>
  <si>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</si>
  <si>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</si>
  <si>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</si>
  <si>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</si>
  <si>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</si>
  <si>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</si>
  <si>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</si>
  <si>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</si>
  <si>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</si>
  <si>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</si>
  <si>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</si>
  <si>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</si>
  <si>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</si>
  <si>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</si>
  <si>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</si>
  <si>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</si>
  <si>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</si>
  <si>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</si>
  <si>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</si>
  <si>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</si>
  <si>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</si>
  <si>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</si>
  <si>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</si>
  <si>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</si>
  <si>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</si>
  <si>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</si>
  <si>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</si>
  <si>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</si>
  <si>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</si>
  <si>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</si>
  <si>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</si>
  <si>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</si>
  <si>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</si>
  <si>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</si>
  <si>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</si>
  <si>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</si>
  <si>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</si>
  <si>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</si>
  <si>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</si>
  <si>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</si>
  <si>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</si>
  <si>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</si>
  <si>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</si>
  <si>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</si>
  <si>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</si>
  <si>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</si>
  <si>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</si>
  <si>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</si>
  <si>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</si>
  <si>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</si>
  <si>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</si>
  <si>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</si>
  <si>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</si>
  <si>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</si>
  <si>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</si>
  <si>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</si>
  <si>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</si>
  <si>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</si>
  <si>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</si>
  <si>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</si>
  <si>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</si>
  <si>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</si>
  <si>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</si>
  <si>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</si>
  <si>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</si>
  <si>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</si>
  <si>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</si>
  <si>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</si>
  <si>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</si>
  <si>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</si>
  <si>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</si>
  <si>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</si>
  <si>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</si>
  <si>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</si>
  <si>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</si>
  <si>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</si>
  <si>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</si>
  <si>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</si>
  <si>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</si>
  <si>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</si>
  <si>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</si>
  <si>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</si>
  <si>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</si>
  <si>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</si>
  <si>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</si>
  <si>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</si>
  <si>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</si>
  <si>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</si>
  <si>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</si>
  <si>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</si>
  <si>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</si>
  <si>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</si>
  <si>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</si>
  <si>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</si>
  <si>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</si>
  <si>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</si>
  <si>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</si>
  <si>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</si>
  <si>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</si>
  <si>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</si>
  <si>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</si>
  <si>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</si>
  <si>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</si>
  <si>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</si>
  <si>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</si>
  <si>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</si>
  <si>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</si>
  <si>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</si>
  <si>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</si>
  <si>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</si>
  <si>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</si>
  <si>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</si>
  <si>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</si>
  <si>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</si>
  <si>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</si>
  <si>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</si>
  <si>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</si>
  <si>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</si>
  <si>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</si>
  <si>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</si>
  <si>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</si>
  <si>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</si>
  <si>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</si>
  <si>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</si>
  <si>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</si>
  <si>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</si>
  <si>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</si>
  <si>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</si>
  <si>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</si>
  <si>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</si>
  <si>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</si>
  <si>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</si>
  <si>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</si>
  <si>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</si>
  <si>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</si>
  <si>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</si>
  <si>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</si>
  <si>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</si>
  <si>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</si>
  <si>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</si>
  <si>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</si>
  <si>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</si>
  <si>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</si>
  <si>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</si>
  <si>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</si>
  <si>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</si>
  <si>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</si>
  <si>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</si>
  <si>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</si>
  <si>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</si>
  <si>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</si>
  <si>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</si>
  <si>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</si>
  <si>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</si>
  <si>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</si>
  <si>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</si>
  <si>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</si>
  <si>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</si>
  <si>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</si>
  <si>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</si>
  <si>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</si>
  <si>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</si>
  <si>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</si>
  <si>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</si>
  <si>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</si>
  <si>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</si>
  <si>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</si>
  <si>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</si>
  <si>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</si>
  <si>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</si>
  <si>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</si>
  <si>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</si>
  <si>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</si>
  <si>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</si>
  <si>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</si>
  <si>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</si>
  <si>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</si>
  <si>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</si>
  <si>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</si>
  <si>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</si>
  <si>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</si>
  <si>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</si>
  <si>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</si>
  <si>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</si>
  <si>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</si>
  <si>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</si>
  <si>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</si>
  <si>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</si>
  <si>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</si>
  <si>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</si>
  <si>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</si>
  <si>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</si>
  <si>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</si>
  <si>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</si>
  <si>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</si>
  <si>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</si>
  <si>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</si>
  <si>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</si>
  <si>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</si>
  <si>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</si>
  <si>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</si>
  <si>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</si>
  <si>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</si>
  <si>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</si>
  <si>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</si>
  <si>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</si>
  <si>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</si>
  <si>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</si>
  <si>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</si>
  <si>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</si>
  <si>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</si>
  <si>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</si>
  <si>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</si>
  <si>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</si>
  <si>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</si>
  <si>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</si>
  <si>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</si>
  <si>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</si>
  <si>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</si>
  <si>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</si>
  <si>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</si>
  <si>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</si>
  <si>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</si>
  <si>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</si>
  <si>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</si>
  <si>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</si>
  <si>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</si>
  <si>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</si>
  <si>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</si>
  <si>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</si>
  <si>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</si>
  <si>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</si>
  <si>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</si>
  <si>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</si>
  <si>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</si>
  <si>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</si>
  <si>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</si>
  <si>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</si>
  <si>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</si>
  <si>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</si>
  <si>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</si>
  <si>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</si>
  <si>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</si>
  <si>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</si>
  <si>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</si>
  <si>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</si>
  <si>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</si>
  <si>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</si>
  <si>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</si>
  <si>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</si>
  <si>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</si>
  <si>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</si>
  <si>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</si>
  <si>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</si>
  <si>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</si>
  <si>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</si>
  <si>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</si>
  <si>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</si>
  <si>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</si>
  <si>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</si>
  <si>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</si>
  <si>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</si>
  <si>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</si>
  <si>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</si>
  <si>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</si>
  <si>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</si>
  <si>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</si>
  <si>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</si>
  <si>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</si>
  <si>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</si>
  <si>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</si>
  <si>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</si>
  <si>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</si>
  <si>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</si>
  <si>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</si>
  <si>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</si>
  <si>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</si>
  <si>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</si>
  <si>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</si>
  <si>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</si>
  <si>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</si>
  <si>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</si>
  <si>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</si>
  <si>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</si>
  <si>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</si>
  <si>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</si>
  <si>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</si>
  <si>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</si>
  <si>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</si>
  <si>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</si>
  <si>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</si>
  <si>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</si>
  <si>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</si>
  <si>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</si>
  <si>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</si>
  <si>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</si>
  <si>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</si>
  <si>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</si>
  <si>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</si>
  <si>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</si>
  <si>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</si>
  <si>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</si>
  <si>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</si>
  <si>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</si>
  <si>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</si>
  <si>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</si>
  <si>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</si>
  <si>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</si>
  <si>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</si>
  <si>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</si>
  <si>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</si>
  <si>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</si>
  <si>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</si>
  <si>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</si>
  <si>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</si>
  <si>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</si>
  <si>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</si>
  <si>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</si>
  <si>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</si>
  <si>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</si>
  <si>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</si>
  <si>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</si>
  <si>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</si>
  <si>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</si>
  <si>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</si>
  <si>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</si>
  <si>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</si>
  <si>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</si>
  <si>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</si>
  <si>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</si>
  <si>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</si>
  <si>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</si>
  <si>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</si>
  <si>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</si>
  <si>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</si>
  <si>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</si>
  <si>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</si>
  <si>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</si>
  <si>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</si>
  <si>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</si>
  <si>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</si>
  <si>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</si>
  <si>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</si>
  <si>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</si>
  <si>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</si>
  <si>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</si>
  <si>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</si>
  <si>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</si>
  <si>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</si>
  <si>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</si>
  <si>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</si>
  <si>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</si>
  <si>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</si>
  <si>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</si>
  <si>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</si>
  <si>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</si>
  <si>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</si>
  <si>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</si>
  <si>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</si>
  <si>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</si>
  <si>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</si>
  <si>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</si>
  <si>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</si>
  <si>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</si>
  <si>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</si>
  <si>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</si>
  <si>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</si>
  <si>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</si>
  <si>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</si>
  <si>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</si>
  <si>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</si>
  <si>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</si>
  <si>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</si>
  <si>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</si>
  <si>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</si>
  <si>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</si>
  <si>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</si>
  <si>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</si>
  <si>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</si>
  <si>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</si>
  <si>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</si>
  <si>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</si>
  <si>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</si>
  <si>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</si>
  <si>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</si>
  <si>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</si>
  <si>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</si>
  <si>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</si>
  <si>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</si>
  <si>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</si>
  <si>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</si>
  <si>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</si>
  <si>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</si>
  <si>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</si>
  <si>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</si>
  <si>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</si>
  <si>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</si>
  <si>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</si>
  <si>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</si>
  <si>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</si>
  <si>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</si>
  <si>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</si>
  <si>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</si>
  <si>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</si>
  <si>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</si>
  <si>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</si>
  <si>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</si>
  <si>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</si>
  <si>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</si>
  <si>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</si>
  <si>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</si>
  <si>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</si>
  <si>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</si>
  <si>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</si>
  <si>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</si>
  <si>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</si>
  <si>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</si>
  <si>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</si>
  <si>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</si>
  <si>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</si>
  <si>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</si>
  <si>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</si>
  <si>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</si>
  <si>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</si>
  <si>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</si>
  <si>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</si>
  <si>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</si>
  <si>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</si>
  <si>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</si>
  <si>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</si>
  <si>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</si>
  <si>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</si>
  <si>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</si>
  <si>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</si>
  <si>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</si>
  <si>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</si>
  <si>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</si>
  <si>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</si>
  <si>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</si>
  <si>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</si>
  <si>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</si>
  <si>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</si>
  <si>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</si>
  <si>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</si>
  <si>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</si>
  <si>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</si>
  <si>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</si>
  <si>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</si>
  <si>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</si>
  <si>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</si>
  <si>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</si>
  <si>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</si>
  <si>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</si>
  <si>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</si>
  <si>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</si>
  <si>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</si>
  <si>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</si>
  <si>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</si>
  <si>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</si>
  <si>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</si>
  <si>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</si>
  <si>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</si>
  <si>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</si>
  <si>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</si>
  <si>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</si>
  <si>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</si>
  <si>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</si>
  <si>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</si>
  <si>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</si>
  <si>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</si>
  <si>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</si>
  <si>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</si>
  <si>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</si>
  <si>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</si>
  <si>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</si>
  <si>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</si>
  <si>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</si>
  <si>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</si>
  <si>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</si>
  <si>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</si>
  <si>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</si>
  <si>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</si>
  <si>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</si>
  <si>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</si>
  <si>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</si>
  <si>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</si>
  <si>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</si>
  <si>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</si>
  <si>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</si>
  <si>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</si>
  <si>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</si>
  <si>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</si>
  <si>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</si>
  <si>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</si>
  <si>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</si>
  <si>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</si>
  <si>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</si>
  <si>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</si>
  <si>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</si>
  <si>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</si>
  <si>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</si>
  <si>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</si>
  <si>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</si>
  <si>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</si>
  <si>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</si>
  <si>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</si>
  <si>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</si>
  <si>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</si>
  <si>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</si>
  <si>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</si>
  <si>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</si>
  <si>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</si>
  <si>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</si>
  <si>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</si>
  <si>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</si>
  <si>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</si>
  <si>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</si>
  <si>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</si>
  <si>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</si>
  <si>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</si>
  <si>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</si>
  <si>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</si>
  <si>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</si>
  <si>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</si>
  <si>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</si>
  <si>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</si>
  <si>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</si>
  <si>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</si>
  <si>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</si>
  <si>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</si>
  <si>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</si>
  <si>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</si>
  <si>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</si>
  <si>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</si>
  <si>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</si>
  <si>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</si>
  <si>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</si>
  <si>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</si>
  <si>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</si>
  <si>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</si>
  <si>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</si>
  <si>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</si>
  <si>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</si>
  <si>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</si>
  <si>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</si>
  <si>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</si>
  <si>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</si>
  <si>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</si>
  <si>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</si>
  <si>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</si>
  <si>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</si>
  <si>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</si>
  <si>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</si>
  <si>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</si>
  <si>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</si>
  <si>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</si>
  <si>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</si>
  <si>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</si>
  <si>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</si>
  <si>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</si>
  <si>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</si>
  <si>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</si>
  <si>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</si>
  <si>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</si>
  <si>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</si>
  <si>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</si>
  <si>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</si>
  <si>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</si>
  <si>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</si>
  <si>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</si>
  <si>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</si>
  <si>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</si>
  <si>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</si>
  <si>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</si>
  <si>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</si>
  <si>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</si>
  <si>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</si>
  <si>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</si>
  <si>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</si>
  <si>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</si>
  <si>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</si>
  <si>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</si>
  <si>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</si>
  <si>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</si>
  <si>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</si>
  <si>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</si>
  <si>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</si>
  <si>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</si>
  <si>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</si>
  <si>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</si>
  <si>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</si>
  <si>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</si>
  <si>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</si>
  <si>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</si>
  <si>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</si>
  <si>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</si>
  <si>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</si>
  <si>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</si>
  <si>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</si>
  <si>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</si>
  <si>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</si>
  <si>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</si>
  <si>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</si>
  <si>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</si>
  <si>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</si>
  <si>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</si>
  <si>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</si>
  <si>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</si>
  <si>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</si>
  <si>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</si>
  <si>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</si>
  <si>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</si>
  <si>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</si>
  <si>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</si>
  <si>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</si>
  <si>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</si>
  <si>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</si>
  <si>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</si>
  <si>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</si>
  <si>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</si>
  <si>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</si>
  <si>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</si>
  <si>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</si>
  <si>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</si>
  <si>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</si>
  <si>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</si>
  <si>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</si>
  <si>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</si>
  <si>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</si>
  <si>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</si>
  <si>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</si>
  <si>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</si>
  <si>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</si>
  <si>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</si>
  <si>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</si>
  <si>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</si>
  <si>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</si>
  <si>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</si>
  <si>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</si>
  <si>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</si>
  <si>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</si>
  <si>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</si>
  <si>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</si>
  <si>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</si>
  <si>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</si>
  <si>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</si>
  <si>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</si>
  <si>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</si>
  <si>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</si>
  <si>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</si>
  <si>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</si>
  <si>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</si>
  <si>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</si>
  <si>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</si>
  <si>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</si>
  <si>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</si>
  <si>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</si>
  <si>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</si>
  <si>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</si>
  <si>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</si>
  <si>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</si>
  <si>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</si>
  <si>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</si>
  <si>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</si>
  <si>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</si>
  <si>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</si>
  <si>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</si>
  <si>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</si>
  <si>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</si>
  <si>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</si>
  <si>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</si>
  <si>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</si>
  <si>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</si>
  <si>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</si>
  <si>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</si>
  <si>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</si>
  <si>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</si>
  <si>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</si>
  <si>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</si>
  <si>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</si>
  <si>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</si>
  <si>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</si>
  <si>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</si>
  <si>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</si>
  <si>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</si>
  <si>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</si>
  <si>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</si>
  <si>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</si>
  <si>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</si>
  <si>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</si>
  <si>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</si>
  <si>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</si>
  <si>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</si>
  <si>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</si>
  <si>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</si>
  <si>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</si>
  <si>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</si>
  <si>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</si>
  <si>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</si>
  <si>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</si>
  <si>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</si>
  <si>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</si>
  <si>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</si>
  <si>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</si>
  <si>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</si>
  <si>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</si>
  <si>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</si>
  <si>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</si>
  <si>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</si>
  <si>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</si>
  <si>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</si>
  <si>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</si>
  <si>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</si>
  <si>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</si>
  <si>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</si>
  <si>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</si>
  <si>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</si>
  <si>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</si>
  <si>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</si>
  <si>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</si>
  <si>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</si>
  <si>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</si>
  <si>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</si>
  <si>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</si>
  <si>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</si>
  <si>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</si>
  <si>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</si>
  <si>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</si>
  <si>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</si>
  <si>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</si>
  <si>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</si>
  <si>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</si>
  <si>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</si>
  <si>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</si>
  <si>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</si>
  <si>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</si>
  <si>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</si>
  <si>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</si>
  <si>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</si>
  <si>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</si>
  <si>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</si>
  <si>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</si>
  <si>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</si>
  <si>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</si>
  <si>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</si>
  <si>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</si>
  <si>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</si>
  <si>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</si>
  <si>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</si>
  <si>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</si>
  <si>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</si>
  <si>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</si>
  <si>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</si>
  <si>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</si>
  <si>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</si>
  <si>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</si>
  <si>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</si>
  <si>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</si>
  <si>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</si>
  <si>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</si>
  <si>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</si>
  <si>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</si>
  <si>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</si>
  <si>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</si>
  <si>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</si>
  <si>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</si>
  <si>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</si>
  <si>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</si>
  <si>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</si>
  <si>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</si>
  <si>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</si>
  <si>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</si>
  <si>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</si>
  <si>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</si>
  <si>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</si>
  <si>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</si>
  <si>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</si>
  <si>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</si>
  <si>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</si>
  <si>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</si>
  <si>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</si>
  <si>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</si>
  <si>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</si>
  <si>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</si>
  <si>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</si>
  <si>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</si>
  <si>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</si>
  <si>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</si>
  <si>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</si>
  <si>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</si>
  <si>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</si>
  <si>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</si>
  <si>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</si>
  <si>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</si>
  <si>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</si>
  <si>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</si>
  <si>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</si>
  <si>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</si>
  <si>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</si>
  <si>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</si>
  <si>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</si>
  <si>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</si>
  <si>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</si>
  <si>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</si>
  <si>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</si>
  <si>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</si>
  <si>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</si>
  <si>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</si>
  <si>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</si>
  <si>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</si>
  <si>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</si>
  <si>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</si>
  <si>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</si>
  <si>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</si>
  <si>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</si>
  <si>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</si>
  <si>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</si>
  <si>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</si>
  <si>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</si>
  <si>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</si>
  <si>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</si>
  <si>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</si>
  <si>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</si>
  <si>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</si>
  <si>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</si>
  <si>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</si>
  <si>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</si>
  <si>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</si>
  <si>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</si>
  <si>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</si>
  <si>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</si>
  <si>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</si>
  <si>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</si>
  <si>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</si>
  <si>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</si>
  <si>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</si>
  <si>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</si>
  <si>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</si>
  <si>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</si>
  <si>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</si>
  <si>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</si>
  <si>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</si>
  <si>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</si>
  <si>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</si>
  <si>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</si>
  <si>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</si>
  <si>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</si>
  <si>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</si>
  <si>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</si>
  <si>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</si>
  <si>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</si>
  <si>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</si>
  <si>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</si>
  <si>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</si>
  <si>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</si>
  <si>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</si>
  <si>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</si>
  <si>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</si>
  <si>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</si>
  <si>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</si>
  <si>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</si>
  <si>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</si>
  <si>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</si>
  <si>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</si>
  <si>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</si>
  <si>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</si>
  <si>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</si>
  <si>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</si>
  <si>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</si>
  <si>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</si>
  <si>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</si>
  <si>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</si>
  <si>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</si>
  <si>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</si>
  <si>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</si>
  <si>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</si>
  <si>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</si>
  <si>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</si>
  <si>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</si>
  <si>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</si>
  <si>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</si>
  <si>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</si>
  <si>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</si>
  <si>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</si>
  <si>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</si>
  <si>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</si>
  <si>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</si>
  <si>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</si>
  <si>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</si>
  <si>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</si>
  <si>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</si>
  <si>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</si>
  <si>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</si>
  <si>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</si>
  <si>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</si>
  <si>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</si>
  <si>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</si>
  <si>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</si>
  <si>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</si>
  <si>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</si>
  <si>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</si>
  <si>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</si>
  <si>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</si>
  <si>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</si>
  <si>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</si>
  <si>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</si>
  <si>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</si>
  <si>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</si>
  <si>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</si>
  <si>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</si>
  <si>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</si>
  <si>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</si>
  <si>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</si>
  <si>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</si>
  <si>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</si>
  <si>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</si>
  <si>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</si>
  <si>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</si>
  <si>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</si>
  <si>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</si>
  <si>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</si>
  <si>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</si>
  <si>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</si>
  <si>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</si>
  <si>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</si>
  <si>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</si>
  <si>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</si>
  <si>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</si>
  <si>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</si>
  <si>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</si>
  <si>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</si>
  <si>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</si>
  <si>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</si>
  <si>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</si>
  <si>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</si>
  <si>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</si>
  <si>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</si>
  <si>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</si>
  <si>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</si>
  <si>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</si>
  <si>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</si>
  <si>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</si>
  <si>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</si>
  <si>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</si>
  <si>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</si>
  <si>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</si>
  <si>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</si>
  <si>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</si>
  <si>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</si>
  <si>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</si>
  <si>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</si>
  <si>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</si>
  <si>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</si>
  <si>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</si>
  <si>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</si>
  <si>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</si>
  <si>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</si>
  <si>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</si>
  <si>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</si>
  <si>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</si>
  <si>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</si>
  <si>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</si>
  <si>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</si>
  <si>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</si>
  <si>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</si>
  <si>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</si>
  <si>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</si>
  <si>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</si>
  <si>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</si>
  <si>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</si>
  <si>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</si>
  <si>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</si>
  <si>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</si>
  <si>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</si>
  <si>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</si>
  <si>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</si>
  <si>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</si>
  <si>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</si>
  <si>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</si>
  <si>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</si>
  <si>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</si>
  <si>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</si>
  <si>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</si>
  <si>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</si>
  <si>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</si>
  <si>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</si>
  <si>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</si>
  <si>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</si>
  <si>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</si>
  <si>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</si>
  <si>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</si>
  <si>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</si>
  <si>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</si>
  <si>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</si>
  <si>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</si>
  <si>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</si>
  <si>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</si>
  <si>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</si>
  <si>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</si>
  <si>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</si>
  <si>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</si>
  <si>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</si>
  <si>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</si>
  <si>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</si>
  <si>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</si>
  <si>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</si>
  <si>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</si>
  <si>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</si>
  <si>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</si>
  <si>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</si>
  <si>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</si>
  <si>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</si>
  <si>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</si>
  <si>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</si>
  <si>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</si>
  <si>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</si>
  <si>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</si>
  <si>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</si>
  <si>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</si>
  <si>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</si>
  <si>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</si>
  <si>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</si>
  <si>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</si>
  <si>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</si>
  <si>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</si>
  <si>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</si>
  <si>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</si>
  <si>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</si>
  <si>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</si>
  <si>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</si>
  <si>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</si>
  <si>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</si>
  <si>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</si>
  <si>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</si>
  <si>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</si>
  <si>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</si>
  <si>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</si>
  <si>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</si>
  <si>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</si>
  <si>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</si>
  <si>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</si>
  <si>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</si>
  <si>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</si>
  <si>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</si>
  <si>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</si>
  <si>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</si>
  <si>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</si>
  <si>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</si>
  <si>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</si>
  <si>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</si>
  <si>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</si>
  <si>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</si>
  <si>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</si>
  <si>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</si>
  <si>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</si>
  <si>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</si>
  <si>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</si>
  <si>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</si>
  <si>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</si>
  <si>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</si>
  <si>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</si>
  <si>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</si>
  <si>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</si>
  <si>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</si>
  <si>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</si>
  <si>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</si>
  <si>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</si>
  <si>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</si>
  <si>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</si>
  <si>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</si>
  <si>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</si>
  <si>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</si>
  <si>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</si>
  <si>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</si>
  <si>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</si>
  <si>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</si>
  <si>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</si>
  <si>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</si>
  <si>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</si>
  <si>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</si>
  <si>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</si>
  <si>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</si>
  <si>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</si>
  <si>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</si>
  <si>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</si>
  <si>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</si>
  <si>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</si>
  <si>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</si>
  <si>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</si>
  <si>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</si>
  <si>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</si>
  <si>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</si>
  <si>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</si>
  <si>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</si>
  <si>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</si>
  <si>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</si>
  <si>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</si>
  <si>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</si>
  <si>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</si>
  <si>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</si>
  <si>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</si>
  <si>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</si>
  <si>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</si>
  <si>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</si>
  <si>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</si>
  <si>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</si>
  <si>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</si>
  <si>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</si>
  <si>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</si>
  <si>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</si>
  <si>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</si>
  <si>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</si>
  <si>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</si>
  <si>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</si>
  <si>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</si>
  <si>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</si>
  <si>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</si>
  <si>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</si>
  <si>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</si>
  <si>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</si>
  <si>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</si>
  <si>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</si>
  <si>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</si>
  <si>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</si>
  <si>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</si>
  <si>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</si>
  <si>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</si>
  <si>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</si>
  <si>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</si>
  <si>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</si>
  <si>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</si>
  <si>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</si>
  <si>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</si>
  <si>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</si>
  <si>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</si>
  <si>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</si>
  <si>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</si>
  <si>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</si>
  <si>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</si>
  <si>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</si>
  <si>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</si>
  <si>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</si>
  <si>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</si>
  <si>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</si>
  <si>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</si>
  <si>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</si>
  <si>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</si>
  <si>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</si>
  <si>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</si>
  <si>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</si>
  <si>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</si>
  <si>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</si>
  <si>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</si>
  <si>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</si>
  <si>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</si>
  <si>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</si>
  <si>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</si>
  <si>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</si>
  <si>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</si>
  <si>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</si>
  <si>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</si>
  <si>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</si>
  <si>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</si>
  <si>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</si>
  <si>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</si>
  <si>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</si>
  <si>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</si>
  <si>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</si>
  <si>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</si>
  <si>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</si>
  <si>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</si>
  <si>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</si>
  <si>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</si>
  <si>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</si>
  <si>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</si>
  <si>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</si>
  <si>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</si>
  <si>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</si>
  <si>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</si>
  <si>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</si>
  <si>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</si>
  <si>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</si>
  <si>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</si>
  <si>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</si>
  <si>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</si>
  <si>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</si>
  <si>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</si>
  <si>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</si>
  <si>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</si>
  <si>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</si>
  <si>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</si>
  <si>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</si>
  <si>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</si>
  <si>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</si>
  <si>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</si>
  <si>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</si>
  <si>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</si>
  <si>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</si>
  <si>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</si>
  <si>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</si>
  <si>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</si>
  <si>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</si>
  <si>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</si>
  <si>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</si>
  <si>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</si>
  <si>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</si>
  <si>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</si>
  <si>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</si>
  <si>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</si>
  <si>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</si>
  <si>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</si>
  <si>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</si>
  <si>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</si>
  <si>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</si>
  <si>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</si>
  <si>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</si>
  <si>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</si>
  <si>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</si>
  <si>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</si>
  <si>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</si>
  <si>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</si>
  <si>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</si>
  <si>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</si>
  <si>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</si>
  <si>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</si>
  <si>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</si>
  <si>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</si>
  <si>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</si>
  <si>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</si>
  <si>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</si>
  <si>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</si>
  <si>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</si>
  <si>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</si>
  <si>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</si>
  <si>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</si>
  <si>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</si>
  <si>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</si>
  <si>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</si>
  <si>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</si>
  <si>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</si>
  <si>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</si>
  <si>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</si>
  <si>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</si>
  <si>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</si>
  <si>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</si>
  <si>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</si>
  <si>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</si>
  <si>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</si>
  <si>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</si>
  <si>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</si>
  <si>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</si>
  <si>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</si>
  <si>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</si>
  <si>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</si>
  <si>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</si>
  <si>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</si>
  <si>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</si>
  <si>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</si>
  <si>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</si>
  <si>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</si>
  <si>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</si>
  <si>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</si>
  <si>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</si>
  <si>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</si>
  <si>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</si>
  <si>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</si>
  <si>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</si>
  <si>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</si>
  <si>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</si>
  <si>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</si>
  <si>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</si>
  <si>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</si>
  <si>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</si>
  <si>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</si>
  <si>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</si>
  <si>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</si>
  <si>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</si>
  <si>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</si>
  <si>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</si>
  <si>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</si>
  <si>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</si>
  <si>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</si>
  <si>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</si>
  <si>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</si>
  <si>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</si>
  <si>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</si>
  <si>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</si>
  <si>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</si>
  <si>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</si>
  <si>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</si>
  <si>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</si>
  <si>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</si>
  <si>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</si>
  <si>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</si>
  <si>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</si>
  <si>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</si>
  <si>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</si>
  <si>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</si>
  <si>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</si>
  <si>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</si>
  <si>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</si>
  <si>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</si>
  <si>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</si>
  <si>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</si>
  <si>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</si>
  <si>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</si>
  <si>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</si>
  <si>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</si>
  <si>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</si>
  <si>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</si>
  <si>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</si>
  <si>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</si>
  <si>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</si>
  <si>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</si>
  <si>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</si>
  <si>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</si>
  <si>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</si>
  <si>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</si>
  <si>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</si>
  <si>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</si>
  <si>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</si>
  <si>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</si>
  <si>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</si>
  <si>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</si>
  <si>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</si>
  <si>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</si>
  <si>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</si>
  <si>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</si>
  <si>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</si>
  <si>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</si>
  <si>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</si>
  <si>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</si>
  <si>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</si>
  <si>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</si>
  <si>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</si>
  <si>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</si>
  <si>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</si>
  <si>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</si>
  <si>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</si>
  <si>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</si>
  <si>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</si>
  <si>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</si>
  <si>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</si>
  <si>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</si>
  <si>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</si>
  <si>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</si>
  <si>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</si>
  <si>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</si>
  <si>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</si>
  <si>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</si>
  <si>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</si>
  <si>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</si>
  <si>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</si>
  <si>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</si>
  <si>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</si>
  <si>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</si>
  <si>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</si>
  <si>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</si>
  <si>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</si>
  <si>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</si>
  <si>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</si>
  <si>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</si>
  <si>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</si>
  <si>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</si>
  <si>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</si>
  <si>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</si>
  <si>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</si>
  <si>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</si>
  <si>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</si>
  <si>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</si>
  <si>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</si>
  <si>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</si>
  <si>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</si>
  <si>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</si>
  <si>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</si>
  <si>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</si>
  <si>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</si>
  <si>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</si>
  <si>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</si>
  <si>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</si>
  <si>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</si>
  <si>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</si>
  <si>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</si>
  <si>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</si>
  <si>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</si>
  <si>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</si>
  <si>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</si>
  <si>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</si>
  <si>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</si>
  <si>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</si>
  <si>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</si>
  <si>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</si>
  <si>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</si>
  <si>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</si>
  <si>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</si>
  <si>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</si>
  <si>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</si>
  <si>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</si>
  <si>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</si>
  <si>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</si>
  <si>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</si>
  <si>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</si>
  <si>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</si>
  <si>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</si>
  <si>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</si>
  <si>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</si>
  <si>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</si>
  <si>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</si>
  <si>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</si>
  <si>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</si>
  <si>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</si>
  <si>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</si>
  <si>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</si>
  <si>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</si>
  <si>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</si>
  <si>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</si>
  <si>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</si>
  <si>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</si>
  <si>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</si>
  <si>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</si>
  <si>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</si>
  <si>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</si>
  <si>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</si>
  <si>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</si>
  <si>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</si>
  <si>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</si>
  <si>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</si>
  <si>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</si>
  <si>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</si>
  <si>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</si>
  <si>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</si>
  <si>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</si>
  <si>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</si>
  <si>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</si>
  <si>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</si>
  <si>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</si>
  <si>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</si>
  <si>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</si>
  <si>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</si>
  <si>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</si>
  <si>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</si>
  <si>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</si>
  <si>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</si>
  <si>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</si>
  <si>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</si>
  <si>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</si>
  <si>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</si>
  <si>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</si>
  <si>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</si>
  <si>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</si>
  <si>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</si>
  <si>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</si>
  <si>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</si>
  <si>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</si>
  <si>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</si>
  <si>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</si>
  <si>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</si>
  <si>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</si>
  <si>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</si>
  <si>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</si>
  <si>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</si>
  <si>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</si>
  <si>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</si>
  <si>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</si>
  <si>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</si>
  <si>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</si>
  <si>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</si>
  <si>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</si>
  <si>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</si>
  <si>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</si>
  <si>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</si>
  <si>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</si>
  <si>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</si>
  <si>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</si>
  <si>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</si>
  <si>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</si>
  <si>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</si>
  <si>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</si>
  <si>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</si>
  <si>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</si>
  <si>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</si>
  <si>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</si>
  <si>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</si>
  <si>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</si>
  <si>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</si>
  <si>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</si>
  <si>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</si>
  <si>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</si>
  <si>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</si>
  <si>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</si>
  <si>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</si>
  <si>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</si>
  <si>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</si>
  <si>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</si>
  <si>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</si>
  <si>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</si>
  <si>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</si>
  <si>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</si>
  <si>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</si>
  <si>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</si>
  <si>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</si>
  <si>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</si>
  <si>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</si>
  <si>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</si>
  <si>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</si>
  <si>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</si>
  <si>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</si>
  <si>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</si>
  <si>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</si>
  <si>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</si>
  <si>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</si>
  <si>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</si>
  <si>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</si>
  <si>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</si>
  <si>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</si>
  <si>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</si>
  <si>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</si>
  <si>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</si>
  <si>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</si>
  <si>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</si>
  <si>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</si>
  <si>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</si>
  <si>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</si>
  <si>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</si>
  <si>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</si>
  <si>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</si>
  <si>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</si>
  <si>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</si>
  <si>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</si>
  <si>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</si>
  <si>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</si>
  <si>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</si>
  <si>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</si>
  <si>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</si>
  <si>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</si>
  <si>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</si>
  <si>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</si>
  <si>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</si>
  <si>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</si>
  <si>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</si>
  <si>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</si>
  <si>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</si>
  <si>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</si>
  <si>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</si>
  <si>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</si>
  <si>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</si>
  <si>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</si>
  <si>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</si>
  <si>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</si>
  <si>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</si>
  <si>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</si>
  <si>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</si>
  <si>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</si>
  <si>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</si>
  <si>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</si>
  <si>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</si>
  <si>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</si>
  <si>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</si>
  <si>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</si>
  <si>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</si>
  <si>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</si>
  <si>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</si>
  <si>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</si>
  <si>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</si>
  <si>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</si>
  <si>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</si>
  <si>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</si>
  <si>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</si>
  <si>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</si>
  <si>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</si>
  <si>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</si>
  <si>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</si>
  <si>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</si>
  <si>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</si>
  <si>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</si>
  <si>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</si>
  <si>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</si>
  <si>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</si>
  <si>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</si>
  <si>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</si>
  <si>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</si>
  <si>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</si>
  <si>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</si>
  <si>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</si>
  <si>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</si>
  <si>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</si>
  <si>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</si>
  <si>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</si>
  <si>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</si>
  <si>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</si>
  <si>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</si>
  <si>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</si>
  <si>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</si>
  <si>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</si>
  <si>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</si>
  <si>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</si>
  <si>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</si>
  <si>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</si>
  <si>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</si>
  <si>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</si>
  <si>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</si>
  <si>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</si>
  <si>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</si>
  <si>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</si>
  <si>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</si>
  <si>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</si>
  <si>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</si>
  <si>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</si>
  <si>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</si>
  <si>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</si>
  <si>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</si>
  <si>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</si>
  <si>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</si>
  <si>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</si>
  <si>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</si>
  <si>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</si>
  <si>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</si>
  <si>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</si>
  <si>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</si>
  <si>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</si>
  <si>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</si>
  <si>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</si>
  <si>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</si>
  <si>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</si>
  <si>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</si>
  <si>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</si>
  <si>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</si>
  <si>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</si>
  <si>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</si>
  <si>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</si>
  <si>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</si>
  <si>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</si>
  <si>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</si>
  <si>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</si>
  <si>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</si>
  <si>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</si>
  <si>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</si>
  <si>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</si>
  <si>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</si>
  <si>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</si>
  <si>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</si>
  <si>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</si>
  <si>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</si>
  <si>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</si>
  <si>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</si>
  <si>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</si>
  <si>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</si>
  <si>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</si>
  <si>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</si>
  <si>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</si>
  <si>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</si>
  <si>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</si>
  <si>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</si>
  <si>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</si>
  <si>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</si>
  <si>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</si>
  <si>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</si>
  <si>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</si>
  <si>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</si>
  <si>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</si>
  <si>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</si>
  <si>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</si>
  <si>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</si>
  <si>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</si>
  <si>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</si>
  <si>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</si>
  <si>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</si>
  <si>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</si>
  <si>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</si>
  <si>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</si>
  <si>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</si>
  <si>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</si>
  <si>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</si>
  <si>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</si>
  <si>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</si>
  <si>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</si>
  <si>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</si>
  <si>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</si>
  <si>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</si>
  <si>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</si>
  <si>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</si>
  <si>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</si>
  <si>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</si>
  <si>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</si>
  <si>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</si>
  <si>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</si>
  <si>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</si>
  <si>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</si>
  <si>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</si>
  <si>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</si>
  <si>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</si>
  <si>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</si>
  <si>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</si>
  <si>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</si>
  <si>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</si>
  <si>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</si>
  <si>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</si>
  <si>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</si>
  <si>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</si>
  <si>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</si>
  <si>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</si>
  <si>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</si>
  <si>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</si>
  <si>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</si>
  <si>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</si>
  <si>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</si>
  <si>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</si>
  <si>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</si>
  <si>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</si>
  <si>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</si>
  <si>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</si>
  <si>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</si>
  <si>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</si>
  <si>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</si>
  <si>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</si>
  <si>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</si>
  <si>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</si>
  <si>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</si>
  <si>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</si>
  <si>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</si>
  <si>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</si>
  <si>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</si>
  <si>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</si>
  <si>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</si>
  <si>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</si>
  <si>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</si>
  <si>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</si>
  <si>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</si>
  <si>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</si>
  <si>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</si>
  <si>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</si>
  <si>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</si>
  <si>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</si>
  <si>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</si>
  <si>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</si>
  <si>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</si>
  <si>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</si>
  <si>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</si>
  <si>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</si>
  <si>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</si>
  <si>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</si>
  <si>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</si>
  <si>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</si>
  <si>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</si>
  <si>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</si>
  <si>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</si>
  <si>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</si>
  <si>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</si>
  <si>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</si>
  <si>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</si>
  <si>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</si>
  <si>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</si>
  <si>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</si>
  <si>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</si>
  <si>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</si>
  <si>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</si>
  <si>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</si>
  <si>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</si>
  <si>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</si>
  <si>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</si>
  <si>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</si>
  <si>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</si>
  <si>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</si>
  <si>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</si>
  <si>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</si>
  <si>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</si>
  <si>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</si>
  <si>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</si>
  <si>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</si>
  <si>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</si>
  <si>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</si>
  <si>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</si>
  <si>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</si>
  <si>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</si>
  <si>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</si>
  <si>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</si>
  <si>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</si>
  <si>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</si>
  <si>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</si>
  <si>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</si>
  <si>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</si>
  <si>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</si>
  <si>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</si>
  <si>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</si>
  <si>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</si>
  <si>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</si>
  <si>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</si>
  <si>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</si>
  <si>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</si>
  <si>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</si>
  <si>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</si>
  <si>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</si>
  <si>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</si>
  <si>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</si>
  <si>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</si>
  <si>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</si>
  <si>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</si>
  <si>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</si>
  <si>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</si>
  <si>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</si>
  <si>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</si>
  <si>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</si>
  <si>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</si>
  <si>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</si>
  <si>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</si>
  <si>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</si>
  <si>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</si>
  <si>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</si>
  <si>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</si>
  <si>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</si>
  <si>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</si>
  <si>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</si>
  <si>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</si>
  <si>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</si>
  <si>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</si>
  <si>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</si>
  <si>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</si>
  <si>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</si>
  <si>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</si>
  <si>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</si>
  <si>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</si>
  <si>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</si>
  <si>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</si>
  <si>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</si>
  <si>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</si>
  <si>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</si>
  <si>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</si>
  <si>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</si>
  <si>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</si>
  <si>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</si>
  <si>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</si>
  <si>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</si>
  <si>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</si>
  <si>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</si>
  <si>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</si>
  <si>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</si>
  <si>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</si>
  <si>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</si>
  <si>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</si>
  <si>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</si>
  <si>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</si>
  <si>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</si>
  <si>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</si>
  <si>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</si>
  <si>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</si>
  <si>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</si>
  <si>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</si>
  <si>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</si>
  <si>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</si>
  <si>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</si>
  <si>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</si>
  <si>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</si>
  <si>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</si>
  <si>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</si>
  <si>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</si>
  <si>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</si>
  <si>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</si>
  <si>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</si>
  <si>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</si>
  <si>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</si>
  <si>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</si>
  <si>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</si>
  <si>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</si>
  <si>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</si>
  <si>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</si>
  <si>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</si>
  <si>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</si>
  <si>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</si>
  <si>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</si>
  <si>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</si>
  <si>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</si>
  <si>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</si>
  <si>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</si>
  <si>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</si>
  <si>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</si>
  <si>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</si>
  <si>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</si>
  <si>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</si>
  <si>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</si>
  <si>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</si>
  <si>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</si>
  <si>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</si>
  <si>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</si>
  <si>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</si>
  <si>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</si>
  <si>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</si>
  <si>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</si>
  <si>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</si>
  <si>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</si>
  <si>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</si>
  <si>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</si>
  <si>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</si>
  <si>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</si>
  <si>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</si>
  <si>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</si>
  <si>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</si>
  <si>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</si>
  <si>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</si>
  <si>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</si>
  <si>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</si>
  <si>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</si>
  <si>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</si>
  <si>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</si>
  <si>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</si>
  <si>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</si>
  <si>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</si>
  <si>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</si>
  <si>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</si>
  <si>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</si>
  <si>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</si>
  <si>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</si>
  <si>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</si>
  <si>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</si>
  <si>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</si>
  <si>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</si>
  <si>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</si>
  <si>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</si>
  <si>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</si>
  <si>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</si>
  <si>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</si>
  <si>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</si>
  <si>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</si>
  <si>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</si>
  <si>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</si>
  <si>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</si>
  <si>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</si>
  <si>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</si>
  <si>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</si>
  <si>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</si>
  <si>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</si>
  <si>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</si>
  <si>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</si>
  <si>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</si>
  <si>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</si>
  <si>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</si>
  <si>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</si>
  <si>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</si>
  <si>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</si>
  <si>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</si>
  <si>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</si>
  <si>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</si>
  <si>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</si>
  <si>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</si>
  <si>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</si>
  <si>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</si>
  <si>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</si>
  <si>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</si>
  <si>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</si>
  <si>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</si>
  <si>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</si>
  <si>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</si>
  <si>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</si>
  <si>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</si>
  <si>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</si>
  <si>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</si>
  <si>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</si>
  <si>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</si>
  <si>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</si>
  <si>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</si>
  <si>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</si>
  <si>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</si>
  <si>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</si>
  <si>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</si>
  <si>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</si>
  <si>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</si>
  <si>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</si>
  <si>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</si>
  <si>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</si>
  <si>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</si>
  <si>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</si>
  <si>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</si>
  <si>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</si>
  <si>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</si>
  <si>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</si>
  <si>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</si>
  <si>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</si>
  <si>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</si>
  <si>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</si>
  <si>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</si>
  <si>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</si>
  <si>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</si>
  <si>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</si>
  <si>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</si>
  <si>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</si>
  <si>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</si>
  <si>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</si>
  <si>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</si>
  <si>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</si>
  <si>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</si>
  <si>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</si>
  <si>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</si>
  <si>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</si>
  <si>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</si>
  <si>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</si>
  <si>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</si>
  <si>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</si>
  <si>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</si>
  <si>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</si>
  <si>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</si>
  <si>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</si>
  <si>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</si>
  <si>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</si>
  <si>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</si>
  <si>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</si>
  <si>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</si>
  <si>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</si>
  <si>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</si>
  <si>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</si>
  <si>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</si>
  <si>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</si>
  <si>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</si>
  <si>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</si>
  <si>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</si>
  <si>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</si>
  <si>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</si>
  <si>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</si>
  <si>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</si>
  <si>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</si>
  <si>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</si>
  <si>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</si>
  <si>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</si>
  <si>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</si>
  <si>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</si>
  <si>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</si>
  <si>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</si>
  <si>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</si>
  <si>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</si>
  <si>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</si>
  <si>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</si>
  <si>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</si>
  <si>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</si>
  <si>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</si>
  <si>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</si>
  <si>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</si>
  <si>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</si>
  <si>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</si>
  <si>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</si>
  <si>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</si>
  <si>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</si>
  <si>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</si>
  <si>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</si>
  <si>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</si>
  <si>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</si>
  <si>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</si>
  <si>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</si>
  <si>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</si>
  <si>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</si>
  <si>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</si>
  <si>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</si>
  <si>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</si>
  <si>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</si>
  <si>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</si>
  <si>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</si>
  <si>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</si>
  <si>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</si>
  <si>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</si>
  <si>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</si>
  <si>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</si>
  <si>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</si>
  <si>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</si>
  <si>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</si>
  <si>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</si>
  <si>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</si>
  <si>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</si>
  <si>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</si>
  <si>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</si>
  <si>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</si>
  <si>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</si>
  <si>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</si>
  <si>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</si>
  <si>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</si>
  <si>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</si>
  <si>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</si>
  <si>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</si>
  <si>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</si>
  <si>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</si>
  <si>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</si>
  <si>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</si>
  <si>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</si>
  <si>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</si>
  <si>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</si>
  <si>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</si>
  <si>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</si>
  <si>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</si>
  <si>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</si>
  <si>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</si>
  <si>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</si>
  <si>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</si>
  <si>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</si>
  <si>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</si>
  <si>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</si>
  <si>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</si>
  <si>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</si>
  <si>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</si>
  <si>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</si>
  <si>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</si>
  <si>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</si>
  <si>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</si>
  <si>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</si>
  <si>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</si>
  <si>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</si>
  <si>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</si>
  <si>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</si>
  <si>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</si>
  <si>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</si>
  <si>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</si>
  <si>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</si>
  <si>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</si>
  <si>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</si>
  <si>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</si>
  <si>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</si>
  <si>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</si>
  <si>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</si>
  <si>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</si>
  <si>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</si>
  <si>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</si>
  <si>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</si>
  <si>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</si>
  <si>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</si>
  <si>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</si>
  <si>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</si>
  <si>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</si>
  <si>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</si>
  <si>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</si>
  <si>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</si>
  <si>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</si>
  <si>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</si>
  <si>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</si>
  <si>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</si>
  <si>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</si>
  <si>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</si>
  <si>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</si>
  <si>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</si>
  <si>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</si>
  <si>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</si>
  <si>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</si>
  <si>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</si>
  <si>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</si>
  <si>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</si>
  <si>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</si>
  <si>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</si>
  <si>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</si>
  <si>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</si>
  <si>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</si>
  <si>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</si>
  <si>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</si>
  <si>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</si>
  <si>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</si>
  <si>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</si>
  <si>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</si>
  <si>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</si>
  <si>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</si>
  <si>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</si>
  <si>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</si>
  <si>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</si>
  <si>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</si>
  <si>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</si>
  <si>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</si>
  <si>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</si>
  <si>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</si>
  <si>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</si>
  <si>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</si>
  <si>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</si>
  <si>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</si>
  <si>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</si>
  <si>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</si>
  <si>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</si>
  <si>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</si>
  <si>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</si>
  <si>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</si>
  <si>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</si>
  <si>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</si>
  <si>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</si>
  <si>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</si>
  <si>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</si>
  <si>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</si>
  <si>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</si>
  <si>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</si>
  <si>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</si>
  <si>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</si>
  <si>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</si>
  <si>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</si>
  <si>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</si>
  <si>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</si>
  <si>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</si>
  <si>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</si>
  <si>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</si>
  <si>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</si>
  <si>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</si>
  <si>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</si>
  <si>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</si>
  <si>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</si>
  <si>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</si>
  <si>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</si>
  <si>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</si>
  <si>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</si>
  <si>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</si>
  <si>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</si>
  <si>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</si>
  <si>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</si>
  <si>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</si>
  <si>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</si>
  <si>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</si>
  <si>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</si>
  <si>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</si>
  <si>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</si>
  <si>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</si>
  <si>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</si>
  <si>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</si>
  <si>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</si>
  <si>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</si>
  <si>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</si>
  <si>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</si>
  <si>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</si>
  <si>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</si>
  <si>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</si>
  <si>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</si>
  <si>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</si>
  <si>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</si>
  <si>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</si>
  <si>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</si>
  <si>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</si>
  <si>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</si>
  <si>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</si>
  <si>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</si>
  <si>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</si>
  <si>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</si>
  <si>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</si>
  <si>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</si>
  <si>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</si>
  <si>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</si>
  <si>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</si>
  <si>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</si>
  <si>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</si>
  <si>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</si>
  <si>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</si>
  <si>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</si>
  <si>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</si>
  <si>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</si>
  <si>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</si>
  <si>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</si>
  <si>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</si>
  <si>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</si>
  <si>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</si>
  <si>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</si>
  <si>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</si>
  <si>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</si>
  <si>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</si>
  <si>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</si>
  <si>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</si>
  <si>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</si>
  <si>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</si>
  <si>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</si>
  <si>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</si>
  <si>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</si>
  <si>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</si>
  <si>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</si>
  <si>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</si>
  <si>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</si>
  <si>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</si>
  <si>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</si>
  <si>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</si>
  <si>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</si>
  <si>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</si>
  <si>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</si>
  <si>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</si>
  <si>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</si>
  <si>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</si>
  <si>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</si>
  <si>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</si>
  <si>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</si>
  <si>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</si>
  <si>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</si>
  <si>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</si>
  <si>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</si>
  <si>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</si>
  <si>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</si>
  <si>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</si>
  <si>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</si>
  <si>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</si>
  <si>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</si>
  <si>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</si>
  <si>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</si>
  <si>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</si>
  <si>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</si>
  <si>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</si>
  <si>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</si>
  <si>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</si>
  <si>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</si>
  <si>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</si>
  <si>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</si>
  <si>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</si>
  <si>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</si>
  <si>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</si>
  <si>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</si>
  <si>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</si>
  <si>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</si>
  <si>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</si>
  <si>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</si>
  <si>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</si>
  <si>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</si>
  <si>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</si>
  <si>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</si>
  <si>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</si>
  <si>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</si>
  <si>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</si>
  <si>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</si>
  <si>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</si>
  <si>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</si>
  <si>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</si>
  <si>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</si>
  <si>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</si>
  <si>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</si>
  <si>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</si>
  <si>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</si>
  <si>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</si>
  <si>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</si>
  <si>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</si>
  <si>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</si>
  <si>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</si>
  <si>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</si>
  <si>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</si>
  <si>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</si>
  <si>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</si>
  <si>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</si>
  <si>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</si>
  <si>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</si>
  <si>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</si>
  <si>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</si>
  <si>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</si>
  <si>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</si>
  <si>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</si>
  <si>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</si>
  <si>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</si>
  <si>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</si>
  <si>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</si>
  <si>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</si>
  <si>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</si>
  <si>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</si>
  <si>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</si>
  <si>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</si>
  <si>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</si>
  <si>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</si>
  <si>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</si>
  <si>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</si>
  <si>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</si>
  <si>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</si>
  <si>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</si>
  <si>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</si>
  <si>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</si>
  <si>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</si>
  <si>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</si>
  <si>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</si>
  <si>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</si>
  <si>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</si>
  <si>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</si>
  <si>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</si>
  <si>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</si>
  <si>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</si>
  <si>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</si>
  <si>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</si>
  <si>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</si>
  <si>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</si>
  <si>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</si>
  <si>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</si>
  <si>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</si>
  <si>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</si>
  <si>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</si>
  <si>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</si>
  <si>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</si>
  <si>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</si>
  <si>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Level</t>
  </si>
  <si>
    <t>Skill Icons</t>
  </si>
  <si>
    <t>Intellect</t>
  </si>
  <si>
    <t>Agility</t>
  </si>
  <si>
    <t>Subtype</t>
  </si>
  <si>
    <t>Sanity</t>
  </si>
  <si>
    <t>Horror</t>
  </si>
  <si>
    <t>Shroud</t>
  </si>
  <si>
    <t>Doom</t>
  </si>
  <si>
    <t>Flavor</t>
  </si>
  <si>
    <t>Miskatonic.</t>
  </si>
  <si>
    <t>Drifter.</t>
  </si>
  <si>
    <t>Asset</t>
  </si>
  <si>
    <t>Accessory</t>
  </si>
  <si>
    <t>Spell.</t>
  </si>
  <si>
    <t>Skill</t>
  </si>
  <si>
    <t>Scenario</t>
  </si>
  <si>
    <t>Agenda</t>
  </si>
  <si>
    <t>Act</t>
  </si>
  <si>
    <t>Slot</t>
  </si>
  <si>
    <t>Clues</t>
  </si>
  <si>
    <t>Force Card Size</t>
  </si>
  <si>
    <t>Weakness</t>
  </si>
  <si>
    <t>Monster. Dark Young.</t>
  </si>
  <si>
    <t>Mini</t>
  </si>
  <si>
    <t>έάΰ</t>
  </si>
  <si>
    <t>ΰΰ</t>
  </si>
  <si>
    <t>Wild</t>
  </si>
  <si>
    <t>Jenny Barnes</t>
  </si>
  <si>
    <t>The Dilettante</t>
  </si>
  <si>
    <t>You collect 1 additional resource during each upkeep phase._x000D_
ε effect: +1 for each resource you have.</t>
  </si>
  <si>
    <t>Deck size: 30._x000D_
Deckbuilding options: Rogue cards ([rogue]) level 0-5, Neutral cards level 0-5, up to five level 0 cards from any other class._x000D_
Deckbuilding requirements (do not count toward deck size): Jenny's Twin .45s, Searching for Izzie, 1 random basic weakness.</t>
  </si>
  <si>
    <t>Green Man Medallion</t>
  </si>
  <si>
    <t>Hour of the Huntress</t>
  </si>
  <si>
    <t>Item. Relic</t>
  </si>
  <si>
    <t>Jenny Barnes deck only. Replacement._x000D_
θ Spend up to 3 resources and exhaust Green Man Medallion: Place those resources on it, as offerings._x000D_
ι When you resign or the game ends: For every 6 offerings on Green Man Medallion, reduce the experience cost of the next card you purchase before the next scenario by 1.</t>
  </si>
  <si>
    <t>Sacrificial Beast</t>
  </si>
  <si>
    <t>Jenny Barnes deck only. Replacement._x000D_
Spawn - Location farthest from you._x000D_
Jenny Barnes cannot gain resources via card effects.</t>
  </si>
  <si>
    <t>Norman Withers</t>
  </si>
  <si>
    <t>The Astronomer</t>
  </si>
  <si>
    <t>Play with the top card of your deck revealed._x000D_
Once per round, you may play the top card of your deck as if it were in your hand, at -1 resource cost._x000D_
Forced - AFter a weakness is revealed while on top of your deck: Draw it._x000D_
ε effect: +X. You may swap the top card of your deck with a card in your hand. X is the resource cost of the top card of your deck.</t>
  </si>
  <si>
    <t>Deck size: 30._x000D_
Deckbuilding Options: Seeker cards ([seeker]) level 0, Mystic cards ([mystic]) level 1-5, Neutral cards level 0-5, up to 5 Mystic cards ([mystic]) level 0._x000D_
Deckbuilding Requirements (do not count toward deck size): Livre d'Eibon, The Harbinger, 1 random basic weakness.</t>
  </si>
  <si>
    <t>Split the Angle</t>
  </si>
  <si>
    <t>Ire of the Void</t>
  </si>
  <si>
    <t>Norman Withers deck only. Replacement._x000D_
η: Reveal the top card of the encounter deck._x000D_
θ Exhaust Split the Angle and discard the top card of your deck: Discard the top card of the encounter deck.</t>
  </si>
  <si>
    <t>Vengeful Hound</t>
  </si>
  <si>
    <t>Monster. Extradimensional. Tindalos.</t>
  </si>
  <si>
    <t>Norman Withers deck only. Replacement._x000D_
Prey - Norman Withers only._x000D_
While Vengeful Hounds is engaged with you, you cannot draw or reveal cards via player card effects.</t>
  </si>
  <si>
    <t>ZA</t>
  </si>
  <si>
    <t>1f67f471-939f-4a72-a672-e949a538a8c7</t>
  </si>
  <si>
    <t>6de44f9d-5256-4762-b63a-8a096c2674b1</t>
  </si>
  <si>
    <t>a45917d1-d156-41cc-85bd-63ce323b8583</t>
  </si>
  <si>
    <t>c64de070-35b1-43b5-ab07-439b37fd0fd9</t>
  </si>
  <si>
    <t>f9bd3cfb-ba5d-47ed-a917-e620b387c9c1</t>
  </si>
  <si>
    <t>da8c48b0-686f-4c78-85de-2d052734ac6c</t>
  </si>
  <si>
    <t>4f9c52ce-35ea-4e70-8595-4c9738f74cec</t>
  </si>
  <si>
    <t>Book Series</t>
  </si>
  <si>
    <t>1.0</t>
  </si>
  <si>
    <t>71890fe8-1acf-4ea2-9e34-f42ae1314e27</t>
  </si>
  <si>
    <t>863c6958-209b-4b4e-984d-2b0c70d3fa0d</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</si>
</sst>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6" tint="0.79998168889431442"/>
        <bgColor indexed="64"/>
      </patternFill>
    </fill>
    <fill>
      <patternFill patternType="solid">
        <fgColor rgb="FFFFFFCC"/>
        <bgColor indexed="64"/>
      </patternFill>
    </fill>
    <fill>
      <patternFill patternType="solid">
        <fgColor theme="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61">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0" fontId="23" fillId="16"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7"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6" borderId="0" xfId="0" applyNumberFormat="1" applyFont="1" applyFill="1" applyAlignment="1">
      <alignment horizontal="left" vertical="top"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xf numFmtId="0" fontId="3" fillId="18" borderId="0" xfId="0" applyFont="1" applyFill="1" applyBorder="1"/>
    <xf numFmtId="49" fontId="17" fillId="18" borderId="0" xfId="0" quotePrefix="1" applyNumberFormat="1" applyFont="1" applyFill="1" applyBorder="1"/>
    <xf numFmtId="0" fontId="17" fillId="18" borderId="0" xfId="0" applyFont="1" applyFill="1"/>
    <xf numFmtId="49" fontId="17" fillId="18" borderId="0" xfId="0" applyNumberFormat="1" applyFont="1" applyFill="1"/>
    <xf numFmtId="0" fontId="3" fillId="18" borderId="0" xfId="0" applyFont="1" applyFill="1"/>
    <xf numFmtId="49" fontId="3" fillId="18" borderId="0" xfId="0" applyNumberFormat="1" applyFont="1" applyFill="1"/>
  </cellXfs>
  <cellStyles count="1">
    <cellStyle name="Normal" xfId="0" builtinId="0"/>
  </cellStyles>
  <dxfs count="40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6"/>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3" sqref="A3"/>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48</v>
      </c>
      <c r="B1" s="19" t="s">
        <v>2</v>
      </c>
      <c r="C1" s="20" t="s">
        <v>52</v>
      </c>
      <c r="D1" s="19" t="s">
        <v>49</v>
      </c>
      <c r="E1" s="19" t="s">
        <v>142</v>
      </c>
      <c r="G1" s="151" t="s">
        <v>3298</v>
      </c>
      <c r="H1" s="152"/>
      <c r="I1" s="152"/>
      <c r="J1" s="153"/>
      <c r="K1" s="27"/>
      <c r="L1" s="35"/>
      <c r="M1" s="23"/>
      <c r="N1" s="154" t="s">
        <v>4</v>
      </c>
      <c r="O1" s="154"/>
      <c r="P1" s="154"/>
      <c r="Q1" s="154"/>
      <c r="R1" s="154"/>
      <c r="S1" s="154"/>
      <c r="T1" s="154"/>
      <c r="U1" s="21"/>
      <c r="V1" s="154" t="s">
        <v>4072</v>
      </c>
      <c r="W1" s="154"/>
      <c r="X1" s="154"/>
      <c r="Y1" s="154"/>
      <c r="Z1" s="154"/>
      <c r="AA1" s="154"/>
    </row>
    <row r="2" spans="1:27" ht="18.75">
      <c r="A2" s="30" t="s">
        <v>4029</v>
      </c>
      <c r="B2" s="10" t="s">
        <v>4030</v>
      </c>
      <c r="C2" s="13" t="s">
        <v>4031</v>
      </c>
      <c r="D2" s="18"/>
      <c r="G2" s="17" t="s">
        <v>3299</v>
      </c>
      <c r="H2" s="17" t="s">
        <v>3300</v>
      </c>
      <c r="I2" s="17" t="s">
        <v>3301</v>
      </c>
      <c r="J2" s="17" t="s">
        <v>4091</v>
      </c>
      <c r="K2" s="17" t="s">
        <v>4092</v>
      </c>
      <c r="L2" s="17" t="s">
        <v>4090</v>
      </c>
      <c r="M2" s="17"/>
      <c r="N2" s="17" t="s">
        <v>4050</v>
      </c>
      <c r="O2" s="17" t="s">
        <v>4086</v>
      </c>
      <c r="P2" s="17" t="s">
        <v>26</v>
      </c>
      <c r="Q2" s="17" t="s">
        <v>4089</v>
      </c>
      <c r="R2" s="17" t="s">
        <v>28</v>
      </c>
      <c r="S2" s="17" t="s">
        <v>30</v>
      </c>
      <c r="T2" s="17" t="s">
        <v>27</v>
      </c>
      <c r="U2" s="17"/>
      <c r="V2" s="17" t="s">
        <v>4045</v>
      </c>
      <c r="W2" s="17" t="s">
        <v>4046</v>
      </c>
      <c r="X2" s="17" t="s">
        <v>4048</v>
      </c>
      <c r="Y2" s="17" t="s">
        <v>4047</v>
      </c>
      <c r="Z2" s="17" t="s">
        <v>4049</v>
      </c>
      <c r="AA2" s="17" t="s">
        <v>25</v>
      </c>
    </row>
    <row r="3" spans="1:27" s="25" customFormat="1">
      <c r="A3" s="31" t="s">
        <v>4123</v>
      </c>
      <c r="B3" s="31" t="s">
        <v>4130</v>
      </c>
      <c r="C3" s="32" t="s">
        <v>4131</v>
      </c>
      <c r="D3" s="31"/>
      <c r="E3" s="31"/>
      <c r="G3" s="24">
        <f>SUMIF('Card Data'!$A:$A,$A3,'Card Data'!$E:$E)</f>
        <v>8</v>
      </c>
      <c r="H3" s="24">
        <f>SUMIFS('Card Data'!$E:$E,'Card Data'!$A:$A,$A3,'Card Data'!$K:$K,"&lt;&gt;",'Card Data'!$J:$J,"&lt;&gt;Investigator")-SUMIFS('Card Data'!$E:$E,'Card Data'!$A:$A,$A3,'Card Data'!$K:$K,"&lt;&gt;",'Card Data'!$J:$J,"Mini")</f>
        <v>4</v>
      </c>
      <c r="I3" s="24">
        <f>SUMIFS('Card Data'!$E:$E,'Card Data'!$A:$A,$A3,'Card Data'!$K:$K,"",'Card Data'!$J:$J,"&lt;&gt;Campaign")+SUMIFS('Card Data'!$E:$E,'Card Data'!$A:$A,$A3,'Card Data'!$K:$K,"Burden")-J3</f>
        <v>0</v>
      </c>
      <c r="J3" s="24">
        <f>SUMIFS('Card Data'!$E:$E,'Card Data'!$J:$J,J$2,'Card Data'!$A:$A,$A3,'Card Data'!$AD:$AD,"&lt;&gt;*Side Quest.*")</f>
        <v>0</v>
      </c>
      <c r="K3" s="24">
        <f>COUNTIFS('Card Data'!$J:$J,K$2,'Card Data'!$A:$A,$A3,'Card Data'!$AD:$AD,"&lt;&gt;*Side Quest.*")</f>
        <v>0</v>
      </c>
      <c r="L3" s="24">
        <f>COUNTIFS('Card Data'!$J:$J,L$2,'Card Data'!$A:$A,$A3,'Card Data'!$AD:$AD,"&lt;&gt;*Side Quest.*")</f>
        <v>0</v>
      </c>
      <c r="M3" s="26"/>
      <c r="N3" s="24">
        <f>COUNTIFS('Card Data'!$J:$J,N$2,'Card Data'!$A:$A,$A3)</f>
        <v>2</v>
      </c>
      <c r="O3" s="24">
        <f>COUNTIFS('Card Data'!$J:$J,O$2,'Card Data'!$A:$A,$A3)</f>
        <v>2</v>
      </c>
      <c r="P3" s="24">
        <f>COUNTIFS('Card Data'!$J:$J,P$2,'Card Data'!$A:$A,$A3)</f>
        <v>0</v>
      </c>
      <c r="Q3" s="24">
        <f>COUNTIFS('Card Data'!$J:$J,Q$2,'Card Data'!$A:$A,$A3)</f>
        <v>0</v>
      </c>
      <c r="R3" s="24">
        <f>COUNTIFS('Card Data'!$J:$J,R$2,'Card Data'!$A:$A,$A3)</f>
        <v>2</v>
      </c>
      <c r="S3" s="24">
        <f>COUNTIFS('Card Data'!$J:$J,S$2,'Card Data'!$A:$A,$A3)</f>
        <v>0</v>
      </c>
      <c r="T3" s="24">
        <f>COUNTIFS('Card Data'!$J:$J,T$2,'Card Data'!$A:$A,$A3)</f>
        <v>0</v>
      </c>
      <c r="U3" s="26"/>
      <c r="V3" s="24">
        <f>COUNTIFS('Card Data'!$K:$K,V$2,'Card Data'!$A:$A,$A3)</f>
        <v>0</v>
      </c>
      <c r="W3" s="24">
        <f>COUNTIFS('Card Data'!$K:$K,W$2,'Card Data'!$A:$A,$A3)</f>
        <v>2</v>
      </c>
      <c r="X3" s="24">
        <f>COUNTIFS('Card Data'!$K:$K,X$2,'Card Data'!$A:$A,$A3)</f>
        <v>2</v>
      </c>
      <c r="Y3" s="24">
        <f>COUNTIFS('Card Data'!$K:$K,Y$2,'Card Data'!$A:$A,$A3)</f>
        <v>0</v>
      </c>
      <c r="Z3" s="24">
        <f>COUNTIFS('Card Data'!$K:$K,Z$2,'Card Data'!$A:$A,$A3)</f>
        <v>0</v>
      </c>
      <c r="AA3" s="24">
        <f>COUNTIFS('Card Data'!$K:$K,AA$2,'Card Data'!$A:$A,$A3)</f>
        <v>4</v>
      </c>
    </row>
    <row r="4" spans="1:27">
      <c r="A4" s="155"/>
      <c r="B4" s="155"/>
      <c r="C4" s="156"/>
      <c r="D4" s="155"/>
      <c r="E4" s="155"/>
      <c r="F4" s="18"/>
      <c r="G4" s="24">
        <f>SUMIF('Card Data'!$A:$A,$A4,'Card Data'!$E:$E)</f>
        <v>0</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0</v>
      </c>
      <c r="J4" s="24">
        <f>SUMIFS('Card Data'!$E:$E,'Card Data'!$J:$J,J$2,'Card Data'!$A:$A,$A4,'Card Data'!$AD:$AD,"&lt;&gt;*Side Quest.*")</f>
        <v>0</v>
      </c>
      <c r="K4" s="24">
        <f>COUNTIFS('Card Data'!$J:$J,K$2,'Card Data'!$A:$A,$A4,'Card Data'!$AD:$AD,"&lt;&gt;*Side Quest.*")</f>
        <v>0</v>
      </c>
      <c r="L4" s="24">
        <f>COUNTIFS('Card Data'!$J:$J,L$2,'Card Data'!$A:$A,$A4,'Card Data'!$AD:$AD,"&lt;&gt;*Side Quest.*")</f>
        <v>0</v>
      </c>
      <c r="M4" s="26"/>
      <c r="N4" s="24">
        <f>COUNTIFS('Card Data'!$J:$J,N$2,'Card Data'!$A:$A,$A4)</f>
        <v>0</v>
      </c>
      <c r="O4" s="24">
        <f>COUNTIFS('Card Data'!$J:$J,O$2,'Card Data'!$A:$A,$A4)</f>
        <v>0</v>
      </c>
      <c r="P4" s="24">
        <f>COUNTIFS('Card Data'!$J:$J,P$2,'Card Data'!$A:$A,$A4)</f>
        <v>0</v>
      </c>
      <c r="Q4" s="24">
        <f>COUNTIFS('Card Data'!$J:$J,Q$2,'Card Data'!$A:$A,$A4)</f>
        <v>0</v>
      </c>
      <c r="R4" s="24">
        <f>COUNTIFS('Card Data'!$J:$J,R$2,'Card Data'!$A:$A,$A4)</f>
        <v>0</v>
      </c>
      <c r="S4" s="24">
        <f>COUNTIFS('Card Data'!$J:$J,S$2,'Card Data'!$A:$A,$A4)</f>
        <v>0</v>
      </c>
      <c r="T4" s="24">
        <f>COUNTIFS('Card Data'!$J:$J,T$2,'Card Data'!$A:$A,$A4)</f>
        <v>0</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157"/>
      <c r="B5" s="157"/>
      <c r="C5" s="158"/>
      <c r="D5" s="157"/>
      <c r="E5" s="157"/>
      <c r="G5" s="24">
        <f>SUMIF('Card Data'!$A:$A,$A5,'Card Data'!$E:$E)</f>
        <v>0</v>
      </c>
      <c r="H5" s="24">
        <f>SUMIFS('Card Data'!$E:$E,'Card Data'!$A:$A,$A5,'Card Data'!$K:$K,"&lt;&gt;",'Card Data'!$J:$J,"&lt;&gt;Investigator")-SUMIFS('Card Data'!$E:$E,'Card Data'!$A:$A,$A5,'Card Data'!$K:$K,"&lt;&gt;",'Card Data'!$J:$J,"Mini")</f>
        <v>0</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0</v>
      </c>
      <c r="O5" s="24">
        <f>COUNTIFS('Card Data'!$J:$J,O$2,'Card Data'!$A:$A,$A5)</f>
        <v>0</v>
      </c>
      <c r="P5" s="24">
        <f>COUNTIFS('Card Data'!$J:$J,P$2,'Card Data'!$A:$A,$A5)</f>
        <v>0</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0</v>
      </c>
      <c r="Z5" s="24">
        <f>COUNTIFS('Card Data'!$K:$K,Z$2,'Card Data'!$A:$A,$A5)</f>
        <v>0</v>
      </c>
      <c r="AA5" s="24">
        <f>COUNTIFS('Card Data'!$K:$K,AA$2,'Card Data'!$A:$A,$A5)</f>
        <v>0</v>
      </c>
    </row>
    <row r="6" spans="1:27" s="15" customFormat="1">
      <c r="A6" s="157"/>
      <c r="B6" s="157"/>
      <c r="C6" s="158"/>
      <c r="D6" s="157"/>
      <c r="E6" s="157"/>
      <c r="G6" s="24">
        <f>SUMIF('Card Data'!$A:$A,$A6,'Card Data'!$E:$E)</f>
        <v>0</v>
      </c>
      <c r="H6" s="24">
        <f>SUMIFS('Card Data'!$E:$E,'Card Data'!$A:$A,$A6,'Card Data'!$K:$K,"&lt;&gt;",'Card Data'!$J:$J,"&lt;&gt;Investigator")-SUMIFS('Card Data'!$E:$E,'Card Data'!$A:$A,$A6,'Card Data'!$K:$K,"&lt;&gt;",'Card Data'!$J:$J,"Mini")</f>
        <v>0</v>
      </c>
      <c r="I6" s="24">
        <f>SUMIFS('Card Data'!$E:$E,'Card Data'!$A:$A,$A6,'Card Data'!$K:$K,"",'Card Data'!$J:$J,"&lt;&gt;Campaign")+SUMIFS('Card Data'!$E:$E,'Card Data'!$A:$A,$A6,'Card Data'!$K:$K,"Burden")-J6</f>
        <v>0</v>
      </c>
      <c r="J6" s="24">
        <f>SUMIFS('Card Data'!$E:$E,'Card Data'!$J:$J,J$2,'Card Data'!$A:$A,$A6,'Card Data'!$AD:$AD,"&lt;&gt;*Side Quest.*")</f>
        <v>0</v>
      </c>
      <c r="K6" s="24">
        <f>COUNTIFS('Card Data'!$J:$J,K$2,'Card Data'!$A:$A,$A6,'Card Data'!$AD:$AD,"&lt;&gt;*Side Quest.*")</f>
        <v>0</v>
      </c>
      <c r="L6" s="24">
        <f>COUNTIFS('Card Data'!$J:$J,L$2,'Card Data'!$A:$A,$A6,'Card Data'!$AD:$AD,"&lt;&gt;*Side Quest.*")</f>
        <v>0</v>
      </c>
      <c r="M6" s="26"/>
      <c r="N6" s="24">
        <f>COUNTIFS('Card Data'!$J:$J,N$2,'Card Data'!$A:$A,$A6)</f>
        <v>0</v>
      </c>
      <c r="O6" s="24">
        <f>COUNTIFS('Card Data'!$J:$J,O$2,'Card Data'!$A:$A,$A6)</f>
        <v>0</v>
      </c>
      <c r="P6" s="24">
        <f>COUNTIFS('Card Data'!$J:$J,P$2,'Card Data'!$A:$A,$A6)</f>
        <v>0</v>
      </c>
      <c r="Q6" s="24">
        <f>COUNTIFS('Card Data'!$J:$J,Q$2,'Card Data'!$A:$A,$A6)</f>
        <v>0</v>
      </c>
      <c r="R6" s="24">
        <f>COUNTIFS('Card Data'!$J:$J,R$2,'Card Data'!$A:$A,$A6)</f>
        <v>0</v>
      </c>
      <c r="S6" s="24">
        <f>COUNTIFS('Card Data'!$J:$J,S$2,'Card Data'!$A:$A,$A6)</f>
        <v>0</v>
      </c>
      <c r="T6" s="24">
        <f>COUNTIFS('Card Data'!$J:$J,T$2,'Card Data'!$A:$A,$A6)</f>
        <v>0</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0</v>
      </c>
    </row>
    <row r="7" spans="1:27">
      <c r="A7" s="159"/>
      <c r="B7" s="159"/>
      <c r="C7" s="158"/>
      <c r="D7" s="159"/>
      <c r="E7" s="159"/>
      <c r="G7" s="24">
        <f>SUMIF('Card Data'!$A:$A,$A7,'Card Data'!$E:$E)</f>
        <v>0</v>
      </c>
      <c r="H7" s="24">
        <f>SUMIFS('Card Data'!$E:$E,'Card Data'!$A:$A,$A7,'Card Data'!$K:$K,"&lt;&gt;",'Card Data'!$J:$J,"&lt;&gt;Investigator")-SUMIFS('Card Data'!$E:$E,'Card Data'!$A:$A,$A7,'Card Data'!$K:$K,"&lt;&gt;",'Card Data'!$J:$J,"Mini")</f>
        <v>0</v>
      </c>
      <c r="I7" s="24">
        <f>SUMIFS('Card Data'!$E:$E,'Card Data'!$A:$A,$A7,'Card Data'!$K:$K,"",'Card Data'!$J:$J,"&lt;&gt;Campaign")+SUMIFS('Card Data'!$E:$E,'Card Data'!$A:$A,$A7,'Card Data'!$K:$K,"Burden")-J7</f>
        <v>0</v>
      </c>
      <c r="J7" s="24">
        <f>SUMIFS('Card Data'!$E:$E,'Card Data'!$J:$J,J$2,'Card Data'!$A:$A,$A7,'Card Data'!$AD:$AD,"&lt;&gt;*Side Quest.*")</f>
        <v>0</v>
      </c>
      <c r="K7" s="24">
        <f>COUNTIFS('Card Data'!$J:$J,K$2,'Card Data'!$A:$A,$A7,'Card Data'!$AD:$AD,"&lt;&gt;*Side Quest.*")</f>
        <v>0</v>
      </c>
      <c r="L7" s="24">
        <f>COUNTIFS('Card Data'!$J:$J,L$2,'Card Data'!$A:$A,$A7,'Card Data'!$AD:$AD,"&lt;&gt;*Side Quest.*")</f>
        <v>0</v>
      </c>
      <c r="M7" s="26"/>
      <c r="N7" s="24">
        <f>COUNTIFS('Card Data'!$J:$J,N$2,'Card Data'!$A:$A,$A7)</f>
        <v>0</v>
      </c>
      <c r="O7" s="24">
        <f>COUNTIFS('Card Data'!$J:$J,O$2,'Card Data'!$A:$A,$A7)</f>
        <v>0</v>
      </c>
      <c r="P7" s="24">
        <f>COUNTIFS('Card Data'!$J:$J,P$2,'Card Data'!$A:$A,$A7)</f>
        <v>0</v>
      </c>
      <c r="Q7" s="24">
        <f>COUNTIFS('Card Data'!$J:$J,Q$2,'Card Data'!$A:$A,$A7)</f>
        <v>0</v>
      </c>
      <c r="R7" s="24">
        <f>COUNTIFS('Card Data'!$J:$J,R$2,'Card Data'!$A:$A,$A7)</f>
        <v>0</v>
      </c>
      <c r="S7" s="24">
        <f>COUNTIFS('Card Data'!$J:$J,S$2,'Card Data'!$A:$A,$A7)</f>
        <v>0</v>
      </c>
      <c r="T7" s="24">
        <f>COUNTIFS('Card Data'!$J:$J,T$2,'Card Data'!$A:$A,$A7)</f>
        <v>0</v>
      </c>
      <c r="U7" s="26"/>
      <c r="V7" s="24">
        <f>COUNTIFS('Card Data'!$K:$K,V$2,'Card Data'!$A:$A,$A7)</f>
        <v>0</v>
      </c>
      <c r="W7" s="24">
        <f>COUNTIFS('Card Data'!$K:$K,W$2,'Card Data'!$A:$A,$A7)</f>
        <v>0</v>
      </c>
      <c r="X7" s="24">
        <f>COUNTIFS('Card Data'!$K:$K,X$2,'Card Data'!$A:$A,$A7)</f>
        <v>0</v>
      </c>
      <c r="Y7" s="24">
        <f>COUNTIFS('Card Data'!$K:$K,Y$2,'Card Data'!$A:$A,$A7)</f>
        <v>0</v>
      </c>
      <c r="Z7" s="24">
        <f>COUNTIFS('Card Data'!$K:$K,Z$2,'Card Data'!$A:$A,$A7)</f>
        <v>0</v>
      </c>
      <c r="AA7" s="24">
        <f>COUNTIFS('Card Data'!$K:$K,AA$2,'Card Data'!$A:$A,$A7)</f>
        <v>0</v>
      </c>
    </row>
    <row r="8" spans="1:27">
      <c r="A8" s="159"/>
      <c r="B8" s="159"/>
      <c r="C8" s="160"/>
      <c r="D8" s="159"/>
      <c r="E8" s="159"/>
      <c r="G8" s="24">
        <f>SUMIF('Card Data'!$A:$A,$A8,'Card Data'!$E:$E)</f>
        <v>0</v>
      </c>
      <c r="H8" s="24">
        <f>SUMIFS('Card Data'!$E:$E,'Card Data'!$A:$A,$A8,'Card Data'!$K:$K,"&lt;&gt;",'Card Data'!$J:$J,"&lt;&gt;Investigator")-SUMIFS('Card Data'!$E:$E,'Card Data'!$A:$A,$A8,'Card Data'!$K:$K,"&lt;&gt;",'Card Data'!$J:$J,"Mini")</f>
        <v>0</v>
      </c>
      <c r="I8" s="24">
        <f>SUMIFS('Card Data'!$E:$E,'Card Data'!$A:$A,$A8,'Card Data'!$K:$K,"",'Card Data'!$J:$J,"&lt;&gt;Campaign")+SUMIFS('Card Data'!$E:$E,'Card Data'!$A:$A,$A8,'Card Data'!$K:$K,"Burden")-J8</f>
        <v>0</v>
      </c>
      <c r="J8" s="24">
        <f>SUMIFS('Card Data'!$E:$E,'Card Data'!$J:$J,J$2,'Card Data'!$A:$A,$A8,'Card Data'!$AD:$AD,"&lt;&gt;*Side Quest.*")</f>
        <v>0</v>
      </c>
      <c r="K8" s="24">
        <f>COUNTIFS('Card Data'!$J:$J,K$2,'Card Data'!$A:$A,$A8,'Card Data'!$AD:$AD,"&lt;&gt;*Side Quest.*")</f>
        <v>0</v>
      </c>
      <c r="L8" s="24">
        <f>COUNTIFS('Card Data'!$J:$J,L$2,'Card Data'!$A:$A,$A8,'Card Data'!$AD:$AD,"&lt;&gt;*Side Quest.*")</f>
        <v>0</v>
      </c>
      <c r="M8" s="26"/>
      <c r="N8" s="24">
        <f>COUNTIFS('Card Data'!$J:$J,N$2,'Card Data'!$A:$A,$A8)</f>
        <v>0</v>
      </c>
      <c r="O8" s="24">
        <f>COUNTIFS('Card Data'!$J:$J,O$2,'Card Data'!$A:$A,$A8)</f>
        <v>0</v>
      </c>
      <c r="P8" s="24">
        <f>COUNTIFS('Card Data'!$J:$J,P$2,'Card Data'!$A:$A,$A8)</f>
        <v>0</v>
      </c>
      <c r="Q8" s="24">
        <f>COUNTIFS('Card Data'!$J:$J,Q$2,'Card Data'!$A:$A,$A8)</f>
        <v>0</v>
      </c>
      <c r="R8" s="24">
        <f>COUNTIFS('Card Data'!$J:$J,R$2,'Card Data'!$A:$A,$A8)</f>
        <v>0</v>
      </c>
      <c r="S8" s="24">
        <f>COUNTIFS('Card Data'!$J:$J,S$2,'Card Data'!$A:$A,$A8)</f>
        <v>0</v>
      </c>
      <c r="T8" s="24">
        <f>COUNTIFS('Card Data'!$J:$J,T$2,'Card Data'!$A:$A,$A8)</f>
        <v>0</v>
      </c>
      <c r="U8" s="26"/>
      <c r="V8" s="24">
        <f>COUNTIFS('Card Data'!$K:$K,V$2,'Card Data'!$A:$A,$A8)</f>
        <v>0</v>
      </c>
      <c r="W8" s="24">
        <f>COUNTIFS('Card Data'!$K:$K,W$2,'Card Data'!$A:$A,$A8)</f>
        <v>0</v>
      </c>
      <c r="X8" s="24">
        <f>COUNTIFS('Card Data'!$K:$K,X$2,'Card Data'!$A:$A,$A8)</f>
        <v>0</v>
      </c>
      <c r="Y8" s="24">
        <f>COUNTIFS('Card Data'!$K:$K,Y$2,'Card Data'!$A:$A,$A8)</f>
        <v>0</v>
      </c>
      <c r="Z8" s="24">
        <f>COUNTIFS('Card Data'!$K:$K,Z$2,'Card Data'!$A:$A,$A8)</f>
        <v>0</v>
      </c>
      <c r="AA8" s="24">
        <f>COUNTIFS('Card Data'!$K:$K,AA$2,'Card Data'!$A:$A,$A8)</f>
        <v>0</v>
      </c>
    </row>
    <row r="9" spans="1:27">
      <c r="A9" s="159"/>
      <c r="B9" s="159"/>
      <c r="C9" s="160"/>
      <c r="D9" s="159"/>
      <c r="E9" s="159"/>
      <c r="G9" s="24">
        <f>SUMIF('Card Data'!$A:$A,$A9,'Card Data'!$E:$E)</f>
        <v>0</v>
      </c>
      <c r="H9" s="24">
        <f>SUMIFS('Card Data'!$E:$E,'Card Data'!$A:$A,$A9,'Card Data'!$K:$K,"&lt;&gt;",'Card Data'!$J:$J,"&lt;&gt;Investigator")-SUMIFS('Card Data'!$E:$E,'Card Data'!$A:$A,$A9,'Card Data'!$K:$K,"&lt;&gt;",'Card Data'!$J:$J,"Mini")</f>
        <v>0</v>
      </c>
      <c r="I9" s="24">
        <f>SUMIFS('Card Data'!$E:$E,'Card Data'!$A:$A,$A9,'Card Data'!$K:$K,"",'Card Data'!$J:$J,"&lt;&gt;Campaign")+SUMIFS('Card Data'!$E:$E,'Card Data'!$A:$A,$A9,'Card Data'!$K:$K,"Burden")-J9</f>
        <v>0</v>
      </c>
      <c r="J9" s="24">
        <f>SUMIFS('Card Data'!$E:$E,'Card Data'!$J:$J,J$2,'Card Data'!$A:$A,$A9,'Card Data'!$AD:$AD,"&lt;&gt;*Side Quest.*")</f>
        <v>0</v>
      </c>
      <c r="K9" s="24">
        <f>COUNTIFS('Card Data'!$J:$J,K$2,'Card Data'!$A:$A,$A9,'Card Data'!$AD:$AD,"&lt;&gt;*Side Quest.*")</f>
        <v>0</v>
      </c>
      <c r="L9" s="24">
        <f>COUNTIFS('Card Data'!$J:$J,L$2,'Card Data'!$A:$A,$A9,'Card Data'!$AD:$AD,"&lt;&gt;*Side Quest.*")</f>
        <v>0</v>
      </c>
      <c r="M9" s="26"/>
      <c r="N9" s="24">
        <f>COUNTIFS('Card Data'!$J:$J,N$2,'Card Data'!$A:$A,$A9)</f>
        <v>0</v>
      </c>
      <c r="O9" s="24">
        <f>COUNTIFS('Card Data'!$J:$J,O$2,'Card Data'!$A:$A,$A9)</f>
        <v>0</v>
      </c>
      <c r="P9" s="24">
        <f>COUNTIFS('Card Data'!$J:$J,P$2,'Card Data'!$A:$A,$A9)</f>
        <v>0</v>
      </c>
      <c r="Q9" s="24">
        <f>COUNTIFS('Card Data'!$J:$J,Q$2,'Card Data'!$A:$A,$A9)</f>
        <v>0</v>
      </c>
      <c r="R9" s="24">
        <f>COUNTIFS('Card Data'!$J:$J,R$2,'Card Data'!$A:$A,$A9)</f>
        <v>0</v>
      </c>
      <c r="S9" s="24">
        <f>COUNTIFS('Card Data'!$J:$J,S$2,'Card Data'!$A:$A,$A9)</f>
        <v>0</v>
      </c>
      <c r="T9" s="24">
        <f>COUNTIFS('Card Data'!$J:$J,T$2,'Card Data'!$A:$A,$A9)</f>
        <v>0</v>
      </c>
      <c r="U9" s="26"/>
      <c r="V9" s="24">
        <f>COUNTIFS('Card Data'!$K:$K,V$2,'Card Data'!$A:$A,$A9)</f>
        <v>0</v>
      </c>
      <c r="W9" s="24">
        <f>COUNTIFS('Card Data'!$K:$K,W$2,'Card Data'!$A:$A,$A9)</f>
        <v>0</v>
      </c>
      <c r="X9" s="24">
        <f>COUNTIFS('Card Data'!$K:$K,X$2,'Card Data'!$A:$A,$A9)</f>
        <v>0</v>
      </c>
      <c r="Y9" s="24">
        <f>COUNTIFS('Card Data'!$K:$K,Y$2,'Card Data'!$A:$A,$A9)</f>
        <v>0</v>
      </c>
      <c r="Z9" s="24">
        <f>COUNTIFS('Card Data'!$K:$K,Z$2,'Card Data'!$A:$A,$A9)</f>
        <v>0</v>
      </c>
      <c r="AA9" s="24">
        <f>COUNTIFS('Card Data'!$K:$K,AA$2,'Card Data'!$A:$A,$A9)</f>
        <v>0</v>
      </c>
    </row>
    <row r="10" spans="1:27">
      <c r="A10" s="159"/>
      <c r="B10" s="159"/>
      <c r="C10" s="160"/>
      <c r="D10" s="159"/>
      <c r="E10" s="159"/>
      <c r="G10" s="24">
        <f>SUMIF('Card Data'!$A:$A,$A10,'Card Data'!$E:$E)</f>
        <v>0</v>
      </c>
      <c r="H10" s="24">
        <f>SUMIFS('Card Data'!$E:$E,'Card Data'!$A:$A,$A10,'Card Data'!$K:$K,"&lt;&gt;",'Card Data'!$J:$J,"&lt;&gt;Investigator")-SUMIFS('Card Data'!$E:$E,'Card Data'!$A:$A,$A10,'Card Data'!$K:$K,"&lt;&gt;",'Card Data'!$J:$J,"Mini")</f>
        <v>0</v>
      </c>
      <c r="I10" s="24">
        <f>SUMIFS('Card Data'!$E:$E,'Card Data'!$A:$A,$A10,'Card Data'!$K:$K,"",'Card Data'!$J:$J,"&lt;&gt;Campaign")+SUMIFS('Card Data'!$E:$E,'Card Data'!$A:$A,$A10,'Card Data'!$K:$K,"Burden")-J10</f>
        <v>0</v>
      </c>
      <c r="J10" s="24">
        <f>SUMIFS('Card Data'!$E:$E,'Card Data'!$J:$J,J$2,'Card Data'!$A:$A,$A10,'Card Data'!$AD:$AD,"&lt;&gt;*Side Quest.*")</f>
        <v>0</v>
      </c>
      <c r="K10" s="24">
        <f>COUNTIFS('Card Data'!$J:$J,K$2,'Card Data'!$A:$A,$A10,'Card Data'!$AD:$AD,"&lt;&gt;*Side Quest.*")</f>
        <v>0</v>
      </c>
      <c r="L10" s="24">
        <f>COUNTIFS('Card Data'!$J:$J,L$2,'Card Data'!$A:$A,$A10,'Card Data'!$AD:$AD,"&lt;&gt;*Side Quest.*")</f>
        <v>0</v>
      </c>
      <c r="M10" s="26"/>
      <c r="N10" s="24">
        <f>COUNTIFS('Card Data'!$J:$J,N$2,'Card Data'!$A:$A,$A10)</f>
        <v>0</v>
      </c>
      <c r="O10" s="24">
        <f>COUNTIFS('Card Data'!$J:$J,O$2,'Card Data'!$A:$A,$A10)</f>
        <v>0</v>
      </c>
      <c r="P10" s="24">
        <f>COUNTIFS('Card Data'!$J:$J,P$2,'Card Data'!$A:$A,$A10)</f>
        <v>0</v>
      </c>
      <c r="Q10" s="24">
        <f>COUNTIFS('Card Data'!$J:$J,Q$2,'Card Data'!$A:$A,$A10)</f>
        <v>0</v>
      </c>
      <c r="R10" s="24">
        <f>COUNTIFS('Card Data'!$J:$J,R$2,'Card Data'!$A:$A,$A10)</f>
        <v>0</v>
      </c>
      <c r="S10" s="24">
        <f>COUNTIFS('Card Data'!$J:$J,S$2,'Card Data'!$A:$A,$A10)</f>
        <v>0</v>
      </c>
      <c r="T10" s="24">
        <f>COUNTIFS('Card Data'!$J:$J,T$2,'Card Data'!$A:$A,$A10)</f>
        <v>0</v>
      </c>
      <c r="U10" s="26"/>
      <c r="V10" s="24">
        <f>COUNTIFS('Card Data'!$K:$K,V$2,'Card Data'!$A:$A,$A10)</f>
        <v>0</v>
      </c>
      <c r="W10" s="24">
        <f>COUNTIFS('Card Data'!$K:$K,W$2,'Card Data'!$A:$A,$A10)</f>
        <v>0</v>
      </c>
      <c r="X10" s="24">
        <f>COUNTIFS('Card Data'!$K:$K,X$2,'Card Data'!$A:$A,$A10)</f>
        <v>0</v>
      </c>
      <c r="Y10" s="24">
        <f>COUNTIFS('Card Data'!$K:$K,Y$2,'Card Data'!$A:$A,$A10)</f>
        <v>0</v>
      </c>
      <c r="Z10" s="24">
        <f>COUNTIFS('Card Data'!$K:$K,Z$2,'Card Data'!$A:$A,$A10)</f>
        <v>0</v>
      </c>
      <c r="AA10" s="24">
        <f>COUNTIFS('Card Data'!$K:$K,AA$2,'Card Data'!$A:$A,$A10)</f>
        <v>0</v>
      </c>
    </row>
    <row r="11" spans="1:27">
      <c r="A11" s="159"/>
      <c r="B11" s="159"/>
      <c r="C11" s="160"/>
      <c r="D11" s="159"/>
      <c r="E11" s="159"/>
      <c r="G11" s="24">
        <f>SUMIF('Card Data'!$A:$A,$A11,'Card Data'!$E:$E)</f>
        <v>0</v>
      </c>
      <c r="H11" s="24">
        <f>SUMIFS('Card Data'!$E:$E,'Card Data'!$A:$A,$A11,'Card Data'!$K:$K,"&lt;&gt;",'Card Data'!$J:$J,"&lt;&gt;Investigator")-SUMIFS('Card Data'!$E:$E,'Card Data'!$A:$A,$A11,'Card Data'!$K:$K,"&lt;&gt;",'Card Data'!$J:$J,"Mini")</f>
        <v>0</v>
      </c>
      <c r="I11" s="24">
        <f>SUMIFS('Card Data'!$E:$E,'Card Data'!$A:$A,$A11,'Card Data'!$K:$K,"",'Card Data'!$J:$J,"&lt;&gt;Campaign")+SUMIFS('Card Data'!$E:$E,'Card Data'!$A:$A,$A11,'Card Data'!$K:$K,"Burden")-J11</f>
        <v>0</v>
      </c>
      <c r="J11" s="24">
        <f>SUMIFS('Card Data'!$E:$E,'Card Data'!$J:$J,J$2,'Card Data'!$A:$A,$A11,'Card Data'!$AD:$AD,"&lt;&gt;*Side Quest.*")</f>
        <v>0</v>
      </c>
      <c r="K11" s="24">
        <f>COUNTIFS('Card Data'!$J:$J,K$2,'Card Data'!$A:$A,$A11,'Card Data'!$AD:$AD,"&lt;&gt;*Side Quest.*")</f>
        <v>0</v>
      </c>
      <c r="L11" s="24">
        <f>COUNTIFS('Card Data'!$J:$J,L$2,'Card Data'!$A:$A,$A11,'Card Data'!$AD:$AD,"&lt;&gt;*Side Quest.*")</f>
        <v>0</v>
      </c>
      <c r="M11" s="26"/>
      <c r="N11" s="24">
        <f>COUNTIFS('Card Data'!$J:$J,N$2,'Card Data'!$A:$A,$A11)</f>
        <v>0</v>
      </c>
      <c r="O11" s="24">
        <f>COUNTIFS('Card Data'!$J:$J,O$2,'Card Data'!$A:$A,$A11)</f>
        <v>0</v>
      </c>
      <c r="P11" s="24">
        <f>COUNTIFS('Card Data'!$J:$J,P$2,'Card Data'!$A:$A,$A11)</f>
        <v>0</v>
      </c>
      <c r="Q11" s="24">
        <f>COUNTIFS('Card Data'!$J:$J,Q$2,'Card Data'!$A:$A,$A11)</f>
        <v>0</v>
      </c>
      <c r="R11" s="24">
        <f>COUNTIFS('Card Data'!$J:$J,R$2,'Card Data'!$A:$A,$A11)</f>
        <v>0</v>
      </c>
      <c r="S11" s="24">
        <f>COUNTIFS('Card Data'!$J:$J,S$2,'Card Data'!$A:$A,$A11)</f>
        <v>0</v>
      </c>
      <c r="T11" s="24">
        <f>COUNTIFS('Card Data'!$J:$J,T$2,'Card Data'!$A:$A,$A11)</f>
        <v>0</v>
      </c>
      <c r="U11" s="26"/>
      <c r="V11" s="24">
        <f>COUNTIFS('Card Data'!$K:$K,V$2,'Card Data'!$A:$A,$A11)</f>
        <v>0</v>
      </c>
      <c r="W11" s="24">
        <f>COUNTIFS('Card Data'!$K:$K,W$2,'Card Data'!$A:$A,$A11)</f>
        <v>0</v>
      </c>
      <c r="X11" s="24">
        <f>COUNTIFS('Card Data'!$K:$K,X$2,'Card Data'!$A:$A,$A11)</f>
        <v>0</v>
      </c>
      <c r="Y11" s="24">
        <f>COUNTIFS('Card Data'!$K:$K,Y$2,'Card Data'!$A:$A,$A11)</f>
        <v>0</v>
      </c>
      <c r="Z11" s="24">
        <f>COUNTIFS('Card Data'!$K:$K,Z$2,'Card Data'!$A:$A,$A11)</f>
        <v>0</v>
      </c>
      <c r="AA11" s="24">
        <f>COUNTIFS('Card Data'!$K:$K,AA$2,'Card Data'!$A:$A,$A11)</f>
        <v>0</v>
      </c>
    </row>
    <row r="12" spans="1:27">
      <c r="A12" s="159"/>
      <c r="B12" s="159"/>
      <c r="C12" s="160"/>
      <c r="D12" s="159"/>
      <c r="E12" s="159"/>
      <c r="G12" s="24">
        <f>SUMIF('Card Data'!$A:$A,$A12,'Card Data'!$E:$E)</f>
        <v>0</v>
      </c>
      <c r="H12" s="24">
        <f>SUMIFS('Card Data'!$E:$E,'Card Data'!$A:$A,$A12,'Card Data'!$K:$K,"&lt;&gt;",'Card Data'!$J:$J,"&lt;&gt;Investigator")-SUMIFS('Card Data'!$E:$E,'Card Data'!$A:$A,$A12,'Card Data'!$K:$K,"&lt;&gt;",'Card Data'!$J:$J,"Mini")</f>
        <v>0</v>
      </c>
      <c r="I12" s="24">
        <f>SUMIFS('Card Data'!$E:$E,'Card Data'!$A:$A,$A12,'Card Data'!$K:$K,"",'Card Data'!$J:$J,"&lt;&gt;Campaign")+SUMIFS('Card Data'!$E:$E,'Card Data'!$A:$A,$A12,'Card Data'!$K:$K,"Burden")-J12</f>
        <v>0</v>
      </c>
      <c r="J12" s="24">
        <f>SUMIFS('Card Data'!$E:$E,'Card Data'!$J:$J,J$2,'Card Data'!$A:$A,$A12,'Card Data'!$AD:$AD,"&lt;&gt;*Side Quest.*")</f>
        <v>0</v>
      </c>
      <c r="K12" s="24">
        <f>COUNTIFS('Card Data'!$J:$J,K$2,'Card Data'!$A:$A,$A12,'Card Data'!$AD:$AD,"&lt;&gt;*Side Quest.*")</f>
        <v>0</v>
      </c>
      <c r="L12" s="24">
        <f>COUNTIFS('Card Data'!$J:$J,L$2,'Card Data'!$A:$A,$A12,'Card Data'!$AD:$AD,"&lt;&gt;*Side Quest.*")</f>
        <v>0</v>
      </c>
      <c r="M12" s="26"/>
      <c r="N12" s="24">
        <f>COUNTIFS('Card Data'!$J:$J,N$2,'Card Data'!$A:$A,$A12)</f>
        <v>0</v>
      </c>
      <c r="O12" s="24">
        <f>COUNTIFS('Card Data'!$J:$J,O$2,'Card Data'!$A:$A,$A12)</f>
        <v>0</v>
      </c>
      <c r="P12" s="24">
        <f>COUNTIFS('Card Data'!$J:$J,P$2,'Card Data'!$A:$A,$A12)</f>
        <v>0</v>
      </c>
      <c r="Q12" s="24">
        <f>COUNTIFS('Card Data'!$J:$J,Q$2,'Card Data'!$A:$A,$A12)</f>
        <v>0</v>
      </c>
      <c r="R12" s="24">
        <f>COUNTIFS('Card Data'!$J:$J,R$2,'Card Data'!$A:$A,$A12)</f>
        <v>0</v>
      </c>
      <c r="S12" s="24">
        <f>COUNTIFS('Card Data'!$J:$J,S$2,'Card Data'!$A:$A,$A12)</f>
        <v>0</v>
      </c>
      <c r="T12" s="24">
        <f>COUNTIFS('Card Data'!$J:$J,T$2,'Card Data'!$A:$A,$A12)</f>
        <v>0</v>
      </c>
      <c r="U12" s="26"/>
      <c r="V12" s="24">
        <f>COUNTIFS('Card Data'!$K:$K,V$2,'Card Data'!$A:$A,$A12)</f>
        <v>0</v>
      </c>
      <c r="W12" s="24">
        <f>COUNTIFS('Card Data'!$K:$K,W$2,'Card Data'!$A:$A,$A12)</f>
        <v>0</v>
      </c>
      <c r="X12" s="24">
        <f>COUNTIFS('Card Data'!$K:$K,X$2,'Card Data'!$A:$A,$A12)</f>
        <v>0</v>
      </c>
      <c r="Y12" s="24">
        <f>COUNTIFS('Card Data'!$K:$K,Y$2,'Card Data'!$A:$A,$A12)</f>
        <v>0</v>
      </c>
      <c r="Z12" s="24">
        <f>COUNTIFS('Card Data'!$K:$K,Z$2,'Card Data'!$A:$A,$A12)</f>
        <v>0</v>
      </c>
      <c r="AA12" s="24">
        <f>COUNTIFS('Card Data'!$K:$K,AA$2,'Card Data'!$A:$A,$A12)</f>
        <v>0</v>
      </c>
    </row>
    <row r="13" spans="1:27">
      <c r="A13" s="159"/>
      <c r="B13" s="159"/>
      <c r="C13" s="160"/>
      <c r="D13" s="159"/>
      <c r="E13" s="159"/>
      <c r="G13" s="24">
        <f>SUMIF('Card Data'!$A:$A,$A13,'Card Data'!$E:$E)</f>
        <v>0</v>
      </c>
      <c r="H13" s="24">
        <f>SUMIFS('Card Data'!$E:$E,'Card Data'!$A:$A,$A13,'Card Data'!$K:$K,"&lt;&gt;",'Card Data'!$J:$J,"&lt;&gt;Investigator")-SUMIFS('Card Data'!$E:$E,'Card Data'!$A:$A,$A13,'Card Data'!$K:$K,"&lt;&gt;",'Card Data'!$J:$J,"Mini")</f>
        <v>0</v>
      </c>
      <c r="I13" s="24">
        <f>SUMIFS('Card Data'!$E:$E,'Card Data'!$A:$A,$A13,'Card Data'!$K:$K,"",'Card Data'!$J:$J,"&lt;&gt;Campaign")+SUMIFS('Card Data'!$E:$E,'Card Data'!$A:$A,$A13,'Card Data'!$K:$K,"Burden")-J13</f>
        <v>0</v>
      </c>
      <c r="J13" s="24">
        <f>SUMIFS('Card Data'!$E:$E,'Card Data'!$J:$J,J$2,'Card Data'!$A:$A,$A13,'Card Data'!$AD:$AD,"&lt;&gt;*Side Quest.*")</f>
        <v>0</v>
      </c>
      <c r="K13" s="24">
        <f>COUNTIFS('Card Data'!$J:$J,K$2,'Card Data'!$A:$A,$A13,'Card Data'!$AD:$AD,"&lt;&gt;*Side Quest.*")</f>
        <v>0</v>
      </c>
      <c r="L13" s="24">
        <f>COUNTIFS('Card Data'!$J:$J,L$2,'Card Data'!$A:$A,$A13,'Card Data'!$AD:$AD,"&lt;&gt;*Side Quest.*")</f>
        <v>0</v>
      </c>
      <c r="M13" s="26"/>
      <c r="N13" s="24">
        <f>COUNTIFS('Card Data'!$J:$J,N$2,'Card Data'!$A:$A,$A13)</f>
        <v>0</v>
      </c>
      <c r="O13" s="24">
        <f>COUNTIFS('Card Data'!$J:$J,O$2,'Card Data'!$A:$A,$A13)</f>
        <v>0</v>
      </c>
      <c r="P13" s="24">
        <f>COUNTIFS('Card Data'!$J:$J,P$2,'Card Data'!$A:$A,$A13)</f>
        <v>0</v>
      </c>
      <c r="Q13" s="24">
        <f>COUNTIFS('Card Data'!$J:$J,Q$2,'Card Data'!$A:$A,$A13)</f>
        <v>0</v>
      </c>
      <c r="R13" s="24">
        <f>COUNTIFS('Card Data'!$J:$J,R$2,'Card Data'!$A:$A,$A13)</f>
        <v>0</v>
      </c>
      <c r="S13" s="24">
        <f>COUNTIFS('Card Data'!$J:$J,S$2,'Card Data'!$A:$A,$A13)</f>
        <v>0</v>
      </c>
      <c r="T13" s="24">
        <f>COUNTIFS('Card Data'!$J:$J,T$2,'Card Data'!$A:$A,$A13)</f>
        <v>0</v>
      </c>
      <c r="U13" s="26"/>
      <c r="V13" s="24">
        <f>COUNTIFS('Card Data'!$K:$K,V$2,'Card Data'!$A:$A,$A13)</f>
        <v>0</v>
      </c>
      <c r="W13" s="24">
        <f>COUNTIFS('Card Data'!$K:$K,W$2,'Card Data'!$A:$A,$A13)</f>
        <v>0</v>
      </c>
      <c r="X13" s="24">
        <f>COUNTIFS('Card Data'!$K:$K,X$2,'Card Data'!$A:$A,$A13)</f>
        <v>0</v>
      </c>
      <c r="Y13" s="24">
        <f>COUNTIFS('Card Data'!$K:$K,Y$2,'Card Data'!$A:$A,$A13)</f>
        <v>0</v>
      </c>
      <c r="Z13" s="24">
        <f>COUNTIFS('Card Data'!$K:$K,Z$2,'Card Data'!$A:$A,$A13)</f>
        <v>0</v>
      </c>
      <c r="AA13" s="24">
        <f>COUNTIFS('Card Data'!$K:$K,AA$2,'Card Data'!$A:$A,$A13)</f>
        <v>0</v>
      </c>
    </row>
    <row r="14" spans="1:27">
      <c r="A14" s="159"/>
      <c r="B14" s="159"/>
      <c r="C14" s="160"/>
      <c r="D14" s="159"/>
      <c r="E14" s="159"/>
      <c r="G14" s="24">
        <f>SUMIF('Card Data'!$A:$A,$A14,'Card Data'!$E:$E)</f>
        <v>0</v>
      </c>
      <c r="H14" s="24">
        <f>SUMIFS('Card Data'!$E:$E,'Card Data'!$A:$A,$A14,'Card Data'!$K:$K,"&lt;&gt;",'Card Data'!$J:$J,"&lt;&gt;Investigator")-SUMIFS('Card Data'!$E:$E,'Card Data'!$A:$A,$A14,'Card Data'!$K:$K,"&lt;&gt;",'Card Data'!$J:$J,"Mini")</f>
        <v>0</v>
      </c>
      <c r="I14" s="24">
        <f>SUMIFS('Card Data'!$E:$E,'Card Data'!$A:$A,$A14,'Card Data'!$K:$K,"",'Card Data'!$J:$J,"&lt;&gt;Campaign")+SUMIFS('Card Data'!$E:$E,'Card Data'!$A:$A,$A14,'Card Data'!$K:$K,"Burden")-J14</f>
        <v>0</v>
      </c>
      <c r="J14" s="24">
        <f>SUMIFS('Card Data'!$E:$E,'Card Data'!$J:$J,J$2,'Card Data'!$A:$A,$A14,'Card Data'!$AD:$AD,"&lt;&gt;*Side Quest.*")</f>
        <v>0</v>
      </c>
      <c r="K14" s="24">
        <f>COUNTIFS('Card Data'!$J:$J,K$2,'Card Data'!$A:$A,$A14,'Card Data'!$AD:$AD,"&lt;&gt;*Side Quest.*")</f>
        <v>0</v>
      </c>
      <c r="L14" s="24">
        <f>COUNTIFS('Card Data'!$J:$J,L$2,'Card Data'!$A:$A,$A14,'Card Data'!$AD:$AD,"&lt;&gt;*Side Quest.*")</f>
        <v>0</v>
      </c>
      <c r="M14" s="26"/>
      <c r="N14" s="24">
        <f>COUNTIFS('Card Data'!$J:$J,N$2,'Card Data'!$A:$A,$A14)</f>
        <v>0</v>
      </c>
      <c r="O14" s="24">
        <f>COUNTIFS('Card Data'!$J:$J,O$2,'Card Data'!$A:$A,$A14)</f>
        <v>0</v>
      </c>
      <c r="P14" s="24">
        <f>COUNTIFS('Card Data'!$J:$J,P$2,'Card Data'!$A:$A,$A14)</f>
        <v>0</v>
      </c>
      <c r="Q14" s="24">
        <f>COUNTIFS('Card Data'!$J:$J,Q$2,'Card Data'!$A:$A,$A14)</f>
        <v>0</v>
      </c>
      <c r="R14" s="24">
        <f>COUNTIFS('Card Data'!$J:$J,R$2,'Card Data'!$A:$A,$A14)</f>
        <v>0</v>
      </c>
      <c r="S14" s="24">
        <f>COUNTIFS('Card Data'!$J:$J,S$2,'Card Data'!$A:$A,$A14)</f>
        <v>0</v>
      </c>
      <c r="T14" s="24">
        <f>COUNTIFS('Card Data'!$J:$J,T$2,'Card Data'!$A:$A,$A14)</f>
        <v>0</v>
      </c>
      <c r="U14" s="26"/>
      <c r="V14" s="24">
        <f>COUNTIFS('Card Data'!$K:$K,V$2,'Card Data'!$A:$A,$A14)</f>
        <v>0</v>
      </c>
      <c r="W14" s="24">
        <f>COUNTIFS('Card Data'!$K:$K,W$2,'Card Data'!$A:$A,$A14)</f>
        <v>0</v>
      </c>
      <c r="X14" s="24">
        <f>COUNTIFS('Card Data'!$K:$K,X$2,'Card Data'!$A:$A,$A14)</f>
        <v>0</v>
      </c>
      <c r="Y14" s="24">
        <f>COUNTIFS('Card Data'!$K:$K,Y$2,'Card Data'!$A:$A,$A14)</f>
        <v>0</v>
      </c>
      <c r="Z14" s="24">
        <f>COUNTIFS('Card Data'!$K:$K,Z$2,'Card Data'!$A:$A,$A14)</f>
        <v>0</v>
      </c>
      <c r="AA14" s="24">
        <f>COUNTIFS('Card Data'!$K:$K,AA$2,'Card Data'!$A:$A,$A14)</f>
        <v>0</v>
      </c>
    </row>
    <row r="15" spans="1:27">
      <c r="G15" s="24">
        <f>SUMIF('Card Data'!$A:$A,$A15,'Card Data'!$E:$E)</f>
        <v>0</v>
      </c>
      <c r="H15" s="24">
        <f>SUMIFS('Card Data'!$E:$E,'Card Data'!$A:$A,$A15,'Card Data'!$K:$K,"&lt;&gt;",'Card Data'!$J:$J,"&lt;&gt;Investigator")-SUMIFS('Card Data'!$E:$E,'Card Data'!$A:$A,$A15,'Card Data'!$K:$K,"&lt;&gt;",'Card Data'!$J:$J,"Mini")</f>
        <v>0</v>
      </c>
      <c r="I15" s="24">
        <f>SUMIFS('Card Data'!$E:$E,'Card Data'!$A:$A,$A15,'Card Data'!$K:$K,"",'Card Data'!$J:$J,"&lt;&gt;Campaign")+SUMIFS('Card Data'!$E:$E,'Card Data'!$A:$A,$A15,'Card Data'!$K:$K,"Burden")-J15</f>
        <v>0</v>
      </c>
      <c r="J15" s="24">
        <f>SUMIFS('Card Data'!$E:$E,'Card Data'!$J:$J,J$2,'Card Data'!$A:$A,$A15,'Card Data'!$AD:$AD,"&lt;&gt;*Side Quest.*")</f>
        <v>0</v>
      </c>
      <c r="K15" s="24">
        <f>COUNTIFS('Card Data'!$J:$J,K$2,'Card Data'!$A:$A,$A15,'Card Data'!$AD:$AD,"&lt;&gt;*Side Quest.*")</f>
        <v>0</v>
      </c>
      <c r="L15" s="24">
        <f>COUNTIFS('Card Data'!$J:$J,L$2,'Card Data'!$A:$A,$A15,'Card Data'!$AD:$AD,"&lt;&gt;*Side Quest.*")</f>
        <v>0</v>
      </c>
      <c r="M15" s="26"/>
      <c r="N15" s="24">
        <f>COUNTIFS('Card Data'!$J:$J,N$2,'Card Data'!$A:$A,$A15)</f>
        <v>0</v>
      </c>
      <c r="O15" s="24">
        <f>COUNTIFS('Card Data'!$J:$J,O$2,'Card Data'!$A:$A,$A15)</f>
        <v>0</v>
      </c>
      <c r="P15" s="24">
        <f>COUNTIFS('Card Data'!$J:$J,P$2,'Card Data'!$A:$A,$A15)</f>
        <v>0</v>
      </c>
      <c r="Q15" s="24">
        <f>COUNTIFS('Card Data'!$J:$J,Q$2,'Card Data'!$A:$A,$A15)</f>
        <v>0</v>
      </c>
      <c r="R15" s="24">
        <f>COUNTIFS('Card Data'!$J:$J,R$2,'Card Data'!$A:$A,$A15)</f>
        <v>0</v>
      </c>
      <c r="S15" s="24">
        <f>COUNTIFS('Card Data'!$J:$J,S$2,'Card Data'!$A:$A,$A15)</f>
        <v>0</v>
      </c>
      <c r="T15" s="24">
        <f>COUNTIFS('Card Data'!$J:$J,T$2,'Card Data'!$A:$A,$A15)</f>
        <v>0</v>
      </c>
      <c r="U15" s="26"/>
      <c r="V15" s="24">
        <f>COUNTIFS('Card Data'!$K:$K,V$2,'Card Data'!$A:$A,$A15)</f>
        <v>0</v>
      </c>
      <c r="W15" s="24">
        <f>COUNTIFS('Card Data'!$K:$K,W$2,'Card Data'!$A:$A,$A15)</f>
        <v>0</v>
      </c>
      <c r="X15" s="24">
        <f>COUNTIFS('Card Data'!$K:$K,X$2,'Card Data'!$A:$A,$A15)</f>
        <v>0</v>
      </c>
      <c r="Y15" s="24">
        <f>COUNTIFS('Card Data'!$K:$K,Y$2,'Card Data'!$A:$A,$A15)</f>
        <v>0</v>
      </c>
      <c r="Z15" s="24">
        <f>COUNTIFS('Card Data'!$K:$K,Z$2,'Card Data'!$A:$A,$A15)</f>
        <v>0</v>
      </c>
      <c r="AA15" s="24">
        <f>COUNTIFS('Card Data'!$K:$K,AA$2,'Card Data'!$A:$A,$A15)</f>
        <v>0</v>
      </c>
    </row>
    <row r="16" spans="1:27">
      <c r="G16" s="24">
        <f>SUMIF('Card Data'!$A:$A,$A16,'Card Data'!$E:$E)</f>
        <v>0</v>
      </c>
      <c r="H16" s="24">
        <f>SUMIFS('Card Data'!$E:$E,'Card Data'!$A:$A,$A16,'Card Data'!$K:$K,"&lt;&gt;",'Card Data'!$J:$J,"&lt;&gt;Investigator")-SUMIFS('Card Data'!$E:$E,'Card Data'!$A:$A,$A16,'Card Data'!$K:$K,"&lt;&gt;",'Card Data'!$J:$J,"Mini")</f>
        <v>0</v>
      </c>
      <c r="I16" s="24">
        <f>SUMIFS('Card Data'!$E:$E,'Card Data'!$A:$A,$A16,'Card Data'!$K:$K,"",'Card Data'!$J:$J,"&lt;&gt;Campaign")+SUMIFS('Card Data'!$E:$E,'Card Data'!$A:$A,$A16,'Card Data'!$K:$K,"Burden")-J16</f>
        <v>0</v>
      </c>
      <c r="J16" s="24">
        <f>SUMIFS('Card Data'!$E:$E,'Card Data'!$J:$J,J$2,'Card Data'!$A:$A,$A16,'Card Data'!$AD:$AD,"&lt;&gt;*Side Quest.*")</f>
        <v>0</v>
      </c>
      <c r="K16" s="24">
        <f>COUNTIFS('Card Data'!$J:$J,K$2,'Card Data'!$A:$A,$A16,'Card Data'!$AD:$AD,"&lt;&gt;*Side Quest.*")</f>
        <v>0</v>
      </c>
      <c r="L16" s="24">
        <f>COUNTIFS('Card Data'!$J:$J,L$2,'Card Data'!$A:$A,$A16,'Card Data'!$AD:$AD,"&lt;&gt;*Side Quest.*")</f>
        <v>0</v>
      </c>
      <c r="M16" s="26"/>
      <c r="N16" s="24">
        <f>COUNTIFS('Card Data'!$J:$J,N$2,'Card Data'!$A:$A,$A16)</f>
        <v>0</v>
      </c>
      <c r="O16" s="24">
        <f>COUNTIFS('Card Data'!$J:$J,O$2,'Card Data'!$A:$A,$A16)</f>
        <v>0</v>
      </c>
      <c r="P16" s="24">
        <f>COUNTIFS('Card Data'!$J:$J,P$2,'Card Data'!$A:$A,$A16)</f>
        <v>0</v>
      </c>
      <c r="Q16" s="24">
        <f>COUNTIFS('Card Data'!$J:$J,Q$2,'Card Data'!$A:$A,$A16)</f>
        <v>0</v>
      </c>
      <c r="R16" s="24">
        <f>COUNTIFS('Card Data'!$J:$J,R$2,'Card Data'!$A:$A,$A16)</f>
        <v>0</v>
      </c>
      <c r="S16" s="24">
        <f>COUNTIFS('Card Data'!$J:$J,S$2,'Card Data'!$A:$A,$A16)</f>
        <v>0</v>
      </c>
      <c r="T16" s="24">
        <f>COUNTIFS('Card Data'!$J:$J,T$2,'Card Data'!$A:$A,$A16)</f>
        <v>0</v>
      </c>
      <c r="U16" s="26"/>
      <c r="V16" s="24">
        <f>COUNTIFS('Card Data'!$K:$K,V$2,'Card Data'!$A:$A,$A16)</f>
        <v>0</v>
      </c>
      <c r="W16" s="24">
        <f>COUNTIFS('Card Data'!$K:$K,W$2,'Card Data'!$A:$A,$A16)</f>
        <v>0</v>
      </c>
      <c r="X16" s="24">
        <f>COUNTIFS('Card Data'!$K:$K,X$2,'Card Data'!$A:$A,$A16)</f>
        <v>0</v>
      </c>
      <c r="Y16" s="24">
        <f>COUNTIFS('Card Data'!$K:$K,Y$2,'Card Data'!$A:$A,$A16)</f>
        <v>0</v>
      </c>
      <c r="Z16" s="24">
        <f>COUNTIFS('Card Data'!$K:$K,Z$2,'Card Data'!$A:$A,$A16)</f>
        <v>0</v>
      </c>
      <c r="AA16" s="24">
        <f>COUNTIFS('Card Data'!$K:$K,AA$2,'Card Data'!$A:$A,$A16)</f>
        <v>0</v>
      </c>
    </row>
  </sheetData>
  <mergeCells count="3">
    <mergeCell ref="G1:J1"/>
    <mergeCell ref="N1:T1"/>
    <mergeCell ref="V1:AA1"/>
  </mergeCells>
  <conditionalFormatting sqref="V2">
    <cfRule type="cellIs" dxfId="407" priority="29" operator="equal">
      <formula>"Fellowship"</formula>
    </cfRule>
    <cfRule type="cellIs" dxfId="406" priority="30" operator="equal">
      <formula>"Neutral"</formula>
    </cfRule>
    <cfRule type="cellIs" dxfId="405" priority="31" operator="equal">
      <formula>"Baggins"</formula>
    </cfRule>
    <cfRule type="cellIs" dxfId="404" priority="32" operator="equal">
      <formula>"Lore"</formula>
    </cfRule>
    <cfRule type="cellIs" dxfId="403" priority="33" operator="equal">
      <formula>"Spirit"</formula>
    </cfRule>
    <cfRule type="cellIs" dxfId="402" priority="34" operator="equal">
      <formula>"Tactics"</formula>
    </cfRule>
    <cfRule type="cellIs" dxfId="401" priority="35" operator="equal">
      <formula>"Leadership"</formula>
    </cfRule>
  </conditionalFormatting>
  <conditionalFormatting sqref="W2">
    <cfRule type="cellIs" dxfId="400" priority="22" operator="equal">
      <formula>"Fellowship"</formula>
    </cfRule>
    <cfRule type="cellIs" dxfId="399" priority="23" operator="equal">
      <formula>"Neutral"</formula>
    </cfRule>
    <cfRule type="cellIs" dxfId="398" priority="24" operator="equal">
      <formula>"Baggins"</formula>
    </cfRule>
    <cfRule type="cellIs" dxfId="397" priority="25" operator="equal">
      <formula>"Lore"</formula>
    </cfRule>
    <cfRule type="cellIs" dxfId="396" priority="26" operator="equal">
      <formula>"Spirit"</formula>
    </cfRule>
    <cfRule type="cellIs" dxfId="395" priority="27" operator="equal">
      <formula>"Tactics"</formula>
    </cfRule>
    <cfRule type="cellIs" dxfId="394" priority="28" operator="equal">
      <formula>"Leadership"</formula>
    </cfRule>
  </conditionalFormatting>
  <conditionalFormatting sqref="X2">
    <cfRule type="cellIs" dxfId="393" priority="15" operator="equal">
      <formula>"Fellowship"</formula>
    </cfRule>
    <cfRule type="cellIs" dxfId="392" priority="16" operator="equal">
      <formula>"Neutral"</formula>
    </cfRule>
    <cfRule type="cellIs" dxfId="391" priority="17" operator="equal">
      <formula>"Baggins"</formula>
    </cfRule>
    <cfRule type="cellIs" dxfId="390" priority="18" operator="equal">
      <formula>"Lore"</formula>
    </cfRule>
    <cfRule type="cellIs" dxfId="389" priority="19" operator="equal">
      <formula>"Spirit"</formula>
    </cfRule>
    <cfRule type="cellIs" dxfId="388" priority="20" operator="equal">
      <formula>"Tactics"</formula>
    </cfRule>
    <cfRule type="cellIs" dxfId="387" priority="21" operator="equal">
      <formula>"Leadership"</formula>
    </cfRule>
  </conditionalFormatting>
  <conditionalFormatting sqref="Y2:Z2">
    <cfRule type="cellIs" dxfId="386" priority="8" operator="equal">
      <formula>"Fellowship"</formula>
    </cfRule>
    <cfRule type="cellIs" dxfId="385" priority="9" operator="equal">
      <formula>"Neutral"</formula>
    </cfRule>
    <cfRule type="cellIs" dxfId="384" priority="10" operator="equal">
      <formula>"Baggins"</formula>
    </cfRule>
    <cfRule type="cellIs" dxfId="383" priority="11" operator="equal">
      <formula>"Lore"</formula>
    </cfRule>
    <cfRule type="cellIs" dxfId="382" priority="12" operator="equal">
      <formula>"Spirit"</formula>
    </cfRule>
    <cfRule type="cellIs" dxfId="381" priority="13" operator="equal">
      <formula>"Tactics"</formula>
    </cfRule>
    <cfRule type="cellIs" dxfId="380" priority="14" operator="equal">
      <formula>"Leadership"</formula>
    </cfRule>
  </conditionalFormatting>
  <conditionalFormatting sqref="AA2">
    <cfRule type="cellIs" dxfId="379" priority="1" operator="equal">
      <formula>"Fellowship"</formula>
    </cfRule>
    <cfRule type="cellIs" dxfId="378" priority="2" operator="equal">
      <formula>"Neutral"</formula>
    </cfRule>
    <cfRule type="cellIs" dxfId="377" priority="3" operator="equal">
      <formula>"Baggins"</formula>
    </cfRule>
    <cfRule type="cellIs" dxfId="376" priority="4" operator="equal">
      <formula>"Lore"</formula>
    </cfRule>
    <cfRule type="cellIs" dxfId="375" priority="5" operator="equal">
      <formula>"Spirit"</formula>
    </cfRule>
    <cfRule type="cellIs" dxfId="374" priority="6" operator="equal">
      <formula>"Tactics"</formula>
    </cfRule>
    <cfRule type="cellIs" dxfId="373"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030"/>
  <sheetViews>
    <sheetView zoomScale="85" zoomScaleNormal="85" workbookViewId="0">
      <pane xSplit="7" ySplit="1" topLeftCell="H2" activePane="bottomRight" state="frozen"/>
      <selection activeCell="E1" sqref="E1"/>
      <selection pane="topRight" activeCell="F1" sqref="F1"/>
      <selection pane="bottomLeft" activeCell="E2" sqref="E2"/>
      <selection pane="bottomRight" activeCell="F16" sqref="F16"/>
    </sheetView>
  </sheetViews>
  <sheetFormatPr defaultColWidth="9.140625" defaultRowHeight="12" outlineLevelCol="1"/>
  <cols>
    <col min="1" max="1" width="38" style="36" customWidth="1" outlineLevel="1"/>
    <col min="2" max="2" width="42.8554687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6.5703125" style="36" customWidth="1"/>
    <col min="13" max="13" width="13.85546875" style="36" customWidth="1"/>
    <col min="14" max="14" width="3.140625" style="69" customWidth="1"/>
    <col min="15" max="15" width="3.140625" style="70" customWidth="1"/>
    <col min="16" max="16" width="3.140625" style="71" customWidth="1"/>
    <col min="17" max="17" width="3.140625" style="72" customWidth="1"/>
    <col min="18" max="18" width="3.140625" style="73" customWidth="1"/>
    <col min="19" max="19" width="3.140625" style="120" customWidth="1"/>
    <col min="20" max="20" width="3.140625" style="75" customWidth="1"/>
    <col min="21" max="21" width="3.140625" style="70" customWidth="1"/>
    <col min="22" max="22" width="3.140625" style="76" customWidth="1"/>
    <col min="23" max="23" width="3.140625" style="77" customWidth="1"/>
    <col min="24" max="24" width="3.140625" style="78" customWidth="1"/>
    <col min="25" max="25" width="3.140625" style="73" customWidth="1"/>
    <col min="26" max="26" width="3.140625" style="75" customWidth="1"/>
    <col min="27" max="27" width="3.140625" style="79"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69" customWidth="1"/>
    <col min="43" max="43" width="3.140625" style="70" customWidth="1"/>
    <col min="44" max="44" width="3.140625" style="71" customWidth="1"/>
    <col min="45" max="45" width="3.140625" style="72" customWidth="1"/>
    <col min="46" max="46" width="3.140625" style="73" customWidth="1"/>
    <col min="47" max="47" width="3.140625" style="75" customWidth="1"/>
    <col min="48" max="48" width="3.140625" style="70" customWidth="1"/>
    <col min="49" max="49" width="3.140625" style="76" customWidth="1"/>
    <col min="50" max="50" width="3.140625" style="77" customWidth="1"/>
    <col min="51" max="51" width="3.140625" style="78" customWidth="1"/>
    <col min="52" max="52" width="3.140625" style="73" customWidth="1"/>
    <col min="53" max="53" width="3.140625" style="75" customWidth="1"/>
    <col min="54" max="54" width="3.140625" style="79"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1" customFormat="1" ht="99.75" customHeight="1">
      <c r="A1" s="53" t="s">
        <v>0</v>
      </c>
      <c r="B1" s="53" t="s">
        <v>1</v>
      </c>
      <c r="C1" s="51" t="s">
        <v>53</v>
      </c>
      <c r="D1" s="52" t="s">
        <v>54</v>
      </c>
      <c r="E1" s="51" t="s">
        <v>19</v>
      </c>
      <c r="F1" s="53" t="s">
        <v>18</v>
      </c>
      <c r="G1" s="53" t="s">
        <v>2</v>
      </c>
      <c r="H1" s="53" t="s">
        <v>4073</v>
      </c>
      <c r="I1" s="51" t="s">
        <v>3</v>
      </c>
      <c r="J1" s="53" t="s">
        <v>4</v>
      </c>
      <c r="K1" s="53" t="s">
        <v>4072</v>
      </c>
      <c r="L1" s="53" t="s">
        <v>4074</v>
      </c>
      <c r="M1" s="53" t="s">
        <v>4078</v>
      </c>
      <c r="N1" s="63" t="s">
        <v>8</v>
      </c>
      <c r="O1" s="64" t="s">
        <v>11</v>
      </c>
      <c r="P1" s="64" t="s">
        <v>4076</v>
      </c>
      <c r="Q1" s="64" t="s">
        <v>3302</v>
      </c>
      <c r="R1" s="65" t="s">
        <v>4077</v>
      </c>
      <c r="S1" s="65" t="s">
        <v>4101</v>
      </c>
      <c r="T1" s="65" t="s">
        <v>14</v>
      </c>
      <c r="U1" s="64" t="s">
        <v>4079</v>
      </c>
      <c r="V1" s="64" t="s">
        <v>166</v>
      </c>
      <c r="W1" s="64" t="s">
        <v>4080</v>
      </c>
      <c r="X1" s="64" t="s">
        <v>4081</v>
      </c>
      <c r="Y1" s="65" t="s">
        <v>4094</v>
      </c>
      <c r="Z1" s="65" t="s">
        <v>4082</v>
      </c>
      <c r="AA1" s="64" t="s">
        <v>20</v>
      </c>
      <c r="AB1" s="53" t="s">
        <v>4075</v>
      </c>
      <c r="AC1" s="53" t="s">
        <v>4093</v>
      </c>
      <c r="AD1" s="53" t="s">
        <v>6</v>
      </c>
      <c r="AE1" s="54" t="s">
        <v>7</v>
      </c>
      <c r="AF1" s="53" t="s">
        <v>15</v>
      </c>
      <c r="AG1" s="53" t="s">
        <v>4083</v>
      </c>
      <c r="AH1" s="53" t="s">
        <v>21</v>
      </c>
      <c r="AI1" s="55" t="s">
        <v>22</v>
      </c>
      <c r="AJ1" s="55" t="s">
        <v>4073</v>
      </c>
      <c r="AK1" s="56" t="s">
        <v>3</v>
      </c>
      <c r="AL1" s="55" t="s">
        <v>4</v>
      </c>
      <c r="AM1" s="55" t="s">
        <v>4072</v>
      </c>
      <c r="AN1" s="55" t="s">
        <v>4074</v>
      </c>
      <c r="AO1" s="55" t="s">
        <v>4078</v>
      </c>
      <c r="AP1" s="66" t="s">
        <v>8</v>
      </c>
      <c r="AQ1" s="67" t="s">
        <v>11</v>
      </c>
      <c r="AR1" s="67" t="s">
        <v>4076</v>
      </c>
      <c r="AS1" s="67" t="s">
        <v>3302</v>
      </c>
      <c r="AT1" s="68" t="s">
        <v>4077</v>
      </c>
      <c r="AU1" s="68" t="s">
        <v>14</v>
      </c>
      <c r="AV1" s="67" t="s">
        <v>4079</v>
      </c>
      <c r="AW1" s="67" t="s">
        <v>166</v>
      </c>
      <c r="AX1" s="67" t="s">
        <v>4080</v>
      </c>
      <c r="AY1" s="67" t="s">
        <v>4081</v>
      </c>
      <c r="AZ1" s="68" t="s">
        <v>4094</v>
      </c>
      <c r="BA1" s="68" t="s">
        <v>4082</v>
      </c>
      <c r="BB1" s="67" t="s">
        <v>20</v>
      </c>
      <c r="BC1" s="55" t="s">
        <v>4075</v>
      </c>
      <c r="BD1" s="55" t="s">
        <v>4093</v>
      </c>
      <c r="BE1" s="55" t="s">
        <v>6</v>
      </c>
      <c r="BF1" s="57" t="s">
        <v>7</v>
      </c>
      <c r="BG1" s="55" t="s">
        <v>15</v>
      </c>
      <c r="BH1" s="55" t="s">
        <v>4083</v>
      </c>
      <c r="BI1" s="55" t="s">
        <v>21</v>
      </c>
      <c r="BJ1" s="58" t="s">
        <v>4095</v>
      </c>
    </row>
    <row r="2" spans="1:62" ht="15" customHeight="1">
      <c r="A2" s="39" t="s">
        <v>4123</v>
      </c>
      <c r="B2" s="39" t="s">
        <v>4124</v>
      </c>
      <c r="C2" s="39" t="s">
        <v>4122</v>
      </c>
      <c r="D2" s="40">
        <v>1</v>
      </c>
      <c r="E2" s="39">
        <v>1</v>
      </c>
      <c r="F2" s="39"/>
      <c r="G2" s="39" t="s">
        <v>4102</v>
      </c>
      <c r="H2" s="41" t="s">
        <v>4103</v>
      </c>
      <c r="I2" s="36" t="s">
        <v>4070</v>
      </c>
      <c r="J2" s="36" t="s">
        <v>4050</v>
      </c>
      <c r="K2" s="36" t="s">
        <v>4048</v>
      </c>
      <c r="O2" s="70">
        <v>3</v>
      </c>
      <c r="P2" s="71">
        <v>3</v>
      </c>
      <c r="Q2" s="72">
        <v>3</v>
      </c>
      <c r="R2" s="73">
        <v>3</v>
      </c>
      <c r="T2" s="75">
        <v>8</v>
      </c>
      <c r="U2" s="70">
        <v>7</v>
      </c>
      <c r="AB2" s="49"/>
      <c r="AD2" s="36" t="s">
        <v>4085</v>
      </c>
      <c r="AF2" s="36" t="s">
        <v>4104</v>
      </c>
      <c r="AI2" s="41" t="s">
        <v>4102</v>
      </c>
      <c r="AJ2" s="41" t="s">
        <v>4103</v>
      </c>
      <c r="AK2" s="36" t="s">
        <v>4070</v>
      </c>
      <c r="AL2" s="36" t="s">
        <v>4050</v>
      </c>
      <c r="AM2" s="36" t="s">
        <v>4048</v>
      </c>
      <c r="AO2" s="37"/>
      <c r="BE2" s="37" t="s">
        <v>4085</v>
      </c>
      <c r="BF2" s="36"/>
      <c r="BG2" s="36" t="s">
        <v>4105</v>
      </c>
    </row>
    <row r="3" spans="1:62" ht="15" customHeight="1">
      <c r="A3" s="36" t="s">
        <v>4123</v>
      </c>
      <c r="B3" s="36" t="s">
        <v>4132</v>
      </c>
      <c r="C3" s="36" t="s">
        <v>4122</v>
      </c>
      <c r="D3" s="36"/>
      <c r="E3" s="36">
        <v>1</v>
      </c>
      <c r="G3" s="36" t="s">
        <v>4102</v>
      </c>
      <c r="J3" s="36" t="s">
        <v>4098</v>
      </c>
      <c r="K3" s="36" t="s">
        <v>4048</v>
      </c>
      <c r="N3" s="80"/>
      <c r="AB3" s="49"/>
      <c r="AE3" s="36"/>
      <c r="AI3" s="36" t="s">
        <v>4102</v>
      </c>
      <c r="AL3" s="36" t="s">
        <v>4098</v>
      </c>
      <c r="AO3" s="37"/>
      <c r="AP3" s="80"/>
      <c r="BE3" s="37"/>
      <c r="BF3" s="36"/>
    </row>
    <row r="4" spans="1:62" ht="15" customHeight="1">
      <c r="A4" s="36" t="s">
        <v>4123</v>
      </c>
      <c r="B4" s="36" t="s">
        <v>4125</v>
      </c>
      <c r="C4" s="36" t="s">
        <v>4122</v>
      </c>
      <c r="D4" s="37">
        <v>2</v>
      </c>
      <c r="E4" s="36">
        <v>1</v>
      </c>
      <c r="G4" s="36" t="s">
        <v>4106</v>
      </c>
      <c r="H4" s="36" t="s">
        <v>4107</v>
      </c>
      <c r="I4" s="36" t="s">
        <v>4070</v>
      </c>
      <c r="J4" s="36" t="s">
        <v>4086</v>
      </c>
      <c r="K4" s="36" t="s">
        <v>25</v>
      </c>
      <c r="N4" s="69">
        <v>1</v>
      </c>
      <c r="S4" s="120">
        <v>2</v>
      </c>
      <c r="AB4" s="49" t="s">
        <v>4100</v>
      </c>
      <c r="AC4" s="36" t="s">
        <v>4087</v>
      </c>
      <c r="AD4" s="36" t="s">
        <v>4108</v>
      </c>
      <c r="AF4" s="36" t="s">
        <v>4109</v>
      </c>
      <c r="AO4" s="37"/>
      <c r="BE4" s="37"/>
      <c r="BF4" s="36"/>
    </row>
    <row r="5" spans="1:62" ht="15" customHeight="1">
      <c r="A5" s="36" t="s">
        <v>4123</v>
      </c>
      <c r="B5" s="36" t="s">
        <v>4126</v>
      </c>
      <c r="C5" s="36" t="s">
        <v>4122</v>
      </c>
      <c r="D5" s="37">
        <v>3</v>
      </c>
      <c r="E5" s="36">
        <v>1</v>
      </c>
      <c r="G5" s="36" t="s">
        <v>4110</v>
      </c>
      <c r="J5" s="36" t="s">
        <v>28</v>
      </c>
      <c r="K5" s="36" t="s">
        <v>25</v>
      </c>
      <c r="M5" s="36" t="s">
        <v>4096</v>
      </c>
      <c r="Q5" s="72">
        <v>4</v>
      </c>
      <c r="R5" s="73">
        <v>2</v>
      </c>
      <c r="T5" s="75">
        <v>3</v>
      </c>
      <c r="V5" s="76">
        <v>1</v>
      </c>
      <c r="W5" s="77">
        <v>1</v>
      </c>
      <c r="AB5" s="49"/>
      <c r="AD5" s="36" t="s">
        <v>4097</v>
      </c>
      <c r="AF5" s="36" t="s">
        <v>4111</v>
      </c>
      <c r="AO5" s="37"/>
      <c r="BE5" s="37"/>
      <c r="BF5" s="36"/>
    </row>
    <row r="6" spans="1:62" ht="15" customHeight="1">
      <c r="A6" s="36" t="s">
        <v>4123</v>
      </c>
      <c r="B6" s="36" t="s">
        <v>4127</v>
      </c>
      <c r="C6" s="36" t="s">
        <v>4122</v>
      </c>
      <c r="D6" s="37">
        <v>7</v>
      </c>
      <c r="E6" s="36">
        <v>1</v>
      </c>
      <c r="G6" s="36" t="s">
        <v>4112</v>
      </c>
      <c r="H6" s="36" t="s">
        <v>4113</v>
      </c>
      <c r="I6" s="36" t="s">
        <v>4070</v>
      </c>
      <c r="J6" s="36" t="s">
        <v>4050</v>
      </c>
      <c r="K6" s="36" t="s">
        <v>4046</v>
      </c>
      <c r="O6" s="70">
        <v>4</v>
      </c>
      <c r="P6" s="71">
        <v>5</v>
      </c>
      <c r="Q6" s="72">
        <v>2</v>
      </c>
      <c r="R6" s="73">
        <v>1</v>
      </c>
      <c r="T6" s="75">
        <v>6</v>
      </c>
      <c r="U6" s="70">
        <v>8</v>
      </c>
      <c r="AB6" s="49"/>
      <c r="AD6" s="36" t="s">
        <v>4084</v>
      </c>
      <c r="AF6" s="36" t="s">
        <v>4114</v>
      </c>
      <c r="AI6" s="36" t="s">
        <v>4112</v>
      </c>
      <c r="AJ6" s="36" t="s">
        <v>4113</v>
      </c>
      <c r="AK6" s="36" t="s">
        <v>4070</v>
      </c>
      <c r="AL6" s="36" t="s">
        <v>4050</v>
      </c>
      <c r="AM6" s="36" t="s">
        <v>4046</v>
      </c>
      <c r="AO6" s="37"/>
      <c r="BE6" s="37" t="s">
        <v>4084</v>
      </c>
      <c r="BF6" s="36"/>
      <c r="BG6" s="36" t="s">
        <v>4115</v>
      </c>
    </row>
    <row r="7" spans="1:62" ht="15" customHeight="1">
      <c r="A7" s="36" t="s">
        <v>4123</v>
      </c>
      <c r="B7" s="36" t="s">
        <v>4133</v>
      </c>
      <c r="C7" s="36" t="s">
        <v>4122</v>
      </c>
      <c r="D7" s="36"/>
      <c r="E7" s="36">
        <v>1</v>
      </c>
      <c r="G7" s="36" t="s">
        <v>4112</v>
      </c>
      <c r="J7" s="36" t="s">
        <v>4098</v>
      </c>
      <c r="K7" s="36" t="s">
        <v>4046</v>
      </c>
      <c r="N7" s="80"/>
      <c r="AB7" s="49"/>
      <c r="AE7" s="36"/>
      <c r="AI7" s="36" t="s">
        <v>4112</v>
      </c>
      <c r="AL7" s="36" t="s">
        <v>4098</v>
      </c>
      <c r="AO7" s="37"/>
      <c r="AP7" s="80"/>
      <c r="BE7" s="37"/>
      <c r="BF7" s="36"/>
    </row>
    <row r="8" spans="1:62" ht="15" customHeight="1">
      <c r="A8" s="36" t="s">
        <v>4123</v>
      </c>
      <c r="B8" s="36" t="s">
        <v>4128</v>
      </c>
      <c r="C8" s="36" t="s">
        <v>4122</v>
      </c>
      <c r="D8" s="36">
        <v>8</v>
      </c>
      <c r="E8" s="36">
        <v>1</v>
      </c>
      <c r="G8" s="36" t="s">
        <v>4116</v>
      </c>
      <c r="H8" s="36" t="s">
        <v>4117</v>
      </c>
      <c r="J8" s="36" t="s">
        <v>4086</v>
      </c>
      <c r="K8" s="36" t="s">
        <v>25</v>
      </c>
      <c r="N8" s="80">
        <v>2</v>
      </c>
      <c r="O8" s="70">
        <v>1</v>
      </c>
      <c r="P8" s="71">
        <v>1</v>
      </c>
      <c r="S8" s="120">
        <v>1</v>
      </c>
      <c r="AB8" s="49" t="s">
        <v>4099</v>
      </c>
      <c r="AD8" s="36" t="s">
        <v>4088</v>
      </c>
      <c r="AE8" s="36"/>
      <c r="AF8" s="36" t="s">
        <v>4118</v>
      </c>
      <c r="AO8" s="37"/>
      <c r="AP8" s="80"/>
      <c r="BE8" s="37"/>
      <c r="BF8" s="36"/>
    </row>
    <row r="9" spans="1:62" ht="15" customHeight="1">
      <c r="A9" s="36" t="s">
        <v>4123</v>
      </c>
      <c r="B9" s="36" t="s">
        <v>4129</v>
      </c>
      <c r="C9" s="36" t="s">
        <v>4122</v>
      </c>
      <c r="D9" s="36">
        <v>9</v>
      </c>
      <c r="E9" s="36">
        <v>1</v>
      </c>
      <c r="G9" s="36" t="s">
        <v>4119</v>
      </c>
      <c r="J9" s="36" t="s">
        <v>28</v>
      </c>
      <c r="K9" s="36" t="s">
        <v>25</v>
      </c>
      <c r="M9" s="36" t="s">
        <v>4096</v>
      </c>
      <c r="N9" s="80"/>
      <c r="Q9" s="72">
        <v>2</v>
      </c>
      <c r="R9" s="73">
        <v>3</v>
      </c>
      <c r="T9" s="75">
        <v>2</v>
      </c>
      <c r="V9" s="76">
        <v>1</v>
      </c>
      <c r="W9" s="77">
        <v>1</v>
      </c>
      <c r="AB9" s="59"/>
      <c r="AD9" s="36" t="s">
        <v>4120</v>
      </c>
      <c r="AE9" s="36"/>
      <c r="AF9" s="36" t="s">
        <v>4121</v>
      </c>
      <c r="AO9" s="37"/>
      <c r="AP9" s="80"/>
      <c r="BE9" s="37"/>
      <c r="BF9" s="36"/>
    </row>
    <row r="10" spans="1:62" ht="15" customHeight="1">
      <c r="D10" s="36"/>
      <c r="N10" s="80"/>
      <c r="AB10" s="59"/>
      <c r="AE10" s="36"/>
      <c r="AO10" s="37"/>
      <c r="AP10" s="80"/>
      <c r="BE10" s="37"/>
      <c r="BF10" s="36"/>
    </row>
    <row r="11" spans="1:62" ht="15" customHeight="1">
      <c r="D11" s="36"/>
      <c r="N11" s="81"/>
      <c r="AB11" s="49"/>
      <c r="AE11" s="36"/>
      <c r="AO11" s="37"/>
      <c r="AP11" s="80"/>
      <c r="BE11" s="37"/>
      <c r="BF11" s="36"/>
    </row>
    <row r="12" spans="1:62" ht="15" customHeight="1">
      <c r="D12" s="36"/>
      <c r="N12" s="80"/>
      <c r="AB12" s="59"/>
      <c r="AE12" s="36"/>
      <c r="AO12" s="37"/>
      <c r="AP12" s="80"/>
      <c r="BE12" s="37"/>
      <c r="BF12" s="36"/>
    </row>
    <row r="13" spans="1:62" ht="15" customHeight="1">
      <c r="D13" s="36"/>
      <c r="N13" s="80"/>
      <c r="AB13" s="49"/>
      <c r="AE13" s="36"/>
      <c r="AO13" s="37"/>
      <c r="AP13" s="80"/>
      <c r="BE13" s="37"/>
      <c r="BF13" s="36"/>
    </row>
    <row r="14" spans="1:62" ht="15" customHeight="1">
      <c r="D14" s="36"/>
      <c r="N14" s="80"/>
      <c r="AB14" s="59"/>
      <c r="AE14" s="36"/>
      <c r="AO14" s="37"/>
      <c r="AP14" s="80"/>
      <c r="BE14" s="37"/>
      <c r="BF14" s="36"/>
    </row>
    <row r="15" spans="1:62" ht="15" customHeight="1">
      <c r="D15" s="36"/>
      <c r="N15" s="80"/>
      <c r="AB15" s="49"/>
      <c r="AE15" s="36"/>
      <c r="AO15" s="37"/>
      <c r="AP15" s="80"/>
      <c r="BE15" s="37"/>
      <c r="BF15" s="36"/>
    </row>
    <row r="16" spans="1:62" ht="15" customHeight="1">
      <c r="D16" s="36"/>
      <c r="N16" s="80"/>
      <c r="AB16" s="59"/>
      <c r="AE16" s="36"/>
      <c r="AO16" s="37"/>
      <c r="AP16" s="80"/>
      <c r="BE16" s="37"/>
      <c r="BF16" s="36"/>
    </row>
    <row r="17" spans="4:58" ht="15" customHeight="1">
      <c r="D17" s="36"/>
      <c r="N17" s="80"/>
      <c r="AB17" s="49"/>
      <c r="AE17" s="36"/>
      <c r="AO17" s="37"/>
      <c r="AP17" s="80"/>
      <c r="BE17" s="37"/>
      <c r="BF17" s="36"/>
    </row>
    <row r="18" spans="4:58" ht="15" customHeight="1">
      <c r="D18" s="36"/>
      <c r="N18" s="80"/>
      <c r="AB18" s="59"/>
      <c r="AE18" s="36"/>
      <c r="AO18" s="37"/>
      <c r="AP18" s="80"/>
      <c r="BE18" s="37"/>
      <c r="BF18" s="36"/>
    </row>
    <row r="19" spans="4:58" ht="15" customHeight="1">
      <c r="D19" s="36"/>
      <c r="N19" s="80"/>
      <c r="AB19" s="59"/>
      <c r="AE19" s="36"/>
      <c r="AO19" s="37"/>
      <c r="AP19" s="80"/>
      <c r="BE19" s="37"/>
      <c r="BF19" s="36"/>
    </row>
    <row r="20" spans="4:58" ht="15" customHeight="1">
      <c r="D20" s="36"/>
      <c r="N20" s="80"/>
      <c r="AB20" s="59"/>
      <c r="AE20" s="36"/>
      <c r="AO20" s="37"/>
      <c r="AP20" s="80"/>
      <c r="BE20" s="37"/>
      <c r="BF20" s="36"/>
    </row>
    <row r="21" spans="4:58" ht="15" customHeight="1">
      <c r="D21" s="36"/>
      <c r="N21" s="80"/>
      <c r="AB21" s="59"/>
      <c r="AE21" s="36"/>
      <c r="AO21" s="37"/>
      <c r="AP21" s="80"/>
      <c r="BE21" s="37"/>
      <c r="BF21" s="36"/>
    </row>
    <row r="22" spans="4:58" ht="15" customHeight="1">
      <c r="D22" s="36"/>
      <c r="N22" s="80"/>
      <c r="AB22" s="59"/>
      <c r="AE22" s="36"/>
      <c r="AO22" s="37"/>
      <c r="AP22" s="80"/>
      <c r="BE22" s="37"/>
      <c r="BF22" s="36"/>
    </row>
    <row r="23" spans="4:58" ht="15" customHeight="1">
      <c r="D23" s="36"/>
      <c r="N23" s="80"/>
      <c r="AB23" s="59"/>
      <c r="AE23" s="36"/>
      <c r="AO23" s="37"/>
      <c r="AP23" s="80"/>
      <c r="BE23" s="37"/>
      <c r="BF23" s="36"/>
    </row>
    <row r="24" spans="4:58" ht="15" customHeight="1">
      <c r="D24" s="36"/>
      <c r="N24" s="80"/>
      <c r="AB24" s="59"/>
      <c r="AE24" s="36"/>
      <c r="AO24" s="37"/>
      <c r="AP24" s="80"/>
      <c r="BE24" s="37"/>
      <c r="BF24" s="36"/>
    </row>
    <row r="25" spans="4:58" ht="15" customHeight="1">
      <c r="D25" s="36"/>
      <c r="N25" s="80"/>
      <c r="AB25" s="59"/>
      <c r="AE25" s="36"/>
      <c r="AO25" s="37"/>
      <c r="AP25" s="80"/>
      <c r="BE25" s="37"/>
      <c r="BF25" s="36"/>
    </row>
    <row r="26" spans="4:58" ht="15" customHeight="1">
      <c r="D26" s="36"/>
      <c r="N26" s="80"/>
      <c r="AB26" s="59"/>
      <c r="AE26" s="36"/>
      <c r="AO26" s="37"/>
      <c r="AP26" s="80"/>
      <c r="BE26" s="37"/>
      <c r="BF26" s="36"/>
    </row>
    <row r="27" spans="4:58" ht="15" customHeight="1">
      <c r="D27" s="36"/>
      <c r="N27" s="80"/>
      <c r="AB27" s="59"/>
      <c r="AE27" s="36"/>
      <c r="AO27" s="37"/>
      <c r="AP27" s="80"/>
      <c r="BE27" s="37"/>
      <c r="BF27" s="36"/>
    </row>
    <row r="28" spans="4:58" ht="15" customHeight="1">
      <c r="D28" s="36"/>
      <c r="N28" s="80"/>
      <c r="AB28" s="59"/>
      <c r="AE28" s="36"/>
      <c r="AO28" s="37"/>
      <c r="AP28" s="80"/>
      <c r="BE28" s="37"/>
      <c r="BF28" s="36"/>
    </row>
    <row r="29" spans="4:58" ht="15" customHeight="1">
      <c r="D29" s="36"/>
      <c r="N29" s="80"/>
      <c r="AB29" s="59"/>
      <c r="AE29" s="36"/>
      <c r="AO29" s="37"/>
      <c r="AP29" s="80"/>
      <c r="BE29" s="37"/>
      <c r="BF29" s="36"/>
    </row>
    <row r="30" spans="4:58" ht="15" customHeight="1">
      <c r="D30" s="36"/>
      <c r="N30" s="80"/>
      <c r="AB30" s="59"/>
      <c r="AE30" s="36"/>
      <c r="AO30" s="37"/>
      <c r="AP30" s="80"/>
      <c r="BE30" s="37"/>
      <c r="BF30" s="36"/>
    </row>
    <row r="31" spans="4:58" ht="15" customHeight="1">
      <c r="D31" s="36"/>
      <c r="N31" s="80"/>
      <c r="AB31" s="59"/>
      <c r="AE31" s="36"/>
      <c r="AO31" s="37"/>
      <c r="AP31" s="80"/>
      <c r="BE31" s="37"/>
      <c r="BF31" s="36"/>
    </row>
    <row r="32" spans="4:58" ht="15" customHeight="1">
      <c r="D32" s="36"/>
      <c r="N32" s="80"/>
      <c r="AB32" s="59"/>
      <c r="AE32" s="36"/>
      <c r="AO32" s="37"/>
      <c r="AP32" s="80"/>
      <c r="BE32" s="37"/>
      <c r="BF32" s="36"/>
    </row>
    <row r="33" spans="2:58" ht="15" customHeight="1">
      <c r="D33" s="36"/>
      <c r="N33" s="80"/>
      <c r="AB33" s="59"/>
      <c r="AE33" s="36"/>
      <c r="AO33" s="37"/>
      <c r="AP33" s="80"/>
      <c r="BE33" s="37"/>
      <c r="BF33" s="36"/>
    </row>
    <row r="34" spans="2:58" ht="15" customHeight="1">
      <c r="D34" s="36"/>
      <c r="N34" s="80"/>
      <c r="AB34" s="59"/>
      <c r="AE34" s="36"/>
      <c r="AO34" s="37"/>
      <c r="AP34" s="80"/>
      <c r="BE34" s="37"/>
      <c r="BF34" s="36"/>
    </row>
    <row r="35" spans="2:58" ht="15" customHeight="1">
      <c r="D35" s="36"/>
      <c r="N35" s="80"/>
      <c r="AB35" s="59"/>
      <c r="AE35" s="36"/>
      <c r="AO35" s="37"/>
      <c r="AP35" s="80"/>
      <c r="BE35" s="37"/>
      <c r="BF35" s="36"/>
    </row>
    <row r="36" spans="2:58" ht="15" customHeight="1">
      <c r="D36" s="36"/>
      <c r="N36" s="80"/>
      <c r="AB36" s="59"/>
      <c r="AE36" s="36"/>
      <c r="AO36" s="37"/>
      <c r="AP36" s="80"/>
      <c r="BE36" s="37"/>
      <c r="BF36" s="36"/>
    </row>
    <row r="37" spans="2:58" ht="15" customHeight="1">
      <c r="D37" s="36"/>
      <c r="N37" s="80"/>
      <c r="AB37" s="59"/>
      <c r="AE37" s="36"/>
      <c r="AO37" s="37"/>
      <c r="AP37" s="80"/>
      <c r="BE37" s="37"/>
      <c r="BF37" s="36"/>
    </row>
    <row r="38" spans="2:58" ht="15" customHeight="1">
      <c r="B38" s="43"/>
      <c r="D38" s="36"/>
      <c r="N38" s="80"/>
      <c r="AB38" s="59"/>
      <c r="AE38" s="36"/>
      <c r="AO38" s="37"/>
      <c r="AP38" s="80"/>
      <c r="BE38" s="37"/>
      <c r="BF38" s="36"/>
    </row>
    <row r="39" spans="2:58" ht="15" customHeight="1">
      <c r="D39" s="36"/>
      <c r="N39" s="80"/>
      <c r="O39" s="82"/>
      <c r="P39" s="83"/>
      <c r="Q39" s="84"/>
      <c r="U39" s="82"/>
      <c r="V39" s="85"/>
      <c r="W39" s="86"/>
      <c r="X39" s="87"/>
      <c r="AA39" s="88"/>
      <c r="AB39" s="59"/>
      <c r="AE39" s="36"/>
      <c r="AO39" s="37"/>
      <c r="AP39" s="80"/>
      <c r="AQ39" s="82"/>
      <c r="AR39" s="83"/>
      <c r="AS39" s="84"/>
      <c r="AV39" s="82"/>
      <c r="AW39" s="90"/>
      <c r="AX39" s="91"/>
      <c r="AY39" s="87"/>
      <c r="BB39" s="88"/>
      <c r="BE39" s="37"/>
      <c r="BF39" s="36"/>
    </row>
    <row r="40" spans="2:58" ht="15" customHeight="1">
      <c r="D40" s="36"/>
      <c r="N40" s="80"/>
      <c r="O40" s="82"/>
      <c r="P40" s="83"/>
      <c r="Q40" s="84"/>
      <c r="U40" s="82"/>
      <c r="V40" s="85"/>
      <c r="W40" s="86"/>
      <c r="X40" s="87"/>
      <c r="AA40" s="88"/>
      <c r="AB40" s="59"/>
      <c r="AE40" s="36"/>
      <c r="AO40" s="37"/>
      <c r="AP40" s="80"/>
      <c r="AQ40" s="82"/>
      <c r="AR40" s="83"/>
      <c r="AS40" s="84"/>
      <c r="AV40" s="82"/>
      <c r="AW40" s="90"/>
      <c r="AX40" s="91"/>
      <c r="AY40" s="87"/>
      <c r="BB40" s="88"/>
      <c r="BE40" s="37"/>
      <c r="BF40" s="36"/>
    </row>
    <row r="41" spans="2:58" ht="15" customHeight="1">
      <c r="D41" s="36"/>
      <c r="N41" s="80"/>
      <c r="O41" s="82"/>
      <c r="P41" s="83"/>
      <c r="Q41" s="84"/>
      <c r="U41" s="82"/>
      <c r="V41" s="85"/>
      <c r="W41" s="86"/>
      <c r="X41" s="87"/>
      <c r="AA41" s="88"/>
      <c r="AB41" s="59"/>
      <c r="AE41" s="36"/>
      <c r="AO41" s="37"/>
      <c r="AP41" s="80"/>
      <c r="AQ41" s="82"/>
      <c r="AR41" s="83"/>
      <c r="AS41" s="84"/>
      <c r="AV41" s="82"/>
      <c r="AW41" s="90"/>
      <c r="AX41" s="91"/>
      <c r="AY41" s="87"/>
      <c r="BB41" s="88"/>
      <c r="BE41" s="37"/>
      <c r="BF41" s="36"/>
    </row>
    <row r="42" spans="2:58" ht="15" customHeight="1">
      <c r="D42" s="36"/>
      <c r="N42" s="80"/>
      <c r="O42" s="82"/>
      <c r="P42" s="83"/>
      <c r="Q42" s="84"/>
      <c r="U42" s="82"/>
      <c r="V42" s="85"/>
      <c r="W42" s="86"/>
      <c r="X42" s="87"/>
      <c r="AA42" s="88"/>
      <c r="AB42" s="59"/>
      <c r="AE42" s="36"/>
      <c r="AO42" s="37"/>
      <c r="AP42" s="80"/>
      <c r="AQ42" s="82"/>
      <c r="AR42" s="83"/>
      <c r="AS42" s="84"/>
      <c r="AV42" s="82"/>
      <c r="AW42" s="90"/>
      <c r="AX42" s="91"/>
      <c r="AY42" s="87"/>
      <c r="BB42" s="88"/>
      <c r="BE42" s="37"/>
      <c r="BF42" s="36"/>
    </row>
    <row r="43" spans="2:58" ht="15" customHeight="1">
      <c r="D43" s="36"/>
      <c r="N43" s="80"/>
      <c r="O43" s="82"/>
      <c r="P43" s="83"/>
      <c r="Q43" s="84"/>
      <c r="U43" s="82"/>
      <c r="V43" s="85"/>
      <c r="W43" s="86"/>
      <c r="X43" s="87"/>
      <c r="AA43" s="88"/>
      <c r="AB43" s="59"/>
      <c r="AE43" s="36"/>
      <c r="AO43" s="37"/>
      <c r="AP43" s="80"/>
      <c r="AQ43" s="82"/>
      <c r="AR43" s="83"/>
      <c r="AS43" s="84"/>
      <c r="AV43" s="82"/>
      <c r="AW43" s="90"/>
      <c r="AX43" s="91"/>
      <c r="AY43" s="87"/>
      <c r="BB43" s="88"/>
      <c r="BE43" s="37"/>
      <c r="BF43" s="36"/>
    </row>
    <row r="44" spans="2:58" ht="15" customHeight="1">
      <c r="D44" s="36"/>
      <c r="N44" s="80"/>
      <c r="O44" s="82"/>
      <c r="P44" s="83"/>
      <c r="Q44" s="84"/>
      <c r="U44" s="82"/>
      <c r="V44" s="85"/>
      <c r="W44" s="86"/>
      <c r="X44" s="87"/>
      <c r="AA44" s="88"/>
      <c r="AB44" s="59"/>
      <c r="AE44" s="36"/>
      <c r="AO44" s="37"/>
      <c r="AP44" s="80"/>
      <c r="AQ44" s="82"/>
      <c r="AR44" s="83"/>
      <c r="AS44" s="84"/>
      <c r="AV44" s="82"/>
      <c r="AW44" s="90"/>
      <c r="AX44" s="91"/>
      <c r="AY44" s="87"/>
      <c r="BB44" s="88"/>
      <c r="BE44" s="37"/>
      <c r="BF44" s="36"/>
    </row>
    <row r="45" spans="2:58" ht="15" customHeight="1">
      <c r="D45" s="36"/>
      <c r="N45" s="80"/>
      <c r="O45" s="82"/>
      <c r="P45" s="83"/>
      <c r="Q45" s="84"/>
      <c r="U45" s="82"/>
      <c r="V45" s="85"/>
      <c r="W45" s="86"/>
      <c r="X45" s="87"/>
      <c r="AA45" s="88"/>
      <c r="AB45" s="49"/>
      <c r="AE45" s="36"/>
      <c r="AO45" s="37"/>
      <c r="AP45" s="80"/>
      <c r="AQ45" s="82"/>
      <c r="AR45" s="83"/>
      <c r="AS45" s="84"/>
      <c r="AV45" s="82"/>
      <c r="AW45" s="90"/>
      <c r="AX45" s="91"/>
      <c r="AY45" s="87"/>
      <c r="BB45" s="88"/>
      <c r="BE45" s="37"/>
      <c r="BF45" s="36"/>
    </row>
    <row r="46" spans="2:58" ht="15" customHeight="1">
      <c r="D46" s="36"/>
      <c r="N46" s="80"/>
      <c r="O46" s="82"/>
      <c r="P46" s="83"/>
      <c r="Q46" s="84"/>
      <c r="U46" s="82"/>
      <c r="V46" s="85"/>
      <c r="W46" s="86"/>
      <c r="X46" s="87"/>
      <c r="AA46" s="88"/>
      <c r="AB46" s="59"/>
      <c r="AE46" s="36"/>
      <c r="AO46" s="37"/>
      <c r="AP46" s="80"/>
      <c r="AQ46" s="82"/>
      <c r="AR46" s="83"/>
      <c r="AS46" s="84"/>
      <c r="AV46" s="82"/>
      <c r="AW46" s="90"/>
      <c r="AX46" s="91"/>
      <c r="AY46" s="87"/>
      <c r="BB46" s="88"/>
      <c r="BE46" s="37"/>
      <c r="BF46" s="36"/>
    </row>
    <row r="47" spans="2:58" ht="15" customHeight="1">
      <c r="D47" s="36"/>
      <c r="N47" s="80"/>
      <c r="O47" s="82"/>
      <c r="P47" s="83"/>
      <c r="Q47" s="84"/>
      <c r="U47" s="82"/>
      <c r="V47" s="85"/>
      <c r="W47" s="86"/>
      <c r="X47" s="87"/>
      <c r="AA47" s="88"/>
      <c r="AB47" s="59"/>
      <c r="AE47" s="36"/>
      <c r="AO47" s="37"/>
      <c r="AP47" s="80"/>
      <c r="AQ47" s="82"/>
      <c r="AR47" s="83"/>
      <c r="AS47" s="84"/>
      <c r="AV47" s="82"/>
      <c r="AW47" s="90"/>
      <c r="AX47" s="91"/>
      <c r="AY47" s="87"/>
      <c r="BB47" s="88"/>
      <c r="BE47" s="37"/>
      <c r="BF47" s="36"/>
    </row>
    <row r="48" spans="2:58" ht="15" customHeight="1">
      <c r="D48" s="36"/>
      <c r="N48" s="80"/>
      <c r="O48" s="82"/>
      <c r="P48" s="83"/>
      <c r="Q48" s="84"/>
      <c r="U48" s="82"/>
      <c r="V48" s="85"/>
      <c r="W48" s="86"/>
      <c r="X48" s="87"/>
      <c r="AA48" s="88"/>
      <c r="AB48" s="59"/>
      <c r="AE48" s="36"/>
      <c r="AO48" s="37"/>
      <c r="AP48" s="80"/>
      <c r="AQ48" s="82"/>
      <c r="AR48" s="83"/>
      <c r="AS48" s="84"/>
      <c r="AV48" s="82"/>
      <c r="AW48" s="90"/>
      <c r="AX48" s="91"/>
      <c r="AY48" s="87"/>
      <c r="BB48" s="88"/>
      <c r="BE48" s="37"/>
      <c r="BF48" s="36"/>
    </row>
    <row r="49" spans="4:58" ht="15" customHeight="1">
      <c r="D49" s="36"/>
      <c r="N49" s="80"/>
      <c r="O49" s="82"/>
      <c r="P49" s="83"/>
      <c r="Q49" s="84"/>
      <c r="U49" s="82"/>
      <c r="V49" s="85"/>
      <c r="W49" s="86"/>
      <c r="X49" s="87"/>
      <c r="AA49" s="88"/>
      <c r="AB49" s="59"/>
      <c r="AE49" s="36"/>
      <c r="AO49" s="37"/>
      <c r="AP49" s="80"/>
      <c r="AQ49" s="82"/>
      <c r="AR49" s="83"/>
      <c r="AS49" s="84"/>
      <c r="AV49" s="82"/>
      <c r="AW49" s="90"/>
      <c r="AX49" s="91"/>
      <c r="AY49" s="87"/>
      <c r="BB49" s="88"/>
      <c r="BE49" s="37"/>
      <c r="BF49" s="36"/>
    </row>
    <row r="50" spans="4:58" ht="15" customHeight="1">
      <c r="D50" s="36"/>
      <c r="N50" s="80"/>
      <c r="O50" s="82"/>
      <c r="P50" s="83"/>
      <c r="Q50" s="84"/>
      <c r="U50" s="82"/>
      <c r="V50" s="85"/>
      <c r="W50" s="86"/>
      <c r="X50" s="87"/>
      <c r="AA50" s="88"/>
      <c r="AB50" s="59"/>
      <c r="AE50" s="36"/>
      <c r="AO50" s="37"/>
      <c r="AP50" s="80"/>
      <c r="AQ50" s="82"/>
      <c r="AR50" s="83"/>
      <c r="AS50" s="84"/>
      <c r="AV50" s="82"/>
      <c r="AW50" s="90"/>
      <c r="AX50" s="91"/>
      <c r="AY50" s="87"/>
      <c r="BB50" s="88"/>
      <c r="BE50" s="37"/>
      <c r="BF50" s="36"/>
    </row>
    <row r="51" spans="4:58" ht="15" customHeight="1">
      <c r="D51" s="36"/>
      <c r="N51" s="80"/>
      <c r="O51" s="82"/>
      <c r="P51" s="83"/>
      <c r="Q51" s="84"/>
      <c r="U51" s="82"/>
      <c r="V51" s="85"/>
      <c r="W51" s="86"/>
      <c r="X51" s="87"/>
      <c r="AA51" s="88"/>
      <c r="AB51" s="59"/>
      <c r="AE51" s="36"/>
      <c r="AO51" s="37"/>
      <c r="AP51" s="80"/>
      <c r="AQ51" s="82"/>
      <c r="AR51" s="83"/>
      <c r="AS51" s="84"/>
      <c r="AV51" s="82"/>
      <c r="AW51" s="90"/>
      <c r="AX51" s="91"/>
      <c r="AY51" s="87"/>
      <c r="BB51" s="88"/>
      <c r="BE51" s="37"/>
      <c r="BF51" s="36"/>
    </row>
    <row r="52" spans="4:58" ht="15" customHeight="1">
      <c r="D52" s="36"/>
      <c r="N52" s="80"/>
      <c r="O52" s="82"/>
      <c r="P52" s="83"/>
      <c r="Q52" s="84"/>
      <c r="U52" s="82"/>
      <c r="V52" s="85"/>
      <c r="W52" s="86"/>
      <c r="X52" s="87"/>
      <c r="AA52" s="88"/>
      <c r="AB52" s="59"/>
      <c r="AE52" s="36"/>
      <c r="AO52" s="37"/>
      <c r="AP52" s="80"/>
      <c r="AQ52" s="82"/>
      <c r="AR52" s="83"/>
      <c r="AS52" s="84"/>
      <c r="AV52" s="82"/>
      <c r="AW52" s="90"/>
      <c r="AX52" s="91"/>
      <c r="AY52" s="87"/>
      <c r="BB52" s="88"/>
      <c r="BE52" s="37"/>
      <c r="BF52" s="36"/>
    </row>
    <row r="53" spans="4:58" ht="15" customHeight="1">
      <c r="D53" s="36"/>
      <c r="N53" s="80"/>
      <c r="O53" s="82"/>
      <c r="P53" s="83"/>
      <c r="Q53" s="84"/>
      <c r="U53" s="82"/>
      <c r="V53" s="85"/>
      <c r="W53" s="86"/>
      <c r="X53" s="87"/>
      <c r="AA53" s="88"/>
      <c r="AB53" s="59"/>
      <c r="AE53" s="36"/>
      <c r="AO53" s="37"/>
      <c r="AP53" s="80"/>
      <c r="AQ53" s="82"/>
      <c r="AR53" s="83"/>
      <c r="AS53" s="84"/>
      <c r="AV53" s="82"/>
      <c r="AW53" s="90"/>
      <c r="AX53" s="91"/>
      <c r="AY53" s="87"/>
      <c r="BB53" s="88"/>
      <c r="BE53" s="37"/>
      <c r="BF53" s="36"/>
    </row>
    <row r="54" spans="4:58" ht="15" customHeight="1">
      <c r="D54" s="36"/>
      <c r="N54" s="80"/>
      <c r="O54" s="82"/>
      <c r="P54" s="83"/>
      <c r="Q54" s="84"/>
      <c r="U54" s="82"/>
      <c r="V54" s="85"/>
      <c r="W54" s="86"/>
      <c r="X54" s="87"/>
      <c r="AA54" s="88"/>
      <c r="AB54" s="59"/>
      <c r="AE54" s="36"/>
      <c r="AO54" s="37"/>
      <c r="AP54" s="80"/>
      <c r="AQ54" s="82"/>
      <c r="AR54" s="83"/>
      <c r="AS54" s="84"/>
      <c r="AV54" s="82"/>
      <c r="AW54" s="90"/>
      <c r="AX54" s="91"/>
      <c r="AY54" s="87"/>
      <c r="BB54" s="88"/>
      <c r="BE54" s="37"/>
      <c r="BF54" s="36"/>
    </row>
    <row r="55" spans="4:58" ht="15" customHeight="1">
      <c r="D55" s="36"/>
      <c r="N55" s="80"/>
      <c r="O55" s="82"/>
      <c r="P55" s="83"/>
      <c r="Q55" s="84"/>
      <c r="U55" s="82"/>
      <c r="V55" s="85"/>
      <c r="W55" s="86"/>
      <c r="X55" s="87"/>
      <c r="AA55" s="88"/>
      <c r="AB55" s="59"/>
      <c r="AE55" s="36"/>
      <c r="AO55" s="37"/>
      <c r="AP55" s="80"/>
      <c r="AQ55" s="82"/>
      <c r="AR55" s="83"/>
      <c r="AS55" s="84"/>
      <c r="AV55" s="82"/>
      <c r="AW55" s="90"/>
      <c r="AX55" s="91"/>
      <c r="AY55" s="87"/>
      <c r="BB55" s="88"/>
      <c r="BE55" s="37"/>
      <c r="BF55" s="36"/>
    </row>
    <row r="56" spans="4:58" ht="15" customHeight="1">
      <c r="D56" s="36"/>
      <c r="N56" s="80"/>
      <c r="O56" s="82"/>
      <c r="P56" s="83"/>
      <c r="Q56" s="84"/>
      <c r="U56" s="82"/>
      <c r="V56" s="85"/>
      <c r="W56" s="86"/>
      <c r="X56" s="87"/>
      <c r="AA56" s="88"/>
      <c r="AB56" s="59"/>
      <c r="AE56" s="36"/>
      <c r="AO56" s="37"/>
      <c r="AP56" s="80"/>
      <c r="AQ56" s="82"/>
      <c r="AR56" s="83"/>
      <c r="AS56" s="84"/>
      <c r="AV56" s="82"/>
      <c r="AW56" s="90"/>
      <c r="AX56" s="91"/>
      <c r="AY56" s="87"/>
      <c r="BB56" s="88"/>
      <c r="BE56" s="37"/>
      <c r="BF56" s="36"/>
    </row>
    <row r="57" spans="4:58" ht="15" customHeight="1">
      <c r="D57" s="36"/>
      <c r="N57" s="80"/>
      <c r="O57" s="82"/>
      <c r="P57" s="83"/>
      <c r="Q57" s="84"/>
      <c r="U57" s="82"/>
      <c r="V57" s="85"/>
      <c r="W57" s="86"/>
      <c r="X57" s="87"/>
      <c r="AA57" s="88"/>
      <c r="AB57" s="59"/>
      <c r="AE57" s="36"/>
      <c r="AO57" s="37"/>
      <c r="AP57" s="80"/>
      <c r="AQ57" s="82"/>
      <c r="AR57" s="83"/>
      <c r="AS57" s="84"/>
      <c r="AV57" s="82"/>
      <c r="AW57" s="90"/>
      <c r="AX57" s="91"/>
      <c r="AY57" s="87"/>
      <c r="BB57" s="88"/>
      <c r="BE57" s="37"/>
      <c r="BF57" s="36"/>
    </row>
    <row r="58" spans="4:58" ht="15" customHeight="1">
      <c r="D58" s="36"/>
      <c r="N58" s="80"/>
      <c r="O58" s="82"/>
      <c r="P58" s="83"/>
      <c r="Q58" s="84"/>
      <c r="U58" s="82"/>
      <c r="V58" s="85"/>
      <c r="W58" s="86"/>
      <c r="X58" s="87"/>
      <c r="AA58" s="88"/>
      <c r="AB58" s="49"/>
      <c r="AE58" s="36"/>
      <c r="AO58" s="37"/>
      <c r="AP58" s="80"/>
      <c r="AQ58" s="82"/>
      <c r="AR58" s="83"/>
      <c r="AS58" s="84"/>
      <c r="AV58" s="82"/>
      <c r="AW58" s="90"/>
      <c r="AX58" s="91"/>
      <c r="AY58" s="87"/>
      <c r="BB58" s="88"/>
      <c r="BE58" s="37"/>
      <c r="BF58" s="36"/>
    </row>
    <row r="59" spans="4:58" ht="15" customHeight="1">
      <c r="D59" s="36"/>
      <c r="N59" s="80"/>
      <c r="O59" s="82"/>
      <c r="P59" s="83"/>
      <c r="Q59" s="84"/>
      <c r="U59" s="82"/>
      <c r="V59" s="85"/>
      <c r="W59" s="86"/>
      <c r="X59" s="87"/>
      <c r="AA59" s="88"/>
      <c r="AB59" s="59"/>
      <c r="AE59" s="36"/>
      <c r="AO59" s="37"/>
      <c r="AP59" s="80"/>
      <c r="AQ59" s="82"/>
      <c r="AR59" s="83"/>
      <c r="AS59" s="84"/>
      <c r="AV59" s="82"/>
      <c r="AW59" s="90"/>
      <c r="AX59" s="91"/>
      <c r="AY59" s="87"/>
      <c r="BB59" s="88"/>
      <c r="BE59" s="37"/>
      <c r="BF59" s="36"/>
    </row>
    <row r="60" spans="4:58" ht="15" customHeight="1">
      <c r="D60" s="36"/>
      <c r="N60" s="80"/>
      <c r="O60" s="82"/>
      <c r="P60" s="83"/>
      <c r="Q60" s="84"/>
      <c r="U60" s="82"/>
      <c r="V60" s="85"/>
      <c r="W60" s="86"/>
      <c r="X60" s="87"/>
      <c r="AA60" s="88"/>
      <c r="AB60" s="59"/>
      <c r="AE60" s="36"/>
      <c r="AO60" s="37"/>
      <c r="AP60" s="80"/>
      <c r="AQ60" s="82"/>
      <c r="AR60" s="83"/>
      <c r="AS60" s="84"/>
      <c r="AV60" s="82"/>
      <c r="AW60" s="90"/>
      <c r="AX60" s="91"/>
      <c r="AY60" s="87"/>
      <c r="BB60" s="88"/>
      <c r="BE60" s="37"/>
      <c r="BF60" s="36"/>
    </row>
    <row r="61" spans="4:58" ht="15" customHeight="1">
      <c r="D61" s="36"/>
      <c r="N61" s="80"/>
      <c r="O61" s="82"/>
      <c r="P61" s="83"/>
      <c r="Q61" s="84"/>
      <c r="U61" s="82"/>
      <c r="V61" s="85"/>
      <c r="W61" s="86"/>
      <c r="X61" s="87"/>
      <c r="AA61" s="88"/>
      <c r="AB61" s="59"/>
      <c r="AE61" s="36"/>
      <c r="AO61" s="37"/>
      <c r="AP61" s="80"/>
      <c r="AQ61" s="82"/>
      <c r="AR61" s="83"/>
      <c r="AS61" s="84"/>
      <c r="AV61" s="82"/>
      <c r="AW61" s="90"/>
      <c r="AX61" s="91"/>
      <c r="AY61" s="87"/>
      <c r="BB61" s="88"/>
      <c r="BE61" s="37"/>
      <c r="BF61" s="36"/>
    </row>
    <row r="62" spans="4:58" ht="15" customHeight="1">
      <c r="D62" s="36"/>
      <c r="N62" s="80"/>
      <c r="O62" s="82"/>
      <c r="P62" s="83"/>
      <c r="Q62" s="84"/>
      <c r="U62" s="82"/>
      <c r="V62" s="85"/>
      <c r="W62" s="86"/>
      <c r="X62" s="87"/>
      <c r="AA62" s="88"/>
      <c r="AB62" s="59"/>
      <c r="AE62" s="36"/>
      <c r="AO62" s="37"/>
      <c r="AP62" s="80"/>
      <c r="AQ62" s="82"/>
      <c r="AR62" s="83"/>
      <c r="AS62" s="84"/>
      <c r="AV62" s="82"/>
      <c r="AW62" s="90"/>
      <c r="AX62" s="91"/>
      <c r="AY62" s="87"/>
      <c r="BB62" s="88"/>
      <c r="BE62" s="37"/>
      <c r="BF62" s="36"/>
    </row>
    <row r="63" spans="4:58" ht="15" customHeight="1">
      <c r="D63" s="36"/>
      <c r="N63" s="80"/>
      <c r="O63" s="82"/>
      <c r="P63" s="83"/>
      <c r="Q63" s="84"/>
      <c r="U63" s="82"/>
      <c r="V63" s="85"/>
      <c r="W63" s="86"/>
      <c r="X63" s="87"/>
      <c r="AA63" s="88"/>
      <c r="AB63" s="59"/>
      <c r="AE63" s="36"/>
      <c r="AO63" s="37"/>
      <c r="AP63" s="80"/>
      <c r="AQ63" s="82"/>
      <c r="AR63" s="83"/>
      <c r="AS63" s="84"/>
      <c r="AV63" s="82"/>
      <c r="AW63" s="90"/>
      <c r="AX63" s="91"/>
      <c r="AY63" s="87"/>
      <c r="BB63" s="88"/>
      <c r="BE63" s="37"/>
      <c r="BF63" s="36"/>
    </row>
    <row r="64" spans="4:58" ht="15" customHeight="1">
      <c r="D64" s="36"/>
      <c r="N64" s="80"/>
      <c r="O64" s="82"/>
      <c r="P64" s="83"/>
      <c r="Q64" s="84"/>
      <c r="U64" s="82"/>
      <c r="V64" s="85"/>
      <c r="W64" s="86"/>
      <c r="X64" s="87"/>
      <c r="AA64" s="88"/>
      <c r="AB64" s="59"/>
      <c r="AE64" s="36"/>
      <c r="AO64" s="37"/>
      <c r="AP64" s="80"/>
      <c r="AQ64" s="82"/>
      <c r="AR64" s="83"/>
      <c r="AS64" s="84"/>
      <c r="AV64" s="82"/>
      <c r="AW64" s="90"/>
      <c r="AX64" s="91"/>
      <c r="AY64" s="87"/>
      <c r="BB64" s="88"/>
      <c r="BE64" s="37"/>
      <c r="BF64" s="36"/>
    </row>
    <row r="65" spans="4:58" ht="15" customHeight="1">
      <c r="D65" s="36"/>
      <c r="N65" s="80"/>
      <c r="O65" s="82"/>
      <c r="P65" s="83"/>
      <c r="Q65" s="84"/>
      <c r="U65" s="82"/>
      <c r="V65" s="85"/>
      <c r="W65" s="86"/>
      <c r="X65" s="87"/>
      <c r="AA65" s="88"/>
      <c r="AB65" s="59"/>
      <c r="AE65" s="36"/>
      <c r="AO65" s="37"/>
      <c r="AP65" s="80"/>
      <c r="AQ65" s="82"/>
      <c r="AR65" s="83"/>
      <c r="AS65" s="84"/>
      <c r="AV65" s="82"/>
      <c r="AW65" s="90"/>
      <c r="AX65" s="91"/>
      <c r="AY65" s="87"/>
      <c r="BB65" s="88"/>
      <c r="BE65" s="37"/>
      <c r="BF65" s="36"/>
    </row>
    <row r="66" spans="4:58" ht="15" customHeight="1">
      <c r="D66" s="36"/>
      <c r="N66" s="80"/>
      <c r="O66" s="82"/>
      <c r="P66" s="83"/>
      <c r="Q66" s="84"/>
      <c r="U66" s="82"/>
      <c r="V66" s="85"/>
      <c r="W66" s="86"/>
      <c r="X66" s="87"/>
      <c r="AA66" s="88"/>
      <c r="AB66" s="59"/>
      <c r="AE66" s="36"/>
      <c r="AO66" s="37"/>
      <c r="AP66" s="80"/>
      <c r="AQ66" s="82"/>
      <c r="AR66" s="83"/>
      <c r="AS66" s="84"/>
      <c r="AV66" s="82"/>
      <c r="AW66" s="90"/>
      <c r="AX66" s="91"/>
      <c r="AY66" s="87"/>
      <c r="BB66" s="88"/>
      <c r="BE66" s="37"/>
      <c r="BF66" s="36"/>
    </row>
    <row r="67" spans="4:58" ht="15" customHeight="1">
      <c r="D67" s="36"/>
      <c r="N67" s="80"/>
      <c r="O67" s="82"/>
      <c r="P67" s="83"/>
      <c r="Q67" s="84"/>
      <c r="U67" s="82"/>
      <c r="V67" s="85"/>
      <c r="W67" s="86"/>
      <c r="X67" s="87"/>
      <c r="AA67" s="88"/>
      <c r="AB67" s="59"/>
      <c r="AE67" s="36"/>
      <c r="AO67" s="37"/>
      <c r="AP67" s="80"/>
      <c r="AQ67" s="82"/>
      <c r="AR67" s="83"/>
      <c r="AS67" s="84"/>
      <c r="AV67" s="82"/>
      <c r="AW67" s="90"/>
      <c r="AX67" s="91"/>
      <c r="AY67" s="87"/>
      <c r="BB67" s="88"/>
      <c r="BE67" s="37"/>
      <c r="BF67" s="36"/>
    </row>
    <row r="68" spans="4:58" ht="15" customHeight="1">
      <c r="D68" s="36"/>
      <c r="N68" s="80"/>
      <c r="O68" s="82"/>
      <c r="P68" s="83"/>
      <c r="Q68" s="84"/>
      <c r="U68" s="82"/>
      <c r="V68" s="85"/>
      <c r="W68" s="86"/>
      <c r="X68" s="87"/>
      <c r="AA68" s="88"/>
      <c r="AB68" s="59"/>
      <c r="AE68" s="36"/>
      <c r="AO68" s="37"/>
      <c r="AP68" s="80"/>
      <c r="AQ68" s="82"/>
      <c r="AR68" s="83"/>
      <c r="AS68" s="84"/>
      <c r="AV68" s="82"/>
      <c r="AW68" s="90"/>
      <c r="AX68" s="91"/>
      <c r="AY68" s="87"/>
      <c r="BB68" s="88"/>
      <c r="BE68" s="37"/>
      <c r="BF68" s="36"/>
    </row>
    <row r="69" spans="4:58" ht="15" customHeight="1">
      <c r="D69" s="36"/>
      <c r="N69" s="80"/>
      <c r="O69" s="82"/>
      <c r="P69" s="83"/>
      <c r="Q69" s="84"/>
      <c r="U69" s="82"/>
      <c r="V69" s="85"/>
      <c r="W69" s="86"/>
      <c r="X69" s="87"/>
      <c r="AA69" s="88"/>
      <c r="AB69" s="59"/>
      <c r="AE69" s="36"/>
      <c r="AO69" s="37"/>
      <c r="AP69" s="80"/>
      <c r="AQ69" s="82"/>
      <c r="AR69" s="83"/>
      <c r="AS69" s="84"/>
      <c r="AV69" s="82"/>
      <c r="AW69" s="90"/>
      <c r="AX69" s="91"/>
      <c r="AY69" s="87"/>
      <c r="BB69" s="88"/>
      <c r="BE69" s="37"/>
      <c r="BF69" s="36"/>
    </row>
    <row r="70" spans="4:58" ht="15" customHeight="1">
      <c r="D70" s="36"/>
      <c r="N70" s="80"/>
      <c r="O70" s="82"/>
      <c r="P70" s="83"/>
      <c r="Q70" s="84"/>
      <c r="U70" s="82"/>
      <c r="V70" s="85"/>
      <c r="W70" s="86"/>
      <c r="X70" s="87"/>
      <c r="AA70" s="88"/>
      <c r="AB70" s="59"/>
      <c r="AE70" s="36"/>
      <c r="AO70" s="37"/>
      <c r="AP70" s="80"/>
      <c r="AQ70" s="82"/>
      <c r="AR70" s="83"/>
      <c r="AS70" s="84"/>
      <c r="AV70" s="82"/>
      <c r="AW70" s="90"/>
      <c r="AX70" s="91"/>
      <c r="AY70" s="87"/>
      <c r="BB70" s="88"/>
      <c r="BE70" s="37"/>
      <c r="BF70" s="36"/>
    </row>
    <row r="71" spans="4:58" ht="15" customHeight="1">
      <c r="D71" s="36"/>
      <c r="N71" s="80"/>
      <c r="O71" s="82"/>
      <c r="P71" s="83"/>
      <c r="Q71" s="84"/>
      <c r="U71" s="82"/>
      <c r="V71" s="85"/>
      <c r="W71" s="86"/>
      <c r="X71" s="87"/>
      <c r="AA71" s="88"/>
      <c r="AB71" s="59"/>
      <c r="AE71" s="36"/>
      <c r="AO71" s="37"/>
      <c r="AP71" s="80"/>
      <c r="AQ71" s="82"/>
      <c r="AR71" s="83"/>
      <c r="AS71" s="84"/>
      <c r="AV71" s="82"/>
      <c r="AW71" s="90"/>
      <c r="AX71" s="91"/>
      <c r="AY71" s="87"/>
      <c r="BB71" s="88"/>
      <c r="BE71" s="37"/>
      <c r="BF71" s="36"/>
    </row>
    <row r="72" spans="4:58" ht="15" customHeight="1">
      <c r="D72" s="36"/>
      <c r="N72" s="80"/>
      <c r="O72" s="82"/>
      <c r="P72" s="83"/>
      <c r="Q72" s="84"/>
      <c r="U72" s="82"/>
      <c r="V72" s="85"/>
      <c r="W72" s="86"/>
      <c r="X72" s="87"/>
      <c r="AA72" s="88"/>
      <c r="AB72" s="59"/>
      <c r="AE72" s="36"/>
      <c r="AO72" s="37"/>
      <c r="AP72" s="80"/>
      <c r="AQ72" s="82"/>
      <c r="AR72" s="83"/>
      <c r="AS72" s="84"/>
      <c r="AV72" s="82"/>
      <c r="AW72" s="90"/>
      <c r="AX72" s="91"/>
      <c r="AY72" s="87"/>
      <c r="BB72" s="88"/>
      <c r="BE72" s="37"/>
      <c r="BF72" s="36"/>
    </row>
    <row r="73" spans="4:58" ht="15" customHeight="1">
      <c r="D73" s="36"/>
      <c r="N73" s="80"/>
      <c r="O73" s="82"/>
      <c r="P73" s="83"/>
      <c r="Q73" s="84"/>
      <c r="U73" s="82"/>
      <c r="V73" s="85"/>
      <c r="W73" s="86"/>
      <c r="X73" s="87"/>
      <c r="AA73" s="88"/>
      <c r="AB73" s="59"/>
      <c r="AE73" s="36"/>
      <c r="AO73" s="37"/>
      <c r="AP73" s="80"/>
      <c r="AQ73" s="82"/>
      <c r="AR73" s="83"/>
      <c r="AS73" s="84"/>
      <c r="AV73" s="82"/>
      <c r="AW73" s="90"/>
      <c r="AX73" s="91"/>
      <c r="AY73" s="87"/>
      <c r="BB73" s="88"/>
      <c r="BE73" s="37"/>
      <c r="BF73" s="36"/>
    </row>
    <row r="74" spans="4:58" ht="15" customHeight="1">
      <c r="D74" s="36"/>
      <c r="N74" s="80"/>
      <c r="O74" s="82"/>
      <c r="P74" s="83"/>
      <c r="Q74" s="84"/>
      <c r="U74" s="82"/>
      <c r="V74" s="85"/>
      <c r="W74" s="86"/>
      <c r="X74" s="87"/>
      <c r="AA74" s="88"/>
      <c r="AB74" s="59"/>
      <c r="AE74" s="36"/>
      <c r="AO74" s="37"/>
      <c r="AP74" s="80"/>
      <c r="AQ74" s="82"/>
      <c r="AR74" s="83"/>
      <c r="AS74" s="84"/>
      <c r="AV74" s="82"/>
      <c r="AW74" s="90"/>
      <c r="AX74" s="91"/>
      <c r="AY74" s="87"/>
      <c r="BB74" s="88"/>
      <c r="BE74" s="37"/>
      <c r="BF74" s="36"/>
    </row>
    <row r="75" spans="4:58" ht="15" customHeight="1">
      <c r="D75" s="36"/>
      <c r="N75" s="80"/>
      <c r="O75" s="82"/>
      <c r="P75" s="83"/>
      <c r="Q75" s="84"/>
      <c r="U75" s="82"/>
      <c r="V75" s="85"/>
      <c r="W75" s="86"/>
      <c r="X75" s="87"/>
      <c r="AA75" s="88"/>
      <c r="AB75" s="59"/>
      <c r="AE75" s="36"/>
      <c r="AO75" s="37"/>
      <c r="AP75" s="80"/>
      <c r="AQ75" s="82"/>
      <c r="AR75" s="83"/>
      <c r="AS75" s="84"/>
      <c r="AV75" s="82"/>
      <c r="AW75" s="90"/>
      <c r="AX75" s="91"/>
      <c r="AY75" s="87"/>
      <c r="BB75" s="88"/>
      <c r="BE75" s="37"/>
      <c r="BF75" s="36"/>
    </row>
    <row r="76" spans="4:58" ht="15" customHeight="1">
      <c r="D76" s="36"/>
      <c r="N76" s="80"/>
      <c r="O76" s="82"/>
      <c r="P76" s="83"/>
      <c r="Q76" s="84"/>
      <c r="U76" s="82"/>
      <c r="V76" s="85"/>
      <c r="W76" s="86"/>
      <c r="X76" s="87"/>
      <c r="AA76" s="88"/>
      <c r="AB76" s="59"/>
      <c r="AE76" s="36"/>
      <c r="AO76" s="37"/>
      <c r="AP76" s="80"/>
      <c r="AQ76" s="82"/>
      <c r="AR76" s="83"/>
      <c r="AS76" s="84"/>
      <c r="AV76" s="82"/>
      <c r="AW76" s="90"/>
      <c r="AX76" s="91"/>
      <c r="AY76" s="87"/>
      <c r="BB76" s="88"/>
      <c r="BE76" s="37"/>
      <c r="BF76" s="36"/>
    </row>
    <row r="77" spans="4:58" ht="15" customHeight="1">
      <c r="D77" s="36"/>
      <c r="N77" s="80"/>
      <c r="O77" s="82"/>
      <c r="P77" s="83"/>
      <c r="Q77" s="84"/>
      <c r="U77" s="82"/>
      <c r="V77" s="85"/>
      <c r="W77" s="86"/>
      <c r="X77" s="87"/>
      <c r="AA77" s="88"/>
      <c r="AB77" s="59"/>
      <c r="AE77" s="36"/>
      <c r="AO77" s="37"/>
      <c r="AP77" s="80"/>
      <c r="AQ77" s="82"/>
      <c r="AR77" s="83"/>
      <c r="AS77" s="84"/>
      <c r="AV77" s="82"/>
      <c r="AW77" s="90"/>
      <c r="AX77" s="91"/>
      <c r="AY77" s="87"/>
      <c r="BB77" s="88"/>
      <c r="BE77" s="37"/>
      <c r="BF77" s="36"/>
    </row>
    <row r="78" spans="4:58" ht="15" customHeight="1">
      <c r="D78" s="36"/>
      <c r="N78" s="80"/>
      <c r="O78" s="82"/>
      <c r="P78" s="83"/>
      <c r="Q78" s="84"/>
      <c r="U78" s="82"/>
      <c r="V78" s="85"/>
      <c r="W78" s="86"/>
      <c r="X78" s="87"/>
      <c r="AA78" s="88"/>
      <c r="AB78" s="59"/>
      <c r="AE78" s="36"/>
      <c r="AO78" s="37"/>
      <c r="AP78" s="80"/>
      <c r="AQ78" s="82"/>
      <c r="AR78" s="83"/>
      <c r="AS78" s="84"/>
      <c r="AV78" s="82"/>
      <c r="AW78" s="90"/>
      <c r="AX78" s="91"/>
      <c r="AY78" s="87"/>
      <c r="BB78" s="88"/>
      <c r="BE78" s="37"/>
      <c r="BF78" s="36"/>
    </row>
    <row r="79" spans="4:58" ht="15" customHeight="1">
      <c r="D79" s="36"/>
      <c r="N79" s="80"/>
      <c r="O79" s="82"/>
      <c r="P79" s="83"/>
      <c r="Q79" s="84"/>
      <c r="U79" s="82"/>
      <c r="V79" s="85"/>
      <c r="W79" s="86"/>
      <c r="X79" s="87"/>
      <c r="AA79" s="88"/>
      <c r="AB79" s="59"/>
      <c r="AE79" s="36"/>
      <c r="AO79" s="37"/>
      <c r="AP79" s="80"/>
      <c r="AQ79" s="82"/>
      <c r="AR79" s="83"/>
      <c r="AS79" s="84"/>
      <c r="AV79" s="82"/>
      <c r="AW79" s="90"/>
      <c r="AX79" s="91"/>
      <c r="AY79" s="87"/>
      <c r="BB79" s="88"/>
      <c r="BE79" s="37"/>
      <c r="BF79" s="36"/>
    </row>
    <row r="80" spans="4:58" ht="15" customHeight="1">
      <c r="D80" s="36"/>
      <c r="N80" s="80"/>
      <c r="O80" s="82"/>
      <c r="P80" s="83"/>
      <c r="Q80" s="84"/>
      <c r="U80" s="82"/>
      <c r="V80" s="85"/>
      <c r="W80" s="86"/>
      <c r="X80" s="87"/>
      <c r="AA80" s="88"/>
      <c r="AB80" s="59"/>
      <c r="AE80" s="36"/>
      <c r="AO80" s="37"/>
      <c r="AP80" s="80"/>
      <c r="AQ80" s="82"/>
      <c r="AR80" s="83"/>
      <c r="AS80" s="84"/>
      <c r="AV80" s="82"/>
      <c r="AW80" s="90"/>
      <c r="AX80" s="91"/>
      <c r="AY80" s="87"/>
      <c r="BB80" s="88"/>
      <c r="BE80" s="37"/>
      <c r="BF80" s="36"/>
    </row>
    <row r="81" spans="4:58" ht="15" customHeight="1">
      <c r="D81" s="36"/>
      <c r="N81" s="80"/>
      <c r="O81" s="82"/>
      <c r="P81" s="83"/>
      <c r="Q81" s="84"/>
      <c r="U81" s="82"/>
      <c r="V81" s="85"/>
      <c r="W81" s="86"/>
      <c r="X81" s="87"/>
      <c r="AA81" s="88"/>
      <c r="AB81" s="59"/>
      <c r="AE81" s="36"/>
      <c r="AO81" s="37"/>
      <c r="AP81" s="80"/>
      <c r="AQ81" s="82"/>
      <c r="AR81" s="83"/>
      <c r="AS81" s="84"/>
      <c r="AV81" s="82"/>
      <c r="AW81" s="90"/>
      <c r="AX81" s="91"/>
      <c r="AY81" s="87"/>
      <c r="BB81" s="88"/>
      <c r="BE81" s="37"/>
      <c r="BF81" s="36"/>
    </row>
    <row r="82" spans="4:58" ht="15" customHeight="1">
      <c r="D82" s="36"/>
      <c r="N82" s="80"/>
      <c r="O82" s="82"/>
      <c r="P82" s="83"/>
      <c r="Q82" s="84"/>
      <c r="U82" s="82"/>
      <c r="V82" s="85"/>
      <c r="W82" s="86"/>
      <c r="X82" s="87"/>
      <c r="AA82" s="88"/>
      <c r="AB82" s="49"/>
      <c r="AE82" s="36"/>
      <c r="AO82" s="37"/>
      <c r="AP82" s="80"/>
      <c r="AQ82" s="82"/>
      <c r="AR82" s="83"/>
      <c r="AS82" s="84"/>
      <c r="AV82" s="82"/>
      <c r="AW82" s="90"/>
      <c r="AX82" s="91"/>
      <c r="AY82" s="87"/>
      <c r="BB82" s="88"/>
      <c r="BE82" s="37"/>
      <c r="BF82" s="36"/>
    </row>
    <row r="83" spans="4:58" ht="15" customHeight="1">
      <c r="D83" s="36"/>
      <c r="N83" s="80"/>
      <c r="O83" s="82"/>
      <c r="P83" s="83"/>
      <c r="Q83" s="84"/>
      <c r="U83" s="82"/>
      <c r="V83" s="85"/>
      <c r="W83" s="86"/>
      <c r="X83" s="87"/>
      <c r="AA83" s="88"/>
      <c r="AB83" s="59"/>
      <c r="AE83" s="36"/>
      <c r="AO83" s="37"/>
      <c r="AP83" s="80"/>
      <c r="AQ83" s="82"/>
      <c r="AR83" s="83"/>
      <c r="AS83" s="84"/>
      <c r="AV83" s="82"/>
      <c r="AW83" s="90"/>
      <c r="AX83" s="91"/>
      <c r="AY83" s="87"/>
      <c r="BB83" s="88"/>
      <c r="BE83" s="37"/>
      <c r="BF83" s="36"/>
    </row>
    <row r="84" spans="4:58" ht="15" customHeight="1">
      <c r="D84" s="36"/>
      <c r="N84" s="80"/>
      <c r="O84" s="82"/>
      <c r="P84" s="83"/>
      <c r="Q84" s="84"/>
      <c r="U84" s="82"/>
      <c r="V84" s="85"/>
      <c r="W84" s="86"/>
      <c r="X84" s="87"/>
      <c r="AA84" s="88"/>
      <c r="AB84" s="59"/>
      <c r="AE84" s="36"/>
      <c r="AO84" s="37"/>
      <c r="AP84" s="80"/>
      <c r="AQ84" s="82"/>
      <c r="AR84" s="83"/>
      <c r="AS84" s="84"/>
      <c r="AV84" s="82"/>
      <c r="AW84" s="90"/>
      <c r="AX84" s="91"/>
      <c r="AY84" s="87"/>
      <c r="BB84" s="88"/>
      <c r="BE84" s="37"/>
      <c r="BF84" s="36"/>
    </row>
    <row r="85" spans="4:58" ht="15" customHeight="1">
      <c r="D85" s="36"/>
      <c r="N85" s="80"/>
      <c r="O85" s="82"/>
      <c r="P85" s="83"/>
      <c r="Q85" s="84"/>
      <c r="U85" s="82"/>
      <c r="V85" s="85"/>
      <c r="W85" s="86"/>
      <c r="X85" s="87"/>
      <c r="AA85" s="88"/>
      <c r="AB85" s="59"/>
      <c r="AE85" s="36"/>
      <c r="AO85" s="37"/>
      <c r="AP85" s="80"/>
      <c r="AQ85" s="82"/>
      <c r="AR85" s="83"/>
      <c r="AS85" s="84"/>
      <c r="AV85" s="82"/>
      <c r="AW85" s="90"/>
      <c r="AX85" s="91"/>
      <c r="AY85" s="87"/>
      <c r="BB85" s="88"/>
      <c r="BE85" s="37"/>
      <c r="BF85" s="36"/>
    </row>
    <row r="86" spans="4:58" ht="15" customHeight="1">
      <c r="D86" s="36"/>
      <c r="N86" s="80"/>
      <c r="O86" s="82"/>
      <c r="P86" s="83"/>
      <c r="Q86" s="84"/>
      <c r="U86" s="82"/>
      <c r="V86" s="85"/>
      <c r="W86" s="86"/>
      <c r="X86" s="87"/>
      <c r="AA86" s="88"/>
      <c r="AB86" s="49"/>
      <c r="AE86" s="36"/>
      <c r="AO86" s="37"/>
      <c r="AP86" s="80"/>
      <c r="AQ86" s="82"/>
      <c r="AR86" s="83"/>
      <c r="AS86" s="84"/>
      <c r="AV86" s="82"/>
      <c r="AW86" s="90"/>
      <c r="AX86" s="91"/>
      <c r="AY86" s="87"/>
      <c r="BB86" s="88"/>
      <c r="BE86" s="37"/>
      <c r="BF86" s="36"/>
    </row>
    <row r="87" spans="4:58" ht="15" customHeight="1">
      <c r="D87" s="36"/>
      <c r="N87" s="80"/>
      <c r="O87" s="82"/>
      <c r="P87" s="83"/>
      <c r="Q87" s="84"/>
      <c r="U87" s="82"/>
      <c r="V87" s="85"/>
      <c r="W87" s="86"/>
      <c r="X87" s="87"/>
      <c r="AA87" s="88"/>
      <c r="AB87" s="59"/>
      <c r="AE87" s="36"/>
      <c r="AO87" s="37"/>
      <c r="AP87" s="80"/>
      <c r="AQ87" s="82"/>
      <c r="AR87" s="83"/>
      <c r="AS87" s="84"/>
      <c r="AV87" s="82"/>
      <c r="AW87" s="90"/>
      <c r="AX87" s="91"/>
      <c r="AY87" s="87"/>
      <c r="BB87" s="88"/>
      <c r="BE87" s="37"/>
      <c r="BF87" s="36"/>
    </row>
    <row r="88" spans="4:58" ht="15" customHeight="1">
      <c r="D88" s="36"/>
      <c r="N88" s="80"/>
      <c r="O88" s="82"/>
      <c r="P88" s="83"/>
      <c r="Q88" s="84"/>
      <c r="U88" s="82"/>
      <c r="V88" s="85"/>
      <c r="W88" s="86"/>
      <c r="X88" s="87"/>
      <c r="AA88" s="88"/>
      <c r="AB88" s="59"/>
      <c r="AE88" s="36"/>
      <c r="AO88" s="37"/>
      <c r="AP88" s="80"/>
      <c r="AQ88" s="82"/>
      <c r="AR88" s="83"/>
      <c r="AS88" s="84"/>
      <c r="AV88" s="82"/>
      <c r="AW88" s="90"/>
      <c r="AX88" s="91"/>
      <c r="AY88" s="87"/>
      <c r="BB88" s="88"/>
      <c r="BE88" s="37"/>
      <c r="BF88" s="36"/>
    </row>
    <row r="89" spans="4:58" ht="15" customHeight="1">
      <c r="D89" s="36"/>
      <c r="N89" s="80"/>
      <c r="O89" s="82"/>
      <c r="P89" s="83"/>
      <c r="Q89" s="84"/>
      <c r="U89" s="82"/>
      <c r="V89" s="85"/>
      <c r="W89" s="86"/>
      <c r="X89" s="87"/>
      <c r="AA89" s="88"/>
      <c r="AB89" s="59"/>
      <c r="AE89" s="36"/>
      <c r="AO89" s="37"/>
      <c r="AP89" s="80"/>
      <c r="AQ89" s="82"/>
      <c r="AR89" s="83"/>
      <c r="AS89" s="84"/>
      <c r="AV89" s="82"/>
      <c r="AW89" s="90"/>
      <c r="AX89" s="91"/>
      <c r="AY89" s="87"/>
      <c r="BB89" s="88"/>
      <c r="BE89" s="37"/>
      <c r="BF89" s="36"/>
    </row>
    <row r="90" spans="4:58" ht="15" customHeight="1">
      <c r="D90" s="36"/>
      <c r="N90" s="80"/>
      <c r="O90" s="82"/>
      <c r="P90" s="83"/>
      <c r="Q90" s="84"/>
      <c r="U90" s="82"/>
      <c r="V90" s="85"/>
      <c r="W90" s="86"/>
      <c r="X90" s="87"/>
      <c r="AA90" s="88"/>
      <c r="AB90" s="49"/>
      <c r="AE90" s="36"/>
      <c r="AO90" s="37"/>
      <c r="AP90" s="80"/>
      <c r="AQ90" s="82"/>
      <c r="AR90" s="83"/>
      <c r="AS90" s="84"/>
      <c r="AV90" s="82"/>
      <c r="AW90" s="90"/>
      <c r="AX90" s="91"/>
      <c r="AY90" s="87"/>
      <c r="BB90" s="88"/>
      <c r="BE90" s="37"/>
      <c r="BF90" s="36"/>
    </row>
    <row r="91" spans="4:58" ht="15" customHeight="1">
      <c r="D91" s="36"/>
      <c r="N91" s="80"/>
      <c r="O91" s="82"/>
      <c r="P91" s="83"/>
      <c r="Q91" s="84"/>
      <c r="U91" s="82"/>
      <c r="V91" s="85"/>
      <c r="W91" s="86"/>
      <c r="X91" s="87"/>
      <c r="AA91" s="88"/>
      <c r="AB91" s="59"/>
      <c r="AE91" s="36"/>
      <c r="AO91" s="37"/>
      <c r="AP91" s="80"/>
      <c r="AQ91" s="82"/>
      <c r="AR91" s="83"/>
      <c r="AS91" s="84"/>
      <c r="AV91" s="82"/>
      <c r="AW91" s="90"/>
      <c r="AX91" s="91"/>
      <c r="AY91" s="87"/>
      <c r="BB91" s="88"/>
      <c r="BE91" s="37"/>
      <c r="BF91" s="36"/>
    </row>
    <row r="92" spans="4:58" ht="15" customHeight="1">
      <c r="D92" s="36"/>
      <c r="N92" s="80"/>
      <c r="O92" s="82"/>
      <c r="P92" s="83"/>
      <c r="Q92" s="84"/>
      <c r="U92" s="82"/>
      <c r="V92" s="85"/>
      <c r="W92" s="86"/>
      <c r="X92" s="87"/>
      <c r="AA92" s="88"/>
      <c r="AB92" s="59"/>
      <c r="AE92" s="36"/>
      <c r="AO92" s="37"/>
      <c r="AP92" s="80"/>
      <c r="AQ92" s="82"/>
      <c r="AR92" s="83"/>
      <c r="AS92" s="84"/>
      <c r="AV92" s="82"/>
      <c r="AW92" s="90"/>
      <c r="AX92" s="91"/>
      <c r="AY92" s="87"/>
      <c r="BB92" s="88"/>
      <c r="BE92" s="37"/>
      <c r="BF92" s="36"/>
    </row>
    <row r="93" spans="4:58" ht="15" customHeight="1">
      <c r="D93" s="36"/>
      <c r="N93" s="80"/>
      <c r="O93" s="82"/>
      <c r="P93" s="83"/>
      <c r="Q93" s="84"/>
      <c r="U93" s="82"/>
      <c r="V93" s="85"/>
      <c r="W93" s="86"/>
      <c r="X93" s="87"/>
      <c r="AA93" s="88"/>
      <c r="AB93" s="59"/>
      <c r="AE93" s="36"/>
      <c r="AO93" s="37"/>
      <c r="AP93" s="80"/>
      <c r="AQ93" s="82"/>
      <c r="AR93" s="83"/>
      <c r="AS93" s="84"/>
      <c r="AV93" s="82"/>
      <c r="AW93" s="90"/>
      <c r="AX93" s="91"/>
      <c r="AY93" s="87"/>
      <c r="BB93" s="88"/>
      <c r="BE93" s="37"/>
      <c r="BF93" s="36"/>
    </row>
    <row r="94" spans="4:58" ht="15" customHeight="1">
      <c r="D94" s="36"/>
      <c r="N94" s="80"/>
      <c r="O94" s="82"/>
      <c r="P94" s="83"/>
      <c r="Q94" s="84"/>
      <c r="U94" s="82"/>
      <c r="V94" s="85"/>
      <c r="W94" s="86"/>
      <c r="X94" s="87"/>
      <c r="AA94" s="88"/>
      <c r="AB94" s="59"/>
      <c r="AE94" s="36"/>
      <c r="AO94" s="37"/>
      <c r="AP94" s="80"/>
      <c r="AQ94" s="82"/>
      <c r="AR94" s="83"/>
      <c r="AS94" s="84"/>
      <c r="AV94" s="82"/>
      <c r="AW94" s="90"/>
      <c r="AX94" s="91"/>
      <c r="AY94" s="87"/>
      <c r="BB94" s="88"/>
      <c r="BE94" s="37"/>
      <c r="BF94" s="36"/>
    </row>
    <row r="95" spans="4:58" ht="15" customHeight="1">
      <c r="D95" s="36"/>
      <c r="N95" s="80"/>
      <c r="O95" s="82"/>
      <c r="P95" s="83"/>
      <c r="Q95" s="84"/>
      <c r="U95" s="82"/>
      <c r="V95" s="85"/>
      <c r="W95" s="86"/>
      <c r="X95" s="87"/>
      <c r="AA95" s="88"/>
      <c r="AB95" s="59"/>
      <c r="AE95" s="36"/>
      <c r="AO95" s="37"/>
      <c r="AP95" s="80"/>
      <c r="AQ95" s="82"/>
      <c r="AR95" s="83"/>
      <c r="AS95" s="84"/>
      <c r="AV95" s="82"/>
      <c r="AW95" s="90"/>
      <c r="AX95" s="91"/>
      <c r="AY95" s="87"/>
      <c r="BB95" s="88"/>
      <c r="BE95" s="37"/>
      <c r="BF95" s="36"/>
    </row>
    <row r="96" spans="4:58" ht="15" customHeight="1">
      <c r="D96" s="36"/>
      <c r="N96" s="80"/>
      <c r="O96" s="82"/>
      <c r="P96" s="83"/>
      <c r="Q96" s="84"/>
      <c r="U96" s="82"/>
      <c r="V96" s="85"/>
      <c r="W96" s="86"/>
      <c r="X96" s="87"/>
      <c r="AA96" s="88"/>
      <c r="AB96" s="59"/>
      <c r="AE96" s="36"/>
      <c r="AO96" s="37"/>
      <c r="AP96" s="80"/>
      <c r="AQ96" s="82"/>
      <c r="AR96" s="83"/>
      <c r="AS96" s="84"/>
      <c r="AV96" s="82"/>
      <c r="AW96" s="90"/>
      <c r="AX96" s="91"/>
      <c r="AY96" s="87"/>
      <c r="BB96" s="88"/>
      <c r="BE96" s="37"/>
      <c r="BF96" s="36"/>
    </row>
    <row r="97" spans="4:58" ht="15" customHeight="1">
      <c r="D97" s="36"/>
      <c r="N97" s="80"/>
      <c r="O97" s="82"/>
      <c r="P97" s="83"/>
      <c r="Q97" s="84"/>
      <c r="U97" s="82"/>
      <c r="V97" s="85"/>
      <c r="W97" s="86"/>
      <c r="X97" s="87"/>
      <c r="AA97" s="88"/>
      <c r="AB97" s="59"/>
      <c r="AE97" s="36"/>
      <c r="AO97" s="37"/>
      <c r="AP97" s="80"/>
      <c r="AQ97" s="82"/>
      <c r="AR97" s="83"/>
      <c r="AS97" s="84"/>
      <c r="AV97" s="82"/>
      <c r="AW97" s="90"/>
      <c r="AX97" s="91"/>
      <c r="AY97" s="87"/>
      <c r="BB97" s="88"/>
      <c r="BE97" s="37"/>
      <c r="BF97" s="36"/>
    </row>
    <row r="98" spans="4:58" ht="15" customHeight="1">
      <c r="D98" s="36"/>
      <c r="N98" s="80"/>
      <c r="O98" s="82"/>
      <c r="P98" s="83"/>
      <c r="Q98" s="84"/>
      <c r="U98" s="82"/>
      <c r="V98" s="85"/>
      <c r="W98" s="86"/>
      <c r="X98" s="87"/>
      <c r="AA98" s="88"/>
      <c r="AB98" s="49"/>
      <c r="AE98" s="36"/>
      <c r="AO98" s="37"/>
      <c r="AP98" s="80"/>
      <c r="AQ98" s="82"/>
      <c r="AR98" s="83"/>
      <c r="AS98" s="84"/>
      <c r="AV98" s="82"/>
      <c r="AW98" s="90"/>
      <c r="AX98" s="91"/>
      <c r="AY98" s="87"/>
      <c r="BB98" s="88"/>
      <c r="BE98" s="37"/>
      <c r="BF98" s="36"/>
    </row>
    <row r="99" spans="4:58" ht="15" customHeight="1">
      <c r="D99" s="36"/>
      <c r="N99" s="80"/>
      <c r="O99" s="82"/>
      <c r="P99" s="83"/>
      <c r="Q99" s="84"/>
      <c r="U99" s="82"/>
      <c r="V99" s="85"/>
      <c r="W99" s="86"/>
      <c r="X99" s="87"/>
      <c r="AA99" s="88"/>
      <c r="AB99" s="49"/>
      <c r="AE99" s="36"/>
      <c r="AO99" s="37"/>
      <c r="AP99" s="80"/>
      <c r="AQ99" s="82"/>
      <c r="AR99" s="83"/>
      <c r="AS99" s="84"/>
      <c r="AV99" s="82"/>
      <c r="AW99" s="90"/>
      <c r="AX99" s="91"/>
      <c r="AY99" s="87"/>
      <c r="BB99" s="88"/>
      <c r="BE99" s="37"/>
      <c r="BF99" s="36"/>
    </row>
    <row r="100" spans="4:58" ht="15" customHeight="1">
      <c r="D100" s="36"/>
      <c r="N100" s="80"/>
      <c r="O100" s="82"/>
      <c r="P100" s="83"/>
      <c r="Q100" s="84"/>
      <c r="U100" s="82"/>
      <c r="V100" s="85"/>
      <c r="W100" s="86"/>
      <c r="X100" s="87"/>
      <c r="AA100" s="88"/>
      <c r="AB100" s="49"/>
      <c r="AE100" s="36"/>
      <c r="AO100" s="37"/>
      <c r="AP100" s="80"/>
      <c r="AQ100" s="82"/>
      <c r="AR100" s="83"/>
      <c r="AS100" s="84"/>
      <c r="AV100" s="82"/>
      <c r="AW100" s="90"/>
      <c r="AX100" s="91"/>
      <c r="AY100" s="87"/>
      <c r="BB100" s="88"/>
      <c r="BE100" s="37"/>
      <c r="BF100" s="36"/>
    </row>
    <row r="101" spans="4:58" ht="15" customHeight="1">
      <c r="D101" s="36"/>
      <c r="N101" s="80"/>
      <c r="O101" s="82"/>
      <c r="P101" s="83"/>
      <c r="Q101" s="84"/>
      <c r="U101" s="82"/>
      <c r="V101" s="85"/>
      <c r="W101" s="86"/>
      <c r="X101" s="87"/>
      <c r="AA101" s="88"/>
      <c r="AB101" s="49"/>
      <c r="AE101" s="36"/>
      <c r="AO101" s="37"/>
      <c r="AP101" s="80"/>
      <c r="AQ101" s="82"/>
      <c r="AR101" s="83"/>
      <c r="AS101" s="84"/>
      <c r="AV101" s="82"/>
      <c r="AW101" s="90"/>
      <c r="AX101" s="91"/>
      <c r="AY101" s="87"/>
      <c r="BB101" s="88"/>
      <c r="BE101" s="37"/>
      <c r="BF101" s="36"/>
    </row>
    <row r="102" spans="4:58" ht="15" customHeight="1">
      <c r="D102" s="36"/>
      <c r="N102" s="80"/>
      <c r="O102" s="82"/>
      <c r="P102" s="83"/>
      <c r="Q102" s="84"/>
      <c r="U102" s="82"/>
      <c r="V102" s="85"/>
      <c r="W102" s="86"/>
      <c r="X102" s="87"/>
      <c r="AA102" s="88"/>
      <c r="AB102" s="49"/>
      <c r="AE102" s="36"/>
      <c r="AO102" s="37"/>
      <c r="AP102" s="80"/>
      <c r="AQ102" s="82"/>
      <c r="AR102" s="83"/>
      <c r="AS102" s="84"/>
      <c r="AV102" s="82"/>
      <c r="AW102" s="90"/>
      <c r="AX102" s="91"/>
      <c r="AY102" s="87"/>
      <c r="BB102" s="88"/>
      <c r="BE102" s="37"/>
      <c r="BF102" s="36"/>
    </row>
    <row r="103" spans="4:58" ht="15" customHeight="1">
      <c r="D103" s="36"/>
      <c r="N103" s="80"/>
      <c r="O103" s="82"/>
      <c r="P103" s="83"/>
      <c r="Q103" s="84"/>
      <c r="U103" s="82"/>
      <c r="V103" s="85"/>
      <c r="W103" s="86"/>
      <c r="X103" s="87"/>
      <c r="AA103" s="88"/>
      <c r="AB103" s="49"/>
      <c r="AE103" s="36"/>
      <c r="AO103" s="37"/>
      <c r="AP103" s="80"/>
      <c r="AQ103" s="82"/>
      <c r="AR103" s="83"/>
      <c r="AS103" s="84"/>
      <c r="AV103" s="82"/>
      <c r="AW103" s="90"/>
      <c r="AX103" s="91"/>
      <c r="AY103" s="87"/>
      <c r="BB103" s="88"/>
      <c r="BE103" s="37"/>
      <c r="BF103" s="36"/>
    </row>
    <row r="104" spans="4:58" ht="15" customHeight="1">
      <c r="D104" s="36"/>
      <c r="N104" s="80"/>
      <c r="O104" s="82"/>
      <c r="P104" s="83"/>
      <c r="Q104" s="84"/>
      <c r="U104" s="82"/>
      <c r="V104" s="85"/>
      <c r="W104" s="86"/>
      <c r="X104" s="87"/>
      <c r="AA104" s="88"/>
      <c r="AB104" s="49"/>
      <c r="AE104" s="36"/>
      <c r="AO104" s="37"/>
      <c r="AP104" s="80"/>
      <c r="AQ104" s="82"/>
      <c r="AR104" s="83"/>
      <c r="AS104" s="84"/>
      <c r="AV104" s="82"/>
      <c r="AW104" s="90"/>
      <c r="AX104" s="91"/>
      <c r="AY104" s="87"/>
      <c r="BB104" s="88"/>
      <c r="BE104" s="37"/>
      <c r="BF104" s="36"/>
    </row>
    <row r="105" spans="4:58" ht="15" customHeight="1">
      <c r="D105" s="36"/>
      <c r="N105" s="80"/>
      <c r="O105" s="82"/>
      <c r="P105" s="83"/>
      <c r="Q105" s="84"/>
      <c r="U105" s="82"/>
      <c r="V105" s="85"/>
      <c r="W105" s="86"/>
      <c r="X105" s="87"/>
      <c r="AA105" s="88"/>
      <c r="AB105" s="49"/>
      <c r="AE105" s="36"/>
      <c r="AO105" s="37"/>
      <c r="AP105" s="80"/>
      <c r="AQ105" s="82"/>
      <c r="AR105" s="83"/>
      <c r="AS105" s="84"/>
      <c r="AV105" s="82"/>
      <c r="AW105" s="90"/>
      <c r="AX105" s="91"/>
      <c r="AY105" s="87"/>
      <c r="BB105" s="88"/>
      <c r="BE105" s="37"/>
      <c r="BF105" s="36"/>
    </row>
    <row r="106" spans="4:58" ht="15" customHeight="1">
      <c r="D106" s="44"/>
      <c r="E106" s="41"/>
      <c r="F106" s="41"/>
      <c r="G106" s="41"/>
      <c r="AB106" s="49"/>
      <c r="AI106" s="39"/>
      <c r="AJ106" s="41"/>
      <c r="AO106" s="37"/>
      <c r="AP106" s="80"/>
      <c r="AQ106" s="82"/>
      <c r="AR106" s="83"/>
      <c r="AS106" s="84"/>
      <c r="AV106" s="82"/>
      <c r="AW106" s="90"/>
      <c r="AX106" s="91"/>
      <c r="AY106" s="87"/>
      <c r="BB106" s="88"/>
      <c r="BE106" s="37"/>
      <c r="BF106" s="36"/>
    </row>
    <row r="107" spans="4:58" ht="15" customHeight="1">
      <c r="F107" s="41"/>
      <c r="AB107" s="49"/>
      <c r="AO107" s="37"/>
      <c r="AP107" s="80"/>
      <c r="AQ107" s="82"/>
      <c r="AR107" s="83"/>
      <c r="AS107" s="84"/>
      <c r="AV107" s="82"/>
      <c r="AW107" s="90"/>
      <c r="AX107" s="91"/>
      <c r="AY107" s="87"/>
      <c r="BB107" s="88"/>
      <c r="BE107" s="37"/>
      <c r="BF107" s="36"/>
    </row>
    <row r="108" spans="4:58" ht="15" customHeight="1">
      <c r="F108" s="41"/>
      <c r="AB108" s="49"/>
      <c r="AO108" s="37"/>
      <c r="AP108" s="80"/>
      <c r="AQ108" s="82"/>
      <c r="AR108" s="83"/>
      <c r="AS108" s="84"/>
      <c r="AV108" s="82"/>
      <c r="AW108" s="90"/>
      <c r="AX108" s="91"/>
      <c r="AY108" s="87"/>
      <c r="BB108" s="88"/>
      <c r="BE108" s="37"/>
      <c r="BF108" s="36"/>
    </row>
    <row r="109" spans="4:58" ht="15" customHeight="1">
      <c r="F109" s="41"/>
      <c r="AB109" s="49"/>
      <c r="AO109" s="37"/>
      <c r="AP109" s="80"/>
      <c r="AQ109" s="82"/>
      <c r="AR109" s="83"/>
      <c r="AS109" s="84"/>
      <c r="AV109" s="82"/>
      <c r="AW109" s="90"/>
      <c r="AX109" s="91"/>
      <c r="AY109" s="87"/>
      <c r="BB109" s="88"/>
      <c r="BE109" s="37"/>
      <c r="BF109" s="36"/>
    </row>
    <row r="110" spans="4:58" ht="15" customHeight="1">
      <c r="D110" s="36"/>
      <c r="F110" s="41"/>
      <c r="N110" s="80"/>
      <c r="AB110" s="49"/>
      <c r="AE110" s="36"/>
      <c r="AO110" s="37"/>
      <c r="AP110" s="80"/>
      <c r="AQ110" s="82"/>
      <c r="AR110" s="83"/>
      <c r="AS110" s="84"/>
      <c r="AV110" s="82"/>
      <c r="AW110" s="90"/>
      <c r="AX110" s="91"/>
      <c r="AY110" s="87"/>
      <c r="BB110" s="88"/>
      <c r="BE110" s="37"/>
      <c r="BF110" s="36"/>
    </row>
    <row r="111" spans="4:58" ht="15" customHeight="1">
      <c r="D111" s="36"/>
      <c r="F111" s="41"/>
      <c r="N111" s="80"/>
      <c r="AB111" s="49"/>
      <c r="AE111" s="36"/>
      <c r="AO111" s="37"/>
      <c r="AP111" s="80"/>
      <c r="AQ111" s="82"/>
      <c r="AR111" s="83"/>
      <c r="AS111" s="84"/>
      <c r="AV111" s="82"/>
      <c r="AW111" s="90"/>
      <c r="AX111" s="91"/>
      <c r="AY111" s="87"/>
      <c r="BB111" s="88"/>
      <c r="BE111" s="37"/>
      <c r="BF111" s="36"/>
    </row>
    <row r="112" spans="4:58" ht="15" customHeight="1">
      <c r="D112" s="36"/>
      <c r="F112" s="41"/>
      <c r="N112" s="80"/>
      <c r="Y112" s="89"/>
      <c r="AB112" s="49"/>
      <c r="AE112" s="36"/>
      <c r="AO112" s="37"/>
      <c r="AP112" s="80"/>
      <c r="AQ112" s="82"/>
      <c r="AR112" s="83"/>
      <c r="AS112" s="84"/>
      <c r="AV112" s="82"/>
      <c r="AW112" s="90"/>
      <c r="AX112" s="91"/>
      <c r="AY112" s="87"/>
      <c r="BB112" s="88"/>
      <c r="BE112" s="37"/>
      <c r="BF112" s="36"/>
    </row>
    <row r="113" spans="4:58" ht="15" customHeight="1">
      <c r="D113" s="36"/>
      <c r="F113" s="41"/>
      <c r="N113" s="80"/>
      <c r="AB113" s="49"/>
      <c r="AE113" s="36"/>
      <c r="AP113" s="80"/>
      <c r="BF113" s="36"/>
    </row>
    <row r="114" spans="4:58" ht="15" customHeight="1">
      <c r="D114" s="36"/>
      <c r="F114" s="41"/>
      <c r="N114" s="80"/>
      <c r="AB114" s="49"/>
      <c r="AE114" s="36"/>
      <c r="AP114" s="80"/>
      <c r="BF114" s="36"/>
    </row>
    <row r="115" spans="4:58" ht="15" customHeight="1">
      <c r="D115" s="36"/>
      <c r="F115" s="41"/>
      <c r="N115" s="80"/>
      <c r="AB115" s="49"/>
      <c r="AE115" s="36"/>
      <c r="AP115" s="80"/>
      <c r="BF115" s="36"/>
    </row>
    <row r="116" spans="4:58" ht="15" customHeight="1">
      <c r="D116" s="36"/>
      <c r="F116" s="41"/>
      <c r="N116" s="80"/>
      <c r="AB116" s="49"/>
      <c r="AE116" s="36"/>
      <c r="AP116" s="80"/>
      <c r="BF116" s="36"/>
    </row>
    <row r="117" spans="4:58" ht="15" customHeight="1">
      <c r="D117" s="36"/>
      <c r="F117" s="41"/>
      <c r="N117" s="80"/>
      <c r="AB117" s="49"/>
      <c r="AE117" s="36"/>
      <c r="AP117" s="80"/>
      <c r="BF117" s="36"/>
    </row>
    <row r="118" spans="4:58" ht="15" customHeight="1">
      <c r="D118" s="36"/>
      <c r="F118" s="41"/>
      <c r="N118" s="80"/>
      <c r="AB118" s="49"/>
      <c r="AE118" s="36"/>
      <c r="AO118" s="37"/>
      <c r="AP118" s="80"/>
      <c r="AQ118" s="82"/>
      <c r="AR118" s="83"/>
      <c r="AS118" s="84"/>
      <c r="AV118" s="82"/>
      <c r="AW118" s="90"/>
      <c r="AX118" s="91"/>
      <c r="AY118" s="87"/>
      <c r="BB118" s="88"/>
      <c r="BE118" s="37"/>
      <c r="BF118" s="36"/>
    </row>
    <row r="119" spans="4:58" ht="15" customHeight="1">
      <c r="D119" s="36"/>
      <c r="F119" s="41"/>
      <c r="N119" s="80"/>
      <c r="AB119" s="49"/>
      <c r="AE119" s="36"/>
      <c r="AO119" s="37"/>
      <c r="AP119" s="80"/>
      <c r="AQ119" s="82"/>
      <c r="AR119" s="83"/>
      <c r="AS119" s="84"/>
      <c r="AV119" s="82"/>
      <c r="AW119" s="90"/>
      <c r="AX119" s="91"/>
      <c r="AY119" s="87"/>
      <c r="BB119" s="88"/>
      <c r="BE119" s="37"/>
      <c r="BF119" s="36"/>
    </row>
    <row r="120" spans="4:58" ht="15" customHeight="1">
      <c r="D120" s="36"/>
      <c r="F120" s="41"/>
      <c r="N120" s="80"/>
      <c r="AB120" s="49"/>
      <c r="AE120" s="36"/>
      <c r="AO120" s="37"/>
      <c r="AP120" s="80"/>
      <c r="AQ120" s="82"/>
      <c r="AR120" s="83"/>
      <c r="AS120" s="84"/>
      <c r="AV120" s="82"/>
      <c r="AW120" s="90"/>
      <c r="AX120" s="91"/>
      <c r="AY120" s="87"/>
      <c r="BB120" s="88"/>
      <c r="BE120" s="37"/>
      <c r="BF120" s="36"/>
    </row>
    <row r="121" spans="4:58" ht="15" customHeight="1">
      <c r="D121" s="36"/>
      <c r="F121" s="41"/>
      <c r="N121" s="80"/>
      <c r="AB121" s="49"/>
      <c r="AE121" s="36"/>
      <c r="AO121" s="37"/>
      <c r="AP121" s="80"/>
      <c r="AQ121" s="82"/>
      <c r="AR121" s="83"/>
      <c r="AS121" s="84"/>
      <c r="AV121" s="82"/>
      <c r="AW121" s="90"/>
      <c r="AX121" s="91"/>
      <c r="AY121" s="87"/>
      <c r="BB121" s="88"/>
      <c r="BE121" s="37"/>
      <c r="BF121" s="36"/>
    </row>
    <row r="122" spans="4:58" ht="15" customHeight="1">
      <c r="D122" s="36"/>
      <c r="N122" s="80"/>
      <c r="AB122" s="49"/>
      <c r="AE122" s="36"/>
      <c r="AO122" s="37"/>
      <c r="AP122" s="80"/>
      <c r="AQ122" s="82"/>
      <c r="AR122" s="83"/>
      <c r="AS122" s="84"/>
      <c r="AV122" s="82"/>
      <c r="AW122" s="90"/>
      <c r="AX122" s="91"/>
      <c r="AY122" s="87"/>
      <c r="BB122" s="88"/>
      <c r="BE122" s="37"/>
      <c r="BF122" s="36"/>
    </row>
    <row r="123" spans="4:58" ht="15" customHeight="1">
      <c r="D123" s="36"/>
      <c r="N123" s="80"/>
      <c r="AB123" s="49"/>
      <c r="AE123" s="36"/>
      <c r="AO123" s="37"/>
      <c r="AP123" s="80"/>
      <c r="AQ123" s="82"/>
      <c r="AR123" s="83"/>
      <c r="AS123" s="84"/>
      <c r="AV123" s="82"/>
      <c r="AW123" s="90"/>
      <c r="AX123" s="91"/>
      <c r="AY123" s="87"/>
      <c r="BB123" s="88"/>
      <c r="BE123" s="37"/>
      <c r="BF123" s="36"/>
    </row>
    <row r="124" spans="4:58" ht="15" customHeight="1">
      <c r="D124" s="36"/>
      <c r="M124" s="37"/>
      <c r="N124" s="80"/>
      <c r="O124" s="82"/>
      <c r="P124" s="83"/>
      <c r="Q124" s="84"/>
      <c r="U124" s="82"/>
      <c r="V124" s="90"/>
      <c r="W124" s="91"/>
      <c r="X124" s="87"/>
      <c r="AA124" s="88"/>
      <c r="AD124" s="37"/>
      <c r="AE124" s="36"/>
      <c r="AO124" s="37"/>
      <c r="AP124" s="80"/>
      <c r="AQ124" s="82"/>
      <c r="AR124" s="83"/>
      <c r="AS124" s="84"/>
      <c r="AV124" s="82"/>
      <c r="AW124" s="90"/>
      <c r="AX124" s="91"/>
      <c r="AY124" s="87"/>
      <c r="BB124" s="88"/>
      <c r="BE124" s="37"/>
      <c r="BF124" s="36"/>
    </row>
    <row r="125" spans="4:58" ht="15" customHeight="1">
      <c r="D125" s="36"/>
      <c r="N125" s="80"/>
      <c r="AB125" s="49"/>
      <c r="AE125" s="36"/>
      <c r="AO125" s="37"/>
      <c r="AP125" s="80"/>
      <c r="AQ125" s="82"/>
      <c r="AR125" s="83"/>
      <c r="AS125" s="84"/>
      <c r="AV125" s="82"/>
      <c r="AW125" s="90"/>
      <c r="AX125" s="91"/>
      <c r="AY125" s="87"/>
      <c r="BB125" s="88"/>
      <c r="BE125" s="37"/>
      <c r="BF125" s="36"/>
    </row>
    <row r="126" spans="4:58" ht="15" customHeight="1">
      <c r="D126" s="36"/>
      <c r="N126" s="80"/>
      <c r="Y126" s="89"/>
      <c r="AB126" s="49"/>
      <c r="AE126" s="36"/>
      <c r="AO126" s="37"/>
      <c r="AP126" s="80"/>
      <c r="AQ126" s="82"/>
      <c r="AR126" s="83"/>
      <c r="AS126" s="84"/>
      <c r="AV126" s="82"/>
      <c r="AW126" s="90"/>
      <c r="AX126" s="91"/>
      <c r="AY126" s="87"/>
      <c r="BB126" s="88"/>
      <c r="BE126" s="37"/>
      <c r="BF126" s="36"/>
    </row>
    <row r="127" spans="4:58" ht="15" customHeight="1">
      <c r="D127" s="36"/>
      <c r="N127" s="80"/>
      <c r="AB127" s="49"/>
      <c r="AE127" s="36"/>
      <c r="AO127" s="37"/>
      <c r="AP127" s="80"/>
      <c r="AQ127" s="82"/>
      <c r="AR127" s="83"/>
      <c r="AS127" s="84"/>
      <c r="AV127" s="82"/>
      <c r="AW127" s="90"/>
      <c r="AX127" s="91"/>
      <c r="AY127" s="87"/>
      <c r="BB127" s="88"/>
      <c r="BE127" s="37"/>
      <c r="BF127" s="36"/>
    </row>
    <row r="128" spans="4:58" ht="15" customHeight="1">
      <c r="D128" s="36"/>
      <c r="N128" s="80"/>
      <c r="AB128" s="49"/>
      <c r="AE128" s="36"/>
      <c r="AO128" s="37"/>
      <c r="AP128" s="80"/>
      <c r="AQ128" s="82"/>
      <c r="AR128" s="83"/>
      <c r="AS128" s="84"/>
      <c r="AV128" s="82"/>
      <c r="AW128" s="90"/>
      <c r="AX128" s="91"/>
      <c r="AY128" s="87"/>
      <c r="BB128" s="88"/>
      <c r="BE128" s="37"/>
      <c r="BF128" s="36"/>
    </row>
    <row r="129" spans="4:58" ht="15" customHeight="1">
      <c r="D129" s="36"/>
      <c r="N129" s="80"/>
      <c r="AB129" s="49"/>
      <c r="AE129" s="36"/>
      <c r="AO129" s="37"/>
      <c r="AP129" s="80"/>
      <c r="AQ129" s="82"/>
      <c r="AR129" s="83"/>
      <c r="AS129" s="84"/>
      <c r="AV129" s="82"/>
      <c r="AW129" s="90"/>
      <c r="AX129" s="91"/>
      <c r="AY129" s="87"/>
      <c r="BB129" s="88"/>
      <c r="BE129" s="37"/>
      <c r="BF129" s="36"/>
    </row>
    <row r="130" spans="4:58" ht="15" customHeight="1">
      <c r="D130" s="36"/>
      <c r="N130" s="80"/>
      <c r="AB130" s="49"/>
      <c r="AE130" s="36"/>
      <c r="AO130" s="37"/>
      <c r="AP130" s="80"/>
      <c r="AQ130" s="82"/>
      <c r="AR130" s="83"/>
      <c r="AS130" s="84"/>
      <c r="AV130" s="82"/>
      <c r="AW130" s="90"/>
      <c r="AX130" s="91"/>
      <c r="AY130" s="87"/>
      <c r="BB130" s="88"/>
      <c r="BE130" s="37"/>
      <c r="BF130" s="36"/>
    </row>
    <row r="131" spans="4:58" ht="15" customHeight="1">
      <c r="D131" s="36"/>
      <c r="N131" s="80"/>
      <c r="AB131" s="49"/>
      <c r="AE131" s="36"/>
      <c r="AP131" s="80"/>
      <c r="BF131" s="36"/>
    </row>
    <row r="132" spans="4:58" ht="15" customHeight="1">
      <c r="D132" s="36"/>
      <c r="N132" s="80"/>
      <c r="AB132" s="49"/>
      <c r="AE132" s="36"/>
      <c r="AP132" s="80"/>
      <c r="BF132" s="36"/>
    </row>
    <row r="133" spans="4:58" ht="15" customHeight="1">
      <c r="D133" s="36"/>
      <c r="N133" s="80"/>
      <c r="AB133" s="49"/>
      <c r="AE133" s="36"/>
      <c r="AO133" s="37"/>
      <c r="AP133" s="80"/>
      <c r="AQ133" s="82"/>
      <c r="AR133" s="83"/>
      <c r="AS133" s="84"/>
      <c r="AV133" s="82"/>
      <c r="AW133" s="90"/>
      <c r="AX133" s="91"/>
      <c r="AY133" s="87"/>
      <c r="BB133" s="88"/>
      <c r="BE133" s="37"/>
      <c r="BF133" s="36"/>
    </row>
    <row r="134" spans="4:58" ht="15" customHeight="1">
      <c r="D134" s="36"/>
      <c r="N134" s="80"/>
      <c r="AB134" s="49"/>
      <c r="AE134" s="36"/>
      <c r="AO134" s="37"/>
      <c r="AP134" s="80"/>
      <c r="AQ134" s="82"/>
      <c r="AR134" s="83"/>
      <c r="AS134" s="84"/>
      <c r="AV134" s="82"/>
      <c r="AW134" s="90"/>
      <c r="AX134" s="91"/>
      <c r="AY134" s="87"/>
      <c r="BB134" s="88"/>
      <c r="BE134" s="37"/>
      <c r="BF134" s="36"/>
    </row>
    <row r="135" spans="4:58" ht="15" customHeight="1">
      <c r="D135" s="36"/>
      <c r="N135" s="80"/>
      <c r="AB135" s="49"/>
      <c r="AE135" s="36"/>
      <c r="AO135" s="37"/>
      <c r="AP135" s="80"/>
      <c r="AQ135" s="82"/>
      <c r="AR135" s="83"/>
      <c r="AS135" s="84"/>
      <c r="AV135" s="82"/>
      <c r="AW135" s="90"/>
      <c r="AX135" s="91"/>
      <c r="AY135" s="87"/>
      <c r="BB135" s="88"/>
      <c r="BE135" s="37"/>
      <c r="BF135" s="36"/>
    </row>
    <row r="136" spans="4:58" ht="15" customHeight="1">
      <c r="D136" s="36"/>
      <c r="N136" s="80"/>
      <c r="AB136" s="49"/>
      <c r="AE136" s="36"/>
      <c r="AO136" s="37"/>
      <c r="AP136" s="80"/>
      <c r="AQ136" s="82"/>
      <c r="AR136" s="83"/>
      <c r="AS136" s="84"/>
      <c r="AV136" s="82"/>
      <c r="AW136" s="90"/>
      <c r="AX136" s="91"/>
      <c r="AY136" s="87"/>
      <c r="BB136" s="88"/>
      <c r="BE136" s="37"/>
      <c r="BF136" s="36"/>
    </row>
    <row r="137" spans="4:58" ht="15" customHeight="1">
      <c r="D137" s="36"/>
      <c r="N137" s="80"/>
      <c r="AB137" s="49"/>
      <c r="AE137" s="36"/>
      <c r="AO137" s="37"/>
      <c r="AP137" s="80"/>
      <c r="AQ137" s="82"/>
      <c r="AR137" s="83"/>
      <c r="AS137" s="84"/>
      <c r="AV137" s="82"/>
      <c r="AW137" s="90"/>
      <c r="AX137" s="91"/>
      <c r="AY137" s="87"/>
      <c r="BB137" s="88"/>
      <c r="BE137" s="37"/>
      <c r="BF137" s="36"/>
    </row>
    <row r="138" spans="4:58" ht="15" customHeight="1">
      <c r="D138" s="36"/>
      <c r="N138" s="80"/>
      <c r="AB138" s="49"/>
      <c r="AE138" s="36"/>
      <c r="AO138" s="37"/>
      <c r="AP138" s="80"/>
      <c r="AQ138" s="82"/>
      <c r="AR138" s="83"/>
      <c r="AS138" s="84"/>
      <c r="AV138" s="82"/>
      <c r="AW138" s="90"/>
      <c r="AX138" s="91"/>
      <c r="AY138" s="87"/>
      <c r="BB138" s="88"/>
      <c r="BE138" s="37"/>
      <c r="BF138" s="36"/>
    </row>
    <row r="139" spans="4:58" ht="15" customHeight="1">
      <c r="D139" s="36"/>
      <c r="N139" s="80"/>
      <c r="AB139" s="49"/>
      <c r="AE139" s="36"/>
      <c r="AO139" s="37"/>
      <c r="AP139" s="80"/>
      <c r="AQ139" s="82"/>
      <c r="AR139" s="83"/>
      <c r="AS139" s="84"/>
      <c r="AV139" s="82"/>
      <c r="AW139" s="90"/>
      <c r="AX139" s="91"/>
      <c r="AY139" s="87"/>
      <c r="BB139" s="88"/>
      <c r="BE139" s="37"/>
      <c r="BF139" s="36"/>
    </row>
    <row r="140" spans="4:58" ht="15" customHeight="1">
      <c r="D140" s="36"/>
      <c r="N140" s="80"/>
      <c r="AB140" s="49"/>
      <c r="AE140" s="36"/>
      <c r="AO140" s="37"/>
      <c r="AP140" s="80"/>
      <c r="AQ140" s="82"/>
      <c r="AR140" s="83"/>
      <c r="AS140" s="84"/>
      <c r="AV140" s="82"/>
      <c r="AW140" s="90"/>
      <c r="AX140" s="91"/>
      <c r="AY140" s="87"/>
      <c r="BB140" s="88"/>
      <c r="BE140" s="37"/>
      <c r="BF140" s="36"/>
    </row>
    <row r="141" spans="4:58" ht="15" customHeight="1">
      <c r="D141" s="36"/>
      <c r="N141" s="80"/>
      <c r="AB141" s="49"/>
      <c r="AE141" s="36"/>
      <c r="AO141" s="37"/>
      <c r="AP141" s="80"/>
      <c r="AQ141" s="82"/>
      <c r="AR141" s="83"/>
      <c r="AS141" s="84"/>
      <c r="AV141" s="82"/>
      <c r="AW141" s="90"/>
      <c r="AX141" s="91"/>
      <c r="AY141" s="87"/>
      <c r="BB141" s="88"/>
      <c r="BE141" s="37"/>
      <c r="BF141" s="36"/>
    </row>
    <row r="142" spans="4:58" ht="15" customHeight="1">
      <c r="D142" s="36"/>
      <c r="N142" s="80"/>
      <c r="AB142" s="49"/>
      <c r="AE142" s="36"/>
      <c r="AO142" s="37"/>
      <c r="AP142" s="80"/>
      <c r="AQ142" s="82"/>
      <c r="AR142" s="83"/>
      <c r="AS142" s="84"/>
      <c r="AV142" s="82"/>
      <c r="AW142" s="90"/>
      <c r="AX142" s="91"/>
      <c r="AY142" s="87"/>
      <c r="BB142" s="88"/>
      <c r="BE142" s="37"/>
      <c r="BF142" s="36"/>
    </row>
    <row r="143" spans="4:58" ht="15" customHeight="1">
      <c r="D143" s="36"/>
      <c r="N143" s="80"/>
      <c r="AB143" s="49"/>
      <c r="AE143" s="36"/>
      <c r="AO143" s="37"/>
      <c r="AP143" s="80"/>
      <c r="AQ143" s="82"/>
      <c r="AR143" s="83"/>
      <c r="AS143" s="84"/>
      <c r="AV143" s="82"/>
      <c r="AW143" s="90"/>
      <c r="AX143" s="91"/>
      <c r="AY143" s="87"/>
      <c r="BB143" s="88"/>
      <c r="BE143" s="37"/>
      <c r="BF143" s="36"/>
    </row>
    <row r="144" spans="4:58" ht="15" customHeight="1">
      <c r="D144" s="36"/>
      <c r="N144" s="80"/>
      <c r="AB144" s="49"/>
      <c r="AE144" s="36"/>
      <c r="AO144" s="37"/>
      <c r="AP144" s="80"/>
      <c r="AQ144" s="82"/>
      <c r="AR144" s="83"/>
      <c r="AS144" s="84"/>
      <c r="AV144" s="82"/>
      <c r="AW144" s="90"/>
      <c r="AX144" s="91"/>
      <c r="AY144" s="87"/>
      <c r="BB144" s="88"/>
      <c r="BE144" s="37"/>
      <c r="BF144" s="36"/>
    </row>
    <row r="145" spans="4:58" ht="15" customHeight="1">
      <c r="D145" s="36"/>
      <c r="N145" s="80"/>
      <c r="AB145" s="49"/>
      <c r="AE145" s="36"/>
      <c r="AO145" s="37"/>
      <c r="AP145" s="80"/>
      <c r="AQ145" s="82"/>
      <c r="AR145" s="83"/>
      <c r="AS145" s="84"/>
      <c r="AV145" s="82"/>
      <c r="AW145" s="90"/>
      <c r="AX145" s="91"/>
      <c r="AY145" s="87"/>
      <c r="BB145" s="88"/>
      <c r="BE145" s="37"/>
      <c r="BF145" s="36"/>
    </row>
    <row r="146" spans="4:58" ht="15" customHeight="1">
      <c r="D146" s="36"/>
      <c r="N146" s="80"/>
      <c r="AB146" s="49"/>
      <c r="AE146" s="36"/>
      <c r="AO146" s="37"/>
      <c r="AP146" s="80"/>
      <c r="AQ146" s="82"/>
      <c r="AR146" s="83"/>
      <c r="AS146" s="84"/>
      <c r="AV146" s="82"/>
      <c r="AW146" s="90"/>
      <c r="AX146" s="91"/>
      <c r="AY146" s="87"/>
      <c r="BB146" s="88"/>
      <c r="BE146" s="37"/>
      <c r="BF146" s="36"/>
    </row>
    <row r="147" spans="4:58" ht="15" customHeight="1">
      <c r="D147" s="36"/>
      <c r="N147" s="80"/>
      <c r="AB147" s="49"/>
      <c r="AE147" s="36"/>
      <c r="AO147" s="37"/>
      <c r="AP147" s="80"/>
      <c r="AQ147" s="82"/>
      <c r="AR147" s="83"/>
      <c r="AS147" s="84"/>
      <c r="AV147" s="82"/>
      <c r="AW147" s="90"/>
      <c r="AX147" s="91"/>
      <c r="AY147" s="87"/>
      <c r="BB147" s="88"/>
      <c r="BE147" s="37"/>
      <c r="BF147" s="36"/>
    </row>
    <row r="148" spans="4:58" ht="15" customHeight="1">
      <c r="D148" s="36"/>
      <c r="N148" s="80"/>
      <c r="AB148" s="49"/>
      <c r="AE148" s="36"/>
      <c r="AO148" s="37"/>
      <c r="AP148" s="80"/>
      <c r="AQ148" s="82"/>
      <c r="AR148" s="83"/>
      <c r="AS148" s="84"/>
      <c r="AV148" s="82"/>
      <c r="AW148" s="90"/>
      <c r="AX148" s="91"/>
      <c r="AY148" s="87"/>
      <c r="BB148" s="88"/>
      <c r="BE148" s="37"/>
      <c r="BF148" s="36"/>
    </row>
    <row r="149" spans="4:58" ht="15" customHeight="1">
      <c r="D149" s="36"/>
      <c r="N149" s="80"/>
      <c r="AB149" s="49"/>
      <c r="AE149" s="36"/>
      <c r="AO149" s="37"/>
      <c r="AP149" s="80"/>
      <c r="AQ149" s="82"/>
      <c r="AR149" s="83"/>
      <c r="AS149" s="84"/>
      <c r="AV149" s="82"/>
      <c r="AW149" s="90"/>
      <c r="AX149" s="91"/>
      <c r="AY149" s="87"/>
      <c r="BB149" s="88"/>
      <c r="BE149" s="37"/>
      <c r="BF149" s="36"/>
    </row>
    <row r="150" spans="4:58" ht="15" customHeight="1">
      <c r="D150" s="36"/>
      <c r="N150" s="80"/>
      <c r="Y150" s="89"/>
      <c r="AB150" s="49"/>
      <c r="AE150" s="36"/>
      <c r="AO150" s="37"/>
      <c r="AP150" s="80"/>
      <c r="AQ150" s="82"/>
      <c r="AR150" s="83"/>
      <c r="AS150" s="84"/>
      <c r="AV150" s="82"/>
      <c r="AW150" s="90"/>
      <c r="AX150" s="91"/>
      <c r="AY150" s="87"/>
      <c r="BB150" s="88"/>
      <c r="BE150" s="37"/>
      <c r="BF150" s="36"/>
    </row>
    <row r="151" spans="4:58" ht="15" customHeight="1">
      <c r="D151" s="36"/>
      <c r="N151" s="80"/>
      <c r="Y151" s="89"/>
      <c r="AB151" s="49"/>
      <c r="AE151" s="36"/>
      <c r="AO151" s="37"/>
      <c r="AP151" s="80"/>
      <c r="AQ151" s="82"/>
      <c r="AR151" s="83"/>
      <c r="AS151" s="84"/>
      <c r="AV151" s="82"/>
      <c r="AW151" s="90"/>
      <c r="AX151" s="91"/>
      <c r="AY151" s="87"/>
      <c r="BB151" s="88"/>
      <c r="BE151" s="37"/>
      <c r="BF151" s="36"/>
    </row>
    <row r="152" spans="4:58" ht="15" customHeight="1">
      <c r="D152" s="36"/>
      <c r="N152" s="80"/>
      <c r="AB152" s="49"/>
      <c r="AE152" s="36"/>
      <c r="AP152" s="80"/>
      <c r="BF152" s="36"/>
    </row>
    <row r="153" spans="4:58" ht="15" customHeight="1">
      <c r="D153" s="36"/>
      <c r="N153" s="80"/>
      <c r="AB153" s="49"/>
      <c r="AE153" s="36"/>
      <c r="AP153" s="80"/>
      <c r="BF153" s="36"/>
    </row>
    <row r="154" spans="4:58" ht="15" customHeight="1">
      <c r="D154" s="36"/>
      <c r="N154" s="80"/>
      <c r="AB154" s="49"/>
      <c r="AE154" s="36"/>
      <c r="AP154" s="80"/>
      <c r="BF154" s="36"/>
    </row>
    <row r="155" spans="4:58" ht="15" customHeight="1">
      <c r="D155" s="36"/>
      <c r="N155" s="80"/>
      <c r="AB155" s="49"/>
      <c r="AE155" s="36"/>
      <c r="AP155" s="80"/>
      <c r="BF155" s="36"/>
    </row>
    <row r="156" spans="4:58" ht="15" customHeight="1">
      <c r="D156" s="36"/>
      <c r="N156" s="80"/>
      <c r="AB156" s="49"/>
      <c r="AE156" s="36"/>
      <c r="AP156" s="80"/>
      <c r="BF156" s="36"/>
    </row>
    <row r="157" spans="4:58" ht="15" customHeight="1">
      <c r="D157" s="36"/>
      <c r="N157" s="80"/>
      <c r="AB157" s="49"/>
      <c r="AE157" s="36"/>
      <c r="AP157" s="80"/>
      <c r="BF157" s="36"/>
    </row>
    <row r="158" spans="4:58" ht="15" customHeight="1">
      <c r="D158" s="36"/>
      <c r="N158" s="80"/>
      <c r="AB158" s="49"/>
      <c r="AE158" s="36"/>
      <c r="AP158" s="80"/>
      <c r="BF158" s="36"/>
    </row>
    <row r="159" spans="4:58" ht="15" customHeight="1">
      <c r="D159" s="36"/>
      <c r="N159" s="80"/>
      <c r="AB159" s="49"/>
      <c r="AE159" s="36"/>
      <c r="AP159" s="80"/>
      <c r="BF159" s="36"/>
    </row>
    <row r="160" spans="4:58" ht="15" customHeight="1">
      <c r="D160" s="36"/>
      <c r="N160" s="80"/>
      <c r="AB160" s="49"/>
      <c r="AE160" s="36"/>
      <c r="AP160" s="80"/>
      <c r="BF160" s="36"/>
    </row>
    <row r="161" spans="4:58" ht="15" customHeight="1">
      <c r="D161" s="36"/>
      <c r="N161" s="80"/>
      <c r="AB161" s="49"/>
      <c r="AE161" s="36"/>
      <c r="AO161" s="37"/>
      <c r="AP161" s="80"/>
      <c r="AQ161" s="82"/>
      <c r="AR161" s="83"/>
      <c r="AS161" s="84"/>
      <c r="AV161" s="82"/>
      <c r="AW161" s="90"/>
      <c r="AX161" s="91"/>
      <c r="AY161" s="87"/>
      <c r="BB161" s="88"/>
      <c r="BE161" s="37"/>
      <c r="BF161" s="36"/>
    </row>
    <row r="162" spans="4:58" ht="15" customHeight="1">
      <c r="D162" s="36"/>
      <c r="N162" s="80"/>
      <c r="AB162" s="49"/>
      <c r="AE162" s="36"/>
      <c r="AO162" s="37"/>
      <c r="AP162" s="80"/>
      <c r="AQ162" s="82"/>
      <c r="AR162" s="83"/>
      <c r="AS162" s="84"/>
      <c r="AV162" s="82"/>
      <c r="AW162" s="90"/>
      <c r="AX162" s="91"/>
      <c r="AY162" s="87"/>
      <c r="BB162" s="88"/>
      <c r="BE162" s="37"/>
      <c r="BF162" s="36"/>
    </row>
    <row r="163" spans="4:58" ht="15" customHeight="1">
      <c r="D163" s="36"/>
      <c r="N163" s="80"/>
      <c r="AB163" s="49"/>
      <c r="AE163" s="36"/>
      <c r="AO163" s="37"/>
      <c r="AP163" s="80"/>
      <c r="AQ163" s="82"/>
      <c r="AR163" s="83"/>
      <c r="AS163" s="84"/>
      <c r="AV163" s="82"/>
      <c r="AW163" s="90"/>
      <c r="AX163" s="91"/>
      <c r="AY163" s="87"/>
      <c r="BB163" s="88"/>
      <c r="BE163" s="37"/>
      <c r="BF163" s="36"/>
    </row>
    <row r="164" spans="4:58" ht="15" customHeight="1">
      <c r="D164" s="36"/>
      <c r="N164" s="80"/>
      <c r="AB164" s="49"/>
      <c r="AE164" s="36"/>
      <c r="AO164" s="37"/>
      <c r="AP164" s="80"/>
      <c r="AQ164" s="82"/>
      <c r="AR164" s="83"/>
      <c r="AS164" s="84"/>
      <c r="AV164" s="82"/>
      <c r="AW164" s="90"/>
      <c r="AX164" s="91"/>
      <c r="AY164" s="87"/>
      <c r="BB164" s="88"/>
      <c r="BE164" s="37"/>
      <c r="BF164" s="36"/>
    </row>
    <row r="165" spans="4:58" ht="15" customHeight="1">
      <c r="D165" s="36"/>
      <c r="N165" s="80"/>
      <c r="AB165" s="49"/>
      <c r="AE165" s="36"/>
      <c r="AO165" s="37"/>
      <c r="AP165" s="80"/>
      <c r="AQ165" s="82"/>
      <c r="AR165" s="83"/>
      <c r="AS165" s="84"/>
      <c r="AV165" s="82"/>
      <c r="AW165" s="90"/>
      <c r="AX165" s="91"/>
      <c r="AY165" s="87"/>
      <c r="BB165" s="88"/>
      <c r="BE165" s="37"/>
      <c r="BF165" s="36"/>
    </row>
    <row r="166" spans="4:58" ht="15" customHeight="1">
      <c r="D166" s="36"/>
      <c r="N166" s="80"/>
      <c r="AB166" s="49"/>
      <c r="AE166" s="36"/>
      <c r="AO166" s="37"/>
      <c r="AP166" s="80"/>
      <c r="AQ166" s="82"/>
      <c r="AR166" s="83"/>
      <c r="AS166" s="84"/>
      <c r="AV166" s="82"/>
      <c r="AW166" s="90"/>
      <c r="AX166" s="91"/>
      <c r="AY166" s="87"/>
      <c r="BB166" s="88"/>
      <c r="BE166" s="37"/>
      <c r="BF166" s="36"/>
    </row>
    <row r="167" spans="4:58" ht="15" customHeight="1">
      <c r="D167" s="36"/>
      <c r="N167" s="80"/>
      <c r="AB167" s="49"/>
      <c r="AE167" s="36"/>
      <c r="AO167" s="37"/>
      <c r="AP167" s="80"/>
      <c r="AQ167" s="82"/>
      <c r="AR167" s="83"/>
      <c r="AS167" s="84"/>
      <c r="AV167" s="82"/>
      <c r="AW167" s="90"/>
      <c r="AX167" s="91"/>
      <c r="AY167" s="87"/>
      <c r="BB167" s="88"/>
      <c r="BE167" s="37"/>
      <c r="BF167" s="36"/>
    </row>
    <row r="168" spans="4:58" ht="15" customHeight="1">
      <c r="D168" s="36"/>
      <c r="N168" s="80"/>
      <c r="AB168" s="49"/>
      <c r="AE168" s="36"/>
      <c r="AO168" s="37"/>
      <c r="AP168" s="80"/>
      <c r="AQ168" s="82"/>
      <c r="AR168" s="83"/>
      <c r="AS168" s="84"/>
      <c r="AV168" s="82"/>
      <c r="AW168" s="90"/>
      <c r="AX168" s="91"/>
      <c r="AY168" s="87"/>
      <c r="BB168" s="88"/>
      <c r="BE168" s="37"/>
      <c r="BF168" s="36"/>
    </row>
    <row r="169" spans="4:58" ht="15" customHeight="1">
      <c r="D169" s="36"/>
      <c r="N169" s="80"/>
      <c r="AB169" s="49"/>
      <c r="AE169" s="36"/>
      <c r="AO169" s="37"/>
      <c r="AP169" s="80"/>
      <c r="AQ169" s="82"/>
      <c r="AR169" s="83"/>
      <c r="AS169" s="84"/>
      <c r="AV169" s="82"/>
      <c r="AW169" s="90"/>
      <c r="AX169" s="91"/>
      <c r="AY169" s="87"/>
      <c r="BB169" s="88"/>
      <c r="BE169" s="37"/>
      <c r="BF169" s="36"/>
    </row>
    <row r="170" spans="4:58" ht="15" customHeight="1">
      <c r="D170" s="36"/>
      <c r="N170" s="80"/>
      <c r="AB170" s="49"/>
      <c r="AE170" s="36"/>
      <c r="AO170" s="37"/>
      <c r="AP170" s="80"/>
      <c r="AQ170" s="82"/>
      <c r="AR170" s="83"/>
      <c r="AS170" s="84"/>
      <c r="AV170" s="82"/>
      <c r="AW170" s="90"/>
      <c r="AX170" s="91"/>
      <c r="AY170" s="87"/>
      <c r="BB170" s="88"/>
      <c r="BE170" s="37"/>
      <c r="BF170" s="36"/>
    </row>
    <row r="171" spans="4:58" ht="15" customHeight="1">
      <c r="D171" s="36"/>
      <c r="N171" s="80"/>
      <c r="O171" s="82"/>
      <c r="P171" s="83"/>
      <c r="Q171" s="84"/>
      <c r="U171" s="82"/>
      <c r="V171" s="85"/>
      <c r="W171" s="86"/>
      <c r="X171" s="87"/>
      <c r="AA171" s="88"/>
      <c r="AB171" s="49"/>
      <c r="AE171" s="36"/>
      <c r="AO171" s="37"/>
      <c r="AP171" s="80"/>
      <c r="AQ171" s="82"/>
      <c r="AR171" s="83"/>
      <c r="AS171" s="84"/>
      <c r="AV171" s="82"/>
      <c r="AW171" s="90"/>
      <c r="AX171" s="91"/>
      <c r="AY171" s="87"/>
      <c r="BB171" s="88"/>
      <c r="BE171" s="37"/>
      <c r="BF171" s="36"/>
    </row>
    <row r="172" spans="4:58" ht="15" customHeight="1">
      <c r="D172" s="36"/>
      <c r="N172" s="80"/>
      <c r="AB172" s="49"/>
      <c r="AE172" s="36"/>
      <c r="AO172" s="37"/>
      <c r="AP172" s="80"/>
      <c r="AQ172" s="82"/>
      <c r="AR172" s="83"/>
      <c r="AS172" s="84"/>
      <c r="AV172" s="82"/>
      <c r="AW172" s="90"/>
      <c r="AX172" s="91"/>
      <c r="AY172" s="87"/>
      <c r="BB172" s="88"/>
      <c r="BE172" s="37"/>
      <c r="BF172" s="36"/>
    </row>
    <row r="173" spans="4:58" ht="15" customHeight="1">
      <c r="D173" s="36"/>
      <c r="N173" s="80"/>
      <c r="AB173" s="49"/>
      <c r="AE173" s="36"/>
      <c r="AO173" s="37"/>
      <c r="AP173" s="80"/>
      <c r="AQ173" s="82"/>
      <c r="AR173" s="83"/>
      <c r="AS173" s="84"/>
      <c r="AV173" s="82"/>
      <c r="AW173" s="90"/>
      <c r="AX173" s="91"/>
      <c r="AY173" s="87"/>
      <c r="BB173" s="88"/>
      <c r="BE173" s="37"/>
      <c r="BF173" s="36"/>
    </row>
    <row r="174" spans="4:58" ht="15" customHeight="1">
      <c r="D174" s="36"/>
      <c r="N174" s="80"/>
      <c r="AB174" s="49"/>
      <c r="AE174" s="36"/>
      <c r="AO174" s="37"/>
      <c r="AP174" s="80"/>
      <c r="AQ174" s="82"/>
      <c r="AR174" s="83"/>
      <c r="AS174" s="84"/>
      <c r="AV174" s="82"/>
      <c r="AW174" s="90"/>
      <c r="AX174" s="91"/>
      <c r="AY174" s="87"/>
      <c r="BB174" s="88"/>
      <c r="BE174" s="37"/>
      <c r="BF174" s="36"/>
    </row>
    <row r="175" spans="4:58" ht="15" customHeight="1">
      <c r="D175" s="36"/>
      <c r="N175" s="80"/>
      <c r="AB175" s="49"/>
      <c r="AE175" s="36"/>
      <c r="AO175" s="37"/>
      <c r="AP175" s="80"/>
      <c r="AQ175" s="82"/>
      <c r="AR175" s="83"/>
      <c r="AS175" s="84"/>
      <c r="AV175" s="82"/>
      <c r="AW175" s="90"/>
      <c r="AX175" s="91"/>
      <c r="AY175" s="87"/>
      <c r="BB175" s="88"/>
      <c r="BE175" s="37"/>
      <c r="BF175" s="36"/>
    </row>
    <row r="176" spans="4:58" ht="15" customHeight="1">
      <c r="D176" s="36"/>
      <c r="N176" s="80"/>
      <c r="AB176" s="49"/>
      <c r="AE176" s="36"/>
      <c r="AO176" s="37"/>
      <c r="AP176" s="80"/>
      <c r="AQ176" s="82"/>
      <c r="AR176" s="83"/>
      <c r="AS176" s="84"/>
      <c r="AV176" s="82"/>
      <c r="AW176" s="90"/>
      <c r="AX176" s="91"/>
      <c r="AY176" s="87"/>
      <c r="BB176" s="88"/>
      <c r="BE176" s="37"/>
      <c r="BF176" s="36"/>
    </row>
    <row r="177" spans="1:58" ht="15" customHeight="1">
      <c r="D177" s="36"/>
      <c r="N177" s="80"/>
      <c r="AB177" s="49"/>
      <c r="AE177" s="36"/>
      <c r="AO177" s="37"/>
      <c r="AP177" s="80"/>
      <c r="AQ177" s="82"/>
      <c r="AR177" s="83"/>
      <c r="AS177" s="84"/>
      <c r="AV177" s="82"/>
      <c r="AW177" s="90"/>
      <c r="AX177" s="91"/>
      <c r="AY177" s="87"/>
      <c r="BB177" s="88"/>
      <c r="BE177" s="37"/>
      <c r="BF177" s="36"/>
    </row>
    <row r="178" spans="1:58" ht="15" customHeight="1">
      <c r="D178" s="36"/>
      <c r="N178" s="80"/>
      <c r="AB178" s="49"/>
      <c r="AE178" s="36"/>
      <c r="AO178" s="37"/>
      <c r="AP178" s="80"/>
      <c r="AQ178" s="82"/>
      <c r="AR178" s="83"/>
      <c r="AS178" s="84"/>
      <c r="AV178" s="82"/>
      <c r="AW178" s="90"/>
      <c r="AX178" s="91"/>
      <c r="AY178" s="87"/>
      <c r="BB178" s="88"/>
      <c r="BE178" s="37"/>
      <c r="BF178" s="36"/>
    </row>
    <row r="179" spans="1:58" ht="15" customHeight="1">
      <c r="D179" s="36"/>
      <c r="N179" s="80"/>
      <c r="AB179" s="49"/>
      <c r="AE179" s="36"/>
      <c r="AO179" s="37"/>
      <c r="AP179" s="80"/>
      <c r="AQ179" s="82"/>
      <c r="AR179" s="83"/>
      <c r="AS179" s="84"/>
      <c r="AV179" s="82"/>
      <c r="AW179" s="90"/>
      <c r="AX179" s="91"/>
      <c r="AY179" s="87"/>
      <c r="BB179" s="88"/>
      <c r="BE179" s="37"/>
      <c r="BF179" s="36"/>
    </row>
    <row r="180" spans="1:58" ht="15" customHeight="1">
      <c r="D180" s="36"/>
      <c r="N180" s="80"/>
      <c r="AB180" s="49"/>
      <c r="AE180" s="36"/>
      <c r="AO180" s="37"/>
      <c r="AP180" s="80"/>
      <c r="AQ180" s="82"/>
      <c r="AR180" s="83"/>
      <c r="AS180" s="84"/>
      <c r="AV180" s="82"/>
      <c r="AW180" s="90"/>
      <c r="AX180" s="91"/>
      <c r="AY180" s="87"/>
      <c r="BB180" s="88"/>
      <c r="BE180" s="37"/>
      <c r="BF180" s="36"/>
    </row>
    <row r="181" spans="1:58" ht="15" customHeight="1">
      <c r="D181" s="36"/>
      <c r="N181" s="80"/>
      <c r="AB181" s="49"/>
      <c r="AE181" s="36"/>
      <c r="AO181" s="37"/>
      <c r="AP181" s="80"/>
      <c r="AQ181" s="82"/>
      <c r="AR181" s="83"/>
      <c r="AS181" s="84"/>
      <c r="AV181" s="82"/>
      <c r="AW181" s="90"/>
      <c r="AX181" s="91"/>
      <c r="AY181" s="87"/>
      <c r="BB181" s="88"/>
      <c r="BE181" s="37"/>
      <c r="BF181" s="36"/>
    </row>
    <row r="182" spans="1:58" ht="15" customHeight="1">
      <c r="D182" s="36"/>
      <c r="N182" s="80"/>
      <c r="O182" s="82"/>
      <c r="P182" s="83"/>
      <c r="Q182" s="84"/>
      <c r="U182" s="82"/>
      <c r="V182" s="90"/>
      <c r="W182" s="91"/>
      <c r="X182" s="87"/>
      <c r="AA182" s="88"/>
      <c r="AB182" s="49"/>
      <c r="AE182" s="36"/>
      <c r="AO182" s="37"/>
      <c r="AP182" s="80"/>
      <c r="AQ182" s="82"/>
      <c r="AR182" s="83"/>
      <c r="AS182" s="84"/>
      <c r="AV182" s="82"/>
      <c r="AW182" s="90"/>
      <c r="AX182" s="91"/>
      <c r="AY182" s="87"/>
      <c r="BB182" s="88"/>
      <c r="BE182" s="37"/>
      <c r="BF182" s="36"/>
    </row>
    <row r="183" spans="1:58" ht="15" customHeight="1">
      <c r="D183" s="36"/>
      <c r="N183" s="80"/>
      <c r="O183" s="82"/>
      <c r="P183" s="83"/>
      <c r="Q183" s="84"/>
      <c r="U183" s="82"/>
      <c r="V183" s="90"/>
      <c r="W183" s="91"/>
      <c r="X183" s="87"/>
      <c r="AA183" s="88"/>
      <c r="AB183" s="49"/>
      <c r="AE183" s="36"/>
      <c r="AO183" s="37"/>
      <c r="AP183" s="80"/>
      <c r="AQ183" s="82"/>
      <c r="AR183" s="83"/>
      <c r="AS183" s="84"/>
      <c r="AV183" s="82"/>
      <c r="AW183" s="90"/>
      <c r="AX183" s="91"/>
      <c r="AY183" s="87"/>
      <c r="BB183" s="88"/>
      <c r="BE183" s="37"/>
      <c r="BF183" s="36"/>
    </row>
    <row r="184" spans="1:58" ht="15" customHeight="1">
      <c r="D184" s="36"/>
      <c r="N184" s="80"/>
      <c r="O184" s="82"/>
      <c r="P184" s="83"/>
      <c r="Q184" s="84"/>
      <c r="U184" s="82"/>
      <c r="V184" s="90"/>
      <c r="W184" s="91"/>
      <c r="X184" s="87"/>
      <c r="AA184" s="88"/>
      <c r="AB184" s="49"/>
      <c r="AE184" s="36"/>
      <c r="AO184" s="37"/>
      <c r="AP184" s="80"/>
      <c r="AQ184" s="82"/>
      <c r="AR184" s="83"/>
      <c r="AS184" s="84"/>
      <c r="AV184" s="82"/>
      <c r="AW184" s="90"/>
      <c r="AX184" s="91"/>
      <c r="AY184" s="87"/>
      <c r="BB184" s="88"/>
      <c r="BE184" s="37"/>
      <c r="BF184" s="36"/>
    </row>
    <row r="185" spans="1:58" ht="15" customHeight="1">
      <c r="D185" s="36"/>
      <c r="N185" s="80"/>
      <c r="O185" s="82"/>
      <c r="P185" s="83"/>
      <c r="Q185" s="84"/>
      <c r="U185" s="82"/>
      <c r="V185" s="90"/>
      <c r="W185" s="91"/>
      <c r="X185" s="87"/>
      <c r="AA185" s="88"/>
      <c r="AB185" s="49"/>
      <c r="AE185" s="36"/>
      <c r="AP185" s="80"/>
      <c r="AQ185" s="82"/>
      <c r="AR185" s="83"/>
      <c r="AS185" s="84"/>
      <c r="AV185" s="82"/>
      <c r="AW185" s="90"/>
      <c r="AX185" s="91"/>
      <c r="AY185" s="87"/>
      <c r="BB185" s="88"/>
    </row>
    <row r="186" spans="1:58" ht="15" customHeight="1">
      <c r="A186" s="41"/>
      <c r="B186" s="41"/>
      <c r="C186" s="41"/>
      <c r="D186" s="44"/>
      <c r="E186" s="41"/>
      <c r="F186" s="41"/>
      <c r="G186" s="41"/>
      <c r="N186" s="80"/>
      <c r="O186" s="82"/>
      <c r="P186" s="83"/>
      <c r="Q186" s="84"/>
      <c r="U186" s="82"/>
      <c r="V186" s="90"/>
      <c r="W186" s="91"/>
      <c r="X186" s="87"/>
      <c r="AA186" s="88"/>
      <c r="AB186" s="49"/>
      <c r="AE186" s="36"/>
      <c r="AI186" s="41"/>
      <c r="AP186" s="80"/>
      <c r="AQ186" s="82"/>
      <c r="AR186" s="83"/>
      <c r="AS186" s="84"/>
      <c r="AV186" s="82"/>
      <c r="AW186" s="90"/>
      <c r="AX186" s="91"/>
      <c r="AY186" s="87"/>
      <c r="BB186" s="88"/>
    </row>
    <row r="187" spans="1:58" ht="15" customHeight="1">
      <c r="N187" s="80"/>
      <c r="O187" s="82"/>
      <c r="P187" s="83"/>
      <c r="Q187" s="84"/>
      <c r="U187" s="82"/>
      <c r="V187" s="90"/>
      <c r="W187" s="91"/>
      <c r="X187" s="87"/>
      <c r="AA187" s="88"/>
      <c r="AB187" s="49"/>
      <c r="AE187" s="36"/>
      <c r="AP187" s="80"/>
      <c r="AQ187" s="82"/>
      <c r="AR187" s="83"/>
      <c r="AS187" s="84"/>
      <c r="AV187" s="82"/>
      <c r="AW187" s="90"/>
      <c r="AX187" s="91"/>
      <c r="AY187" s="87"/>
      <c r="BB187" s="88"/>
    </row>
    <row r="188" spans="1:58" ht="15" customHeight="1">
      <c r="N188" s="80"/>
      <c r="O188" s="82"/>
      <c r="P188" s="83"/>
      <c r="Q188" s="84"/>
      <c r="U188" s="82"/>
      <c r="V188" s="90"/>
      <c r="W188" s="91"/>
      <c r="X188" s="87"/>
      <c r="AA188" s="88"/>
      <c r="AB188" s="49"/>
      <c r="AE188" s="36"/>
      <c r="AP188" s="80"/>
      <c r="AQ188" s="82"/>
      <c r="AR188" s="83"/>
      <c r="AS188" s="84"/>
      <c r="AV188" s="82"/>
      <c r="AW188" s="90"/>
      <c r="AX188" s="91"/>
      <c r="AY188" s="87"/>
      <c r="BB188" s="88"/>
    </row>
    <row r="189" spans="1:58" ht="15" customHeight="1">
      <c r="N189" s="80"/>
      <c r="O189" s="82"/>
      <c r="P189" s="83"/>
      <c r="Q189" s="84"/>
      <c r="U189" s="82"/>
      <c r="V189" s="90"/>
      <c r="W189" s="91"/>
      <c r="X189" s="87"/>
      <c r="AA189" s="88"/>
      <c r="AB189" s="49"/>
      <c r="AE189" s="36"/>
      <c r="AP189" s="80"/>
      <c r="AQ189" s="82"/>
      <c r="AR189" s="83"/>
      <c r="AS189" s="84"/>
      <c r="AV189" s="82"/>
      <c r="AW189" s="90"/>
      <c r="AX189" s="91"/>
      <c r="AY189" s="87"/>
      <c r="BB189" s="88"/>
    </row>
    <row r="190" spans="1:58" s="45" customFormat="1" ht="15" customHeight="1">
      <c r="N190" s="92"/>
      <c r="O190" s="93"/>
      <c r="P190" s="94"/>
      <c r="Q190" s="95"/>
      <c r="R190" s="96"/>
      <c r="S190" s="120"/>
      <c r="T190" s="97"/>
      <c r="U190" s="93"/>
      <c r="V190" s="98"/>
      <c r="W190" s="99"/>
      <c r="X190" s="100"/>
      <c r="Y190" s="96"/>
      <c r="Z190" s="97"/>
      <c r="AA190" s="101"/>
      <c r="AP190" s="92"/>
      <c r="AQ190" s="93"/>
      <c r="AR190" s="94"/>
      <c r="AS190" s="95"/>
      <c r="AT190" s="96"/>
      <c r="AU190" s="97"/>
      <c r="AV190" s="93"/>
      <c r="AW190" s="98"/>
      <c r="AX190" s="99"/>
      <c r="AY190" s="100"/>
      <c r="AZ190" s="96"/>
      <c r="BA190" s="97"/>
      <c r="BB190" s="101"/>
      <c r="BF190" s="38"/>
    </row>
    <row r="191" spans="1:58" ht="15" customHeight="1">
      <c r="D191" s="36"/>
      <c r="N191" s="80"/>
      <c r="O191" s="102"/>
      <c r="P191" s="103"/>
      <c r="Q191" s="104"/>
      <c r="R191" s="105"/>
      <c r="T191" s="106"/>
      <c r="U191" s="102"/>
      <c r="V191" s="107"/>
      <c r="W191" s="108"/>
      <c r="X191" s="109"/>
      <c r="Y191" s="105"/>
      <c r="Z191" s="106"/>
      <c r="AA191" s="110"/>
      <c r="AE191" s="36"/>
      <c r="AP191" s="80"/>
      <c r="AQ191" s="102"/>
      <c r="AR191" s="103"/>
      <c r="AS191" s="104"/>
      <c r="AT191" s="105"/>
      <c r="AU191" s="106"/>
      <c r="AV191" s="102"/>
      <c r="AW191" s="107"/>
      <c r="AX191" s="108"/>
      <c r="AY191" s="109"/>
      <c r="AZ191" s="105"/>
      <c r="BA191" s="106"/>
      <c r="BB191" s="110"/>
    </row>
    <row r="192" spans="1:58" ht="15" customHeight="1">
      <c r="D192" s="36"/>
      <c r="N192" s="80"/>
      <c r="O192" s="82"/>
      <c r="P192" s="83"/>
      <c r="Q192" s="84"/>
      <c r="U192" s="82"/>
      <c r="V192" s="90"/>
      <c r="W192" s="91"/>
      <c r="X192" s="87"/>
      <c r="AA192" s="88"/>
      <c r="AE192" s="36"/>
      <c r="AP192" s="80"/>
      <c r="AQ192" s="82"/>
      <c r="AR192" s="83"/>
      <c r="AS192" s="84"/>
      <c r="AV192" s="82"/>
      <c r="AW192" s="90"/>
      <c r="AX192" s="91"/>
      <c r="AY192" s="87"/>
      <c r="BB192" s="88"/>
    </row>
    <row r="193" spans="4:57" ht="15" customHeight="1">
      <c r="D193" s="36"/>
      <c r="N193" s="80"/>
      <c r="O193" s="82"/>
      <c r="P193" s="83"/>
      <c r="Q193" s="84"/>
      <c r="U193" s="82"/>
      <c r="V193" s="90"/>
      <c r="W193" s="91"/>
      <c r="X193" s="87"/>
      <c r="AA193" s="88"/>
      <c r="AE193" s="36"/>
      <c r="AP193" s="80"/>
      <c r="AQ193" s="82"/>
      <c r="AR193" s="83"/>
      <c r="AS193" s="84"/>
      <c r="AV193" s="82"/>
      <c r="AW193" s="90"/>
      <c r="AX193" s="91"/>
      <c r="AY193" s="87"/>
      <c r="BB193" s="88"/>
    </row>
    <row r="194" spans="4:57" ht="15" customHeight="1">
      <c r="D194" s="36"/>
      <c r="N194" s="80"/>
      <c r="O194" s="82"/>
      <c r="P194" s="83"/>
      <c r="Q194" s="84"/>
      <c r="U194" s="82"/>
      <c r="V194" s="90"/>
      <c r="W194" s="91"/>
      <c r="X194" s="87"/>
      <c r="AA194" s="88"/>
      <c r="AE194" s="36"/>
      <c r="AP194" s="80"/>
      <c r="AQ194" s="82"/>
      <c r="AR194" s="83"/>
      <c r="AS194" s="84"/>
      <c r="AV194" s="82"/>
      <c r="AW194" s="90"/>
      <c r="AX194" s="91"/>
      <c r="AY194" s="87"/>
      <c r="BB194" s="88"/>
    </row>
    <row r="195" spans="4:57" ht="15" customHeight="1">
      <c r="D195" s="36"/>
      <c r="N195" s="80"/>
      <c r="O195" s="82"/>
      <c r="P195" s="83"/>
      <c r="Q195" s="84"/>
      <c r="U195" s="82"/>
      <c r="V195" s="85"/>
      <c r="W195" s="86"/>
      <c r="X195" s="87"/>
      <c r="AA195" s="88"/>
      <c r="AE195" s="36"/>
      <c r="AP195" s="80"/>
      <c r="AQ195" s="82"/>
      <c r="AR195" s="83"/>
      <c r="AS195" s="84"/>
      <c r="AV195" s="82"/>
      <c r="AW195" s="90"/>
      <c r="AX195" s="91"/>
      <c r="AY195" s="87"/>
      <c r="BB195" s="88"/>
    </row>
    <row r="196" spans="4:57" ht="15" customHeight="1">
      <c r="D196" s="36"/>
      <c r="N196" s="80"/>
      <c r="O196" s="82"/>
      <c r="P196" s="83"/>
      <c r="Q196" s="84"/>
      <c r="U196" s="82"/>
      <c r="V196" s="85"/>
      <c r="W196" s="86"/>
      <c r="X196" s="87"/>
      <c r="AA196" s="88"/>
      <c r="AE196" s="36"/>
      <c r="AI196" s="49"/>
      <c r="AP196" s="80"/>
      <c r="AQ196" s="82"/>
      <c r="AR196" s="83"/>
      <c r="AS196" s="84"/>
      <c r="AV196" s="82"/>
      <c r="AW196" s="90"/>
      <c r="AX196" s="91"/>
      <c r="AY196" s="87"/>
      <c r="BB196" s="88"/>
    </row>
    <row r="197" spans="4:57" ht="15" customHeight="1">
      <c r="D197" s="36"/>
      <c r="G197" s="50"/>
      <c r="N197" s="80"/>
      <c r="O197" s="82"/>
      <c r="P197" s="83"/>
      <c r="Q197" s="84"/>
      <c r="U197" s="82"/>
      <c r="V197" s="85"/>
      <c r="W197" s="86"/>
      <c r="X197" s="87"/>
      <c r="AA197" s="88"/>
      <c r="AD197" s="50"/>
      <c r="AE197" s="36"/>
      <c r="AI197" s="50"/>
      <c r="AP197" s="80"/>
      <c r="AQ197" s="82"/>
      <c r="AR197" s="83"/>
      <c r="AS197" s="84"/>
      <c r="AV197" s="82"/>
      <c r="AW197" s="90"/>
      <c r="AX197" s="91"/>
      <c r="AY197" s="87"/>
      <c r="BB197" s="88"/>
      <c r="BE197" s="50"/>
    </row>
    <row r="198" spans="4:57" ht="15" customHeight="1">
      <c r="D198" s="36"/>
      <c r="G198" s="50"/>
      <c r="N198" s="80"/>
      <c r="O198" s="82"/>
      <c r="P198" s="83"/>
      <c r="Q198" s="84"/>
      <c r="U198" s="82"/>
      <c r="V198" s="85"/>
      <c r="W198" s="86"/>
      <c r="X198" s="87"/>
      <c r="AA198" s="88"/>
      <c r="AD198" s="50"/>
      <c r="AE198" s="36"/>
      <c r="AI198" s="50"/>
      <c r="AJ198" s="50"/>
      <c r="AP198" s="80"/>
      <c r="AQ198" s="82"/>
      <c r="AR198" s="83"/>
      <c r="AS198" s="84"/>
      <c r="AV198" s="82"/>
      <c r="AW198" s="90"/>
      <c r="AX198" s="91"/>
      <c r="AY198" s="87"/>
      <c r="BB198" s="88"/>
      <c r="BE198" s="50"/>
    </row>
    <row r="199" spans="4:57" ht="15" customHeight="1">
      <c r="D199" s="36"/>
      <c r="G199" s="50"/>
      <c r="N199" s="80"/>
      <c r="O199" s="82"/>
      <c r="P199" s="83"/>
      <c r="Q199" s="84"/>
      <c r="U199" s="82"/>
      <c r="V199" s="85"/>
      <c r="W199" s="86"/>
      <c r="X199" s="87"/>
      <c r="AA199" s="88"/>
      <c r="AD199" s="50"/>
      <c r="AE199" s="36"/>
      <c r="AI199" s="50"/>
      <c r="AJ199" s="50"/>
      <c r="AP199" s="80"/>
      <c r="AQ199" s="82"/>
      <c r="AR199" s="83"/>
      <c r="AS199" s="84"/>
      <c r="AV199" s="82"/>
      <c r="AW199" s="90"/>
      <c r="AX199" s="91"/>
      <c r="AY199" s="87"/>
      <c r="BB199" s="88"/>
      <c r="BE199" s="50"/>
    </row>
    <row r="200" spans="4:57" ht="15" customHeight="1">
      <c r="D200" s="36"/>
      <c r="N200" s="80"/>
      <c r="O200" s="82"/>
      <c r="P200" s="83"/>
      <c r="Q200" s="84"/>
      <c r="U200" s="82"/>
      <c r="V200" s="85"/>
      <c r="W200" s="86"/>
      <c r="X200" s="87"/>
      <c r="AA200" s="88"/>
      <c r="AD200" s="50"/>
      <c r="AE200" s="36"/>
      <c r="AP200" s="80"/>
      <c r="AQ200" s="82"/>
      <c r="AR200" s="83"/>
      <c r="AS200" s="84"/>
      <c r="AV200" s="82"/>
      <c r="AW200" s="90"/>
      <c r="AX200" s="91"/>
      <c r="AY200" s="87"/>
      <c r="BB200" s="88"/>
      <c r="BE200" s="50"/>
    </row>
    <row r="201" spans="4:57" ht="15" customHeight="1">
      <c r="D201" s="36"/>
      <c r="N201" s="80"/>
      <c r="O201" s="82"/>
      <c r="P201" s="83"/>
      <c r="Q201" s="84"/>
      <c r="U201" s="82"/>
      <c r="V201" s="85"/>
      <c r="W201" s="86"/>
      <c r="X201" s="87"/>
      <c r="AA201" s="88"/>
      <c r="AE201" s="36"/>
      <c r="AP201" s="80"/>
      <c r="AQ201" s="82"/>
      <c r="AR201" s="83"/>
      <c r="AS201" s="84"/>
      <c r="AV201" s="82"/>
      <c r="AW201" s="90"/>
      <c r="AX201" s="91"/>
      <c r="AY201" s="87"/>
      <c r="BB201" s="88"/>
    </row>
    <row r="202" spans="4:57" ht="15" customHeight="1">
      <c r="D202" s="36"/>
      <c r="N202" s="80"/>
      <c r="O202" s="82"/>
      <c r="P202" s="83"/>
      <c r="Q202" s="84"/>
      <c r="U202" s="82"/>
      <c r="V202" s="85"/>
      <c r="W202" s="86"/>
      <c r="X202" s="87"/>
      <c r="AA202" s="88"/>
      <c r="AE202" s="36"/>
      <c r="AP202" s="80"/>
      <c r="AQ202" s="82"/>
      <c r="AR202" s="83"/>
      <c r="AS202" s="84"/>
      <c r="AV202" s="82"/>
      <c r="AW202" s="90"/>
      <c r="AX202" s="91"/>
      <c r="AY202" s="87"/>
      <c r="BB202" s="88"/>
    </row>
    <row r="203" spans="4:57" ht="15" customHeight="1">
      <c r="D203" s="36"/>
      <c r="G203" s="50"/>
      <c r="N203" s="80"/>
      <c r="O203" s="82"/>
      <c r="P203" s="83"/>
      <c r="Q203" s="84"/>
      <c r="U203" s="82"/>
      <c r="V203" s="85"/>
      <c r="W203" s="86"/>
      <c r="X203" s="87"/>
      <c r="AA203" s="88"/>
      <c r="AD203" s="50"/>
      <c r="AE203" s="36"/>
      <c r="AI203" s="50"/>
      <c r="AP203" s="80"/>
      <c r="AQ203" s="82"/>
      <c r="AR203" s="83"/>
      <c r="AS203" s="84"/>
      <c r="AV203" s="82"/>
      <c r="AW203" s="90"/>
      <c r="AX203" s="91"/>
      <c r="AY203" s="87"/>
      <c r="BB203" s="88"/>
      <c r="BE203" s="50"/>
    </row>
    <row r="204" spans="4:57" ht="15" customHeight="1">
      <c r="D204" s="36"/>
      <c r="G204" s="50"/>
      <c r="N204" s="80"/>
      <c r="O204" s="82"/>
      <c r="P204" s="83"/>
      <c r="Q204" s="84"/>
      <c r="U204" s="82"/>
      <c r="V204" s="85"/>
      <c r="W204" s="86"/>
      <c r="X204" s="87"/>
      <c r="AA204" s="88"/>
      <c r="AD204" s="50"/>
      <c r="AE204" s="36"/>
      <c r="AI204" s="50"/>
      <c r="AP204" s="80"/>
      <c r="AQ204" s="82"/>
      <c r="AR204" s="83"/>
      <c r="AS204" s="84"/>
      <c r="AV204" s="82"/>
      <c r="AW204" s="90"/>
      <c r="AX204" s="91"/>
      <c r="AY204" s="87"/>
      <c r="BB204" s="88"/>
      <c r="BE204" s="50"/>
    </row>
    <row r="205" spans="4:57" ht="15" customHeight="1">
      <c r="D205" s="36"/>
      <c r="G205" s="50"/>
      <c r="N205" s="80"/>
      <c r="O205" s="82"/>
      <c r="P205" s="83"/>
      <c r="Q205" s="84"/>
      <c r="U205" s="82"/>
      <c r="V205" s="85"/>
      <c r="W205" s="86"/>
      <c r="X205" s="87"/>
      <c r="AA205" s="88"/>
      <c r="AD205" s="50"/>
      <c r="AE205" s="36"/>
      <c r="AI205" s="50"/>
      <c r="AP205" s="80"/>
      <c r="AQ205" s="82"/>
      <c r="AR205" s="83"/>
      <c r="AS205" s="84"/>
      <c r="AV205" s="82"/>
      <c r="AW205" s="90"/>
      <c r="AX205" s="91"/>
      <c r="AY205" s="87"/>
      <c r="BB205" s="88"/>
      <c r="BE205" s="50"/>
    </row>
    <row r="206" spans="4:57" ht="15" customHeight="1">
      <c r="D206" s="36"/>
      <c r="N206" s="80"/>
      <c r="O206" s="82"/>
      <c r="P206" s="83"/>
      <c r="Q206" s="84"/>
      <c r="U206" s="82"/>
      <c r="V206" s="85"/>
      <c r="W206" s="86"/>
      <c r="X206" s="87"/>
      <c r="AA206" s="88"/>
      <c r="AE206" s="36"/>
      <c r="AP206" s="80"/>
      <c r="AQ206" s="82"/>
      <c r="AR206" s="83"/>
      <c r="AS206" s="84"/>
      <c r="AV206" s="82"/>
      <c r="AW206" s="90"/>
      <c r="AX206" s="91"/>
      <c r="AY206" s="87"/>
      <c r="BB206" s="88"/>
    </row>
    <row r="207" spans="4:57" ht="15" customHeight="1">
      <c r="D207" s="36"/>
      <c r="N207" s="80"/>
      <c r="O207" s="82"/>
      <c r="P207" s="83"/>
      <c r="Q207" s="84"/>
      <c r="U207" s="82"/>
      <c r="V207" s="85"/>
      <c r="W207" s="86"/>
      <c r="X207" s="87"/>
      <c r="AA207" s="88"/>
      <c r="AE207" s="36"/>
      <c r="AP207" s="80"/>
      <c r="AQ207" s="82"/>
      <c r="AR207" s="83"/>
      <c r="AS207" s="84"/>
      <c r="AV207" s="82"/>
      <c r="AW207" s="90"/>
      <c r="AX207" s="91"/>
      <c r="AY207" s="87"/>
      <c r="BB207" s="88"/>
    </row>
    <row r="208" spans="4:57" ht="15" customHeight="1">
      <c r="D208" s="36"/>
      <c r="N208" s="80"/>
      <c r="O208" s="82"/>
      <c r="P208" s="83"/>
      <c r="Q208" s="84"/>
      <c r="U208" s="82"/>
      <c r="V208" s="85"/>
      <c r="W208" s="86"/>
      <c r="X208" s="87"/>
      <c r="AA208" s="88"/>
      <c r="AE208" s="36"/>
      <c r="AP208" s="80"/>
      <c r="AQ208" s="82"/>
      <c r="AR208" s="83"/>
      <c r="AS208" s="84"/>
      <c r="AV208" s="82"/>
      <c r="AW208" s="90"/>
      <c r="AX208" s="91"/>
      <c r="AY208" s="87"/>
      <c r="BB208" s="88"/>
    </row>
    <row r="209" spans="4:54" ht="15" customHeight="1">
      <c r="D209" s="36"/>
      <c r="N209" s="80"/>
      <c r="O209" s="82"/>
      <c r="P209" s="83"/>
      <c r="Q209" s="84"/>
      <c r="U209" s="82"/>
      <c r="V209" s="85"/>
      <c r="W209" s="86"/>
      <c r="X209" s="87"/>
      <c r="AA209" s="88"/>
      <c r="AE209" s="36"/>
      <c r="AP209" s="80"/>
      <c r="AQ209" s="82"/>
      <c r="AR209" s="83"/>
      <c r="AS209" s="84"/>
      <c r="AV209" s="82"/>
      <c r="AW209" s="90"/>
      <c r="AX209" s="91"/>
      <c r="AY209" s="87"/>
      <c r="BB209" s="88"/>
    </row>
    <row r="210" spans="4:54" ht="15" customHeight="1">
      <c r="D210" s="36"/>
      <c r="N210" s="80"/>
      <c r="O210" s="82"/>
      <c r="P210" s="83"/>
      <c r="Q210" s="84"/>
      <c r="U210" s="82"/>
      <c r="V210" s="85"/>
      <c r="W210" s="86"/>
      <c r="X210" s="87"/>
      <c r="AA210" s="88"/>
      <c r="AE210" s="36"/>
      <c r="AP210" s="80"/>
      <c r="AQ210" s="82"/>
      <c r="AR210" s="83"/>
      <c r="AS210" s="84"/>
      <c r="AV210" s="82"/>
      <c r="AW210" s="90"/>
      <c r="AX210" s="91"/>
      <c r="AY210" s="87"/>
      <c r="BB210" s="88"/>
    </row>
    <row r="211" spans="4:54" ht="15" customHeight="1">
      <c r="D211" s="36"/>
      <c r="N211" s="80"/>
      <c r="O211" s="82"/>
      <c r="P211" s="83"/>
      <c r="Q211" s="84"/>
      <c r="U211" s="82"/>
      <c r="V211" s="85"/>
      <c r="W211" s="86"/>
      <c r="X211" s="87"/>
      <c r="AA211" s="88"/>
      <c r="AE211" s="36"/>
      <c r="AP211" s="80"/>
      <c r="AQ211" s="82"/>
      <c r="AR211" s="83"/>
      <c r="AS211" s="84"/>
      <c r="AV211" s="82"/>
      <c r="AW211" s="90"/>
      <c r="AX211" s="91"/>
      <c r="AY211" s="87"/>
      <c r="BB211" s="88"/>
    </row>
    <row r="212" spans="4:54" ht="15" customHeight="1">
      <c r="D212" s="36"/>
      <c r="N212" s="80"/>
      <c r="O212" s="82"/>
      <c r="P212" s="83"/>
      <c r="Q212" s="84"/>
      <c r="U212" s="82"/>
      <c r="V212" s="85"/>
      <c r="W212" s="86"/>
      <c r="X212" s="87"/>
      <c r="AA212" s="88"/>
      <c r="AE212" s="36"/>
      <c r="AP212" s="80"/>
      <c r="AQ212" s="82"/>
      <c r="AR212" s="83"/>
      <c r="AS212" s="84"/>
      <c r="AV212" s="82"/>
      <c r="AW212" s="90"/>
      <c r="AX212" s="91"/>
      <c r="AY212" s="87"/>
      <c r="BB212" s="88"/>
    </row>
    <row r="213" spans="4:54" ht="15" customHeight="1">
      <c r="D213" s="36"/>
      <c r="N213" s="80"/>
      <c r="O213" s="82"/>
      <c r="P213" s="83"/>
      <c r="Q213" s="84"/>
      <c r="U213" s="82"/>
      <c r="V213" s="85"/>
      <c r="W213" s="86"/>
      <c r="X213" s="87"/>
      <c r="AA213" s="88"/>
      <c r="AE213" s="36"/>
      <c r="AP213" s="80"/>
      <c r="AQ213" s="82"/>
      <c r="AR213" s="83"/>
      <c r="AS213" s="84"/>
      <c r="AV213" s="82"/>
      <c r="AW213" s="90"/>
      <c r="AX213" s="91"/>
      <c r="AY213" s="87"/>
      <c r="BB213" s="88"/>
    </row>
    <row r="214" spans="4:54" ht="15" customHeight="1">
      <c r="D214" s="36"/>
      <c r="N214" s="80"/>
      <c r="O214" s="82"/>
      <c r="P214" s="83"/>
      <c r="Q214" s="84"/>
      <c r="U214" s="82"/>
      <c r="V214" s="85"/>
      <c r="W214" s="86"/>
      <c r="X214" s="87"/>
      <c r="AA214" s="88"/>
      <c r="AE214" s="36"/>
      <c r="AP214" s="80"/>
      <c r="AQ214" s="82"/>
      <c r="AR214" s="83"/>
      <c r="AS214" s="84"/>
      <c r="AV214" s="82"/>
      <c r="AW214" s="90"/>
      <c r="AX214" s="91"/>
      <c r="AY214" s="87"/>
      <c r="BB214" s="88"/>
    </row>
    <row r="215" spans="4:54" ht="15" customHeight="1">
      <c r="D215" s="36"/>
      <c r="N215" s="80"/>
      <c r="O215" s="82"/>
      <c r="P215" s="83"/>
      <c r="Q215" s="84"/>
      <c r="U215" s="82"/>
      <c r="V215" s="85"/>
      <c r="W215" s="86"/>
      <c r="X215" s="87"/>
      <c r="AA215" s="88"/>
      <c r="AE215" s="36"/>
      <c r="AP215" s="80"/>
      <c r="AQ215" s="82"/>
      <c r="AR215" s="83"/>
      <c r="AS215" s="84"/>
      <c r="AV215" s="82"/>
      <c r="AW215" s="90"/>
      <c r="AX215" s="91"/>
      <c r="AY215" s="87"/>
      <c r="BB215" s="88"/>
    </row>
    <row r="216" spans="4:54" ht="15" customHeight="1">
      <c r="D216" s="36"/>
      <c r="N216" s="80"/>
      <c r="O216" s="82"/>
      <c r="P216" s="83"/>
      <c r="Q216" s="84"/>
      <c r="U216" s="82"/>
      <c r="V216" s="85"/>
      <c r="W216" s="86"/>
      <c r="X216" s="87"/>
      <c r="AA216" s="88"/>
      <c r="AE216" s="36"/>
      <c r="AP216" s="80"/>
      <c r="AQ216" s="82"/>
      <c r="AR216" s="83"/>
      <c r="AS216" s="84"/>
      <c r="AV216" s="82"/>
      <c r="AW216" s="90"/>
      <c r="AX216" s="91"/>
      <c r="AY216" s="87"/>
      <c r="BB216" s="88"/>
    </row>
    <row r="217" spans="4:54" ht="15" customHeight="1">
      <c r="D217" s="36"/>
      <c r="N217" s="80"/>
      <c r="O217" s="82"/>
      <c r="P217" s="83"/>
      <c r="Q217" s="84"/>
      <c r="U217" s="82"/>
      <c r="V217" s="85"/>
      <c r="W217" s="86"/>
      <c r="X217" s="87"/>
      <c r="AA217" s="88"/>
      <c r="AE217" s="36"/>
      <c r="AP217" s="80"/>
      <c r="AQ217" s="82"/>
      <c r="AR217" s="83"/>
      <c r="AS217" s="84"/>
      <c r="AV217" s="82"/>
      <c r="AW217" s="90"/>
      <c r="AX217" s="91"/>
      <c r="AY217" s="87"/>
      <c r="BB217" s="88"/>
    </row>
    <row r="218" spans="4:54" ht="15" customHeight="1">
      <c r="D218" s="36"/>
      <c r="N218" s="80"/>
      <c r="O218" s="82"/>
      <c r="P218" s="83"/>
      <c r="Q218" s="84"/>
      <c r="U218" s="82"/>
      <c r="V218" s="85"/>
      <c r="W218" s="86"/>
      <c r="X218" s="87"/>
      <c r="AA218" s="88"/>
      <c r="AE218" s="36"/>
      <c r="AP218" s="80"/>
      <c r="AQ218" s="82"/>
      <c r="AR218" s="83"/>
      <c r="AS218" s="84"/>
      <c r="AV218" s="82"/>
      <c r="AW218" s="90"/>
      <c r="AX218" s="91"/>
      <c r="AY218" s="87"/>
      <c r="BB218" s="88"/>
    </row>
    <row r="219" spans="4:54" ht="15" customHeight="1">
      <c r="D219" s="36"/>
      <c r="N219" s="80"/>
      <c r="O219" s="82"/>
      <c r="P219" s="83"/>
      <c r="Q219" s="84"/>
      <c r="U219" s="82"/>
      <c r="V219" s="85"/>
      <c r="W219" s="86"/>
      <c r="X219" s="87"/>
      <c r="AA219" s="88"/>
      <c r="AE219" s="36"/>
      <c r="AP219" s="80"/>
      <c r="AQ219" s="82"/>
      <c r="AR219" s="83"/>
      <c r="AS219" s="84"/>
      <c r="AV219" s="82"/>
      <c r="AW219" s="90"/>
      <c r="AX219" s="91"/>
      <c r="AY219" s="87"/>
      <c r="BB219" s="88"/>
    </row>
    <row r="220" spans="4:54" ht="15" customHeight="1">
      <c r="D220" s="36"/>
      <c r="N220" s="80"/>
      <c r="O220" s="82"/>
      <c r="P220" s="83"/>
      <c r="Q220" s="84"/>
      <c r="U220" s="82"/>
      <c r="V220" s="85"/>
      <c r="W220" s="86"/>
      <c r="X220" s="87"/>
      <c r="AA220" s="88"/>
      <c r="AE220" s="36"/>
      <c r="AP220" s="80"/>
      <c r="AQ220" s="82"/>
      <c r="AR220" s="83"/>
      <c r="AS220" s="84"/>
      <c r="AV220" s="82"/>
      <c r="AW220" s="90"/>
      <c r="AX220" s="91"/>
      <c r="AY220" s="87"/>
      <c r="BB220" s="88"/>
    </row>
    <row r="221" spans="4:54" ht="15" customHeight="1">
      <c r="D221" s="36"/>
      <c r="N221" s="80"/>
      <c r="O221" s="82"/>
      <c r="P221" s="83"/>
      <c r="Q221" s="84"/>
      <c r="U221" s="82"/>
      <c r="V221" s="85"/>
      <c r="W221" s="86"/>
      <c r="X221" s="87"/>
      <c r="AA221" s="88"/>
      <c r="AE221" s="36"/>
      <c r="AP221" s="80"/>
      <c r="AQ221" s="82"/>
      <c r="AR221" s="83"/>
      <c r="AS221" s="84"/>
      <c r="AV221" s="82"/>
      <c r="AW221" s="90"/>
      <c r="AX221" s="91"/>
      <c r="AY221" s="87"/>
      <c r="BB221" s="88"/>
    </row>
    <row r="222" spans="4:54" ht="15" customHeight="1">
      <c r="D222" s="36"/>
      <c r="N222" s="80"/>
      <c r="O222" s="82"/>
      <c r="P222" s="83"/>
      <c r="Q222" s="84"/>
      <c r="U222" s="82"/>
      <c r="V222" s="85"/>
      <c r="W222" s="86"/>
      <c r="X222" s="87"/>
      <c r="AA222" s="88"/>
      <c r="AE222" s="36"/>
      <c r="AP222" s="80"/>
      <c r="AQ222" s="82"/>
      <c r="AR222" s="83"/>
      <c r="AS222" s="84"/>
      <c r="AV222" s="82"/>
      <c r="AW222" s="90"/>
      <c r="AX222" s="91"/>
      <c r="AY222" s="87"/>
      <c r="BB222" s="88"/>
    </row>
    <row r="223" spans="4:54" ht="15" customHeight="1">
      <c r="D223" s="36"/>
      <c r="N223" s="80"/>
      <c r="O223" s="82"/>
      <c r="P223" s="83"/>
      <c r="Q223" s="84"/>
      <c r="U223" s="82"/>
      <c r="V223" s="85"/>
      <c r="W223" s="86"/>
      <c r="X223" s="87"/>
      <c r="AA223" s="88"/>
      <c r="AE223" s="36"/>
      <c r="AP223" s="80"/>
      <c r="AQ223" s="82"/>
      <c r="AR223" s="83"/>
      <c r="AS223" s="84"/>
      <c r="AV223" s="82"/>
      <c r="AW223" s="90"/>
      <c r="AX223" s="91"/>
      <c r="AY223" s="87"/>
      <c r="BB223" s="88"/>
    </row>
    <row r="224" spans="4:54" ht="15" customHeight="1">
      <c r="D224" s="36"/>
      <c r="N224" s="80"/>
      <c r="O224" s="82"/>
      <c r="P224" s="83"/>
      <c r="Q224" s="84"/>
      <c r="U224" s="82"/>
      <c r="V224" s="85"/>
      <c r="W224" s="86"/>
      <c r="X224" s="87"/>
      <c r="AA224" s="88"/>
      <c r="AE224" s="36"/>
      <c r="AP224" s="80"/>
      <c r="AQ224" s="82"/>
      <c r="AR224" s="83"/>
      <c r="AS224" s="84"/>
      <c r="AV224" s="82"/>
      <c r="AW224" s="90"/>
      <c r="AX224" s="91"/>
      <c r="AY224" s="87"/>
      <c r="BB224" s="88"/>
    </row>
    <row r="225" spans="2:54" ht="15" customHeight="1">
      <c r="D225" s="36"/>
      <c r="N225" s="80"/>
      <c r="O225" s="82"/>
      <c r="P225" s="83"/>
      <c r="Q225" s="84"/>
      <c r="U225" s="82"/>
      <c r="V225" s="85"/>
      <c r="W225" s="86"/>
      <c r="X225" s="87"/>
      <c r="AA225" s="88"/>
      <c r="AE225" s="36"/>
      <c r="AP225" s="80"/>
      <c r="AQ225" s="82"/>
      <c r="AR225" s="83"/>
      <c r="AS225" s="84"/>
      <c r="AV225" s="82"/>
      <c r="AW225" s="90"/>
      <c r="AX225" s="91"/>
      <c r="AY225" s="87"/>
      <c r="BB225" s="88"/>
    </row>
    <row r="226" spans="2:54" ht="15" customHeight="1">
      <c r="B226" s="43"/>
      <c r="D226" s="36"/>
      <c r="N226" s="80"/>
      <c r="O226" s="82"/>
      <c r="P226" s="83"/>
      <c r="Q226" s="84"/>
      <c r="U226" s="82"/>
      <c r="V226" s="85"/>
      <c r="W226" s="86"/>
      <c r="X226" s="87"/>
      <c r="AA226" s="88"/>
      <c r="AE226" s="36"/>
      <c r="AP226" s="80"/>
      <c r="AQ226" s="82"/>
      <c r="AR226" s="83"/>
      <c r="AS226" s="84"/>
      <c r="AV226" s="82"/>
      <c r="AW226" s="90"/>
      <c r="AX226" s="91"/>
      <c r="AY226" s="87"/>
      <c r="BB226" s="88"/>
    </row>
    <row r="227" spans="2:54" ht="15" customHeight="1">
      <c r="D227" s="36"/>
      <c r="N227" s="80"/>
      <c r="O227" s="82"/>
      <c r="P227" s="83"/>
      <c r="Q227" s="84"/>
      <c r="U227" s="82"/>
      <c r="V227" s="85"/>
      <c r="W227" s="86"/>
      <c r="X227" s="87"/>
      <c r="AA227" s="88"/>
      <c r="AE227" s="36"/>
      <c r="AL227" s="46"/>
      <c r="AP227" s="80"/>
      <c r="AQ227" s="82"/>
      <c r="AR227" s="83"/>
      <c r="AS227" s="84"/>
      <c r="AV227" s="82"/>
      <c r="AW227" s="90"/>
      <c r="AX227" s="91"/>
      <c r="AY227" s="87"/>
      <c r="BB227" s="88"/>
    </row>
    <row r="228" spans="2:54" ht="15" customHeight="1">
      <c r="D228" s="36"/>
      <c r="N228" s="80"/>
      <c r="O228" s="82"/>
      <c r="P228" s="83"/>
      <c r="Q228" s="84"/>
      <c r="U228" s="82"/>
      <c r="V228" s="85"/>
      <c r="W228" s="86"/>
      <c r="X228" s="87"/>
      <c r="AA228" s="88"/>
      <c r="AE228" s="36"/>
      <c r="AL228" s="46"/>
      <c r="AP228" s="80"/>
      <c r="AQ228" s="82"/>
      <c r="AR228" s="83"/>
      <c r="AS228" s="84"/>
      <c r="AV228" s="82"/>
      <c r="AW228" s="90"/>
      <c r="AX228" s="91"/>
      <c r="AY228" s="87"/>
      <c r="BB228" s="88"/>
    </row>
    <row r="229" spans="2:54" ht="15" customHeight="1">
      <c r="D229" s="36"/>
      <c r="N229" s="80"/>
      <c r="O229" s="82"/>
      <c r="P229" s="83"/>
      <c r="Q229" s="84"/>
      <c r="U229" s="82"/>
      <c r="V229" s="85"/>
      <c r="W229" s="86"/>
      <c r="X229" s="87"/>
      <c r="AA229" s="88"/>
      <c r="AE229" s="36"/>
      <c r="AL229" s="46"/>
      <c r="AP229" s="80"/>
      <c r="AQ229" s="82"/>
      <c r="AR229" s="83"/>
      <c r="AS229" s="84"/>
      <c r="AV229" s="82"/>
      <c r="AW229" s="90"/>
      <c r="AX229" s="91"/>
      <c r="AY229" s="87"/>
      <c r="BB229" s="88"/>
    </row>
    <row r="230" spans="2:54" ht="15" customHeight="1">
      <c r="D230" s="36"/>
      <c r="N230" s="80"/>
      <c r="O230" s="82"/>
      <c r="P230" s="83"/>
      <c r="Q230" s="84"/>
      <c r="U230" s="82"/>
      <c r="V230" s="85"/>
      <c r="W230" s="86"/>
      <c r="X230" s="87"/>
      <c r="AA230" s="88"/>
      <c r="AE230" s="36"/>
      <c r="AL230" s="46"/>
      <c r="AP230" s="80"/>
      <c r="AQ230" s="82"/>
      <c r="AR230" s="83"/>
      <c r="AS230" s="84"/>
      <c r="AV230" s="82"/>
      <c r="AW230" s="90"/>
      <c r="AX230" s="91"/>
      <c r="AY230" s="87"/>
      <c r="BB230" s="88"/>
    </row>
    <row r="231" spans="2:54" ht="15" customHeight="1">
      <c r="D231" s="36"/>
      <c r="N231" s="80"/>
      <c r="O231" s="82"/>
      <c r="P231" s="83"/>
      <c r="Q231" s="84"/>
      <c r="U231" s="82"/>
      <c r="V231" s="85"/>
      <c r="W231" s="86"/>
      <c r="X231" s="87"/>
      <c r="AA231" s="88"/>
      <c r="AE231" s="36"/>
      <c r="AP231" s="80"/>
      <c r="AQ231" s="82"/>
      <c r="AR231" s="83"/>
      <c r="AS231" s="84"/>
      <c r="AV231" s="82"/>
      <c r="AW231" s="90"/>
      <c r="AX231" s="91"/>
      <c r="AY231" s="87"/>
      <c r="BB231" s="88"/>
    </row>
    <row r="232" spans="2:54" ht="15" customHeight="1">
      <c r="D232" s="36"/>
      <c r="N232" s="80"/>
      <c r="O232" s="82"/>
      <c r="P232" s="83"/>
      <c r="Q232" s="84"/>
      <c r="U232" s="82"/>
      <c r="V232" s="85"/>
      <c r="W232" s="86"/>
      <c r="X232" s="87"/>
      <c r="AA232" s="88"/>
      <c r="AE232" s="36"/>
      <c r="AP232" s="80"/>
      <c r="AQ232" s="82"/>
      <c r="AR232" s="83"/>
      <c r="AS232" s="84"/>
      <c r="AV232" s="82"/>
      <c r="AW232" s="90"/>
      <c r="AX232" s="91"/>
      <c r="AY232" s="87"/>
      <c r="BB232" s="88"/>
    </row>
    <row r="233" spans="2:54" ht="15" customHeight="1">
      <c r="D233" s="36"/>
      <c r="N233" s="80"/>
      <c r="O233" s="82"/>
      <c r="P233" s="83"/>
      <c r="Q233" s="84"/>
      <c r="U233" s="82"/>
      <c r="V233" s="85"/>
      <c r="W233" s="86"/>
      <c r="X233" s="87"/>
      <c r="AA233" s="88"/>
      <c r="AE233" s="36"/>
      <c r="AP233" s="80"/>
      <c r="AQ233" s="82"/>
      <c r="AR233" s="83"/>
      <c r="AS233" s="84"/>
      <c r="AV233" s="82"/>
      <c r="AW233" s="90"/>
      <c r="AX233" s="91"/>
      <c r="AY233" s="87"/>
      <c r="BB233" s="88"/>
    </row>
    <row r="234" spans="2:54" ht="15" customHeight="1">
      <c r="B234" s="43"/>
      <c r="N234" s="80"/>
      <c r="O234" s="82"/>
      <c r="P234" s="83"/>
      <c r="Q234" s="84"/>
      <c r="U234" s="82"/>
      <c r="V234" s="90"/>
      <c r="W234" s="91"/>
      <c r="X234" s="87"/>
      <c r="AA234" s="88"/>
      <c r="AB234" s="49"/>
      <c r="AE234" s="36"/>
      <c r="AP234" s="80"/>
      <c r="AQ234" s="82"/>
      <c r="AR234" s="83"/>
      <c r="AS234" s="84"/>
      <c r="AV234" s="82"/>
      <c r="AW234" s="90"/>
      <c r="AX234" s="91"/>
      <c r="AY234" s="87"/>
      <c r="BB234" s="88"/>
    </row>
    <row r="235" spans="2:54" ht="15" customHeight="1">
      <c r="B235" s="43"/>
      <c r="D235" s="36"/>
      <c r="N235" s="80"/>
      <c r="O235" s="82"/>
      <c r="P235" s="83"/>
      <c r="Q235" s="84"/>
      <c r="U235" s="82"/>
      <c r="V235" s="85"/>
      <c r="W235" s="86"/>
      <c r="X235" s="87"/>
      <c r="AA235" s="88"/>
      <c r="AE235" s="36"/>
      <c r="AP235" s="80"/>
      <c r="AQ235" s="82"/>
      <c r="AR235" s="83"/>
      <c r="AS235" s="84"/>
      <c r="AV235" s="82"/>
      <c r="AW235" s="90"/>
      <c r="AX235" s="91"/>
      <c r="AY235" s="87"/>
      <c r="BB235" s="88"/>
    </row>
    <row r="236" spans="2:54" ht="15" customHeight="1">
      <c r="D236" s="36"/>
      <c r="N236" s="80"/>
      <c r="O236" s="82"/>
      <c r="P236" s="83"/>
      <c r="Q236" s="84"/>
      <c r="U236" s="82"/>
      <c r="V236" s="85"/>
      <c r="W236" s="86"/>
      <c r="X236" s="87"/>
      <c r="AA236" s="88"/>
      <c r="AE236" s="36"/>
      <c r="AP236" s="80"/>
      <c r="AQ236" s="82"/>
      <c r="AR236" s="83"/>
      <c r="AS236" s="84"/>
      <c r="AV236" s="82"/>
      <c r="AW236" s="90"/>
      <c r="AX236" s="91"/>
      <c r="AY236" s="87"/>
      <c r="BB236" s="88"/>
    </row>
    <row r="237" spans="2:54" ht="15" customHeight="1">
      <c r="D237" s="36"/>
      <c r="N237" s="80"/>
      <c r="O237" s="82"/>
      <c r="P237" s="83"/>
      <c r="Q237" s="84"/>
      <c r="U237" s="82"/>
      <c r="V237" s="85"/>
      <c r="W237" s="86"/>
      <c r="X237" s="87"/>
      <c r="AA237" s="88"/>
      <c r="AE237" s="36"/>
      <c r="AP237" s="80"/>
      <c r="AQ237" s="82"/>
      <c r="AR237" s="83"/>
      <c r="AS237" s="84"/>
      <c r="AV237" s="82"/>
      <c r="AW237" s="90"/>
      <c r="AX237" s="91"/>
      <c r="AY237" s="87"/>
      <c r="BB237" s="88"/>
    </row>
    <row r="238" spans="2:54" ht="15" customHeight="1">
      <c r="D238" s="36"/>
      <c r="N238" s="80"/>
      <c r="O238" s="82"/>
      <c r="P238" s="83"/>
      <c r="Q238" s="84"/>
      <c r="U238" s="82"/>
      <c r="V238" s="85"/>
      <c r="W238" s="86"/>
      <c r="X238" s="87"/>
      <c r="AA238" s="88"/>
      <c r="AE238" s="36"/>
      <c r="AP238" s="80"/>
      <c r="AQ238" s="82"/>
      <c r="AR238" s="83"/>
      <c r="AS238" s="84"/>
      <c r="AV238" s="82"/>
      <c r="AW238" s="90"/>
      <c r="AX238" s="91"/>
      <c r="AY238" s="87"/>
      <c r="BB238" s="88"/>
    </row>
    <row r="239" spans="2:54" ht="15" customHeight="1">
      <c r="D239" s="36"/>
      <c r="N239" s="80"/>
      <c r="O239" s="82"/>
      <c r="P239" s="83"/>
      <c r="Q239" s="84"/>
      <c r="U239" s="82"/>
      <c r="V239" s="85"/>
      <c r="W239" s="86"/>
      <c r="X239" s="87"/>
      <c r="AA239" s="88"/>
      <c r="AE239" s="36"/>
      <c r="AP239" s="80"/>
      <c r="AQ239" s="82"/>
      <c r="AR239" s="83"/>
      <c r="AS239" s="84"/>
      <c r="AV239" s="82"/>
      <c r="AW239" s="90"/>
      <c r="AX239" s="91"/>
      <c r="AY239" s="87"/>
      <c r="BB239" s="88"/>
    </row>
    <row r="240" spans="2:54" ht="15" customHeight="1">
      <c r="D240" s="36"/>
      <c r="N240" s="80"/>
      <c r="O240" s="82"/>
      <c r="P240" s="83"/>
      <c r="Q240" s="84"/>
      <c r="U240" s="82"/>
      <c r="V240" s="85"/>
      <c r="W240" s="86"/>
      <c r="X240" s="87"/>
      <c r="AA240" s="88"/>
      <c r="AE240" s="36"/>
      <c r="AP240" s="80"/>
      <c r="AQ240" s="82"/>
      <c r="AR240" s="83"/>
      <c r="AS240" s="84"/>
      <c r="AV240" s="82"/>
      <c r="AW240" s="90"/>
      <c r="AX240" s="91"/>
      <c r="AY240" s="87"/>
      <c r="BB240" s="88"/>
    </row>
    <row r="241" spans="2:54" ht="15" customHeight="1">
      <c r="D241" s="36"/>
      <c r="N241" s="80"/>
      <c r="O241" s="82"/>
      <c r="P241" s="83"/>
      <c r="Q241" s="84"/>
      <c r="U241" s="82"/>
      <c r="V241" s="85"/>
      <c r="W241" s="86"/>
      <c r="X241" s="87"/>
      <c r="AA241" s="88"/>
      <c r="AE241" s="36"/>
      <c r="AP241" s="80"/>
      <c r="AQ241" s="82"/>
      <c r="AR241" s="83"/>
      <c r="AS241" s="84"/>
      <c r="AV241" s="82"/>
      <c r="AW241" s="90"/>
      <c r="AX241" s="91"/>
      <c r="AY241" s="87"/>
      <c r="BB241" s="88"/>
    </row>
    <row r="242" spans="2:54" ht="15" customHeight="1">
      <c r="D242" s="36"/>
      <c r="N242" s="80"/>
      <c r="O242" s="82"/>
      <c r="P242" s="83"/>
      <c r="Q242" s="84"/>
      <c r="U242" s="82"/>
      <c r="V242" s="85"/>
      <c r="W242" s="86"/>
      <c r="X242" s="87"/>
      <c r="AA242" s="88"/>
      <c r="AE242" s="36"/>
      <c r="AP242" s="80"/>
      <c r="AQ242" s="82"/>
      <c r="AR242" s="83"/>
      <c r="AS242" s="84"/>
      <c r="AV242" s="82"/>
      <c r="AW242" s="90"/>
      <c r="AX242" s="91"/>
      <c r="AY242" s="87"/>
      <c r="BB242" s="88"/>
    </row>
    <row r="243" spans="2:54" ht="15" customHeight="1">
      <c r="D243" s="36"/>
      <c r="N243" s="80"/>
      <c r="O243" s="82"/>
      <c r="P243" s="83"/>
      <c r="Q243" s="84"/>
      <c r="U243" s="82"/>
      <c r="V243" s="85"/>
      <c r="W243" s="86"/>
      <c r="X243" s="87"/>
      <c r="AA243" s="88"/>
      <c r="AE243" s="36"/>
      <c r="AP243" s="80"/>
      <c r="AQ243" s="82"/>
      <c r="AR243" s="83"/>
      <c r="AS243" s="84"/>
      <c r="AV243" s="82"/>
      <c r="AW243" s="90"/>
      <c r="AX243" s="91"/>
      <c r="AY243" s="87"/>
      <c r="BB243" s="88"/>
    </row>
    <row r="244" spans="2:54" ht="15" customHeight="1">
      <c r="D244" s="36"/>
      <c r="N244" s="80"/>
      <c r="O244" s="82"/>
      <c r="P244" s="83"/>
      <c r="Q244" s="84"/>
      <c r="U244" s="82"/>
      <c r="V244" s="85"/>
      <c r="W244" s="86"/>
      <c r="X244" s="87"/>
      <c r="AA244" s="88"/>
      <c r="AE244" s="36"/>
      <c r="AP244" s="80"/>
      <c r="AQ244" s="82"/>
      <c r="AR244" s="83"/>
      <c r="AS244" s="84"/>
      <c r="AV244" s="82"/>
      <c r="AW244" s="90"/>
      <c r="AX244" s="91"/>
      <c r="AY244" s="87"/>
      <c r="BB244" s="88"/>
    </row>
    <row r="245" spans="2:54" ht="15" customHeight="1">
      <c r="D245" s="36"/>
      <c r="N245" s="80"/>
      <c r="O245" s="82"/>
      <c r="P245" s="83"/>
      <c r="Q245" s="84"/>
      <c r="U245" s="82"/>
      <c r="V245" s="85"/>
      <c r="W245" s="86"/>
      <c r="X245" s="87"/>
      <c r="AA245" s="88"/>
      <c r="AE245" s="36"/>
      <c r="AP245" s="80"/>
      <c r="AQ245" s="82"/>
      <c r="AR245" s="83"/>
      <c r="AS245" s="84"/>
      <c r="AV245" s="82"/>
      <c r="AW245" s="90"/>
      <c r="AX245" s="91"/>
      <c r="AY245" s="87"/>
      <c r="BB245" s="88"/>
    </row>
    <row r="246" spans="2:54" ht="15" customHeight="1">
      <c r="D246" s="36"/>
      <c r="N246" s="80"/>
      <c r="O246" s="82"/>
      <c r="P246" s="83"/>
      <c r="Q246" s="84"/>
      <c r="U246" s="82"/>
      <c r="V246" s="85"/>
      <c r="W246" s="86"/>
      <c r="X246" s="87"/>
      <c r="AA246" s="88"/>
      <c r="AE246" s="36"/>
      <c r="AP246" s="80"/>
      <c r="AQ246" s="82"/>
      <c r="AR246" s="83"/>
      <c r="AS246" s="84"/>
      <c r="AV246" s="82"/>
      <c r="AW246" s="90"/>
      <c r="AX246" s="91"/>
      <c r="AY246" s="87"/>
      <c r="BB246" s="88"/>
    </row>
    <row r="247" spans="2:54" ht="15" customHeight="1">
      <c r="D247" s="36"/>
      <c r="N247" s="80"/>
      <c r="O247" s="82"/>
      <c r="P247" s="83"/>
      <c r="Q247" s="84"/>
      <c r="U247" s="82"/>
      <c r="V247" s="85"/>
      <c r="W247" s="86"/>
      <c r="X247" s="87"/>
      <c r="AA247" s="88"/>
      <c r="AE247" s="36"/>
      <c r="AP247" s="80"/>
      <c r="AQ247" s="82"/>
      <c r="AR247" s="83"/>
      <c r="AS247" s="84"/>
      <c r="AV247" s="82"/>
      <c r="AW247" s="90"/>
      <c r="AX247" s="91"/>
      <c r="AY247" s="87"/>
      <c r="BB247" s="88"/>
    </row>
    <row r="248" spans="2:54" ht="15" customHeight="1">
      <c r="D248" s="36"/>
      <c r="N248" s="80"/>
      <c r="O248" s="82"/>
      <c r="P248" s="83"/>
      <c r="Q248" s="84"/>
      <c r="U248" s="82"/>
      <c r="V248" s="85"/>
      <c r="W248" s="86"/>
      <c r="X248" s="87"/>
      <c r="AA248" s="88"/>
      <c r="AE248" s="36"/>
      <c r="AP248" s="80"/>
      <c r="AQ248" s="82"/>
      <c r="AR248" s="83"/>
      <c r="AS248" s="84"/>
      <c r="AV248" s="82"/>
      <c r="AW248" s="90"/>
      <c r="AX248" s="91"/>
      <c r="AY248" s="87"/>
      <c r="BB248" s="88"/>
    </row>
    <row r="249" spans="2:54" ht="15" customHeight="1">
      <c r="D249" s="36"/>
      <c r="N249" s="80"/>
      <c r="O249" s="82"/>
      <c r="P249" s="83"/>
      <c r="Q249" s="84"/>
      <c r="U249" s="82"/>
      <c r="V249" s="85"/>
      <c r="W249" s="86"/>
      <c r="X249" s="87"/>
      <c r="AA249" s="88"/>
      <c r="AE249" s="36"/>
      <c r="AP249" s="80"/>
      <c r="AQ249" s="82"/>
      <c r="AR249" s="83"/>
      <c r="AS249" s="84"/>
      <c r="AV249" s="82"/>
      <c r="AW249" s="90"/>
      <c r="AX249" s="91"/>
      <c r="AY249" s="87"/>
      <c r="BB249" s="88"/>
    </row>
    <row r="250" spans="2:54" ht="15" customHeight="1">
      <c r="D250" s="36"/>
      <c r="N250" s="80"/>
      <c r="O250" s="82"/>
      <c r="P250" s="83"/>
      <c r="Q250" s="84"/>
      <c r="U250" s="82"/>
      <c r="V250" s="85"/>
      <c r="W250" s="86"/>
      <c r="X250" s="87"/>
      <c r="AA250" s="88"/>
      <c r="AE250" s="36"/>
      <c r="AP250" s="80"/>
      <c r="AQ250" s="82"/>
      <c r="AR250" s="83"/>
      <c r="AS250" s="84"/>
      <c r="AV250" s="82"/>
      <c r="AW250" s="90"/>
      <c r="AX250" s="91"/>
      <c r="AY250" s="87"/>
      <c r="BB250" s="88"/>
    </row>
    <row r="251" spans="2:54" ht="15" customHeight="1">
      <c r="D251" s="36"/>
      <c r="N251" s="80"/>
      <c r="O251" s="82"/>
      <c r="P251" s="83"/>
      <c r="Q251" s="84"/>
      <c r="U251" s="82"/>
      <c r="V251" s="85"/>
      <c r="W251" s="86"/>
      <c r="X251" s="87"/>
      <c r="AA251" s="88"/>
      <c r="AE251" s="36"/>
      <c r="AP251" s="80"/>
      <c r="AQ251" s="82"/>
      <c r="AR251" s="83"/>
      <c r="AS251" s="84"/>
      <c r="AV251" s="82"/>
      <c r="AW251" s="90"/>
      <c r="AX251" s="91"/>
      <c r="AY251" s="87"/>
      <c r="BB251" s="88"/>
    </row>
    <row r="252" spans="2:54" ht="15" customHeight="1">
      <c r="D252" s="36"/>
      <c r="N252" s="80"/>
      <c r="O252" s="82"/>
      <c r="P252" s="83"/>
      <c r="Q252" s="84"/>
      <c r="U252" s="82"/>
      <c r="V252" s="85"/>
      <c r="W252" s="86"/>
      <c r="X252" s="87"/>
      <c r="AA252" s="88"/>
      <c r="AE252" s="36"/>
      <c r="AP252" s="80"/>
      <c r="AQ252" s="82"/>
      <c r="AR252" s="83"/>
      <c r="AS252" s="84"/>
      <c r="AV252" s="82"/>
      <c r="AW252" s="90"/>
      <c r="AX252" s="91"/>
      <c r="AY252" s="87"/>
      <c r="BB252" s="88"/>
    </row>
    <row r="253" spans="2:54" ht="15" customHeight="1">
      <c r="D253" s="36"/>
      <c r="N253" s="80"/>
      <c r="O253" s="82"/>
      <c r="P253" s="83"/>
      <c r="Q253" s="84"/>
      <c r="U253" s="82"/>
      <c r="V253" s="85"/>
      <c r="W253" s="86"/>
      <c r="X253" s="87"/>
      <c r="AA253" s="88"/>
      <c r="AE253" s="36"/>
      <c r="AP253" s="80"/>
      <c r="AQ253" s="82"/>
      <c r="AR253" s="83"/>
      <c r="AS253" s="84"/>
      <c r="AV253" s="82"/>
      <c r="AW253" s="90"/>
      <c r="AX253" s="91"/>
      <c r="AY253" s="87"/>
      <c r="BB253" s="88"/>
    </row>
    <row r="254" spans="2:54" ht="15" customHeight="1">
      <c r="D254" s="36"/>
      <c r="N254" s="80"/>
      <c r="O254" s="82"/>
      <c r="P254" s="83"/>
      <c r="Q254" s="84"/>
      <c r="U254" s="82"/>
      <c r="V254" s="85"/>
      <c r="W254" s="86"/>
      <c r="X254" s="87"/>
      <c r="AA254" s="88"/>
      <c r="AE254" s="36"/>
      <c r="AP254" s="80"/>
      <c r="AQ254" s="82"/>
      <c r="AR254" s="83"/>
      <c r="AS254" s="84"/>
      <c r="AV254" s="82"/>
      <c r="AW254" s="90"/>
      <c r="AX254" s="91"/>
      <c r="AY254" s="87"/>
      <c r="BB254" s="88"/>
    </row>
    <row r="255" spans="2:54" ht="15" customHeight="1">
      <c r="D255" s="36"/>
      <c r="N255" s="80"/>
      <c r="O255" s="82"/>
      <c r="P255" s="83"/>
      <c r="Q255" s="84"/>
      <c r="U255" s="82"/>
      <c r="V255" s="85"/>
      <c r="W255" s="86"/>
      <c r="X255" s="87"/>
      <c r="AA255" s="88"/>
      <c r="AE255" s="36"/>
      <c r="AP255" s="80"/>
      <c r="AQ255" s="82"/>
      <c r="AR255" s="83"/>
      <c r="AS255" s="84"/>
      <c r="AV255" s="82"/>
      <c r="AW255" s="90"/>
      <c r="AX255" s="91"/>
      <c r="AY255" s="87"/>
      <c r="BB255" s="88"/>
    </row>
    <row r="256" spans="2:54" ht="15" customHeight="1">
      <c r="B256" s="43"/>
      <c r="D256" s="36"/>
      <c r="N256" s="80"/>
      <c r="O256" s="82"/>
      <c r="P256" s="83"/>
      <c r="Q256" s="84"/>
      <c r="U256" s="82"/>
      <c r="V256" s="85"/>
      <c r="W256" s="86"/>
      <c r="X256" s="87"/>
      <c r="AA256" s="88"/>
      <c r="AE256" s="36"/>
      <c r="AP256" s="80"/>
      <c r="AQ256" s="82"/>
      <c r="AR256" s="83"/>
      <c r="AS256" s="84"/>
      <c r="AV256" s="82"/>
      <c r="AW256" s="90"/>
      <c r="AX256" s="91"/>
      <c r="AY256" s="87"/>
      <c r="BB256" s="88"/>
    </row>
    <row r="257" spans="2:54" ht="15" customHeight="1">
      <c r="D257" s="36"/>
      <c r="N257" s="80"/>
      <c r="O257" s="82"/>
      <c r="P257" s="83"/>
      <c r="Q257" s="84"/>
      <c r="U257" s="82"/>
      <c r="V257" s="85"/>
      <c r="W257" s="86"/>
      <c r="X257" s="87"/>
      <c r="AA257" s="88"/>
      <c r="AE257" s="36"/>
      <c r="AP257" s="80"/>
      <c r="AQ257" s="82"/>
      <c r="AR257" s="83"/>
      <c r="AS257" s="84"/>
      <c r="AV257" s="82"/>
      <c r="AW257" s="90"/>
      <c r="AX257" s="91"/>
      <c r="AY257" s="87"/>
      <c r="BB257" s="88"/>
    </row>
    <row r="258" spans="2:54" ht="15" customHeight="1">
      <c r="D258" s="36"/>
      <c r="N258" s="80"/>
      <c r="O258" s="82"/>
      <c r="P258" s="83"/>
      <c r="Q258" s="84"/>
      <c r="U258" s="82"/>
      <c r="V258" s="85"/>
      <c r="W258" s="86"/>
      <c r="X258" s="87"/>
      <c r="AA258" s="88"/>
      <c r="AE258" s="36"/>
      <c r="AP258" s="80"/>
      <c r="AQ258" s="82"/>
      <c r="AR258" s="83"/>
      <c r="AS258" s="84"/>
      <c r="AV258" s="82"/>
      <c r="AW258" s="90"/>
      <c r="AX258" s="91"/>
      <c r="AY258" s="87"/>
      <c r="BB258" s="88"/>
    </row>
    <row r="259" spans="2:54" ht="15" customHeight="1">
      <c r="D259" s="36"/>
      <c r="N259" s="80"/>
      <c r="O259" s="82"/>
      <c r="P259" s="83"/>
      <c r="Q259" s="84"/>
      <c r="U259" s="82"/>
      <c r="V259" s="85"/>
      <c r="W259" s="86"/>
      <c r="X259" s="87"/>
      <c r="AA259" s="88"/>
      <c r="AE259" s="36"/>
      <c r="AP259" s="80"/>
      <c r="AQ259" s="82"/>
      <c r="AR259" s="83"/>
      <c r="AS259" s="84"/>
      <c r="AV259" s="82"/>
      <c r="AW259" s="90"/>
      <c r="AX259" s="91"/>
      <c r="AY259" s="87"/>
      <c r="BB259" s="88"/>
    </row>
    <row r="260" spans="2:54" ht="15" customHeight="1">
      <c r="D260" s="36"/>
      <c r="N260" s="80"/>
      <c r="O260" s="82"/>
      <c r="P260" s="83"/>
      <c r="Q260" s="84"/>
      <c r="U260" s="82"/>
      <c r="V260" s="85"/>
      <c r="W260" s="86"/>
      <c r="X260" s="87"/>
      <c r="AA260" s="88"/>
      <c r="AE260" s="36"/>
      <c r="AP260" s="80"/>
      <c r="AQ260" s="82"/>
      <c r="AR260" s="83"/>
      <c r="AS260" s="84"/>
      <c r="AV260" s="82"/>
      <c r="AW260" s="90"/>
      <c r="AX260" s="91"/>
      <c r="AY260" s="87"/>
      <c r="BB260" s="88"/>
    </row>
    <row r="261" spans="2:54" ht="15" customHeight="1">
      <c r="D261" s="36"/>
      <c r="N261" s="80"/>
      <c r="O261" s="82"/>
      <c r="P261" s="83"/>
      <c r="Q261" s="84"/>
      <c r="U261" s="82"/>
      <c r="V261" s="85"/>
      <c r="W261" s="86"/>
      <c r="X261" s="87"/>
      <c r="AA261" s="88"/>
      <c r="AE261" s="36"/>
      <c r="AP261" s="80"/>
      <c r="AQ261" s="82"/>
      <c r="AR261" s="83"/>
      <c r="AS261" s="84"/>
      <c r="AV261" s="82"/>
      <c r="AW261" s="90"/>
      <c r="AX261" s="91"/>
      <c r="AY261" s="87"/>
      <c r="BB261" s="88"/>
    </row>
    <row r="262" spans="2:54" ht="15" customHeight="1">
      <c r="D262" s="36"/>
      <c r="N262" s="80"/>
      <c r="O262" s="82"/>
      <c r="P262" s="83"/>
      <c r="Q262" s="84"/>
      <c r="U262" s="82"/>
      <c r="V262" s="85"/>
      <c r="W262" s="86"/>
      <c r="X262" s="87"/>
      <c r="AA262" s="88"/>
      <c r="AE262" s="36"/>
      <c r="AP262" s="80"/>
      <c r="AQ262" s="82"/>
      <c r="AR262" s="83"/>
      <c r="AS262" s="84"/>
      <c r="AV262" s="82"/>
      <c r="AW262" s="90"/>
      <c r="AX262" s="91"/>
      <c r="AY262" s="87"/>
      <c r="BB262" s="88"/>
    </row>
    <row r="263" spans="2:54" ht="15" customHeight="1">
      <c r="D263" s="36"/>
      <c r="N263" s="80"/>
      <c r="O263" s="82"/>
      <c r="P263" s="83"/>
      <c r="Q263" s="84"/>
      <c r="U263" s="82"/>
      <c r="V263" s="85"/>
      <c r="W263" s="86"/>
      <c r="X263" s="87"/>
      <c r="AA263" s="88"/>
      <c r="AE263" s="36"/>
      <c r="AP263" s="80"/>
      <c r="AQ263" s="82"/>
      <c r="AR263" s="83"/>
      <c r="AS263" s="84"/>
      <c r="AV263" s="82"/>
      <c r="AW263" s="90"/>
      <c r="AX263" s="91"/>
      <c r="AY263" s="87"/>
      <c r="BB263" s="88"/>
    </row>
    <row r="264" spans="2:54" ht="15" customHeight="1">
      <c r="D264" s="36"/>
      <c r="N264" s="80"/>
      <c r="O264" s="82"/>
      <c r="P264" s="83"/>
      <c r="Q264" s="84"/>
      <c r="U264" s="82"/>
      <c r="V264" s="85"/>
      <c r="W264" s="86"/>
      <c r="X264" s="87"/>
      <c r="AA264" s="88"/>
      <c r="AE264" s="36"/>
      <c r="AP264" s="80"/>
      <c r="AQ264" s="82"/>
      <c r="AR264" s="83"/>
      <c r="AS264" s="84"/>
      <c r="AV264" s="82"/>
      <c r="AW264" s="90"/>
      <c r="AX264" s="91"/>
      <c r="AY264" s="87"/>
      <c r="BB264" s="88"/>
    </row>
    <row r="265" spans="2:54" ht="15" customHeight="1">
      <c r="D265" s="36"/>
      <c r="N265" s="80"/>
      <c r="O265" s="82"/>
      <c r="P265" s="83"/>
      <c r="Q265" s="84"/>
      <c r="U265" s="82"/>
      <c r="V265" s="85"/>
      <c r="W265" s="86"/>
      <c r="X265" s="87"/>
      <c r="AA265" s="88"/>
      <c r="AE265" s="36"/>
      <c r="AP265" s="80"/>
      <c r="AQ265" s="82"/>
      <c r="AR265" s="83"/>
      <c r="AS265" s="84"/>
      <c r="AV265" s="82"/>
      <c r="AW265" s="90"/>
      <c r="AX265" s="91"/>
      <c r="AY265" s="87"/>
      <c r="BB265" s="88"/>
    </row>
    <row r="266" spans="2:54" ht="15" customHeight="1">
      <c r="B266" s="43"/>
      <c r="D266" s="36"/>
      <c r="N266" s="80"/>
      <c r="O266" s="82"/>
      <c r="P266" s="83"/>
      <c r="Q266" s="84"/>
      <c r="U266" s="82"/>
      <c r="V266" s="85"/>
      <c r="W266" s="86"/>
      <c r="X266" s="87"/>
      <c r="AA266" s="88"/>
      <c r="AE266" s="36"/>
      <c r="AP266" s="80"/>
      <c r="AQ266" s="82"/>
      <c r="AR266" s="83"/>
      <c r="AS266" s="84"/>
      <c r="AV266" s="82"/>
      <c r="AW266" s="90"/>
      <c r="AX266" s="91"/>
      <c r="AY266" s="87"/>
      <c r="BB266" s="88"/>
    </row>
    <row r="267" spans="2:54" ht="15" customHeight="1">
      <c r="D267" s="36"/>
      <c r="N267" s="80"/>
      <c r="O267" s="82"/>
      <c r="P267" s="83"/>
      <c r="Q267" s="84"/>
      <c r="U267" s="82"/>
      <c r="V267" s="85"/>
      <c r="W267" s="86"/>
      <c r="X267" s="87"/>
      <c r="AA267" s="88"/>
      <c r="AE267" s="36"/>
      <c r="AP267" s="80"/>
      <c r="AQ267" s="82"/>
      <c r="AR267" s="83"/>
      <c r="AS267" s="84"/>
      <c r="AV267" s="82"/>
      <c r="AW267" s="90"/>
      <c r="AX267" s="91"/>
      <c r="AY267" s="87"/>
      <c r="BB267" s="88"/>
    </row>
    <row r="268" spans="2:54" ht="15" customHeight="1">
      <c r="D268" s="36"/>
      <c r="N268" s="80"/>
      <c r="O268" s="82"/>
      <c r="P268" s="83"/>
      <c r="Q268" s="84"/>
      <c r="U268" s="82"/>
      <c r="V268" s="85"/>
      <c r="W268" s="86"/>
      <c r="X268" s="87"/>
      <c r="AA268" s="88"/>
      <c r="AE268" s="36"/>
      <c r="AP268" s="80"/>
      <c r="AQ268" s="82"/>
      <c r="AR268" s="83"/>
      <c r="AS268" s="84"/>
      <c r="AV268" s="82"/>
      <c r="AW268" s="90"/>
      <c r="AX268" s="91"/>
      <c r="AY268" s="87"/>
      <c r="BB268" s="88"/>
    </row>
    <row r="269" spans="2:54" ht="15" customHeight="1">
      <c r="D269" s="36"/>
      <c r="N269" s="80"/>
      <c r="O269" s="82"/>
      <c r="P269" s="83"/>
      <c r="Q269" s="84"/>
      <c r="U269" s="82"/>
      <c r="V269" s="85"/>
      <c r="W269" s="86"/>
      <c r="X269" s="87"/>
      <c r="AA269" s="88"/>
      <c r="AE269" s="36"/>
      <c r="AP269" s="80"/>
      <c r="AQ269" s="82"/>
      <c r="AR269" s="83"/>
      <c r="AS269" s="84"/>
      <c r="AV269" s="82"/>
      <c r="AW269" s="90"/>
      <c r="AX269" s="91"/>
      <c r="AY269" s="87"/>
      <c r="BB269" s="88"/>
    </row>
    <row r="270" spans="2:54" ht="15" customHeight="1">
      <c r="D270" s="36"/>
      <c r="N270" s="80"/>
      <c r="O270" s="82"/>
      <c r="P270" s="83"/>
      <c r="Q270" s="84"/>
      <c r="U270" s="82"/>
      <c r="V270" s="85"/>
      <c r="W270" s="86"/>
      <c r="X270" s="87"/>
      <c r="AA270" s="88"/>
      <c r="AE270" s="36"/>
      <c r="AP270" s="80"/>
      <c r="AQ270" s="82"/>
      <c r="AR270" s="83"/>
      <c r="AS270" s="84"/>
      <c r="AV270" s="82"/>
      <c r="AW270" s="90"/>
      <c r="AX270" s="91"/>
      <c r="AY270" s="87"/>
      <c r="BB270" s="88"/>
    </row>
    <row r="271" spans="2:54" ht="15" customHeight="1">
      <c r="D271" s="36"/>
      <c r="N271" s="80"/>
      <c r="O271" s="82"/>
      <c r="P271" s="83"/>
      <c r="Q271" s="84"/>
      <c r="U271" s="82"/>
      <c r="V271" s="85"/>
      <c r="W271" s="86"/>
      <c r="X271" s="87"/>
      <c r="AA271" s="88"/>
      <c r="AE271" s="36"/>
      <c r="AP271" s="80"/>
      <c r="AQ271" s="82"/>
      <c r="AR271" s="83"/>
      <c r="AS271" s="84"/>
      <c r="AV271" s="82"/>
      <c r="AW271" s="90"/>
      <c r="AX271" s="91"/>
      <c r="AY271" s="87"/>
      <c r="BB271" s="88"/>
    </row>
    <row r="272" spans="2:54" ht="15" customHeight="1">
      <c r="D272" s="36"/>
      <c r="N272" s="80"/>
      <c r="O272" s="82"/>
      <c r="P272" s="83"/>
      <c r="Q272" s="84"/>
      <c r="U272" s="82"/>
      <c r="V272" s="85"/>
      <c r="W272" s="86"/>
      <c r="X272" s="87"/>
      <c r="AA272" s="88"/>
      <c r="AE272" s="36"/>
      <c r="AP272" s="80"/>
      <c r="AQ272" s="82"/>
      <c r="AR272" s="83"/>
      <c r="AS272" s="84"/>
      <c r="AV272" s="82"/>
      <c r="AW272" s="90"/>
      <c r="AX272" s="91"/>
      <c r="AY272" s="87"/>
      <c r="BB272" s="88"/>
    </row>
    <row r="273" spans="1:54" ht="15" customHeight="1">
      <c r="D273" s="36"/>
      <c r="N273" s="80"/>
      <c r="O273" s="82"/>
      <c r="P273" s="83"/>
      <c r="Q273" s="84"/>
      <c r="U273" s="82"/>
      <c r="V273" s="85"/>
      <c r="W273" s="86"/>
      <c r="X273" s="87"/>
      <c r="AA273" s="88"/>
      <c r="AE273" s="36"/>
      <c r="AP273" s="80"/>
      <c r="AQ273" s="82"/>
      <c r="AR273" s="83"/>
      <c r="AS273" s="84"/>
      <c r="AV273" s="82"/>
      <c r="AW273" s="90"/>
      <c r="AX273" s="91"/>
      <c r="AY273" s="87"/>
      <c r="BB273" s="88"/>
    </row>
    <row r="274" spans="1:54" ht="15" customHeight="1">
      <c r="D274" s="36"/>
      <c r="N274" s="80"/>
      <c r="O274" s="82"/>
      <c r="P274" s="83"/>
      <c r="Q274" s="84"/>
      <c r="U274" s="82"/>
      <c r="V274" s="85"/>
      <c r="W274" s="86"/>
      <c r="X274" s="87"/>
      <c r="AA274" s="88"/>
      <c r="AE274" s="36"/>
      <c r="AP274" s="80"/>
      <c r="AQ274" s="82"/>
      <c r="AR274" s="83"/>
      <c r="AS274" s="84"/>
      <c r="AV274" s="82"/>
      <c r="AW274" s="90"/>
      <c r="AX274" s="91"/>
      <c r="AY274" s="87"/>
      <c r="BB274" s="88"/>
    </row>
    <row r="275" spans="1:54" ht="15" customHeight="1">
      <c r="D275" s="36"/>
      <c r="N275" s="80"/>
      <c r="O275" s="82"/>
      <c r="P275" s="83"/>
      <c r="Q275" s="84"/>
      <c r="U275" s="82"/>
      <c r="V275" s="85"/>
      <c r="W275" s="86"/>
      <c r="X275" s="87"/>
      <c r="AA275" s="88"/>
      <c r="AE275" s="36"/>
      <c r="AP275" s="80"/>
      <c r="AQ275" s="82"/>
      <c r="AR275" s="83"/>
      <c r="AS275" s="84"/>
      <c r="AV275" s="82"/>
      <c r="AW275" s="90"/>
      <c r="AX275" s="91"/>
      <c r="AY275" s="87"/>
      <c r="BB275" s="88"/>
    </row>
    <row r="276" spans="1:54" ht="15" customHeight="1">
      <c r="D276" s="36"/>
      <c r="N276" s="80"/>
      <c r="O276" s="82"/>
      <c r="P276" s="83"/>
      <c r="Q276" s="84"/>
      <c r="U276" s="82"/>
      <c r="V276" s="85"/>
      <c r="W276" s="86"/>
      <c r="X276" s="87"/>
      <c r="AA276" s="88"/>
      <c r="AE276" s="36"/>
      <c r="AP276" s="80"/>
      <c r="AQ276" s="82"/>
      <c r="AR276" s="83"/>
      <c r="AS276" s="84"/>
      <c r="AV276" s="82"/>
      <c r="AW276" s="90"/>
      <c r="AX276" s="91"/>
      <c r="AY276" s="87"/>
      <c r="BB276" s="88"/>
    </row>
    <row r="277" spans="1:54" ht="15" customHeight="1">
      <c r="D277" s="36"/>
      <c r="N277" s="80"/>
      <c r="O277" s="82"/>
      <c r="P277" s="83"/>
      <c r="Q277" s="84"/>
      <c r="U277" s="82"/>
      <c r="V277" s="85"/>
      <c r="W277" s="86"/>
      <c r="X277" s="87"/>
      <c r="AA277" s="88"/>
      <c r="AE277" s="36"/>
      <c r="AP277" s="80"/>
      <c r="AQ277" s="82"/>
      <c r="AR277" s="83"/>
      <c r="AS277" s="84"/>
      <c r="AV277" s="82"/>
      <c r="AW277" s="90"/>
      <c r="AX277" s="91"/>
      <c r="AY277" s="87"/>
      <c r="BB277" s="88"/>
    </row>
    <row r="278" spans="1:54" ht="15" customHeight="1">
      <c r="D278" s="36"/>
      <c r="N278" s="80"/>
      <c r="O278" s="82"/>
      <c r="P278" s="83"/>
      <c r="Q278" s="84"/>
      <c r="U278" s="82"/>
      <c r="V278" s="85"/>
      <c r="W278" s="86"/>
      <c r="X278" s="87"/>
      <c r="AA278" s="88"/>
      <c r="AE278" s="36"/>
      <c r="AP278" s="80"/>
      <c r="AQ278" s="82"/>
      <c r="AR278" s="83"/>
      <c r="AS278" s="84"/>
      <c r="AV278" s="82"/>
      <c r="AW278" s="90"/>
      <c r="AX278" s="91"/>
      <c r="AY278" s="87"/>
      <c r="BB278" s="88"/>
    </row>
    <row r="279" spans="1:54" ht="15" customHeight="1">
      <c r="D279" s="36"/>
      <c r="N279" s="80"/>
      <c r="O279" s="82"/>
      <c r="P279" s="83"/>
      <c r="Q279" s="84"/>
      <c r="U279" s="82"/>
      <c r="V279" s="85"/>
      <c r="W279" s="86"/>
      <c r="X279" s="87"/>
      <c r="AA279" s="88"/>
      <c r="AE279" s="36"/>
      <c r="AP279" s="80"/>
      <c r="AQ279" s="82"/>
      <c r="AR279" s="83"/>
      <c r="AS279" s="84"/>
      <c r="AV279" s="82"/>
      <c r="AW279" s="90"/>
      <c r="AX279" s="91"/>
      <c r="AY279" s="87"/>
      <c r="BB279" s="88"/>
    </row>
    <row r="280" spans="1:54" ht="15" customHeight="1">
      <c r="A280" s="47"/>
      <c r="B280" s="47"/>
      <c r="C280" s="47"/>
      <c r="D280" s="47"/>
      <c r="E280" s="47"/>
      <c r="F280" s="47"/>
      <c r="G280" s="47"/>
      <c r="N280" s="80"/>
      <c r="O280" s="82"/>
      <c r="P280" s="83"/>
      <c r="Q280" s="84"/>
      <c r="U280" s="82"/>
      <c r="V280" s="85"/>
      <c r="W280" s="86"/>
      <c r="X280" s="87"/>
      <c r="AA280" s="88"/>
      <c r="AE280" s="36"/>
      <c r="AP280" s="80"/>
      <c r="AQ280" s="82"/>
      <c r="AR280" s="83"/>
      <c r="AS280" s="84"/>
      <c r="AV280" s="82"/>
      <c r="AW280" s="90"/>
      <c r="AX280" s="91"/>
      <c r="AY280" s="87"/>
      <c r="BB280" s="88"/>
    </row>
    <row r="281" spans="1:54" ht="15" customHeight="1">
      <c r="D281" s="36"/>
      <c r="N281" s="80"/>
      <c r="O281" s="82"/>
      <c r="P281" s="83"/>
      <c r="Q281" s="84"/>
      <c r="U281" s="82"/>
      <c r="V281" s="85"/>
      <c r="W281" s="86"/>
      <c r="X281" s="87"/>
      <c r="AA281" s="88"/>
      <c r="AE281" s="36"/>
      <c r="AP281" s="80"/>
      <c r="AQ281" s="82"/>
      <c r="AR281" s="83"/>
      <c r="AS281" s="84"/>
      <c r="AV281" s="82"/>
      <c r="AW281" s="90"/>
      <c r="AX281" s="91"/>
      <c r="AY281" s="87"/>
      <c r="BB281" s="88"/>
    </row>
    <row r="282" spans="1:54" ht="15" customHeight="1">
      <c r="D282" s="36"/>
      <c r="N282" s="80"/>
      <c r="O282" s="82"/>
      <c r="P282" s="83"/>
      <c r="Q282" s="84"/>
      <c r="U282" s="82"/>
      <c r="V282" s="85"/>
      <c r="W282" s="86"/>
      <c r="X282" s="87"/>
      <c r="AA282" s="88"/>
      <c r="AE282" s="36"/>
      <c r="AP282" s="80"/>
      <c r="AQ282" s="82"/>
      <c r="AR282" s="83"/>
      <c r="AS282" s="84"/>
      <c r="AV282" s="82"/>
      <c r="AW282" s="90"/>
      <c r="AX282" s="91"/>
      <c r="AY282" s="87"/>
      <c r="BB282" s="88"/>
    </row>
    <row r="283" spans="1:54" ht="15" customHeight="1">
      <c r="D283" s="36"/>
      <c r="N283" s="80"/>
      <c r="O283" s="82"/>
      <c r="P283" s="83"/>
      <c r="Q283" s="84"/>
      <c r="U283" s="82"/>
      <c r="V283" s="85"/>
      <c r="W283" s="86"/>
      <c r="X283" s="87"/>
      <c r="AA283" s="88"/>
      <c r="AE283" s="36"/>
      <c r="AP283" s="80"/>
      <c r="AQ283" s="82"/>
      <c r="AR283" s="83"/>
      <c r="AS283" s="84"/>
      <c r="AV283" s="82"/>
      <c r="AW283" s="90"/>
      <c r="AX283" s="91"/>
      <c r="AY283" s="87"/>
      <c r="BB283" s="88"/>
    </row>
    <row r="284" spans="1:54" ht="15" customHeight="1">
      <c r="D284" s="36"/>
      <c r="N284" s="80"/>
      <c r="O284" s="82"/>
      <c r="P284" s="83"/>
      <c r="Q284" s="84"/>
      <c r="U284" s="82"/>
      <c r="V284" s="85"/>
      <c r="W284" s="86"/>
      <c r="X284" s="87"/>
      <c r="AA284" s="88"/>
      <c r="AE284" s="36"/>
      <c r="AP284" s="80"/>
      <c r="AQ284" s="82"/>
      <c r="AR284" s="83"/>
      <c r="AS284" s="84"/>
      <c r="AV284" s="82"/>
      <c r="AW284" s="90"/>
      <c r="AX284" s="91"/>
      <c r="AY284" s="87"/>
      <c r="BB284" s="88"/>
    </row>
    <row r="285" spans="1:54" ht="15" customHeight="1">
      <c r="D285" s="36"/>
      <c r="N285" s="80"/>
      <c r="O285" s="82"/>
      <c r="P285" s="83"/>
      <c r="Q285" s="84"/>
      <c r="U285" s="82"/>
      <c r="V285" s="85"/>
      <c r="W285" s="86"/>
      <c r="X285" s="87"/>
      <c r="AA285" s="88"/>
      <c r="AE285" s="36"/>
      <c r="AP285" s="80"/>
      <c r="AQ285" s="82"/>
      <c r="AR285" s="83"/>
      <c r="AS285" s="84"/>
      <c r="AV285" s="82"/>
      <c r="AW285" s="90"/>
      <c r="AX285" s="91"/>
      <c r="AY285" s="87"/>
      <c r="BB285" s="88"/>
    </row>
    <row r="286" spans="1:54" ht="15" customHeight="1">
      <c r="D286" s="36"/>
      <c r="N286" s="80"/>
      <c r="O286" s="82"/>
      <c r="P286" s="83"/>
      <c r="Q286" s="84"/>
      <c r="U286" s="82"/>
      <c r="V286" s="85"/>
      <c r="W286" s="86"/>
      <c r="X286" s="87"/>
      <c r="AA286" s="88"/>
      <c r="AE286" s="36"/>
      <c r="AP286" s="80"/>
      <c r="AQ286" s="82"/>
      <c r="AR286" s="83"/>
      <c r="AS286" s="84"/>
      <c r="AV286" s="82"/>
      <c r="AW286" s="90"/>
      <c r="AX286" s="91"/>
      <c r="AY286" s="87"/>
      <c r="BB286" s="88"/>
    </row>
    <row r="287" spans="1:54" ht="15" customHeight="1">
      <c r="D287" s="36"/>
      <c r="N287" s="80"/>
      <c r="O287" s="82"/>
      <c r="P287" s="83"/>
      <c r="Q287" s="84"/>
      <c r="U287" s="82"/>
      <c r="V287" s="85"/>
      <c r="W287" s="86"/>
      <c r="X287" s="87"/>
      <c r="AA287" s="88"/>
      <c r="AE287" s="36"/>
      <c r="AP287" s="80"/>
      <c r="AQ287" s="82"/>
      <c r="AR287" s="83"/>
      <c r="AS287" s="84"/>
      <c r="AV287" s="82"/>
      <c r="AW287" s="90"/>
      <c r="AX287" s="91"/>
      <c r="AY287" s="87"/>
      <c r="BB287" s="88"/>
    </row>
    <row r="288" spans="1:54" ht="15" customHeight="1">
      <c r="D288" s="36"/>
      <c r="N288" s="80"/>
      <c r="O288" s="82"/>
      <c r="P288" s="83"/>
      <c r="Q288" s="84"/>
      <c r="U288" s="82"/>
      <c r="V288" s="85"/>
      <c r="W288" s="86"/>
      <c r="X288" s="87"/>
      <c r="AA288" s="88"/>
      <c r="AE288" s="36"/>
      <c r="AP288" s="80"/>
      <c r="AQ288" s="82"/>
      <c r="AR288" s="83"/>
      <c r="AS288" s="84"/>
      <c r="AV288" s="82"/>
      <c r="AW288" s="90"/>
      <c r="AX288" s="91"/>
      <c r="AY288" s="87"/>
      <c r="BB288" s="88"/>
    </row>
    <row r="289" spans="4:54" ht="15" customHeight="1">
      <c r="D289" s="36"/>
      <c r="N289" s="80"/>
      <c r="O289" s="82"/>
      <c r="P289" s="83"/>
      <c r="Q289" s="84"/>
      <c r="U289" s="82"/>
      <c r="V289" s="85"/>
      <c r="W289" s="86"/>
      <c r="X289" s="87"/>
      <c r="AA289" s="88"/>
      <c r="AE289" s="36"/>
      <c r="AP289" s="80"/>
      <c r="AQ289" s="82"/>
      <c r="AR289" s="83"/>
      <c r="AS289" s="84"/>
      <c r="AV289" s="82"/>
      <c r="AW289" s="90"/>
      <c r="AX289" s="91"/>
      <c r="AY289" s="87"/>
      <c r="BB289" s="88"/>
    </row>
    <row r="290" spans="4:54" ht="15" customHeight="1">
      <c r="D290" s="36"/>
      <c r="N290" s="80"/>
      <c r="O290" s="82"/>
      <c r="P290" s="83"/>
      <c r="Q290" s="84"/>
      <c r="U290" s="82"/>
      <c r="V290" s="85"/>
      <c r="W290" s="86"/>
      <c r="X290" s="87"/>
      <c r="AA290" s="88"/>
      <c r="AE290" s="36"/>
      <c r="AP290" s="80"/>
      <c r="AQ290" s="82"/>
      <c r="AR290" s="83"/>
      <c r="AS290" s="84"/>
      <c r="AV290" s="82"/>
      <c r="AW290" s="90"/>
      <c r="AX290" s="91"/>
      <c r="AY290" s="87"/>
      <c r="BB290" s="88"/>
    </row>
    <row r="291" spans="4:54" ht="15" customHeight="1">
      <c r="D291" s="36"/>
      <c r="N291" s="80"/>
      <c r="O291" s="82"/>
      <c r="P291" s="83"/>
      <c r="Q291" s="84"/>
      <c r="U291" s="82"/>
      <c r="V291" s="85"/>
      <c r="W291" s="86"/>
      <c r="X291" s="87"/>
      <c r="AA291" s="88"/>
      <c r="AE291" s="36"/>
      <c r="AP291" s="80"/>
      <c r="AQ291" s="82"/>
      <c r="AR291" s="83"/>
      <c r="AS291" s="84"/>
      <c r="AV291" s="82"/>
      <c r="AW291" s="90"/>
      <c r="AX291" s="91"/>
      <c r="AY291" s="87"/>
      <c r="BB291" s="88"/>
    </row>
    <row r="292" spans="4:54" ht="15" customHeight="1">
      <c r="D292" s="36"/>
      <c r="N292" s="80"/>
      <c r="O292" s="82"/>
      <c r="P292" s="83"/>
      <c r="Q292" s="84"/>
      <c r="U292" s="82"/>
      <c r="V292" s="85"/>
      <c r="W292" s="86"/>
      <c r="X292" s="87"/>
      <c r="AA292" s="88"/>
      <c r="AE292" s="36"/>
      <c r="AP292" s="80"/>
      <c r="AQ292" s="82"/>
      <c r="AR292" s="83"/>
      <c r="AS292" s="84"/>
      <c r="AV292" s="82"/>
      <c r="AW292" s="90"/>
      <c r="AX292" s="91"/>
      <c r="AY292" s="87"/>
      <c r="BB292" s="88"/>
    </row>
    <row r="293" spans="4:54" ht="15" customHeight="1">
      <c r="D293" s="36"/>
      <c r="N293" s="80"/>
      <c r="O293" s="82"/>
      <c r="P293" s="83"/>
      <c r="Q293" s="84"/>
      <c r="U293" s="82"/>
      <c r="V293" s="85"/>
      <c r="W293" s="86"/>
      <c r="X293" s="87"/>
      <c r="AA293" s="88"/>
      <c r="AE293" s="36"/>
      <c r="AP293" s="80"/>
      <c r="AQ293" s="82"/>
      <c r="AR293" s="83"/>
      <c r="AS293" s="84"/>
      <c r="AV293" s="82"/>
      <c r="AW293" s="90"/>
      <c r="AX293" s="91"/>
      <c r="AY293" s="87"/>
      <c r="BB293" s="88"/>
    </row>
    <row r="294" spans="4:54" ht="15" customHeight="1">
      <c r="D294" s="36"/>
      <c r="N294" s="80"/>
      <c r="O294" s="82"/>
      <c r="P294" s="83"/>
      <c r="Q294" s="84"/>
      <c r="U294" s="82"/>
      <c r="V294" s="85"/>
      <c r="W294" s="86"/>
      <c r="X294" s="87"/>
      <c r="AA294" s="88"/>
      <c r="AE294" s="36"/>
      <c r="AP294" s="80"/>
      <c r="AQ294" s="82"/>
      <c r="AR294" s="83"/>
      <c r="AS294" s="84"/>
      <c r="AV294" s="82"/>
      <c r="AW294" s="90"/>
      <c r="AX294" s="91"/>
      <c r="AY294" s="87"/>
      <c r="BB294" s="88"/>
    </row>
    <row r="295" spans="4:54" ht="15" customHeight="1">
      <c r="D295" s="36"/>
      <c r="N295" s="80"/>
      <c r="O295" s="82"/>
      <c r="P295" s="83"/>
      <c r="Q295" s="84"/>
      <c r="U295" s="82"/>
      <c r="V295" s="85"/>
      <c r="W295" s="86"/>
      <c r="X295" s="87"/>
      <c r="AA295" s="88"/>
      <c r="AE295" s="36"/>
      <c r="AP295" s="80"/>
      <c r="AQ295" s="82"/>
      <c r="AR295" s="83"/>
      <c r="AS295" s="84"/>
      <c r="AV295" s="82"/>
      <c r="AW295" s="90"/>
      <c r="AX295" s="91"/>
      <c r="AY295" s="87"/>
      <c r="BB295" s="88"/>
    </row>
    <row r="296" spans="4:54" ht="15" customHeight="1">
      <c r="D296" s="36"/>
      <c r="N296" s="80"/>
      <c r="O296" s="82"/>
      <c r="P296" s="83"/>
      <c r="Q296" s="84"/>
      <c r="U296" s="82"/>
      <c r="V296" s="85"/>
      <c r="W296" s="86"/>
      <c r="X296" s="87"/>
      <c r="AA296" s="88"/>
      <c r="AE296" s="36"/>
      <c r="AP296" s="80"/>
      <c r="AQ296" s="82"/>
      <c r="AR296" s="83"/>
      <c r="AS296" s="84"/>
      <c r="AV296" s="82"/>
      <c r="AW296" s="90"/>
      <c r="AX296" s="91"/>
      <c r="AY296" s="87"/>
      <c r="BB296" s="88"/>
    </row>
    <row r="297" spans="4:54" ht="15" customHeight="1">
      <c r="D297" s="36"/>
      <c r="N297" s="80"/>
      <c r="O297" s="82"/>
      <c r="P297" s="83"/>
      <c r="Q297" s="84"/>
      <c r="U297" s="82"/>
      <c r="V297" s="85"/>
      <c r="W297" s="86"/>
      <c r="X297" s="87"/>
      <c r="AA297" s="88"/>
      <c r="AE297" s="36"/>
      <c r="AP297" s="80"/>
      <c r="AQ297" s="82"/>
      <c r="AR297" s="83"/>
      <c r="AS297" s="84"/>
      <c r="AV297" s="82"/>
      <c r="AW297" s="90"/>
      <c r="AX297" s="91"/>
      <c r="AY297" s="87"/>
      <c r="BB297" s="88"/>
    </row>
    <row r="298" spans="4:54" ht="15" customHeight="1">
      <c r="D298" s="36"/>
      <c r="N298" s="80"/>
      <c r="O298" s="82"/>
      <c r="P298" s="83"/>
      <c r="Q298" s="84"/>
      <c r="U298" s="82"/>
      <c r="V298" s="85"/>
      <c r="W298" s="86"/>
      <c r="X298" s="87"/>
      <c r="AA298" s="88"/>
      <c r="AE298" s="36"/>
      <c r="AP298" s="80"/>
      <c r="AQ298" s="82"/>
      <c r="AR298" s="83"/>
      <c r="AS298" s="84"/>
      <c r="AV298" s="82"/>
      <c r="AW298" s="90"/>
      <c r="AX298" s="91"/>
      <c r="AY298" s="87"/>
      <c r="BB298" s="88"/>
    </row>
    <row r="299" spans="4:54" ht="15" customHeight="1">
      <c r="D299" s="36"/>
      <c r="N299" s="80"/>
      <c r="O299" s="82"/>
      <c r="P299" s="83"/>
      <c r="Q299" s="84"/>
      <c r="U299" s="82"/>
      <c r="V299" s="85"/>
      <c r="W299" s="86"/>
      <c r="X299" s="87"/>
      <c r="AA299" s="88"/>
      <c r="AE299" s="36"/>
      <c r="AP299" s="80"/>
      <c r="AQ299" s="82"/>
      <c r="AR299" s="83"/>
      <c r="AS299" s="84"/>
      <c r="AV299" s="82"/>
      <c r="AW299" s="90"/>
      <c r="AX299" s="91"/>
      <c r="AY299" s="87"/>
      <c r="BB299" s="88"/>
    </row>
    <row r="300" spans="4:54" ht="15" customHeight="1">
      <c r="D300" s="36"/>
      <c r="N300" s="80"/>
      <c r="O300" s="82"/>
      <c r="P300" s="83"/>
      <c r="Q300" s="84"/>
      <c r="U300" s="82"/>
      <c r="V300" s="85"/>
      <c r="W300" s="86"/>
      <c r="X300" s="87"/>
      <c r="AA300" s="88"/>
      <c r="AE300" s="36"/>
      <c r="AP300" s="80"/>
      <c r="AQ300" s="82"/>
      <c r="AR300" s="83"/>
      <c r="AS300" s="84"/>
      <c r="AV300" s="82"/>
      <c r="AW300" s="90"/>
      <c r="AX300" s="91"/>
      <c r="AY300" s="87"/>
      <c r="BB300" s="88"/>
    </row>
    <row r="301" spans="4:54" ht="15" customHeight="1">
      <c r="D301" s="36"/>
      <c r="N301" s="80"/>
      <c r="O301" s="82"/>
      <c r="P301" s="83"/>
      <c r="Q301" s="84"/>
      <c r="U301" s="82"/>
      <c r="V301" s="85"/>
      <c r="W301" s="86"/>
      <c r="X301" s="87"/>
      <c r="AA301" s="88"/>
      <c r="AE301" s="36"/>
      <c r="AP301" s="80"/>
      <c r="AQ301" s="82"/>
      <c r="AR301" s="83"/>
      <c r="AS301" s="84"/>
      <c r="AV301" s="82"/>
      <c r="AW301" s="90"/>
      <c r="AX301" s="91"/>
      <c r="AY301" s="87"/>
      <c r="BB301" s="88"/>
    </row>
    <row r="302" spans="4:54" ht="15" customHeight="1">
      <c r="D302" s="36"/>
      <c r="N302" s="80"/>
      <c r="O302" s="82"/>
      <c r="P302" s="83"/>
      <c r="Q302" s="84"/>
      <c r="U302" s="82"/>
      <c r="V302" s="85"/>
      <c r="W302" s="86"/>
      <c r="X302" s="87"/>
      <c r="AA302" s="88"/>
      <c r="AE302" s="36"/>
      <c r="AP302" s="80"/>
      <c r="AQ302" s="82"/>
      <c r="AR302" s="83"/>
      <c r="AS302" s="84"/>
      <c r="AV302" s="82"/>
      <c r="AW302" s="90"/>
      <c r="AX302" s="91"/>
      <c r="AY302" s="87"/>
      <c r="BB302" s="88"/>
    </row>
    <row r="303" spans="4:54" ht="15" customHeight="1">
      <c r="D303" s="36"/>
      <c r="N303" s="80"/>
      <c r="O303" s="82"/>
      <c r="P303" s="83"/>
      <c r="Q303" s="84"/>
      <c r="U303" s="82"/>
      <c r="V303" s="85"/>
      <c r="W303" s="86"/>
      <c r="X303" s="87"/>
      <c r="AA303" s="88"/>
      <c r="AE303" s="36"/>
      <c r="AP303" s="80"/>
      <c r="AQ303" s="82"/>
      <c r="AR303" s="83"/>
      <c r="AS303" s="84"/>
      <c r="AV303" s="82"/>
      <c r="AW303" s="90"/>
      <c r="AX303" s="91"/>
      <c r="AY303" s="87"/>
      <c r="BB303" s="88"/>
    </row>
    <row r="304" spans="4:54" ht="15" customHeight="1">
      <c r="D304" s="36"/>
      <c r="N304" s="80"/>
      <c r="O304" s="82"/>
      <c r="P304" s="83"/>
      <c r="Q304" s="84"/>
      <c r="U304" s="82"/>
      <c r="V304" s="85"/>
      <c r="W304" s="86"/>
      <c r="X304" s="87"/>
      <c r="AA304" s="88"/>
      <c r="AE304" s="36"/>
      <c r="AP304" s="80"/>
      <c r="AQ304" s="82"/>
      <c r="AR304" s="83"/>
      <c r="AS304" s="84"/>
      <c r="AV304" s="82"/>
      <c r="AW304" s="90"/>
      <c r="AX304" s="91"/>
      <c r="AY304" s="87"/>
      <c r="BB304" s="88"/>
    </row>
    <row r="305" spans="4:54" ht="15" customHeight="1">
      <c r="D305" s="36"/>
      <c r="N305" s="80"/>
      <c r="O305" s="82"/>
      <c r="P305" s="83"/>
      <c r="Q305" s="84"/>
      <c r="U305" s="82"/>
      <c r="V305" s="85"/>
      <c r="W305" s="86"/>
      <c r="X305" s="87"/>
      <c r="AA305" s="88"/>
      <c r="AE305" s="36"/>
      <c r="AP305" s="80"/>
      <c r="AQ305" s="82"/>
      <c r="AR305" s="83"/>
      <c r="AS305" s="84"/>
      <c r="AV305" s="82"/>
      <c r="AW305" s="90"/>
      <c r="AX305" s="91"/>
      <c r="AY305" s="87"/>
      <c r="BB305" s="88"/>
    </row>
    <row r="306" spans="4:54" ht="15" customHeight="1">
      <c r="D306" s="36"/>
      <c r="N306" s="80"/>
      <c r="O306" s="82"/>
      <c r="P306" s="83"/>
      <c r="Q306" s="84"/>
      <c r="U306" s="82"/>
      <c r="V306" s="85"/>
      <c r="W306" s="86"/>
      <c r="X306" s="87"/>
      <c r="AA306" s="88"/>
      <c r="AE306" s="36"/>
      <c r="AP306" s="80"/>
      <c r="AQ306" s="82"/>
      <c r="AR306" s="83"/>
      <c r="AS306" s="84"/>
      <c r="AV306" s="82"/>
      <c r="AW306" s="90"/>
      <c r="AX306" s="91"/>
      <c r="AY306" s="87"/>
      <c r="BB306" s="88"/>
    </row>
    <row r="307" spans="4:54" ht="15" customHeight="1">
      <c r="D307" s="36"/>
      <c r="N307" s="80"/>
      <c r="O307" s="82"/>
      <c r="P307" s="83"/>
      <c r="Q307" s="84"/>
      <c r="U307" s="82"/>
      <c r="V307" s="85"/>
      <c r="W307" s="86"/>
      <c r="X307" s="87"/>
      <c r="AA307" s="88"/>
      <c r="AE307" s="36"/>
      <c r="AP307" s="80"/>
      <c r="AQ307" s="82"/>
      <c r="AR307" s="83"/>
      <c r="AS307" s="84"/>
      <c r="AV307" s="82"/>
      <c r="AW307" s="90"/>
      <c r="AX307" s="91"/>
      <c r="AY307" s="87"/>
      <c r="BB307" s="88"/>
    </row>
    <row r="308" spans="4:54" ht="15" customHeight="1">
      <c r="D308" s="36"/>
      <c r="N308" s="80"/>
      <c r="O308" s="82"/>
      <c r="P308" s="83"/>
      <c r="Q308" s="84"/>
      <c r="U308" s="82"/>
      <c r="V308" s="85"/>
      <c r="W308" s="86"/>
      <c r="X308" s="87"/>
      <c r="AA308" s="88"/>
      <c r="AE308" s="36"/>
      <c r="AP308" s="80"/>
      <c r="AQ308" s="82"/>
      <c r="AR308" s="83"/>
      <c r="AS308" s="84"/>
      <c r="AV308" s="82"/>
      <c r="AW308" s="90"/>
      <c r="AX308" s="91"/>
      <c r="AY308" s="87"/>
      <c r="BB308" s="88"/>
    </row>
    <row r="309" spans="4:54" ht="15" customHeight="1">
      <c r="D309" s="36"/>
      <c r="N309" s="80"/>
      <c r="O309" s="82"/>
      <c r="P309" s="83"/>
      <c r="Q309" s="84"/>
      <c r="U309" s="82"/>
      <c r="V309" s="85"/>
      <c r="W309" s="86"/>
      <c r="X309" s="87"/>
      <c r="AA309" s="88"/>
      <c r="AE309" s="36"/>
      <c r="AP309" s="80"/>
      <c r="AQ309" s="82"/>
      <c r="AR309" s="83"/>
      <c r="AS309" s="84"/>
      <c r="AV309" s="82"/>
      <c r="AW309" s="90"/>
      <c r="AX309" s="91"/>
      <c r="AY309" s="87"/>
      <c r="BB309" s="88"/>
    </row>
    <row r="310" spans="4:54" ht="15" customHeight="1">
      <c r="D310" s="36"/>
      <c r="N310" s="80"/>
      <c r="O310" s="82"/>
      <c r="P310" s="83"/>
      <c r="Q310" s="84"/>
      <c r="U310" s="82"/>
      <c r="V310" s="85"/>
      <c r="W310" s="86"/>
      <c r="X310" s="87"/>
      <c r="AA310" s="88"/>
      <c r="AE310" s="36"/>
      <c r="AP310" s="80"/>
      <c r="AQ310" s="82"/>
      <c r="AR310" s="83"/>
      <c r="AS310" s="84"/>
      <c r="AV310" s="82"/>
      <c r="AW310" s="90"/>
      <c r="AX310" s="91"/>
      <c r="AY310" s="87"/>
      <c r="BB310" s="88"/>
    </row>
    <row r="311" spans="4:54" ht="15" customHeight="1">
      <c r="D311" s="36"/>
      <c r="N311" s="80"/>
      <c r="O311" s="82"/>
      <c r="P311" s="83"/>
      <c r="Q311" s="84"/>
      <c r="U311" s="82"/>
      <c r="V311" s="85"/>
      <c r="W311" s="86"/>
      <c r="X311" s="87"/>
      <c r="AA311" s="88"/>
      <c r="AE311" s="36"/>
      <c r="AP311" s="80"/>
      <c r="AQ311" s="82"/>
      <c r="AR311" s="83"/>
      <c r="AS311" s="84"/>
      <c r="AV311" s="82"/>
      <c r="AW311" s="90"/>
      <c r="AX311" s="91"/>
      <c r="AY311" s="87"/>
      <c r="BB311" s="88"/>
    </row>
    <row r="312" spans="4:54" ht="15" customHeight="1">
      <c r="D312" s="36"/>
      <c r="N312" s="80"/>
      <c r="O312" s="82"/>
      <c r="P312" s="83"/>
      <c r="Q312" s="84"/>
      <c r="U312" s="82"/>
      <c r="V312" s="85"/>
      <c r="W312" s="86"/>
      <c r="X312" s="87"/>
      <c r="AA312" s="88"/>
      <c r="AE312" s="36"/>
      <c r="AP312" s="80"/>
      <c r="AQ312" s="82"/>
      <c r="AR312" s="83"/>
      <c r="AS312" s="84"/>
      <c r="AV312" s="82"/>
      <c r="AW312" s="90"/>
      <c r="AX312" s="91"/>
      <c r="AY312" s="87"/>
      <c r="BB312" s="88"/>
    </row>
    <row r="313" spans="4:54" ht="15" customHeight="1">
      <c r="D313" s="36"/>
      <c r="N313" s="80"/>
      <c r="O313" s="82"/>
      <c r="P313" s="83"/>
      <c r="Q313" s="84"/>
      <c r="U313" s="82"/>
      <c r="V313" s="85"/>
      <c r="W313" s="86"/>
      <c r="X313" s="87"/>
      <c r="AA313" s="88"/>
      <c r="AE313" s="36"/>
      <c r="AP313" s="80"/>
      <c r="AQ313" s="82"/>
      <c r="AR313" s="83"/>
      <c r="AS313" s="84"/>
      <c r="AV313" s="82"/>
      <c r="AW313" s="90"/>
      <c r="AX313" s="91"/>
      <c r="AY313" s="87"/>
      <c r="BB313" s="88"/>
    </row>
    <row r="314" spans="4:54" ht="15" customHeight="1">
      <c r="D314" s="36"/>
      <c r="N314" s="80"/>
      <c r="O314" s="82"/>
      <c r="P314" s="83"/>
      <c r="Q314" s="84"/>
      <c r="U314" s="82"/>
      <c r="V314" s="85"/>
      <c r="W314" s="86"/>
      <c r="X314" s="87"/>
      <c r="AA314" s="88"/>
      <c r="AE314" s="36"/>
      <c r="AP314" s="80"/>
      <c r="AQ314" s="82"/>
      <c r="AR314" s="83"/>
      <c r="AS314" s="84"/>
      <c r="AV314" s="82"/>
      <c r="AW314" s="90"/>
      <c r="AX314" s="91"/>
      <c r="AY314" s="87"/>
      <c r="BB314" s="88"/>
    </row>
    <row r="315" spans="4:54" ht="15" customHeight="1">
      <c r="D315" s="36"/>
      <c r="N315" s="80"/>
      <c r="O315" s="82"/>
      <c r="P315" s="83"/>
      <c r="Q315" s="84"/>
      <c r="U315" s="82"/>
      <c r="V315" s="85"/>
      <c r="W315" s="86"/>
      <c r="X315" s="87"/>
      <c r="AA315" s="88"/>
      <c r="AE315" s="36"/>
      <c r="AP315" s="80"/>
      <c r="AQ315" s="82"/>
      <c r="AR315" s="83"/>
      <c r="AS315" s="84"/>
      <c r="AV315" s="82"/>
      <c r="AW315" s="90"/>
      <c r="AX315" s="91"/>
      <c r="AY315" s="87"/>
      <c r="BB315" s="88"/>
    </row>
    <row r="316" spans="4:54" ht="15" customHeight="1">
      <c r="D316" s="36"/>
      <c r="N316" s="80"/>
      <c r="O316" s="82"/>
      <c r="P316" s="83"/>
      <c r="Q316" s="84"/>
      <c r="U316" s="82"/>
      <c r="V316" s="85"/>
      <c r="W316" s="86"/>
      <c r="X316" s="87"/>
      <c r="AA316" s="88"/>
      <c r="AP316" s="80"/>
      <c r="AQ316" s="82"/>
      <c r="AR316" s="83"/>
      <c r="AS316" s="84"/>
      <c r="AV316" s="82"/>
      <c r="AW316" s="90"/>
      <c r="AX316" s="91"/>
      <c r="AY316" s="87"/>
      <c r="BB316" s="88"/>
    </row>
    <row r="317" spans="4:54" ht="15" customHeight="1">
      <c r="D317" s="36"/>
      <c r="N317" s="80"/>
      <c r="O317" s="82"/>
      <c r="P317" s="83"/>
      <c r="Q317" s="84"/>
      <c r="U317" s="82"/>
      <c r="V317" s="85"/>
      <c r="W317" s="86"/>
      <c r="X317" s="87"/>
      <c r="AA317" s="88"/>
      <c r="AE317" s="36"/>
      <c r="AP317" s="80"/>
      <c r="AQ317" s="82"/>
      <c r="AR317" s="83"/>
      <c r="AS317" s="84"/>
      <c r="AV317" s="82"/>
      <c r="AW317" s="90"/>
      <c r="AX317" s="91"/>
      <c r="AY317" s="87"/>
      <c r="BB317" s="88"/>
    </row>
    <row r="318" spans="4:54" ht="15" customHeight="1">
      <c r="D318" s="36"/>
      <c r="N318" s="80"/>
      <c r="O318" s="82"/>
      <c r="P318" s="83"/>
      <c r="Q318" s="84"/>
      <c r="U318" s="82"/>
      <c r="V318" s="85"/>
      <c r="W318" s="86"/>
      <c r="X318" s="87"/>
      <c r="AA318" s="88"/>
      <c r="AE318" s="36"/>
      <c r="AP318" s="80"/>
      <c r="AQ318" s="82"/>
      <c r="AR318" s="83"/>
      <c r="AS318" s="84"/>
      <c r="AV318" s="82"/>
      <c r="AW318" s="90"/>
      <c r="AX318" s="91"/>
      <c r="AY318" s="87"/>
      <c r="BB318" s="88"/>
    </row>
    <row r="319" spans="4:54" ht="15" customHeight="1">
      <c r="D319" s="36"/>
      <c r="N319" s="80"/>
      <c r="O319" s="82"/>
      <c r="P319" s="83"/>
      <c r="Q319" s="84"/>
      <c r="U319" s="82"/>
      <c r="V319" s="85"/>
      <c r="W319" s="86"/>
      <c r="X319" s="87"/>
      <c r="AA319" s="88"/>
      <c r="AE319" s="36"/>
      <c r="AP319" s="80"/>
      <c r="AQ319" s="82"/>
      <c r="AR319" s="83"/>
      <c r="AS319" s="84"/>
      <c r="AV319" s="82"/>
      <c r="AW319" s="90"/>
      <c r="AX319" s="91"/>
      <c r="AY319" s="87"/>
      <c r="BB319" s="88"/>
    </row>
    <row r="320" spans="4:54" ht="15" customHeight="1">
      <c r="D320" s="36"/>
      <c r="N320" s="80"/>
      <c r="O320" s="82"/>
      <c r="P320" s="83"/>
      <c r="Q320" s="84"/>
      <c r="U320" s="82"/>
      <c r="V320" s="85"/>
      <c r="W320" s="86"/>
      <c r="X320" s="87"/>
      <c r="AA320" s="88"/>
      <c r="AE320" s="36"/>
      <c r="AP320" s="80"/>
      <c r="AQ320" s="82"/>
      <c r="AR320" s="83"/>
      <c r="AS320" s="84"/>
      <c r="AV320" s="82"/>
      <c r="AW320" s="90"/>
      <c r="AX320" s="91"/>
      <c r="AY320" s="87"/>
      <c r="BB320" s="88"/>
    </row>
    <row r="321" spans="4:54" ht="15" customHeight="1">
      <c r="D321" s="36"/>
      <c r="N321" s="80"/>
      <c r="O321" s="82"/>
      <c r="P321" s="83"/>
      <c r="Q321" s="84"/>
      <c r="U321" s="82"/>
      <c r="V321" s="85"/>
      <c r="W321" s="86"/>
      <c r="X321" s="87"/>
      <c r="AA321" s="88"/>
      <c r="AE321" s="36"/>
      <c r="AP321" s="80"/>
      <c r="AQ321" s="82"/>
      <c r="AR321" s="83"/>
      <c r="AS321" s="84"/>
      <c r="AV321" s="82"/>
      <c r="AW321" s="90"/>
      <c r="AX321" s="91"/>
      <c r="AY321" s="87"/>
      <c r="BB321" s="88"/>
    </row>
    <row r="322" spans="4:54" ht="15" customHeight="1">
      <c r="D322" s="36"/>
      <c r="N322" s="80"/>
      <c r="O322" s="82"/>
      <c r="P322" s="83"/>
      <c r="Q322" s="84"/>
      <c r="U322" s="82"/>
      <c r="V322" s="85"/>
      <c r="W322" s="86"/>
      <c r="X322" s="87"/>
      <c r="AA322" s="88"/>
      <c r="AE322" s="36"/>
      <c r="AP322" s="80"/>
      <c r="AQ322" s="82"/>
      <c r="AR322" s="83"/>
      <c r="AS322" s="84"/>
      <c r="AV322" s="82"/>
      <c r="AW322" s="90"/>
      <c r="AX322" s="91"/>
      <c r="AY322" s="87"/>
      <c r="BB322" s="88"/>
    </row>
    <row r="323" spans="4:54" ht="15" customHeight="1">
      <c r="D323" s="36"/>
      <c r="N323" s="80"/>
      <c r="O323" s="82"/>
      <c r="P323" s="83"/>
      <c r="Q323" s="84"/>
      <c r="U323" s="82"/>
      <c r="V323" s="85"/>
      <c r="W323" s="86"/>
      <c r="X323" s="87"/>
      <c r="AA323" s="88"/>
      <c r="AE323" s="36"/>
      <c r="AP323" s="80"/>
      <c r="AQ323" s="82"/>
      <c r="AR323" s="83"/>
      <c r="AS323" s="84"/>
      <c r="AV323" s="82"/>
      <c r="AW323" s="90"/>
      <c r="AX323" s="91"/>
      <c r="AY323" s="87"/>
      <c r="BB323" s="88"/>
    </row>
    <row r="324" spans="4:54" ht="15" customHeight="1">
      <c r="D324" s="36"/>
      <c r="N324" s="80"/>
      <c r="O324" s="82"/>
      <c r="P324" s="83"/>
      <c r="Q324" s="84"/>
      <c r="U324" s="82"/>
      <c r="V324" s="85"/>
      <c r="W324" s="86"/>
      <c r="X324" s="87"/>
      <c r="AA324" s="88"/>
      <c r="AE324" s="36"/>
      <c r="AP324" s="80"/>
      <c r="AQ324" s="82"/>
      <c r="AR324" s="83"/>
      <c r="AS324" s="84"/>
      <c r="AV324" s="82"/>
      <c r="AW324" s="90"/>
      <c r="AX324" s="91"/>
      <c r="AY324" s="87"/>
      <c r="BB324" s="88"/>
    </row>
    <row r="325" spans="4:54" ht="15" customHeight="1">
      <c r="D325" s="36"/>
      <c r="N325" s="80"/>
      <c r="O325" s="82"/>
      <c r="P325" s="83"/>
      <c r="Q325" s="84"/>
      <c r="U325" s="82"/>
      <c r="V325" s="85"/>
      <c r="W325" s="86"/>
      <c r="X325" s="87"/>
      <c r="AA325" s="88"/>
      <c r="AE325" s="36"/>
      <c r="AP325" s="80"/>
      <c r="AQ325" s="82"/>
      <c r="AR325" s="83"/>
      <c r="AS325" s="84"/>
      <c r="AV325" s="82"/>
      <c r="AW325" s="90"/>
      <c r="AX325" s="91"/>
      <c r="AY325" s="87"/>
      <c r="BB325" s="88"/>
    </row>
    <row r="326" spans="4:54" ht="15" customHeight="1">
      <c r="D326" s="36"/>
      <c r="N326" s="80"/>
      <c r="O326" s="82"/>
      <c r="P326" s="83"/>
      <c r="Q326" s="84"/>
      <c r="U326" s="82"/>
      <c r="V326" s="85"/>
      <c r="W326" s="86"/>
      <c r="X326" s="87"/>
      <c r="AA326" s="88"/>
      <c r="AE326" s="36"/>
      <c r="AP326" s="80"/>
      <c r="AQ326" s="82"/>
      <c r="AR326" s="83"/>
      <c r="AS326" s="84"/>
      <c r="AV326" s="82"/>
      <c r="AW326" s="90"/>
      <c r="AX326" s="91"/>
      <c r="AY326" s="87"/>
      <c r="BB326" s="88"/>
    </row>
    <row r="327" spans="4:54" ht="15" customHeight="1">
      <c r="D327" s="36"/>
      <c r="N327" s="80"/>
      <c r="O327" s="82"/>
      <c r="P327" s="83"/>
      <c r="Q327" s="84"/>
      <c r="U327" s="82"/>
      <c r="V327" s="85"/>
      <c r="W327" s="86"/>
      <c r="X327" s="87"/>
      <c r="AA327" s="88"/>
      <c r="AE327" s="36"/>
      <c r="AP327" s="80"/>
      <c r="AQ327" s="82"/>
      <c r="AR327" s="83"/>
      <c r="AS327" s="84"/>
      <c r="AV327" s="82"/>
      <c r="AW327" s="90"/>
      <c r="AX327" s="91"/>
      <c r="AY327" s="87"/>
      <c r="BB327" s="88"/>
    </row>
    <row r="328" spans="4:54" ht="15" customHeight="1">
      <c r="D328" s="36"/>
      <c r="N328" s="80"/>
      <c r="O328" s="82"/>
      <c r="P328" s="83"/>
      <c r="Q328" s="84"/>
      <c r="U328" s="82"/>
      <c r="V328" s="85"/>
      <c r="W328" s="86"/>
      <c r="X328" s="87"/>
      <c r="AA328" s="88"/>
      <c r="AE328" s="36"/>
      <c r="AP328" s="80"/>
      <c r="AQ328" s="82"/>
      <c r="AR328" s="83"/>
      <c r="AS328" s="84"/>
      <c r="AV328" s="82"/>
      <c r="AW328" s="90"/>
      <c r="AX328" s="91"/>
      <c r="AY328" s="87"/>
      <c r="BB328" s="88"/>
    </row>
    <row r="329" spans="4:54" ht="15" customHeight="1">
      <c r="D329" s="36"/>
      <c r="N329" s="80"/>
      <c r="O329" s="82"/>
      <c r="P329" s="83"/>
      <c r="Q329" s="84"/>
      <c r="U329" s="82"/>
      <c r="V329" s="85"/>
      <c r="W329" s="86"/>
      <c r="X329" s="87"/>
      <c r="AA329" s="88"/>
      <c r="AE329" s="36"/>
      <c r="AP329" s="80"/>
      <c r="AQ329" s="82"/>
      <c r="AR329" s="83"/>
      <c r="AS329" s="84"/>
      <c r="AV329" s="82"/>
      <c r="AW329" s="90"/>
      <c r="AX329" s="91"/>
      <c r="AY329" s="87"/>
      <c r="BB329" s="88"/>
    </row>
    <row r="330" spans="4:54" ht="15" customHeight="1">
      <c r="D330" s="36"/>
      <c r="N330" s="80"/>
      <c r="O330" s="82"/>
      <c r="P330" s="83"/>
      <c r="Q330" s="84"/>
      <c r="U330" s="82"/>
      <c r="V330" s="85"/>
      <c r="W330" s="86"/>
      <c r="X330" s="87"/>
      <c r="AA330" s="88"/>
      <c r="AE330" s="36"/>
      <c r="AP330" s="80"/>
      <c r="AQ330" s="82"/>
      <c r="AR330" s="83"/>
      <c r="AS330" s="84"/>
      <c r="AV330" s="82"/>
      <c r="AW330" s="90"/>
      <c r="AX330" s="91"/>
      <c r="AY330" s="87"/>
      <c r="BB330" s="88"/>
    </row>
    <row r="331" spans="4:54" ht="15" customHeight="1">
      <c r="D331" s="36"/>
      <c r="N331" s="80"/>
      <c r="O331" s="82"/>
      <c r="P331" s="83"/>
      <c r="Q331" s="84"/>
      <c r="U331" s="82"/>
      <c r="V331" s="85"/>
      <c r="W331" s="86"/>
      <c r="X331" s="87"/>
      <c r="AA331" s="88"/>
      <c r="AE331" s="36"/>
      <c r="AP331" s="80"/>
      <c r="AQ331" s="82"/>
      <c r="AR331" s="83"/>
      <c r="AS331" s="84"/>
      <c r="AV331" s="82"/>
      <c r="AW331" s="90"/>
      <c r="AX331" s="91"/>
      <c r="AY331" s="87"/>
      <c r="BB331" s="88"/>
    </row>
    <row r="332" spans="4:54" ht="15" customHeight="1">
      <c r="D332" s="36"/>
      <c r="N332" s="80"/>
      <c r="O332" s="82"/>
      <c r="P332" s="83"/>
      <c r="Q332" s="84"/>
      <c r="U332" s="82"/>
      <c r="V332" s="85"/>
      <c r="W332" s="86"/>
      <c r="X332" s="87"/>
      <c r="AA332" s="88"/>
      <c r="AE332" s="36"/>
      <c r="AP332" s="80"/>
      <c r="AQ332" s="82"/>
      <c r="AR332" s="83"/>
      <c r="AS332" s="84"/>
      <c r="AV332" s="82"/>
      <c r="AW332" s="90"/>
      <c r="AX332" s="91"/>
      <c r="AY332" s="87"/>
      <c r="BB332" s="88"/>
    </row>
    <row r="333" spans="4:54" ht="15" customHeight="1">
      <c r="D333" s="36"/>
      <c r="N333" s="80"/>
      <c r="O333" s="82"/>
      <c r="P333" s="83"/>
      <c r="Q333" s="84"/>
      <c r="U333" s="82"/>
      <c r="V333" s="85"/>
      <c r="W333" s="86"/>
      <c r="X333" s="87"/>
      <c r="AA333" s="88"/>
      <c r="AE333" s="36"/>
      <c r="AP333" s="80"/>
      <c r="AQ333" s="82"/>
      <c r="AR333" s="83"/>
      <c r="AS333" s="84"/>
      <c r="AV333" s="82"/>
      <c r="AW333" s="90"/>
      <c r="AX333" s="91"/>
      <c r="AY333" s="87"/>
      <c r="BB333" s="88"/>
    </row>
    <row r="334" spans="4:54" ht="15" customHeight="1">
      <c r="D334" s="36"/>
      <c r="N334" s="80"/>
      <c r="O334" s="82"/>
      <c r="P334" s="83"/>
      <c r="Q334" s="84"/>
      <c r="U334" s="82"/>
      <c r="V334" s="85"/>
      <c r="W334" s="86"/>
      <c r="X334" s="87"/>
      <c r="AA334" s="88"/>
      <c r="AE334" s="36"/>
      <c r="AP334" s="80"/>
      <c r="AQ334" s="82"/>
      <c r="AR334" s="83"/>
      <c r="AS334" s="84"/>
      <c r="AV334" s="82"/>
      <c r="AW334" s="90"/>
      <c r="AX334" s="91"/>
      <c r="AY334" s="87"/>
      <c r="BB334" s="88"/>
    </row>
    <row r="335" spans="4:54" ht="15" customHeight="1">
      <c r="D335" s="36"/>
      <c r="N335" s="80"/>
      <c r="O335" s="82"/>
      <c r="P335" s="83"/>
      <c r="Q335" s="84"/>
      <c r="U335" s="82"/>
      <c r="V335" s="85"/>
      <c r="W335" s="86"/>
      <c r="X335" s="87"/>
      <c r="AA335" s="88"/>
      <c r="AE335" s="36"/>
      <c r="AP335" s="80"/>
      <c r="AQ335" s="82"/>
      <c r="AR335" s="83"/>
      <c r="AS335" s="84"/>
      <c r="AV335" s="82"/>
      <c r="AW335" s="90"/>
      <c r="AX335" s="91"/>
      <c r="AY335" s="87"/>
      <c r="BB335" s="88"/>
    </row>
    <row r="336" spans="4:54" ht="15" customHeight="1">
      <c r="D336" s="36"/>
      <c r="N336" s="80"/>
      <c r="O336" s="82"/>
      <c r="P336" s="83"/>
      <c r="Q336" s="84"/>
      <c r="U336" s="82"/>
      <c r="V336" s="85"/>
      <c r="W336" s="86"/>
      <c r="X336" s="87"/>
      <c r="AA336" s="88"/>
      <c r="AE336" s="36"/>
      <c r="AP336" s="80"/>
      <c r="AQ336" s="82"/>
      <c r="AR336" s="83"/>
      <c r="AS336" s="84"/>
      <c r="AV336" s="82"/>
      <c r="AW336" s="90"/>
      <c r="AX336" s="91"/>
      <c r="AY336" s="87"/>
      <c r="BB336" s="88"/>
    </row>
    <row r="337" spans="4:54" ht="15" customHeight="1">
      <c r="D337" s="36"/>
      <c r="N337" s="80"/>
      <c r="O337" s="82"/>
      <c r="P337" s="83"/>
      <c r="Q337" s="84"/>
      <c r="U337" s="82"/>
      <c r="V337" s="85"/>
      <c r="W337" s="86"/>
      <c r="X337" s="87"/>
      <c r="AA337" s="88"/>
      <c r="AE337" s="36"/>
      <c r="AP337" s="80"/>
      <c r="AQ337" s="82"/>
      <c r="AR337" s="83"/>
      <c r="AS337" s="84"/>
      <c r="AV337" s="82"/>
      <c r="AW337" s="90"/>
      <c r="AX337" s="91"/>
      <c r="AY337" s="87"/>
      <c r="BB337" s="88"/>
    </row>
    <row r="338" spans="4:54" ht="15" customHeight="1">
      <c r="D338" s="36"/>
      <c r="N338" s="80"/>
      <c r="O338" s="82"/>
      <c r="P338" s="83"/>
      <c r="Q338" s="84"/>
      <c r="U338" s="82"/>
      <c r="V338" s="85"/>
      <c r="W338" s="86"/>
      <c r="X338" s="87"/>
      <c r="AA338" s="88"/>
      <c r="AE338" s="36"/>
      <c r="AP338" s="80"/>
      <c r="AQ338" s="82"/>
      <c r="AR338" s="83"/>
      <c r="AS338" s="84"/>
      <c r="AV338" s="82"/>
      <c r="AW338" s="90"/>
      <c r="AX338" s="91"/>
      <c r="AY338" s="87"/>
      <c r="BB338" s="88"/>
    </row>
    <row r="339" spans="4:54" ht="15" customHeight="1">
      <c r="D339" s="36"/>
      <c r="N339" s="80"/>
      <c r="O339" s="82"/>
      <c r="P339" s="83"/>
      <c r="Q339" s="84"/>
      <c r="U339" s="82"/>
      <c r="V339" s="85"/>
      <c r="W339" s="86"/>
      <c r="X339" s="87"/>
      <c r="AA339" s="88"/>
      <c r="AE339" s="36"/>
      <c r="AP339" s="80"/>
      <c r="AQ339" s="82"/>
      <c r="AR339" s="83"/>
      <c r="AS339" s="84"/>
      <c r="AV339" s="82"/>
      <c r="AW339" s="90"/>
      <c r="AX339" s="91"/>
      <c r="AY339" s="87"/>
      <c r="BB339" s="88"/>
    </row>
    <row r="340" spans="4:54" ht="15" customHeight="1">
      <c r="D340" s="36"/>
      <c r="N340" s="80"/>
      <c r="O340" s="82"/>
      <c r="P340" s="83"/>
      <c r="Q340" s="84"/>
      <c r="U340" s="82"/>
      <c r="V340" s="85"/>
      <c r="W340" s="86"/>
      <c r="X340" s="87"/>
      <c r="AA340" s="88"/>
      <c r="AE340" s="36"/>
      <c r="AP340" s="80"/>
      <c r="AQ340" s="82"/>
      <c r="AR340" s="83"/>
      <c r="AS340" s="84"/>
      <c r="AV340" s="82"/>
      <c r="AW340" s="90"/>
      <c r="AX340" s="91"/>
      <c r="AY340" s="87"/>
      <c r="BB340" s="88"/>
    </row>
    <row r="341" spans="4:54" ht="15" customHeight="1">
      <c r="D341" s="36"/>
      <c r="N341" s="80"/>
      <c r="O341" s="82"/>
      <c r="P341" s="83"/>
      <c r="Q341" s="84"/>
      <c r="U341" s="82"/>
      <c r="V341" s="85"/>
      <c r="W341" s="86"/>
      <c r="X341" s="87"/>
      <c r="AA341" s="88"/>
      <c r="AE341" s="36"/>
      <c r="AP341" s="80"/>
      <c r="AQ341" s="82"/>
      <c r="AR341" s="83"/>
      <c r="AS341" s="84"/>
      <c r="AV341" s="82"/>
      <c r="AW341" s="90"/>
      <c r="AX341" s="91"/>
      <c r="AY341" s="87"/>
      <c r="BB341" s="88"/>
    </row>
    <row r="342" spans="4:54" ht="15" customHeight="1">
      <c r="D342" s="36"/>
      <c r="N342" s="80"/>
      <c r="O342" s="82"/>
      <c r="P342" s="83"/>
      <c r="Q342" s="84"/>
      <c r="U342" s="82"/>
      <c r="V342" s="85"/>
      <c r="W342" s="86"/>
      <c r="X342" s="87"/>
      <c r="AA342" s="88"/>
      <c r="AE342" s="36"/>
      <c r="AP342" s="80"/>
      <c r="AQ342" s="82"/>
      <c r="AR342" s="83"/>
      <c r="AS342" s="84"/>
      <c r="AV342" s="82"/>
      <c r="AW342" s="90"/>
      <c r="AX342" s="91"/>
      <c r="AY342" s="87"/>
      <c r="BB342" s="88"/>
    </row>
    <row r="343" spans="4:54" ht="15" customHeight="1">
      <c r="D343" s="36"/>
      <c r="N343" s="80"/>
      <c r="O343" s="82"/>
      <c r="P343" s="83"/>
      <c r="Q343" s="84"/>
      <c r="U343" s="82"/>
      <c r="V343" s="85"/>
      <c r="W343" s="86"/>
      <c r="X343" s="87"/>
      <c r="AA343" s="88"/>
      <c r="AE343" s="36"/>
      <c r="AP343" s="80"/>
      <c r="AQ343" s="82"/>
      <c r="AR343" s="83"/>
      <c r="AS343" s="84"/>
      <c r="AV343" s="82"/>
      <c r="AW343" s="90"/>
      <c r="AX343" s="91"/>
      <c r="AY343" s="87"/>
      <c r="BB343" s="88"/>
    </row>
    <row r="344" spans="4:54" ht="15" customHeight="1">
      <c r="D344" s="36"/>
      <c r="N344" s="80"/>
      <c r="O344" s="82"/>
      <c r="P344" s="83"/>
      <c r="Q344" s="84"/>
      <c r="U344" s="82"/>
      <c r="V344" s="85"/>
      <c r="W344" s="86"/>
      <c r="X344" s="87"/>
      <c r="AA344" s="88"/>
      <c r="AE344" s="36"/>
      <c r="AP344" s="80"/>
      <c r="AQ344" s="82"/>
      <c r="AR344" s="83"/>
      <c r="AS344" s="84"/>
      <c r="AV344" s="82"/>
      <c r="AW344" s="90"/>
      <c r="AX344" s="91"/>
      <c r="AY344" s="87"/>
      <c r="BB344" s="88"/>
    </row>
    <row r="345" spans="4:54" ht="15" customHeight="1">
      <c r="D345" s="36"/>
      <c r="N345" s="80"/>
      <c r="O345" s="82"/>
      <c r="P345" s="83"/>
      <c r="Q345" s="84"/>
      <c r="U345" s="82"/>
      <c r="V345" s="85"/>
      <c r="W345" s="86"/>
      <c r="X345" s="87"/>
      <c r="AA345" s="88"/>
      <c r="AE345" s="36"/>
      <c r="AP345" s="80"/>
      <c r="AQ345" s="82"/>
      <c r="AR345" s="83"/>
      <c r="AS345" s="84"/>
      <c r="AV345" s="82"/>
      <c r="AW345" s="90"/>
      <c r="AX345" s="91"/>
      <c r="AY345" s="87"/>
      <c r="BB345" s="88"/>
    </row>
    <row r="346" spans="4:54" ht="15" customHeight="1">
      <c r="D346" s="36"/>
      <c r="N346" s="80"/>
      <c r="O346" s="82"/>
      <c r="P346" s="83"/>
      <c r="Q346" s="84"/>
      <c r="U346" s="82"/>
      <c r="V346" s="85"/>
      <c r="W346" s="86"/>
      <c r="X346" s="87"/>
      <c r="AA346" s="88"/>
      <c r="AE346" s="36"/>
      <c r="AP346" s="80"/>
      <c r="AQ346" s="82"/>
      <c r="AR346" s="83"/>
      <c r="AS346" s="84"/>
      <c r="AV346" s="82"/>
      <c r="AW346" s="90"/>
      <c r="AX346" s="91"/>
      <c r="AY346" s="87"/>
      <c r="BB346" s="88"/>
    </row>
    <row r="347" spans="4:54" ht="15" customHeight="1">
      <c r="D347" s="36"/>
      <c r="N347" s="80"/>
      <c r="O347" s="82"/>
      <c r="P347" s="83"/>
      <c r="Q347" s="84"/>
      <c r="U347" s="82"/>
      <c r="V347" s="85"/>
      <c r="W347" s="86"/>
      <c r="X347" s="87"/>
      <c r="AA347" s="88"/>
      <c r="AE347" s="36"/>
      <c r="AP347" s="80"/>
      <c r="AQ347" s="82"/>
      <c r="AR347" s="83"/>
      <c r="AS347" s="84"/>
      <c r="AV347" s="82"/>
      <c r="AW347" s="90"/>
      <c r="AX347" s="91"/>
      <c r="AY347" s="87"/>
      <c r="BB347" s="88"/>
    </row>
    <row r="348" spans="4:54" ht="15" customHeight="1">
      <c r="D348" s="36"/>
      <c r="N348" s="80"/>
      <c r="O348" s="82"/>
      <c r="P348" s="83"/>
      <c r="Q348" s="84"/>
      <c r="U348" s="82"/>
      <c r="V348" s="85"/>
      <c r="W348" s="86"/>
      <c r="X348" s="87"/>
      <c r="AA348" s="88"/>
      <c r="AE348" s="36"/>
      <c r="AP348" s="80"/>
      <c r="AQ348" s="82"/>
      <c r="AR348" s="83"/>
      <c r="AS348" s="84"/>
      <c r="AV348" s="82"/>
      <c r="AW348" s="90"/>
      <c r="AX348" s="91"/>
      <c r="AY348" s="87"/>
      <c r="BB348" s="88"/>
    </row>
    <row r="349" spans="4:54" ht="15" customHeight="1">
      <c r="AP349" s="80"/>
      <c r="AQ349" s="82"/>
      <c r="AR349" s="83"/>
      <c r="AS349" s="84"/>
      <c r="AV349" s="82"/>
      <c r="AW349" s="90"/>
      <c r="AX349" s="91"/>
      <c r="AY349" s="87"/>
      <c r="BB349" s="88"/>
    </row>
    <row r="350" spans="4:54" ht="15" customHeight="1">
      <c r="AP350" s="80"/>
      <c r="AQ350" s="82"/>
      <c r="AR350" s="83"/>
      <c r="AS350" s="84"/>
      <c r="AV350" s="82"/>
      <c r="AW350" s="90"/>
      <c r="AX350" s="91"/>
      <c r="AY350" s="87"/>
      <c r="BB350" s="88"/>
    </row>
    <row r="351" spans="4:54" ht="15" customHeight="1">
      <c r="AP351" s="80"/>
      <c r="AQ351" s="82"/>
      <c r="AR351" s="83"/>
      <c r="AS351" s="84"/>
      <c r="AV351" s="82"/>
      <c r="AW351" s="90"/>
      <c r="AX351" s="91"/>
      <c r="AY351" s="87"/>
      <c r="BB351" s="88"/>
    </row>
    <row r="352" spans="4:54" ht="15" customHeight="1">
      <c r="AP352" s="80"/>
      <c r="AQ352" s="82"/>
      <c r="AR352" s="83"/>
      <c r="AS352" s="84"/>
      <c r="AV352" s="82"/>
      <c r="AW352" s="90"/>
      <c r="AX352" s="91"/>
      <c r="AY352" s="87"/>
      <c r="BB352" s="88"/>
    </row>
    <row r="353" spans="42:54" ht="15" customHeight="1">
      <c r="AP353" s="80"/>
      <c r="AQ353" s="82"/>
      <c r="AR353" s="83"/>
      <c r="AS353" s="84"/>
      <c r="AV353" s="82"/>
      <c r="AW353" s="90"/>
      <c r="AX353" s="91"/>
      <c r="AY353" s="87"/>
      <c r="BB353" s="88"/>
    </row>
    <row r="354" spans="42:54" ht="15" customHeight="1">
      <c r="AP354" s="80"/>
      <c r="AQ354" s="82"/>
      <c r="AR354" s="83"/>
      <c r="AS354" s="84"/>
      <c r="AV354" s="82"/>
      <c r="AW354" s="90"/>
      <c r="AX354" s="91"/>
      <c r="AY354" s="87"/>
      <c r="BB354" s="88"/>
    </row>
    <row r="355" spans="42:54" ht="15" customHeight="1">
      <c r="AP355" s="80"/>
      <c r="AQ355" s="82"/>
      <c r="AR355" s="83"/>
      <c r="AS355" s="84"/>
      <c r="AV355" s="82"/>
      <c r="AW355" s="90"/>
      <c r="AX355" s="91"/>
      <c r="AY355" s="87"/>
      <c r="BB355" s="88"/>
    </row>
    <row r="356" spans="42:54" ht="15" customHeight="1">
      <c r="AP356" s="80"/>
      <c r="AQ356" s="82"/>
      <c r="AR356" s="83"/>
      <c r="AS356" s="84"/>
      <c r="AV356" s="82"/>
      <c r="AW356" s="90"/>
      <c r="AX356" s="91"/>
      <c r="AY356" s="87"/>
      <c r="BB356" s="88"/>
    </row>
    <row r="357" spans="42:54" ht="15" customHeight="1">
      <c r="AP357" s="80"/>
      <c r="AQ357" s="82"/>
      <c r="AR357" s="83"/>
      <c r="AS357" s="84"/>
      <c r="AV357" s="82"/>
      <c r="AW357" s="90"/>
      <c r="AX357" s="91"/>
      <c r="AY357" s="87"/>
      <c r="BB357" s="88"/>
    </row>
    <row r="358" spans="42:54" ht="15" customHeight="1">
      <c r="AP358" s="80"/>
      <c r="AQ358" s="82"/>
      <c r="AR358" s="83"/>
      <c r="AS358" s="84"/>
      <c r="AV358" s="82"/>
      <c r="AW358" s="90"/>
      <c r="AX358" s="91"/>
      <c r="AY358" s="87"/>
      <c r="BB358" s="88"/>
    </row>
    <row r="359" spans="42:54" ht="15" customHeight="1">
      <c r="AP359" s="80"/>
      <c r="AQ359" s="82"/>
      <c r="AR359" s="83"/>
      <c r="AS359" s="84"/>
      <c r="AV359" s="82"/>
      <c r="AW359" s="90"/>
      <c r="AX359" s="91"/>
      <c r="AY359" s="87"/>
      <c r="BB359" s="88"/>
    </row>
    <row r="360" spans="42:54" ht="15" customHeight="1">
      <c r="AP360" s="80"/>
      <c r="AQ360" s="82"/>
      <c r="AR360" s="83"/>
      <c r="AS360" s="84"/>
      <c r="AV360" s="82"/>
      <c r="AW360" s="90"/>
      <c r="AX360" s="91"/>
      <c r="AY360" s="87"/>
      <c r="BB360" s="88"/>
    </row>
    <row r="361" spans="42:54" ht="15" customHeight="1">
      <c r="AP361" s="80"/>
      <c r="AQ361" s="82"/>
      <c r="AR361" s="83"/>
      <c r="AS361" s="84"/>
      <c r="AV361" s="82"/>
      <c r="AW361" s="90"/>
      <c r="AX361" s="91"/>
      <c r="AY361" s="87"/>
      <c r="BB361" s="88"/>
    </row>
    <row r="362" spans="42:54" ht="15" customHeight="1">
      <c r="AP362" s="80"/>
      <c r="AQ362" s="82"/>
      <c r="AR362" s="83"/>
      <c r="AS362" s="84"/>
      <c r="AV362" s="82"/>
      <c r="AW362" s="90"/>
      <c r="AX362" s="91"/>
      <c r="AY362" s="87"/>
      <c r="BB362" s="88"/>
    </row>
    <row r="363" spans="42:54" ht="15" customHeight="1">
      <c r="AP363" s="80"/>
      <c r="AQ363" s="82"/>
      <c r="AR363" s="83"/>
      <c r="AS363" s="84"/>
      <c r="AV363" s="82"/>
      <c r="AW363" s="90"/>
      <c r="AX363" s="91"/>
      <c r="AY363" s="87"/>
      <c r="BB363" s="88"/>
    </row>
    <row r="364" spans="42:54" ht="15" customHeight="1">
      <c r="AP364" s="80"/>
      <c r="AQ364" s="82"/>
      <c r="AR364" s="83"/>
      <c r="AS364" s="84"/>
      <c r="AV364" s="82"/>
      <c r="AW364" s="90"/>
      <c r="AX364" s="91"/>
      <c r="AY364" s="87"/>
      <c r="BB364" s="88"/>
    </row>
    <row r="365" spans="42:54" ht="15" customHeight="1">
      <c r="AP365" s="80"/>
      <c r="AQ365" s="82"/>
      <c r="AR365" s="83"/>
      <c r="AS365" s="84"/>
      <c r="AV365" s="82"/>
      <c r="AW365" s="90"/>
      <c r="AX365" s="91"/>
      <c r="AY365" s="87"/>
      <c r="BB365" s="88"/>
    </row>
    <row r="366" spans="42:54" ht="15" customHeight="1">
      <c r="AP366" s="80"/>
      <c r="AQ366" s="82"/>
      <c r="AR366" s="83"/>
      <c r="AS366" s="84"/>
      <c r="AV366" s="82"/>
      <c r="AW366" s="90"/>
      <c r="AX366" s="91"/>
      <c r="AY366" s="87"/>
      <c r="BB366" s="88"/>
    </row>
    <row r="367" spans="42:54" ht="15" customHeight="1">
      <c r="AP367" s="80"/>
      <c r="AQ367" s="82"/>
      <c r="AR367" s="83"/>
      <c r="AS367" s="84"/>
      <c r="AV367" s="82"/>
      <c r="AW367" s="90"/>
      <c r="AX367" s="91"/>
      <c r="AY367" s="87"/>
      <c r="BB367" s="88"/>
    </row>
    <row r="368" spans="42:54" ht="15" customHeight="1">
      <c r="AP368" s="80"/>
      <c r="AQ368" s="82"/>
      <c r="AR368" s="83"/>
      <c r="AS368" s="84"/>
      <c r="AV368" s="82"/>
      <c r="AW368" s="90"/>
      <c r="AX368" s="91"/>
      <c r="AY368" s="87"/>
      <c r="BB368" s="88"/>
    </row>
    <row r="369" spans="2:54" ht="15" customHeight="1">
      <c r="AP369" s="80"/>
      <c r="AQ369" s="82"/>
      <c r="AR369" s="83"/>
      <c r="AS369" s="84"/>
      <c r="AV369" s="82"/>
      <c r="AW369" s="90"/>
      <c r="AX369" s="91"/>
      <c r="AY369" s="87"/>
      <c r="BB369" s="88"/>
    </row>
    <row r="370" spans="2:54" ht="15" customHeight="1">
      <c r="AP370" s="80"/>
      <c r="AQ370" s="82"/>
      <c r="AR370" s="83"/>
      <c r="AS370" s="84"/>
      <c r="AV370" s="82"/>
      <c r="AW370" s="90"/>
      <c r="AX370" s="91"/>
      <c r="AY370" s="87"/>
      <c r="BB370" s="88"/>
    </row>
    <row r="371" spans="2:54" ht="15" customHeight="1">
      <c r="AP371" s="80"/>
      <c r="AQ371" s="82"/>
      <c r="AR371" s="83"/>
      <c r="AS371" s="84"/>
      <c r="AV371" s="82"/>
      <c r="AW371" s="90"/>
      <c r="AX371" s="91"/>
      <c r="AY371" s="87"/>
      <c r="BB371" s="88"/>
    </row>
    <row r="372" spans="2:54" ht="15" customHeight="1">
      <c r="AP372" s="80"/>
      <c r="AQ372" s="82"/>
      <c r="AR372" s="83"/>
      <c r="AS372" s="84"/>
      <c r="AV372" s="82"/>
      <c r="AW372" s="90"/>
      <c r="AX372" s="91"/>
      <c r="AY372" s="87"/>
      <c r="BB372" s="88"/>
    </row>
    <row r="373" spans="2:54" ht="15" customHeight="1">
      <c r="AP373" s="80"/>
      <c r="AQ373" s="82"/>
      <c r="AR373" s="83"/>
      <c r="AS373" s="84"/>
      <c r="AV373" s="82"/>
      <c r="AW373" s="90"/>
      <c r="AX373" s="91"/>
      <c r="AY373" s="87"/>
      <c r="BB373" s="88"/>
    </row>
    <row r="374" spans="2:54" ht="15" customHeight="1">
      <c r="AP374" s="80"/>
      <c r="AQ374" s="82"/>
      <c r="AR374" s="83"/>
      <c r="AS374" s="84"/>
      <c r="AV374" s="82"/>
      <c r="AW374" s="90"/>
      <c r="AX374" s="91"/>
      <c r="AY374" s="87"/>
      <c r="BB374" s="88"/>
    </row>
    <row r="375" spans="2:54" ht="15" customHeight="1">
      <c r="AP375" s="80"/>
      <c r="AQ375" s="82"/>
      <c r="AR375" s="83"/>
      <c r="AS375" s="84"/>
      <c r="AV375" s="82"/>
      <c r="AW375" s="90"/>
      <c r="AX375" s="91"/>
      <c r="AY375" s="87"/>
      <c r="BB375" s="88"/>
    </row>
    <row r="376" spans="2:54" ht="15" customHeight="1">
      <c r="AP376" s="80"/>
      <c r="AQ376" s="82"/>
      <c r="AR376" s="83"/>
      <c r="AS376" s="84"/>
      <c r="AV376" s="82"/>
      <c r="AW376" s="90"/>
      <c r="AX376" s="91"/>
      <c r="AY376" s="87"/>
      <c r="BB376" s="88"/>
    </row>
    <row r="377" spans="2:54" ht="15" customHeight="1">
      <c r="AP377" s="80"/>
      <c r="AQ377" s="82"/>
      <c r="AR377" s="83"/>
      <c r="AS377" s="84"/>
      <c r="AV377" s="82"/>
      <c r="AW377" s="90"/>
      <c r="AX377" s="91"/>
      <c r="AY377" s="87"/>
      <c r="BB377" s="88"/>
    </row>
    <row r="378" spans="2:54" ht="15" customHeight="1">
      <c r="AP378" s="80"/>
      <c r="AQ378" s="82"/>
      <c r="AR378" s="83"/>
      <c r="AS378" s="84"/>
      <c r="AV378" s="82"/>
      <c r="AW378" s="90"/>
      <c r="AX378" s="91"/>
      <c r="AY378" s="87"/>
      <c r="BB378" s="88"/>
    </row>
    <row r="379" spans="2:54" ht="15" customHeight="1">
      <c r="AP379" s="80"/>
      <c r="AQ379" s="82"/>
      <c r="AR379" s="83"/>
      <c r="AS379" s="84"/>
      <c r="AV379" s="82"/>
      <c r="AW379" s="90"/>
      <c r="AX379" s="91"/>
      <c r="AY379" s="87"/>
      <c r="BB379" s="88"/>
    </row>
    <row r="380" spans="2:54" ht="15" customHeight="1">
      <c r="AP380" s="80"/>
      <c r="AQ380" s="82"/>
      <c r="AR380" s="83"/>
      <c r="AS380" s="84"/>
      <c r="AV380" s="82"/>
      <c r="AW380" s="90"/>
      <c r="AX380" s="91"/>
      <c r="AY380" s="87"/>
      <c r="BB380" s="88"/>
    </row>
    <row r="381" spans="2:54" ht="15" customHeight="1">
      <c r="AP381" s="80"/>
      <c r="AQ381" s="82"/>
      <c r="AR381" s="83"/>
      <c r="AS381" s="84"/>
      <c r="AV381" s="82"/>
      <c r="AW381" s="90"/>
      <c r="AX381" s="91"/>
      <c r="AY381" s="87"/>
      <c r="BB381" s="88"/>
    </row>
    <row r="382" spans="2:54" ht="15" customHeight="1">
      <c r="AP382" s="80"/>
      <c r="AQ382" s="82"/>
      <c r="AR382" s="83"/>
      <c r="AS382" s="84"/>
      <c r="AV382" s="82"/>
      <c r="AW382" s="90"/>
      <c r="AX382" s="91"/>
      <c r="AY382" s="87"/>
      <c r="BB382" s="88"/>
    </row>
    <row r="383" spans="2:54" ht="15" customHeight="1">
      <c r="AP383" s="80"/>
      <c r="AQ383" s="82"/>
      <c r="AR383" s="83"/>
      <c r="AS383" s="84"/>
      <c r="AV383" s="82"/>
      <c r="AW383" s="90"/>
      <c r="AX383" s="91"/>
      <c r="AY383" s="87"/>
      <c r="BB383" s="88"/>
    </row>
    <row r="384" spans="2:54" ht="15" customHeight="1">
      <c r="B384" s="41"/>
      <c r="C384" s="41"/>
      <c r="D384" s="44"/>
      <c r="E384" s="41"/>
      <c r="F384" s="41"/>
      <c r="N384" s="80"/>
      <c r="O384" s="82"/>
      <c r="P384" s="83"/>
      <c r="Q384" s="84"/>
      <c r="U384" s="82"/>
      <c r="V384" s="90"/>
      <c r="W384" s="91"/>
      <c r="X384" s="87"/>
      <c r="AA384" s="88"/>
      <c r="AB384" s="49"/>
      <c r="AE384" s="36"/>
      <c r="AP384" s="80"/>
      <c r="AQ384" s="82"/>
      <c r="AR384" s="83"/>
      <c r="AS384" s="84"/>
      <c r="AV384" s="82"/>
      <c r="AW384" s="90"/>
      <c r="AX384" s="91"/>
      <c r="AY384" s="87"/>
      <c r="BB384" s="88"/>
    </row>
    <row r="385" spans="1:68" ht="15" customHeight="1">
      <c r="N385" s="80"/>
      <c r="O385" s="82"/>
      <c r="P385" s="83"/>
      <c r="Q385" s="84"/>
      <c r="U385" s="82"/>
      <c r="V385" s="90"/>
      <c r="W385" s="91"/>
      <c r="X385" s="87"/>
      <c r="AA385" s="88"/>
      <c r="AB385" s="49"/>
      <c r="AE385" s="36"/>
      <c r="AP385" s="80"/>
      <c r="AQ385" s="82"/>
      <c r="AR385" s="83"/>
      <c r="AS385" s="84"/>
      <c r="AV385" s="82"/>
      <c r="AW385" s="90"/>
      <c r="AX385" s="91"/>
      <c r="AY385" s="87"/>
      <c r="BB385" s="88"/>
    </row>
    <row r="386" spans="1:68" ht="15" customHeight="1">
      <c r="N386" s="80"/>
      <c r="O386" s="82"/>
      <c r="P386" s="83"/>
      <c r="Q386" s="84"/>
      <c r="U386" s="82"/>
      <c r="V386" s="90"/>
      <c r="W386" s="91"/>
      <c r="X386" s="87"/>
      <c r="AA386" s="88"/>
      <c r="AB386" s="49"/>
      <c r="AE386" s="36"/>
      <c r="AP386" s="80"/>
      <c r="AQ386" s="82"/>
      <c r="AR386" s="83"/>
      <c r="AS386" s="84"/>
      <c r="AV386" s="82"/>
      <c r="AW386" s="90"/>
      <c r="AX386" s="91"/>
      <c r="AY386" s="87"/>
      <c r="BB386" s="88"/>
    </row>
    <row r="387" spans="1:68" ht="15" customHeight="1">
      <c r="B387" s="43"/>
      <c r="N387" s="80"/>
      <c r="O387" s="82"/>
      <c r="P387" s="83"/>
      <c r="Q387" s="84"/>
      <c r="U387" s="82"/>
      <c r="V387" s="90"/>
      <c r="W387" s="91"/>
      <c r="X387" s="87"/>
      <c r="AA387" s="88"/>
      <c r="AB387" s="49"/>
      <c r="AE387" s="36"/>
      <c r="AP387" s="80"/>
      <c r="AQ387" s="82"/>
      <c r="AR387" s="83"/>
      <c r="AS387" s="84"/>
      <c r="AV387" s="82"/>
      <c r="AW387" s="90"/>
      <c r="AX387" s="91"/>
      <c r="AY387" s="87"/>
      <c r="BB387" s="88"/>
    </row>
    <row r="388" spans="1:68" s="45" customFormat="1" ht="15" customHeight="1">
      <c r="A388" s="36"/>
      <c r="G388" s="36"/>
      <c r="N388" s="92"/>
      <c r="O388" s="93"/>
      <c r="P388" s="94"/>
      <c r="Q388" s="95"/>
      <c r="R388" s="96"/>
      <c r="S388" s="120"/>
      <c r="T388" s="97"/>
      <c r="U388" s="93"/>
      <c r="V388" s="98"/>
      <c r="W388" s="99"/>
      <c r="X388" s="100"/>
      <c r="Y388" s="96"/>
      <c r="Z388" s="97"/>
      <c r="AA388" s="101"/>
      <c r="AI388" s="36"/>
      <c r="AP388" s="92"/>
      <c r="AQ388" s="93"/>
      <c r="AR388" s="94"/>
      <c r="AS388" s="95"/>
      <c r="AT388" s="96"/>
      <c r="AU388" s="97"/>
      <c r="AV388" s="93"/>
      <c r="AW388" s="98"/>
      <c r="AX388" s="99"/>
      <c r="AY388" s="100"/>
      <c r="AZ388" s="96"/>
      <c r="BA388" s="97"/>
      <c r="BB388" s="101"/>
      <c r="BF388" s="38"/>
    </row>
    <row r="389" spans="1:68" ht="15" customHeight="1">
      <c r="A389" s="48"/>
      <c r="B389" s="48"/>
      <c r="C389" s="48"/>
      <c r="D389" s="60"/>
      <c r="E389" s="61"/>
      <c r="F389" s="61"/>
      <c r="G389" s="61"/>
      <c r="H389" s="46"/>
      <c r="I389" s="46"/>
      <c r="J389" s="46"/>
      <c r="K389" s="46"/>
      <c r="L389" s="46"/>
      <c r="M389" s="46"/>
      <c r="N389" s="111"/>
      <c r="O389" s="112"/>
      <c r="P389" s="113"/>
      <c r="Q389" s="114"/>
      <c r="R389" s="74"/>
      <c r="U389" s="112"/>
      <c r="V389" s="115"/>
      <c r="W389" s="116"/>
      <c r="X389" s="117"/>
      <c r="Y389" s="74"/>
      <c r="AA389" s="118"/>
      <c r="AB389" s="59"/>
      <c r="AC389" s="46"/>
      <c r="AD389" s="46"/>
      <c r="AH389" s="46"/>
      <c r="AI389" s="46"/>
      <c r="AJ389" s="46"/>
      <c r="AK389" s="46"/>
      <c r="AL389" s="46"/>
      <c r="AM389" s="46"/>
      <c r="AN389" s="46"/>
      <c r="AO389" s="46"/>
      <c r="AP389" s="119"/>
      <c r="AQ389" s="112"/>
      <c r="AR389" s="113"/>
      <c r="AS389" s="114"/>
      <c r="AT389" s="74"/>
      <c r="AV389" s="112"/>
      <c r="AW389" s="115"/>
      <c r="AX389" s="116"/>
      <c r="AY389" s="117"/>
      <c r="AZ389" s="74"/>
      <c r="BB389" s="118"/>
      <c r="BC389" s="46"/>
      <c r="BD389" s="46"/>
      <c r="BE389" s="46"/>
      <c r="BI389" s="46"/>
      <c r="BJ389" s="46"/>
      <c r="BK389" s="46"/>
      <c r="BL389" s="46"/>
      <c r="BM389" s="46"/>
      <c r="BN389" s="46"/>
      <c r="BO389" s="46"/>
      <c r="BP389" s="46"/>
    </row>
    <row r="390" spans="1:68" ht="15" customHeight="1">
      <c r="D390" s="62"/>
      <c r="E390" s="46"/>
      <c r="F390" s="46"/>
      <c r="G390" s="46"/>
      <c r="H390" s="46"/>
      <c r="I390" s="46"/>
      <c r="J390" s="46"/>
      <c r="K390" s="46"/>
      <c r="L390" s="46"/>
      <c r="M390" s="46"/>
      <c r="N390" s="111"/>
      <c r="O390" s="112"/>
      <c r="P390" s="113"/>
      <c r="Q390" s="114"/>
      <c r="R390" s="74"/>
      <c r="U390" s="112"/>
      <c r="V390" s="115"/>
      <c r="W390" s="116"/>
      <c r="X390" s="117"/>
      <c r="Y390" s="74"/>
      <c r="AA390" s="118"/>
      <c r="AB390" s="59"/>
      <c r="AC390" s="46"/>
      <c r="AD390" s="46"/>
      <c r="AH390" s="46"/>
      <c r="AI390" s="46"/>
      <c r="AJ390" s="46"/>
      <c r="AK390" s="46"/>
      <c r="AL390" s="46"/>
      <c r="AM390" s="46"/>
      <c r="AN390" s="46"/>
      <c r="AO390" s="46"/>
      <c r="AP390" s="119"/>
      <c r="AQ390" s="112"/>
      <c r="AR390" s="113"/>
      <c r="AS390" s="114"/>
      <c r="AT390" s="74"/>
      <c r="AV390" s="112"/>
      <c r="AW390" s="115"/>
      <c r="AX390" s="116"/>
      <c r="AY390" s="117"/>
      <c r="AZ390" s="74"/>
      <c r="BB390" s="118"/>
      <c r="BC390" s="46"/>
      <c r="BD390" s="46"/>
      <c r="BE390" s="46"/>
      <c r="BI390" s="46"/>
      <c r="BJ390" s="46"/>
      <c r="BK390" s="46"/>
      <c r="BL390" s="46"/>
      <c r="BM390" s="46"/>
      <c r="BN390" s="46"/>
      <c r="BO390" s="46"/>
      <c r="BP390" s="46"/>
    </row>
    <row r="391" spans="1:68" ht="15" customHeight="1">
      <c r="D391" s="62"/>
      <c r="E391" s="46"/>
      <c r="F391" s="46"/>
      <c r="G391" s="46"/>
      <c r="H391" s="46"/>
      <c r="I391" s="46"/>
      <c r="J391" s="46"/>
      <c r="K391" s="46"/>
      <c r="L391" s="46"/>
      <c r="M391" s="46"/>
      <c r="N391" s="111"/>
      <c r="O391" s="112"/>
      <c r="P391" s="113"/>
      <c r="Q391" s="114"/>
      <c r="R391" s="74"/>
      <c r="U391" s="112"/>
      <c r="V391" s="115"/>
      <c r="W391" s="116"/>
      <c r="X391" s="117"/>
      <c r="Y391" s="74"/>
      <c r="AA391" s="118"/>
      <c r="AB391" s="59"/>
      <c r="AC391" s="46"/>
      <c r="AD391" s="46"/>
      <c r="AH391" s="46"/>
      <c r="AI391" s="46"/>
      <c r="AJ391" s="46"/>
      <c r="AK391" s="46"/>
      <c r="AL391" s="46"/>
      <c r="AM391" s="46"/>
      <c r="AN391" s="46"/>
      <c r="AO391" s="46"/>
      <c r="AP391" s="119"/>
      <c r="AQ391" s="112"/>
      <c r="AR391" s="113"/>
      <c r="AS391" s="114"/>
      <c r="AT391" s="74"/>
      <c r="AV391" s="112"/>
      <c r="AW391" s="115"/>
      <c r="AX391" s="116"/>
      <c r="AY391" s="117"/>
      <c r="AZ391" s="74"/>
      <c r="BB391" s="118"/>
      <c r="BC391" s="46"/>
      <c r="BD391" s="46"/>
      <c r="BE391" s="46"/>
      <c r="BI391" s="46"/>
      <c r="BJ391" s="46"/>
      <c r="BK391" s="46"/>
      <c r="BL391" s="46"/>
      <c r="BM391" s="46"/>
      <c r="BN391" s="46"/>
      <c r="BO391" s="46"/>
      <c r="BP391" s="46"/>
    </row>
    <row r="392" spans="1:68" ht="15" customHeight="1">
      <c r="D392" s="62"/>
      <c r="E392" s="46"/>
      <c r="F392" s="46"/>
      <c r="G392" s="46"/>
      <c r="H392" s="46"/>
      <c r="I392" s="46"/>
      <c r="J392" s="46"/>
      <c r="K392" s="46"/>
      <c r="L392" s="46"/>
      <c r="M392" s="46"/>
      <c r="N392" s="111"/>
      <c r="O392" s="112"/>
      <c r="P392" s="113"/>
      <c r="Q392" s="114"/>
      <c r="R392" s="74"/>
      <c r="U392" s="112"/>
      <c r="V392" s="115"/>
      <c r="W392" s="116"/>
      <c r="X392" s="117"/>
      <c r="Y392" s="74"/>
      <c r="AA392" s="118"/>
      <c r="AB392" s="59"/>
      <c r="AC392" s="46"/>
      <c r="AD392" s="46"/>
      <c r="AH392" s="46"/>
      <c r="AI392" s="46"/>
      <c r="AJ392" s="46"/>
      <c r="AK392" s="46"/>
      <c r="AL392" s="46"/>
      <c r="AM392" s="46"/>
      <c r="AN392" s="46"/>
      <c r="AO392" s="46"/>
      <c r="AP392" s="119"/>
      <c r="AQ392" s="112"/>
      <c r="AR392" s="113"/>
      <c r="AS392" s="114"/>
      <c r="AT392" s="74"/>
      <c r="AV392" s="112"/>
      <c r="AW392" s="115"/>
      <c r="AX392" s="116"/>
      <c r="AY392" s="117"/>
      <c r="AZ392" s="74"/>
      <c r="BB392" s="118"/>
      <c r="BC392" s="46"/>
      <c r="BD392" s="46"/>
      <c r="BE392" s="46"/>
      <c r="BI392" s="46"/>
      <c r="BJ392" s="46"/>
      <c r="BK392" s="46"/>
      <c r="BL392" s="46"/>
      <c r="BM392" s="46"/>
      <c r="BN392" s="46"/>
      <c r="BO392" s="46"/>
      <c r="BP392" s="46"/>
    </row>
    <row r="393" spans="1:68" ht="15" customHeight="1">
      <c r="D393" s="62"/>
      <c r="E393" s="46"/>
      <c r="F393" s="46"/>
      <c r="G393" s="46"/>
      <c r="H393" s="46"/>
      <c r="I393" s="46"/>
      <c r="J393" s="46"/>
      <c r="K393" s="46"/>
      <c r="L393" s="46"/>
      <c r="M393" s="46"/>
      <c r="N393" s="111"/>
      <c r="O393" s="112"/>
      <c r="P393" s="113"/>
      <c r="Q393" s="114"/>
      <c r="R393" s="74"/>
      <c r="U393" s="112"/>
      <c r="V393" s="115"/>
      <c r="W393" s="116"/>
      <c r="X393" s="117"/>
      <c r="Y393" s="74"/>
      <c r="AA393" s="118"/>
      <c r="AB393" s="59"/>
      <c r="AC393" s="46"/>
      <c r="AD393" s="46"/>
      <c r="AH393" s="46"/>
      <c r="AI393" s="46"/>
      <c r="AJ393" s="46"/>
      <c r="AK393" s="46"/>
      <c r="AL393" s="46"/>
      <c r="AM393" s="46"/>
      <c r="AN393" s="46"/>
      <c r="AO393" s="46"/>
      <c r="AP393" s="119"/>
      <c r="AQ393" s="112"/>
      <c r="AR393" s="113"/>
      <c r="AS393" s="114"/>
      <c r="AT393" s="74"/>
      <c r="AV393" s="112"/>
      <c r="AW393" s="115"/>
      <c r="AX393" s="116"/>
      <c r="AY393" s="117"/>
      <c r="AZ393" s="74"/>
      <c r="BB393" s="118"/>
      <c r="BC393" s="46"/>
      <c r="BD393" s="46"/>
      <c r="BE393" s="46"/>
      <c r="BI393" s="46"/>
      <c r="BJ393" s="46"/>
      <c r="BK393" s="46"/>
      <c r="BL393" s="46"/>
      <c r="BM393" s="46"/>
      <c r="BN393" s="46"/>
      <c r="BO393" s="46"/>
      <c r="BP393" s="46"/>
    </row>
    <row r="394" spans="1:68" ht="15" customHeight="1">
      <c r="D394" s="62"/>
      <c r="E394" s="46"/>
      <c r="F394" s="46"/>
      <c r="G394" s="46"/>
      <c r="H394" s="46"/>
      <c r="I394" s="46"/>
      <c r="J394" s="46"/>
      <c r="K394" s="46"/>
      <c r="L394" s="46"/>
      <c r="M394" s="46"/>
      <c r="N394" s="111"/>
      <c r="O394" s="112"/>
      <c r="P394" s="113"/>
      <c r="Q394" s="114"/>
      <c r="R394" s="74"/>
      <c r="U394" s="112"/>
      <c r="V394" s="115"/>
      <c r="W394" s="116"/>
      <c r="X394" s="117"/>
      <c r="Y394" s="74"/>
      <c r="AA394" s="118"/>
      <c r="AB394" s="59"/>
      <c r="AC394" s="46"/>
      <c r="AD394" s="46"/>
      <c r="AH394" s="46"/>
      <c r="AI394" s="46"/>
      <c r="AJ394" s="46"/>
      <c r="AK394" s="46"/>
      <c r="AL394" s="46"/>
      <c r="AM394" s="46"/>
      <c r="AN394" s="46"/>
      <c r="AO394" s="46"/>
      <c r="AP394" s="119"/>
      <c r="AQ394" s="112"/>
      <c r="AR394" s="113"/>
      <c r="AS394" s="114"/>
      <c r="AT394" s="74"/>
      <c r="AV394" s="112"/>
      <c r="AW394" s="115"/>
      <c r="AX394" s="116"/>
      <c r="AY394" s="117"/>
      <c r="AZ394" s="74"/>
      <c r="BB394" s="118"/>
      <c r="BC394" s="46"/>
      <c r="BD394" s="46"/>
      <c r="BE394" s="46"/>
      <c r="BI394" s="46"/>
      <c r="BJ394" s="46"/>
      <c r="BK394" s="46"/>
      <c r="BL394" s="46"/>
      <c r="BM394" s="46"/>
      <c r="BN394" s="46"/>
      <c r="BO394" s="46"/>
      <c r="BP394" s="46"/>
    </row>
    <row r="395" spans="1:68" ht="15" customHeight="1">
      <c r="D395" s="62"/>
      <c r="E395" s="46"/>
      <c r="F395" s="46"/>
      <c r="G395" s="46"/>
      <c r="H395" s="46"/>
      <c r="I395" s="46"/>
      <c r="J395" s="46"/>
      <c r="K395" s="46"/>
      <c r="L395" s="46"/>
      <c r="M395" s="46"/>
      <c r="N395" s="111"/>
      <c r="O395" s="112"/>
      <c r="P395" s="113"/>
      <c r="Q395" s="114"/>
      <c r="R395" s="74"/>
      <c r="U395" s="112"/>
      <c r="V395" s="115"/>
      <c r="W395" s="116"/>
      <c r="X395" s="117"/>
      <c r="Y395" s="74"/>
      <c r="AA395" s="118"/>
      <c r="AB395" s="59"/>
      <c r="AC395" s="46"/>
      <c r="AD395" s="46"/>
      <c r="AH395" s="46"/>
      <c r="AI395" s="46"/>
      <c r="AJ395" s="46"/>
      <c r="AK395" s="46"/>
      <c r="AL395" s="46"/>
      <c r="AM395" s="46"/>
      <c r="AN395" s="46"/>
      <c r="AO395" s="46"/>
      <c r="AP395" s="119"/>
      <c r="AQ395" s="112"/>
      <c r="AR395" s="113"/>
      <c r="AS395" s="114"/>
      <c r="AT395" s="74"/>
      <c r="AV395" s="112"/>
      <c r="AW395" s="115"/>
      <c r="AX395" s="116"/>
      <c r="AY395" s="117"/>
      <c r="AZ395" s="74"/>
      <c r="BB395" s="118"/>
      <c r="BC395" s="46"/>
      <c r="BD395" s="46"/>
      <c r="BE395" s="46"/>
      <c r="BI395" s="46"/>
      <c r="BJ395" s="46"/>
      <c r="BK395" s="46"/>
      <c r="BL395" s="46"/>
      <c r="BM395" s="46"/>
      <c r="BN395" s="46"/>
      <c r="BO395" s="46"/>
      <c r="BP395" s="46"/>
    </row>
    <row r="396" spans="1:68" ht="15" customHeight="1">
      <c r="D396" s="62"/>
      <c r="E396" s="46"/>
      <c r="F396" s="46"/>
      <c r="G396" s="46"/>
      <c r="H396" s="46"/>
      <c r="I396" s="46"/>
      <c r="J396" s="46"/>
      <c r="K396" s="46"/>
      <c r="L396" s="46"/>
      <c r="M396" s="46"/>
      <c r="N396" s="111"/>
      <c r="O396" s="112"/>
      <c r="P396" s="113"/>
      <c r="Q396" s="114"/>
      <c r="R396" s="74"/>
      <c r="U396" s="112"/>
      <c r="V396" s="115"/>
      <c r="W396" s="116"/>
      <c r="X396" s="117"/>
      <c r="Y396" s="74"/>
      <c r="AA396" s="118"/>
      <c r="AB396" s="59"/>
      <c r="AC396" s="46"/>
      <c r="AD396" s="46"/>
      <c r="AH396" s="46"/>
      <c r="AI396" s="46"/>
      <c r="AJ396" s="46"/>
      <c r="AK396" s="46"/>
      <c r="AL396" s="46"/>
      <c r="AM396" s="46"/>
      <c r="AN396" s="46"/>
      <c r="AO396" s="46"/>
      <c r="AP396" s="119"/>
      <c r="AQ396" s="112"/>
      <c r="AR396" s="113"/>
      <c r="AS396" s="114"/>
      <c r="AT396" s="74"/>
      <c r="AV396" s="112"/>
      <c r="AW396" s="115"/>
      <c r="AX396" s="116"/>
      <c r="AY396" s="117"/>
      <c r="AZ396" s="74"/>
      <c r="BB396" s="118"/>
      <c r="BC396" s="46"/>
      <c r="BD396" s="46"/>
      <c r="BE396" s="46"/>
      <c r="BI396" s="46"/>
      <c r="BJ396" s="46"/>
      <c r="BK396" s="46"/>
      <c r="BL396" s="46"/>
      <c r="BM396" s="46"/>
      <c r="BN396" s="46"/>
      <c r="BO396" s="46"/>
      <c r="BP396" s="46"/>
    </row>
    <row r="397" spans="1:68" ht="15" customHeight="1">
      <c r="D397" s="62"/>
      <c r="E397" s="46"/>
      <c r="F397" s="46"/>
      <c r="G397" s="46"/>
      <c r="H397" s="46"/>
      <c r="I397" s="46"/>
      <c r="J397" s="46"/>
      <c r="K397" s="46"/>
      <c r="L397" s="46"/>
      <c r="M397" s="46"/>
      <c r="N397" s="111"/>
      <c r="O397" s="112"/>
      <c r="P397" s="113"/>
      <c r="Q397" s="114"/>
      <c r="R397" s="74"/>
      <c r="U397" s="112"/>
      <c r="V397" s="115"/>
      <c r="W397" s="116"/>
      <c r="X397" s="117"/>
      <c r="Y397" s="74"/>
      <c r="AA397" s="118"/>
      <c r="AB397" s="59"/>
      <c r="AC397" s="46"/>
      <c r="AD397" s="46"/>
      <c r="AH397" s="46"/>
      <c r="AI397" s="46"/>
      <c r="AJ397" s="46"/>
      <c r="AK397" s="46"/>
      <c r="AL397" s="46"/>
      <c r="AM397" s="46"/>
      <c r="AN397" s="46"/>
      <c r="AO397" s="46"/>
      <c r="AP397" s="119"/>
      <c r="AQ397" s="112"/>
      <c r="AR397" s="113"/>
      <c r="AS397" s="114"/>
      <c r="AT397" s="74"/>
      <c r="AV397" s="112"/>
      <c r="AW397" s="115"/>
      <c r="AX397" s="116"/>
      <c r="AY397" s="117"/>
      <c r="AZ397" s="74"/>
      <c r="BB397" s="118"/>
      <c r="BC397" s="46"/>
      <c r="BD397" s="46"/>
      <c r="BE397" s="46"/>
      <c r="BI397" s="46"/>
      <c r="BJ397" s="46"/>
      <c r="BK397" s="46"/>
      <c r="BL397" s="46"/>
      <c r="BM397" s="46"/>
      <c r="BN397" s="46"/>
      <c r="BO397" s="46"/>
      <c r="BP397" s="46"/>
    </row>
    <row r="398" spans="1:68" ht="15" customHeight="1">
      <c r="D398" s="62"/>
      <c r="E398" s="46"/>
      <c r="F398" s="46"/>
      <c r="G398" s="46"/>
      <c r="H398" s="46"/>
      <c r="I398" s="46"/>
      <c r="J398" s="46"/>
      <c r="K398" s="46"/>
      <c r="L398" s="46"/>
      <c r="M398" s="46"/>
      <c r="N398" s="111"/>
      <c r="O398" s="112"/>
      <c r="P398" s="113"/>
      <c r="Q398" s="114"/>
      <c r="R398" s="74"/>
      <c r="U398" s="112"/>
      <c r="V398" s="115"/>
      <c r="W398" s="116"/>
      <c r="X398" s="117"/>
      <c r="Y398" s="74"/>
      <c r="AA398" s="118"/>
      <c r="AB398" s="59"/>
      <c r="AC398" s="46"/>
      <c r="AD398" s="46"/>
      <c r="AH398" s="46"/>
      <c r="AI398" s="46"/>
      <c r="AJ398" s="46"/>
      <c r="AK398" s="46"/>
      <c r="AL398" s="46"/>
      <c r="AM398" s="46"/>
      <c r="AN398" s="46"/>
      <c r="AO398" s="46"/>
      <c r="AP398" s="119"/>
      <c r="AQ398" s="112"/>
      <c r="AR398" s="113"/>
      <c r="AS398" s="114"/>
      <c r="AT398" s="74"/>
      <c r="AV398" s="112"/>
      <c r="AW398" s="115"/>
      <c r="AX398" s="116"/>
      <c r="AY398" s="117"/>
      <c r="AZ398" s="74"/>
      <c r="BB398" s="118"/>
      <c r="BC398" s="46"/>
      <c r="BD398" s="46"/>
      <c r="BE398" s="46"/>
      <c r="BI398" s="46"/>
      <c r="BJ398" s="46"/>
      <c r="BK398" s="46"/>
      <c r="BL398" s="46"/>
      <c r="BM398" s="46"/>
      <c r="BN398" s="46"/>
      <c r="BO398" s="46"/>
      <c r="BP398" s="46"/>
    </row>
    <row r="399" spans="1:68" ht="15" customHeight="1">
      <c r="D399" s="62"/>
      <c r="E399" s="46"/>
      <c r="F399" s="46"/>
      <c r="G399" s="46"/>
      <c r="H399" s="46"/>
      <c r="I399" s="46"/>
      <c r="J399" s="46"/>
      <c r="K399" s="46"/>
      <c r="L399" s="46"/>
      <c r="M399" s="46"/>
      <c r="N399" s="111"/>
      <c r="O399" s="112"/>
      <c r="P399" s="113"/>
      <c r="Q399" s="114"/>
      <c r="R399" s="74"/>
      <c r="U399" s="112"/>
      <c r="V399" s="115"/>
      <c r="W399" s="116"/>
      <c r="X399" s="117"/>
      <c r="Y399" s="74"/>
      <c r="AA399" s="118"/>
      <c r="AB399" s="59"/>
      <c r="AC399" s="46"/>
      <c r="AD399" s="46"/>
      <c r="AH399" s="46"/>
      <c r="AI399" s="46"/>
      <c r="AJ399" s="46"/>
      <c r="AK399" s="46"/>
      <c r="AL399" s="46"/>
      <c r="AM399" s="46"/>
      <c r="AN399" s="46"/>
      <c r="AO399" s="46"/>
      <c r="AP399" s="119"/>
      <c r="AQ399" s="112"/>
      <c r="AR399" s="113"/>
      <c r="AS399" s="114"/>
      <c r="AT399" s="74"/>
      <c r="AV399" s="112"/>
      <c r="AW399" s="115"/>
      <c r="AX399" s="116"/>
      <c r="AY399" s="117"/>
      <c r="AZ399" s="74"/>
      <c r="BB399" s="118"/>
      <c r="BC399" s="46"/>
      <c r="BD399" s="46"/>
      <c r="BE399" s="46"/>
      <c r="BI399" s="46"/>
      <c r="BJ399" s="46"/>
      <c r="BK399" s="46"/>
      <c r="BL399" s="46"/>
      <c r="BM399" s="46"/>
      <c r="BN399" s="46"/>
      <c r="BO399" s="46"/>
      <c r="BP399" s="46"/>
    </row>
    <row r="400" spans="1:68" ht="15" customHeight="1">
      <c r="D400" s="62"/>
      <c r="E400" s="46"/>
      <c r="F400" s="46"/>
      <c r="G400" s="46"/>
      <c r="H400" s="46"/>
      <c r="I400" s="46"/>
      <c r="J400" s="46"/>
      <c r="K400" s="46"/>
      <c r="L400" s="46"/>
      <c r="M400" s="46"/>
      <c r="N400" s="111"/>
      <c r="O400" s="112"/>
      <c r="P400" s="113"/>
      <c r="Q400" s="114"/>
      <c r="R400" s="74"/>
      <c r="U400" s="112"/>
      <c r="V400" s="115"/>
      <c r="W400" s="116"/>
      <c r="X400" s="117"/>
      <c r="Y400" s="74"/>
      <c r="AA400" s="118"/>
      <c r="AB400" s="59"/>
      <c r="AC400" s="46"/>
      <c r="AD400" s="46"/>
      <c r="AH400" s="46"/>
      <c r="AI400" s="46"/>
      <c r="AJ400" s="46"/>
      <c r="AK400" s="46"/>
      <c r="AL400" s="46"/>
      <c r="AM400" s="46"/>
      <c r="AN400" s="46"/>
      <c r="AO400" s="46"/>
      <c r="AP400" s="119"/>
      <c r="AQ400" s="112"/>
      <c r="AR400" s="113"/>
      <c r="AS400" s="114"/>
      <c r="AT400" s="74"/>
      <c r="AV400" s="112"/>
      <c r="AW400" s="115"/>
      <c r="AX400" s="116"/>
      <c r="AY400" s="117"/>
      <c r="AZ400" s="74"/>
      <c r="BB400" s="118"/>
      <c r="BC400" s="46"/>
      <c r="BD400" s="46"/>
      <c r="BE400" s="46"/>
      <c r="BI400" s="46"/>
      <c r="BJ400" s="46"/>
      <c r="BK400" s="46"/>
      <c r="BL400" s="46"/>
      <c r="BM400" s="46"/>
      <c r="BN400" s="46"/>
      <c r="BO400" s="46"/>
      <c r="BP400" s="46"/>
    </row>
    <row r="401" spans="4:68" ht="15" customHeight="1">
      <c r="D401" s="62"/>
      <c r="E401" s="46"/>
      <c r="F401" s="46"/>
      <c r="G401" s="46"/>
      <c r="H401" s="46"/>
      <c r="I401" s="46"/>
      <c r="J401" s="46"/>
      <c r="K401" s="46"/>
      <c r="L401" s="46"/>
      <c r="M401" s="46"/>
      <c r="N401" s="111"/>
      <c r="O401" s="112"/>
      <c r="P401" s="113"/>
      <c r="Q401" s="114"/>
      <c r="R401" s="74"/>
      <c r="U401" s="112"/>
      <c r="V401" s="115"/>
      <c r="W401" s="116"/>
      <c r="X401" s="117"/>
      <c r="Y401" s="74"/>
      <c r="AA401" s="118"/>
      <c r="AB401" s="59"/>
      <c r="AC401" s="46"/>
      <c r="AD401" s="46"/>
      <c r="AH401" s="46"/>
      <c r="AI401" s="46"/>
      <c r="AJ401" s="46"/>
      <c r="AK401" s="46"/>
      <c r="AL401" s="46"/>
      <c r="AM401" s="46"/>
      <c r="AN401" s="46"/>
      <c r="AO401" s="46"/>
      <c r="AP401" s="119"/>
      <c r="AQ401" s="112"/>
      <c r="AR401" s="113"/>
      <c r="AS401" s="114"/>
      <c r="AT401" s="74"/>
      <c r="AV401" s="112"/>
      <c r="AW401" s="115"/>
      <c r="AX401" s="116"/>
      <c r="AY401" s="117"/>
      <c r="AZ401" s="74"/>
      <c r="BB401" s="118"/>
      <c r="BC401" s="46"/>
      <c r="BD401" s="46"/>
      <c r="BE401" s="46"/>
      <c r="BI401" s="46"/>
      <c r="BJ401" s="46"/>
      <c r="BK401" s="46"/>
      <c r="BL401" s="46"/>
      <c r="BM401" s="46"/>
      <c r="BN401" s="46"/>
      <c r="BO401" s="46"/>
      <c r="BP401" s="46"/>
    </row>
    <row r="402" spans="4:68" ht="15" customHeight="1">
      <c r="D402" s="62"/>
      <c r="E402" s="46"/>
      <c r="F402" s="46"/>
      <c r="G402" s="46"/>
      <c r="H402" s="46"/>
      <c r="I402" s="46"/>
      <c r="J402" s="46"/>
      <c r="K402" s="46"/>
      <c r="L402" s="46"/>
      <c r="N402" s="111"/>
      <c r="O402" s="112"/>
      <c r="P402" s="113"/>
      <c r="Q402" s="114"/>
      <c r="R402" s="74"/>
      <c r="U402" s="112"/>
      <c r="V402" s="115"/>
      <c r="W402" s="116"/>
      <c r="X402" s="117"/>
      <c r="Y402" s="74"/>
      <c r="AA402" s="118"/>
      <c r="AB402" s="59"/>
      <c r="AC402" s="46"/>
      <c r="AD402" s="46"/>
      <c r="AH402" s="46"/>
      <c r="AI402" s="46"/>
      <c r="AJ402" s="46"/>
      <c r="AK402" s="46"/>
      <c r="AL402" s="46"/>
      <c r="AM402" s="46"/>
      <c r="AN402" s="46"/>
      <c r="AO402" s="46"/>
      <c r="AP402" s="119"/>
      <c r="AQ402" s="112"/>
      <c r="AR402" s="113"/>
      <c r="AS402" s="114"/>
      <c r="AT402" s="74"/>
      <c r="AV402" s="112"/>
      <c r="AW402" s="115"/>
      <c r="AX402" s="116"/>
      <c r="AY402" s="117"/>
      <c r="AZ402" s="74"/>
      <c r="BB402" s="118"/>
      <c r="BC402" s="46"/>
      <c r="BD402" s="46"/>
      <c r="BE402" s="46"/>
      <c r="BI402" s="46"/>
      <c r="BJ402" s="46"/>
      <c r="BK402" s="46"/>
      <c r="BL402" s="46"/>
      <c r="BM402" s="46"/>
      <c r="BN402" s="46"/>
      <c r="BO402" s="46"/>
      <c r="BP402" s="46"/>
    </row>
    <row r="403" spans="4:68" ht="15" customHeight="1">
      <c r="D403" s="62"/>
      <c r="E403" s="46"/>
      <c r="F403" s="46"/>
      <c r="G403" s="46"/>
      <c r="H403" s="46"/>
      <c r="I403" s="46"/>
      <c r="J403" s="46"/>
      <c r="K403" s="46"/>
      <c r="L403" s="46"/>
      <c r="M403" s="46"/>
      <c r="N403" s="111"/>
      <c r="O403" s="112"/>
      <c r="P403" s="113"/>
      <c r="Q403" s="114"/>
      <c r="R403" s="74"/>
      <c r="U403" s="112"/>
      <c r="V403" s="115"/>
      <c r="W403" s="116"/>
      <c r="X403" s="117"/>
      <c r="Y403" s="74"/>
      <c r="AA403" s="118"/>
      <c r="AB403" s="59"/>
      <c r="AC403" s="46"/>
      <c r="AD403" s="46"/>
      <c r="AH403" s="46"/>
      <c r="AI403" s="46"/>
      <c r="AJ403" s="46"/>
      <c r="AK403" s="46"/>
      <c r="AL403" s="46"/>
      <c r="AM403" s="46"/>
      <c r="AN403" s="46"/>
      <c r="AO403" s="46"/>
      <c r="AP403" s="119"/>
      <c r="AQ403" s="112"/>
      <c r="AR403" s="113"/>
      <c r="AS403" s="114"/>
      <c r="AT403" s="74"/>
      <c r="AV403" s="112"/>
      <c r="AW403" s="115"/>
      <c r="AX403" s="116"/>
      <c r="AY403" s="117"/>
      <c r="AZ403" s="74"/>
      <c r="BB403" s="118"/>
      <c r="BC403" s="46"/>
      <c r="BD403" s="46"/>
      <c r="BE403" s="46"/>
      <c r="BI403" s="46"/>
      <c r="BJ403" s="46"/>
      <c r="BK403" s="46"/>
      <c r="BL403" s="46"/>
      <c r="BM403" s="46"/>
      <c r="BN403" s="46"/>
      <c r="BO403" s="46"/>
      <c r="BP403" s="46"/>
    </row>
    <row r="404" spans="4:68" ht="15" customHeight="1">
      <c r="D404" s="62"/>
      <c r="E404" s="46"/>
      <c r="F404" s="46"/>
      <c r="G404" s="46"/>
      <c r="H404" s="46"/>
      <c r="I404" s="46"/>
      <c r="J404" s="46"/>
      <c r="K404" s="46"/>
      <c r="L404" s="46"/>
      <c r="M404" s="46"/>
      <c r="N404" s="111"/>
      <c r="O404" s="112"/>
      <c r="P404" s="113"/>
      <c r="Q404" s="114"/>
      <c r="R404" s="74"/>
      <c r="U404" s="112"/>
      <c r="V404" s="115"/>
      <c r="W404" s="116"/>
      <c r="X404" s="117"/>
      <c r="Y404" s="74"/>
      <c r="AA404" s="118"/>
      <c r="AB404" s="59"/>
      <c r="AC404" s="46"/>
      <c r="AD404" s="46"/>
      <c r="AH404" s="46"/>
      <c r="AI404" s="46"/>
      <c r="AJ404" s="46"/>
      <c r="AK404" s="46"/>
      <c r="AL404" s="46"/>
      <c r="AM404" s="46"/>
      <c r="AN404" s="46"/>
      <c r="AO404" s="46"/>
      <c r="AP404" s="119"/>
      <c r="AQ404" s="112"/>
      <c r="AR404" s="113"/>
      <c r="AS404" s="114"/>
      <c r="AT404" s="74"/>
      <c r="AV404" s="112"/>
      <c r="AW404" s="115"/>
      <c r="AX404" s="116"/>
      <c r="AY404" s="117"/>
      <c r="AZ404" s="74"/>
      <c r="BB404" s="118"/>
      <c r="BC404" s="46"/>
      <c r="BD404" s="46"/>
      <c r="BE404" s="46"/>
      <c r="BI404" s="46"/>
      <c r="BJ404" s="46"/>
      <c r="BK404" s="46"/>
      <c r="BL404" s="46"/>
      <c r="BM404" s="46"/>
      <c r="BN404" s="46"/>
      <c r="BO404" s="46"/>
      <c r="BP404" s="46"/>
    </row>
    <row r="405" spans="4:68" ht="15" customHeight="1">
      <c r="D405" s="62"/>
      <c r="E405" s="46"/>
      <c r="F405" s="46"/>
      <c r="G405" s="46"/>
      <c r="H405" s="46"/>
      <c r="I405" s="46"/>
      <c r="J405" s="46"/>
      <c r="K405" s="46"/>
      <c r="L405" s="46"/>
      <c r="M405" s="46"/>
      <c r="N405" s="111"/>
      <c r="O405" s="112"/>
      <c r="P405" s="113"/>
      <c r="Q405" s="114"/>
      <c r="R405" s="74"/>
      <c r="U405" s="112"/>
      <c r="V405" s="115"/>
      <c r="W405" s="116"/>
      <c r="X405" s="117"/>
      <c r="Y405" s="74"/>
      <c r="AA405" s="118"/>
      <c r="AB405" s="59"/>
      <c r="AC405" s="46"/>
      <c r="AD405" s="46"/>
      <c r="AH405" s="46"/>
      <c r="AI405" s="46"/>
      <c r="AJ405" s="46"/>
      <c r="AK405" s="46"/>
      <c r="AL405" s="46"/>
      <c r="AM405" s="46"/>
      <c r="AN405" s="46"/>
      <c r="AO405" s="46"/>
      <c r="AP405" s="119"/>
      <c r="AQ405" s="112"/>
      <c r="AR405" s="113"/>
      <c r="AS405" s="114"/>
      <c r="AT405" s="74"/>
      <c r="AV405" s="112"/>
      <c r="AW405" s="115"/>
      <c r="AX405" s="116"/>
      <c r="AY405" s="117"/>
      <c r="AZ405" s="74"/>
      <c r="BB405" s="118"/>
      <c r="BC405" s="46"/>
      <c r="BD405" s="46"/>
      <c r="BE405" s="46"/>
      <c r="BI405" s="46"/>
      <c r="BJ405" s="46"/>
      <c r="BK405" s="46"/>
      <c r="BL405" s="46"/>
      <c r="BM405" s="46"/>
      <c r="BN405" s="46"/>
      <c r="BO405" s="46"/>
      <c r="BP405" s="46"/>
    </row>
    <row r="406" spans="4:68" ht="15" customHeight="1">
      <c r="D406" s="62"/>
      <c r="E406" s="46"/>
      <c r="F406" s="46"/>
      <c r="G406" s="46"/>
      <c r="H406" s="46"/>
      <c r="I406" s="46"/>
      <c r="J406" s="46"/>
      <c r="K406" s="46"/>
      <c r="L406" s="46"/>
      <c r="M406" s="46"/>
      <c r="N406" s="111"/>
      <c r="O406" s="112"/>
      <c r="P406" s="113"/>
      <c r="Q406" s="114"/>
      <c r="R406" s="74"/>
      <c r="U406" s="112"/>
      <c r="V406" s="115"/>
      <c r="W406" s="116"/>
      <c r="X406" s="117"/>
      <c r="Y406" s="74"/>
      <c r="AA406" s="118"/>
      <c r="AB406" s="59"/>
      <c r="AC406" s="46"/>
      <c r="AD406" s="46"/>
      <c r="AH406" s="46"/>
      <c r="AI406" s="46"/>
      <c r="AJ406" s="46"/>
      <c r="AK406" s="46"/>
      <c r="AL406" s="46"/>
      <c r="AM406" s="46"/>
      <c r="AN406" s="46"/>
      <c r="AO406" s="46"/>
      <c r="AP406" s="119"/>
      <c r="AQ406" s="112"/>
      <c r="AR406" s="113"/>
      <c r="AS406" s="114"/>
      <c r="AT406" s="74"/>
      <c r="AV406" s="112"/>
      <c r="AW406" s="115"/>
      <c r="AX406" s="116"/>
      <c r="AY406" s="117"/>
      <c r="AZ406" s="74"/>
      <c r="BB406" s="118"/>
      <c r="BC406" s="46"/>
      <c r="BD406" s="46"/>
      <c r="BE406" s="46"/>
      <c r="BI406" s="46"/>
      <c r="BJ406" s="46"/>
      <c r="BK406" s="46"/>
      <c r="BL406" s="46"/>
      <c r="BM406" s="46"/>
      <c r="BN406" s="46"/>
      <c r="BO406" s="46"/>
      <c r="BP406" s="46"/>
    </row>
    <row r="407" spans="4:68" ht="15" customHeight="1">
      <c r="D407" s="62"/>
      <c r="E407" s="46"/>
      <c r="F407" s="46"/>
      <c r="G407" s="46"/>
      <c r="H407" s="46"/>
      <c r="I407" s="46"/>
      <c r="J407" s="46"/>
      <c r="K407" s="46"/>
      <c r="L407" s="46"/>
      <c r="M407" s="46"/>
      <c r="N407" s="111"/>
      <c r="O407" s="112"/>
      <c r="P407" s="113"/>
      <c r="Q407" s="114"/>
      <c r="R407" s="74"/>
      <c r="U407" s="112"/>
      <c r="V407" s="115"/>
      <c r="W407" s="116"/>
      <c r="X407" s="117"/>
      <c r="Y407" s="74"/>
      <c r="AA407" s="118"/>
      <c r="AB407" s="59"/>
      <c r="AC407" s="46"/>
      <c r="AD407" s="46"/>
      <c r="AH407" s="46"/>
      <c r="AI407" s="46"/>
      <c r="AJ407" s="46"/>
      <c r="AK407" s="46"/>
      <c r="AL407" s="46"/>
      <c r="AM407" s="46"/>
      <c r="AN407" s="46"/>
      <c r="AO407" s="46"/>
      <c r="AP407" s="119"/>
      <c r="AQ407" s="112"/>
      <c r="AR407" s="113"/>
      <c r="AS407" s="114"/>
      <c r="AT407" s="74"/>
      <c r="AV407" s="112"/>
      <c r="AW407" s="115"/>
      <c r="AX407" s="116"/>
      <c r="AY407" s="117"/>
      <c r="AZ407" s="74"/>
      <c r="BB407" s="118"/>
      <c r="BC407" s="46"/>
      <c r="BD407" s="46"/>
      <c r="BE407" s="46"/>
      <c r="BI407" s="46"/>
      <c r="BJ407" s="46"/>
      <c r="BK407" s="46"/>
      <c r="BL407" s="46"/>
      <c r="BM407" s="46"/>
      <c r="BN407" s="46"/>
      <c r="BO407" s="46"/>
      <c r="BP407" s="46"/>
    </row>
    <row r="408" spans="4:68" ht="15" customHeight="1">
      <c r="D408" s="62"/>
      <c r="E408" s="46"/>
      <c r="F408" s="46"/>
      <c r="G408" s="46"/>
      <c r="H408" s="46"/>
      <c r="I408" s="46"/>
      <c r="J408" s="46"/>
      <c r="K408" s="46"/>
      <c r="L408" s="46"/>
      <c r="M408" s="46"/>
      <c r="N408" s="111"/>
      <c r="O408" s="112"/>
      <c r="P408" s="113"/>
      <c r="Q408" s="114"/>
      <c r="R408" s="74"/>
      <c r="U408" s="112"/>
      <c r="V408" s="115"/>
      <c r="W408" s="116"/>
      <c r="X408" s="117"/>
      <c r="Y408" s="74"/>
      <c r="AA408" s="118"/>
      <c r="AB408" s="59"/>
      <c r="AC408" s="46"/>
      <c r="AD408" s="46"/>
      <c r="AH408" s="46"/>
      <c r="AI408" s="46"/>
      <c r="AJ408" s="46"/>
      <c r="AK408" s="46"/>
      <c r="AL408" s="46"/>
      <c r="AM408" s="46"/>
      <c r="AN408" s="46"/>
      <c r="AO408" s="46"/>
      <c r="AP408" s="119"/>
      <c r="AQ408" s="112"/>
      <c r="AR408" s="113"/>
      <c r="AS408" s="114"/>
      <c r="AT408" s="74"/>
      <c r="AV408" s="112"/>
      <c r="AW408" s="115"/>
      <c r="AX408" s="116"/>
      <c r="AY408" s="117"/>
      <c r="AZ408" s="74"/>
      <c r="BB408" s="118"/>
      <c r="BC408" s="46"/>
      <c r="BD408" s="46"/>
      <c r="BE408" s="46"/>
      <c r="BI408" s="46"/>
      <c r="BJ408" s="46"/>
      <c r="BK408" s="46"/>
      <c r="BL408" s="46"/>
      <c r="BM408" s="46"/>
      <c r="BN408" s="46"/>
      <c r="BO408" s="46"/>
      <c r="BP408" s="46"/>
    </row>
    <row r="409" spans="4:68" ht="15" customHeight="1">
      <c r="D409" s="62"/>
      <c r="E409" s="46"/>
      <c r="F409" s="46"/>
      <c r="G409" s="46"/>
      <c r="H409" s="46"/>
      <c r="I409" s="46"/>
      <c r="J409" s="46"/>
      <c r="K409" s="46"/>
      <c r="L409" s="46"/>
      <c r="M409" s="46"/>
      <c r="N409" s="111"/>
      <c r="O409" s="112"/>
      <c r="P409" s="113"/>
      <c r="Q409" s="114"/>
      <c r="R409" s="74"/>
      <c r="U409" s="112"/>
      <c r="V409" s="115"/>
      <c r="W409" s="116"/>
      <c r="X409" s="117"/>
      <c r="Y409" s="74"/>
      <c r="AA409" s="118"/>
      <c r="AB409" s="59"/>
      <c r="AC409" s="46"/>
      <c r="AD409" s="46"/>
      <c r="AH409" s="46"/>
      <c r="AI409" s="46"/>
      <c r="AJ409" s="46"/>
      <c r="AK409" s="46"/>
      <c r="AL409" s="46"/>
      <c r="AM409" s="46"/>
      <c r="AN409" s="46"/>
      <c r="AO409" s="46"/>
      <c r="AP409" s="119"/>
      <c r="AQ409" s="112"/>
      <c r="AR409" s="113"/>
      <c r="AS409" s="114"/>
      <c r="AT409" s="74"/>
      <c r="AV409" s="112"/>
      <c r="AW409" s="115"/>
      <c r="AX409" s="116"/>
      <c r="AY409" s="117"/>
      <c r="AZ409" s="74"/>
      <c r="BB409" s="118"/>
      <c r="BC409" s="46"/>
      <c r="BD409" s="46"/>
      <c r="BE409" s="46"/>
      <c r="BI409" s="46"/>
      <c r="BJ409" s="46"/>
      <c r="BK409" s="46"/>
      <c r="BL409" s="46"/>
      <c r="BM409" s="46"/>
      <c r="BN409" s="46"/>
      <c r="BO409" s="46"/>
      <c r="BP409" s="46"/>
    </row>
    <row r="410" spans="4:68" ht="15" customHeight="1">
      <c r="D410" s="62"/>
      <c r="E410" s="46"/>
      <c r="F410" s="46"/>
      <c r="G410" s="46"/>
      <c r="H410" s="46"/>
      <c r="I410" s="46"/>
      <c r="J410" s="46"/>
      <c r="K410" s="46"/>
      <c r="L410" s="46"/>
      <c r="M410" s="46"/>
      <c r="N410" s="111"/>
      <c r="O410" s="112"/>
      <c r="P410" s="113"/>
      <c r="Q410" s="114"/>
      <c r="R410" s="74"/>
      <c r="U410" s="112"/>
      <c r="V410" s="115"/>
      <c r="W410" s="116"/>
      <c r="X410" s="117"/>
      <c r="Y410" s="74"/>
      <c r="AA410" s="118"/>
      <c r="AB410" s="59"/>
      <c r="AC410" s="46"/>
      <c r="AD410" s="46"/>
      <c r="AH410" s="46"/>
      <c r="AI410" s="46"/>
      <c r="AJ410" s="46"/>
      <c r="AK410" s="46"/>
      <c r="AL410" s="46"/>
      <c r="AM410" s="46"/>
      <c r="AN410" s="46"/>
      <c r="AO410" s="46"/>
      <c r="AP410" s="119"/>
      <c r="AQ410" s="112"/>
      <c r="AR410" s="113"/>
      <c r="AS410" s="114"/>
      <c r="AT410" s="74"/>
      <c r="AV410" s="112"/>
      <c r="AW410" s="115"/>
      <c r="AX410" s="116"/>
      <c r="AY410" s="117"/>
      <c r="AZ410" s="74"/>
      <c r="BB410" s="118"/>
      <c r="BC410" s="46"/>
      <c r="BD410" s="46"/>
      <c r="BE410" s="46"/>
      <c r="BI410" s="46"/>
      <c r="BJ410" s="46"/>
      <c r="BK410" s="46"/>
      <c r="BL410" s="46"/>
      <c r="BM410" s="46"/>
      <c r="BN410" s="46"/>
      <c r="BO410" s="46"/>
      <c r="BP410" s="46"/>
    </row>
    <row r="411" spans="4:68" ht="15" customHeight="1">
      <c r="D411" s="62"/>
      <c r="E411" s="46"/>
      <c r="F411" s="46"/>
      <c r="G411" s="46"/>
      <c r="H411" s="46"/>
      <c r="I411" s="46"/>
      <c r="J411" s="46"/>
      <c r="K411" s="46"/>
      <c r="L411" s="46"/>
      <c r="M411" s="46"/>
      <c r="N411" s="111"/>
      <c r="O411" s="112"/>
      <c r="P411" s="113"/>
      <c r="Q411" s="114"/>
      <c r="R411" s="74"/>
      <c r="U411" s="112"/>
      <c r="V411" s="115"/>
      <c r="W411" s="116"/>
      <c r="X411" s="117"/>
      <c r="Y411" s="74"/>
      <c r="AA411" s="118"/>
      <c r="AB411" s="59"/>
      <c r="AC411" s="46"/>
      <c r="AD411" s="46"/>
      <c r="AH411" s="46"/>
      <c r="AI411" s="46"/>
      <c r="AJ411" s="46"/>
      <c r="AK411" s="46"/>
      <c r="AL411" s="46"/>
      <c r="AM411" s="46"/>
      <c r="AN411" s="46"/>
      <c r="AO411" s="46"/>
      <c r="AP411" s="119"/>
      <c r="AQ411" s="112"/>
      <c r="AR411" s="113"/>
      <c r="AS411" s="114"/>
      <c r="AT411" s="74"/>
      <c r="AV411" s="112"/>
      <c r="AW411" s="115"/>
      <c r="AX411" s="116"/>
      <c r="AY411" s="117"/>
      <c r="AZ411" s="74"/>
      <c r="BB411" s="118"/>
      <c r="BC411" s="46"/>
      <c r="BD411" s="46"/>
      <c r="BE411" s="46"/>
      <c r="BI411" s="46"/>
      <c r="BJ411" s="46"/>
      <c r="BK411" s="46"/>
      <c r="BL411" s="46"/>
      <c r="BM411" s="46"/>
      <c r="BN411" s="46"/>
      <c r="BO411" s="46"/>
      <c r="BP411" s="46"/>
    </row>
    <row r="412" spans="4:68" ht="15" customHeight="1">
      <c r="D412" s="62"/>
      <c r="E412" s="46"/>
      <c r="F412" s="46"/>
      <c r="G412" s="46"/>
      <c r="H412" s="46"/>
      <c r="I412" s="46"/>
      <c r="J412" s="46"/>
      <c r="K412" s="46"/>
      <c r="L412" s="46"/>
      <c r="M412" s="46"/>
      <c r="N412" s="111"/>
      <c r="O412" s="112"/>
      <c r="P412" s="113"/>
      <c r="Q412" s="114"/>
      <c r="R412" s="74"/>
      <c r="U412" s="112"/>
      <c r="V412" s="115"/>
      <c r="W412" s="116"/>
      <c r="X412" s="117"/>
      <c r="Y412" s="74"/>
      <c r="AA412" s="118"/>
      <c r="AB412" s="59"/>
      <c r="AC412" s="46"/>
      <c r="AD412" s="46"/>
      <c r="AH412" s="46"/>
      <c r="AI412" s="46"/>
      <c r="AJ412" s="46"/>
      <c r="AK412" s="46"/>
      <c r="AL412" s="46"/>
      <c r="AM412" s="46"/>
      <c r="AN412" s="46"/>
      <c r="AO412" s="46"/>
      <c r="AP412" s="119"/>
      <c r="AQ412" s="112"/>
      <c r="AR412" s="113"/>
      <c r="AS412" s="114"/>
      <c r="AT412" s="74"/>
      <c r="AV412" s="112"/>
      <c r="AW412" s="115"/>
      <c r="AX412" s="116"/>
      <c r="AY412" s="117"/>
      <c r="AZ412" s="42"/>
      <c r="BB412" s="118"/>
      <c r="BC412" s="46"/>
      <c r="BD412" s="46"/>
      <c r="BE412" s="46"/>
      <c r="BI412" s="46"/>
      <c r="BJ412" s="46"/>
      <c r="BK412" s="46"/>
      <c r="BL412" s="46"/>
      <c r="BM412" s="46"/>
      <c r="BN412" s="46"/>
      <c r="BO412" s="46"/>
      <c r="BP412" s="46"/>
    </row>
    <row r="413" spans="4:68" ht="15" customHeight="1">
      <c r="D413" s="62"/>
      <c r="E413" s="46"/>
      <c r="F413" s="46"/>
      <c r="G413" s="46"/>
      <c r="H413" s="46"/>
      <c r="I413" s="46"/>
      <c r="J413" s="46"/>
      <c r="K413" s="46"/>
      <c r="L413" s="46"/>
      <c r="M413" s="46"/>
      <c r="N413" s="111"/>
      <c r="O413" s="112"/>
      <c r="P413" s="113"/>
      <c r="Q413" s="114"/>
      <c r="R413" s="74"/>
      <c r="U413" s="112"/>
      <c r="V413" s="115"/>
      <c r="W413" s="116"/>
      <c r="X413" s="117"/>
      <c r="Y413" s="74"/>
      <c r="AA413" s="118"/>
      <c r="AB413" s="59"/>
      <c r="AC413" s="46"/>
      <c r="AD413" s="46"/>
      <c r="AH413" s="46"/>
      <c r="AI413" s="46"/>
      <c r="AJ413" s="46"/>
      <c r="AK413" s="46"/>
      <c r="AL413" s="46"/>
      <c r="AM413" s="46"/>
      <c r="AN413" s="46"/>
      <c r="AO413" s="46"/>
      <c r="AP413" s="119"/>
      <c r="AQ413" s="112"/>
      <c r="AR413" s="113"/>
      <c r="AS413" s="114"/>
      <c r="AT413" s="74"/>
      <c r="AV413" s="112"/>
      <c r="AW413" s="115"/>
      <c r="AX413" s="116"/>
      <c r="AY413" s="117"/>
      <c r="AZ413" s="74"/>
      <c r="BB413" s="118"/>
      <c r="BC413" s="46"/>
      <c r="BD413" s="46"/>
      <c r="BE413" s="46"/>
      <c r="BI413" s="46"/>
      <c r="BJ413" s="46"/>
      <c r="BK413" s="46"/>
      <c r="BL413" s="46"/>
      <c r="BM413" s="46"/>
      <c r="BN413" s="46"/>
      <c r="BO413" s="46"/>
      <c r="BP413" s="46"/>
    </row>
    <row r="414" spans="4:68" ht="15" customHeight="1">
      <c r="D414" s="62"/>
      <c r="E414" s="46"/>
      <c r="F414" s="46"/>
      <c r="G414" s="46"/>
      <c r="H414" s="46"/>
      <c r="I414" s="46"/>
      <c r="J414" s="46"/>
      <c r="K414" s="46"/>
      <c r="L414" s="46"/>
      <c r="M414" s="46"/>
      <c r="N414" s="111"/>
      <c r="O414" s="112"/>
      <c r="P414" s="113"/>
      <c r="Q414" s="114"/>
      <c r="R414" s="74"/>
      <c r="U414" s="112"/>
      <c r="V414" s="115"/>
      <c r="W414" s="116"/>
      <c r="X414" s="117"/>
      <c r="Y414" s="74"/>
      <c r="AA414" s="118"/>
      <c r="AB414" s="59"/>
      <c r="AC414" s="46"/>
      <c r="AD414" s="46"/>
      <c r="AH414" s="46"/>
      <c r="AI414" s="46"/>
      <c r="AJ414" s="46"/>
      <c r="AK414" s="46"/>
      <c r="AL414" s="46"/>
      <c r="AM414" s="46"/>
      <c r="AN414" s="46"/>
      <c r="AO414" s="46"/>
      <c r="AP414" s="119"/>
      <c r="AQ414" s="112"/>
      <c r="AR414" s="113"/>
      <c r="AS414" s="114"/>
      <c r="AT414" s="74"/>
      <c r="AV414" s="112"/>
      <c r="AW414" s="115"/>
      <c r="AX414" s="116"/>
      <c r="AY414" s="117"/>
      <c r="AZ414" s="42"/>
      <c r="BB414" s="118"/>
      <c r="BC414" s="46"/>
      <c r="BD414" s="46"/>
      <c r="BE414" s="46"/>
      <c r="BI414" s="46"/>
      <c r="BJ414" s="46"/>
      <c r="BK414" s="46"/>
      <c r="BL414" s="46"/>
      <c r="BM414" s="46"/>
      <c r="BN414" s="46"/>
      <c r="BO414" s="46"/>
      <c r="BP414" s="46"/>
    </row>
    <row r="415" spans="4:68" ht="15" customHeight="1">
      <c r="D415" s="62"/>
      <c r="E415" s="46"/>
      <c r="F415" s="46"/>
      <c r="G415" s="46"/>
      <c r="H415" s="46"/>
      <c r="I415" s="46"/>
      <c r="J415" s="46"/>
      <c r="K415" s="46"/>
      <c r="L415" s="46"/>
      <c r="M415" s="46"/>
      <c r="N415" s="111"/>
      <c r="O415" s="112"/>
      <c r="P415" s="113"/>
      <c r="Q415" s="114"/>
      <c r="R415" s="74"/>
      <c r="U415" s="112"/>
      <c r="V415" s="115"/>
      <c r="W415" s="116"/>
      <c r="X415" s="117"/>
      <c r="Y415" s="74"/>
      <c r="AA415" s="118"/>
      <c r="AB415" s="59"/>
      <c r="AC415" s="46"/>
      <c r="AD415" s="46"/>
      <c r="AH415" s="46"/>
      <c r="AI415" s="46"/>
      <c r="AJ415" s="46"/>
      <c r="AK415" s="46"/>
      <c r="AL415" s="46"/>
      <c r="AM415" s="46"/>
      <c r="AN415" s="46"/>
      <c r="AO415" s="46"/>
      <c r="AP415" s="119"/>
      <c r="AQ415" s="112"/>
      <c r="AR415" s="113"/>
      <c r="AS415" s="114"/>
      <c r="AT415" s="74"/>
      <c r="AV415" s="112"/>
      <c r="AW415" s="115"/>
      <c r="AX415" s="116"/>
      <c r="AY415" s="117"/>
      <c r="AZ415" s="74"/>
      <c r="BB415" s="118"/>
      <c r="BC415" s="46"/>
      <c r="BD415" s="46"/>
      <c r="BE415" s="46"/>
      <c r="BI415" s="46"/>
      <c r="BJ415" s="46"/>
      <c r="BK415" s="46"/>
      <c r="BL415" s="46"/>
      <c r="BM415" s="46"/>
      <c r="BN415" s="46"/>
      <c r="BO415" s="46"/>
      <c r="BP415" s="46"/>
    </row>
    <row r="416" spans="4:68" ht="15" customHeight="1">
      <c r="D416" s="62"/>
      <c r="E416" s="46"/>
      <c r="F416" s="46"/>
      <c r="G416" s="46"/>
      <c r="I416" s="46"/>
      <c r="J416" s="46"/>
      <c r="K416" s="46"/>
      <c r="L416" s="46"/>
      <c r="M416" s="46"/>
      <c r="N416" s="111"/>
      <c r="O416" s="112"/>
      <c r="P416" s="113"/>
      <c r="Q416" s="114"/>
      <c r="R416" s="74"/>
      <c r="U416" s="112"/>
      <c r="V416" s="115"/>
      <c r="W416" s="116"/>
      <c r="X416" s="117"/>
      <c r="Y416" s="74"/>
      <c r="AA416" s="118"/>
      <c r="AB416" s="59"/>
      <c r="AC416" s="46"/>
      <c r="AD416" s="46"/>
      <c r="AH416" s="46"/>
      <c r="AI416" s="46"/>
      <c r="AJ416" s="46"/>
      <c r="AK416" s="46"/>
      <c r="AL416" s="46"/>
      <c r="AM416" s="46"/>
      <c r="AN416" s="46"/>
      <c r="AO416" s="46"/>
      <c r="AP416" s="119"/>
      <c r="AQ416" s="112"/>
      <c r="AR416" s="113"/>
      <c r="AS416" s="114"/>
      <c r="AT416" s="74"/>
      <c r="AV416" s="112"/>
      <c r="AW416" s="115"/>
      <c r="AX416" s="116"/>
      <c r="AY416" s="117"/>
      <c r="AZ416" s="74"/>
      <c r="BB416" s="118"/>
      <c r="BC416" s="46"/>
      <c r="BD416" s="46"/>
      <c r="BE416" s="46"/>
      <c r="BI416" s="46"/>
      <c r="BJ416" s="46"/>
      <c r="BK416" s="46"/>
      <c r="BL416" s="46"/>
      <c r="BM416" s="46"/>
      <c r="BN416" s="46"/>
      <c r="BO416" s="46"/>
      <c r="BP416" s="46"/>
    </row>
    <row r="417" spans="1:68" ht="15" customHeight="1">
      <c r="D417" s="62"/>
      <c r="E417" s="46"/>
      <c r="F417" s="46"/>
      <c r="G417" s="46"/>
      <c r="I417" s="46"/>
      <c r="J417" s="46"/>
      <c r="K417" s="46"/>
      <c r="L417" s="46"/>
      <c r="M417" s="46"/>
      <c r="N417" s="111"/>
      <c r="O417" s="112"/>
      <c r="P417" s="113"/>
      <c r="Q417" s="114"/>
      <c r="R417" s="74"/>
      <c r="U417" s="112"/>
      <c r="V417" s="115"/>
      <c r="W417" s="116"/>
      <c r="X417" s="117"/>
      <c r="Y417" s="74"/>
      <c r="AA417" s="118"/>
      <c r="AB417" s="59"/>
      <c r="AC417" s="46"/>
      <c r="AD417" s="46"/>
      <c r="AH417" s="46"/>
      <c r="AI417" s="46"/>
      <c r="AJ417" s="46"/>
      <c r="AK417" s="46"/>
      <c r="AL417" s="46"/>
      <c r="AM417" s="46"/>
      <c r="AN417" s="46"/>
      <c r="AO417" s="46"/>
      <c r="AP417" s="119"/>
      <c r="AQ417" s="112"/>
      <c r="AR417" s="113"/>
      <c r="AS417" s="114"/>
      <c r="AT417" s="74"/>
      <c r="AV417" s="112"/>
      <c r="AW417" s="115"/>
      <c r="AX417" s="116"/>
      <c r="AY417" s="117"/>
      <c r="AZ417" s="42"/>
      <c r="BB417" s="118"/>
      <c r="BC417" s="46"/>
      <c r="BD417" s="46"/>
      <c r="BE417" s="46"/>
      <c r="BI417" s="46"/>
      <c r="BJ417" s="46"/>
      <c r="BK417" s="46"/>
      <c r="BL417" s="46"/>
      <c r="BM417" s="46"/>
      <c r="BN417" s="46"/>
      <c r="BO417" s="46"/>
      <c r="BP417" s="46"/>
    </row>
    <row r="418" spans="1:68" ht="15" customHeight="1">
      <c r="D418" s="62"/>
      <c r="E418" s="46"/>
      <c r="F418" s="46"/>
      <c r="G418" s="46"/>
      <c r="I418" s="46"/>
      <c r="J418" s="46"/>
      <c r="K418" s="46"/>
      <c r="L418" s="46"/>
      <c r="M418" s="46"/>
      <c r="N418" s="111"/>
      <c r="O418" s="112"/>
      <c r="P418" s="113"/>
      <c r="Q418" s="114"/>
      <c r="R418" s="74"/>
      <c r="U418" s="112"/>
      <c r="V418" s="115"/>
      <c r="W418" s="116"/>
      <c r="X418" s="117"/>
      <c r="Y418" s="74"/>
      <c r="AA418" s="118"/>
      <c r="AB418" s="59"/>
      <c r="AC418" s="46"/>
      <c r="AD418" s="46"/>
      <c r="AH418" s="46"/>
      <c r="AI418" s="46"/>
      <c r="AJ418" s="46"/>
      <c r="AK418" s="46"/>
      <c r="AL418" s="46"/>
      <c r="AM418" s="46"/>
      <c r="AN418" s="46"/>
      <c r="AO418" s="46"/>
      <c r="AP418" s="119"/>
      <c r="AQ418" s="112"/>
      <c r="AR418" s="113"/>
      <c r="AS418" s="114"/>
      <c r="AT418" s="74"/>
      <c r="AV418" s="112"/>
      <c r="AW418" s="115"/>
      <c r="AX418" s="116"/>
      <c r="AY418" s="117"/>
      <c r="AZ418" s="42"/>
      <c r="BB418" s="118"/>
      <c r="BC418" s="46"/>
      <c r="BD418" s="46"/>
      <c r="BE418" s="46"/>
      <c r="BI418" s="46"/>
      <c r="BJ418" s="46"/>
      <c r="BK418" s="46"/>
      <c r="BL418" s="46"/>
      <c r="BM418" s="46"/>
      <c r="BN418" s="46"/>
      <c r="BO418" s="46"/>
      <c r="BP418" s="46"/>
    </row>
    <row r="419" spans="1:68" ht="15" customHeight="1">
      <c r="D419" s="62"/>
      <c r="E419" s="46"/>
      <c r="F419" s="46"/>
      <c r="G419" s="46"/>
      <c r="I419" s="46"/>
      <c r="J419" s="46"/>
      <c r="K419" s="46"/>
      <c r="L419" s="46"/>
      <c r="M419" s="46"/>
      <c r="N419" s="111"/>
      <c r="O419" s="112"/>
      <c r="P419" s="113"/>
      <c r="Q419" s="114"/>
      <c r="R419" s="74"/>
      <c r="U419" s="112"/>
      <c r="V419" s="115"/>
      <c r="W419" s="116"/>
      <c r="X419" s="117"/>
      <c r="Y419" s="74"/>
      <c r="AA419" s="118"/>
      <c r="AB419" s="59"/>
      <c r="AC419" s="46"/>
      <c r="AD419" s="46"/>
      <c r="AH419" s="46"/>
      <c r="AI419" s="46"/>
      <c r="AJ419" s="46"/>
      <c r="AK419" s="46"/>
      <c r="AL419" s="46"/>
      <c r="AM419" s="46"/>
      <c r="AN419" s="46"/>
      <c r="AO419" s="46"/>
      <c r="AP419" s="119"/>
      <c r="AQ419" s="112"/>
      <c r="AR419" s="113"/>
      <c r="AS419" s="114"/>
      <c r="AT419" s="74"/>
      <c r="AV419" s="112"/>
      <c r="AW419" s="115"/>
      <c r="AX419" s="116"/>
      <c r="AY419" s="117"/>
      <c r="AZ419" s="74"/>
      <c r="BB419" s="118"/>
      <c r="BC419" s="46"/>
      <c r="BD419" s="46"/>
      <c r="BE419" s="46"/>
      <c r="BI419" s="46"/>
      <c r="BJ419" s="46"/>
      <c r="BK419" s="46"/>
      <c r="BL419" s="46"/>
      <c r="BM419" s="46"/>
      <c r="BN419" s="46"/>
      <c r="BO419" s="46"/>
      <c r="BP419" s="46"/>
    </row>
    <row r="420" spans="1:68" ht="15" customHeight="1">
      <c r="D420" s="62"/>
      <c r="E420" s="46"/>
      <c r="F420" s="46"/>
      <c r="G420" s="46"/>
      <c r="I420" s="46"/>
      <c r="J420" s="46"/>
      <c r="K420" s="46"/>
      <c r="L420" s="46"/>
      <c r="M420" s="46"/>
      <c r="N420" s="111"/>
      <c r="O420" s="112"/>
      <c r="P420" s="113"/>
      <c r="Q420" s="114"/>
      <c r="R420" s="74"/>
      <c r="U420" s="112"/>
      <c r="V420" s="115"/>
      <c r="W420" s="116"/>
      <c r="X420" s="117"/>
      <c r="Y420" s="74"/>
      <c r="AA420" s="118"/>
      <c r="AB420" s="59"/>
      <c r="AC420" s="46"/>
      <c r="AD420" s="46"/>
      <c r="AH420" s="46"/>
      <c r="AI420" s="46"/>
      <c r="AJ420" s="46"/>
      <c r="AK420" s="46"/>
      <c r="AL420" s="46"/>
      <c r="AM420" s="46"/>
      <c r="AN420" s="46"/>
      <c r="AO420" s="46"/>
      <c r="AP420" s="119"/>
      <c r="AQ420" s="112"/>
      <c r="AR420" s="113"/>
      <c r="AS420" s="114"/>
      <c r="AT420" s="74"/>
      <c r="AV420" s="112"/>
      <c r="AW420" s="115"/>
      <c r="AX420" s="116"/>
      <c r="AY420" s="117"/>
      <c r="AZ420" s="74"/>
      <c r="BB420" s="118"/>
      <c r="BC420" s="46"/>
      <c r="BD420" s="46"/>
      <c r="BE420" s="46"/>
      <c r="BI420" s="46"/>
      <c r="BJ420" s="46"/>
      <c r="BK420" s="46"/>
      <c r="BL420" s="46"/>
      <c r="BM420" s="46"/>
      <c r="BN420" s="46"/>
      <c r="BO420" s="46"/>
      <c r="BP420" s="46"/>
    </row>
    <row r="421" spans="1:68" ht="15" customHeight="1">
      <c r="D421" s="62"/>
      <c r="E421" s="46"/>
      <c r="F421" s="46"/>
      <c r="G421" s="46"/>
      <c r="I421" s="46"/>
      <c r="J421" s="46"/>
      <c r="K421" s="46"/>
      <c r="L421" s="46"/>
      <c r="M421" s="46"/>
      <c r="N421" s="111"/>
      <c r="O421" s="112"/>
      <c r="P421" s="113"/>
      <c r="Q421" s="114"/>
      <c r="R421" s="74"/>
      <c r="U421" s="112"/>
      <c r="V421" s="115"/>
      <c r="W421" s="116"/>
      <c r="X421" s="117"/>
      <c r="Y421" s="74"/>
      <c r="AA421" s="118"/>
      <c r="AB421" s="59"/>
      <c r="AC421" s="46"/>
      <c r="AD421" s="46"/>
      <c r="AH421" s="46"/>
      <c r="AI421" s="46"/>
      <c r="AJ421" s="46"/>
      <c r="AK421" s="46"/>
      <c r="AL421" s="46"/>
      <c r="AM421" s="46"/>
      <c r="AN421" s="46"/>
      <c r="AO421" s="46"/>
      <c r="AP421" s="119"/>
      <c r="AQ421" s="112"/>
      <c r="AR421" s="113"/>
      <c r="AS421" s="114"/>
      <c r="AT421" s="74"/>
      <c r="AV421" s="112"/>
      <c r="AW421" s="115"/>
      <c r="AX421" s="116"/>
      <c r="AY421" s="117"/>
      <c r="AZ421" s="74"/>
      <c r="BB421" s="118"/>
      <c r="BC421" s="46"/>
      <c r="BD421" s="46"/>
      <c r="BE421" s="46"/>
      <c r="BI421" s="46"/>
      <c r="BJ421" s="46"/>
      <c r="BK421" s="46"/>
      <c r="BL421" s="46"/>
      <c r="BM421" s="46"/>
      <c r="BN421" s="46"/>
      <c r="BO421" s="46"/>
      <c r="BP421" s="46"/>
    </row>
    <row r="422" spans="1:68" ht="15" customHeight="1">
      <c r="D422" s="62"/>
      <c r="E422" s="46"/>
      <c r="F422" s="46"/>
      <c r="G422" s="46"/>
      <c r="H422" s="46"/>
      <c r="I422" s="46"/>
      <c r="J422" s="46"/>
      <c r="K422" s="46"/>
      <c r="L422" s="46"/>
      <c r="M422" s="46"/>
      <c r="N422" s="111"/>
      <c r="O422" s="112"/>
      <c r="P422" s="113"/>
      <c r="Q422" s="114"/>
      <c r="R422" s="74"/>
      <c r="U422" s="112"/>
      <c r="V422" s="115"/>
      <c r="W422" s="116"/>
      <c r="X422" s="117"/>
      <c r="Y422" s="74"/>
      <c r="AA422" s="118"/>
      <c r="AB422" s="59"/>
      <c r="AC422" s="46"/>
      <c r="AD422" s="46"/>
      <c r="AH422" s="46"/>
      <c r="AI422" s="46"/>
      <c r="AJ422" s="46"/>
      <c r="AK422" s="46"/>
      <c r="AL422" s="46"/>
      <c r="AM422" s="46"/>
      <c r="AN422" s="46"/>
      <c r="AO422" s="46"/>
      <c r="AP422" s="119"/>
      <c r="AQ422" s="112"/>
      <c r="AR422" s="113"/>
      <c r="AS422" s="114"/>
      <c r="AT422" s="74"/>
      <c r="AV422" s="112"/>
      <c r="AW422" s="115"/>
      <c r="AX422" s="116"/>
      <c r="AY422" s="117"/>
      <c r="AZ422" s="74"/>
      <c r="BB422" s="118"/>
      <c r="BC422" s="46"/>
      <c r="BD422" s="46"/>
      <c r="BE422" s="46"/>
      <c r="BI422" s="46"/>
      <c r="BK422" s="46"/>
      <c r="BL422" s="46"/>
      <c r="BM422" s="46"/>
      <c r="BN422" s="46"/>
      <c r="BO422" s="46"/>
      <c r="BP422" s="46"/>
    </row>
    <row r="423" spans="1:68" ht="15" customHeight="1">
      <c r="D423" s="62"/>
      <c r="E423" s="46"/>
      <c r="F423" s="46"/>
      <c r="G423" s="46"/>
      <c r="H423" s="46"/>
      <c r="I423" s="46"/>
      <c r="J423" s="46"/>
      <c r="K423" s="46"/>
      <c r="L423" s="46"/>
      <c r="M423" s="46"/>
      <c r="N423" s="111"/>
      <c r="O423" s="112"/>
      <c r="P423" s="113"/>
      <c r="Q423" s="114"/>
      <c r="R423" s="74"/>
      <c r="U423" s="112"/>
      <c r="V423" s="115"/>
      <c r="W423" s="116"/>
      <c r="X423" s="117"/>
      <c r="Y423" s="74"/>
      <c r="AA423" s="118"/>
      <c r="AB423" s="59"/>
      <c r="AC423" s="46"/>
      <c r="AD423" s="46"/>
      <c r="AH423" s="46"/>
      <c r="AI423" s="46"/>
      <c r="AJ423" s="46"/>
      <c r="AK423" s="46"/>
      <c r="AL423" s="46"/>
      <c r="AM423" s="46"/>
      <c r="AN423" s="46"/>
      <c r="AO423" s="46"/>
      <c r="AP423" s="119"/>
      <c r="AQ423" s="112"/>
      <c r="AR423" s="113"/>
      <c r="AS423" s="114"/>
      <c r="AT423" s="74"/>
      <c r="AV423" s="112"/>
      <c r="AW423" s="115"/>
      <c r="AX423" s="116"/>
      <c r="AY423" s="117"/>
      <c r="AZ423" s="74"/>
      <c r="BB423" s="118"/>
      <c r="BC423" s="46"/>
      <c r="BD423" s="46"/>
      <c r="BE423" s="46"/>
      <c r="BI423" s="46"/>
      <c r="BK423" s="46"/>
      <c r="BL423" s="46"/>
      <c r="BM423" s="46"/>
      <c r="BN423" s="46"/>
      <c r="BO423" s="46"/>
      <c r="BP423" s="46"/>
    </row>
    <row r="424" spans="1:68" ht="15" customHeight="1">
      <c r="D424" s="62"/>
      <c r="E424" s="46"/>
      <c r="F424" s="46"/>
      <c r="G424" s="46"/>
      <c r="H424" s="46"/>
      <c r="I424" s="46"/>
      <c r="J424" s="46"/>
      <c r="K424" s="46"/>
      <c r="L424" s="46"/>
      <c r="M424" s="46"/>
      <c r="N424" s="111"/>
      <c r="O424" s="112"/>
      <c r="P424" s="113"/>
      <c r="Q424" s="114"/>
      <c r="R424" s="74"/>
      <c r="U424" s="112"/>
      <c r="V424" s="115"/>
      <c r="W424" s="116"/>
      <c r="X424" s="117"/>
      <c r="Y424" s="74"/>
      <c r="AA424" s="118"/>
      <c r="AB424" s="59"/>
      <c r="AC424" s="46"/>
      <c r="AD424" s="46"/>
      <c r="AH424" s="46"/>
      <c r="AI424" s="46"/>
      <c r="AJ424" s="46"/>
      <c r="AK424" s="46"/>
      <c r="AL424" s="46"/>
      <c r="AM424" s="46"/>
      <c r="AN424" s="46"/>
      <c r="AO424" s="46"/>
      <c r="AP424" s="119"/>
      <c r="AQ424" s="112"/>
      <c r="AR424" s="113"/>
      <c r="AS424" s="114"/>
      <c r="AT424" s="74"/>
      <c r="AV424" s="112"/>
      <c r="AW424" s="115"/>
      <c r="AX424" s="116"/>
      <c r="AY424" s="117"/>
      <c r="AZ424" s="74"/>
      <c r="BB424" s="118"/>
      <c r="BC424" s="46"/>
      <c r="BD424" s="46"/>
      <c r="BE424" s="46"/>
      <c r="BI424" s="46"/>
      <c r="BJ424" s="46"/>
      <c r="BK424" s="46"/>
      <c r="BL424" s="46"/>
      <c r="BM424" s="46"/>
      <c r="BN424" s="46"/>
      <c r="BO424" s="46"/>
      <c r="BP424" s="46"/>
    </row>
    <row r="425" spans="1:68" ht="15" customHeight="1">
      <c r="D425" s="62"/>
      <c r="E425" s="46"/>
      <c r="F425" s="46"/>
      <c r="G425" s="46"/>
      <c r="H425" s="46"/>
      <c r="I425" s="46"/>
      <c r="J425" s="46"/>
      <c r="K425" s="46"/>
      <c r="L425" s="46"/>
      <c r="M425" s="46"/>
      <c r="N425" s="111"/>
      <c r="O425" s="112"/>
      <c r="P425" s="113"/>
      <c r="Q425" s="114"/>
      <c r="R425" s="74"/>
      <c r="U425" s="112"/>
      <c r="V425" s="115"/>
      <c r="W425" s="116"/>
      <c r="X425" s="117"/>
      <c r="Y425" s="74"/>
      <c r="AA425" s="118"/>
      <c r="AB425" s="59"/>
      <c r="AC425" s="46"/>
      <c r="AD425" s="46"/>
      <c r="AH425" s="46"/>
      <c r="AI425" s="46"/>
      <c r="AJ425" s="46"/>
      <c r="AK425" s="46"/>
      <c r="AL425" s="46"/>
      <c r="AM425" s="46"/>
      <c r="AN425" s="46"/>
      <c r="AO425" s="46"/>
      <c r="AP425" s="119"/>
      <c r="AQ425" s="112"/>
      <c r="AR425" s="113"/>
      <c r="AS425" s="114"/>
      <c r="AT425" s="74"/>
      <c r="AV425" s="112"/>
      <c r="AW425" s="115"/>
      <c r="AX425" s="116"/>
      <c r="AY425" s="117"/>
      <c r="AZ425" s="74"/>
      <c r="BB425" s="118"/>
      <c r="BC425" s="46"/>
      <c r="BD425" s="46"/>
      <c r="BE425" s="46"/>
      <c r="BI425" s="46"/>
      <c r="BJ425" s="46"/>
      <c r="BK425" s="46"/>
      <c r="BL425" s="46"/>
      <c r="BM425" s="46"/>
      <c r="BN425" s="46"/>
      <c r="BO425" s="46"/>
      <c r="BP425" s="46"/>
    </row>
    <row r="426" spans="1:68" ht="15" customHeight="1">
      <c r="D426" s="62"/>
      <c r="E426" s="46"/>
      <c r="F426" s="46"/>
      <c r="G426" s="46"/>
      <c r="H426" s="46"/>
      <c r="I426" s="46"/>
      <c r="J426" s="46"/>
      <c r="K426" s="46"/>
      <c r="L426" s="46"/>
      <c r="M426" s="46"/>
      <c r="N426" s="111"/>
      <c r="O426" s="112"/>
      <c r="P426" s="113"/>
      <c r="Q426" s="114"/>
      <c r="R426" s="74"/>
      <c r="U426" s="112"/>
      <c r="V426" s="115"/>
      <c r="W426" s="116"/>
      <c r="X426" s="117"/>
      <c r="Y426" s="74"/>
      <c r="AA426" s="118"/>
      <c r="AB426" s="59"/>
      <c r="AC426" s="46"/>
      <c r="AD426" s="46"/>
      <c r="AH426" s="46"/>
      <c r="AI426" s="46"/>
      <c r="AJ426" s="46"/>
      <c r="AK426" s="46"/>
      <c r="AL426" s="46"/>
      <c r="AM426" s="46"/>
      <c r="AN426" s="46"/>
      <c r="AO426" s="46"/>
      <c r="AP426" s="119"/>
      <c r="AQ426" s="112"/>
      <c r="AR426" s="113"/>
      <c r="AS426" s="114"/>
      <c r="AT426" s="74"/>
      <c r="AV426" s="112"/>
      <c r="AW426" s="115"/>
      <c r="AX426" s="116"/>
      <c r="AY426" s="117"/>
      <c r="AZ426" s="74"/>
      <c r="BB426" s="118"/>
      <c r="BC426" s="46"/>
      <c r="BD426" s="46"/>
      <c r="BE426" s="46"/>
      <c r="BI426" s="46"/>
      <c r="BJ426" s="46"/>
      <c r="BK426" s="46"/>
      <c r="BL426" s="46"/>
      <c r="BM426" s="46"/>
      <c r="BN426" s="46"/>
      <c r="BO426" s="46"/>
      <c r="BP426" s="46"/>
    </row>
    <row r="427" spans="1:68" ht="15" customHeight="1">
      <c r="D427" s="62"/>
      <c r="E427" s="46"/>
      <c r="F427" s="46"/>
      <c r="G427" s="46"/>
      <c r="H427" s="46"/>
      <c r="I427" s="46"/>
      <c r="J427" s="46"/>
      <c r="K427" s="46"/>
      <c r="L427" s="46"/>
      <c r="M427" s="46"/>
      <c r="N427" s="111"/>
      <c r="O427" s="112"/>
      <c r="P427" s="113"/>
      <c r="Q427" s="114"/>
      <c r="R427" s="74"/>
      <c r="U427" s="112"/>
      <c r="V427" s="115"/>
      <c r="W427" s="116"/>
      <c r="X427" s="117"/>
      <c r="Y427" s="74"/>
      <c r="AA427" s="118"/>
      <c r="AB427" s="59"/>
      <c r="AC427" s="46"/>
      <c r="AD427" s="46"/>
      <c r="AH427" s="46"/>
      <c r="AI427" s="46"/>
      <c r="AJ427" s="46"/>
      <c r="AK427" s="46"/>
      <c r="AL427" s="46"/>
      <c r="AM427" s="46"/>
      <c r="AN427" s="46"/>
      <c r="AO427" s="46"/>
      <c r="AP427" s="119"/>
      <c r="AQ427" s="112"/>
      <c r="AR427" s="113"/>
      <c r="AS427" s="114"/>
      <c r="AT427" s="74"/>
      <c r="AV427" s="112"/>
      <c r="AW427" s="115"/>
      <c r="AX427" s="116"/>
      <c r="AY427" s="117"/>
      <c r="AZ427" s="74"/>
      <c r="BB427" s="118"/>
      <c r="BC427" s="46"/>
      <c r="BD427" s="46"/>
      <c r="BE427" s="46"/>
      <c r="BI427" s="46"/>
      <c r="BJ427" s="46"/>
      <c r="BK427" s="46"/>
      <c r="BL427" s="46"/>
      <c r="BM427" s="46"/>
      <c r="BN427" s="46"/>
      <c r="BO427" s="46"/>
      <c r="BP427" s="46"/>
    </row>
    <row r="428" spans="1:68" ht="15" customHeight="1">
      <c r="D428" s="62"/>
      <c r="E428" s="46"/>
      <c r="F428" s="46"/>
      <c r="G428" s="46"/>
      <c r="H428" s="46"/>
      <c r="I428" s="46"/>
      <c r="J428" s="46"/>
      <c r="K428" s="46"/>
      <c r="L428" s="46"/>
      <c r="M428" s="46"/>
      <c r="N428" s="111"/>
      <c r="O428" s="112"/>
      <c r="P428" s="113"/>
      <c r="Q428" s="114"/>
      <c r="R428" s="74"/>
      <c r="U428" s="112"/>
      <c r="V428" s="115"/>
      <c r="W428" s="116"/>
      <c r="X428" s="117"/>
      <c r="Y428" s="74"/>
      <c r="AA428" s="118"/>
      <c r="AB428" s="59"/>
      <c r="AC428" s="46"/>
      <c r="AD428" s="46"/>
      <c r="AH428" s="46"/>
      <c r="AI428" s="46"/>
      <c r="AJ428" s="46"/>
      <c r="AK428" s="46"/>
      <c r="AL428" s="46"/>
      <c r="AM428" s="46"/>
      <c r="AN428" s="46"/>
      <c r="AO428" s="46"/>
      <c r="AP428" s="119"/>
      <c r="AQ428" s="112"/>
      <c r="AR428" s="113"/>
      <c r="AS428" s="114"/>
      <c r="AT428" s="74"/>
      <c r="AV428" s="112"/>
      <c r="AW428" s="115"/>
      <c r="AX428" s="116"/>
      <c r="AY428" s="117"/>
      <c r="AZ428" s="74"/>
      <c r="BB428" s="118"/>
      <c r="BC428" s="46"/>
      <c r="BD428" s="46"/>
      <c r="BE428" s="46"/>
      <c r="BI428" s="46"/>
      <c r="BJ428" s="46"/>
      <c r="BK428" s="46"/>
      <c r="BL428" s="46"/>
      <c r="BM428" s="46"/>
      <c r="BN428" s="46"/>
      <c r="BO428" s="46"/>
      <c r="BP428" s="46"/>
    </row>
    <row r="429" spans="1:68" ht="15" customHeight="1">
      <c r="D429" s="62"/>
      <c r="E429" s="46"/>
      <c r="F429" s="46"/>
      <c r="G429" s="46"/>
      <c r="H429" s="46"/>
      <c r="I429" s="46"/>
      <c r="J429" s="46"/>
      <c r="K429" s="46"/>
      <c r="L429" s="46"/>
      <c r="M429" s="46"/>
      <c r="N429" s="111"/>
      <c r="O429" s="112"/>
      <c r="P429" s="113"/>
      <c r="Q429" s="114"/>
      <c r="R429" s="74"/>
      <c r="U429" s="112"/>
      <c r="V429" s="115"/>
      <c r="W429" s="116"/>
      <c r="X429" s="117"/>
      <c r="Y429" s="74"/>
      <c r="AA429" s="118"/>
      <c r="AB429" s="59"/>
      <c r="AC429" s="46"/>
      <c r="AD429" s="46"/>
      <c r="AH429" s="46"/>
      <c r="AI429" s="46"/>
      <c r="AJ429" s="46"/>
      <c r="AK429" s="46"/>
      <c r="AL429" s="46"/>
      <c r="AM429" s="46"/>
      <c r="AN429" s="46"/>
      <c r="AO429" s="46"/>
      <c r="AP429" s="119"/>
      <c r="AQ429" s="112"/>
      <c r="AR429" s="113"/>
      <c r="AS429" s="114"/>
      <c r="AT429" s="74"/>
      <c r="AV429" s="112"/>
      <c r="AW429" s="115"/>
      <c r="AX429" s="116"/>
      <c r="AY429" s="117"/>
      <c r="AZ429" s="74"/>
      <c r="BB429" s="118"/>
      <c r="BC429" s="46"/>
      <c r="BD429" s="46"/>
      <c r="BE429" s="46"/>
      <c r="BI429" s="46"/>
      <c r="BJ429" s="46"/>
      <c r="BK429" s="46"/>
      <c r="BL429" s="46"/>
      <c r="BM429" s="46"/>
      <c r="BN429" s="46"/>
      <c r="BO429" s="46"/>
      <c r="BP429" s="46"/>
    </row>
    <row r="430" spans="1:68" ht="15" customHeight="1">
      <c r="D430" s="62"/>
      <c r="E430" s="46"/>
      <c r="F430" s="46"/>
      <c r="G430" s="46"/>
      <c r="H430" s="46"/>
      <c r="I430" s="46"/>
      <c r="J430" s="46"/>
      <c r="K430" s="46"/>
      <c r="L430" s="46"/>
      <c r="M430" s="46"/>
      <c r="N430" s="111"/>
      <c r="O430" s="112"/>
      <c r="P430" s="113"/>
      <c r="Q430" s="114"/>
      <c r="R430" s="74"/>
      <c r="U430" s="112"/>
      <c r="V430" s="115"/>
      <c r="W430" s="116"/>
      <c r="X430" s="117"/>
      <c r="Y430" s="74"/>
      <c r="AA430" s="118"/>
      <c r="AB430" s="59"/>
      <c r="AC430" s="46"/>
      <c r="AD430" s="46"/>
      <c r="AH430" s="46"/>
      <c r="AI430" s="46"/>
      <c r="AJ430" s="46"/>
      <c r="AK430" s="46"/>
      <c r="AL430" s="46"/>
      <c r="AM430" s="46"/>
      <c r="AN430" s="46"/>
      <c r="AO430" s="46"/>
      <c r="AP430" s="119"/>
      <c r="AQ430" s="112"/>
      <c r="AR430" s="113"/>
      <c r="AS430" s="114"/>
      <c r="AT430" s="74"/>
      <c r="AV430" s="112"/>
      <c r="AW430" s="115"/>
      <c r="AX430" s="116"/>
      <c r="AY430" s="117"/>
      <c r="AZ430" s="74"/>
      <c r="BB430" s="118"/>
      <c r="BC430" s="46"/>
      <c r="BD430" s="46"/>
      <c r="BE430" s="46"/>
      <c r="BI430" s="46"/>
      <c r="BJ430" s="46"/>
      <c r="BK430" s="46"/>
      <c r="BL430" s="46"/>
      <c r="BM430" s="46"/>
      <c r="BN430" s="46"/>
      <c r="BO430" s="46"/>
      <c r="BP430" s="46"/>
    </row>
    <row r="431" spans="1:68" s="46" customFormat="1" ht="15" customHeight="1">
      <c r="A431" s="61"/>
      <c r="B431" s="121"/>
      <c r="C431" s="61"/>
      <c r="D431" s="60"/>
      <c r="E431" s="61"/>
      <c r="F431" s="61"/>
      <c r="G431" s="61"/>
      <c r="N431" s="111"/>
      <c r="O431" s="112"/>
      <c r="P431" s="113"/>
      <c r="Q431" s="114"/>
      <c r="R431" s="74"/>
      <c r="S431" s="120"/>
      <c r="T431" s="75"/>
      <c r="U431" s="112"/>
      <c r="V431" s="115"/>
      <c r="W431" s="116"/>
      <c r="X431" s="117"/>
      <c r="Y431" s="74"/>
      <c r="Z431" s="75"/>
      <c r="AA431" s="118"/>
      <c r="AB431" s="59"/>
      <c r="AE431" s="37"/>
      <c r="AF431" s="36"/>
      <c r="AG431" s="36"/>
      <c r="AP431" s="119"/>
      <c r="AQ431" s="112"/>
      <c r="AR431" s="113"/>
      <c r="AS431" s="114"/>
      <c r="AT431" s="74"/>
      <c r="AU431" s="75"/>
      <c r="AV431" s="112"/>
      <c r="AW431" s="115"/>
      <c r="AX431" s="116"/>
      <c r="AY431" s="117"/>
      <c r="AZ431" s="74"/>
      <c r="BA431" s="75"/>
      <c r="BB431" s="118"/>
      <c r="BF431" s="37"/>
      <c r="BG431" s="36"/>
      <c r="BH431" s="36"/>
    </row>
    <row r="432" spans="1:68" s="46" customFormat="1" ht="15" customHeight="1">
      <c r="D432" s="62"/>
      <c r="N432" s="111"/>
      <c r="O432" s="112"/>
      <c r="P432" s="113"/>
      <c r="Q432" s="114"/>
      <c r="R432" s="74"/>
      <c r="S432" s="120"/>
      <c r="T432" s="75"/>
      <c r="U432" s="112"/>
      <c r="V432" s="115"/>
      <c r="W432" s="116"/>
      <c r="X432" s="117"/>
      <c r="Y432" s="74"/>
      <c r="Z432" s="75"/>
      <c r="AA432" s="118"/>
      <c r="AB432" s="59"/>
      <c r="AE432" s="37"/>
      <c r="AF432" s="36"/>
      <c r="AG432" s="36"/>
      <c r="AP432" s="119"/>
      <c r="AQ432" s="112"/>
      <c r="AR432" s="113"/>
      <c r="AS432" s="114"/>
      <c r="AT432" s="74"/>
      <c r="AU432" s="75"/>
      <c r="AV432" s="112"/>
      <c r="AW432" s="115"/>
      <c r="AX432" s="116"/>
      <c r="AY432" s="117"/>
      <c r="AZ432" s="74"/>
      <c r="BA432" s="75"/>
      <c r="BB432" s="118"/>
      <c r="BF432" s="37"/>
      <c r="BG432" s="36"/>
      <c r="BH432" s="36"/>
    </row>
    <row r="433" spans="4:60" s="46" customFormat="1" ht="15" customHeight="1">
      <c r="D433" s="62"/>
      <c r="N433" s="111"/>
      <c r="O433" s="112"/>
      <c r="P433" s="113"/>
      <c r="Q433" s="114"/>
      <c r="R433" s="74"/>
      <c r="S433" s="120"/>
      <c r="T433" s="75"/>
      <c r="U433" s="112"/>
      <c r="V433" s="115"/>
      <c r="W433" s="116"/>
      <c r="X433" s="117"/>
      <c r="Y433" s="74"/>
      <c r="Z433" s="75"/>
      <c r="AA433" s="118"/>
      <c r="AB433" s="59"/>
      <c r="AE433" s="37"/>
      <c r="AF433" s="36"/>
      <c r="AG433" s="36"/>
      <c r="AP433" s="119"/>
      <c r="AQ433" s="112"/>
      <c r="AR433" s="113"/>
      <c r="AS433" s="114"/>
      <c r="AT433" s="74"/>
      <c r="AU433" s="75"/>
      <c r="AV433" s="112"/>
      <c r="AW433" s="115"/>
      <c r="AX433" s="116"/>
      <c r="AY433" s="117"/>
      <c r="AZ433" s="74"/>
      <c r="BA433" s="75"/>
      <c r="BB433" s="118"/>
      <c r="BF433" s="37"/>
      <c r="BG433" s="36"/>
      <c r="BH433" s="36"/>
    </row>
    <row r="434" spans="4:60" s="46" customFormat="1" ht="15" customHeight="1">
      <c r="D434" s="62"/>
      <c r="N434" s="111"/>
      <c r="O434" s="112"/>
      <c r="P434" s="113"/>
      <c r="Q434" s="114"/>
      <c r="R434" s="74"/>
      <c r="S434" s="120"/>
      <c r="T434" s="75"/>
      <c r="U434" s="112"/>
      <c r="V434" s="115"/>
      <c r="W434" s="116"/>
      <c r="X434" s="117"/>
      <c r="Y434" s="74"/>
      <c r="Z434" s="75"/>
      <c r="AA434" s="118"/>
      <c r="AB434" s="59"/>
      <c r="AE434" s="37"/>
      <c r="AF434" s="36"/>
      <c r="AG434" s="36"/>
      <c r="AP434" s="119"/>
      <c r="AQ434" s="112"/>
      <c r="AR434" s="113"/>
      <c r="AS434" s="114"/>
      <c r="AT434" s="74"/>
      <c r="AU434" s="75"/>
      <c r="AV434" s="112"/>
      <c r="AW434" s="115"/>
      <c r="AX434" s="116"/>
      <c r="AY434" s="117"/>
      <c r="AZ434" s="74"/>
      <c r="BA434" s="75"/>
      <c r="BB434" s="118"/>
      <c r="BF434" s="37"/>
      <c r="BG434" s="36"/>
      <c r="BH434" s="36"/>
    </row>
    <row r="435" spans="4:60" s="46" customFormat="1" ht="15" customHeight="1">
      <c r="D435" s="62"/>
      <c r="N435" s="111"/>
      <c r="O435" s="112"/>
      <c r="P435" s="113"/>
      <c r="Q435" s="114"/>
      <c r="R435" s="74"/>
      <c r="S435" s="120"/>
      <c r="T435" s="75"/>
      <c r="U435" s="112"/>
      <c r="V435" s="115"/>
      <c r="W435" s="116"/>
      <c r="X435" s="117"/>
      <c r="Y435" s="74"/>
      <c r="Z435" s="75"/>
      <c r="AA435" s="118"/>
      <c r="AB435" s="59"/>
      <c r="AE435" s="37"/>
      <c r="AF435" s="36"/>
      <c r="AG435" s="36"/>
      <c r="AP435" s="119"/>
      <c r="AQ435" s="112"/>
      <c r="AR435" s="113"/>
      <c r="AS435" s="114"/>
      <c r="AT435" s="74"/>
      <c r="AU435" s="75"/>
      <c r="AV435" s="112"/>
      <c r="AW435" s="115"/>
      <c r="AX435" s="116"/>
      <c r="AY435" s="117"/>
      <c r="AZ435" s="74"/>
      <c r="BA435" s="75"/>
      <c r="BB435" s="118"/>
      <c r="BF435" s="37"/>
      <c r="BG435" s="36"/>
      <c r="BH435" s="36"/>
    </row>
    <row r="436" spans="4:60" s="46" customFormat="1" ht="15" customHeight="1">
      <c r="D436" s="62"/>
      <c r="N436" s="111"/>
      <c r="O436" s="112"/>
      <c r="P436" s="113"/>
      <c r="Q436" s="114"/>
      <c r="R436" s="74"/>
      <c r="S436" s="120"/>
      <c r="T436" s="75"/>
      <c r="U436" s="112"/>
      <c r="V436" s="115"/>
      <c r="W436" s="116"/>
      <c r="X436" s="117"/>
      <c r="Y436" s="74"/>
      <c r="Z436" s="75"/>
      <c r="AA436" s="118"/>
      <c r="AB436" s="59"/>
      <c r="AE436" s="37"/>
      <c r="AF436" s="36"/>
      <c r="AG436" s="36"/>
      <c r="AP436" s="119"/>
      <c r="AQ436" s="112"/>
      <c r="AR436" s="113"/>
      <c r="AS436" s="114"/>
      <c r="AT436" s="74"/>
      <c r="AU436" s="75"/>
      <c r="AV436" s="112"/>
      <c r="AW436" s="115"/>
      <c r="AX436" s="116"/>
      <c r="AY436" s="117"/>
      <c r="AZ436" s="74"/>
      <c r="BA436" s="75"/>
      <c r="BB436" s="118"/>
      <c r="BF436" s="37"/>
      <c r="BG436" s="36"/>
      <c r="BH436" s="36"/>
    </row>
    <row r="437" spans="4:60" s="46" customFormat="1" ht="15" customHeight="1">
      <c r="D437" s="62"/>
      <c r="N437" s="111"/>
      <c r="O437" s="112"/>
      <c r="P437" s="113"/>
      <c r="Q437" s="114"/>
      <c r="R437" s="74"/>
      <c r="S437" s="120"/>
      <c r="T437" s="75"/>
      <c r="U437" s="112"/>
      <c r="V437" s="115"/>
      <c r="W437" s="116"/>
      <c r="X437" s="117"/>
      <c r="Y437" s="74"/>
      <c r="Z437" s="75"/>
      <c r="AA437" s="118"/>
      <c r="AB437" s="59"/>
      <c r="AE437" s="37"/>
      <c r="AF437" s="36"/>
      <c r="AG437" s="36"/>
      <c r="AP437" s="119"/>
      <c r="AQ437" s="112"/>
      <c r="AR437" s="113"/>
      <c r="AS437" s="114"/>
      <c r="AT437" s="74"/>
      <c r="AU437" s="75"/>
      <c r="AV437" s="112"/>
      <c r="AW437" s="115"/>
      <c r="AX437" s="116"/>
      <c r="AY437" s="117"/>
      <c r="AZ437" s="74"/>
      <c r="BA437" s="75"/>
      <c r="BB437" s="118"/>
      <c r="BF437" s="37"/>
      <c r="BG437" s="36"/>
      <c r="BH437" s="36"/>
    </row>
    <row r="438" spans="4:60" s="46" customFormat="1" ht="15" customHeight="1">
      <c r="D438" s="62"/>
      <c r="N438" s="111"/>
      <c r="O438" s="112"/>
      <c r="P438" s="113"/>
      <c r="Q438" s="114"/>
      <c r="R438" s="74"/>
      <c r="S438" s="120"/>
      <c r="T438" s="75"/>
      <c r="U438" s="112"/>
      <c r="V438" s="115"/>
      <c r="W438" s="116"/>
      <c r="X438" s="117"/>
      <c r="Y438" s="74"/>
      <c r="Z438" s="75"/>
      <c r="AA438" s="118"/>
      <c r="AB438" s="59"/>
      <c r="AE438" s="37"/>
      <c r="AF438" s="36"/>
      <c r="AG438" s="36"/>
      <c r="AP438" s="119"/>
      <c r="AQ438" s="112"/>
      <c r="AR438" s="113"/>
      <c r="AS438" s="114"/>
      <c r="AT438" s="74"/>
      <c r="AU438" s="75"/>
      <c r="AV438" s="112"/>
      <c r="AW438" s="115"/>
      <c r="AX438" s="116"/>
      <c r="AY438" s="117"/>
      <c r="AZ438" s="74"/>
      <c r="BA438" s="75"/>
      <c r="BB438" s="118"/>
      <c r="BF438" s="37"/>
      <c r="BG438" s="36"/>
      <c r="BH438" s="36"/>
    </row>
    <row r="439" spans="4:60" s="46" customFormat="1" ht="15" customHeight="1">
      <c r="D439" s="62"/>
      <c r="N439" s="111"/>
      <c r="O439" s="112"/>
      <c r="P439" s="113"/>
      <c r="Q439" s="114"/>
      <c r="R439" s="74"/>
      <c r="S439" s="120"/>
      <c r="T439" s="75"/>
      <c r="U439" s="112"/>
      <c r="V439" s="115"/>
      <c r="W439" s="116"/>
      <c r="X439" s="117"/>
      <c r="Y439" s="74"/>
      <c r="Z439" s="75"/>
      <c r="AA439" s="118"/>
      <c r="AB439" s="59"/>
      <c r="AE439" s="37"/>
      <c r="AF439" s="36"/>
      <c r="AG439" s="36"/>
      <c r="AP439" s="119"/>
      <c r="AQ439" s="112"/>
      <c r="AR439" s="113"/>
      <c r="AS439" s="114"/>
      <c r="AT439" s="74"/>
      <c r="AU439" s="75"/>
      <c r="AV439" s="112"/>
      <c r="AW439" s="115"/>
      <c r="AX439" s="116"/>
      <c r="AY439" s="117"/>
      <c r="AZ439" s="74"/>
      <c r="BA439" s="75"/>
      <c r="BB439" s="118"/>
      <c r="BF439" s="37"/>
      <c r="BG439" s="36"/>
      <c r="BH439" s="36"/>
    </row>
    <row r="440" spans="4:60" s="46" customFormat="1" ht="15" customHeight="1">
      <c r="D440" s="62"/>
      <c r="N440" s="111"/>
      <c r="O440" s="112"/>
      <c r="P440" s="113"/>
      <c r="Q440" s="114"/>
      <c r="R440" s="74"/>
      <c r="S440" s="120"/>
      <c r="T440" s="75"/>
      <c r="U440" s="112"/>
      <c r="V440" s="115"/>
      <c r="W440" s="116"/>
      <c r="X440" s="117"/>
      <c r="Y440" s="74"/>
      <c r="Z440" s="75"/>
      <c r="AA440" s="118"/>
      <c r="AB440" s="59"/>
      <c r="AE440" s="37"/>
      <c r="AF440" s="36"/>
      <c r="AG440" s="36"/>
      <c r="AP440" s="119"/>
      <c r="AQ440" s="112"/>
      <c r="AR440" s="113"/>
      <c r="AS440" s="114"/>
      <c r="AT440" s="74"/>
      <c r="AU440" s="75"/>
      <c r="AV440" s="112"/>
      <c r="AW440" s="115"/>
      <c r="AX440" s="116"/>
      <c r="AY440" s="117"/>
      <c r="AZ440" s="74"/>
      <c r="BA440" s="75"/>
      <c r="BB440" s="118"/>
      <c r="BF440" s="37"/>
      <c r="BG440" s="36"/>
      <c r="BH440" s="36"/>
    </row>
    <row r="441" spans="4:60" s="46" customFormat="1" ht="15" customHeight="1">
      <c r="D441" s="62"/>
      <c r="N441" s="111"/>
      <c r="O441" s="112"/>
      <c r="P441" s="113"/>
      <c r="Q441" s="114"/>
      <c r="R441" s="74"/>
      <c r="S441" s="120"/>
      <c r="T441" s="75"/>
      <c r="U441" s="112"/>
      <c r="V441" s="115"/>
      <c r="W441" s="116"/>
      <c r="X441" s="117"/>
      <c r="Y441" s="74"/>
      <c r="Z441" s="75"/>
      <c r="AA441" s="118"/>
      <c r="AB441" s="59"/>
      <c r="AE441" s="37"/>
      <c r="AF441" s="36"/>
      <c r="AG441" s="36"/>
      <c r="AP441" s="119"/>
      <c r="AQ441" s="112"/>
      <c r="AR441" s="113"/>
      <c r="AS441" s="114"/>
      <c r="AT441" s="74"/>
      <c r="AU441" s="75"/>
      <c r="AV441" s="112"/>
      <c r="AW441" s="115"/>
      <c r="AX441" s="116"/>
      <c r="AY441" s="117"/>
      <c r="AZ441" s="74"/>
      <c r="BA441" s="75"/>
      <c r="BB441" s="118"/>
      <c r="BF441" s="37"/>
      <c r="BG441" s="36"/>
      <c r="BH441" s="36"/>
    </row>
    <row r="442" spans="4:60" s="46" customFormat="1" ht="15" customHeight="1">
      <c r="D442" s="62"/>
      <c r="N442" s="111"/>
      <c r="O442" s="112"/>
      <c r="P442" s="113"/>
      <c r="Q442" s="114"/>
      <c r="R442" s="74"/>
      <c r="S442" s="120"/>
      <c r="T442" s="75"/>
      <c r="U442" s="112"/>
      <c r="V442" s="115"/>
      <c r="W442" s="116"/>
      <c r="X442" s="117"/>
      <c r="Y442" s="74"/>
      <c r="Z442" s="75"/>
      <c r="AA442" s="118"/>
      <c r="AB442" s="59"/>
      <c r="AE442" s="37"/>
      <c r="AF442" s="36"/>
      <c r="AG442" s="36"/>
      <c r="AP442" s="119"/>
      <c r="AQ442" s="112"/>
      <c r="AR442" s="113"/>
      <c r="AS442" s="114"/>
      <c r="AT442" s="74"/>
      <c r="AU442" s="75"/>
      <c r="AV442" s="112"/>
      <c r="AW442" s="115"/>
      <c r="AX442" s="116"/>
      <c r="AY442" s="117"/>
      <c r="AZ442" s="74"/>
      <c r="BA442" s="75"/>
      <c r="BB442" s="118"/>
      <c r="BF442" s="37"/>
      <c r="BG442" s="36"/>
      <c r="BH442" s="36"/>
    </row>
    <row r="443" spans="4:60" s="46" customFormat="1" ht="15" customHeight="1">
      <c r="D443" s="62"/>
      <c r="N443" s="111"/>
      <c r="O443" s="112"/>
      <c r="P443" s="113"/>
      <c r="Q443" s="114"/>
      <c r="R443" s="74"/>
      <c r="S443" s="120"/>
      <c r="T443" s="75"/>
      <c r="U443" s="112"/>
      <c r="V443" s="115"/>
      <c r="W443" s="116"/>
      <c r="X443" s="117"/>
      <c r="Y443" s="74"/>
      <c r="Z443" s="75"/>
      <c r="AA443" s="118"/>
      <c r="AB443" s="59"/>
      <c r="AE443" s="37"/>
      <c r="AF443" s="36"/>
      <c r="AG443" s="36"/>
      <c r="AP443" s="119"/>
      <c r="AQ443" s="112"/>
      <c r="AR443" s="113"/>
      <c r="AS443" s="114"/>
      <c r="AT443" s="74"/>
      <c r="AU443" s="75"/>
      <c r="AV443" s="112"/>
      <c r="AW443" s="115"/>
      <c r="AX443" s="116"/>
      <c r="AY443" s="117"/>
      <c r="AZ443" s="74"/>
      <c r="BA443" s="75"/>
      <c r="BB443" s="118"/>
      <c r="BF443" s="37"/>
      <c r="BG443" s="36"/>
      <c r="BH443" s="36"/>
    </row>
    <row r="444" spans="4:60" s="46" customFormat="1" ht="15" customHeight="1">
      <c r="D444" s="62"/>
      <c r="N444" s="111"/>
      <c r="O444" s="112"/>
      <c r="P444" s="113"/>
      <c r="Q444" s="114"/>
      <c r="R444" s="74"/>
      <c r="S444" s="120"/>
      <c r="T444" s="75"/>
      <c r="U444" s="112"/>
      <c r="V444" s="115"/>
      <c r="W444" s="116"/>
      <c r="X444" s="117"/>
      <c r="Y444" s="74"/>
      <c r="Z444" s="75"/>
      <c r="AA444" s="118"/>
      <c r="AB444" s="59"/>
      <c r="AE444" s="37"/>
      <c r="AF444" s="36"/>
      <c r="AG444" s="36"/>
      <c r="AP444" s="119"/>
      <c r="AQ444" s="112"/>
      <c r="AR444" s="113"/>
      <c r="AS444" s="114"/>
      <c r="AT444" s="74"/>
      <c r="AU444" s="75"/>
      <c r="AV444" s="112"/>
      <c r="AW444" s="115"/>
      <c r="AX444" s="116"/>
      <c r="AY444" s="117"/>
      <c r="AZ444" s="74"/>
      <c r="BA444" s="75"/>
      <c r="BB444" s="118"/>
      <c r="BF444" s="37"/>
      <c r="BG444" s="36"/>
      <c r="BH444" s="36"/>
    </row>
    <row r="445" spans="4:60" s="46" customFormat="1" ht="15" customHeight="1">
      <c r="D445" s="62"/>
      <c r="N445" s="111"/>
      <c r="O445" s="112"/>
      <c r="P445" s="113"/>
      <c r="Q445" s="114"/>
      <c r="R445" s="74"/>
      <c r="S445" s="120"/>
      <c r="T445" s="75"/>
      <c r="U445" s="112"/>
      <c r="V445" s="115"/>
      <c r="W445" s="116"/>
      <c r="X445" s="117"/>
      <c r="Y445" s="74"/>
      <c r="Z445" s="75"/>
      <c r="AA445" s="118"/>
      <c r="AB445" s="59"/>
      <c r="AE445" s="37"/>
      <c r="AF445" s="36"/>
      <c r="AG445" s="36"/>
      <c r="AP445" s="119"/>
      <c r="AQ445" s="112"/>
      <c r="AR445" s="113"/>
      <c r="AS445" s="114"/>
      <c r="AT445" s="74"/>
      <c r="AU445" s="75"/>
      <c r="AV445" s="112"/>
      <c r="AW445" s="115"/>
      <c r="AX445" s="116"/>
      <c r="AY445" s="117"/>
      <c r="AZ445" s="74"/>
      <c r="BA445" s="75"/>
      <c r="BB445" s="118"/>
      <c r="BF445" s="37"/>
      <c r="BG445" s="36"/>
      <c r="BH445" s="36"/>
    </row>
    <row r="446" spans="4:60" s="46" customFormat="1" ht="15" customHeight="1">
      <c r="D446" s="62"/>
      <c r="N446" s="111"/>
      <c r="O446" s="112"/>
      <c r="P446" s="113"/>
      <c r="Q446" s="114"/>
      <c r="R446" s="74"/>
      <c r="S446" s="120"/>
      <c r="T446" s="75"/>
      <c r="U446" s="112"/>
      <c r="V446" s="115"/>
      <c r="W446" s="116"/>
      <c r="X446" s="117"/>
      <c r="Y446" s="74"/>
      <c r="Z446" s="75"/>
      <c r="AA446" s="118"/>
      <c r="AB446" s="59"/>
      <c r="AE446" s="37"/>
      <c r="AF446" s="36"/>
      <c r="AG446" s="36"/>
      <c r="AP446" s="119"/>
      <c r="AQ446" s="112"/>
      <c r="AR446" s="113"/>
      <c r="AS446" s="114"/>
      <c r="AT446" s="74"/>
      <c r="AU446" s="75"/>
      <c r="AV446" s="112"/>
      <c r="AW446" s="115"/>
      <c r="AX446" s="116"/>
      <c r="AY446" s="117"/>
      <c r="AZ446" s="74"/>
      <c r="BA446" s="75"/>
      <c r="BB446" s="118"/>
      <c r="BF446" s="37"/>
      <c r="BG446" s="36"/>
      <c r="BH446" s="36"/>
    </row>
    <row r="447" spans="4:60" s="46" customFormat="1" ht="15" customHeight="1">
      <c r="D447" s="62"/>
      <c r="N447" s="111"/>
      <c r="O447" s="112"/>
      <c r="P447" s="113"/>
      <c r="Q447" s="114"/>
      <c r="R447" s="74"/>
      <c r="S447" s="120"/>
      <c r="T447" s="75"/>
      <c r="U447" s="112"/>
      <c r="V447" s="115"/>
      <c r="W447" s="116"/>
      <c r="X447" s="117"/>
      <c r="Y447" s="74"/>
      <c r="Z447" s="75"/>
      <c r="AA447" s="118"/>
      <c r="AB447" s="59"/>
      <c r="AE447" s="37"/>
      <c r="AF447" s="36"/>
      <c r="AG447" s="36"/>
      <c r="AP447" s="119"/>
      <c r="AQ447" s="112"/>
      <c r="AR447" s="113"/>
      <c r="AS447" s="114"/>
      <c r="AT447" s="74"/>
      <c r="AU447" s="75"/>
      <c r="AV447" s="112"/>
      <c r="AW447" s="115"/>
      <c r="AX447" s="116"/>
      <c r="AY447" s="117"/>
      <c r="AZ447" s="74"/>
      <c r="BA447" s="75"/>
      <c r="BB447" s="118"/>
      <c r="BF447" s="37"/>
      <c r="BG447" s="36"/>
      <c r="BH447" s="36"/>
    </row>
    <row r="448" spans="4:60" s="46" customFormat="1" ht="15" customHeight="1">
      <c r="D448" s="62"/>
      <c r="N448" s="111"/>
      <c r="O448" s="112"/>
      <c r="P448" s="113"/>
      <c r="Q448" s="114"/>
      <c r="R448" s="74"/>
      <c r="S448" s="120"/>
      <c r="T448" s="75"/>
      <c r="U448" s="112"/>
      <c r="V448" s="115"/>
      <c r="W448" s="116"/>
      <c r="X448" s="117"/>
      <c r="Y448" s="74"/>
      <c r="Z448" s="75"/>
      <c r="AA448" s="118"/>
      <c r="AB448" s="59"/>
      <c r="AE448" s="37"/>
      <c r="AF448" s="36"/>
      <c r="AG448" s="36"/>
      <c r="AP448" s="119"/>
      <c r="AQ448" s="112"/>
      <c r="AR448" s="113"/>
      <c r="AS448" s="114"/>
      <c r="AT448" s="74"/>
      <c r="AU448" s="75"/>
      <c r="AV448" s="112"/>
      <c r="AW448" s="115"/>
      <c r="AX448" s="116"/>
      <c r="AY448" s="117"/>
      <c r="AZ448" s="74"/>
      <c r="BA448" s="75"/>
      <c r="BB448" s="118"/>
      <c r="BF448" s="37"/>
      <c r="BG448" s="36"/>
      <c r="BH448" s="36"/>
    </row>
    <row r="449" spans="2:60" s="46" customFormat="1" ht="15" customHeight="1">
      <c r="D449" s="62"/>
      <c r="N449" s="111"/>
      <c r="O449" s="112"/>
      <c r="P449" s="113"/>
      <c r="Q449" s="114"/>
      <c r="R449" s="74"/>
      <c r="S449" s="120"/>
      <c r="T449" s="75"/>
      <c r="U449" s="112"/>
      <c r="V449" s="115"/>
      <c r="W449" s="116"/>
      <c r="X449" s="117"/>
      <c r="Y449" s="74"/>
      <c r="Z449" s="75"/>
      <c r="AA449" s="118"/>
      <c r="AB449" s="59"/>
      <c r="AE449" s="37"/>
      <c r="AF449" s="36"/>
      <c r="AG449" s="36"/>
      <c r="AP449" s="119"/>
      <c r="AQ449" s="112"/>
      <c r="AR449" s="113"/>
      <c r="AS449" s="114"/>
      <c r="AT449" s="74"/>
      <c r="AU449" s="75"/>
      <c r="AV449" s="112"/>
      <c r="AW449" s="115"/>
      <c r="AX449" s="116"/>
      <c r="AY449" s="117"/>
      <c r="AZ449" s="74"/>
      <c r="BA449" s="75"/>
      <c r="BB449" s="118"/>
      <c r="BF449" s="37"/>
      <c r="BG449" s="36"/>
      <c r="BH449" s="36"/>
    </row>
    <row r="450" spans="2:60" s="46" customFormat="1" ht="15" customHeight="1">
      <c r="D450" s="62"/>
      <c r="N450" s="111"/>
      <c r="O450" s="112"/>
      <c r="P450" s="113"/>
      <c r="Q450" s="114"/>
      <c r="R450" s="74"/>
      <c r="S450" s="120"/>
      <c r="T450" s="75"/>
      <c r="U450" s="112"/>
      <c r="V450" s="115"/>
      <c r="W450" s="116"/>
      <c r="X450" s="117"/>
      <c r="Y450" s="74"/>
      <c r="Z450" s="75"/>
      <c r="AA450" s="118"/>
      <c r="AB450" s="59"/>
      <c r="AE450" s="37"/>
      <c r="AF450" s="36"/>
      <c r="AG450" s="36"/>
      <c r="AP450" s="119"/>
      <c r="AQ450" s="112"/>
      <c r="AR450" s="113"/>
      <c r="AS450" s="114"/>
      <c r="AT450" s="74"/>
      <c r="AU450" s="75"/>
      <c r="AV450" s="112"/>
      <c r="AW450" s="115"/>
      <c r="AX450" s="116"/>
      <c r="AY450" s="117"/>
      <c r="AZ450" s="74"/>
      <c r="BA450" s="75"/>
      <c r="BB450" s="118"/>
      <c r="BF450" s="37"/>
      <c r="BG450" s="36"/>
      <c r="BH450" s="36"/>
    </row>
    <row r="451" spans="2:60" s="46" customFormat="1" ht="15" customHeight="1">
      <c r="D451" s="62"/>
      <c r="N451" s="111"/>
      <c r="O451" s="112"/>
      <c r="P451" s="113"/>
      <c r="Q451" s="114"/>
      <c r="R451" s="74"/>
      <c r="S451" s="120"/>
      <c r="T451" s="75"/>
      <c r="U451" s="112"/>
      <c r="V451" s="115"/>
      <c r="W451" s="116"/>
      <c r="X451" s="117"/>
      <c r="Y451" s="74"/>
      <c r="Z451" s="75"/>
      <c r="AA451" s="118"/>
      <c r="AB451" s="59"/>
      <c r="AE451" s="37"/>
      <c r="AF451" s="36"/>
      <c r="AG451" s="36"/>
      <c r="AP451" s="119"/>
      <c r="AQ451" s="112"/>
      <c r="AR451" s="113"/>
      <c r="AS451" s="114"/>
      <c r="AT451" s="74"/>
      <c r="AU451" s="75"/>
      <c r="AV451" s="112"/>
      <c r="AW451" s="115"/>
      <c r="AX451" s="116"/>
      <c r="AY451" s="117"/>
      <c r="AZ451" s="74"/>
      <c r="BA451" s="75"/>
      <c r="BB451" s="118"/>
      <c r="BF451" s="37"/>
      <c r="BG451" s="36"/>
      <c r="BH451" s="36"/>
    </row>
    <row r="452" spans="2:60" s="46" customFormat="1" ht="15" customHeight="1">
      <c r="B452" s="122"/>
      <c r="D452" s="62"/>
      <c r="N452" s="111"/>
      <c r="O452" s="112"/>
      <c r="P452" s="113"/>
      <c r="Q452" s="114"/>
      <c r="R452" s="74"/>
      <c r="S452" s="120"/>
      <c r="T452" s="75"/>
      <c r="U452" s="112"/>
      <c r="V452" s="115"/>
      <c r="W452" s="116"/>
      <c r="X452" s="117"/>
      <c r="Y452" s="74"/>
      <c r="Z452" s="75"/>
      <c r="AA452" s="118"/>
      <c r="AB452" s="59"/>
      <c r="AE452" s="37"/>
      <c r="AF452" s="36"/>
      <c r="AG452" s="36"/>
      <c r="AP452" s="119"/>
      <c r="AQ452" s="112"/>
      <c r="AR452" s="113"/>
      <c r="AS452" s="114"/>
      <c r="AT452" s="74"/>
      <c r="AU452" s="75"/>
      <c r="AV452" s="112"/>
      <c r="AW452" s="115"/>
      <c r="AX452" s="116"/>
      <c r="AY452" s="117"/>
      <c r="AZ452" s="42"/>
      <c r="BA452" s="75"/>
      <c r="BB452" s="118"/>
      <c r="BF452" s="37"/>
      <c r="BG452" s="36"/>
      <c r="BH452" s="36"/>
    </row>
    <row r="453" spans="2:60" s="46" customFormat="1" ht="15" customHeight="1">
      <c r="D453" s="62"/>
      <c r="N453" s="111"/>
      <c r="O453" s="112"/>
      <c r="P453" s="113"/>
      <c r="Q453" s="114"/>
      <c r="R453" s="74"/>
      <c r="S453" s="120"/>
      <c r="T453" s="75"/>
      <c r="U453" s="112"/>
      <c r="V453" s="115"/>
      <c r="W453" s="116"/>
      <c r="X453" s="117"/>
      <c r="Y453" s="74"/>
      <c r="Z453" s="75"/>
      <c r="AA453" s="118"/>
      <c r="AB453" s="59"/>
      <c r="AE453" s="37"/>
      <c r="AF453" s="36"/>
      <c r="AG453" s="36"/>
      <c r="AP453" s="119"/>
      <c r="AQ453" s="112"/>
      <c r="AR453" s="113"/>
      <c r="AS453" s="114"/>
      <c r="AT453" s="74"/>
      <c r="AU453" s="75"/>
      <c r="AV453" s="112"/>
      <c r="AW453" s="115"/>
      <c r="AX453" s="116"/>
      <c r="AY453" s="117"/>
      <c r="AZ453" s="74"/>
      <c r="BA453" s="75"/>
      <c r="BB453" s="118"/>
      <c r="BF453" s="37"/>
      <c r="BG453" s="36"/>
      <c r="BH453" s="36"/>
    </row>
    <row r="454" spans="2:60" s="46" customFormat="1" ht="15" customHeight="1">
      <c r="D454" s="62"/>
      <c r="N454" s="111"/>
      <c r="O454" s="112"/>
      <c r="P454" s="113"/>
      <c r="Q454" s="114"/>
      <c r="R454" s="74"/>
      <c r="S454" s="120"/>
      <c r="T454" s="75"/>
      <c r="U454" s="112"/>
      <c r="V454" s="115"/>
      <c r="W454" s="116"/>
      <c r="X454" s="117"/>
      <c r="Y454" s="74"/>
      <c r="Z454" s="75"/>
      <c r="AA454" s="118"/>
      <c r="AB454" s="59"/>
      <c r="AE454" s="37"/>
      <c r="AF454" s="36"/>
      <c r="AG454" s="36"/>
      <c r="AP454" s="119"/>
      <c r="AQ454" s="112"/>
      <c r="AR454" s="113"/>
      <c r="AS454" s="114"/>
      <c r="AT454" s="74"/>
      <c r="AU454" s="75"/>
      <c r="AV454" s="112"/>
      <c r="AW454" s="115"/>
      <c r="AX454" s="116"/>
      <c r="AY454" s="117"/>
      <c r="AZ454" s="74"/>
      <c r="BA454" s="75"/>
      <c r="BB454" s="118"/>
      <c r="BF454" s="37"/>
      <c r="BG454" s="36"/>
      <c r="BH454" s="36"/>
    </row>
    <row r="455" spans="2:60" s="46" customFormat="1" ht="15" customHeight="1">
      <c r="D455" s="62"/>
      <c r="N455" s="111"/>
      <c r="O455" s="112"/>
      <c r="P455" s="113"/>
      <c r="Q455" s="114"/>
      <c r="R455" s="74"/>
      <c r="S455" s="120"/>
      <c r="T455" s="75"/>
      <c r="U455" s="112"/>
      <c r="V455" s="115"/>
      <c r="W455" s="116"/>
      <c r="X455" s="117"/>
      <c r="Y455" s="74"/>
      <c r="Z455" s="75"/>
      <c r="AA455" s="118"/>
      <c r="AB455" s="59"/>
      <c r="AE455" s="37"/>
      <c r="AF455" s="36"/>
      <c r="AG455" s="36"/>
      <c r="AP455" s="119"/>
      <c r="AQ455" s="112"/>
      <c r="AR455" s="113"/>
      <c r="AS455" s="114"/>
      <c r="AT455" s="74"/>
      <c r="AU455" s="75"/>
      <c r="AV455" s="112"/>
      <c r="AW455" s="115"/>
      <c r="AX455" s="116"/>
      <c r="AY455" s="117"/>
      <c r="AZ455" s="74"/>
      <c r="BA455" s="75"/>
      <c r="BB455" s="118"/>
      <c r="BF455" s="37"/>
      <c r="BG455" s="36"/>
      <c r="BH455" s="36"/>
    </row>
    <row r="456" spans="2:60" s="46" customFormat="1" ht="15" customHeight="1">
      <c r="D456" s="62"/>
      <c r="N456" s="111"/>
      <c r="O456" s="112"/>
      <c r="P456" s="113"/>
      <c r="Q456" s="114"/>
      <c r="R456" s="74"/>
      <c r="S456" s="120"/>
      <c r="T456" s="75"/>
      <c r="U456" s="112"/>
      <c r="V456" s="115"/>
      <c r="W456" s="116"/>
      <c r="X456" s="117"/>
      <c r="Y456" s="74"/>
      <c r="Z456" s="75"/>
      <c r="AA456" s="118"/>
      <c r="AB456" s="59"/>
      <c r="AE456" s="37"/>
      <c r="AF456" s="36"/>
      <c r="AG456" s="36"/>
      <c r="AP456" s="119"/>
      <c r="AQ456" s="112"/>
      <c r="AR456" s="113"/>
      <c r="AS456" s="114"/>
      <c r="AT456" s="74"/>
      <c r="AU456" s="75"/>
      <c r="AV456" s="112"/>
      <c r="AW456" s="115"/>
      <c r="AX456" s="116"/>
      <c r="AY456" s="117"/>
      <c r="AZ456" s="74"/>
      <c r="BA456" s="75"/>
      <c r="BB456" s="118"/>
      <c r="BF456" s="37"/>
      <c r="BG456" s="36"/>
      <c r="BH456" s="36"/>
    </row>
    <row r="457" spans="2:60" s="46" customFormat="1" ht="15" customHeight="1">
      <c r="D457" s="62"/>
      <c r="N457" s="111"/>
      <c r="O457" s="112"/>
      <c r="P457" s="113"/>
      <c r="Q457" s="114"/>
      <c r="R457" s="74"/>
      <c r="S457" s="120"/>
      <c r="T457" s="75"/>
      <c r="U457" s="112"/>
      <c r="V457" s="115"/>
      <c r="W457" s="116"/>
      <c r="X457" s="117"/>
      <c r="Y457" s="74"/>
      <c r="Z457" s="75"/>
      <c r="AA457" s="118"/>
      <c r="AB457" s="59"/>
      <c r="AE457" s="37"/>
      <c r="AF457" s="36"/>
      <c r="AG457" s="36"/>
      <c r="AP457" s="119"/>
      <c r="AQ457" s="112"/>
      <c r="AR457" s="113"/>
      <c r="AS457" s="114"/>
      <c r="AT457" s="74"/>
      <c r="AU457" s="75"/>
      <c r="AV457" s="112"/>
      <c r="AW457" s="115"/>
      <c r="AX457" s="116"/>
      <c r="AY457" s="117"/>
      <c r="AZ457" s="74"/>
      <c r="BA457" s="75"/>
      <c r="BB457" s="118"/>
      <c r="BF457" s="37"/>
      <c r="BG457" s="36"/>
      <c r="BH457" s="36"/>
    </row>
    <row r="458" spans="2:60" s="46" customFormat="1" ht="15" customHeight="1">
      <c r="D458" s="62"/>
      <c r="N458" s="111"/>
      <c r="O458" s="112"/>
      <c r="P458" s="113"/>
      <c r="Q458" s="114"/>
      <c r="R458" s="74"/>
      <c r="S458" s="120"/>
      <c r="T458" s="75"/>
      <c r="U458" s="112"/>
      <c r="V458" s="115"/>
      <c r="W458" s="116"/>
      <c r="X458" s="117"/>
      <c r="Y458" s="74"/>
      <c r="Z458" s="75"/>
      <c r="AA458" s="118"/>
      <c r="AB458" s="59"/>
      <c r="AE458" s="37"/>
      <c r="AF458" s="36"/>
      <c r="AG458" s="36"/>
      <c r="AP458" s="119"/>
      <c r="AQ458" s="112"/>
      <c r="AR458" s="113"/>
      <c r="AS458" s="114"/>
      <c r="AT458" s="74"/>
      <c r="AU458" s="75"/>
      <c r="AV458" s="112"/>
      <c r="AW458" s="115"/>
      <c r="AX458" s="116"/>
      <c r="AY458" s="117"/>
      <c r="AZ458" s="74"/>
      <c r="BA458" s="75"/>
      <c r="BB458" s="118"/>
      <c r="BF458" s="37"/>
      <c r="BG458" s="36"/>
      <c r="BH458" s="36"/>
    </row>
    <row r="459" spans="2:60" s="46" customFormat="1" ht="15" customHeight="1">
      <c r="D459" s="62"/>
      <c r="N459" s="111"/>
      <c r="O459" s="112"/>
      <c r="P459" s="113"/>
      <c r="Q459" s="114"/>
      <c r="R459" s="74"/>
      <c r="S459" s="120"/>
      <c r="T459" s="75"/>
      <c r="U459" s="112"/>
      <c r="V459" s="115"/>
      <c r="W459" s="116"/>
      <c r="X459" s="117"/>
      <c r="Y459" s="74"/>
      <c r="Z459" s="75"/>
      <c r="AA459" s="118"/>
      <c r="AB459" s="59"/>
      <c r="AE459" s="37"/>
      <c r="AF459" s="36"/>
      <c r="AG459" s="36"/>
      <c r="AP459" s="119"/>
      <c r="AQ459" s="112"/>
      <c r="AR459" s="113"/>
      <c r="AS459" s="114"/>
      <c r="AT459" s="74"/>
      <c r="AU459" s="75"/>
      <c r="AV459" s="112"/>
      <c r="AW459" s="115"/>
      <c r="AX459" s="116"/>
      <c r="AY459" s="117"/>
      <c r="AZ459" s="74"/>
      <c r="BA459" s="75"/>
      <c r="BB459" s="118"/>
      <c r="BF459" s="37"/>
      <c r="BG459" s="36"/>
      <c r="BH459" s="36"/>
    </row>
    <row r="460" spans="2:60" s="46" customFormat="1" ht="15" customHeight="1">
      <c r="D460" s="62"/>
      <c r="N460" s="111"/>
      <c r="O460" s="112"/>
      <c r="P460" s="113"/>
      <c r="Q460" s="114"/>
      <c r="R460" s="74"/>
      <c r="S460" s="120"/>
      <c r="T460" s="75"/>
      <c r="U460" s="112"/>
      <c r="V460" s="115"/>
      <c r="W460" s="116"/>
      <c r="X460" s="117"/>
      <c r="Y460" s="74"/>
      <c r="Z460" s="75"/>
      <c r="AA460" s="118"/>
      <c r="AB460" s="59"/>
      <c r="AE460" s="37"/>
      <c r="AF460" s="36"/>
      <c r="AG460" s="36"/>
      <c r="AP460" s="119"/>
      <c r="AQ460" s="112"/>
      <c r="AR460" s="113"/>
      <c r="AS460" s="114"/>
      <c r="AT460" s="74"/>
      <c r="AU460" s="75"/>
      <c r="AV460" s="112"/>
      <c r="AW460" s="115"/>
      <c r="AX460" s="116"/>
      <c r="AY460" s="117"/>
      <c r="AZ460" s="74"/>
      <c r="BA460" s="75"/>
      <c r="BB460" s="118"/>
      <c r="BF460" s="37"/>
      <c r="BG460" s="36"/>
      <c r="BH460" s="36"/>
    </row>
    <row r="461" spans="2:60" s="46" customFormat="1" ht="15" customHeight="1">
      <c r="D461" s="62"/>
      <c r="N461" s="111"/>
      <c r="O461" s="112"/>
      <c r="P461" s="113"/>
      <c r="Q461" s="114"/>
      <c r="R461" s="74"/>
      <c r="S461" s="120"/>
      <c r="T461" s="75"/>
      <c r="U461" s="112"/>
      <c r="V461" s="115"/>
      <c r="W461" s="116"/>
      <c r="X461" s="117"/>
      <c r="Y461" s="74"/>
      <c r="Z461" s="75"/>
      <c r="AA461" s="118"/>
      <c r="AB461" s="59"/>
      <c r="AE461" s="37"/>
      <c r="AF461" s="36"/>
      <c r="AG461" s="36"/>
      <c r="AP461" s="119"/>
      <c r="AQ461" s="112"/>
      <c r="AR461" s="113"/>
      <c r="AS461" s="114"/>
      <c r="AT461" s="74"/>
      <c r="AU461" s="75"/>
      <c r="AV461" s="112"/>
      <c r="AW461" s="115"/>
      <c r="AX461" s="116"/>
      <c r="AY461" s="117"/>
      <c r="AZ461" s="74"/>
      <c r="BA461" s="75"/>
      <c r="BB461" s="118"/>
      <c r="BF461" s="37"/>
      <c r="BG461" s="36"/>
      <c r="BH461" s="36"/>
    </row>
    <row r="462" spans="2:60" s="46" customFormat="1" ht="15" customHeight="1">
      <c r="D462" s="62"/>
      <c r="N462" s="111"/>
      <c r="O462" s="112"/>
      <c r="P462" s="113"/>
      <c r="Q462" s="114"/>
      <c r="R462" s="74"/>
      <c r="S462" s="120"/>
      <c r="T462" s="75"/>
      <c r="U462" s="112"/>
      <c r="V462" s="115"/>
      <c r="W462" s="116"/>
      <c r="X462" s="117"/>
      <c r="Y462" s="74"/>
      <c r="Z462" s="75"/>
      <c r="AA462" s="118"/>
      <c r="AB462" s="59"/>
      <c r="AE462" s="37"/>
      <c r="AF462" s="36"/>
      <c r="AG462" s="36"/>
      <c r="AP462" s="119"/>
      <c r="AQ462" s="112"/>
      <c r="AR462" s="113"/>
      <c r="AS462" s="114"/>
      <c r="AT462" s="74"/>
      <c r="AU462" s="75"/>
      <c r="AV462" s="112"/>
      <c r="AW462" s="115"/>
      <c r="AX462" s="116"/>
      <c r="AY462" s="117"/>
      <c r="AZ462" s="74"/>
      <c r="BA462" s="75"/>
      <c r="BB462" s="118"/>
      <c r="BF462" s="37"/>
      <c r="BG462" s="36"/>
      <c r="BH462" s="36"/>
    </row>
    <row r="463" spans="2:60" s="46" customFormat="1" ht="15" customHeight="1">
      <c r="D463" s="62"/>
      <c r="N463" s="111"/>
      <c r="O463" s="112"/>
      <c r="P463" s="113"/>
      <c r="Q463" s="114"/>
      <c r="R463" s="74"/>
      <c r="S463" s="120"/>
      <c r="T463" s="75"/>
      <c r="U463" s="112"/>
      <c r="V463" s="115"/>
      <c r="W463" s="116"/>
      <c r="X463" s="117"/>
      <c r="Y463" s="74"/>
      <c r="Z463" s="75"/>
      <c r="AA463" s="118"/>
      <c r="AB463" s="59"/>
      <c r="AE463" s="37"/>
      <c r="AF463" s="36"/>
      <c r="AG463" s="36"/>
      <c r="AP463" s="119"/>
      <c r="AQ463" s="112"/>
      <c r="AR463" s="113"/>
      <c r="AS463" s="114"/>
      <c r="AT463" s="74"/>
      <c r="AU463" s="75"/>
      <c r="AV463" s="112"/>
      <c r="AW463" s="115"/>
      <c r="AX463" s="116"/>
      <c r="AY463" s="117"/>
      <c r="AZ463" s="74"/>
      <c r="BA463" s="75"/>
      <c r="BB463" s="118"/>
      <c r="BF463" s="37"/>
      <c r="BG463" s="36"/>
      <c r="BH463" s="36"/>
    </row>
    <row r="464" spans="2:60" s="46" customFormat="1" ht="15" customHeight="1">
      <c r="D464" s="62"/>
      <c r="N464" s="111"/>
      <c r="O464" s="112"/>
      <c r="P464" s="113"/>
      <c r="Q464" s="114"/>
      <c r="R464" s="74"/>
      <c r="S464" s="120"/>
      <c r="T464" s="75"/>
      <c r="U464" s="112"/>
      <c r="V464" s="115"/>
      <c r="W464" s="116"/>
      <c r="X464" s="117"/>
      <c r="Y464" s="74"/>
      <c r="Z464" s="75"/>
      <c r="AA464" s="118"/>
      <c r="AB464" s="59"/>
      <c r="AE464" s="37"/>
      <c r="AF464" s="36"/>
      <c r="AG464" s="36"/>
      <c r="AP464" s="119"/>
      <c r="AQ464" s="112"/>
      <c r="AR464" s="113"/>
      <c r="AS464" s="114"/>
      <c r="AT464" s="74"/>
      <c r="AU464" s="75"/>
      <c r="AV464" s="112"/>
      <c r="AW464" s="115"/>
      <c r="AX464" s="116"/>
      <c r="AY464" s="117"/>
      <c r="AZ464" s="74"/>
      <c r="BA464" s="75"/>
      <c r="BB464" s="118"/>
      <c r="BF464" s="37"/>
      <c r="BG464" s="36"/>
      <c r="BH464" s="36"/>
    </row>
    <row r="465" spans="1:60" s="46" customFormat="1" ht="15" customHeight="1">
      <c r="D465" s="62"/>
      <c r="N465" s="111"/>
      <c r="O465" s="112"/>
      <c r="P465" s="113"/>
      <c r="Q465" s="114"/>
      <c r="R465" s="74"/>
      <c r="S465" s="120"/>
      <c r="T465" s="75"/>
      <c r="U465" s="112"/>
      <c r="V465" s="115"/>
      <c r="W465" s="116"/>
      <c r="X465" s="117"/>
      <c r="Y465" s="74"/>
      <c r="Z465" s="75"/>
      <c r="AA465" s="118"/>
      <c r="AB465" s="59"/>
      <c r="AE465" s="37"/>
      <c r="AF465" s="36"/>
      <c r="AG465" s="36"/>
      <c r="AP465" s="119"/>
      <c r="AQ465" s="112"/>
      <c r="AR465" s="113"/>
      <c r="AS465" s="114"/>
      <c r="AT465" s="74"/>
      <c r="AU465" s="75"/>
      <c r="AV465" s="112"/>
      <c r="AW465" s="115"/>
      <c r="AX465" s="116"/>
      <c r="AY465" s="117"/>
      <c r="AZ465" s="74"/>
      <c r="BA465" s="75"/>
      <c r="BB465" s="118"/>
      <c r="BF465" s="37"/>
      <c r="BG465" s="36"/>
      <c r="BH465" s="36"/>
    </row>
    <row r="466" spans="1:60" s="46" customFormat="1" ht="15" customHeight="1">
      <c r="D466" s="62"/>
      <c r="N466" s="111"/>
      <c r="O466" s="112"/>
      <c r="P466" s="113"/>
      <c r="Q466" s="114"/>
      <c r="R466" s="74"/>
      <c r="S466" s="120"/>
      <c r="T466" s="75"/>
      <c r="U466" s="112"/>
      <c r="V466" s="115"/>
      <c r="W466" s="116"/>
      <c r="X466" s="117"/>
      <c r="Y466" s="74"/>
      <c r="Z466" s="75"/>
      <c r="AA466" s="118"/>
      <c r="AB466" s="59"/>
      <c r="AE466" s="37"/>
      <c r="AF466" s="36"/>
      <c r="AG466" s="36"/>
      <c r="AP466" s="119"/>
      <c r="AQ466" s="112"/>
      <c r="AR466" s="113"/>
      <c r="AS466" s="114"/>
      <c r="AT466" s="74"/>
      <c r="AU466" s="75"/>
      <c r="AV466" s="112"/>
      <c r="AW466" s="115"/>
      <c r="AX466" s="116"/>
      <c r="AY466" s="117"/>
      <c r="AZ466" s="74"/>
      <c r="BA466" s="75"/>
      <c r="BB466" s="118"/>
      <c r="BF466" s="37"/>
      <c r="BG466" s="36"/>
      <c r="BH466" s="36"/>
    </row>
    <row r="467" spans="1:60" s="46" customFormat="1" ht="15" customHeight="1">
      <c r="D467" s="62"/>
      <c r="N467" s="111"/>
      <c r="O467" s="112"/>
      <c r="P467" s="113"/>
      <c r="Q467" s="114"/>
      <c r="R467" s="74"/>
      <c r="S467" s="120"/>
      <c r="T467" s="75"/>
      <c r="U467" s="112"/>
      <c r="V467" s="115"/>
      <c r="W467" s="116"/>
      <c r="X467" s="117"/>
      <c r="Y467" s="74"/>
      <c r="Z467" s="75"/>
      <c r="AA467" s="118"/>
      <c r="AB467" s="59"/>
      <c r="AE467" s="37"/>
      <c r="AF467" s="36"/>
      <c r="AG467" s="36"/>
      <c r="AP467" s="119"/>
      <c r="AQ467" s="112"/>
      <c r="AR467" s="113"/>
      <c r="AS467" s="114"/>
      <c r="AT467" s="74"/>
      <c r="AU467" s="75"/>
      <c r="AV467" s="112"/>
      <c r="AW467" s="115"/>
      <c r="AX467" s="116"/>
      <c r="AY467" s="117"/>
      <c r="AZ467" s="74"/>
      <c r="BA467" s="75"/>
      <c r="BB467" s="118"/>
      <c r="BF467" s="37"/>
      <c r="BG467" s="36"/>
      <c r="BH467" s="36"/>
    </row>
    <row r="468" spans="1:60" ht="15" customHeight="1">
      <c r="A468" s="48"/>
      <c r="B468" s="48"/>
      <c r="C468" s="48"/>
      <c r="D468" s="123"/>
      <c r="E468" s="48"/>
      <c r="F468" s="48"/>
      <c r="G468" s="48"/>
      <c r="AP468" s="80"/>
      <c r="AQ468" s="82"/>
      <c r="AR468" s="83"/>
      <c r="AS468" s="84"/>
      <c r="AV468" s="82"/>
      <c r="AW468" s="90"/>
      <c r="AX468" s="91"/>
      <c r="AY468" s="87"/>
      <c r="BB468" s="88"/>
    </row>
    <row r="469" spans="1:60" ht="15" customHeight="1">
      <c r="AP469" s="80"/>
      <c r="AQ469" s="82"/>
      <c r="AR469" s="83"/>
      <c r="AS469" s="84"/>
      <c r="AV469" s="82"/>
      <c r="AW469" s="90"/>
      <c r="AX469" s="91"/>
      <c r="AY469" s="87"/>
      <c r="BB469" s="88"/>
    </row>
    <row r="470" spans="1:60" ht="15" customHeight="1">
      <c r="AP470" s="80"/>
      <c r="AQ470" s="82"/>
      <c r="AR470" s="83"/>
      <c r="AS470" s="84"/>
      <c r="AV470" s="82"/>
      <c r="AW470" s="90"/>
      <c r="AX470" s="91"/>
      <c r="AY470" s="87"/>
      <c r="BB470" s="88"/>
    </row>
    <row r="471" spans="1:60" ht="15" customHeight="1">
      <c r="AP471" s="80"/>
      <c r="AQ471" s="82"/>
      <c r="AR471" s="83"/>
      <c r="AS471" s="84"/>
      <c r="AV471" s="82"/>
      <c r="AW471" s="90"/>
      <c r="AX471" s="91"/>
      <c r="AY471" s="87"/>
      <c r="BB471" s="88"/>
    </row>
    <row r="472" spans="1:60" ht="15" customHeight="1">
      <c r="AP472" s="80"/>
      <c r="AQ472" s="82"/>
      <c r="AR472" s="83"/>
      <c r="AS472" s="84"/>
      <c r="AV472" s="82"/>
      <c r="AW472" s="90"/>
      <c r="AX472" s="91"/>
      <c r="AY472" s="87"/>
      <c r="BB472" s="88"/>
    </row>
    <row r="473" spans="1:60" ht="15" customHeight="1">
      <c r="AP473" s="80"/>
      <c r="AQ473" s="82"/>
      <c r="AR473" s="83"/>
      <c r="AS473" s="84"/>
      <c r="AV473" s="82"/>
      <c r="AW473" s="90"/>
      <c r="AX473" s="91"/>
      <c r="AY473" s="87"/>
      <c r="BB473" s="88"/>
    </row>
    <row r="474" spans="1:60" ht="15" customHeight="1">
      <c r="AP474" s="80"/>
      <c r="AQ474" s="82"/>
      <c r="AR474" s="83"/>
      <c r="AS474" s="84"/>
      <c r="AV474" s="82"/>
      <c r="AW474" s="90"/>
      <c r="AX474" s="91"/>
      <c r="AY474" s="87"/>
      <c r="BB474" s="88"/>
    </row>
    <row r="475" spans="1:60" ht="15" customHeight="1">
      <c r="AP475" s="80"/>
      <c r="AQ475" s="82"/>
      <c r="AR475" s="83"/>
      <c r="AS475" s="84"/>
      <c r="AV475" s="82"/>
      <c r="AW475" s="90"/>
      <c r="AX475" s="91"/>
      <c r="AY475" s="87"/>
      <c r="BB475" s="88"/>
    </row>
    <row r="476" spans="1:60" ht="15" customHeight="1">
      <c r="AP476" s="80"/>
      <c r="AQ476" s="82"/>
      <c r="AR476" s="83"/>
      <c r="AS476" s="84"/>
      <c r="AV476" s="82"/>
      <c r="AW476" s="90"/>
      <c r="AX476" s="91"/>
      <c r="AY476" s="87"/>
      <c r="BB476" s="88"/>
    </row>
    <row r="477" spans="1:60" ht="15" customHeight="1">
      <c r="AP477" s="80"/>
      <c r="AQ477" s="82"/>
      <c r="AR477" s="83"/>
      <c r="AS477" s="84"/>
      <c r="AV477" s="82"/>
      <c r="AW477" s="90"/>
      <c r="AX477" s="91"/>
      <c r="AY477" s="87"/>
      <c r="BB477" s="88"/>
    </row>
    <row r="478" spans="1:60" ht="15" customHeight="1">
      <c r="AP478" s="80"/>
      <c r="AQ478" s="82"/>
      <c r="AR478" s="83"/>
      <c r="AS478" s="84"/>
      <c r="AV478" s="82"/>
      <c r="AW478" s="90"/>
      <c r="AX478" s="91"/>
      <c r="AY478" s="87"/>
      <c r="BB478" s="88"/>
    </row>
    <row r="479" spans="1:60" ht="15" customHeight="1">
      <c r="AP479" s="80"/>
      <c r="AQ479" s="82"/>
      <c r="AR479" s="83"/>
      <c r="AS479" s="84"/>
      <c r="AV479" s="82"/>
      <c r="AW479" s="90"/>
      <c r="AX479" s="91"/>
      <c r="AY479" s="87"/>
      <c r="BB479" s="88"/>
    </row>
    <row r="480" spans="1:60" ht="15" customHeight="1">
      <c r="AP480" s="80"/>
      <c r="AQ480" s="82"/>
      <c r="AR480" s="83"/>
      <c r="AS480" s="84"/>
      <c r="AV480" s="82"/>
      <c r="AW480" s="90"/>
      <c r="AX480" s="91"/>
      <c r="AY480" s="87"/>
      <c r="BB480" s="88"/>
    </row>
    <row r="481" spans="42:54" ht="15" customHeight="1">
      <c r="AP481" s="80"/>
      <c r="AQ481" s="82"/>
      <c r="AR481" s="83"/>
      <c r="AS481" s="84"/>
      <c r="AV481" s="82"/>
      <c r="AW481" s="90"/>
      <c r="AX481" s="91"/>
      <c r="AY481" s="87"/>
      <c r="BB481" s="88"/>
    </row>
    <row r="482" spans="42:54" ht="15" customHeight="1">
      <c r="AP482" s="80"/>
      <c r="AQ482" s="82"/>
      <c r="AR482" s="83"/>
      <c r="AS482" s="84"/>
      <c r="AV482" s="82"/>
      <c r="AW482" s="90"/>
      <c r="AX482" s="91"/>
      <c r="AY482" s="87"/>
      <c r="BB482" s="88"/>
    </row>
    <row r="483" spans="42:54" ht="15" customHeight="1">
      <c r="AP483" s="80"/>
      <c r="AQ483" s="82"/>
      <c r="AR483" s="83"/>
      <c r="AS483" s="84"/>
      <c r="AV483" s="82"/>
      <c r="AW483" s="90"/>
      <c r="AX483" s="91"/>
      <c r="AY483" s="87"/>
      <c r="BB483" s="88"/>
    </row>
    <row r="484" spans="42:54" ht="15" customHeight="1">
      <c r="AP484" s="80"/>
      <c r="AQ484" s="82"/>
      <c r="AR484" s="83"/>
      <c r="AS484" s="84"/>
      <c r="AV484" s="82"/>
      <c r="AW484" s="90"/>
      <c r="AX484" s="91"/>
      <c r="AY484" s="87"/>
      <c r="BB484" s="88"/>
    </row>
    <row r="485" spans="42:54" ht="15" customHeight="1">
      <c r="AP485" s="80"/>
      <c r="AQ485" s="82"/>
      <c r="AR485" s="83"/>
      <c r="AS485" s="84"/>
      <c r="AV485" s="82"/>
      <c r="AW485" s="90"/>
      <c r="AX485" s="91"/>
      <c r="AY485" s="87"/>
      <c r="BB485" s="88"/>
    </row>
    <row r="486" spans="42:54" ht="15" customHeight="1">
      <c r="AP486" s="80"/>
      <c r="AQ486" s="82"/>
      <c r="AR486" s="83"/>
      <c r="AS486" s="84"/>
      <c r="AV486" s="82"/>
      <c r="AW486" s="90"/>
      <c r="AX486" s="91"/>
      <c r="AY486" s="87"/>
      <c r="BB486" s="88"/>
    </row>
    <row r="487" spans="42:54" ht="15" customHeight="1">
      <c r="AP487" s="80"/>
      <c r="AQ487" s="82"/>
      <c r="AR487" s="83"/>
      <c r="AS487" s="84"/>
      <c r="AV487" s="82"/>
      <c r="AW487" s="90"/>
      <c r="AX487" s="91"/>
      <c r="AY487" s="87"/>
      <c r="BB487" s="88"/>
    </row>
    <row r="488" spans="42:54" ht="15" customHeight="1">
      <c r="AP488" s="80"/>
      <c r="AQ488" s="82"/>
      <c r="AR488" s="83"/>
      <c r="AS488" s="84"/>
      <c r="AV488" s="82"/>
      <c r="AW488" s="90"/>
      <c r="AX488" s="91"/>
      <c r="AY488" s="87"/>
      <c r="BB488" s="88"/>
    </row>
    <row r="489" spans="42:54" ht="15" customHeight="1">
      <c r="AP489" s="80"/>
      <c r="AQ489" s="82"/>
      <c r="AR489" s="83"/>
      <c r="AS489" s="84"/>
      <c r="AV489" s="82"/>
      <c r="AW489" s="90"/>
      <c r="AX489" s="91"/>
      <c r="AY489" s="87"/>
      <c r="BB489" s="88"/>
    </row>
    <row r="490" spans="42:54" ht="15" customHeight="1">
      <c r="AP490" s="80"/>
      <c r="AQ490" s="82"/>
      <c r="AR490" s="83"/>
      <c r="AS490" s="84"/>
      <c r="AV490" s="82"/>
      <c r="AW490" s="90"/>
      <c r="AX490" s="91"/>
      <c r="AY490" s="87"/>
      <c r="BB490" s="88"/>
    </row>
    <row r="491" spans="42:54" ht="15" customHeight="1">
      <c r="AP491" s="80"/>
      <c r="AQ491" s="82"/>
      <c r="AR491" s="83"/>
      <c r="AS491" s="84"/>
      <c r="AV491" s="82"/>
      <c r="AW491" s="90"/>
      <c r="AX491" s="91"/>
      <c r="AY491" s="87"/>
      <c r="BB491" s="88"/>
    </row>
    <row r="492" spans="42:54" ht="15" customHeight="1">
      <c r="AP492" s="80"/>
      <c r="AQ492" s="82"/>
      <c r="AR492" s="83"/>
      <c r="AS492" s="84"/>
      <c r="AV492" s="82"/>
      <c r="AW492" s="90"/>
      <c r="AX492" s="91"/>
      <c r="AY492" s="87"/>
      <c r="BB492" s="88"/>
    </row>
    <row r="493" spans="42:54" ht="15" customHeight="1">
      <c r="AP493" s="80"/>
      <c r="AQ493" s="82"/>
      <c r="AR493" s="83"/>
      <c r="AS493" s="84"/>
      <c r="AV493" s="82"/>
      <c r="AW493" s="90"/>
      <c r="AX493" s="91"/>
      <c r="AY493" s="87"/>
      <c r="BB493" s="88"/>
    </row>
    <row r="494" spans="42:54" ht="15" customHeight="1">
      <c r="AP494" s="80"/>
      <c r="AQ494" s="82"/>
      <c r="AR494" s="83"/>
      <c r="AS494" s="84"/>
      <c r="AV494" s="82"/>
      <c r="AW494" s="90"/>
      <c r="AX494" s="91"/>
      <c r="AY494" s="87"/>
      <c r="BB494" s="88"/>
    </row>
    <row r="495" spans="42:54" ht="15" customHeight="1">
      <c r="AP495" s="80"/>
      <c r="AQ495" s="82"/>
      <c r="AR495" s="83"/>
      <c r="AS495" s="84"/>
      <c r="AV495" s="82"/>
      <c r="AW495" s="90"/>
      <c r="AX495" s="91"/>
      <c r="AY495" s="87"/>
      <c r="BB495" s="88"/>
    </row>
    <row r="496" spans="42:54" ht="15" customHeight="1">
      <c r="AP496" s="80"/>
      <c r="AQ496" s="82"/>
      <c r="AR496" s="83"/>
      <c r="AS496" s="84"/>
      <c r="AV496" s="82"/>
      <c r="AW496" s="90"/>
      <c r="AX496" s="91"/>
      <c r="AY496" s="87"/>
      <c r="BB496" s="88"/>
    </row>
    <row r="497" spans="1:62" ht="15" customHeight="1">
      <c r="AP497" s="80"/>
      <c r="AQ497" s="82"/>
      <c r="AR497" s="83"/>
      <c r="AS497" s="84"/>
      <c r="AV497" s="82"/>
      <c r="AW497" s="90"/>
      <c r="AX497" s="91"/>
      <c r="AY497" s="87"/>
      <c r="BB497" s="88"/>
    </row>
    <row r="498" spans="1:62" ht="15" customHeight="1">
      <c r="X498" s="87"/>
      <c r="AP498" s="80"/>
      <c r="AQ498" s="82"/>
      <c r="AR498" s="83"/>
      <c r="AS498" s="84"/>
      <c r="AV498" s="82"/>
      <c r="AW498" s="90"/>
      <c r="AX498" s="91"/>
      <c r="AY498" s="87"/>
      <c r="BB498" s="88"/>
      <c r="BJ498" s="46"/>
    </row>
    <row r="499" spans="1:62" ht="15" customHeight="1">
      <c r="AP499" s="80"/>
      <c r="AQ499" s="82"/>
      <c r="AR499" s="83"/>
      <c r="AS499" s="84"/>
      <c r="AV499" s="82"/>
      <c r="AW499" s="90"/>
      <c r="AX499" s="91"/>
      <c r="AY499" s="87"/>
      <c r="BB499" s="88"/>
      <c r="BJ499" s="46"/>
    </row>
    <row r="500" spans="1:62" ht="15" customHeight="1">
      <c r="AP500" s="80"/>
      <c r="AQ500" s="82"/>
      <c r="AR500" s="83"/>
      <c r="AS500" s="84"/>
      <c r="AV500" s="82"/>
      <c r="AW500" s="90"/>
      <c r="AX500" s="91"/>
      <c r="AY500" s="87"/>
      <c r="BB500" s="88"/>
    </row>
    <row r="501" spans="1:62" ht="15" customHeight="1">
      <c r="AP501" s="80"/>
      <c r="AQ501" s="82"/>
      <c r="AR501" s="83"/>
      <c r="AS501" s="84"/>
      <c r="AV501" s="82"/>
      <c r="AW501" s="90"/>
      <c r="AX501" s="91"/>
      <c r="AY501" s="87"/>
      <c r="BB501" s="88"/>
    </row>
    <row r="502" spans="1:62" ht="15" customHeight="1">
      <c r="AP502" s="80"/>
      <c r="AQ502" s="82"/>
      <c r="AR502" s="83"/>
      <c r="AS502" s="84"/>
      <c r="AV502" s="82"/>
      <c r="AW502" s="90"/>
      <c r="AX502" s="91"/>
      <c r="AY502" s="87"/>
      <c r="BB502" s="88"/>
    </row>
    <row r="503" spans="1:62" ht="15" customHeight="1">
      <c r="AP503" s="80"/>
      <c r="AQ503" s="82"/>
      <c r="AR503" s="83"/>
      <c r="AS503" s="84"/>
      <c r="AV503" s="82"/>
      <c r="AW503" s="90"/>
      <c r="AX503" s="91"/>
      <c r="AY503" s="87"/>
      <c r="BB503" s="88"/>
    </row>
    <row r="504" spans="1:62" ht="15" customHeight="1">
      <c r="AP504" s="80"/>
      <c r="AQ504" s="82"/>
      <c r="AR504" s="83"/>
      <c r="AS504" s="84"/>
      <c r="AV504" s="82"/>
      <c r="AW504" s="90"/>
      <c r="AX504" s="91"/>
      <c r="AY504" s="87"/>
      <c r="BB504" s="88"/>
    </row>
    <row r="505" spans="1:62" ht="15" customHeight="1">
      <c r="AP505" s="80"/>
      <c r="AQ505" s="82"/>
      <c r="AR505" s="83"/>
      <c r="AS505" s="84"/>
      <c r="AV505" s="82"/>
      <c r="AW505" s="90"/>
      <c r="AX505" s="91"/>
      <c r="AY505" s="87"/>
      <c r="BB505" s="88"/>
    </row>
    <row r="506" spans="1:62" ht="15" customHeight="1">
      <c r="AP506" s="80"/>
      <c r="AQ506" s="82"/>
      <c r="AR506" s="83"/>
      <c r="AS506" s="84"/>
      <c r="AV506" s="82"/>
      <c r="AW506" s="90"/>
      <c r="AX506" s="91"/>
      <c r="AY506" s="87"/>
      <c r="BB506" s="88"/>
    </row>
    <row r="507" spans="1:62" ht="15" customHeight="1">
      <c r="AP507" s="80"/>
      <c r="AQ507" s="82"/>
      <c r="AR507" s="83"/>
      <c r="AS507" s="84"/>
      <c r="AV507" s="82"/>
      <c r="AW507" s="90"/>
      <c r="AX507" s="91"/>
      <c r="AY507" s="87"/>
      <c r="BB507" s="88"/>
    </row>
    <row r="508" spans="1:62" ht="15" customHeight="1">
      <c r="AP508" s="80"/>
      <c r="AQ508" s="82"/>
      <c r="AR508" s="83"/>
      <c r="AS508" s="84"/>
      <c r="AV508" s="82"/>
      <c r="AW508" s="90"/>
      <c r="AX508" s="91"/>
      <c r="AY508" s="87"/>
      <c r="BB508" s="88"/>
    </row>
    <row r="509" spans="1:62" ht="15" customHeight="1">
      <c r="A509" s="48"/>
      <c r="B509" s="48"/>
      <c r="C509" s="48"/>
      <c r="D509" s="123"/>
      <c r="E509" s="48"/>
      <c r="F509" s="48"/>
      <c r="G509" s="48"/>
      <c r="AP509" s="80"/>
      <c r="AQ509" s="82"/>
      <c r="AR509" s="83"/>
      <c r="AS509" s="84"/>
      <c r="AV509" s="82"/>
      <c r="AW509" s="90"/>
      <c r="AX509" s="91"/>
      <c r="AY509" s="87"/>
      <c r="BB509" s="88"/>
    </row>
    <row r="510" spans="1:62" ht="15" customHeight="1">
      <c r="AP510" s="80"/>
      <c r="AQ510" s="82"/>
      <c r="AR510" s="83"/>
      <c r="AS510" s="84"/>
      <c r="AV510" s="82"/>
      <c r="AW510" s="90"/>
      <c r="AX510" s="91"/>
      <c r="AY510" s="87"/>
      <c r="BB510" s="88"/>
    </row>
    <row r="511" spans="1:62" ht="15" customHeight="1">
      <c r="AP511" s="80"/>
      <c r="AQ511" s="82"/>
      <c r="AR511" s="83"/>
      <c r="AS511" s="84"/>
      <c r="AV511" s="82"/>
      <c r="AW511" s="90"/>
      <c r="AX511" s="91"/>
      <c r="AY511" s="87"/>
      <c r="BB511" s="88"/>
    </row>
    <row r="512" spans="1:62" ht="15" customHeight="1">
      <c r="AP512" s="80"/>
      <c r="AQ512" s="82"/>
      <c r="AR512" s="83"/>
      <c r="AS512" s="84"/>
      <c r="AV512" s="82"/>
      <c r="AW512" s="90"/>
      <c r="AX512" s="91"/>
      <c r="AY512" s="87"/>
      <c r="BB512" s="88"/>
    </row>
    <row r="513" spans="8:54" ht="15" customHeight="1">
      <c r="AP513" s="80"/>
      <c r="AQ513" s="82"/>
      <c r="AR513" s="83"/>
      <c r="AS513" s="84"/>
      <c r="AV513" s="82"/>
      <c r="AW513" s="90"/>
      <c r="AX513" s="91"/>
      <c r="AY513" s="87"/>
      <c r="BB513" s="88"/>
    </row>
    <row r="514" spans="8:54" ht="15" customHeight="1">
      <c r="AP514" s="80"/>
      <c r="AQ514" s="82"/>
      <c r="AR514" s="83"/>
      <c r="AS514" s="84"/>
      <c r="AV514" s="82"/>
      <c r="AW514" s="90"/>
      <c r="AX514" s="91"/>
      <c r="AY514" s="87"/>
      <c r="BB514" s="88"/>
    </row>
    <row r="515" spans="8:54" ht="15" customHeight="1">
      <c r="AP515" s="80"/>
      <c r="AQ515" s="82"/>
      <c r="AR515" s="83"/>
      <c r="AS515" s="84"/>
      <c r="AV515" s="82"/>
      <c r="AW515" s="90"/>
      <c r="AX515" s="91"/>
      <c r="AY515" s="87"/>
      <c r="BB515" s="88"/>
    </row>
    <row r="516" spans="8:54" ht="15" customHeight="1">
      <c r="AP516" s="80"/>
      <c r="AQ516" s="82"/>
      <c r="AR516" s="83"/>
      <c r="AS516" s="84"/>
      <c r="AV516" s="82"/>
      <c r="AW516" s="90"/>
      <c r="AX516" s="91"/>
      <c r="AY516" s="87"/>
      <c r="BB516" s="88"/>
    </row>
    <row r="517" spans="8:54" ht="15" customHeight="1">
      <c r="AP517" s="80"/>
      <c r="AQ517" s="82"/>
      <c r="AR517" s="83"/>
      <c r="AS517" s="84"/>
      <c r="AV517" s="82"/>
      <c r="AW517" s="90"/>
      <c r="AX517" s="91"/>
      <c r="AY517" s="87"/>
      <c r="BB517" s="88"/>
    </row>
    <row r="518" spans="8:54" ht="15" customHeight="1">
      <c r="AP518" s="80"/>
      <c r="AQ518" s="82"/>
      <c r="AR518" s="83"/>
      <c r="AS518" s="84"/>
      <c r="AV518" s="82"/>
      <c r="AW518" s="90"/>
      <c r="AX518" s="91"/>
      <c r="AY518" s="87"/>
      <c r="BB518" s="88"/>
    </row>
    <row r="519" spans="8:54" ht="15" customHeight="1">
      <c r="AP519" s="80"/>
      <c r="AQ519" s="82"/>
      <c r="AR519" s="83"/>
      <c r="AS519" s="84"/>
      <c r="AV519" s="82"/>
      <c r="AW519" s="90"/>
      <c r="AX519" s="91"/>
      <c r="AY519" s="87"/>
      <c r="BB519" s="88"/>
    </row>
    <row r="520" spans="8:54" ht="15" customHeight="1">
      <c r="H520" s="46"/>
      <c r="AP520" s="80"/>
      <c r="AQ520" s="82"/>
      <c r="AR520" s="83"/>
      <c r="AS520" s="84"/>
      <c r="AV520" s="82"/>
      <c r="AW520" s="90"/>
      <c r="AX520" s="91"/>
      <c r="AY520" s="87"/>
      <c r="BB520" s="88"/>
    </row>
    <row r="521" spans="8:54" ht="15" customHeight="1">
      <c r="AP521" s="80"/>
      <c r="AQ521" s="82"/>
      <c r="AR521" s="83"/>
      <c r="AS521" s="84"/>
      <c r="AV521" s="82"/>
      <c r="AW521" s="90"/>
      <c r="AX521" s="91"/>
      <c r="AY521" s="87"/>
      <c r="BB521" s="88"/>
    </row>
    <row r="522" spans="8:54" ht="15" customHeight="1">
      <c r="AP522" s="80"/>
      <c r="AQ522" s="82"/>
      <c r="AR522" s="83"/>
      <c r="AS522" s="84"/>
      <c r="AV522" s="82"/>
      <c r="AW522" s="90"/>
      <c r="AX522" s="91"/>
      <c r="AY522" s="87"/>
      <c r="BB522" s="88"/>
    </row>
    <row r="523" spans="8:54" ht="15" customHeight="1">
      <c r="AP523" s="80"/>
      <c r="AQ523" s="82"/>
      <c r="AR523" s="83"/>
      <c r="AS523" s="84"/>
      <c r="AV523" s="82"/>
      <c r="AW523" s="90"/>
      <c r="AX523" s="91"/>
      <c r="AY523" s="87"/>
      <c r="BB523" s="88"/>
    </row>
    <row r="524" spans="8:54" ht="15" customHeight="1">
      <c r="AP524" s="80"/>
      <c r="AQ524" s="82"/>
      <c r="AR524" s="83"/>
      <c r="AS524" s="84"/>
      <c r="AV524" s="82"/>
      <c r="AW524" s="90"/>
      <c r="AX524" s="91"/>
      <c r="AY524" s="87"/>
      <c r="BB524" s="88"/>
    </row>
    <row r="525" spans="8:54" ht="15" customHeight="1">
      <c r="AP525" s="80"/>
      <c r="AQ525" s="82"/>
      <c r="AR525" s="83"/>
      <c r="AS525" s="84"/>
      <c r="AV525" s="82"/>
      <c r="AW525" s="90"/>
      <c r="AX525" s="91"/>
      <c r="AY525" s="87"/>
      <c r="BB525" s="88"/>
    </row>
    <row r="526" spans="8:54" ht="15" customHeight="1">
      <c r="AP526" s="80"/>
      <c r="AQ526" s="82"/>
      <c r="AR526" s="83"/>
      <c r="AS526" s="84"/>
      <c r="AV526" s="82"/>
      <c r="AW526" s="90"/>
      <c r="AX526" s="91"/>
      <c r="AY526" s="87"/>
      <c r="BB526" s="88"/>
    </row>
    <row r="527" spans="8:54" ht="15" customHeight="1">
      <c r="AP527" s="80"/>
      <c r="AQ527" s="82"/>
      <c r="AR527" s="83"/>
      <c r="AS527" s="84"/>
      <c r="AV527" s="82"/>
      <c r="AW527" s="90"/>
      <c r="AX527" s="91"/>
      <c r="AY527" s="87"/>
      <c r="BB527" s="88"/>
    </row>
    <row r="528" spans="8:54" ht="15" customHeight="1">
      <c r="AP528" s="80"/>
      <c r="AQ528" s="82"/>
      <c r="AR528" s="83"/>
      <c r="AS528" s="84"/>
      <c r="AV528" s="82"/>
      <c r="AW528" s="90"/>
      <c r="AX528" s="91"/>
      <c r="AY528" s="87"/>
      <c r="BB528" s="88"/>
    </row>
    <row r="529" spans="1:54" ht="15" customHeight="1">
      <c r="AP529" s="80"/>
      <c r="AQ529" s="82"/>
      <c r="AR529" s="83"/>
      <c r="AS529" s="84"/>
      <c r="AV529" s="82"/>
      <c r="AW529" s="90"/>
      <c r="AX529" s="91"/>
      <c r="AY529" s="87"/>
      <c r="BB529" s="88"/>
    </row>
    <row r="530" spans="1:54" ht="15" customHeight="1">
      <c r="AP530" s="80"/>
      <c r="AQ530" s="82"/>
      <c r="AR530" s="83"/>
      <c r="AS530" s="84"/>
      <c r="AV530" s="82"/>
      <c r="AW530" s="90"/>
      <c r="AX530" s="91"/>
      <c r="AY530" s="87"/>
      <c r="BB530" s="88"/>
    </row>
    <row r="531" spans="1:54" ht="15" customHeight="1">
      <c r="AP531" s="80"/>
      <c r="AQ531" s="82"/>
      <c r="AR531" s="83"/>
      <c r="AS531" s="84"/>
      <c r="AV531" s="82"/>
      <c r="AW531" s="90"/>
      <c r="AX531" s="91"/>
      <c r="AY531" s="87"/>
      <c r="BB531" s="88"/>
    </row>
    <row r="532" spans="1:54" ht="15" customHeight="1">
      <c r="AP532" s="80"/>
      <c r="AQ532" s="82"/>
      <c r="AR532" s="83"/>
      <c r="AS532" s="84"/>
      <c r="AV532" s="82"/>
      <c r="AW532" s="90"/>
      <c r="AX532" s="91"/>
      <c r="AY532" s="87"/>
      <c r="BB532" s="88"/>
    </row>
    <row r="533" spans="1:54" ht="15" customHeight="1">
      <c r="AP533" s="80"/>
      <c r="AQ533" s="82"/>
      <c r="AR533" s="83"/>
      <c r="AS533" s="84"/>
      <c r="AV533" s="82"/>
      <c r="AW533" s="90"/>
      <c r="AX533" s="91"/>
      <c r="AY533" s="87"/>
      <c r="BB533" s="88"/>
    </row>
    <row r="534" spans="1:54" ht="15" customHeight="1">
      <c r="AP534" s="80"/>
      <c r="AQ534" s="82"/>
      <c r="AR534" s="83"/>
      <c r="AS534" s="84"/>
      <c r="AV534" s="82"/>
      <c r="AW534" s="90"/>
      <c r="AX534" s="91"/>
      <c r="AY534" s="87"/>
      <c r="BB534" s="88"/>
    </row>
    <row r="535" spans="1:54" ht="15" customHeight="1">
      <c r="AP535" s="80"/>
      <c r="AQ535" s="82"/>
      <c r="AR535" s="83"/>
      <c r="AS535" s="84"/>
      <c r="AV535" s="82"/>
      <c r="AW535" s="90"/>
      <c r="AX535" s="91"/>
      <c r="AY535" s="87"/>
      <c r="BB535" s="88"/>
    </row>
    <row r="536" spans="1:54" ht="15" customHeight="1">
      <c r="AP536" s="80"/>
      <c r="AQ536" s="82"/>
      <c r="AR536" s="83"/>
      <c r="AS536" s="84"/>
      <c r="AV536" s="82"/>
      <c r="AW536" s="90"/>
      <c r="AX536" s="91"/>
      <c r="AY536" s="87"/>
      <c r="BB536" s="88"/>
    </row>
    <row r="537" spans="1:54" ht="15" customHeight="1">
      <c r="AP537" s="80"/>
      <c r="AQ537" s="82"/>
      <c r="AR537" s="83"/>
      <c r="AS537" s="84"/>
      <c r="AV537" s="82"/>
      <c r="AW537" s="90"/>
      <c r="AX537" s="91"/>
      <c r="AY537" s="87"/>
      <c r="BB537" s="88"/>
    </row>
    <row r="538" spans="1:54" ht="15" customHeight="1">
      <c r="AP538" s="80"/>
      <c r="AQ538" s="82"/>
      <c r="AR538" s="83"/>
      <c r="AS538" s="84"/>
      <c r="AV538" s="82"/>
      <c r="AW538" s="90"/>
      <c r="AX538" s="91"/>
      <c r="AY538" s="87"/>
      <c r="BB538" s="88"/>
    </row>
    <row r="539" spans="1:54" ht="15" customHeight="1">
      <c r="AP539" s="80"/>
      <c r="AQ539" s="82"/>
      <c r="AR539" s="83"/>
      <c r="AS539" s="84"/>
      <c r="AV539" s="82"/>
      <c r="AW539" s="90"/>
      <c r="AX539" s="91"/>
      <c r="AY539" s="87"/>
      <c r="BB539" s="88"/>
    </row>
    <row r="540" spans="1:54" ht="15" customHeight="1">
      <c r="AP540" s="80"/>
      <c r="AQ540" s="82"/>
      <c r="AR540" s="83"/>
      <c r="AS540" s="84"/>
      <c r="AV540" s="82"/>
      <c r="AW540" s="90"/>
      <c r="AX540" s="91"/>
      <c r="AY540" s="87"/>
      <c r="BB540" s="88"/>
    </row>
    <row r="541" spans="1:54" ht="15" customHeight="1">
      <c r="AP541" s="80"/>
      <c r="AQ541" s="82"/>
      <c r="AR541" s="83"/>
      <c r="AS541" s="84"/>
      <c r="AV541" s="82"/>
      <c r="AW541" s="90"/>
      <c r="AX541" s="91"/>
      <c r="AY541" s="87"/>
      <c r="BB541" s="88"/>
    </row>
    <row r="542" spans="1:54" ht="15" customHeight="1">
      <c r="AP542" s="80"/>
      <c r="AQ542" s="82"/>
      <c r="AR542" s="83"/>
      <c r="AS542" s="84"/>
      <c r="AV542" s="82"/>
      <c r="AW542" s="90"/>
      <c r="AX542" s="91"/>
      <c r="AY542" s="87"/>
      <c r="BB542" s="88"/>
    </row>
    <row r="543" spans="1:54" ht="15" customHeight="1">
      <c r="AP543" s="80"/>
      <c r="AQ543" s="82"/>
      <c r="AR543" s="83"/>
      <c r="AS543" s="84"/>
      <c r="AV543" s="82"/>
      <c r="AW543" s="90"/>
      <c r="AX543" s="91"/>
      <c r="AY543" s="87"/>
      <c r="BB543" s="88"/>
    </row>
    <row r="544" spans="1:54" ht="15" customHeight="1">
      <c r="A544" s="48"/>
      <c r="B544" s="48"/>
      <c r="C544" s="48"/>
      <c r="D544" s="123"/>
      <c r="E544" s="48"/>
      <c r="F544" s="48"/>
      <c r="G544" s="48"/>
      <c r="AP544" s="80"/>
      <c r="AQ544" s="82"/>
      <c r="AR544" s="83"/>
      <c r="AS544" s="84"/>
      <c r="AV544" s="82"/>
      <c r="AW544" s="90"/>
      <c r="AX544" s="91"/>
      <c r="AY544" s="87"/>
      <c r="BB544" s="88"/>
    </row>
    <row r="545" spans="8:54" ht="15" customHeight="1">
      <c r="AF545" s="124"/>
      <c r="AP545" s="80"/>
      <c r="AQ545" s="82"/>
      <c r="AR545" s="83"/>
      <c r="AS545" s="84"/>
      <c r="AV545" s="82"/>
      <c r="AW545" s="90"/>
      <c r="AX545" s="91"/>
      <c r="AY545" s="87"/>
      <c r="BB545" s="88"/>
    </row>
    <row r="546" spans="8:54" ht="15" customHeight="1">
      <c r="AP546" s="80"/>
      <c r="AQ546" s="82"/>
      <c r="AR546" s="83"/>
      <c r="AS546" s="84"/>
      <c r="AV546" s="82"/>
      <c r="AW546" s="90"/>
      <c r="AX546" s="91"/>
      <c r="AY546" s="87"/>
      <c r="BB546" s="88"/>
    </row>
    <row r="547" spans="8:54" ht="15" customHeight="1">
      <c r="AP547" s="80"/>
      <c r="AQ547" s="82"/>
      <c r="AR547" s="83"/>
      <c r="AS547" s="84"/>
      <c r="AV547" s="82"/>
      <c r="AW547" s="90"/>
      <c r="AX547" s="91"/>
      <c r="AY547" s="87"/>
      <c r="BB547" s="88"/>
    </row>
    <row r="548" spans="8:54" ht="15" customHeight="1">
      <c r="AP548" s="80"/>
      <c r="AQ548" s="82"/>
      <c r="AR548" s="83"/>
      <c r="AS548" s="84"/>
      <c r="AV548" s="82"/>
      <c r="AW548" s="90"/>
      <c r="AX548" s="91"/>
      <c r="AY548" s="87"/>
      <c r="BB548" s="88"/>
    </row>
    <row r="549" spans="8:54" ht="15" customHeight="1">
      <c r="AP549" s="80"/>
      <c r="AQ549" s="82"/>
      <c r="AR549" s="83"/>
      <c r="AS549" s="84"/>
      <c r="AV549" s="82"/>
      <c r="AW549" s="90"/>
      <c r="AX549" s="91"/>
      <c r="AY549" s="87"/>
      <c r="BB549" s="88"/>
    </row>
    <row r="550" spans="8:54" ht="15" customHeight="1">
      <c r="AP550" s="80"/>
      <c r="AQ550" s="82"/>
      <c r="AR550" s="83"/>
      <c r="AS550" s="84"/>
      <c r="AV550" s="82"/>
      <c r="AW550" s="90"/>
      <c r="AX550" s="91"/>
      <c r="AY550" s="87"/>
      <c r="BB550" s="88"/>
    </row>
    <row r="551" spans="8:54" ht="15" customHeight="1">
      <c r="AP551" s="80"/>
      <c r="AQ551" s="82"/>
      <c r="AR551" s="83"/>
      <c r="AS551" s="84"/>
      <c r="AV551" s="82"/>
      <c r="AW551" s="90"/>
      <c r="AX551" s="91"/>
      <c r="AY551" s="87"/>
      <c r="BB551" s="88"/>
    </row>
    <row r="552" spans="8:54" ht="15" customHeight="1">
      <c r="AP552" s="80"/>
      <c r="AQ552" s="82"/>
      <c r="AR552" s="83"/>
      <c r="AS552" s="84"/>
      <c r="AV552" s="82"/>
      <c r="AW552" s="90"/>
      <c r="AX552" s="91"/>
      <c r="AY552" s="87"/>
      <c r="BB552" s="88"/>
    </row>
    <row r="553" spans="8:54" ht="15" customHeight="1">
      <c r="AP553" s="80"/>
      <c r="AQ553" s="82"/>
      <c r="AR553" s="83"/>
      <c r="AS553" s="84"/>
      <c r="AV553" s="82"/>
      <c r="AW553" s="90"/>
      <c r="AX553" s="91"/>
      <c r="AY553" s="87"/>
      <c r="BB553" s="88"/>
    </row>
    <row r="554" spans="8:54" ht="15" customHeight="1">
      <c r="AP554" s="80"/>
      <c r="AQ554" s="82"/>
      <c r="AR554" s="83"/>
      <c r="AS554" s="84"/>
      <c r="AV554" s="82"/>
      <c r="AW554" s="90"/>
      <c r="AX554" s="91"/>
      <c r="AY554" s="87"/>
      <c r="BB554" s="88"/>
    </row>
    <row r="555" spans="8:54" ht="15" customHeight="1">
      <c r="AP555" s="80"/>
      <c r="AQ555" s="82"/>
      <c r="AR555" s="83"/>
      <c r="AS555" s="84"/>
      <c r="AV555" s="82"/>
      <c r="AW555" s="90"/>
      <c r="AX555" s="91"/>
      <c r="AY555" s="87"/>
      <c r="BB555" s="88"/>
    </row>
    <row r="556" spans="8:54" ht="15" customHeight="1">
      <c r="AP556" s="80"/>
      <c r="AQ556" s="82"/>
      <c r="AR556" s="83"/>
      <c r="AS556" s="84"/>
      <c r="AV556" s="82"/>
      <c r="AW556" s="90"/>
      <c r="AX556" s="91"/>
      <c r="AY556" s="87"/>
      <c r="BB556" s="88"/>
    </row>
    <row r="557" spans="8:54" ht="15" customHeight="1">
      <c r="AP557" s="80"/>
      <c r="AQ557" s="82"/>
      <c r="AR557" s="83"/>
      <c r="AS557" s="84"/>
      <c r="AV557" s="82"/>
      <c r="AW557" s="90"/>
      <c r="AX557" s="91"/>
      <c r="AY557" s="87"/>
      <c r="BB557" s="88"/>
    </row>
    <row r="558" spans="8:54" ht="15" customHeight="1">
      <c r="H558" s="46"/>
      <c r="AP558" s="80"/>
      <c r="AQ558" s="82"/>
      <c r="AR558" s="83"/>
      <c r="AS558" s="84"/>
      <c r="AV558" s="82"/>
      <c r="AW558" s="90"/>
      <c r="AX558" s="91"/>
      <c r="AY558" s="87"/>
      <c r="BB558" s="88"/>
    </row>
    <row r="559" spans="8:54" ht="15" customHeight="1">
      <c r="AP559" s="80"/>
      <c r="AQ559" s="82"/>
      <c r="AR559" s="83"/>
      <c r="AS559" s="84"/>
      <c r="AV559" s="82"/>
      <c r="AW559" s="90"/>
      <c r="AX559" s="91"/>
      <c r="AY559" s="87"/>
      <c r="BB559" s="88"/>
    </row>
    <row r="560" spans="8:54" ht="15" customHeight="1">
      <c r="AP560" s="80"/>
      <c r="AQ560" s="82"/>
      <c r="AR560" s="83"/>
      <c r="AS560" s="84"/>
      <c r="AV560" s="82"/>
      <c r="AW560" s="90"/>
      <c r="AX560" s="91"/>
      <c r="AY560" s="87"/>
      <c r="BB560" s="88"/>
    </row>
    <row r="561" spans="42:54" ht="15" customHeight="1">
      <c r="AP561" s="80"/>
      <c r="AQ561" s="82"/>
      <c r="AR561" s="83"/>
      <c r="AS561" s="84"/>
      <c r="AV561" s="82"/>
      <c r="AW561" s="90"/>
      <c r="AX561" s="91"/>
      <c r="AY561" s="87"/>
      <c r="BB561" s="88"/>
    </row>
    <row r="562" spans="42:54" ht="15" customHeight="1">
      <c r="AP562" s="80"/>
      <c r="AQ562" s="82"/>
      <c r="AR562" s="83"/>
      <c r="AS562" s="84"/>
      <c r="AV562" s="82"/>
      <c r="AW562" s="90"/>
      <c r="AX562" s="91"/>
      <c r="AY562" s="87"/>
      <c r="BB562" s="88"/>
    </row>
    <row r="563" spans="42:54" ht="15" customHeight="1">
      <c r="AP563" s="80"/>
      <c r="AQ563" s="82"/>
      <c r="AR563" s="83"/>
      <c r="AS563" s="84"/>
      <c r="AV563" s="82"/>
      <c r="AW563" s="90"/>
      <c r="AX563" s="91"/>
      <c r="AY563" s="87"/>
      <c r="BB563" s="88"/>
    </row>
    <row r="564" spans="42:54" ht="15" customHeight="1">
      <c r="AP564" s="80"/>
      <c r="AQ564" s="82"/>
      <c r="AR564" s="83"/>
      <c r="AS564" s="84"/>
      <c r="AV564" s="82"/>
      <c r="AW564" s="90"/>
      <c r="AX564" s="91"/>
      <c r="AY564" s="87"/>
      <c r="BB564" s="88"/>
    </row>
    <row r="565" spans="42:54" ht="15" customHeight="1">
      <c r="AP565" s="80"/>
      <c r="AQ565" s="82"/>
      <c r="AR565" s="83"/>
      <c r="AS565" s="84"/>
      <c r="AV565" s="82"/>
      <c r="AW565" s="90"/>
      <c r="AX565" s="91"/>
      <c r="AY565" s="87"/>
      <c r="BB565" s="88"/>
    </row>
    <row r="566" spans="42:54" ht="15" customHeight="1">
      <c r="AP566" s="80"/>
      <c r="AQ566" s="82"/>
      <c r="AR566" s="83"/>
      <c r="AS566" s="84"/>
      <c r="AV566" s="82"/>
      <c r="AW566" s="90"/>
      <c r="AX566" s="91"/>
      <c r="AY566" s="87"/>
      <c r="BB566" s="88"/>
    </row>
    <row r="567" spans="42:54" ht="15" customHeight="1">
      <c r="AP567" s="80"/>
      <c r="AQ567" s="82"/>
      <c r="AR567" s="83"/>
      <c r="AS567" s="84"/>
      <c r="AV567" s="82"/>
      <c r="AW567" s="90"/>
      <c r="AX567" s="91"/>
      <c r="AY567" s="87"/>
      <c r="BB567" s="88"/>
    </row>
    <row r="568" spans="42:54" ht="15" customHeight="1">
      <c r="AP568" s="80"/>
      <c r="AQ568" s="82"/>
      <c r="AR568" s="83"/>
      <c r="AS568" s="84"/>
      <c r="AV568" s="82"/>
      <c r="AW568" s="90"/>
      <c r="AX568" s="91"/>
      <c r="AY568" s="87"/>
      <c r="BB568" s="88"/>
    </row>
    <row r="569" spans="42:54" ht="15" customHeight="1">
      <c r="AP569" s="80"/>
      <c r="AQ569" s="82"/>
      <c r="AR569" s="83"/>
      <c r="AS569" s="84"/>
      <c r="AV569" s="82"/>
      <c r="AW569" s="90"/>
      <c r="AX569" s="91"/>
      <c r="AY569" s="87"/>
      <c r="BB569" s="88"/>
    </row>
    <row r="570" spans="42:54" ht="15" customHeight="1">
      <c r="AP570" s="80"/>
      <c r="AQ570" s="82"/>
      <c r="AR570" s="83"/>
      <c r="AS570" s="84"/>
      <c r="AV570" s="82"/>
      <c r="AW570" s="90"/>
      <c r="AX570" s="91"/>
      <c r="AY570" s="87"/>
      <c r="BB570" s="88"/>
    </row>
    <row r="571" spans="42:54" ht="15" customHeight="1">
      <c r="AP571" s="80"/>
      <c r="AQ571" s="82"/>
      <c r="AR571" s="83"/>
      <c r="AS571" s="84"/>
      <c r="AV571" s="82"/>
      <c r="AW571" s="90"/>
      <c r="AX571" s="91"/>
      <c r="AY571" s="87"/>
      <c r="BB571" s="88"/>
    </row>
    <row r="572" spans="42:54" ht="15" customHeight="1">
      <c r="AP572" s="80"/>
      <c r="AQ572" s="82"/>
      <c r="AR572" s="83"/>
      <c r="AS572" s="84"/>
      <c r="AV572" s="82"/>
      <c r="AW572" s="90"/>
      <c r="AX572" s="91"/>
      <c r="AY572" s="87"/>
      <c r="BB572" s="88"/>
    </row>
    <row r="573" spans="42:54" ht="15" customHeight="1">
      <c r="AP573" s="80"/>
      <c r="AQ573" s="82"/>
      <c r="AR573" s="83"/>
      <c r="AS573" s="84"/>
      <c r="AV573" s="82"/>
      <c r="AW573" s="90"/>
      <c r="AX573" s="91"/>
      <c r="AY573" s="87"/>
      <c r="BB573" s="88"/>
    </row>
    <row r="574" spans="42:54" ht="15" customHeight="1">
      <c r="AP574" s="80"/>
      <c r="AQ574" s="82"/>
      <c r="AR574" s="83"/>
      <c r="AS574" s="84"/>
      <c r="AV574" s="82"/>
      <c r="AW574" s="90"/>
      <c r="AX574" s="91"/>
      <c r="AY574" s="87"/>
      <c r="BB574" s="88"/>
    </row>
    <row r="575" spans="42:54" ht="15" customHeight="1">
      <c r="AP575" s="80"/>
      <c r="AQ575" s="82"/>
      <c r="AR575" s="83"/>
      <c r="AS575" s="84"/>
      <c r="AV575" s="82"/>
      <c r="AW575" s="90"/>
      <c r="AX575" s="91"/>
      <c r="AY575" s="87"/>
      <c r="BB575" s="88"/>
    </row>
    <row r="576" spans="42:54" ht="15" customHeight="1">
      <c r="AP576" s="80"/>
      <c r="AQ576" s="82"/>
      <c r="AR576" s="83"/>
      <c r="AS576" s="84"/>
      <c r="AV576" s="82"/>
      <c r="AW576" s="90"/>
      <c r="AX576" s="91"/>
      <c r="AY576" s="87"/>
      <c r="BB576" s="88"/>
    </row>
    <row r="577" spans="42:54" ht="15" customHeight="1">
      <c r="AP577" s="80"/>
      <c r="AQ577" s="82"/>
      <c r="AR577" s="83"/>
      <c r="AS577" s="84"/>
      <c r="AV577" s="82"/>
      <c r="AW577" s="90"/>
      <c r="AX577" s="91"/>
      <c r="AY577" s="87"/>
      <c r="BB577" s="88"/>
    </row>
    <row r="578" spans="42:54" ht="15" customHeight="1">
      <c r="AP578" s="80"/>
      <c r="AQ578" s="82"/>
      <c r="AR578" s="83"/>
      <c r="AS578" s="84"/>
      <c r="AV578" s="82"/>
      <c r="AW578" s="90"/>
      <c r="AX578" s="91"/>
      <c r="AY578" s="87"/>
      <c r="BB578" s="88"/>
    </row>
    <row r="579" spans="42:54" ht="15" customHeight="1">
      <c r="AP579" s="80"/>
      <c r="AQ579" s="82"/>
      <c r="AR579" s="83"/>
      <c r="AS579" s="84"/>
      <c r="AV579" s="82"/>
      <c r="AW579" s="90"/>
      <c r="AX579" s="91"/>
      <c r="AY579" s="87"/>
      <c r="BB579" s="88"/>
    </row>
    <row r="580" spans="42:54" ht="15" customHeight="1">
      <c r="AP580" s="80"/>
      <c r="AQ580" s="82"/>
      <c r="AR580" s="83"/>
      <c r="AS580" s="84"/>
      <c r="AV580" s="82"/>
      <c r="AW580" s="90"/>
      <c r="AX580" s="91"/>
      <c r="AY580" s="87"/>
      <c r="BB580" s="88"/>
    </row>
    <row r="581" spans="42:54" ht="15" customHeight="1">
      <c r="AP581" s="80"/>
      <c r="AQ581" s="82"/>
      <c r="AR581" s="83"/>
      <c r="AS581" s="84"/>
      <c r="AV581" s="82"/>
      <c r="AW581" s="90"/>
      <c r="AX581" s="91"/>
      <c r="AY581" s="87"/>
      <c r="BB581" s="88"/>
    </row>
    <row r="582" spans="42:54" ht="15" customHeight="1">
      <c r="AP582" s="80"/>
      <c r="AQ582" s="82"/>
      <c r="AR582" s="83"/>
      <c r="AS582" s="84"/>
      <c r="AV582" s="82"/>
      <c r="AW582" s="90"/>
      <c r="AX582" s="91"/>
      <c r="AY582" s="87"/>
      <c r="BB582" s="88"/>
    </row>
    <row r="583" spans="42:54" ht="15" customHeight="1">
      <c r="AP583" s="80"/>
      <c r="AQ583" s="82"/>
      <c r="AR583" s="83"/>
      <c r="AS583" s="84"/>
      <c r="AV583" s="82"/>
      <c r="AW583" s="90"/>
      <c r="AX583" s="91"/>
      <c r="AY583" s="87"/>
      <c r="BB583" s="88"/>
    </row>
    <row r="584" spans="42:54" ht="15" customHeight="1">
      <c r="AP584" s="80"/>
      <c r="AQ584" s="82"/>
      <c r="AR584" s="83"/>
      <c r="AS584" s="84"/>
      <c r="AV584" s="82"/>
      <c r="AW584" s="90"/>
      <c r="AX584" s="91"/>
      <c r="AY584" s="87"/>
      <c r="BB584" s="88"/>
    </row>
    <row r="585" spans="42:54" ht="15" customHeight="1">
      <c r="AP585" s="80"/>
      <c r="AQ585" s="82"/>
      <c r="AR585" s="83"/>
      <c r="AS585" s="84"/>
      <c r="AV585" s="82"/>
      <c r="AW585" s="90"/>
      <c r="AX585" s="91"/>
      <c r="AY585" s="87"/>
      <c r="BB585" s="88"/>
    </row>
    <row r="586" spans="42:54" ht="15" customHeight="1">
      <c r="AP586" s="80"/>
      <c r="AQ586" s="82"/>
      <c r="AR586" s="83"/>
      <c r="AS586" s="84"/>
      <c r="AV586" s="82"/>
      <c r="AW586" s="90"/>
      <c r="AX586" s="91"/>
      <c r="AY586" s="87"/>
      <c r="BB586" s="88"/>
    </row>
    <row r="587" spans="42:54" ht="15" customHeight="1">
      <c r="AP587" s="80"/>
      <c r="AQ587" s="82"/>
      <c r="AR587" s="83"/>
      <c r="AS587" s="84"/>
      <c r="AV587" s="82"/>
      <c r="AW587" s="90"/>
      <c r="AX587" s="91"/>
      <c r="AY587" s="87"/>
      <c r="BB587" s="88"/>
    </row>
    <row r="588" spans="42:54" ht="15" customHeight="1">
      <c r="AP588" s="80"/>
      <c r="AQ588" s="82"/>
      <c r="AR588" s="83"/>
      <c r="AS588" s="84"/>
      <c r="AV588" s="82"/>
      <c r="AW588" s="90"/>
      <c r="AX588" s="91"/>
      <c r="AY588" s="87"/>
      <c r="BB588" s="88"/>
    </row>
    <row r="589" spans="42:54" ht="15" customHeight="1">
      <c r="AP589" s="80"/>
      <c r="AQ589" s="82"/>
      <c r="AR589" s="83"/>
      <c r="AS589" s="84"/>
      <c r="AV589" s="82"/>
      <c r="AW589" s="90"/>
      <c r="AX589" s="91"/>
      <c r="AY589" s="87"/>
      <c r="BB589" s="88"/>
    </row>
    <row r="590" spans="42:54" ht="15" customHeight="1">
      <c r="AP590" s="80"/>
      <c r="AQ590" s="82"/>
      <c r="AR590" s="83"/>
      <c r="AS590" s="84"/>
      <c r="AV590" s="82"/>
      <c r="AW590" s="90"/>
      <c r="AX590" s="91"/>
      <c r="AY590" s="87"/>
      <c r="BB590" s="88"/>
    </row>
    <row r="591" spans="42:54" ht="15" customHeight="1">
      <c r="AP591" s="80"/>
      <c r="AQ591" s="82"/>
      <c r="AR591" s="83"/>
      <c r="AS591" s="84"/>
      <c r="AV591" s="82"/>
      <c r="AW591" s="90"/>
      <c r="AX591" s="91"/>
      <c r="AY591" s="87"/>
      <c r="BB591" s="88"/>
    </row>
    <row r="592" spans="42:54" ht="15" customHeight="1">
      <c r="AP592" s="80"/>
      <c r="AQ592" s="82"/>
      <c r="AR592" s="83"/>
      <c r="AS592" s="84"/>
      <c r="AV592" s="82"/>
      <c r="AW592" s="90"/>
      <c r="AX592" s="91"/>
      <c r="AY592" s="87"/>
      <c r="BB592" s="88"/>
    </row>
    <row r="593" spans="42:54" ht="15" customHeight="1">
      <c r="AP593" s="80"/>
      <c r="AQ593" s="82"/>
      <c r="AR593" s="83"/>
      <c r="AS593" s="84"/>
      <c r="AV593" s="82"/>
      <c r="AW593" s="90"/>
      <c r="AX593" s="91"/>
      <c r="AY593" s="87"/>
      <c r="BB593" s="88"/>
    </row>
    <row r="594" spans="42:54" ht="15" customHeight="1">
      <c r="AP594" s="80"/>
      <c r="AQ594" s="82"/>
      <c r="AR594" s="83"/>
      <c r="AS594" s="84"/>
      <c r="AV594" s="82"/>
      <c r="AW594" s="90"/>
      <c r="AX594" s="91"/>
      <c r="AY594" s="87"/>
      <c r="BB594" s="88"/>
    </row>
    <row r="595" spans="42:54" ht="15" customHeight="1">
      <c r="AP595" s="80"/>
      <c r="AQ595" s="82"/>
      <c r="AR595" s="83"/>
      <c r="AS595" s="84"/>
      <c r="AV595" s="82"/>
      <c r="AW595" s="90"/>
      <c r="AX595" s="91"/>
      <c r="AY595" s="87"/>
      <c r="BB595" s="88"/>
    </row>
    <row r="596" spans="42:54" ht="15" customHeight="1">
      <c r="AP596" s="80"/>
      <c r="AQ596" s="82"/>
      <c r="AR596" s="83"/>
      <c r="AS596" s="84"/>
      <c r="AV596" s="82"/>
      <c r="AW596" s="90"/>
      <c r="AX596" s="91"/>
      <c r="AY596" s="87"/>
      <c r="BB596" s="88"/>
    </row>
    <row r="597" spans="42:54" ht="15" customHeight="1">
      <c r="AP597" s="80"/>
      <c r="AQ597" s="82"/>
      <c r="AR597" s="83"/>
      <c r="AS597" s="84"/>
      <c r="AV597" s="82"/>
      <c r="AW597" s="90"/>
      <c r="AX597" s="91"/>
      <c r="AY597" s="87"/>
      <c r="BB597" s="88"/>
    </row>
    <row r="598" spans="42:54" ht="15" customHeight="1">
      <c r="AP598" s="80"/>
      <c r="AQ598" s="82"/>
      <c r="AR598" s="83"/>
      <c r="AS598" s="84"/>
      <c r="AV598" s="82"/>
      <c r="AW598" s="90"/>
      <c r="AX598" s="91"/>
      <c r="AY598" s="87"/>
      <c r="BB598" s="88"/>
    </row>
    <row r="599" spans="42:54" ht="15" customHeight="1">
      <c r="AP599" s="80"/>
      <c r="AQ599" s="82"/>
      <c r="AR599" s="83"/>
      <c r="AS599" s="84"/>
      <c r="AV599" s="82"/>
      <c r="AW599" s="90"/>
      <c r="AX599" s="91"/>
      <c r="AY599" s="87"/>
      <c r="BB599" s="88"/>
    </row>
    <row r="600" spans="42:54" ht="15" customHeight="1">
      <c r="AP600" s="80"/>
      <c r="AQ600" s="82"/>
      <c r="AR600" s="83"/>
      <c r="AS600" s="84"/>
      <c r="AV600" s="82"/>
      <c r="AW600" s="90"/>
      <c r="AX600" s="91"/>
      <c r="AY600" s="87"/>
      <c r="BB600" s="88"/>
    </row>
    <row r="601" spans="42:54" ht="15" customHeight="1">
      <c r="AP601" s="80"/>
      <c r="AQ601" s="82"/>
      <c r="AR601" s="83"/>
      <c r="AS601" s="84"/>
      <c r="AV601" s="82"/>
      <c r="AW601" s="90"/>
      <c r="AX601" s="91"/>
      <c r="AY601" s="87"/>
      <c r="BB601" s="88"/>
    </row>
    <row r="602" spans="42:54" ht="15" customHeight="1">
      <c r="AP602" s="80"/>
      <c r="AQ602" s="82"/>
      <c r="AR602" s="83"/>
      <c r="AS602" s="84"/>
      <c r="AV602" s="82"/>
      <c r="AW602" s="90"/>
      <c r="AX602" s="91"/>
      <c r="AY602" s="87"/>
      <c r="BB602" s="88"/>
    </row>
    <row r="603" spans="42:54" ht="15" customHeight="1">
      <c r="AP603" s="80"/>
      <c r="AQ603" s="82"/>
      <c r="AR603" s="83"/>
      <c r="AS603" s="84"/>
      <c r="AV603" s="82"/>
      <c r="AW603" s="90"/>
      <c r="AX603" s="91"/>
      <c r="AY603" s="87"/>
      <c r="BB603" s="88"/>
    </row>
    <row r="604" spans="42:54" ht="15" customHeight="1">
      <c r="AP604" s="80"/>
      <c r="AQ604" s="82"/>
      <c r="AR604" s="83"/>
      <c r="AS604" s="84"/>
      <c r="AV604" s="82"/>
      <c r="AW604" s="90"/>
      <c r="AX604" s="91"/>
      <c r="AY604" s="87"/>
      <c r="BB604" s="88"/>
    </row>
    <row r="605" spans="42:54" ht="15" customHeight="1">
      <c r="AP605" s="80"/>
      <c r="AQ605" s="82"/>
      <c r="AR605" s="83"/>
      <c r="AS605" s="84"/>
      <c r="AV605" s="82"/>
      <c r="AW605" s="90"/>
      <c r="AX605" s="91"/>
      <c r="AY605" s="87"/>
      <c r="BB605" s="88"/>
    </row>
    <row r="606" spans="42:54" ht="15" customHeight="1">
      <c r="AP606" s="80"/>
      <c r="AQ606" s="82"/>
      <c r="AR606" s="83"/>
      <c r="AS606" s="84"/>
      <c r="AV606" s="82"/>
      <c r="AW606" s="90"/>
      <c r="AX606" s="91"/>
      <c r="AY606" s="87"/>
      <c r="BB606" s="88"/>
    </row>
    <row r="607" spans="42:54" ht="15" customHeight="1">
      <c r="AP607" s="80"/>
      <c r="AQ607" s="82"/>
      <c r="AR607" s="83"/>
      <c r="AS607" s="84"/>
      <c r="AV607" s="82"/>
      <c r="AW607" s="90"/>
      <c r="AX607" s="91"/>
      <c r="AY607" s="87"/>
      <c r="BB607" s="88"/>
    </row>
    <row r="608" spans="42:54" ht="15" customHeight="1">
      <c r="AP608" s="80"/>
      <c r="AQ608" s="82"/>
      <c r="AR608" s="83"/>
      <c r="AS608" s="84"/>
      <c r="AV608" s="82"/>
      <c r="AW608" s="90"/>
      <c r="AX608" s="91"/>
      <c r="AY608" s="87"/>
      <c r="BB608" s="88"/>
    </row>
    <row r="609" spans="1:54" ht="15" customHeight="1">
      <c r="AP609" s="80"/>
      <c r="AQ609" s="82"/>
      <c r="AR609" s="83"/>
      <c r="AS609" s="84"/>
      <c r="AV609" s="82"/>
      <c r="AW609" s="90"/>
      <c r="AX609" s="91"/>
      <c r="AY609" s="87"/>
      <c r="BB609" s="88"/>
    </row>
    <row r="610" spans="1:54" ht="15" customHeight="1">
      <c r="AP610" s="80"/>
      <c r="AQ610" s="82"/>
      <c r="AR610" s="83"/>
      <c r="AS610" s="84"/>
      <c r="AV610" s="82"/>
      <c r="AW610" s="90"/>
      <c r="AX610" s="91"/>
      <c r="AY610" s="87"/>
      <c r="BB610" s="88"/>
    </row>
    <row r="611" spans="1:54" ht="15" customHeight="1">
      <c r="AP611" s="80"/>
      <c r="AQ611" s="82"/>
      <c r="AR611" s="83"/>
      <c r="AS611" s="84"/>
      <c r="AV611" s="82"/>
      <c r="AW611" s="90"/>
      <c r="AX611" s="91"/>
      <c r="AY611" s="87"/>
      <c r="BB611" s="88"/>
    </row>
    <row r="612" spans="1:54" ht="15" customHeight="1">
      <c r="AP612" s="80"/>
      <c r="AQ612" s="82"/>
      <c r="AR612" s="83"/>
      <c r="AS612" s="84"/>
      <c r="AV612" s="82"/>
      <c r="AW612" s="90"/>
      <c r="AX612" s="91"/>
      <c r="AY612" s="87"/>
      <c r="BB612" s="88"/>
    </row>
    <row r="613" spans="1:54" ht="15" customHeight="1">
      <c r="AP613" s="80"/>
      <c r="AQ613" s="82"/>
      <c r="AR613" s="83"/>
      <c r="AS613" s="84"/>
      <c r="AV613" s="82"/>
      <c r="AW613" s="90"/>
      <c r="AX613" s="91"/>
      <c r="AY613" s="87"/>
      <c r="BB613" s="88"/>
    </row>
    <row r="614" spans="1:54" ht="15" customHeight="1">
      <c r="AP614" s="80"/>
      <c r="AQ614" s="82"/>
      <c r="AR614" s="83"/>
      <c r="AS614" s="84"/>
      <c r="AV614" s="82"/>
      <c r="AW614" s="90"/>
      <c r="AX614" s="91"/>
      <c r="AY614" s="87"/>
      <c r="BB614" s="88"/>
    </row>
    <row r="615" spans="1:54" ht="15" customHeight="1">
      <c r="AP615" s="80"/>
      <c r="AQ615" s="82"/>
      <c r="AR615" s="83"/>
      <c r="AS615" s="84"/>
      <c r="AV615" s="82"/>
      <c r="AW615" s="90"/>
      <c r="AX615" s="91"/>
      <c r="AY615" s="87"/>
      <c r="BB615" s="88"/>
    </row>
    <row r="616" spans="1:54" ht="15" customHeight="1">
      <c r="AP616" s="80"/>
      <c r="AQ616" s="82"/>
      <c r="AR616" s="83"/>
      <c r="AS616" s="84"/>
      <c r="AV616" s="82"/>
      <c r="AW616" s="90"/>
      <c r="AX616" s="91"/>
      <c r="AY616" s="87"/>
      <c r="BB616" s="88"/>
    </row>
    <row r="617" spans="1:54" ht="15" customHeight="1">
      <c r="AP617" s="80"/>
      <c r="AQ617" s="82"/>
      <c r="AR617" s="83"/>
      <c r="AS617" s="84"/>
      <c r="AV617" s="82"/>
      <c r="AW617" s="90"/>
      <c r="AX617" s="91"/>
      <c r="AY617" s="87"/>
      <c r="BB617" s="88"/>
    </row>
    <row r="618" spans="1:54" ht="15" customHeight="1">
      <c r="A618" s="47"/>
      <c r="B618" s="47"/>
      <c r="C618" s="47"/>
      <c r="D618" s="150"/>
      <c r="E618" s="47"/>
      <c r="F618" s="47"/>
      <c r="G618" s="47"/>
      <c r="AP618" s="80"/>
      <c r="AQ618" s="82"/>
      <c r="AR618" s="83"/>
      <c r="AS618" s="84"/>
      <c r="AV618" s="82"/>
      <c r="AW618" s="90"/>
      <c r="AX618" s="91"/>
      <c r="AY618" s="87"/>
      <c r="BB618" s="88"/>
    </row>
    <row r="619" spans="1:54" ht="15" customHeight="1">
      <c r="AP619" s="80"/>
      <c r="AQ619" s="82"/>
      <c r="AR619" s="83"/>
      <c r="AS619" s="84"/>
      <c r="AV619" s="82"/>
      <c r="AW619" s="90"/>
      <c r="AX619" s="91"/>
      <c r="AY619" s="87"/>
      <c r="BB619" s="88"/>
    </row>
    <row r="620" spans="1:54" ht="15" customHeight="1">
      <c r="AP620" s="80"/>
      <c r="AQ620" s="82"/>
      <c r="AR620" s="83"/>
      <c r="AS620" s="84"/>
      <c r="AV620" s="82"/>
      <c r="AW620" s="90"/>
      <c r="AX620" s="91"/>
      <c r="AY620" s="87"/>
      <c r="BB620" s="88"/>
    </row>
    <row r="621" spans="1:54" ht="15" customHeight="1">
      <c r="AP621" s="80"/>
      <c r="AQ621" s="82"/>
      <c r="AR621" s="83"/>
      <c r="AS621" s="84"/>
      <c r="AV621" s="82"/>
      <c r="AW621" s="90"/>
      <c r="AX621" s="91"/>
      <c r="AY621" s="87"/>
      <c r="BB621" s="88"/>
    </row>
    <row r="622" spans="1:54" ht="15" customHeight="1">
      <c r="AP622" s="80"/>
      <c r="AQ622" s="82"/>
      <c r="AR622" s="83"/>
      <c r="AS622" s="84"/>
      <c r="AV622" s="82"/>
      <c r="AW622" s="90"/>
      <c r="AX622" s="91"/>
      <c r="AY622" s="87"/>
      <c r="BB622" s="88"/>
    </row>
    <row r="623" spans="1:54" ht="15" customHeight="1">
      <c r="AP623" s="80"/>
      <c r="AQ623" s="82"/>
      <c r="AR623" s="83"/>
      <c r="AS623" s="84"/>
      <c r="AV623" s="82"/>
      <c r="AW623" s="90"/>
      <c r="AX623" s="91"/>
      <c r="AY623" s="87"/>
      <c r="BB623" s="88"/>
    </row>
    <row r="624" spans="1:54" ht="15" customHeight="1">
      <c r="AP624" s="80"/>
      <c r="AQ624" s="82"/>
      <c r="AR624" s="83"/>
      <c r="AS624" s="84"/>
      <c r="AV624" s="82"/>
      <c r="AW624" s="90"/>
      <c r="AX624" s="91"/>
      <c r="AY624" s="87"/>
      <c r="BB624" s="88"/>
    </row>
    <row r="625" spans="42:54" ht="15" customHeight="1">
      <c r="AP625" s="80"/>
      <c r="AQ625" s="82"/>
      <c r="AR625" s="83"/>
      <c r="AS625" s="84"/>
      <c r="AV625" s="82"/>
      <c r="AW625" s="90"/>
      <c r="AX625" s="91"/>
      <c r="AY625" s="87"/>
      <c r="BB625" s="88"/>
    </row>
    <row r="626" spans="42:54" ht="15" customHeight="1">
      <c r="AP626" s="80"/>
      <c r="AQ626" s="82"/>
      <c r="AR626" s="83"/>
      <c r="AS626" s="84"/>
      <c r="AV626" s="82"/>
      <c r="AW626" s="90"/>
      <c r="AX626" s="91"/>
      <c r="AY626" s="87"/>
      <c r="BB626" s="88"/>
    </row>
    <row r="627" spans="42:54" ht="15" customHeight="1">
      <c r="AP627" s="80"/>
      <c r="AQ627" s="82"/>
      <c r="AR627" s="83"/>
      <c r="AS627" s="84"/>
      <c r="AV627" s="82"/>
      <c r="AW627" s="90"/>
      <c r="AX627" s="91"/>
      <c r="AY627" s="87"/>
      <c r="BB627" s="88"/>
    </row>
    <row r="628" spans="42:54" ht="15" customHeight="1">
      <c r="AP628" s="80"/>
      <c r="AQ628" s="82"/>
      <c r="AR628" s="83"/>
      <c r="AS628" s="84"/>
      <c r="AV628" s="82"/>
      <c r="AW628" s="90"/>
      <c r="AX628" s="91"/>
      <c r="AY628" s="87"/>
      <c r="BB628" s="88"/>
    </row>
    <row r="629" spans="42:54" ht="15" customHeight="1">
      <c r="AP629" s="80"/>
      <c r="AQ629" s="82"/>
      <c r="AR629" s="83"/>
      <c r="AS629" s="84"/>
      <c r="AV629" s="82"/>
      <c r="AW629" s="90"/>
      <c r="AX629" s="91"/>
      <c r="AY629" s="87"/>
      <c r="BB629" s="88"/>
    </row>
    <row r="630" spans="42:54" ht="15" customHeight="1">
      <c r="AP630" s="80"/>
      <c r="AQ630" s="82"/>
      <c r="AR630" s="83"/>
      <c r="AS630" s="84"/>
      <c r="AV630" s="82"/>
      <c r="AW630" s="90"/>
      <c r="AX630" s="91"/>
      <c r="AY630" s="87"/>
      <c r="BB630" s="88"/>
    </row>
    <row r="631" spans="42:54" ht="15" customHeight="1">
      <c r="AP631" s="80"/>
      <c r="AQ631" s="82"/>
      <c r="AR631" s="83"/>
      <c r="AS631" s="84"/>
      <c r="AV631" s="82"/>
      <c r="AW631" s="90"/>
      <c r="AX631" s="91"/>
      <c r="AY631" s="87"/>
      <c r="BB631" s="88"/>
    </row>
    <row r="632" spans="42:54" ht="15" customHeight="1">
      <c r="AP632" s="80"/>
      <c r="AQ632" s="82"/>
      <c r="AR632" s="83"/>
      <c r="AS632" s="84"/>
      <c r="AV632" s="82"/>
      <c r="AW632" s="90"/>
      <c r="AX632" s="91"/>
      <c r="AY632" s="87"/>
      <c r="BB632" s="88"/>
    </row>
    <row r="633" spans="42:54" ht="15" customHeight="1">
      <c r="AP633" s="80"/>
      <c r="AQ633" s="82"/>
      <c r="AR633" s="83"/>
      <c r="AS633" s="84"/>
      <c r="AV633" s="82"/>
      <c r="AW633" s="90"/>
      <c r="AX633" s="91"/>
      <c r="AY633" s="87"/>
      <c r="BB633" s="88"/>
    </row>
    <row r="634" spans="42:54" ht="15" customHeight="1">
      <c r="AP634" s="80"/>
      <c r="AQ634" s="82"/>
      <c r="AR634" s="83"/>
      <c r="AS634" s="84"/>
      <c r="AV634" s="82"/>
      <c r="AW634" s="90"/>
      <c r="AX634" s="91"/>
      <c r="AY634" s="87"/>
      <c r="BB634" s="88"/>
    </row>
    <row r="635" spans="42:54" ht="15" customHeight="1">
      <c r="AP635" s="80"/>
      <c r="AQ635" s="82"/>
      <c r="AR635" s="83"/>
      <c r="AS635" s="84"/>
      <c r="AV635" s="82"/>
      <c r="AW635" s="90"/>
      <c r="AX635" s="91"/>
      <c r="AY635" s="87"/>
      <c r="BB635" s="88"/>
    </row>
    <row r="636" spans="42:54" ht="15" customHeight="1">
      <c r="AP636" s="80"/>
      <c r="AQ636" s="82"/>
      <c r="AR636" s="83"/>
      <c r="AS636" s="84"/>
      <c r="AV636" s="82"/>
      <c r="AW636" s="90"/>
      <c r="AX636" s="91"/>
      <c r="AY636" s="87"/>
      <c r="BB636" s="88"/>
    </row>
    <row r="637" spans="42:54" ht="15" customHeight="1">
      <c r="AP637" s="80"/>
      <c r="AQ637" s="82"/>
      <c r="AR637" s="83"/>
      <c r="AS637" s="84"/>
      <c r="AV637" s="82"/>
      <c r="AW637" s="90"/>
      <c r="AX637" s="91"/>
      <c r="AY637" s="87"/>
      <c r="BB637" s="88"/>
    </row>
    <row r="638" spans="42:54" ht="15" customHeight="1">
      <c r="AP638" s="80"/>
      <c r="AQ638" s="82"/>
      <c r="AR638" s="83"/>
      <c r="AS638" s="84"/>
      <c r="AV638" s="82"/>
      <c r="AW638" s="90"/>
      <c r="AX638" s="91"/>
      <c r="AY638" s="87"/>
      <c r="BB638" s="88"/>
    </row>
    <row r="639" spans="42:54" ht="15" customHeight="1">
      <c r="AP639" s="80"/>
      <c r="AQ639" s="82"/>
      <c r="AR639" s="83"/>
      <c r="AS639" s="84"/>
      <c r="AV639" s="82"/>
      <c r="AW639" s="90"/>
      <c r="AX639" s="91"/>
      <c r="AY639" s="87"/>
      <c r="BB639" s="88"/>
    </row>
    <row r="640" spans="42:54" ht="15" customHeight="1">
      <c r="AP640" s="80"/>
      <c r="AQ640" s="82"/>
      <c r="AR640" s="83"/>
      <c r="AS640" s="84"/>
      <c r="AV640" s="82"/>
      <c r="AW640" s="90"/>
      <c r="AX640" s="91"/>
      <c r="AY640" s="87"/>
      <c r="BB640" s="88"/>
    </row>
    <row r="641" spans="42:54" ht="15" customHeight="1">
      <c r="AP641" s="80"/>
      <c r="AQ641" s="82"/>
      <c r="AR641" s="83"/>
      <c r="AS641" s="84"/>
      <c r="AV641" s="82"/>
      <c r="AW641" s="90"/>
      <c r="AX641" s="91"/>
      <c r="AY641" s="87"/>
      <c r="BB641" s="88"/>
    </row>
    <row r="642" spans="42:54" ht="15" customHeight="1">
      <c r="AP642" s="80"/>
      <c r="AQ642" s="82"/>
      <c r="AR642" s="83"/>
      <c r="AS642" s="84"/>
      <c r="AV642" s="82"/>
      <c r="AW642" s="90"/>
      <c r="AX642" s="91"/>
      <c r="AY642" s="87"/>
      <c r="BB642" s="88"/>
    </row>
    <row r="643" spans="42:54" ht="15" customHeight="1">
      <c r="AP643" s="80"/>
      <c r="AQ643" s="82"/>
      <c r="AR643" s="83"/>
      <c r="AS643" s="84"/>
      <c r="AV643" s="82"/>
      <c r="AW643" s="90"/>
      <c r="AX643" s="91"/>
      <c r="AY643" s="87"/>
      <c r="BB643" s="88"/>
    </row>
    <row r="644" spans="42:54" ht="15" customHeight="1">
      <c r="AP644" s="80"/>
      <c r="AQ644" s="82"/>
      <c r="AR644" s="83"/>
      <c r="AS644" s="84"/>
      <c r="AV644" s="82"/>
      <c r="AW644" s="90"/>
      <c r="AX644" s="91"/>
      <c r="AY644" s="87"/>
      <c r="BB644" s="88"/>
    </row>
    <row r="645" spans="42:54" ht="15" customHeight="1">
      <c r="AP645" s="80"/>
      <c r="AQ645" s="82"/>
      <c r="AR645" s="83"/>
      <c r="AS645" s="84"/>
      <c r="AV645" s="82"/>
      <c r="AW645" s="90"/>
      <c r="AX645" s="91"/>
      <c r="AY645" s="87"/>
      <c r="BB645" s="88"/>
    </row>
    <row r="646" spans="42:54" ht="15" customHeight="1">
      <c r="AP646" s="80"/>
      <c r="AQ646" s="82"/>
      <c r="AR646" s="83"/>
      <c r="AS646" s="84"/>
      <c r="AV646" s="82"/>
      <c r="AW646" s="90"/>
      <c r="AX646" s="91"/>
      <c r="AY646" s="87"/>
      <c r="BB646" s="88"/>
    </row>
    <row r="647" spans="42:54" ht="15" customHeight="1">
      <c r="AP647" s="80"/>
      <c r="AQ647" s="82"/>
      <c r="AR647" s="83"/>
      <c r="AS647" s="84"/>
      <c r="AV647" s="82"/>
      <c r="AW647" s="90"/>
      <c r="AX647" s="91"/>
      <c r="AY647" s="87"/>
      <c r="BB647" s="88"/>
    </row>
    <row r="648" spans="42:54" ht="15" customHeight="1">
      <c r="AP648" s="80"/>
      <c r="AQ648" s="82"/>
      <c r="AR648" s="83"/>
      <c r="AS648" s="84"/>
      <c r="AV648" s="82"/>
      <c r="AW648" s="90"/>
      <c r="AX648" s="91"/>
      <c r="AY648" s="87"/>
      <c r="BB648" s="88"/>
    </row>
    <row r="649" spans="42:54" ht="15" customHeight="1">
      <c r="AP649" s="80"/>
      <c r="AQ649" s="82"/>
      <c r="AR649" s="83"/>
      <c r="AS649" s="84"/>
      <c r="AV649" s="82"/>
      <c r="AW649" s="90"/>
      <c r="AX649" s="91"/>
      <c r="AY649" s="87"/>
      <c r="BB649" s="88"/>
    </row>
    <row r="650" spans="42:54" ht="15" customHeight="1">
      <c r="AP650" s="80"/>
      <c r="AQ650" s="82"/>
      <c r="AR650" s="83"/>
      <c r="AS650" s="84"/>
      <c r="AV650" s="82"/>
      <c r="AW650" s="90"/>
      <c r="AX650" s="91"/>
      <c r="AY650" s="87"/>
      <c r="BB650" s="88"/>
    </row>
    <row r="651" spans="42:54" ht="15" customHeight="1">
      <c r="AP651" s="80"/>
      <c r="AQ651" s="82"/>
      <c r="AR651" s="83"/>
      <c r="AS651" s="84"/>
      <c r="AV651" s="82"/>
      <c r="AW651" s="90"/>
      <c r="AX651" s="91"/>
      <c r="AY651" s="87"/>
      <c r="BB651" s="88"/>
    </row>
    <row r="652" spans="42:54" ht="15" customHeight="1">
      <c r="AP652" s="80"/>
      <c r="AQ652" s="82"/>
      <c r="AR652" s="83"/>
      <c r="AS652" s="84"/>
      <c r="AV652" s="82"/>
      <c r="AW652" s="90"/>
      <c r="AX652" s="91"/>
      <c r="AY652" s="87"/>
      <c r="BB652" s="88"/>
    </row>
    <row r="653" spans="42:54" ht="15" customHeight="1">
      <c r="AP653" s="80"/>
      <c r="AQ653" s="82"/>
      <c r="AR653" s="83"/>
      <c r="AS653" s="84"/>
      <c r="AV653" s="82"/>
      <c r="AW653" s="90"/>
      <c r="AX653" s="91"/>
      <c r="AY653" s="87"/>
      <c r="BB653" s="88"/>
    </row>
    <row r="654" spans="42:54" ht="15" customHeight="1">
      <c r="AP654" s="80"/>
      <c r="AQ654" s="82"/>
      <c r="AR654" s="83"/>
      <c r="AS654" s="84"/>
      <c r="AV654" s="82"/>
      <c r="AW654" s="90"/>
      <c r="AX654" s="91"/>
      <c r="AY654" s="87"/>
      <c r="BB654" s="88"/>
    </row>
    <row r="655" spans="42:54" ht="15" customHeight="1">
      <c r="AP655" s="80"/>
      <c r="AQ655" s="82"/>
      <c r="AR655" s="83"/>
      <c r="AS655" s="84"/>
      <c r="AV655" s="82"/>
      <c r="AW655" s="90"/>
      <c r="AX655" s="91"/>
      <c r="AY655" s="87"/>
      <c r="BB655" s="88"/>
    </row>
    <row r="656" spans="42:54" ht="15" customHeight="1">
      <c r="AP656" s="80"/>
      <c r="AQ656" s="82"/>
      <c r="AR656" s="83"/>
      <c r="AS656" s="84"/>
      <c r="AV656" s="82"/>
      <c r="AW656" s="90"/>
      <c r="AX656" s="91"/>
      <c r="AY656" s="87"/>
      <c r="BB656" s="88"/>
    </row>
    <row r="657" spans="8:54" ht="15" customHeight="1">
      <c r="AP657" s="80"/>
      <c r="AQ657" s="82"/>
      <c r="AR657" s="83"/>
      <c r="AS657" s="84"/>
      <c r="AV657" s="82"/>
      <c r="AW657" s="90"/>
      <c r="AX657" s="91"/>
      <c r="AY657" s="87"/>
      <c r="BB657" s="88"/>
    </row>
    <row r="658" spans="8:54" ht="15" customHeight="1">
      <c r="AP658" s="80"/>
      <c r="AQ658" s="82"/>
      <c r="AR658" s="83"/>
      <c r="AS658" s="84"/>
      <c r="AV658" s="82"/>
      <c r="AW658" s="90"/>
      <c r="AX658" s="91"/>
      <c r="AY658" s="87"/>
      <c r="BB658" s="88"/>
    </row>
    <row r="659" spans="8:54" ht="15" customHeight="1">
      <c r="AP659" s="80"/>
      <c r="AQ659" s="82"/>
      <c r="AR659" s="83"/>
      <c r="AS659" s="84"/>
      <c r="AV659" s="82"/>
      <c r="AW659" s="90"/>
      <c r="AX659" s="91"/>
      <c r="AY659" s="87"/>
      <c r="BB659" s="88"/>
    </row>
    <row r="660" spans="8:54" ht="15" customHeight="1">
      <c r="H660" s="46"/>
      <c r="AP660" s="80"/>
      <c r="AQ660" s="82"/>
      <c r="AR660" s="83"/>
      <c r="AS660" s="84"/>
      <c r="AV660" s="82"/>
      <c r="AW660" s="90"/>
      <c r="AX660" s="91"/>
      <c r="AY660" s="87"/>
      <c r="BB660" s="88"/>
    </row>
    <row r="661" spans="8:54" ht="15" customHeight="1">
      <c r="AP661" s="80"/>
      <c r="AQ661" s="82"/>
      <c r="AR661" s="83"/>
      <c r="AS661" s="84"/>
      <c r="AV661" s="82"/>
      <c r="AW661" s="90"/>
      <c r="AX661" s="91"/>
      <c r="AY661" s="87"/>
      <c r="BB661" s="88"/>
    </row>
    <row r="662" spans="8:54" ht="15" customHeight="1">
      <c r="AP662" s="80"/>
      <c r="AQ662" s="82"/>
      <c r="AR662" s="83"/>
      <c r="AS662" s="84"/>
      <c r="AV662" s="82"/>
      <c r="AW662" s="90"/>
      <c r="AX662" s="91"/>
      <c r="AY662" s="87"/>
      <c r="BB662" s="88"/>
    </row>
    <row r="663" spans="8:54" ht="15" customHeight="1">
      <c r="AP663" s="80"/>
      <c r="AQ663" s="82"/>
      <c r="AR663" s="83"/>
      <c r="AS663" s="84"/>
      <c r="AV663" s="82"/>
      <c r="AW663" s="90"/>
      <c r="AX663" s="91"/>
      <c r="AY663" s="87"/>
      <c r="BB663" s="88"/>
    </row>
    <row r="664" spans="8:54" ht="15" customHeight="1">
      <c r="AP664" s="80"/>
      <c r="AQ664" s="82"/>
      <c r="AR664" s="83"/>
      <c r="AS664" s="84"/>
      <c r="AV664" s="82"/>
      <c r="AW664" s="90"/>
      <c r="AX664" s="91"/>
      <c r="AY664" s="87"/>
      <c r="BB664" s="88"/>
    </row>
    <row r="665" spans="8:54" ht="15" customHeight="1">
      <c r="AP665" s="80"/>
      <c r="AQ665" s="82"/>
      <c r="AR665" s="83"/>
      <c r="AS665" s="84"/>
      <c r="AV665" s="82"/>
      <c r="AW665" s="90"/>
      <c r="AX665" s="91"/>
      <c r="AY665" s="87"/>
      <c r="BB665" s="88"/>
    </row>
    <row r="666" spans="8:54" ht="15" customHeight="1">
      <c r="AP666" s="80"/>
      <c r="AQ666" s="82"/>
      <c r="AR666" s="83"/>
      <c r="AS666" s="84"/>
      <c r="AV666" s="82"/>
      <c r="AW666" s="90"/>
      <c r="AX666" s="91"/>
      <c r="AY666" s="87"/>
      <c r="BB666" s="88"/>
    </row>
    <row r="667" spans="8:54" ht="15" customHeight="1">
      <c r="AP667" s="80"/>
      <c r="AQ667" s="82"/>
      <c r="AR667" s="83"/>
      <c r="AS667" s="84"/>
      <c r="AV667" s="82"/>
      <c r="AW667" s="90"/>
      <c r="AX667" s="91"/>
      <c r="AY667" s="87"/>
      <c r="BB667" s="88"/>
    </row>
    <row r="668" spans="8:54" ht="15" customHeight="1">
      <c r="AP668" s="80"/>
      <c r="AQ668" s="82"/>
      <c r="AR668" s="83"/>
      <c r="AS668" s="84"/>
      <c r="AV668" s="82"/>
      <c r="AW668" s="90"/>
      <c r="AX668" s="91"/>
      <c r="AY668" s="87"/>
      <c r="BB668" s="88"/>
    </row>
    <row r="669" spans="8:54" ht="15" customHeight="1">
      <c r="AP669" s="80"/>
      <c r="AQ669" s="82"/>
      <c r="AR669" s="83"/>
      <c r="AS669" s="84"/>
      <c r="AV669" s="82"/>
      <c r="AW669" s="90"/>
      <c r="AX669" s="91"/>
      <c r="AY669" s="87"/>
      <c r="BB669" s="88"/>
    </row>
    <row r="670" spans="8:54" ht="15" customHeight="1">
      <c r="AP670" s="80"/>
      <c r="AQ670" s="82"/>
      <c r="AR670" s="83"/>
      <c r="AS670" s="84"/>
      <c r="AV670" s="82"/>
      <c r="AW670" s="90"/>
      <c r="AX670" s="91"/>
      <c r="AY670" s="87"/>
      <c r="BB670" s="88"/>
    </row>
    <row r="671" spans="8:54" ht="15" customHeight="1">
      <c r="AP671" s="80"/>
      <c r="AQ671" s="82"/>
      <c r="AR671" s="83"/>
      <c r="AS671" s="84"/>
      <c r="AV671" s="82"/>
      <c r="AW671" s="90"/>
      <c r="AX671" s="91"/>
      <c r="AY671" s="87"/>
      <c r="BB671" s="88"/>
    </row>
    <row r="672" spans="8:54" ht="15" customHeight="1">
      <c r="AP672" s="80"/>
      <c r="AQ672" s="82"/>
      <c r="AR672" s="83"/>
      <c r="AS672" s="84"/>
      <c r="AV672" s="82"/>
      <c r="AW672" s="90"/>
      <c r="AX672" s="91"/>
      <c r="AY672" s="87"/>
      <c r="BB672" s="88"/>
    </row>
    <row r="673" spans="8:54" ht="15" customHeight="1">
      <c r="AP673" s="80"/>
      <c r="AQ673" s="82"/>
      <c r="AR673" s="83"/>
      <c r="AS673" s="84"/>
      <c r="AV673" s="82"/>
      <c r="AW673" s="90"/>
      <c r="AX673" s="91"/>
      <c r="AY673" s="87"/>
      <c r="BB673" s="88"/>
    </row>
    <row r="674" spans="8:54" ht="15" customHeight="1">
      <c r="AP674" s="80"/>
      <c r="AQ674" s="82"/>
      <c r="AR674" s="83"/>
      <c r="AS674" s="84"/>
      <c r="AV674" s="82"/>
      <c r="AW674" s="90"/>
      <c r="AX674" s="91"/>
      <c r="AY674" s="87"/>
      <c r="BB674" s="88"/>
    </row>
    <row r="675" spans="8:54" ht="15" customHeight="1">
      <c r="AP675" s="80"/>
      <c r="AQ675" s="82"/>
      <c r="AR675" s="83"/>
      <c r="AS675" s="84"/>
      <c r="AV675" s="82"/>
      <c r="AW675" s="90"/>
      <c r="AX675" s="91"/>
      <c r="AY675" s="87"/>
      <c r="BB675" s="88"/>
    </row>
    <row r="676" spans="8:54" ht="15" customHeight="1">
      <c r="AP676" s="80"/>
      <c r="AQ676" s="82"/>
      <c r="AR676" s="83"/>
      <c r="AS676" s="84"/>
      <c r="AV676" s="82"/>
      <c r="AW676" s="90"/>
      <c r="AX676" s="91"/>
      <c r="AY676" s="87"/>
      <c r="BB676" s="88"/>
    </row>
    <row r="677" spans="8:54" ht="15" customHeight="1">
      <c r="AP677" s="80"/>
      <c r="AQ677" s="82"/>
      <c r="AR677" s="83"/>
      <c r="AS677" s="84"/>
      <c r="AV677" s="82"/>
      <c r="AW677" s="90"/>
      <c r="AX677" s="91"/>
      <c r="AY677" s="87"/>
      <c r="BB677" s="88"/>
    </row>
    <row r="678" spans="8:54" ht="15" customHeight="1">
      <c r="AP678" s="80"/>
      <c r="AQ678" s="82"/>
      <c r="AR678" s="83"/>
      <c r="AS678" s="84"/>
      <c r="AV678" s="82"/>
      <c r="AW678" s="90"/>
      <c r="AX678" s="91"/>
      <c r="AY678" s="87"/>
      <c r="BB678" s="88"/>
    </row>
    <row r="679" spans="8:54" ht="15" customHeight="1">
      <c r="AP679" s="80"/>
      <c r="AQ679" s="82"/>
      <c r="AR679" s="83"/>
      <c r="AS679" s="84"/>
      <c r="AV679" s="82"/>
      <c r="AW679" s="90"/>
      <c r="AX679" s="91"/>
      <c r="AY679" s="87"/>
      <c r="BB679" s="88"/>
    </row>
    <row r="680" spans="8:54" ht="15" customHeight="1">
      <c r="H680" s="46"/>
      <c r="AP680" s="80"/>
      <c r="AQ680" s="82"/>
      <c r="AR680" s="83"/>
      <c r="AS680" s="84"/>
      <c r="AV680" s="82"/>
      <c r="AW680" s="90"/>
      <c r="AX680" s="91"/>
      <c r="AY680" s="87"/>
      <c r="BB680" s="88"/>
    </row>
    <row r="681" spans="8:54" ht="15" customHeight="1">
      <c r="AP681" s="80"/>
      <c r="AQ681" s="82"/>
      <c r="AR681" s="83"/>
      <c r="AS681" s="84"/>
      <c r="AV681" s="82"/>
      <c r="AW681" s="90"/>
      <c r="AX681" s="91"/>
      <c r="AY681" s="87"/>
      <c r="BB681" s="88"/>
    </row>
    <row r="682" spans="8:54" ht="15" customHeight="1">
      <c r="AP682" s="80"/>
      <c r="AQ682" s="82"/>
      <c r="AR682" s="83"/>
      <c r="AS682" s="84"/>
      <c r="AV682" s="82"/>
      <c r="AW682" s="90"/>
      <c r="AX682" s="91"/>
      <c r="AY682" s="87"/>
      <c r="BB682" s="88"/>
    </row>
    <row r="683" spans="8:54" ht="15" customHeight="1">
      <c r="AP683" s="80"/>
      <c r="AQ683" s="82"/>
      <c r="AR683" s="83"/>
      <c r="AS683" s="84"/>
      <c r="AV683" s="82"/>
      <c r="AW683" s="90"/>
      <c r="AX683" s="91"/>
      <c r="AY683" s="87"/>
      <c r="BB683" s="88"/>
    </row>
    <row r="684" spans="8:54" ht="15" customHeight="1">
      <c r="AP684" s="80"/>
      <c r="AQ684" s="82"/>
      <c r="AR684" s="83"/>
      <c r="AS684" s="84"/>
      <c r="AV684" s="82"/>
      <c r="AW684" s="90"/>
      <c r="AX684" s="91"/>
      <c r="AY684" s="87"/>
      <c r="BB684" s="88"/>
    </row>
    <row r="685" spans="8:54" ht="15" customHeight="1">
      <c r="AP685" s="80"/>
      <c r="AQ685" s="82"/>
      <c r="AR685" s="83"/>
      <c r="AS685" s="84"/>
      <c r="AV685" s="82"/>
      <c r="AW685" s="90"/>
      <c r="AX685" s="91"/>
      <c r="AY685" s="87"/>
      <c r="BB685" s="88"/>
    </row>
    <row r="686" spans="8:54" ht="15" customHeight="1">
      <c r="AP686" s="80"/>
      <c r="AQ686" s="82"/>
      <c r="AR686" s="83"/>
      <c r="AS686" s="84"/>
      <c r="AV686" s="82"/>
      <c r="AW686" s="90"/>
      <c r="AX686" s="91"/>
      <c r="AY686" s="87"/>
      <c r="BB686" s="88"/>
    </row>
    <row r="687" spans="8:54" ht="15" customHeight="1">
      <c r="AP687" s="80"/>
      <c r="AQ687" s="82"/>
      <c r="AR687" s="83"/>
      <c r="AS687" s="84"/>
      <c r="AV687" s="82"/>
      <c r="AW687" s="90"/>
      <c r="AX687" s="91"/>
      <c r="AY687" s="87"/>
      <c r="BB687" s="88"/>
    </row>
    <row r="688" spans="8:54" ht="15" customHeight="1">
      <c r="AP688" s="80"/>
      <c r="AQ688" s="82"/>
      <c r="AR688" s="83"/>
      <c r="AS688" s="84"/>
      <c r="AV688" s="82"/>
      <c r="AW688" s="90"/>
      <c r="AX688" s="91"/>
      <c r="AY688" s="87"/>
      <c r="BB688" s="88"/>
    </row>
    <row r="689" spans="42:54" ht="15" customHeight="1">
      <c r="AP689" s="80"/>
      <c r="AQ689" s="82"/>
      <c r="AR689" s="83"/>
      <c r="AS689" s="84"/>
      <c r="AV689" s="82"/>
      <c r="AW689" s="90"/>
      <c r="AX689" s="91"/>
      <c r="AY689" s="87"/>
      <c r="BB689" s="88"/>
    </row>
    <row r="690" spans="42:54" ht="15" customHeight="1">
      <c r="AP690" s="80"/>
      <c r="AQ690" s="82"/>
      <c r="AR690" s="83"/>
      <c r="AS690" s="84"/>
      <c r="AV690" s="82"/>
      <c r="AW690" s="90"/>
      <c r="AX690" s="91"/>
      <c r="AY690" s="87"/>
      <c r="BB690" s="88"/>
    </row>
    <row r="691" spans="42:54" ht="15" customHeight="1">
      <c r="AP691" s="80"/>
      <c r="AQ691" s="82"/>
      <c r="AR691" s="83"/>
      <c r="AS691" s="84"/>
      <c r="AV691" s="82"/>
      <c r="AW691" s="90"/>
      <c r="AX691" s="91"/>
      <c r="AY691" s="87"/>
      <c r="BB691" s="88"/>
    </row>
    <row r="692" spans="42:54" ht="15" customHeight="1">
      <c r="AP692" s="80"/>
      <c r="AQ692" s="82"/>
      <c r="AR692" s="83"/>
      <c r="AS692" s="84"/>
      <c r="AV692" s="82"/>
      <c r="AW692" s="90"/>
      <c r="AX692" s="91"/>
      <c r="AY692" s="87"/>
      <c r="BB692" s="88"/>
    </row>
    <row r="693" spans="42:54" ht="15" customHeight="1">
      <c r="AP693" s="80"/>
      <c r="AQ693" s="82"/>
      <c r="AR693" s="83"/>
      <c r="AS693" s="84"/>
      <c r="AV693" s="82"/>
      <c r="AW693" s="90"/>
      <c r="AX693" s="91"/>
      <c r="AY693" s="87"/>
      <c r="BB693" s="88"/>
    </row>
    <row r="694" spans="42:54" ht="15" customHeight="1">
      <c r="AP694" s="80"/>
      <c r="AQ694" s="82"/>
      <c r="AR694" s="83"/>
      <c r="AS694" s="84"/>
      <c r="AV694" s="82"/>
      <c r="AW694" s="90"/>
      <c r="AX694" s="91"/>
      <c r="AY694" s="87"/>
      <c r="BB694" s="88"/>
    </row>
    <row r="695" spans="42:54" ht="15" customHeight="1">
      <c r="AP695" s="80"/>
      <c r="AQ695" s="82"/>
      <c r="AR695" s="83"/>
      <c r="AS695" s="84"/>
      <c r="AV695" s="82"/>
      <c r="AW695" s="90"/>
      <c r="AX695" s="91"/>
      <c r="AY695" s="87"/>
      <c r="BB695" s="88"/>
    </row>
    <row r="696" spans="42:54" ht="15" customHeight="1">
      <c r="AP696" s="80"/>
      <c r="AQ696" s="82"/>
      <c r="AR696" s="83"/>
      <c r="AS696" s="84"/>
      <c r="AV696" s="82"/>
      <c r="AW696" s="90"/>
      <c r="AX696" s="91"/>
      <c r="AY696" s="87"/>
      <c r="BB696" s="88"/>
    </row>
    <row r="697" spans="42:54" ht="15" customHeight="1">
      <c r="AP697" s="80"/>
      <c r="AQ697" s="82"/>
      <c r="AR697" s="83"/>
      <c r="AS697" s="84"/>
      <c r="AV697" s="82"/>
      <c r="AW697" s="90"/>
      <c r="AX697" s="91"/>
      <c r="AY697" s="87"/>
      <c r="BB697" s="88"/>
    </row>
    <row r="698" spans="42:54" ht="15" customHeight="1">
      <c r="AP698" s="80"/>
      <c r="AQ698" s="82"/>
      <c r="AR698" s="83"/>
      <c r="AS698" s="84"/>
      <c r="AV698" s="82"/>
      <c r="AW698" s="90"/>
      <c r="AX698" s="91"/>
      <c r="AY698" s="87"/>
      <c r="BB698" s="88"/>
    </row>
    <row r="699" spans="42:54" ht="15" customHeight="1">
      <c r="AP699" s="80"/>
      <c r="AQ699" s="82"/>
      <c r="AR699" s="83"/>
      <c r="AS699" s="84"/>
      <c r="AV699" s="82"/>
      <c r="AW699" s="90"/>
      <c r="AX699" s="91"/>
      <c r="AY699" s="87"/>
      <c r="BB699" s="88"/>
    </row>
    <row r="700" spans="42:54" ht="15" customHeight="1">
      <c r="AP700" s="80"/>
      <c r="AQ700" s="82"/>
      <c r="AR700" s="83"/>
      <c r="AS700" s="84"/>
      <c r="AV700" s="82"/>
      <c r="AW700" s="90"/>
      <c r="AX700" s="91"/>
      <c r="AY700" s="87"/>
      <c r="BB700" s="88"/>
    </row>
    <row r="701" spans="42:54" ht="15" customHeight="1">
      <c r="AP701" s="80"/>
      <c r="AQ701" s="82"/>
      <c r="AR701" s="83"/>
      <c r="AS701" s="84"/>
      <c r="AV701" s="82"/>
      <c r="AW701" s="90"/>
      <c r="AX701" s="91"/>
      <c r="AY701" s="87"/>
      <c r="BB701" s="88"/>
    </row>
    <row r="702" spans="42:54" ht="15" customHeight="1">
      <c r="AP702" s="80"/>
      <c r="AQ702" s="82"/>
      <c r="AR702" s="83"/>
      <c r="AS702" s="84"/>
      <c r="AV702" s="82"/>
      <c r="AW702" s="90"/>
      <c r="AX702" s="91"/>
      <c r="AY702" s="87"/>
      <c r="BB702" s="88"/>
    </row>
    <row r="703" spans="42:54" ht="15" customHeight="1">
      <c r="AP703" s="80"/>
      <c r="AQ703" s="82"/>
      <c r="AR703" s="83"/>
      <c r="AS703" s="84"/>
      <c r="AV703" s="82"/>
      <c r="AW703" s="90"/>
      <c r="AX703" s="91"/>
      <c r="AY703" s="87"/>
      <c r="BB703" s="88"/>
    </row>
    <row r="704" spans="42:54" ht="15" customHeight="1">
      <c r="AP704" s="80"/>
      <c r="AQ704" s="82"/>
      <c r="AR704" s="83"/>
      <c r="AS704" s="84"/>
      <c r="AV704" s="82"/>
      <c r="AW704" s="90"/>
      <c r="AX704" s="91"/>
      <c r="AY704" s="87"/>
      <c r="BB704" s="88"/>
    </row>
    <row r="705" spans="42:54" ht="15" customHeight="1">
      <c r="AP705" s="80"/>
      <c r="AQ705" s="82"/>
      <c r="AR705" s="83"/>
      <c r="AS705" s="84"/>
      <c r="AV705" s="82"/>
      <c r="AW705" s="90"/>
      <c r="AX705" s="91"/>
      <c r="AY705" s="87"/>
      <c r="BB705" s="88"/>
    </row>
    <row r="706" spans="42:54" ht="15" customHeight="1">
      <c r="AP706" s="80"/>
      <c r="AQ706" s="82"/>
      <c r="AR706" s="83"/>
      <c r="AS706" s="84"/>
      <c r="AV706" s="82"/>
      <c r="AW706" s="90"/>
      <c r="AX706" s="91"/>
      <c r="AY706" s="87"/>
      <c r="BB706" s="88"/>
    </row>
    <row r="707" spans="42:54" ht="15" customHeight="1">
      <c r="AP707" s="80"/>
      <c r="AQ707" s="82"/>
      <c r="AR707" s="83"/>
      <c r="AS707" s="84"/>
      <c r="AV707" s="82"/>
      <c r="AW707" s="90"/>
      <c r="AX707" s="91"/>
      <c r="AY707" s="87"/>
      <c r="BB707" s="88"/>
    </row>
    <row r="708" spans="42:54" ht="15" customHeight="1">
      <c r="AP708" s="80"/>
      <c r="AQ708" s="82"/>
      <c r="AR708" s="83"/>
      <c r="AS708" s="84"/>
      <c r="AV708" s="82"/>
      <c r="AW708" s="90"/>
      <c r="AX708" s="91"/>
      <c r="AY708" s="87"/>
      <c r="BB708" s="88"/>
    </row>
    <row r="709" spans="42:54" ht="15" customHeight="1">
      <c r="AP709" s="80"/>
      <c r="AQ709" s="82"/>
      <c r="AR709" s="83"/>
      <c r="AS709" s="84"/>
      <c r="AV709" s="82"/>
      <c r="AW709" s="90"/>
      <c r="AX709" s="91"/>
      <c r="AY709" s="87"/>
      <c r="BB709" s="88"/>
    </row>
    <row r="710" spans="42:54" ht="15" customHeight="1">
      <c r="AP710" s="80"/>
      <c r="AQ710" s="82"/>
      <c r="AR710" s="83"/>
      <c r="AS710" s="84"/>
      <c r="AV710" s="82"/>
      <c r="AW710" s="90"/>
      <c r="AX710" s="91"/>
      <c r="AY710" s="87"/>
      <c r="BB710" s="88"/>
    </row>
    <row r="711" spans="42:54" ht="15" customHeight="1">
      <c r="AP711" s="80"/>
      <c r="AQ711" s="82"/>
      <c r="AR711" s="83"/>
      <c r="AS711" s="84"/>
      <c r="AV711" s="82"/>
      <c r="AW711" s="90"/>
      <c r="AX711" s="91"/>
      <c r="AY711" s="87"/>
      <c r="BB711" s="88"/>
    </row>
    <row r="712" spans="42:54" ht="15" customHeight="1">
      <c r="AP712" s="80"/>
      <c r="AQ712" s="82"/>
      <c r="AR712" s="83"/>
      <c r="AS712" s="84"/>
      <c r="AV712" s="82"/>
      <c r="AW712" s="90"/>
      <c r="AX712" s="91"/>
      <c r="AY712" s="87"/>
      <c r="BB712" s="88"/>
    </row>
    <row r="713" spans="42:54" ht="15" customHeight="1">
      <c r="AP713" s="80"/>
      <c r="AQ713" s="82"/>
      <c r="AR713" s="83"/>
      <c r="AS713" s="84"/>
      <c r="AV713" s="82"/>
      <c r="AW713" s="90"/>
      <c r="AX713" s="91"/>
      <c r="AY713" s="87"/>
      <c r="BB713" s="88"/>
    </row>
    <row r="714" spans="42:54" ht="15" customHeight="1">
      <c r="AP714" s="80"/>
      <c r="AQ714" s="82"/>
      <c r="AR714" s="83"/>
      <c r="AS714" s="84"/>
      <c r="AV714" s="82"/>
      <c r="AW714" s="90"/>
      <c r="AX714" s="91"/>
      <c r="AY714" s="87"/>
      <c r="BB714" s="88"/>
    </row>
    <row r="715" spans="42:54" ht="15" customHeight="1">
      <c r="AP715" s="80"/>
      <c r="AQ715" s="82"/>
      <c r="AR715" s="83"/>
      <c r="AS715" s="84"/>
      <c r="AV715" s="82"/>
      <c r="AW715" s="90"/>
      <c r="AX715" s="91"/>
      <c r="AY715" s="87"/>
      <c r="BB715" s="88"/>
    </row>
    <row r="716" spans="42:54" ht="15" customHeight="1">
      <c r="AP716" s="80"/>
      <c r="AQ716" s="82"/>
      <c r="AR716" s="83"/>
      <c r="AS716" s="84"/>
      <c r="AV716" s="82"/>
      <c r="AW716" s="90"/>
      <c r="AX716" s="91"/>
      <c r="AY716" s="87"/>
      <c r="BB716" s="88"/>
    </row>
    <row r="717" spans="42:54" ht="15" customHeight="1">
      <c r="AP717" s="80"/>
      <c r="AQ717" s="82"/>
      <c r="AR717" s="83"/>
      <c r="AS717" s="84"/>
      <c r="AV717" s="82"/>
      <c r="AW717" s="90"/>
      <c r="AX717" s="91"/>
      <c r="AY717" s="87"/>
      <c r="BB717" s="88"/>
    </row>
    <row r="718" spans="42:54" ht="15" customHeight="1">
      <c r="AP718" s="80"/>
      <c r="AQ718" s="82"/>
      <c r="AR718" s="83"/>
      <c r="AS718" s="84"/>
      <c r="AV718" s="82"/>
      <c r="AW718" s="90"/>
      <c r="AX718" s="91"/>
      <c r="AY718" s="87"/>
      <c r="BB718" s="88"/>
    </row>
    <row r="719" spans="42:54" ht="15" customHeight="1">
      <c r="AP719" s="80"/>
      <c r="AQ719" s="82"/>
      <c r="AR719" s="83"/>
      <c r="AS719" s="84"/>
      <c r="AV719" s="82"/>
      <c r="AW719" s="90"/>
      <c r="AX719" s="91"/>
      <c r="AY719" s="87"/>
      <c r="BB719" s="88"/>
    </row>
    <row r="720" spans="42:54" ht="15" customHeight="1">
      <c r="AP720" s="80"/>
      <c r="AQ720" s="82"/>
      <c r="AR720" s="83"/>
      <c r="AS720" s="84"/>
      <c r="AV720" s="82"/>
      <c r="AW720" s="90"/>
      <c r="AX720" s="91"/>
      <c r="AY720" s="87"/>
      <c r="BB720" s="88"/>
    </row>
    <row r="721" spans="1:73" ht="15" customHeight="1">
      <c r="AP721" s="80"/>
      <c r="AQ721" s="82"/>
      <c r="AR721" s="83"/>
      <c r="AS721" s="84"/>
      <c r="AV721" s="82"/>
      <c r="AW721" s="90"/>
      <c r="AX721" s="91"/>
      <c r="AY721" s="87"/>
      <c r="BB721" s="88"/>
    </row>
    <row r="722" spans="1:73" ht="15" customHeight="1">
      <c r="AP722" s="80"/>
      <c r="AQ722" s="82"/>
      <c r="AR722" s="83"/>
      <c r="AS722" s="84"/>
      <c r="AV722" s="82"/>
      <c r="AW722" s="90"/>
      <c r="AX722" s="91"/>
      <c r="AY722" s="87"/>
      <c r="BB722" s="88"/>
    </row>
    <row r="723" spans="1:73" ht="15" customHeight="1">
      <c r="AP723" s="80"/>
      <c r="AQ723" s="82"/>
      <c r="AR723" s="83"/>
      <c r="AS723" s="84"/>
      <c r="AV723" s="82"/>
      <c r="AW723" s="90"/>
      <c r="AX723" s="91"/>
      <c r="AY723" s="87"/>
      <c r="BB723" s="88"/>
    </row>
    <row r="724" spans="1:73" ht="15" customHeight="1">
      <c r="A724" s="37"/>
      <c r="AP724" s="80"/>
      <c r="AQ724" s="82"/>
      <c r="AR724" s="83"/>
      <c r="AS724" s="84"/>
      <c r="AV724" s="82"/>
      <c r="AW724" s="90"/>
      <c r="AX724" s="91"/>
      <c r="AY724" s="87"/>
      <c r="BB724" s="88"/>
    </row>
    <row r="725" spans="1:73" ht="15" customHeight="1">
      <c r="A725" s="37"/>
      <c r="AP725" s="80"/>
      <c r="AQ725" s="82"/>
      <c r="AR725" s="83"/>
      <c r="AS725" s="84"/>
      <c r="AV725" s="82"/>
      <c r="AW725" s="90"/>
      <c r="AX725" s="91"/>
      <c r="AY725" s="87"/>
      <c r="BB725" s="88"/>
    </row>
    <row r="726" spans="1:73" ht="15" customHeight="1">
      <c r="A726" s="37"/>
      <c r="AP726" s="80"/>
      <c r="AQ726" s="82"/>
      <c r="AR726" s="83"/>
      <c r="AS726" s="84"/>
      <c r="AV726" s="82"/>
      <c r="AW726" s="90"/>
      <c r="AX726" s="91"/>
      <c r="AY726" s="87"/>
      <c r="BB726" s="88"/>
    </row>
    <row r="727" spans="1:73" ht="15" customHeight="1">
      <c r="A727" s="37"/>
      <c r="AP727" s="80"/>
      <c r="AQ727" s="82"/>
      <c r="AR727" s="83"/>
      <c r="AS727" s="84"/>
      <c r="AV727" s="82"/>
      <c r="AW727" s="90"/>
      <c r="AX727" s="91"/>
      <c r="AY727" s="87"/>
      <c r="BB727" s="88"/>
    </row>
    <row r="728" spans="1:73" ht="15" customHeight="1">
      <c r="A728" s="37"/>
      <c r="B728" s="41"/>
      <c r="D728" s="44"/>
      <c r="E728" s="41"/>
      <c r="F728" s="41"/>
      <c r="G728" s="41"/>
      <c r="N728" s="80"/>
      <c r="O728" s="82"/>
      <c r="P728" s="83"/>
      <c r="Q728" s="84"/>
      <c r="U728" s="82"/>
      <c r="V728" s="90"/>
      <c r="W728" s="91"/>
      <c r="X728" s="87"/>
      <c r="AA728" s="88"/>
      <c r="AB728" s="49"/>
      <c r="AE728" s="36"/>
      <c r="AI728" s="41"/>
      <c r="AP728" s="80"/>
      <c r="AQ728" s="82"/>
      <c r="AR728" s="83"/>
      <c r="AS728" s="84"/>
      <c r="AV728" s="82"/>
      <c r="AW728" s="90"/>
      <c r="AX728" s="91"/>
      <c r="AY728" s="87"/>
      <c r="BB728" s="88"/>
    </row>
    <row r="729" spans="1:73" ht="15" customHeight="1">
      <c r="A729" s="37"/>
      <c r="N729" s="80"/>
      <c r="O729" s="82"/>
      <c r="P729" s="83"/>
      <c r="Q729" s="84"/>
      <c r="U729" s="82"/>
      <c r="V729" s="90"/>
      <c r="W729" s="91"/>
      <c r="X729" s="87"/>
      <c r="AA729" s="88"/>
      <c r="AB729" s="49"/>
      <c r="AE729" s="36"/>
      <c r="AP729" s="80"/>
      <c r="AQ729" s="82"/>
      <c r="AR729" s="83"/>
      <c r="AS729" s="84"/>
      <c r="AV729" s="82"/>
      <c r="AW729" s="90"/>
      <c r="AX729" s="91"/>
      <c r="AY729" s="87"/>
      <c r="BB729" s="88"/>
    </row>
    <row r="730" spans="1:73" ht="15" customHeight="1">
      <c r="A730" s="37"/>
      <c r="D730" s="44"/>
      <c r="N730" s="80"/>
      <c r="O730" s="82"/>
      <c r="P730" s="83"/>
      <c r="Q730" s="84"/>
      <c r="U730" s="82"/>
      <c r="V730" s="90"/>
      <c r="W730" s="91"/>
      <c r="X730" s="87"/>
      <c r="AA730" s="88"/>
      <c r="AB730" s="49"/>
      <c r="AE730" s="36"/>
      <c r="AP730" s="80"/>
      <c r="AQ730" s="82"/>
      <c r="AR730" s="83"/>
      <c r="AS730" s="84"/>
      <c r="AV730" s="82"/>
      <c r="AW730" s="90"/>
      <c r="AX730" s="91"/>
      <c r="AY730" s="87"/>
      <c r="BB730" s="88"/>
    </row>
    <row r="731" spans="1:73" ht="15" customHeight="1">
      <c r="A731" s="37"/>
      <c r="N731" s="80"/>
      <c r="O731" s="82"/>
      <c r="P731" s="83"/>
      <c r="Q731" s="84"/>
      <c r="U731" s="82"/>
      <c r="V731" s="90"/>
      <c r="W731" s="91"/>
      <c r="X731" s="87"/>
      <c r="AA731" s="88"/>
      <c r="AB731" s="49"/>
      <c r="AE731" s="36"/>
      <c r="AP731" s="80"/>
      <c r="AQ731" s="82"/>
      <c r="AR731" s="83"/>
      <c r="AS731" s="84"/>
      <c r="AV731" s="82"/>
      <c r="AW731" s="90"/>
      <c r="AX731" s="91"/>
      <c r="AY731" s="87"/>
      <c r="BB731" s="88"/>
    </row>
    <row r="732" spans="1:73" s="45" customFormat="1" ht="15" customHeight="1">
      <c r="A732" s="37"/>
      <c r="B732" s="145"/>
      <c r="C732" s="36"/>
      <c r="D732" s="44"/>
      <c r="E732" s="145"/>
      <c r="F732" s="145"/>
      <c r="G732" s="145"/>
      <c r="H732" s="145"/>
      <c r="I732" s="145"/>
      <c r="J732" s="145"/>
      <c r="K732" s="145"/>
      <c r="L732" s="145"/>
      <c r="M732" s="145"/>
      <c r="N732" s="146"/>
      <c r="O732" s="82"/>
      <c r="P732" s="83"/>
      <c r="Q732" s="84"/>
      <c r="R732" s="73"/>
      <c r="S732" s="120"/>
      <c r="T732" s="75"/>
      <c r="U732" s="82"/>
      <c r="V732" s="90"/>
      <c r="W732" s="91"/>
      <c r="X732" s="87"/>
      <c r="Y732" s="73"/>
      <c r="Z732" s="75"/>
      <c r="AA732" s="88"/>
      <c r="AB732" s="148"/>
      <c r="AC732" s="145"/>
      <c r="AD732" s="145"/>
      <c r="AE732" s="145"/>
      <c r="AF732" s="145"/>
      <c r="AG732" s="145"/>
      <c r="AH732" s="145"/>
      <c r="AI732" s="145"/>
      <c r="AJ732" s="145"/>
      <c r="AK732" s="145"/>
      <c r="AL732" s="145"/>
      <c r="AM732" s="145"/>
      <c r="AN732" s="145"/>
      <c r="AO732" s="145"/>
      <c r="AP732" s="149"/>
      <c r="AQ732" s="93"/>
      <c r="AR732" s="94"/>
      <c r="AS732" s="95"/>
      <c r="AT732" s="96"/>
      <c r="AU732" s="97"/>
      <c r="AV732" s="93"/>
      <c r="AW732" s="98"/>
      <c r="AX732" s="99"/>
      <c r="AY732" s="100"/>
      <c r="AZ732" s="96"/>
      <c r="BA732" s="97"/>
      <c r="BB732" s="101"/>
      <c r="BC732" s="148"/>
      <c r="BD732" s="145"/>
      <c r="BE732" s="145"/>
      <c r="BF732" s="147"/>
      <c r="BG732" s="145"/>
      <c r="BH732" s="145"/>
      <c r="BI732" s="145"/>
      <c r="BJ732" s="145"/>
      <c r="BK732" s="145"/>
      <c r="BL732" s="145"/>
      <c r="BM732" s="145"/>
      <c r="BN732" s="145"/>
      <c r="BO732" s="145"/>
      <c r="BP732" s="145"/>
      <c r="BQ732" s="145"/>
      <c r="BR732" s="145"/>
      <c r="BS732" s="145"/>
      <c r="BT732" s="145"/>
      <c r="BU732" s="145"/>
    </row>
    <row r="733" spans="1:73" s="45" customFormat="1" ht="15" customHeight="1">
      <c r="A733" s="37"/>
      <c r="C733" s="36"/>
      <c r="D733" s="37"/>
      <c r="N733" s="92"/>
      <c r="O733" s="93"/>
      <c r="P733" s="94"/>
      <c r="Q733" s="95"/>
      <c r="R733" s="96"/>
      <c r="S733" s="120"/>
      <c r="T733" s="97"/>
      <c r="U733" s="93"/>
      <c r="V733" s="98"/>
      <c r="W733" s="99"/>
      <c r="X733" s="100"/>
      <c r="Y733" s="96"/>
      <c r="Z733" s="97"/>
      <c r="AA733" s="101"/>
      <c r="AP733" s="92"/>
      <c r="AQ733" s="93"/>
      <c r="AR733" s="94"/>
      <c r="AS733" s="95"/>
      <c r="AT733" s="96"/>
      <c r="AU733" s="97"/>
      <c r="AV733" s="93"/>
      <c r="AW733" s="98"/>
      <c r="AX733" s="99"/>
      <c r="AY733" s="100"/>
      <c r="AZ733" s="96"/>
      <c r="BA733" s="97"/>
      <c r="BB733" s="101"/>
      <c r="BF733" s="38"/>
    </row>
    <row r="734" spans="1:73" ht="15" customHeight="1">
      <c r="A734" s="48"/>
      <c r="B734" s="48"/>
      <c r="C734" s="48"/>
      <c r="D734" s="123"/>
      <c r="E734" s="48"/>
      <c r="F734" s="48"/>
      <c r="G734" s="48"/>
      <c r="H734" s="41"/>
      <c r="N734" s="37"/>
      <c r="O734" s="125"/>
      <c r="P734" s="126"/>
      <c r="Q734" s="127"/>
      <c r="R734" s="42"/>
      <c r="S734" s="128"/>
      <c r="T734" s="129"/>
      <c r="U734" s="125"/>
      <c r="V734" s="130"/>
      <c r="W734" s="131"/>
      <c r="X734" s="132"/>
      <c r="Y734" s="42"/>
      <c r="Z734" s="129"/>
      <c r="AA734" s="133"/>
      <c r="AB734" s="28"/>
      <c r="AI734" s="41"/>
      <c r="AJ734" s="41"/>
      <c r="AO734" s="37"/>
      <c r="AP734" s="37"/>
      <c r="AQ734" s="125"/>
      <c r="AR734" s="126"/>
      <c r="AS734" s="127"/>
      <c r="AT734" s="42"/>
      <c r="AU734" s="129"/>
      <c r="AV734" s="125"/>
      <c r="AW734" s="130"/>
      <c r="AX734" s="131"/>
      <c r="AY734" s="132"/>
      <c r="AZ734" s="42"/>
      <c r="BA734" s="129"/>
      <c r="BB734" s="133"/>
      <c r="BE734" s="37"/>
      <c r="BF734" s="36"/>
    </row>
    <row r="735" spans="1:73" ht="15" customHeight="1">
      <c r="A735" s="41"/>
      <c r="N735" s="37"/>
      <c r="O735" s="125"/>
      <c r="P735" s="126"/>
      <c r="Q735" s="127"/>
      <c r="R735" s="42"/>
      <c r="S735" s="128"/>
      <c r="T735" s="129"/>
      <c r="U735" s="125"/>
      <c r="V735" s="130"/>
      <c r="W735" s="131"/>
      <c r="X735" s="132"/>
      <c r="Y735" s="42"/>
      <c r="Z735" s="129"/>
      <c r="AA735" s="133"/>
      <c r="AB735" s="28"/>
      <c r="AO735" s="37"/>
      <c r="AP735" s="37"/>
      <c r="AQ735" s="125"/>
      <c r="AR735" s="126"/>
      <c r="AS735" s="127"/>
      <c r="AT735" s="42"/>
      <c r="AU735" s="129"/>
      <c r="AV735" s="125"/>
      <c r="AW735" s="130"/>
      <c r="AX735" s="131"/>
      <c r="AY735" s="132"/>
      <c r="AZ735" s="42"/>
      <c r="BA735" s="129"/>
      <c r="BB735" s="133"/>
      <c r="BE735" s="37"/>
      <c r="BF735" s="36"/>
    </row>
    <row r="736" spans="1:73" ht="15" customHeight="1">
      <c r="A736" s="41"/>
      <c r="N736" s="37"/>
      <c r="O736" s="125"/>
      <c r="P736" s="126"/>
      <c r="Q736" s="127"/>
      <c r="R736" s="42"/>
      <c r="S736" s="128"/>
      <c r="T736" s="129"/>
      <c r="U736" s="125"/>
      <c r="V736" s="130"/>
      <c r="W736" s="131"/>
      <c r="X736" s="132"/>
      <c r="Y736" s="42"/>
      <c r="Z736" s="129"/>
      <c r="AA736" s="133"/>
      <c r="AB736" s="28"/>
      <c r="AO736" s="37"/>
      <c r="AP736" s="37"/>
      <c r="AQ736" s="125"/>
      <c r="AR736" s="126"/>
      <c r="AS736" s="127"/>
      <c r="AT736" s="42"/>
      <c r="AU736" s="129"/>
      <c r="AV736" s="125"/>
      <c r="AW736" s="130"/>
      <c r="AX736" s="131"/>
      <c r="AY736" s="132"/>
      <c r="AZ736" s="42"/>
      <c r="BA736" s="129"/>
      <c r="BB736" s="133"/>
      <c r="BE736" s="37"/>
      <c r="BF736" s="36"/>
    </row>
    <row r="737" spans="1:58" ht="15" customHeight="1">
      <c r="A737" s="41"/>
      <c r="N737" s="37"/>
      <c r="O737" s="125"/>
      <c r="P737" s="126"/>
      <c r="Q737" s="127"/>
      <c r="R737" s="42"/>
      <c r="S737" s="128"/>
      <c r="T737" s="129"/>
      <c r="U737" s="125"/>
      <c r="V737" s="130"/>
      <c r="W737" s="131"/>
      <c r="X737" s="132"/>
      <c r="Y737" s="42"/>
      <c r="Z737" s="129"/>
      <c r="AA737" s="133"/>
      <c r="AB737" s="28"/>
      <c r="AO737" s="37"/>
      <c r="AP737" s="37"/>
      <c r="AQ737" s="125"/>
      <c r="AR737" s="126"/>
      <c r="AS737" s="127"/>
      <c r="AT737" s="42"/>
      <c r="AU737" s="129"/>
      <c r="AV737" s="125"/>
      <c r="AW737" s="130"/>
      <c r="AX737" s="131"/>
      <c r="AY737" s="132"/>
      <c r="AZ737" s="42"/>
      <c r="BA737" s="129"/>
      <c r="BB737" s="133"/>
      <c r="BE737" s="37"/>
      <c r="BF737" s="36"/>
    </row>
    <row r="738" spans="1:58" ht="15" customHeight="1">
      <c r="A738" s="41"/>
      <c r="D738" s="36"/>
      <c r="N738" s="36"/>
      <c r="O738" s="125"/>
      <c r="P738" s="126"/>
      <c r="Q738" s="127"/>
      <c r="R738" s="42"/>
      <c r="S738" s="128"/>
      <c r="T738" s="129"/>
      <c r="U738" s="125"/>
      <c r="V738" s="130"/>
      <c r="W738" s="131"/>
      <c r="X738" s="132"/>
      <c r="Y738" s="42"/>
      <c r="Z738" s="129"/>
      <c r="AA738" s="133"/>
      <c r="AB738" s="28"/>
      <c r="AE738" s="36"/>
      <c r="AO738" s="37"/>
      <c r="AP738" s="36"/>
      <c r="AQ738" s="125"/>
      <c r="AR738" s="126"/>
      <c r="AS738" s="127"/>
      <c r="AT738" s="42"/>
      <c r="AU738" s="129"/>
      <c r="AV738" s="125"/>
      <c r="AW738" s="130"/>
      <c r="AX738" s="131"/>
      <c r="AY738" s="132"/>
      <c r="AZ738" s="42"/>
      <c r="BA738" s="129"/>
      <c r="BB738" s="133"/>
      <c r="BE738" s="37"/>
      <c r="BF738" s="36"/>
    </row>
    <row r="739" spans="1:58" ht="15" customHeight="1">
      <c r="A739" s="41"/>
      <c r="D739" s="36"/>
      <c r="N739" s="36"/>
      <c r="O739" s="125"/>
      <c r="P739" s="126"/>
      <c r="Q739" s="127"/>
      <c r="R739" s="42"/>
      <c r="S739" s="128"/>
      <c r="T739" s="129"/>
      <c r="U739" s="125"/>
      <c r="V739" s="130"/>
      <c r="W739" s="131"/>
      <c r="X739" s="132"/>
      <c r="Y739" s="42"/>
      <c r="Z739" s="129"/>
      <c r="AA739" s="133"/>
      <c r="AB739" s="134"/>
      <c r="AE739" s="36"/>
      <c r="AO739" s="37"/>
      <c r="AP739" s="36"/>
      <c r="AQ739" s="125"/>
      <c r="AR739" s="126"/>
      <c r="AS739" s="127"/>
      <c r="AT739" s="42"/>
      <c r="AU739" s="129"/>
      <c r="AV739" s="125"/>
      <c r="AW739" s="130"/>
      <c r="AX739" s="131"/>
      <c r="AY739" s="132"/>
      <c r="AZ739" s="42"/>
      <c r="BA739" s="129"/>
      <c r="BB739" s="133"/>
      <c r="BE739" s="37"/>
      <c r="BF739" s="36"/>
    </row>
    <row r="740" spans="1:58" ht="15" customHeight="1">
      <c r="A740" s="41"/>
      <c r="D740" s="36"/>
      <c r="N740" s="36"/>
      <c r="O740" s="125"/>
      <c r="P740" s="126"/>
      <c r="Q740" s="127"/>
      <c r="R740" s="42"/>
      <c r="S740" s="128"/>
      <c r="T740" s="129"/>
      <c r="U740" s="125"/>
      <c r="V740" s="130"/>
      <c r="W740" s="131"/>
      <c r="X740" s="132"/>
      <c r="Y740" s="42"/>
      <c r="Z740" s="129"/>
      <c r="AA740" s="133"/>
      <c r="AB740" s="28"/>
      <c r="AE740" s="36"/>
      <c r="AO740" s="37"/>
      <c r="AP740" s="36"/>
      <c r="AQ740" s="125"/>
      <c r="AR740" s="126"/>
      <c r="AS740" s="127"/>
      <c r="AT740" s="42"/>
      <c r="AU740" s="129"/>
      <c r="AV740" s="125"/>
      <c r="AW740" s="130"/>
      <c r="AX740" s="131"/>
      <c r="AY740" s="132"/>
      <c r="AZ740" s="42"/>
      <c r="BA740" s="129"/>
      <c r="BB740" s="133"/>
      <c r="BE740" s="37"/>
      <c r="BF740" s="36"/>
    </row>
    <row r="741" spans="1:58" ht="15" customHeight="1">
      <c r="A741" s="41"/>
      <c r="D741" s="36"/>
      <c r="N741" s="36"/>
      <c r="O741" s="125"/>
      <c r="P741" s="126"/>
      <c r="Q741" s="127"/>
      <c r="R741" s="42"/>
      <c r="S741" s="128"/>
      <c r="T741" s="129"/>
      <c r="U741" s="125"/>
      <c r="V741" s="130"/>
      <c r="W741" s="131"/>
      <c r="X741" s="132"/>
      <c r="Y741" s="42"/>
      <c r="Z741" s="129"/>
      <c r="AA741" s="133"/>
      <c r="AB741" s="134"/>
      <c r="AE741" s="36"/>
      <c r="AO741" s="37"/>
      <c r="AP741" s="36"/>
      <c r="AQ741" s="125"/>
      <c r="AR741" s="126"/>
      <c r="AS741" s="127"/>
      <c r="AT741" s="42"/>
      <c r="AU741" s="129"/>
      <c r="AV741" s="125"/>
      <c r="AW741" s="130"/>
      <c r="AX741" s="131"/>
      <c r="AY741" s="132"/>
      <c r="AZ741" s="42"/>
      <c r="BA741" s="129"/>
      <c r="BB741" s="133"/>
      <c r="BE741" s="37"/>
      <c r="BF741" s="36"/>
    </row>
    <row r="742" spans="1:58" ht="15" customHeight="1">
      <c r="A742" s="41"/>
      <c r="D742" s="36"/>
      <c r="N742" s="135"/>
      <c r="O742" s="125"/>
      <c r="P742" s="126"/>
      <c r="Q742" s="127"/>
      <c r="R742" s="42"/>
      <c r="S742" s="128"/>
      <c r="T742" s="129"/>
      <c r="U742" s="125"/>
      <c r="V742" s="130"/>
      <c r="W742" s="131"/>
      <c r="X742" s="132"/>
      <c r="Y742" s="42"/>
      <c r="Z742" s="129"/>
      <c r="AA742" s="133"/>
      <c r="AB742" s="28"/>
      <c r="AE742" s="36"/>
      <c r="AO742" s="37"/>
      <c r="AP742" s="36"/>
      <c r="AQ742" s="125"/>
      <c r="AR742" s="126"/>
      <c r="AS742" s="127"/>
      <c r="AT742" s="42"/>
      <c r="AU742" s="129"/>
      <c r="AV742" s="125"/>
      <c r="AW742" s="130"/>
      <c r="AX742" s="131"/>
      <c r="AY742" s="132"/>
      <c r="AZ742" s="42"/>
      <c r="BA742" s="129"/>
      <c r="BB742" s="133"/>
      <c r="BE742" s="37"/>
      <c r="BF742" s="36"/>
    </row>
    <row r="743" spans="1:58" ht="15" customHeight="1">
      <c r="A743" s="41"/>
      <c r="D743" s="36"/>
      <c r="N743" s="36"/>
      <c r="O743" s="125"/>
      <c r="P743" s="126"/>
      <c r="Q743" s="127"/>
      <c r="R743" s="42"/>
      <c r="S743" s="128"/>
      <c r="T743" s="129"/>
      <c r="U743" s="125"/>
      <c r="V743" s="130"/>
      <c r="W743" s="131"/>
      <c r="X743" s="132"/>
      <c r="Y743" s="42"/>
      <c r="Z743" s="129"/>
      <c r="AA743" s="133"/>
      <c r="AB743" s="134"/>
      <c r="AE743" s="36"/>
      <c r="AO743" s="37"/>
      <c r="AP743" s="36"/>
      <c r="AQ743" s="125"/>
      <c r="AR743" s="126"/>
      <c r="AS743" s="127"/>
      <c r="AT743" s="42"/>
      <c r="AU743" s="129"/>
      <c r="AV743" s="125"/>
      <c r="AW743" s="130"/>
      <c r="AX743" s="131"/>
      <c r="AY743" s="132"/>
      <c r="AZ743" s="42"/>
      <c r="BA743" s="129"/>
      <c r="BB743" s="133"/>
      <c r="BE743" s="37"/>
      <c r="BF743" s="36"/>
    </row>
    <row r="744" spans="1:58" ht="15" customHeight="1">
      <c r="A744" s="41"/>
      <c r="D744" s="36"/>
      <c r="N744" s="36"/>
      <c r="O744" s="125"/>
      <c r="P744" s="126"/>
      <c r="Q744" s="127"/>
      <c r="R744" s="42"/>
      <c r="S744" s="128"/>
      <c r="T744" s="129"/>
      <c r="U744" s="125"/>
      <c r="V744" s="130"/>
      <c r="W744" s="131"/>
      <c r="X744" s="132"/>
      <c r="Y744" s="42"/>
      <c r="Z744" s="129"/>
      <c r="AA744" s="133"/>
      <c r="AB744" s="28"/>
      <c r="AE744" s="36"/>
      <c r="AO744" s="37"/>
      <c r="AP744" s="36"/>
      <c r="AQ744" s="125"/>
      <c r="AR744" s="126"/>
      <c r="AS744" s="127"/>
      <c r="AT744" s="42"/>
      <c r="AU744" s="129"/>
      <c r="AV744" s="125"/>
      <c r="AW744" s="130"/>
      <c r="AX744" s="131"/>
      <c r="AY744" s="132"/>
      <c r="AZ744" s="42"/>
      <c r="BA744" s="129"/>
      <c r="BB744" s="133"/>
      <c r="BE744" s="37"/>
      <c r="BF744" s="36"/>
    </row>
    <row r="745" spans="1:58" ht="15" customHeight="1">
      <c r="A745" s="41"/>
      <c r="D745" s="36"/>
      <c r="N745" s="36"/>
      <c r="O745" s="125"/>
      <c r="P745" s="126"/>
      <c r="Q745" s="127"/>
      <c r="R745" s="42"/>
      <c r="S745" s="128"/>
      <c r="T745" s="129"/>
      <c r="U745" s="125"/>
      <c r="V745" s="130"/>
      <c r="W745" s="131"/>
      <c r="X745" s="132"/>
      <c r="Y745" s="42"/>
      <c r="Z745" s="129"/>
      <c r="AA745" s="133"/>
      <c r="AB745" s="134"/>
      <c r="AE745" s="36"/>
      <c r="AO745" s="37"/>
      <c r="AP745" s="36"/>
      <c r="AQ745" s="125"/>
      <c r="AR745" s="126"/>
      <c r="AS745" s="127"/>
      <c r="AT745" s="42"/>
      <c r="AU745" s="129"/>
      <c r="AV745" s="125"/>
      <c r="AW745" s="130"/>
      <c r="AX745" s="131"/>
      <c r="AY745" s="132"/>
      <c r="AZ745" s="42"/>
      <c r="BA745" s="129"/>
      <c r="BB745" s="133"/>
      <c r="BE745" s="37"/>
      <c r="BF745" s="36"/>
    </row>
    <row r="746" spans="1:58" ht="15" customHeight="1">
      <c r="A746" s="41"/>
      <c r="D746" s="36"/>
      <c r="N746" s="36"/>
      <c r="O746" s="125"/>
      <c r="P746" s="126"/>
      <c r="Q746" s="127"/>
      <c r="R746" s="42"/>
      <c r="S746" s="128"/>
      <c r="T746" s="129"/>
      <c r="U746" s="125"/>
      <c r="V746" s="130"/>
      <c r="W746" s="131"/>
      <c r="X746" s="132"/>
      <c r="Y746" s="42"/>
      <c r="Z746" s="129"/>
      <c r="AA746" s="133"/>
      <c r="AB746" s="28"/>
      <c r="AE746" s="36"/>
      <c r="AO746" s="37"/>
      <c r="AP746" s="36"/>
      <c r="AQ746" s="125"/>
      <c r="AR746" s="126"/>
      <c r="AS746" s="127"/>
      <c r="AT746" s="42"/>
      <c r="AU746" s="129"/>
      <c r="AV746" s="125"/>
      <c r="AW746" s="130"/>
      <c r="AX746" s="131"/>
      <c r="AY746" s="132"/>
      <c r="AZ746" s="42"/>
      <c r="BA746" s="129"/>
      <c r="BB746" s="133"/>
      <c r="BE746" s="37"/>
      <c r="BF746" s="36"/>
    </row>
    <row r="747" spans="1:58" ht="15" customHeight="1">
      <c r="A747" s="41"/>
      <c r="D747" s="36"/>
      <c r="N747" s="36"/>
      <c r="O747" s="125"/>
      <c r="P747" s="126"/>
      <c r="Q747" s="127"/>
      <c r="R747" s="42"/>
      <c r="S747" s="128"/>
      <c r="T747" s="129"/>
      <c r="U747" s="125"/>
      <c r="V747" s="130"/>
      <c r="W747" s="131"/>
      <c r="X747" s="132"/>
      <c r="Y747" s="42"/>
      <c r="Z747" s="129"/>
      <c r="AA747" s="133"/>
      <c r="AB747" s="134"/>
      <c r="AE747" s="36"/>
      <c r="AO747" s="37"/>
      <c r="AP747" s="36"/>
      <c r="AQ747" s="125"/>
      <c r="AR747" s="126"/>
      <c r="AS747" s="127"/>
      <c r="AT747" s="42"/>
      <c r="AU747" s="129"/>
      <c r="AV747" s="125"/>
      <c r="AW747" s="130"/>
      <c r="AX747" s="131"/>
      <c r="AY747" s="132"/>
      <c r="AZ747" s="42"/>
      <c r="BA747" s="129"/>
      <c r="BB747" s="133"/>
      <c r="BE747" s="37"/>
      <c r="BF747" s="36"/>
    </row>
    <row r="748" spans="1:58" ht="15" customHeight="1">
      <c r="A748" s="41"/>
      <c r="D748" s="36"/>
      <c r="N748" s="36"/>
      <c r="O748" s="125"/>
      <c r="P748" s="126"/>
      <c r="Q748" s="127"/>
      <c r="R748" s="42"/>
      <c r="S748" s="128"/>
      <c r="T748" s="129"/>
      <c r="U748" s="125"/>
      <c r="V748" s="130"/>
      <c r="W748" s="131"/>
      <c r="X748" s="132"/>
      <c r="Y748" s="42"/>
      <c r="Z748" s="129"/>
      <c r="AA748" s="133"/>
      <c r="AB748" s="28"/>
      <c r="AE748" s="36"/>
      <c r="AO748" s="37"/>
      <c r="AP748" s="36"/>
      <c r="AQ748" s="125"/>
      <c r="AR748" s="126"/>
      <c r="AS748" s="127"/>
      <c r="AT748" s="42"/>
      <c r="AU748" s="129"/>
      <c r="AV748" s="125"/>
      <c r="AW748" s="130"/>
      <c r="AX748" s="131"/>
      <c r="AY748" s="132"/>
      <c r="AZ748" s="42"/>
      <c r="BA748" s="129"/>
      <c r="BB748" s="133"/>
      <c r="BE748" s="37"/>
      <c r="BF748" s="36"/>
    </row>
    <row r="749" spans="1:58" ht="15" customHeight="1">
      <c r="A749" s="41"/>
      <c r="D749" s="36"/>
      <c r="N749" s="36"/>
      <c r="O749" s="125"/>
      <c r="P749" s="126"/>
      <c r="Q749" s="127"/>
      <c r="R749" s="42"/>
      <c r="S749" s="128"/>
      <c r="T749" s="129"/>
      <c r="U749" s="125"/>
      <c r="V749" s="130"/>
      <c r="W749" s="131"/>
      <c r="X749" s="132"/>
      <c r="Y749" s="42"/>
      <c r="Z749" s="129"/>
      <c r="AA749" s="133"/>
      <c r="AB749" s="134"/>
      <c r="AE749" s="36"/>
      <c r="AO749" s="37"/>
      <c r="AP749" s="36"/>
      <c r="AQ749" s="125"/>
      <c r="AR749" s="126"/>
      <c r="AS749" s="127"/>
      <c r="AT749" s="42"/>
      <c r="AU749" s="129"/>
      <c r="AV749" s="125"/>
      <c r="AW749" s="130"/>
      <c r="AX749" s="131"/>
      <c r="AY749" s="132"/>
      <c r="AZ749" s="42"/>
      <c r="BA749" s="129"/>
      <c r="BB749" s="133"/>
      <c r="BE749" s="37"/>
      <c r="BF749" s="36"/>
    </row>
    <row r="750" spans="1:58" ht="15" customHeight="1">
      <c r="A750" s="41"/>
      <c r="D750" s="36"/>
      <c r="N750" s="36"/>
      <c r="O750" s="125"/>
      <c r="P750" s="126"/>
      <c r="Q750" s="127"/>
      <c r="R750" s="42"/>
      <c r="S750" s="128"/>
      <c r="T750" s="129"/>
      <c r="U750" s="125"/>
      <c r="V750" s="130"/>
      <c r="W750" s="131"/>
      <c r="X750" s="132"/>
      <c r="Y750" s="42"/>
      <c r="Z750" s="129"/>
      <c r="AA750" s="133"/>
      <c r="AB750" s="134"/>
      <c r="AE750" s="36"/>
      <c r="AO750" s="37"/>
      <c r="AP750" s="36"/>
      <c r="AQ750" s="125"/>
      <c r="AR750" s="126"/>
      <c r="AS750" s="127"/>
      <c r="AT750" s="42"/>
      <c r="AU750" s="129"/>
      <c r="AV750" s="125"/>
      <c r="AW750" s="130"/>
      <c r="AX750" s="131"/>
      <c r="AY750" s="132"/>
      <c r="AZ750" s="42"/>
      <c r="BA750" s="129"/>
      <c r="BB750" s="133"/>
      <c r="BE750" s="37"/>
      <c r="BF750" s="36"/>
    </row>
    <row r="751" spans="1:58" ht="15" customHeight="1">
      <c r="A751" s="41"/>
      <c r="D751" s="36"/>
      <c r="N751" s="36"/>
      <c r="O751" s="125"/>
      <c r="P751" s="126"/>
      <c r="Q751" s="127"/>
      <c r="R751" s="42"/>
      <c r="S751" s="128"/>
      <c r="T751" s="129"/>
      <c r="U751" s="125"/>
      <c r="V751" s="130"/>
      <c r="W751" s="131"/>
      <c r="X751" s="132"/>
      <c r="Y751" s="42"/>
      <c r="Z751" s="129"/>
      <c r="AA751" s="133"/>
      <c r="AB751" s="134"/>
      <c r="AE751" s="36"/>
      <c r="AO751" s="37"/>
      <c r="AP751" s="36"/>
      <c r="AQ751" s="125"/>
      <c r="AR751" s="126"/>
      <c r="AS751" s="127"/>
      <c r="AT751" s="42"/>
      <c r="AU751" s="129"/>
      <c r="AV751" s="125"/>
      <c r="AW751" s="130"/>
      <c r="AX751" s="131"/>
      <c r="AY751" s="132"/>
      <c r="AZ751" s="42"/>
      <c r="BA751" s="129"/>
      <c r="BB751" s="133"/>
      <c r="BE751" s="37"/>
      <c r="BF751" s="36"/>
    </row>
    <row r="752" spans="1:58" ht="15" customHeight="1">
      <c r="A752" s="41"/>
      <c r="D752" s="36"/>
      <c r="N752" s="36"/>
      <c r="O752" s="125"/>
      <c r="P752" s="126"/>
      <c r="Q752" s="127"/>
      <c r="R752" s="42"/>
      <c r="S752" s="128"/>
      <c r="T752" s="129"/>
      <c r="U752" s="125"/>
      <c r="V752" s="130"/>
      <c r="W752" s="131"/>
      <c r="X752" s="132"/>
      <c r="Y752" s="42"/>
      <c r="Z752" s="129"/>
      <c r="AA752" s="133"/>
      <c r="AB752" s="134"/>
      <c r="AE752" s="36"/>
      <c r="AO752" s="37"/>
      <c r="AP752" s="36"/>
      <c r="AQ752" s="125"/>
      <c r="AR752" s="126"/>
      <c r="AS752" s="127"/>
      <c r="AT752" s="42"/>
      <c r="AU752" s="129"/>
      <c r="AV752" s="125"/>
      <c r="AW752" s="130"/>
      <c r="AX752" s="131"/>
      <c r="AY752" s="132"/>
      <c r="AZ752" s="42"/>
      <c r="BA752" s="129"/>
      <c r="BB752" s="133"/>
      <c r="BE752" s="37"/>
      <c r="BF752" s="36"/>
    </row>
    <row r="753" spans="1:58" ht="15" customHeight="1">
      <c r="A753" s="41"/>
      <c r="D753" s="36"/>
      <c r="N753" s="36"/>
      <c r="O753" s="125"/>
      <c r="P753" s="126"/>
      <c r="Q753" s="127"/>
      <c r="R753" s="42"/>
      <c r="S753" s="128"/>
      <c r="T753" s="129"/>
      <c r="U753" s="125"/>
      <c r="V753" s="130"/>
      <c r="W753" s="131"/>
      <c r="X753" s="132"/>
      <c r="Y753" s="42"/>
      <c r="Z753" s="129"/>
      <c r="AA753" s="133"/>
      <c r="AB753" s="134"/>
      <c r="AE753" s="36"/>
      <c r="AO753" s="37"/>
      <c r="AP753" s="36"/>
      <c r="AQ753" s="125"/>
      <c r="AR753" s="126"/>
      <c r="AS753" s="127"/>
      <c r="AT753" s="42"/>
      <c r="AU753" s="129"/>
      <c r="AV753" s="125"/>
      <c r="AW753" s="130"/>
      <c r="AX753" s="131"/>
      <c r="AY753" s="132"/>
      <c r="AZ753" s="42"/>
      <c r="BA753" s="129"/>
      <c r="BB753" s="133"/>
      <c r="BE753" s="37"/>
      <c r="BF753" s="36"/>
    </row>
    <row r="754" spans="1:58" ht="15" customHeight="1">
      <c r="A754" s="41"/>
      <c r="D754" s="36"/>
      <c r="N754" s="36"/>
      <c r="O754" s="125"/>
      <c r="P754" s="126"/>
      <c r="Q754" s="127"/>
      <c r="R754" s="42"/>
      <c r="S754" s="128"/>
      <c r="T754" s="129"/>
      <c r="U754" s="125"/>
      <c r="V754" s="130"/>
      <c r="W754" s="131"/>
      <c r="X754" s="132"/>
      <c r="Y754" s="42"/>
      <c r="Z754" s="129"/>
      <c r="AA754" s="133"/>
      <c r="AB754" s="134"/>
      <c r="AE754" s="36"/>
      <c r="AO754" s="37"/>
      <c r="AP754" s="36"/>
      <c r="AQ754" s="125"/>
      <c r="AR754" s="126"/>
      <c r="AS754" s="127"/>
      <c r="AT754" s="42"/>
      <c r="AU754" s="129"/>
      <c r="AV754" s="125"/>
      <c r="AW754" s="130"/>
      <c r="AX754" s="131"/>
      <c r="AY754" s="132"/>
      <c r="AZ754" s="42"/>
      <c r="BA754" s="129"/>
      <c r="BB754" s="133"/>
      <c r="BE754" s="37"/>
      <c r="BF754" s="36"/>
    </row>
    <row r="755" spans="1:58" ht="15" customHeight="1">
      <c r="A755" s="41"/>
      <c r="D755" s="36"/>
      <c r="N755" s="36"/>
      <c r="O755" s="125"/>
      <c r="P755" s="126"/>
      <c r="Q755" s="127"/>
      <c r="R755" s="42"/>
      <c r="S755" s="128"/>
      <c r="T755" s="129"/>
      <c r="U755" s="125"/>
      <c r="V755" s="130"/>
      <c r="W755" s="131"/>
      <c r="X755" s="132"/>
      <c r="Y755" s="42"/>
      <c r="Z755" s="129"/>
      <c r="AA755" s="133"/>
      <c r="AB755" s="134"/>
      <c r="AE755" s="36"/>
      <c r="AO755" s="37"/>
      <c r="AP755" s="36"/>
      <c r="AQ755" s="125"/>
      <c r="AR755" s="126"/>
      <c r="AS755" s="127"/>
      <c r="AT755" s="42"/>
      <c r="AU755" s="129"/>
      <c r="AV755" s="125"/>
      <c r="AW755" s="130"/>
      <c r="AX755" s="131"/>
      <c r="AY755" s="132"/>
      <c r="AZ755" s="42"/>
      <c r="BA755" s="129"/>
      <c r="BB755" s="133"/>
      <c r="BE755" s="37"/>
      <c r="BF755" s="36"/>
    </row>
    <row r="756" spans="1:58" ht="15" customHeight="1">
      <c r="A756" s="41"/>
      <c r="D756" s="36"/>
      <c r="N756" s="36"/>
      <c r="O756" s="125"/>
      <c r="P756" s="126"/>
      <c r="Q756" s="127"/>
      <c r="R756" s="42"/>
      <c r="S756" s="128"/>
      <c r="T756" s="129"/>
      <c r="U756" s="125"/>
      <c r="V756" s="130"/>
      <c r="W756" s="131"/>
      <c r="X756" s="132"/>
      <c r="Y756" s="42"/>
      <c r="Z756" s="129"/>
      <c r="AA756" s="133"/>
      <c r="AB756" s="134"/>
      <c r="AE756" s="36"/>
      <c r="AO756" s="37"/>
      <c r="AP756" s="36"/>
      <c r="AQ756" s="125"/>
      <c r="AR756" s="126"/>
      <c r="AS756" s="127"/>
      <c r="AT756" s="42"/>
      <c r="AU756" s="129"/>
      <c r="AV756" s="125"/>
      <c r="AW756" s="130"/>
      <c r="AX756" s="131"/>
      <c r="AY756" s="132"/>
      <c r="AZ756" s="42"/>
      <c r="BA756" s="129"/>
      <c r="BB756" s="133"/>
      <c r="BE756" s="37"/>
      <c r="BF756" s="36"/>
    </row>
    <row r="757" spans="1:58" ht="15" customHeight="1">
      <c r="A757" s="41"/>
      <c r="D757" s="36"/>
      <c r="N757" s="36"/>
      <c r="O757" s="125"/>
      <c r="P757" s="126"/>
      <c r="Q757" s="127"/>
      <c r="R757" s="42"/>
      <c r="S757" s="128"/>
      <c r="T757" s="129"/>
      <c r="U757" s="125"/>
      <c r="V757" s="130"/>
      <c r="W757" s="131"/>
      <c r="X757" s="132"/>
      <c r="Y757" s="42"/>
      <c r="Z757" s="129"/>
      <c r="AA757" s="133"/>
      <c r="AB757" s="134"/>
      <c r="AE757" s="36"/>
      <c r="AO757" s="37"/>
      <c r="AP757" s="36"/>
      <c r="AQ757" s="125"/>
      <c r="AR757" s="126"/>
      <c r="AS757" s="127"/>
      <c r="AT757" s="42"/>
      <c r="AU757" s="129"/>
      <c r="AV757" s="125"/>
      <c r="AW757" s="130"/>
      <c r="AX757" s="131"/>
      <c r="AY757" s="132"/>
      <c r="AZ757" s="42"/>
      <c r="BA757" s="129"/>
      <c r="BB757" s="133"/>
      <c r="BE757" s="37"/>
      <c r="BF757" s="36"/>
    </row>
    <row r="758" spans="1:58" ht="15" customHeight="1">
      <c r="A758" s="41"/>
      <c r="D758" s="36"/>
      <c r="N758" s="36"/>
      <c r="O758" s="125"/>
      <c r="P758" s="126"/>
      <c r="Q758" s="127"/>
      <c r="R758" s="42"/>
      <c r="S758" s="128"/>
      <c r="T758" s="129"/>
      <c r="U758" s="125"/>
      <c r="V758" s="130"/>
      <c r="W758" s="131"/>
      <c r="X758" s="132"/>
      <c r="Y758" s="42"/>
      <c r="Z758" s="129"/>
      <c r="AA758" s="133"/>
      <c r="AB758" s="134"/>
      <c r="AE758" s="36"/>
      <c r="AO758" s="37"/>
      <c r="AP758" s="36"/>
      <c r="AQ758" s="125"/>
      <c r="AR758" s="126"/>
      <c r="AS758" s="127"/>
      <c r="AT758" s="42"/>
      <c r="AU758" s="129"/>
      <c r="AV758" s="125"/>
      <c r="AW758" s="130"/>
      <c r="AX758" s="131"/>
      <c r="AY758" s="132"/>
      <c r="AZ758" s="42"/>
      <c r="BA758" s="129"/>
      <c r="BB758" s="133"/>
      <c r="BE758" s="37"/>
      <c r="BF758" s="36"/>
    </row>
    <row r="759" spans="1:58" ht="15" customHeight="1">
      <c r="A759" s="41"/>
      <c r="D759" s="36"/>
      <c r="N759" s="36"/>
      <c r="O759" s="125"/>
      <c r="P759" s="126"/>
      <c r="Q759" s="127"/>
      <c r="R759" s="42"/>
      <c r="S759" s="128"/>
      <c r="T759" s="129"/>
      <c r="U759" s="125"/>
      <c r="V759" s="130"/>
      <c r="W759" s="131"/>
      <c r="X759" s="132"/>
      <c r="Y759" s="42"/>
      <c r="Z759" s="129"/>
      <c r="AA759" s="133"/>
      <c r="AB759" s="134"/>
      <c r="AE759" s="36"/>
      <c r="AO759" s="37"/>
      <c r="AP759" s="36"/>
      <c r="AQ759" s="125"/>
      <c r="AR759" s="126"/>
      <c r="AS759" s="127"/>
      <c r="AT759" s="42"/>
      <c r="AU759" s="129"/>
      <c r="AV759" s="125"/>
      <c r="AW759" s="130"/>
      <c r="AX759" s="131"/>
      <c r="AY759" s="132"/>
      <c r="AZ759" s="42"/>
      <c r="BA759" s="129"/>
      <c r="BB759" s="133"/>
      <c r="BE759" s="37"/>
      <c r="BF759" s="36"/>
    </row>
    <row r="760" spans="1:58" ht="15" customHeight="1">
      <c r="A760" s="41"/>
      <c r="D760" s="36"/>
      <c r="N760" s="36"/>
      <c r="O760" s="125"/>
      <c r="P760" s="126"/>
      <c r="Q760" s="127"/>
      <c r="R760" s="42"/>
      <c r="S760" s="128"/>
      <c r="T760" s="129"/>
      <c r="U760" s="125"/>
      <c r="V760" s="130"/>
      <c r="W760" s="131"/>
      <c r="X760" s="132"/>
      <c r="Y760" s="42"/>
      <c r="Z760" s="129"/>
      <c r="AA760" s="133"/>
      <c r="AB760" s="134"/>
      <c r="AE760" s="36"/>
      <c r="AO760" s="37"/>
      <c r="AP760" s="36"/>
      <c r="AQ760" s="125"/>
      <c r="AR760" s="126"/>
      <c r="AS760" s="127"/>
      <c r="AT760" s="42"/>
      <c r="AU760" s="129"/>
      <c r="AV760" s="125"/>
      <c r="AW760" s="130"/>
      <c r="AX760" s="131"/>
      <c r="AY760" s="132"/>
      <c r="AZ760" s="42"/>
      <c r="BA760" s="129"/>
      <c r="BB760" s="133"/>
      <c r="BE760" s="37"/>
      <c r="BF760" s="36"/>
    </row>
    <row r="761" spans="1:58" ht="15" customHeight="1">
      <c r="A761" s="41"/>
      <c r="D761" s="36"/>
      <c r="N761" s="36"/>
      <c r="O761" s="125"/>
      <c r="P761" s="126"/>
      <c r="Q761" s="127"/>
      <c r="R761" s="42"/>
      <c r="S761" s="128"/>
      <c r="T761" s="129"/>
      <c r="U761" s="125"/>
      <c r="V761" s="130"/>
      <c r="W761" s="131"/>
      <c r="X761" s="132"/>
      <c r="Y761" s="42"/>
      <c r="Z761" s="129"/>
      <c r="AA761" s="133"/>
      <c r="AB761" s="134"/>
      <c r="AE761" s="36"/>
      <c r="AO761" s="37"/>
      <c r="AP761" s="36"/>
      <c r="AQ761" s="125"/>
      <c r="AR761" s="126"/>
      <c r="AS761" s="127"/>
      <c r="AT761" s="42"/>
      <c r="AU761" s="129"/>
      <c r="AV761" s="125"/>
      <c r="AW761" s="130"/>
      <c r="AX761" s="131"/>
      <c r="AY761" s="132"/>
      <c r="AZ761" s="42"/>
      <c r="BA761" s="129"/>
      <c r="BB761" s="133"/>
      <c r="BE761" s="37"/>
      <c r="BF761" s="36"/>
    </row>
    <row r="762" spans="1:58" ht="15" customHeight="1">
      <c r="A762" s="41"/>
      <c r="D762" s="36"/>
      <c r="N762" s="36"/>
      <c r="O762" s="125"/>
      <c r="P762" s="126"/>
      <c r="Q762" s="127"/>
      <c r="R762" s="42"/>
      <c r="S762" s="128"/>
      <c r="T762" s="129"/>
      <c r="U762" s="125"/>
      <c r="V762" s="130"/>
      <c r="W762" s="131"/>
      <c r="X762" s="132"/>
      <c r="Y762" s="42"/>
      <c r="Z762" s="129"/>
      <c r="AA762" s="133"/>
      <c r="AB762" s="134"/>
      <c r="AE762" s="36"/>
      <c r="AO762" s="37"/>
      <c r="AP762" s="36"/>
      <c r="AQ762" s="125"/>
      <c r="AR762" s="126"/>
      <c r="AS762" s="127"/>
      <c r="AT762" s="42"/>
      <c r="AU762" s="129"/>
      <c r="AV762" s="125"/>
      <c r="AW762" s="130"/>
      <c r="AX762" s="131"/>
      <c r="AY762" s="132"/>
      <c r="AZ762" s="42"/>
      <c r="BA762" s="129"/>
      <c r="BB762" s="133"/>
      <c r="BE762" s="37"/>
      <c r="BF762" s="36"/>
    </row>
    <row r="763" spans="1:58" ht="15" customHeight="1">
      <c r="A763" s="41"/>
      <c r="D763" s="36"/>
      <c r="N763" s="36"/>
      <c r="O763" s="125"/>
      <c r="P763" s="126"/>
      <c r="Q763" s="127"/>
      <c r="R763" s="42"/>
      <c r="S763" s="128"/>
      <c r="T763" s="129"/>
      <c r="U763" s="125"/>
      <c r="V763" s="130"/>
      <c r="W763" s="131"/>
      <c r="X763" s="132"/>
      <c r="Y763" s="42"/>
      <c r="Z763" s="129"/>
      <c r="AA763" s="133"/>
      <c r="AB763" s="134"/>
      <c r="AE763" s="36"/>
      <c r="AO763" s="37"/>
      <c r="AP763" s="36"/>
      <c r="AQ763" s="125"/>
      <c r="AR763" s="126"/>
      <c r="AS763" s="127"/>
      <c r="AT763" s="42"/>
      <c r="AU763" s="129"/>
      <c r="AV763" s="125"/>
      <c r="AW763" s="130"/>
      <c r="AX763" s="131"/>
      <c r="AY763" s="132"/>
      <c r="AZ763" s="42"/>
      <c r="BA763" s="129"/>
      <c r="BB763" s="133"/>
      <c r="BE763" s="37"/>
      <c r="BF763" s="36"/>
    </row>
    <row r="764" spans="1:58" ht="15" customHeight="1">
      <c r="A764" s="41"/>
      <c r="D764" s="36"/>
      <c r="N764" s="36"/>
      <c r="O764" s="125"/>
      <c r="P764" s="126"/>
      <c r="Q764" s="127"/>
      <c r="R764" s="42"/>
      <c r="S764" s="128"/>
      <c r="T764" s="129"/>
      <c r="U764" s="125"/>
      <c r="V764" s="130"/>
      <c r="W764" s="131"/>
      <c r="X764" s="132"/>
      <c r="Y764" s="42"/>
      <c r="Z764" s="129"/>
      <c r="AA764" s="133"/>
      <c r="AB764" s="134"/>
      <c r="AE764" s="36"/>
      <c r="AO764" s="37"/>
      <c r="AP764" s="36"/>
      <c r="AQ764" s="125"/>
      <c r="AR764" s="126"/>
      <c r="AS764" s="127"/>
      <c r="AT764" s="42"/>
      <c r="AU764" s="129"/>
      <c r="AV764" s="125"/>
      <c r="AW764" s="130"/>
      <c r="AX764" s="131"/>
      <c r="AY764" s="132"/>
      <c r="AZ764" s="42"/>
      <c r="BA764" s="129"/>
      <c r="BB764" s="133"/>
      <c r="BE764" s="37"/>
      <c r="BF764" s="36"/>
    </row>
    <row r="765" spans="1:58" ht="15" customHeight="1">
      <c r="A765" s="41"/>
      <c r="D765" s="36"/>
      <c r="N765" s="36"/>
      <c r="O765" s="125"/>
      <c r="P765" s="126"/>
      <c r="Q765" s="127"/>
      <c r="R765" s="42"/>
      <c r="S765" s="128"/>
      <c r="T765" s="129"/>
      <c r="U765" s="125"/>
      <c r="V765" s="130"/>
      <c r="W765" s="131"/>
      <c r="X765" s="132"/>
      <c r="Y765" s="42"/>
      <c r="Z765" s="129"/>
      <c r="AA765" s="133"/>
      <c r="AB765" s="134"/>
      <c r="AE765" s="36"/>
      <c r="AO765" s="37"/>
      <c r="AP765" s="36"/>
      <c r="AQ765" s="125"/>
      <c r="AR765" s="126"/>
      <c r="AS765" s="127"/>
      <c r="AT765" s="42"/>
      <c r="AU765" s="129"/>
      <c r="AV765" s="125"/>
      <c r="AW765" s="130"/>
      <c r="AX765" s="131"/>
      <c r="AY765" s="132"/>
      <c r="AZ765" s="42"/>
      <c r="BA765" s="129"/>
      <c r="BB765" s="133"/>
      <c r="BE765" s="37"/>
      <c r="BF765" s="36"/>
    </row>
    <row r="766" spans="1:58" ht="15" customHeight="1">
      <c r="A766" s="41"/>
      <c r="D766" s="36"/>
      <c r="N766" s="36"/>
      <c r="O766" s="125"/>
      <c r="P766" s="126"/>
      <c r="Q766" s="127"/>
      <c r="R766" s="42"/>
      <c r="S766" s="128"/>
      <c r="T766" s="129"/>
      <c r="U766" s="125"/>
      <c r="V766" s="130"/>
      <c r="W766" s="131"/>
      <c r="X766" s="132"/>
      <c r="Y766" s="42"/>
      <c r="Z766" s="129"/>
      <c r="AA766" s="133"/>
      <c r="AB766" s="134"/>
      <c r="AE766" s="36"/>
      <c r="AO766" s="37"/>
      <c r="AP766" s="36"/>
      <c r="AQ766" s="125"/>
      <c r="AR766" s="126"/>
      <c r="AS766" s="127"/>
      <c r="AT766" s="42"/>
      <c r="AU766" s="129"/>
      <c r="AV766" s="125"/>
      <c r="AW766" s="130"/>
      <c r="AX766" s="131"/>
      <c r="AY766" s="132"/>
      <c r="AZ766" s="42"/>
      <c r="BA766" s="129"/>
      <c r="BB766" s="133"/>
      <c r="BE766" s="37"/>
      <c r="BF766" s="36"/>
    </row>
    <row r="767" spans="1:58" ht="15" customHeight="1">
      <c r="A767" s="41"/>
      <c r="D767" s="36"/>
      <c r="N767" s="36"/>
      <c r="O767" s="125"/>
      <c r="P767" s="126"/>
      <c r="Q767" s="127"/>
      <c r="R767" s="42"/>
      <c r="S767" s="128"/>
      <c r="T767" s="129"/>
      <c r="U767" s="125"/>
      <c r="V767" s="130"/>
      <c r="W767" s="131"/>
      <c r="X767" s="132"/>
      <c r="Y767" s="42"/>
      <c r="Z767" s="129"/>
      <c r="AA767" s="133"/>
      <c r="AB767" s="134"/>
      <c r="AE767" s="36"/>
      <c r="AO767" s="37"/>
      <c r="AP767" s="36"/>
      <c r="AQ767" s="125"/>
      <c r="AR767" s="126"/>
      <c r="AS767" s="127"/>
      <c r="AT767" s="42"/>
      <c r="AU767" s="129"/>
      <c r="AV767" s="125"/>
      <c r="AW767" s="130"/>
      <c r="AX767" s="131"/>
      <c r="AY767" s="132"/>
      <c r="AZ767" s="42"/>
      <c r="BA767" s="129"/>
      <c r="BB767" s="133"/>
      <c r="BE767" s="37"/>
      <c r="BF767" s="36"/>
    </row>
    <row r="768" spans="1:58" ht="15" customHeight="1">
      <c r="A768" s="41"/>
      <c r="D768" s="36"/>
      <c r="N768" s="36"/>
      <c r="O768" s="125"/>
      <c r="P768" s="126"/>
      <c r="Q768" s="127"/>
      <c r="R768" s="42"/>
      <c r="S768" s="128"/>
      <c r="T768" s="129"/>
      <c r="U768" s="125"/>
      <c r="V768" s="130"/>
      <c r="W768" s="131"/>
      <c r="X768" s="132"/>
      <c r="Y768" s="42"/>
      <c r="Z768" s="129"/>
      <c r="AA768" s="133"/>
      <c r="AB768" s="134"/>
      <c r="AE768" s="36"/>
      <c r="AO768" s="37"/>
      <c r="AP768" s="36"/>
      <c r="AQ768" s="125"/>
      <c r="AR768" s="126"/>
      <c r="AS768" s="127"/>
      <c r="AT768" s="42"/>
      <c r="AU768" s="129"/>
      <c r="AV768" s="125"/>
      <c r="AW768" s="130"/>
      <c r="AX768" s="131"/>
      <c r="AY768" s="132"/>
      <c r="AZ768" s="42"/>
      <c r="BA768" s="129"/>
      <c r="BB768" s="133"/>
      <c r="BE768" s="37"/>
      <c r="BF768" s="36"/>
    </row>
    <row r="769" spans="1:58" ht="15" customHeight="1">
      <c r="A769" s="41"/>
      <c r="B769" s="43"/>
      <c r="D769" s="36"/>
      <c r="N769" s="36"/>
      <c r="O769" s="125"/>
      <c r="P769" s="126"/>
      <c r="Q769" s="127"/>
      <c r="R769" s="42"/>
      <c r="S769" s="128"/>
      <c r="T769" s="129"/>
      <c r="U769" s="125"/>
      <c r="V769" s="130"/>
      <c r="W769" s="131"/>
      <c r="X769" s="132"/>
      <c r="Y769" s="42"/>
      <c r="Z769" s="129"/>
      <c r="AA769" s="133"/>
      <c r="AB769" s="134"/>
      <c r="AE769" s="36"/>
      <c r="AO769" s="37"/>
      <c r="AP769" s="36"/>
      <c r="AQ769" s="125"/>
      <c r="AR769" s="126"/>
      <c r="AS769" s="127"/>
      <c r="AT769" s="42"/>
      <c r="AU769" s="129"/>
      <c r="AV769" s="125"/>
      <c r="AW769" s="130"/>
      <c r="AX769" s="131"/>
      <c r="AY769" s="132"/>
      <c r="AZ769" s="42"/>
      <c r="BA769" s="129"/>
      <c r="BB769" s="133"/>
      <c r="BE769" s="37"/>
      <c r="BF769" s="36"/>
    </row>
    <row r="770" spans="1:58" ht="15" customHeight="1">
      <c r="A770" s="41"/>
      <c r="D770" s="36"/>
      <c r="N770" s="36"/>
      <c r="O770" s="136"/>
      <c r="P770" s="137"/>
      <c r="Q770" s="138"/>
      <c r="R770" s="42"/>
      <c r="S770" s="128"/>
      <c r="T770" s="129"/>
      <c r="U770" s="136"/>
      <c r="V770" s="139"/>
      <c r="W770" s="140"/>
      <c r="X770" s="141"/>
      <c r="Y770" s="42"/>
      <c r="Z770" s="129"/>
      <c r="AA770" s="142"/>
      <c r="AB770" s="134"/>
      <c r="AE770" s="36"/>
      <c r="AO770" s="37"/>
      <c r="AP770" s="36"/>
      <c r="AQ770" s="136"/>
      <c r="AR770" s="137"/>
      <c r="AS770" s="138"/>
      <c r="AT770" s="42"/>
      <c r="AU770" s="129"/>
      <c r="AV770" s="136"/>
      <c r="AW770" s="143"/>
      <c r="AX770" s="144"/>
      <c r="AY770" s="141"/>
      <c r="AZ770" s="42"/>
      <c r="BA770" s="129"/>
      <c r="BB770" s="142"/>
      <c r="BE770" s="37"/>
      <c r="BF770" s="36"/>
    </row>
    <row r="771" spans="1:58" ht="15" customHeight="1">
      <c r="A771" s="41"/>
      <c r="D771" s="36"/>
      <c r="N771" s="36"/>
      <c r="O771" s="136"/>
      <c r="P771" s="137"/>
      <c r="Q771" s="138"/>
      <c r="R771" s="42"/>
      <c r="S771" s="128"/>
      <c r="T771" s="129"/>
      <c r="U771" s="136"/>
      <c r="V771" s="139"/>
      <c r="W771" s="140"/>
      <c r="X771" s="141"/>
      <c r="Y771" s="42"/>
      <c r="Z771" s="129"/>
      <c r="AA771" s="142"/>
      <c r="AB771" s="134"/>
      <c r="AE771" s="36"/>
      <c r="AO771" s="37"/>
      <c r="AP771" s="36"/>
      <c r="AQ771" s="136"/>
      <c r="AR771" s="137"/>
      <c r="AS771" s="138"/>
      <c r="AT771" s="42"/>
      <c r="AU771" s="129"/>
      <c r="AV771" s="136"/>
      <c r="AW771" s="143"/>
      <c r="AX771" s="144"/>
      <c r="AY771" s="141"/>
      <c r="AZ771" s="42"/>
      <c r="BA771" s="129"/>
      <c r="BB771" s="142"/>
      <c r="BE771" s="37"/>
      <c r="BF771" s="36"/>
    </row>
    <row r="772" spans="1:58" ht="15" customHeight="1">
      <c r="A772" s="41"/>
      <c r="D772" s="36"/>
      <c r="N772" s="36"/>
      <c r="O772" s="136"/>
      <c r="P772" s="137"/>
      <c r="Q772" s="138"/>
      <c r="R772" s="42"/>
      <c r="S772" s="128"/>
      <c r="T772" s="129"/>
      <c r="U772" s="136"/>
      <c r="V772" s="139"/>
      <c r="W772" s="140"/>
      <c r="X772" s="141"/>
      <c r="Y772" s="42"/>
      <c r="Z772" s="129"/>
      <c r="AA772" s="142"/>
      <c r="AB772" s="134"/>
      <c r="AE772" s="36"/>
      <c r="AO772" s="37"/>
      <c r="AP772" s="36"/>
      <c r="AQ772" s="136"/>
      <c r="AR772" s="137"/>
      <c r="AS772" s="138"/>
      <c r="AT772" s="42"/>
      <c r="AU772" s="129"/>
      <c r="AV772" s="136"/>
      <c r="AW772" s="143"/>
      <c r="AX772" s="144"/>
      <c r="AY772" s="141"/>
      <c r="AZ772" s="42"/>
      <c r="BA772" s="129"/>
      <c r="BB772" s="142"/>
      <c r="BE772" s="37"/>
      <c r="BF772" s="36"/>
    </row>
    <row r="773" spans="1:58" ht="15" customHeight="1">
      <c r="A773" s="41"/>
      <c r="D773" s="36"/>
      <c r="N773" s="36"/>
      <c r="O773" s="136"/>
      <c r="P773" s="137"/>
      <c r="Q773" s="138"/>
      <c r="R773" s="42"/>
      <c r="S773" s="128"/>
      <c r="T773" s="129"/>
      <c r="U773" s="136"/>
      <c r="V773" s="139"/>
      <c r="W773" s="140"/>
      <c r="X773" s="141"/>
      <c r="Y773" s="42"/>
      <c r="Z773" s="129"/>
      <c r="AA773" s="142"/>
      <c r="AB773" s="134"/>
      <c r="AE773" s="36"/>
      <c r="AO773" s="37"/>
      <c r="AP773" s="36"/>
      <c r="AQ773" s="136"/>
      <c r="AR773" s="137"/>
      <c r="AS773" s="138"/>
      <c r="AT773" s="42"/>
      <c r="AU773" s="129"/>
      <c r="AV773" s="136"/>
      <c r="AW773" s="143"/>
      <c r="AX773" s="144"/>
      <c r="AY773" s="141"/>
      <c r="AZ773" s="42"/>
      <c r="BA773" s="129"/>
      <c r="BB773" s="142"/>
      <c r="BE773" s="37"/>
      <c r="BF773" s="36"/>
    </row>
    <row r="774" spans="1:58" ht="15" customHeight="1">
      <c r="A774" s="41"/>
      <c r="D774" s="36"/>
      <c r="N774" s="36"/>
      <c r="O774" s="136"/>
      <c r="P774" s="137"/>
      <c r="Q774" s="138"/>
      <c r="R774" s="42"/>
      <c r="S774" s="128"/>
      <c r="T774" s="129"/>
      <c r="U774" s="136"/>
      <c r="V774" s="139"/>
      <c r="W774" s="140"/>
      <c r="X774" s="141"/>
      <c r="Y774" s="42"/>
      <c r="Z774" s="129"/>
      <c r="AA774" s="142"/>
      <c r="AB774" s="134"/>
      <c r="AE774" s="36"/>
      <c r="AO774" s="37"/>
      <c r="AP774" s="36"/>
      <c r="AQ774" s="136"/>
      <c r="AR774" s="137"/>
      <c r="AS774" s="138"/>
      <c r="AT774" s="42"/>
      <c r="AU774" s="129"/>
      <c r="AV774" s="136"/>
      <c r="AW774" s="143"/>
      <c r="AX774" s="144"/>
      <c r="AY774" s="141"/>
      <c r="AZ774" s="42"/>
      <c r="BA774" s="129"/>
      <c r="BB774" s="142"/>
      <c r="BE774" s="37"/>
      <c r="BF774" s="36"/>
    </row>
    <row r="775" spans="1:58">
      <c r="AP775" s="80"/>
      <c r="AQ775" s="82"/>
      <c r="AR775" s="83"/>
      <c r="AS775" s="84"/>
      <c r="AV775" s="82"/>
      <c r="AW775" s="90"/>
      <c r="AX775" s="91"/>
      <c r="AY775" s="87"/>
      <c r="BB775" s="88"/>
    </row>
    <row r="776" spans="1:58">
      <c r="AP776" s="80"/>
      <c r="AQ776" s="82"/>
      <c r="AR776" s="83"/>
      <c r="AS776" s="84"/>
      <c r="AV776" s="82"/>
      <c r="AW776" s="90"/>
      <c r="AX776" s="91"/>
      <c r="AY776" s="87"/>
      <c r="BB776" s="88"/>
    </row>
    <row r="777" spans="1:58">
      <c r="AP777" s="80"/>
      <c r="AQ777" s="82"/>
      <c r="AR777" s="83"/>
      <c r="AS777" s="84"/>
      <c r="AV777" s="82"/>
      <c r="AW777" s="90"/>
      <c r="AX777" s="91"/>
      <c r="AY777" s="87"/>
      <c r="BB777" s="88"/>
    </row>
    <row r="778" spans="1:58">
      <c r="AP778" s="80"/>
      <c r="AQ778" s="82"/>
      <c r="AR778" s="83"/>
      <c r="AS778" s="84"/>
      <c r="AV778" s="82"/>
      <c r="AW778" s="90"/>
      <c r="AX778" s="91"/>
      <c r="AY778" s="87"/>
      <c r="BB778" s="88"/>
    </row>
    <row r="779" spans="1:58">
      <c r="AP779" s="80"/>
      <c r="AQ779" s="82"/>
      <c r="AR779" s="83"/>
      <c r="AS779" s="84"/>
      <c r="AV779" s="82"/>
      <c r="AW779" s="90"/>
      <c r="AX779" s="91"/>
      <c r="AY779" s="87"/>
      <c r="BB779" s="88"/>
    </row>
    <row r="780" spans="1:58">
      <c r="AP780" s="80"/>
      <c r="AQ780" s="82"/>
      <c r="AR780" s="83"/>
      <c r="AS780" s="84"/>
      <c r="AV780" s="82"/>
      <c r="AW780" s="90"/>
      <c r="AX780" s="91"/>
      <c r="AY780" s="87"/>
      <c r="BB780" s="88"/>
    </row>
    <row r="781" spans="1:58">
      <c r="AP781" s="80"/>
      <c r="AQ781" s="82"/>
      <c r="AR781" s="83"/>
      <c r="AS781" s="84"/>
      <c r="AV781" s="82"/>
      <c r="AW781" s="90"/>
      <c r="AX781" s="91"/>
      <c r="AY781" s="87"/>
      <c r="BB781" s="88"/>
    </row>
    <row r="782" spans="1:58">
      <c r="AP782" s="80"/>
      <c r="AQ782" s="82"/>
      <c r="AR782" s="83"/>
      <c r="AS782" s="84"/>
      <c r="AV782" s="82"/>
      <c r="AW782" s="90"/>
      <c r="AX782" s="91"/>
      <c r="AY782" s="87"/>
      <c r="BB782" s="88"/>
    </row>
    <row r="783" spans="1:58">
      <c r="AP783" s="80"/>
      <c r="AQ783" s="82"/>
      <c r="AR783" s="83"/>
      <c r="AS783" s="84"/>
      <c r="AV783" s="82"/>
      <c r="AW783" s="90"/>
      <c r="AX783" s="91"/>
      <c r="AY783" s="87"/>
      <c r="BB783" s="88"/>
    </row>
    <row r="784" spans="1:58">
      <c r="AP784" s="80"/>
      <c r="AQ784" s="82"/>
      <c r="AR784" s="83"/>
      <c r="AS784" s="84"/>
      <c r="AV784" s="82"/>
      <c r="AW784" s="90"/>
      <c r="AX784" s="91"/>
      <c r="AY784" s="87"/>
      <c r="BB784" s="88"/>
    </row>
    <row r="785" spans="42:54">
      <c r="AP785" s="80"/>
      <c r="AQ785" s="82"/>
      <c r="AR785" s="83"/>
      <c r="AS785" s="84"/>
      <c r="AV785" s="82"/>
      <c r="AW785" s="90"/>
      <c r="AX785" s="91"/>
      <c r="AY785" s="87"/>
      <c r="BB785" s="88"/>
    </row>
    <row r="786" spans="42:54">
      <c r="AP786" s="80"/>
      <c r="AQ786" s="82"/>
      <c r="AR786" s="83"/>
      <c r="AS786" s="84"/>
      <c r="AV786" s="82"/>
      <c r="AW786" s="90"/>
      <c r="AX786" s="91"/>
      <c r="AY786" s="87"/>
      <c r="BB786" s="88"/>
    </row>
    <row r="787" spans="42:54">
      <c r="AP787" s="80"/>
      <c r="AQ787" s="82"/>
      <c r="AR787" s="83"/>
      <c r="AS787" s="84"/>
      <c r="AV787" s="82"/>
      <c r="AW787" s="90"/>
      <c r="AX787" s="91"/>
      <c r="AY787" s="87"/>
      <c r="BB787" s="88"/>
    </row>
    <row r="788" spans="42:54">
      <c r="AP788" s="80"/>
      <c r="AQ788" s="82"/>
      <c r="AR788" s="83"/>
      <c r="AS788" s="84"/>
      <c r="AV788" s="82"/>
      <c r="AW788" s="90"/>
      <c r="AX788" s="91"/>
      <c r="AY788" s="87"/>
      <c r="BB788" s="88"/>
    </row>
    <row r="789" spans="42:54">
      <c r="AP789" s="80"/>
      <c r="AQ789" s="82"/>
      <c r="AR789" s="83"/>
      <c r="AS789" s="84"/>
      <c r="AV789" s="82"/>
      <c r="AW789" s="90"/>
      <c r="AX789" s="91"/>
      <c r="AY789" s="87"/>
      <c r="BB789" s="88"/>
    </row>
    <row r="790" spans="42:54">
      <c r="AP790" s="80"/>
      <c r="AQ790" s="82"/>
      <c r="AR790" s="83"/>
      <c r="AS790" s="84"/>
      <c r="AV790" s="82"/>
      <c r="AW790" s="90"/>
      <c r="AX790" s="91"/>
      <c r="AY790" s="87"/>
      <c r="BB790" s="88"/>
    </row>
    <row r="791" spans="42:54">
      <c r="AP791" s="80"/>
      <c r="AQ791" s="82"/>
      <c r="AR791" s="83"/>
      <c r="AS791" s="84"/>
      <c r="AV791" s="82"/>
      <c r="AW791" s="90"/>
      <c r="AX791" s="91"/>
      <c r="AY791" s="87"/>
      <c r="BB791" s="88"/>
    </row>
    <row r="792" spans="42:54">
      <c r="AP792" s="80"/>
      <c r="AQ792" s="82"/>
      <c r="AR792" s="83"/>
      <c r="AS792" s="84"/>
      <c r="AV792" s="82"/>
      <c r="AW792" s="90"/>
      <c r="AX792" s="91"/>
      <c r="AY792" s="87"/>
      <c r="BB792" s="88"/>
    </row>
    <row r="793" spans="42:54">
      <c r="AP793" s="80"/>
      <c r="AQ793" s="82"/>
      <c r="AR793" s="83"/>
      <c r="AS793" s="84"/>
      <c r="AV793" s="82"/>
      <c r="AW793" s="90"/>
      <c r="AX793" s="91"/>
      <c r="AY793" s="87"/>
      <c r="BB793" s="88"/>
    </row>
    <row r="794" spans="42:54">
      <c r="AP794" s="80"/>
      <c r="AQ794" s="82"/>
      <c r="AR794" s="83"/>
      <c r="AS794" s="84"/>
      <c r="AV794" s="82"/>
      <c r="AW794" s="90"/>
      <c r="AX794" s="91"/>
      <c r="AY794" s="87"/>
      <c r="BB794" s="88"/>
    </row>
    <row r="795" spans="42:54">
      <c r="AP795" s="80"/>
      <c r="AQ795" s="82"/>
      <c r="AR795" s="83"/>
      <c r="AS795" s="84"/>
      <c r="AV795" s="82"/>
      <c r="AW795" s="90"/>
      <c r="AX795" s="91"/>
      <c r="AY795" s="87"/>
      <c r="BB795" s="88"/>
    </row>
    <row r="796" spans="42:54">
      <c r="AP796" s="80"/>
      <c r="AQ796" s="82"/>
      <c r="AR796" s="83"/>
      <c r="AS796" s="84"/>
      <c r="AV796" s="82"/>
      <c r="AW796" s="90"/>
      <c r="AX796" s="91"/>
      <c r="AY796" s="87"/>
      <c r="BB796" s="88"/>
    </row>
    <row r="797" spans="42:54">
      <c r="AP797" s="80"/>
      <c r="AQ797" s="82"/>
      <c r="AR797" s="83"/>
      <c r="AS797" s="84"/>
      <c r="AV797" s="82"/>
      <c r="AW797" s="90"/>
      <c r="AX797" s="91"/>
      <c r="AY797" s="87"/>
      <c r="BB797" s="88"/>
    </row>
    <row r="798" spans="42:54">
      <c r="AP798" s="80"/>
      <c r="AQ798" s="82"/>
      <c r="AR798" s="83"/>
      <c r="AS798" s="84"/>
      <c r="AV798" s="82"/>
      <c r="AW798" s="90"/>
      <c r="AX798" s="91"/>
      <c r="AY798" s="87"/>
      <c r="BB798" s="88"/>
    </row>
    <row r="799" spans="42:54">
      <c r="AP799" s="80"/>
      <c r="AQ799" s="82"/>
      <c r="AR799" s="83"/>
      <c r="AS799" s="84"/>
      <c r="AV799" s="82"/>
      <c r="AW799" s="90"/>
      <c r="AX799" s="91"/>
      <c r="AY799" s="87"/>
      <c r="BB799" s="88"/>
    </row>
    <row r="800" spans="42:54">
      <c r="AP800" s="80"/>
      <c r="AQ800" s="82"/>
      <c r="AR800" s="83"/>
      <c r="AS800" s="84"/>
      <c r="AV800" s="82"/>
      <c r="AW800" s="90"/>
      <c r="AX800" s="91"/>
      <c r="AY800" s="87"/>
      <c r="BB800" s="88"/>
    </row>
    <row r="801" spans="42:54">
      <c r="AP801" s="80"/>
      <c r="AQ801" s="82"/>
      <c r="AR801" s="83"/>
      <c r="AS801" s="84"/>
      <c r="AV801" s="82"/>
      <c r="AW801" s="90"/>
      <c r="AX801" s="91"/>
      <c r="AY801" s="87"/>
      <c r="BB801" s="88"/>
    </row>
    <row r="802" spans="42:54">
      <c r="AP802" s="80"/>
      <c r="AQ802" s="82"/>
      <c r="AR802" s="83"/>
      <c r="AS802" s="84"/>
      <c r="AV802" s="82"/>
      <c r="AW802" s="90"/>
      <c r="AX802" s="91"/>
      <c r="AY802" s="87"/>
      <c r="BB802" s="88"/>
    </row>
    <row r="803" spans="42:54">
      <c r="AP803" s="80"/>
      <c r="AQ803" s="82"/>
      <c r="AR803" s="83"/>
      <c r="AS803" s="84"/>
      <c r="AV803" s="82"/>
      <c r="AW803" s="90"/>
      <c r="AX803" s="91"/>
      <c r="AY803" s="87"/>
      <c r="BB803" s="88"/>
    </row>
    <row r="804" spans="42:54">
      <c r="AP804" s="80"/>
      <c r="AQ804" s="82"/>
      <c r="AR804" s="83"/>
      <c r="AS804" s="84"/>
      <c r="AV804" s="82"/>
      <c r="AW804" s="90"/>
      <c r="AX804" s="91"/>
      <c r="AY804" s="87"/>
      <c r="BB804" s="88"/>
    </row>
    <row r="805" spans="42:54">
      <c r="AP805" s="80"/>
      <c r="AQ805" s="82"/>
      <c r="AR805" s="83"/>
      <c r="AS805" s="84"/>
      <c r="AV805" s="82"/>
      <c r="AW805" s="90"/>
      <c r="AX805" s="91"/>
      <c r="AY805" s="87"/>
      <c r="BB805" s="88"/>
    </row>
    <row r="806" spans="42:54">
      <c r="AP806" s="80"/>
      <c r="AQ806" s="82"/>
      <c r="AR806" s="83"/>
      <c r="AS806" s="84"/>
      <c r="AV806" s="82"/>
      <c r="AW806" s="90"/>
      <c r="AX806" s="91"/>
      <c r="AY806" s="87"/>
      <c r="BB806" s="88"/>
    </row>
    <row r="807" spans="42:54">
      <c r="AP807" s="80"/>
      <c r="AQ807" s="82"/>
      <c r="AR807" s="83"/>
      <c r="AS807" s="84"/>
      <c r="AV807" s="82"/>
      <c r="AW807" s="90"/>
      <c r="AX807" s="91"/>
      <c r="AY807" s="87"/>
      <c r="BB807" s="88"/>
    </row>
    <row r="808" spans="42:54">
      <c r="AP808" s="80"/>
      <c r="AQ808" s="82"/>
      <c r="AR808" s="83"/>
      <c r="AS808" s="84"/>
      <c r="AV808" s="82"/>
      <c r="AW808" s="90"/>
      <c r="AX808" s="91"/>
      <c r="AY808" s="87"/>
      <c r="BB808" s="88"/>
    </row>
    <row r="809" spans="42:54">
      <c r="AP809" s="80"/>
      <c r="AQ809" s="82"/>
      <c r="AR809" s="83"/>
      <c r="AS809" s="84"/>
      <c r="AV809" s="82"/>
      <c r="AW809" s="90"/>
      <c r="AX809" s="91"/>
      <c r="AY809" s="87"/>
      <c r="BB809" s="88"/>
    </row>
    <row r="810" spans="42:54">
      <c r="AP810" s="80"/>
      <c r="AQ810" s="82"/>
      <c r="AR810" s="83"/>
      <c r="AS810" s="84"/>
      <c r="AV810" s="82"/>
      <c r="AW810" s="90"/>
      <c r="AX810" s="91"/>
      <c r="AY810" s="87"/>
      <c r="BB810" s="88"/>
    </row>
    <row r="811" spans="42:54">
      <c r="AP811" s="80"/>
      <c r="AQ811" s="82"/>
      <c r="AR811" s="83"/>
      <c r="AS811" s="84"/>
      <c r="AV811" s="82"/>
      <c r="AW811" s="90"/>
      <c r="AX811" s="91"/>
      <c r="AY811" s="87"/>
      <c r="BB811" s="88"/>
    </row>
    <row r="812" spans="42:54">
      <c r="AP812" s="80"/>
      <c r="AQ812" s="82"/>
      <c r="AR812" s="83"/>
      <c r="AS812" s="84"/>
      <c r="AV812" s="82"/>
      <c r="AW812" s="90"/>
      <c r="AX812" s="91"/>
      <c r="AY812" s="87"/>
      <c r="BB812" s="88"/>
    </row>
    <row r="813" spans="42:54">
      <c r="AP813" s="80"/>
      <c r="AQ813" s="82"/>
      <c r="AR813" s="83"/>
      <c r="AS813" s="84"/>
      <c r="AV813" s="82"/>
      <c r="AW813" s="90"/>
      <c r="AX813" s="91"/>
      <c r="AY813" s="87"/>
      <c r="BB813" s="88"/>
    </row>
    <row r="814" spans="42:54">
      <c r="AP814" s="80"/>
      <c r="AQ814" s="82"/>
      <c r="AR814" s="83"/>
      <c r="AS814" s="84"/>
      <c r="AV814" s="82"/>
      <c r="AW814" s="90"/>
      <c r="AX814" s="91"/>
      <c r="AY814" s="87"/>
      <c r="BB814" s="88"/>
    </row>
    <row r="815" spans="42:54">
      <c r="AP815" s="80"/>
      <c r="AQ815" s="82"/>
      <c r="AR815" s="83"/>
      <c r="AS815" s="84"/>
      <c r="AV815" s="82"/>
      <c r="AW815" s="90"/>
      <c r="AX815" s="91"/>
      <c r="AY815" s="87"/>
      <c r="BB815" s="88"/>
    </row>
    <row r="816" spans="42:54">
      <c r="AP816" s="80"/>
      <c r="AQ816" s="82"/>
      <c r="AR816" s="83"/>
      <c r="AS816" s="84"/>
      <c r="AV816" s="82"/>
      <c r="AW816" s="90"/>
      <c r="AX816" s="91"/>
      <c r="AY816" s="87"/>
      <c r="BB816" s="88"/>
    </row>
    <row r="817" spans="42:54">
      <c r="AP817" s="80"/>
      <c r="AQ817" s="82"/>
      <c r="AR817" s="83"/>
      <c r="AS817" s="84"/>
      <c r="AV817" s="82"/>
      <c r="AW817" s="90"/>
      <c r="AX817" s="91"/>
      <c r="AY817" s="87"/>
      <c r="BB817" s="88"/>
    </row>
    <row r="818" spans="42:54">
      <c r="AP818" s="80"/>
      <c r="AQ818" s="82"/>
      <c r="AR818" s="83"/>
      <c r="AS818" s="84"/>
      <c r="AV818" s="82"/>
      <c r="AW818" s="90"/>
      <c r="AX818" s="91"/>
      <c r="AY818" s="87"/>
      <c r="BB818" s="88"/>
    </row>
    <row r="819" spans="42:54">
      <c r="AP819" s="80"/>
      <c r="AQ819" s="82"/>
      <c r="AR819" s="83"/>
      <c r="AS819" s="84"/>
      <c r="AV819" s="82"/>
      <c r="AW819" s="90"/>
      <c r="AX819" s="91"/>
      <c r="AY819" s="87"/>
      <c r="BB819" s="88"/>
    </row>
    <row r="820" spans="42:54">
      <c r="AP820" s="80"/>
      <c r="AQ820" s="82"/>
      <c r="AR820" s="83"/>
      <c r="AS820" s="84"/>
      <c r="AV820" s="82"/>
      <c r="AW820" s="90"/>
      <c r="AX820" s="91"/>
      <c r="AY820" s="87"/>
      <c r="BB820" s="88"/>
    </row>
    <row r="821" spans="42:54">
      <c r="AP821" s="80"/>
      <c r="AQ821" s="82"/>
      <c r="AR821" s="83"/>
      <c r="AS821" s="84"/>
      <c r="AV821" s="82"/>
      <c r="AW821" s="90"/>
      <c r="AX821" s="91"/>
      <c r="AY821" s="87"/>
      <c r="BB821" s="88"/>
    </row>
    <row r="822" spans="42:54">
      <c r="AP822" s="80"/>
      <c r="AQ822" s="82"/>
      <c r="AR822" s="83"/>
      <c r="AS822" s="84"/>
      <c r="AV822" s="82"/>
      <c r="AW822" s="90"/>
      <c r="AX822" s="91"/>
      <c r="AY822" s="87"/>
      <c r="BB822" s="88"/>
    </row>
    <row r="823" spans="42:54">
      <c r="AP823" s="80"/>
      <c r="AQ823" s="82"/>
      <c r="AR823" s="83"/>
      <c r="AS823" s="84"/>
      <c r="AV823" s="82"/>
      <c r="AW823" s="90"/>
      <c r="AX823" s="91"/>
      <c r="AY823" s="87"/>
      <c r="BB823" s="88"/>
    </row>
    <row r="824" spans="42:54">
      <c r="AP824" s="80"/>
      <c r="AQ824" s="82"/>
      <c r="AR824" s="83"/>
      <c r="AS824" s="84"/>
      <c r="AV824" s="82"/>
      <c r="AW824" s="90"/>
      <c r="AX824" s="91"/>
      <c r="AY824" s="87"/>
      <c r="BB824" s="88"/>
    </row>
    <row r="825" spans="42:54">
      <c r="AP825" s="80"/>
      <c r="AQ825" s="82"/>
      <c r="AR825" s="83"/>
      <c r="AS825" s="84"/>
      <c r="AV825" s="82"/>
      <c r="AW825" s="90"/>
      <c r="AX825" s="91"/>
      <c r="AY825" s="87"/>
      <c r="BB825" s="88"/>
    </row>
    <row r="826" spans="42:54">
      <c r="AP826" s="80"/>
      <c r="AQ826" s="82"/>
      <c r="AR826" s="83"/>
      <c r="AS826" s="84"/>
      <c r="AV826" s="82"/>
      <c r="AW826" s="90"/>
      <c r="AX826" s="91"/>
      <c r="AY826" s="87"/>
      <c r="BB826" s="88"/>
    </row>
    <row r="827" spans="42:54">
      <c r="AP827" s="80"/>
      <c r="AQ827" s="82"/>
      <c r="AR827" s="83"/>
      <c r="AS827" s="84"/>
      <c r="AV827" s="82"/>
      <c r="AW827" s="90"/>
      <c r="AX827" s="91"/>
      <c r="AY827" s="87"/>
      <c r="BB827" s="88"/>
    </row>
    <row r="828" spans="42:54">
      <c r="AP828" s="80"/>
      <c r="AQ828" s="82"/>
      <c r="AR828" s="83"/>
      <c r="AS828" s="84"/>
      <c r="AV828" s="82"/>
      <c r="AW828" s="90"/>
      <c r="AX828" s="91"/>
      <c r="AY828" s="87"/>
      <c r="BB828" s="88"/>
    </row>
    <row r="829" spans="42:54">
      <c r="AP829" s="80"/>
      <c r="AQ829" s="82"/>
      <c r="AR829" s="83"/>
      <c r="AS829" s="84"/>
      <c r="AV829" s="82"/>
      <c r="AW829" s="90"/>
      <c r="AX829" s="91"/>
      <c r="AY829" s="87"/>
      <c r="BB829" s="88"/>
    </row>
    <row r="830" spans="42:54">
      <c r="AP830" s="80"/>
      <c r="AQ830" s="82"/>
      <c r="AR830" s="83"/>
      <c r="AS830" s="84"/>
      <c r="AV830" s="82"/>
      <c r="AW830" s="90"/>
      <c r="AX830" s="91"/>
      <c r="AY830" s="87"/>
      <c r="BB830" s="88"/>
    </row>
    <row r="831" spans="42:54">
      <c r="AP831" s="80"/>
      <c r="AQ831" s="82"/>
      <c r="AR831" s="83"/>
      <c r="AS831" s="84"/>
      <c r="AV831" s="82"/>
      <c r="AW831" s="90"/>
      <c r="AX831" s="91"/>
      <c r="AY831" s="87"/>
      <c r="BB831" s="88"/>
    </row>
    <row r="832" spans="42:54">
      <c r="AP832" s="80"/>
      <c r="AQ832" s="82"/>
      <c r="AR832" s="83"/>
      <c r="AS832" s="84"/>
      <c r="AV832" s="82"/>
      <c r="AW832" s="90"/>
      <c r="AX832" s="91"/>
      <c r="AY832" s="87"/>
      <c r="BB832" s="88"/>
    </row>
    <row r="833" spans="42:54">
      <c r="AP833" s="80"/>
      <c r="AQ833" s="82"/>
      <c r="AR833" s="83"/>
      <c r="AS833" s="84"/>
      <c r="AV833" s="82"/>
      <c r="AW833" s="90"/>
      <c r="AX833" s="91"/>
      <c r="AY833" s="87"/>
      <c r="BB833" s="88"/>
    </row>
    <row r="834" spans="42:54">
      <c r="AP834" s="80"/>
      <c r="AQ834" s="82"/>
      <c r="AR834" s="83"/>
      <c r="AS834" s="84"/>
      <c r="AV834" s="82"/>
      <c r="AW834" s="90"/>
      <c r="AX834" s="91"/>
      <c r="AY834" s="87"/>
      <c r="BB834" s="88"/>
    </row>
    <row r="835" spans="42:54">
      <c r="AP835" s="80"/>
      <c r="AQ835" s="82"/>
      <c r="AR835" s="83"/>
      <c r="AS835" s="84"/>
      <c r="AV835" s="82"/>
      <c r="AW835" s="90"/>
      <c r="AX835" s="91"/>
      <c r="AY835" s="87"/>
      <c r="BB835" s="88"/>
    </row>
    <row r="836" spans="42:54">
      <c r="AP836" s="80"/>
      <c r="AQ836" s="82"/>
      <c r="AR836" s="83"/>
      <c r="AS836" s="84"/>
      <c r="AV836" s="82"/>
      <c r="AW836" s="90"/>
      <c r="AX836" s="91"/>
      <c r="AY836" s="87"/>
      <c r="BB836" s="88"/>
    </row>
    <row r="837" spans="42:54">
      <c r="AP837" s="80"/>
      <c r="AQ837" s="82"/>
      <c r="AR837" s="83"/>
      <c r="AS837" s="84"/>
      <c r="AV837" s="82"/>
      <c r="AW837" s="90"/>
      <c r="AX837" s="91"/>
      <c r="AY837" s="87"/>
      <c r="BB837" s="88"/>
    </row>
    <row r="838" spans="42:54">
      <c r="AP838" s="80"/>
      <c r="AQ838" s="82"/>
      <c r="AR838" s="83"/>
      <c r="AS838" s="84"/>
      <c r="AV838" s="82"/>
      <c r="AW838" s="90"/>
      <c r="AX838" s="91"/>
      <c r="AY838" s="87"/>
      <c r="BB838" s="88"/>
    </row>
    <row r="839" spans="42:54">
      <c r="AP839" s="80"/>
      <c r="AQ839" s="82"/>
      <c r="AR839" s="83"/>
      <c r="AS839" s="84"/>
      <c r="AV839" s="82"/>
      <c r="AW839" s="90"/>
      <c r="AX839" s="91"/>
      <c r="AY839" s="87"/>
      <c r="BB839" s="88"/>
    </row>
    <row r="840" spans="42:54">
      <c r="AP840" s="80"/>
      <c r="AQ840" s="82"/>
      <c r="AR840" s="83"/>
      <c r="AS840" s="84"/>
      <c r="AV840" s="82"/>
      <c r="AW840" s="90"/>
      <c r="AX840" s="91"/>
      <c r="AY840" s="87"/>
      <c r="BB840" s="88"/>
    </row>
    <row r="841" spans="42:54">
      <c r="AP841" s="80"/>
      <c r="AQ841" s="82"/>
      <c r="AR841" s="83"/>
      <c r="AS841" s="84"/>
      <c r="AV841" s="82"/>
      <c r="AW841" s="90"/>
      <c r="AX841" s="91"/>
      <c r="AY841" s="87"/>
      <c r="BB841" s="88"/>
    </row>
    <row r="842" spans="42:54">
      <c r="AP842" s="80"/>
      <c r="AQ842" s="82"/>
      <c r="AR842" s="83"/>
      <c r="AS842" s="84"/>
      <c r="AV842" s="82"/>
      <c r="AW842" s="90"/>
      <c r="AX842" s="91"/>
      <c r="AY842" s="87"/>
      <c r="BB842" s="88"/>
    </row>
    <row r="843" spans="42:54">
      <c r="AP843" s="80"/>
      <c r="AQ843" s="82"/>
      <c r="AR843" s="83"/>
      <c r="AS843" s="84"/>
      <c r="AV843" s="82"/>
      <c r="AW843" s="90"/>
      <c r="AX843" s="91"/>
      <c r="AY843" s="87"/>
      <c r="BB843" s="88"/>
    </row>
    <row r="844" spans="42:54">
      <c r="AP844" s="80"/>
      <c r="AQ844" s="82"/>
      <c r="AR844" s="83"/>
      <c r="AS844" s="84"/>
      <c r="AV844" s="82"/>
      <c r="AW844" s="90"/>
      <c r="AX844" s="91"/>
      <c r="AY844" s="87"/>
      <c r="BB844" s="88"/>
    </row>
    <row r="845" spans="42:54">
      <c r="AP845" s="80"/>
      <c r="AQ845" s="82"/>
      <c r="AR845" s="83"/>
      <c r="AS845" s="84"/>
      <c r="AV845" s="82"/>
      <c r="AW845" s="90"/>
      <c r="AX845" s="91"/>
      <c r="AY845" s="87"/>
      <c r="BB845" s="88"/>
    </row>
    <row r="846" spans="42:54">
      <c r="AP846" s="80"/>
      <c r="AQ846" s="82"/>
      <c r="AR846" s="83"/>
      <c r="AS846" s="84"/>
      <c r="AV846" s="82"/>
      <c r="AW846" s="90"/>
      <c r="AX846" s="91"/>
      <c r="AY846" s="87"/>
      <c r="BB846" s="88"/>
    </row>
    <row r="847" spans="42:54">
      <c r="AP847" s="80"/>
      <c r="AQ847" s="82"/>
      <c r="AR847" s="83"/>
      <c r="AS847" s="84"/>
      <c r="AV847" s="82"/>
      <c r="AW847" s="90"/>
      <c r="AX847" s="91"/>
      <c r="AY847" s="87"/>
      <c r="BB847" s="88"/>
    </row>
    <row r="848" spans="42:54">
      <c r="AP848" s="80"/>
      <c r="AQ848" s="82"/>
      <c r="AR848" s="83"/>
      <c r="AS848" s="84"/>
      <c r="AV848" s="82"/>
      <c r="AW848" s="90"/>
      <c r="AX848" s="91"/>
      <c r="AY848" s="87"/>
      <c r="BB848" s="88"/>
    </row>
    <row r="849" spans="42:54">
      <c r="AP849" s="80"/>
      <c r="AQ849" s="82"/>
      <c r="AR849" s="83"/>
      <c r="AS849" s="84"/>
      <c r="AV849" s="82"/>
      <c r="AW849" s="90"/>
      <c r="AX849" s="91"/>
      <c r="AY849" s="87"/>
      <c r="BB849" s="88"/>
    </row>
    <row r="850" spans="42:54">
      <c r="AP850" s="80"/>
      <c r="AQ850" s="82"/>
      <c r="AR850" s="83"/>
      <c r="AS850" s="84"/>
      <c r="AV850" s="82"/>
      <c r="AW850" s="90"/>
      <c r="AX850" s="91"/>
      <c r="AY850" s="87"/>
      <c r="BB850" s="88"/>
    </row>
    <row r="851" spans="42:54">
      <c r="AP851" s="80"/>
      <c r="AQ851" s="82"/>
      <c r="AR851" s="83"/>
      <c r="AS851" s="84"/>
      <c r="AV851" s="82"/>
      <c r="AW851" s="90"/>
      <c r="AX851" s="91"/>
      <c r="AY851" s="87"/>
      <c r="BB851" s="88"/>
    </row>
    <row r="852" spans="42:54">
      <c r="AP852" s="80"/>
      <c r="AQ852" s="82"/>
      <c r="AR852" s="83"/>
      <c r="AS852" s="84"/>
      <c r="AV852" s="82"/>
      <c r="AW852" s="90"/>
      <c r="AX852" s="91"/>
      <c r="AY852" s="87"/>
      <c r="BB852" s="88"/>
    </row>
    <row r="853" spans="42:54">
      <c r="AP853" s="80"/>
      <c r="AQ853" s="82"/>
      <c r="AR853" s="83"/>
      <c r="AS853" s="84"/>
      <c r="AV853" s="82"/>
      <c r="AW853" s="90"/>
      <c r="AX853" s="91"/>
      <c r="AY853" s="87"/>
      <c r="BB853" s="88"/>
    </row>
    <row r="854" spans="42:54">
      <c r="AP854" s="80"/>
      <c r="AQ854" s="82"/>
      <c r="AR854" s="83"/>
      <c r="AS854" s="84"/>
      <c r="AV854" s="82"/>
      <c r="AW854" s="90"/>
      <c r="AX854" s="91"/>
      <c r="AY854" s="87"/>
      <c r="BB854" s="88"/>
    </row>
    <row r="855" spans="42:54">
      <c r="AP855" s="80"/>
      <c r="AQ855" s="82"/>
      <c r="AR855" s="83"/>
      <c r="AS855" s="84"/>
      <c r="AV855" s="82"/>
      <c r="AW855" s="90"/>
      <c r="AX855" s="91"/>
      <c r="AY855" s="87"/>
      <c r="BB855" s="88"/>
    </row>
    <row r="856" spans="42:54">
      <c r="AP856" s="80"/>
      <c r="AQ856" s="82"/>
      <c r="AR856" s="83"/>
      <c r="AS856" s="84"/>
      <c r="AV856" s="82"/>
      <c r="AW856" s="90"/>
      <c r="AX856" s="91"/>
      <c r="AY856" s="87"/>
      <c r="BB856" s="88"/>
    </row>
    <row r="857" spans="42:54">
      <c r="AP857" s="80"/>
      <c r="AQ857" s="82"/>
      <c r="AR857" s="83"/>
      <c r="AS857" s="84"/>
      <c r="AV857" s="82"/>
      <c r="AW857" s="90"/>
      <c r="AX857" s="91"/>
      <c r="AY857" s="87"/>
      <c r="BB857" s="88"/>
    </row>
    <row r="858" spans="42:54">
      <c r="AP858" s="80"/>
      <c r="AQ858" s="82"/>
      <c r="AR858" s="83"/>
      <c r="AS858" s="84"/>
      <c r="AV858" s="82"/>
      <c r="AW858" s="90"/>
      <c r="AX858" s="91"/>
      <c r="AY858" s="87"/>
      <c r="BB858" s="88"/>
    </row>
    <row r="859" spans="42:54">
      <c r="AP859" s="80"/>
      <c r="AQ859" s="82"/>
      <c r="AR859" s="83"/>
      <c r="AS859" s="84"/>
      <c r="AV859" s="82"/>
      <c r="AW859" s="90"/>
      <c r="AX859" s="91"/>
      <c r="AY859" s="87"/>
      <c r="BB859" s="88"/>
    </row>
    <row r="860" spans="42:54">
      <c r="AP860" s="80"/>
      <c r="AQ860" s="82"/>
      <c r="AR860" s="83"/>
      <c r="AS860" s="84"/>
      <c r="AV860" s="82"/>
      <c r="AW860" s="90"/>
      <c r="AX860" s="91"/>
      <c r="AY860" s="87"/>
      <c r="BB860" s="88"/>
    </row>
    <row r="861" spans="42:54">
      <c r="AP861" s="80"/>
      <c r="AQ861" s="82"/>
      <c r="AR861" s="83"/>
      <c r="AS861" s="84"/>
      <c r="AV861" s="82"/>
      <c r="AW861" s="90"/>
      <c r="AX861" s="91"/>
      <c r="AY861" s="87"/>
      <c r="BB861" s="88"/>
    </row>
    <row r="862" spans="42:54">
      <c r="AP862" s="80"/>
      <c r="AQ862" s="82"/>
      <c r="AR862" s="83"/>
      <c r="AS862" s="84"/>
      <c r="AV862" s="82"/>
      <c r="AW862" s="90"/>
      <c r="AX862" s="91"/>
      <c r="AY862" s="87"/>
      <c r="BB862" s="88"/>
    </row>
    <row r="863" spans="42:54">
      <c r="AP863" s="80"/>
      <c r="AQ863" s="82"/>
      <c r="AR863" s="83"/>
      <c r="AS863" s="84"/>
      <c r="AV863" s="82"/>
      <c r="AW863" s="90"/>
      <c r="AX863" s="91"/>
      <c r="AY863" s="87"/>
      <c r="BB863" s="88"/>
    </row>
    <row r="864" spans="42:54">
      <c r="AP864" s="80"/>
      <c r="AQ864" s="82"/>
      <c r="AR864" s="83"/>
      <c r="AS864" s="84"/>
      <c r="AV864" s="82"/>
      <c r="AW864" s="90"/>
      <c r="AX864" s="91"/>
      <c r="AY864" s="87"/>
      <c r="BB864" s="88"/>
    </row>
    <row r="865" spans="42:54">
      <c r="AP865" s="80"/>
      <c r="AQ865" s="82"/>
      <c r="AR865" s="83"/>
      <c r="AS865" s="84"/>
      <c r="AV865" s="82"/>
      <c r="AW865" s="90"/>
      <c r="AX865" s="91"/>
      <c r="AY865" s="87"/>
      <c r="BB865" s="88"/>
    </row>
    <row r="866" spans="42:54">
      <c r="AP866" s="80"/>
      <c r="AQ866" s="82"/>
      <c r="AR866" s="83"/>
      <c r="AS866" s="84"/>
      <c r="AV866" s="82"/>
      <c r="AW866" s="90"/>
      <c r="AX866" s="91"/>
      <c r="AY866" s="87"/>
      <c r="BB866" s="88"/>
    </row>
    <row r="867" spans="42:54">
      <c r="AP867" s="80"/>
      <c r="AQ867" s="82"/>
      <c r="AR867" s="83"/>
      <c r="AS867" s="84"/>
      <c r="AV867" s="82"/>
      <c r="AW867" s="90"/>
      <c r="AX867" s="91"/>
      <c r="AY867" s="87"/>
      <c r="BB867" s="88"/>
    </row>
    <row r="868" spans="42:54">
      <c r="AP868" s="80"/>
      <c r="AQ868" s="82"/>
      <c r="AR868" s="83"/>
      <c r="AS868" s="84"/>
      <c r="AV868" s="82"/>
      <c r="AW868" s="90"/>
      <c r="AX868" s="91"/>
      <c r="AY868" s="87"/>
      <c r="BB868" s="88"/>
    </row>
    <row r="869" spans="42:54">
      <c r="AP869" s="80"/>
      <c r="AQ869" s="82"/>
      <c r="AR869" s="83"/>
      <c r="AS869" s="84"/>
      <c r="AV869" s="82"/>
      <c r="AW869" s="90"/>
      <c r="AX869" s="91"/>
      <c r="AY869" s="87"/>
      <c r="BB869" s="88"/>
    </row>
    <row r="870" spans="42:54">
      <c r="AP870" s="80"/>
      <c r="AQ870" s="82"/>
      <c r="AR870" s="83"/>
      <c r="AS870" s="84"/>
      <c r="AV870" s="82"/>
      <c r="AW870" s="90"/>
      <c r="AX870" s="91"/>
      <c r="AY870" s="87"/>
      <c r="BB870" s="88"/>
    </row>
    <row r="871" spans="42:54">
      <c r="AP871" s="80"/>
      <c r="AQ871" s="82"/>
      <c r="AR871" s="83"/>
      <c r="AS871" s="84"/>
      <c r="AV871" s="82"/>
      <c r="AW871" s="90"/>
      <c r="AX871" s="91"/>
      <c r="AY871" s="87"/>
      <c r="BB871" s="88"/>
    </row>
    <row r="872" spans="42:54">
      <c r="AP872" s="80"/>
      <c r="AQ872" s="82"/>
      <c r="AR872" s="83"/>
      <c r="AS872" s="84"/>
      <c r="AV872" s="82"/>
      <c r="AW872" s="90"/>
      <c r="AX872" s="91"/>
      <c r="AY872" s="87"/>
      <c r="BB872" s="88"/>
    </row>
    <row r="873" spans="42:54">
      <c r="AP873" s="80"/>
      <c r="AQ873" s="82"/>
      <c r="AR873" s="83"/>
      <c r="AS873" s="84"/>
      <c r="AV873" s="82"/>
      <c r="AW873" s="90"/>
      <c r="AX873" s="91"/>
      <c r="AY873" s="87"/>
      <c r="BB873" s="88"/>
    </row>
    <row r="874" spans="42:54">
      <c r="AP874" s="80"/>
      <c r="AQ874" s="82"/>
      <c r="AR874" s="83"/>
      <c r="AS874" s="84"/>
      <c r="AV874" s="82"/>
      <c r="AW874" s="90"/>
      <c r="AX874" s="91"/>
      <c r="AY874" s="87"/>
      <c r="BB874" s="88"/>
    </row>
    <row r="875" spans="42:54">
      <c r="AP875" s="80"/>
      <c r="AQ875" s="82"/>
      <c r="AR875" s="83"/>
      <c r="AS875" s="84"/>
      <c r="AV875" s="82"/>
      <c r="AW875" s="90"/>
      <c r="AX875" s="91"/>
      <c r="AY875" s="87"/>
      <c r="BB875" s="88"/>
    </row>
    <row r="876" spans="42:54">
      <c r="AP876" s="80"/>
      <c r="AQ876" s="82"/>
      <c r="AR876" s="83"/>
      <c r="AS876" s="84"/>
      <c r="AV876" s="82"/>
      <c r="AW876" s="90"/>
      <c r="AX876" s="91"/>
      <c r="AY876" s="87"/>
      <c r="BB876" s="88"/>
    </row>
    <row r="877" spans="42:54">
      <c r="AP877" s="80"/>
      <c r="AQ877" s="82"/>
      <c r="AR877" s="83"/>
      <c r="AS877" s="84"/>
      <c r="AV877" s="82"/>
      <c r="AW877" s="90"/>
      <c r="AX877" s="91"/>
      <c r="AY877" s="87"/>
      <c r="BB877" s="88"/>
    </row>
    <row r="878" spans="42:54">
      <c r="AP878" s="80"/>
      <c r="AQ878" s="82"/>
      <c r="AR878" s="83"/>
      <c r="AS878" s="84"/>
      <c r="AV878" s="82"/>
      <c r="AW878" s="90"/>
      <c r="AX878" s="91"/>
      <c r="AY878" s="87"/>
      <c r="BB878" s="88"/>
    </row>
    <row r="879" spans="42:54">
      <c r="AP879" s="80"/>
      <c r="AQ879" s="82"/>
      <c r="AR879" s="83"/>
      <c r="AS879" s="84"/>
      <c r="AV879" s="82"/>
      <c r="AW879" s="90"/>
      <c r="AX879" s="91"/>
      <c r="AY879" s="87"/>
      <c r="BB879" s="88"/>
    </row>
    <row r="880" spans="42:54">
      <c r="AP880" s="80"/>
      <c r="AQ880" s="82"/>
      <c r="AR880" s="83"/>
      <c r="AS880" s="84"/>
      <c r="AV880" s="82"/>
      <c r="AW880" s="90"/>
      <c r="AX880" s="91"/>
      <c r="AY880" s="87"/>
      <c r="BB880" s="88"/>
    </row>
    <row r="881" spans="42:54">
      <c r="AP881" s="80"/>
      <c r="AQ881" s="82"/>
      <c r="AR881" s="83"/>
      <c r="AS881" s="84"/>
      <c r="AV881" s="82"/>
      <c r="AW881" s="90"/>
      <c r="AX881" s="91"/>
      <c r="AY881" s="87"/>
      <c r="BB881" s="88"/>
    </row>
    <row r="882" spans="42:54">
      <c r="AP882" s="80"/>
      <c r="AQ882" s="82"/>
      <c r="AR882" s="83"/>
      <c r="AS882" s="84"/>
      <c r="AV882" s="82"/>
      <c r="AW882" s="90"/>
      <c r="AX882" s="91"/>
      <c r="AY882" s="87"/>
      <c r="BB882" s="88"/>
    </row>
    <row r="883" spans="42:54">
      <c r="AP883" s="80"/>
      <c r="AQ883" s="82"/>
      <c r="AR883" s="83"/>
      <c r="AS883" s="84"/>
      <c r="AV883" s="82"/>
      <c r="AW883" s="90"/>
      <c r="AX883" s="91"/>
      <c r="AY883" s="87"/>
      <c r="BB883" s="88"/>
    </row>
    <row r="884" spans="42:54">
      <c r="AP884" s="80"/>
      <c r="AQ884" s="82"/>
      <c r="AR884" s="83"/>
      <c r="AS884" s="84"/>
      <c r="AV884" s="82"/>
      <c r="AW884" s="90"/>
      <c r="AX884" s="91"/>
      <c r="AY884" s="87"/>
      <c r="BB884" s="88"/>
    </row>
    <row r="885" spans="42:54">
      <c r="AP885" s="80"/>
      <c r="AQ885" s="82"/>
      <c r="AR885" s="83"/>
      <c r="AS885" s="84"/>
      <c r="AV885" s="82"/>
      <c r="AW885" s="90"/>
      <c r="AX885" s="91"/>
      <c r="AY885" s="87"/>
      <c r="BB885" s="88"/>
    </row>
    <row r="886" spans="42:54">
      <c r="AP886" s="80"/>
      <c r="AQ886" s="82"/>
      <c r="AR886" s="83"/>
      <c r="AS886" s="84"/>
      <c r="AV886" s="82"/>
      <c r="AW886" s="90"/>
      <c r="AX886" s="91"/>
      <c r="AY886" s="87"/>
      <c r="BB886" s="88"/>
    </row>
    <row r="887" spans="42:54">
      <c r="AP887" s="80"/>
      <c r="AQ887" s="82"/>
      <c r="AR887" s="83"/>
      <c r="AS887" s="84"/>
      <c r="AV887" s="82"/>
      <c r="AW887" s="90"/>
      <c r="AX887" s="91"/>
      <c r="AY887" s="87"/>
      <c r="BB887" s="88"/>
    </row>
    <row r="888" spans="42:54">
      <c r="AP888" s="80"/>
      <c r="AQ888" s="82"/>
      <c r="AR888" s="83"/>
      <c r="AS888" s="84"/>
      <c r="AV888" s="82"/>
      <c r="AW888" s="90"/>
      <c r="AX888" s="91"/>
      <c r="AY888" s="87"/>
      <c r="BB888" s="88"/>
    </row>
    <row r="889" spans="42:54">
      <c r="AP889" s="80"/>
      <c r="AQ889" s="82"/>
      <c r="AR889" s="83"/>
      <c r="AS889" s="84"/>
      <c r="AV889" s="82"/>
      <c r="AW889" s="90"/>
      <c r="AX889" s="91"/>
      <c r="AY889" s="87"/>
      <c r="BB889" s="88"/>
    </row>
    <row r="890" spans="42:54">
      <c r="AP890" s="80"/>
      <c r="AQ890" s="82"/>
      <c r="AR890" s="83"/>
      <c r="AS890" s="84"/>
      <c r="AV890" s="82"/>
      <c r="AW890" s="90"/>
      <c r="AX890" s="91"/>
      <c r="AY890" s="87"/>
      <c r="BB890" s="88"/>
    </row>
    <row r="891" spans="42:54">
      <c r="AP891" s="80"/>
      <c r="AQ891" s="82"/>
      <c r="AR891" s="83"/>
      <c r="AS891" s="84"/>
      <c r="AV891" s="82"/>
      <c r="AW891" s="90"/>
      <c r="AX891" s="91"/>
      <c r="AY891" s="87"/>
      <c r="BB891" s="88"/>
    </row>
    <row r="892" spans="42:54">
      <c r="AP892" s="80"/>
      <c r="AQ892" s="82"/>
      <c r="AR892" s="83"/>
      <c r="AS892" s="84"/>
      <c r="AV892" s="82"/>
      <c r="AW892" s="90"/>
      <c r="AX892" s="91"/>
      <c r="AY892" s="87"/>
      <c r="BB892" s="88"/>
    </row>
    <row r="893" spans="42:54">
      <c r="AP893" s="80"/>
      <c r="AQ893" s="82"/>
      <c r="AR893" s="83"/>
      <c r="AS893" s="84"/>
      <c r="AV893" s="82"/>
      <c r="AW893" s="90"/>
      <c r="AX893" s="91"/>
      <c r="AY893" s="87"/>
      <c r="BB893" s="88"/>
    </row>
    <row r="894" spans="42:54">
      <c r="AP894" s="80"/>
      <c r="AQ894" s="82"/>
      <c r="AR894" s="83"/>
      <c r="AS894" s="84"/>
      <c r="AV894" s="82"/>
      <c r="AW894" s="90"/>
      <c r="AX894" s="91"/>
      <c r="AY894" s="87"/>
      <c r="BB894" s="88"/>
    </row>
    <row r="895" spans="42:54">
      <c r="AP895" s="80"/>
      <c r="AQ895" s="82"/>
      <c r="AR895" s="83"/>
      <c r="AS895" s="84"/>
      <c r="AV895" s="82"/>
      <c r="AW895" s="90"/>
      <c r="AX895" s="91"/>
      <c r="AY895" s="87"/>
      <c r="BB895" s="88"/>
    </row>
    <row r="896" spans="42:54">
      <c r="AP896" s="80"/>
      <c r="AQ896" s="82"/>
      <c r="AR896" s="83"/>
      <c r="AS896" s="84"/>
      <c r="AV896" s="82"/>
      <c r="AW896" s="90"/>
      <c r="AX896" s="91"/>
      <c r="AY896" s="87"/>
      <c r="BB896" s="88"/>
    </row>
    <row r="897" spans="42:54">
      <c r="AP897" s="80"/>
      <c r="AQ897" s="82"/>
      <c r="AR897" s="83"/>
      <c r="AS897" s="84"/>
      <c r="AV897" s="82"/>
      <c r="AW897" s="90"/>
      <c r="AX897" s="91"/>
      <c r="AY897" s="87"/>
      <c r="BB897" s="88"/>
    </row>
    <row r="898" spans="42:54">
      <c r="AP898" s="80"/>
      <c r="AQ898" s="82"/>
      <c r="AR898" s="83"/>
      <c r="AS898" s="84"/>
      <c r="AV898" s="82"/>
      <c r="AW898" s="90"/>
      <c r="AX898" s="91"/>
      <c r="AY898" s="87"/>
      <c r="BB898" s="88"/>
    </row>
    <row r="899" spans="42:54">
      <c r="AP899" s="80"/>
      <c r="AQ899" s="82"/>
      <c r="AR899" s="83"/>
      <c r="AS899" s="84"/>
      <c r="AV899" s="82"/>
      <c r="AW899" s="90"/>
      <c r="AX899" s="91"/>
      <c r="AY899" s="87"/>
      <c r="BB899" s="88"/>
    </row>
    <row r="900" spans="42:54">
      <c r="AP900" s="80"/>
      <c r="AQ900" s="82"/>
      <c r="AR900" s="83"/>
      <c r="AS900" s="84"/>
      <c r="AV900" s="82"/>
      <c r="AW900" s="90"/>
      <c r="AX900" s="91"/>
      <c r="AY900" s="87"/>
      <c r="BB900" s="88"/>
    </row>
    <row r="901" spans="42:54">
      <c r="AP901" s="80"/>
      <c r="AQ901" s="82"/>
      <c r="AR901" s="83"/>
      <c r="AS901" s="84"/>
      <c r="AV901" s="82"/>
      <c r="AW901" s="90"/>
      <c r="AX901" s="91"/>
      <c r="AY901" s="87"/>
      <c r="BB901" s="88"/>
    </row>
    <row r="902" spans="42:54">
      <c r="AP902" s="80"/>
      <c r="AQ902" s="82"/>
      <c r="AR902" s="83"/>
      <c r="AS902" s="84"/>
      <c r="AV902" s="82"/>
      <c r="AW902" s="90"/>
      <c r="AX902" s="91"/>
      <c r="AY902" s="87"/>
      <c r="BB902" s="88"/>
    </row>
    <row r="903" spans="42:54">
      <c r="AP903" s="80"/>
      <c r="AQ903" s="82"/>
      <c r="AR903" s="83"/>
      <c r="AS903" s="84"/>
      <c r="AV903" s="82"/>
      <c r="AW903" s="90"/>
      <c r="AX903" s="91"/>
      <c r="AY903" s="87"/>
      <c r="BB903" s="88"/>
    </row>
    <row r="904" spans="42:54">
      <c r="AP904" s="80"/>
      <c r="AQ904" s="82"/>
      <c r="AR904" s="83"/>
      <c r="AS904" s="84"/>
      <c r="AV904" s="82"/>
      <c r="AW904" s="90"/>
      <c r="AX904" s="91"/>
      <c r="AY904" s="87"/>
      <c r="BB904" s="88"/>
    </row>
    <row r="905" spans="42:54">
      <c r="AP905" s="80"/>
      <c r="AQ905" s="82"/>
      <c r="AR905" s="83"/>
      <c r="AS905" s="84"/>
      <c r="AV905" s="82"/>
      <c r="AW905" s="90"/>
      <c r="AX905" s="91"/>
      <c r="AY905" s="87"/>
      <c r="BB905" s="88"/>
    </row>
    <row r="906" spans="42:54">
      <c r="AP906" s="80"/>
      <c r="AQ906" s="82"/>
      <c r="AR906" s="83"/>
      <c r="AS906" s="84"/>
      <c r="AV906" s="82"/>
      <c r="AW906" s="90"/>
      <c r="AX906" s="91"/>
      <c r="AY906" s="87"/>
      <c r="BB906" s="88"/>
    </row>
    <row r="907" spans="42:54">
      <c r="AP907" s="80"/>
      <c r="AQ907" s="82"/>
      <c r="AR907" s="83"/>
      <c r="AS907" s="84"/>
      <c r="AV907" s="82"/>
      <c r="AW907" s="90"/>
      <c r="AX907" s="91"/>
      <c r="AY907" s="87"/>
      <c r="BB907" s="88"/>
    </row>
    <row r="908" spans="42:54">
      <c r="AP908" s="80"/>
      <c r="AQ908" s="82"/>
      <c r="AR908" s="83"/>
      <c r="AS908" s="84"/>
      <c r="AV908" s="82"/>
      <c r="AW908" s="90"/>
      <c r="AX908" s="91"/>
      <c r="AY908" s="87"/>
      <c r="BB908" s="88"/>
    </row>
    <row r="909" spans="42:54">
      <c r="AP909" s="80"/>
      <c r="AQ909" s="82"/>
      <c r="AR909" s="83"/>
      <c r="AS909" s="84"/>
      <c r="AV909" s="82"/>
      <c r="AW909" s="90"/>
      <c r="AX909" s="91"/>
      <c r="AY909" s="87"/>
      <c r="BB909" s="88"/>
    </row>
    <row r="910" spans="42:54">
      <c r="AP910" s="80"/>
      <c r="AQ910" s="82"/>
      <c r="AR910" s="83"/>
      <c r="AS910" s="84"/>
      <c r="AV910" s="82"/>
      <c r="AW910" s="90"/>
      <c r="AX910" s="91"/>
      <c r="AY910" s="87"/>
      <c r="BB910" s="88"/>
    </row>
    <row r="911" spans="42:54">
      <c r="AP911" s="80"/>
      <c r="AQ911" s="82"/>
      <c r="AR911" s="83"/>
      <c r="AS911" s="84"/>
      <c r="AV911" s="82"/>
      <c r="AW911" s="90"/>
      <c r="AX911" s="91"/>
      <c r="AY911" s="87"/>
      <c r="BB911" s="88"/>
    </row>
    <row r="912" spans="42:54">
      <c r="AP912" s="80"/>
      <c r="AQ912" s="82"/>
      <c r="AR912" s="83"/>
      <c r="AS912" s="84"/>
      <c r="AV912" s="82"/>
      <c r="AW912" s="90"/>
      <c r="AX912" s="91"/>
      <c r="AY912" s="87"/>
      <c r="BB912" s="88"/>
    </row>
    <row r="913" spans="42:54">
      <c r="AP913" s="80"/>
      <c r="AQ913" s="82"/>
      <c r="AR913" s="83"/>
      <c r="AS913" s="84"/>
      <c r="AV913" s="82"/>
      <c r="AW913" s="90"/>
      <c r="AX913" s="91"/>
      <c r="AY913" s="87"/>
      <c r="BB913" s="88"/>
    </row>
    <row r="914" spans="42:54">
      <c r="AP914" s="80"/>
      <c r="AQ914" s="82"/>
      <c r="AR914" s="83"/>
      <c r="AS914" s="84"/>
      <c r="AV914" s="82"/>
      <c r="AW914" s="90"/>
      <c r="AX914" s="91"/>
      <c r="AY914" s="87"/>
      <c r="BB914" s="88"/>
    </row>
    <row r="915" spans="42:54">
      <c r="AP915" s="80"/>
      <c r="AQ915" s="82"/>
      <c r="AR915" s="83"/>
      <c r="AS915" s="84"/>
      <c r="AV915" s="82"/>
      <c r="AW915" s="90"/>
      <c r="AX915" s="91"/>
      <c r="AY915" s="87"/>
      <c r="BB915" s="88"/>
    </row>
    <row r="916" spans="42:54">
      <c r="AP916" s="80"/>
      <c r="AQ916" s="82"/>
      <c r="AR916" s="83"/>
      <c r="AS916" s="84"/>
      <c r="AV916" s="82"/>
      <c r="AW916" s="90"/>
      <c r="AX916" s="91"/>
      <c r="AY916" s="87"/>
      <c r="BB916" s="88"/>
    </row>
    <row r="917" spans="42:54">
      <c r="AP917" s="80"/>
      <c r="AQ917" s="82"/>
      <c r="AR917" s="83"/>
      <c r="AS917" s="84"/>
      <c r="AV917" s="82"/>
      <c r="AW917" s="90"/>
      <c r="AX917" s="91"/>
      <c r="AY917" s="87"/>
      <c r="BB917" s="88"/>
    </row>
    <row r="918" spans="42:54">
      <c r="AP918" s="80"/>
      <c r="AQ918" s="82"/>
      <c r="AR918" s="83"/>
      <c r="AS918" s="84"/>
      <c r="AV918" s="82"/>
      <c r="AW918" s="90"/>
      <c r="AX918" s="91"/>
      <c r="AY918" s="87"/>
      <c r="BB918" s="88"/>
    </row>
    <row r="919" spans="42:54">
      <c r="AP919" s="80"/>
      <c r="AQ919" s="82"/>
      <c r="AR919" s="83"/>
      <c r="AS919" s="84"/>
      <c r="AV919" s="82"/>
      <c r="AW919" s="90"/>
      <c r="AX919" s="91"/>
      <c r="AY919" s="87"/>
      <c r="BB919" s="88"/>
    </row>
    <row r="920" spans="42:54">
      <c r="AP920" s="80"/>
      <c r="AQ920" s="82"/>
      <c r="AR920" s="83"/>
      <c r="AS920" s="84"/>
      <c r="AV920" s="82"/>
      <c r="AW920" s="90"/>
      <c r="AX920" s="91"/>
      <c r="AY920" s="87"/>
      <c r="BB920" s="88"/>
    </row>
    <row r="921" spans="42:54">
      <c r="AP921" s="80"/>
      <c r="AQ921" s="82"/>
      <c r="AR921" s="83"/>
      <c r="AS921" s="84"/>
      <c r="AV921" s="82"/>
      <c r="AW921" s="90"/>
      <c r="AX921" s="91"/>
      <c r="AY921" s="87"/>
      <c r="BB921" s="88"/>
    </row>
    <row r="922" spans="42:54">
      <c r="AP922" s="80"/>
      <c r="AQ922" s="82"/>
      <c r="AR922" s="83"/>
      <c r="AS922" s="84"/>
      <c r="AV922" s="82"/>
      <c r="AW922" s="90"/>
      <c r="AX922" s="91"/>
      <c r="AY922" s="87"/>
      <c r="BB922" s="88"/>
    </row>
    <row r="923" spans="42:54">
      <c r="AP923" s="80"/>
      <c r="AQ923" s="82"/>
      <c r="AR923" s="83"/>
      <c r="AS923" s="84"/>
      <c r="AV923" s="82"/>
      <c r="AW923" s="90"/>
      <c r="AX923" s="91"/>
      <c r="AY923" s="87"/>
      <c r="BB923" s="88"/>
    </row>
    <row r="924" spans="42:54">
      <c r="AP924" s="80"/>
      <c r="AQ924" s="82"/>
      <c r="AR924" s="83"/>
      <c r="AS924" s="84"/>
      <c r="AV924" s="82"/>
      <c r="AW924" s="90"/>
      <c r="AX924" s="91"/>
      <c r="AY924" s="87"/>
      <c r="BB924" s="88"/>
    </row>
    <row r="925" spans="42:54">
      <c r="AP925" s="80"/>
      <c r="AQ925" s="82"/>
      <c r="AR925" s="83"/>
      <c r="AS925" s="84"/>
      <c r="AV925" s="82"/>
      <c r="AW925" s="90"/>
      <c r="AX925" s="91"/>
      <c r="AY925" s="87"/>
      <c r="BB925" s="88"/>
    </row>
    <row r="926" spans="42:54">
      <c r="AP926" s="80"/>
      <c r="AQ926" s="82"/>
      <c r="AR926" s="83"/>
      <c r="AS926" s="84"/>
      <c r="AV926" s="82"/>
      <c r="AW926" s="90"/>
      <c r="AX926" s="91"/>
      <c r="AY926" s="87"/>
      <c r="BB926" s="88"/>
    </row>
    <row r="927" spans="42:54">
      <c r="AP927" s="80"/>
      <c r="AQ927" s="82"/>
      <c r="AR927" s="83"/>
      <c r="AS927" s="84"/>
      <c r="AV927" s="82"/>
      <c r="AW927" s="90"/>
      <c r="AX927" s="91"/>
      <c r="AY927" s="87"/>
      <c r="BB927" s="88"/>
    </row>
    <row r="928" spans="42:54">
      <c r="AP928" s="80"/>
      <c r="AQ928" s="82"/>
      <c r="AR928" s="83"/>
      <c r="AS928" s="84"/>
      <c r="AV928" s="82"/>
      <c r="AW928" s="90"/>
      <c r="AX928" s="91"/>
      <c r="AY928" s="87"/>
      <c r="BB928" s="88"/>
    </row>
    <row r="929" spans="42:54">
      <c r="AP929" s="80"/>
      <c r="AQ929" s="82"/>
      <c r="AR929" s="83"/>
      <c r="AS929" s="84"/>
      <c r="AV929" s="82"/>
      <c r="AW929" s="90"/>
      <c r="AX929" s="91"/>
      <c r="AY929" s="87"/>
      <c r="BB929" s="88"/>
    </row>
    <row r="930" spans="42:54">
      <c r="AP930" s="80"/>
      <c r="AQ930" s="82"/>
      <c r="AR930" s="83"/>
      <c r="AS930" s="84"/>
      <c r="AV930" s="82"/>
      <c r="AW930" s="90"/>
      <c r="AX930" s="91"/>
      <c r="AY930" s="87"/>
      <c r="BB930" s="88"/>
    </row>
    <row r="931" spans="42:54">
      <c r="AP931" s="80"/>
      <c r="AQ931" s="82"/>
      <c r="AR931" s="83"/>
      <c r="AS931" s="84"/>
      <c r="AV931" s="82"/>
      <c r="AW931" s="90"/>
      <c r="AX931" s="91"/>
      <c r="AY931" s="87"/>
      <c r="BB931" s="88"/>
    </row>
    <row r="932" spans="42:54">
      <c r="AP932" s="80"/>
      <c r="AQ932" s="82"/>
      <c r="AR932" s="83"/>
      <c r="AS932" s="84"/>
      <c r="AV932" s="82"/>
      <c r="AW932" s="90"/>
      <c r="AX932" s="91"/>
      <c r="AY932" s="87"/>
      <c r="BB932" s="88"/>
    </row>
    <row r="933" spans="42:54">
      <c r="AP933" s="80"/>
      <c r="AQ933" s="82"/>
      <c r="AR933" s="83"/>
      <c r="AS933" s="84"/>
      <c r="AV933" s="82"/>
      <c r="AW933" s="90"/>
      <c r="AX933" s="91"/>
      <c r="AY933" s="87"/>
      <c r="BB933" s="88"/>
    </row>
    <row r="934" spans="42:54">
      <c r="AP934" s="80"/>
      <c r="AQ934" s="82"/>
      <c r="AR934" s="83"/>
      <c r="AS934" s="84"/>
      <c r="AV934" s="82"/>
      <c r="AW934" s="90"/>
      <c r="AX934" s="91"/>
      <c r="AY934" s="87"/>
      <c r="BB934" s="88"/>
    </row>
    <row r="935" spans="42:54">
      <c r="AP935" s="80"/>
      <c r="AQ935" s="82"/>
      <c r="AR935" s="83"/>
      <c r="AS935" s="84"/>
      <c r="AV935" s="82"/>
      <c r="AW935" s="90"/>
      <c r="AX935" s="91"/>
      <c r="AY935" s="87"/>
      <c r="BB935" s="88"/>
    </row>
    <row r="936" spans="42:54">
      <c r="AP936" s="80"/>
      <c r="AQ936" s="82"/>
      <c r="AR936" s="83"/>
      <c r="AS936" s="84"/>
      <c r="AV936" s="82"/>
      <c r="AW936" s="90"/>
      <c r="AX936" s="91"/>
      <c r="AY936" s="87"/>
      <c r="BB936" s="88"/>
    </row>
    <row r="937" spans="42:54">
      <c r="AP937" s="80"/>
      <c r="AQ937" s="82"/>
      <c r="AR937" s="83"/>
      <c r="AS937" s="84"/>
      <c r="AV937" s="82"/>
      <c r="AW937" s="90"/>
      <c r="AX937" s="91"/>
      <c r="AY937" s="87"/>
      <c r="BB937" s="88"/>
    </row>
    <row r="938" spans="42:54">
      <c r="AP938" s="80"/>
      <c r="AQ938" s="82"/>
      <c r="AR938" s="83"/>
      <c r="AS938" s="84"/>
      <c r="AV938" s="82"/>
      <c r="AW938" s="90"/>
      <c r="AX938" s="91"/>
      <c r="AY938" s="87"/>
      <c r="BB938" s="88"/>
    </row>
    <row r="939" spans="42:54">
      <c r="AP939" s="80"/>
      <c r="AQ939" s="82"/>
      <c r="AR939" s="83"/>
      <c r="AS939" s="84"/>
      <c r="AV939" s="82"/>
      <c r="AW939" s="90"/>
      <c r="AX939" s="91"/>
      <c r="AY939" s="87"/>
      <c r="BB939" s="88"/>
    </row>
    <row r="940" spans="42:54">
      <c r="AP940" s="80"/>
      <c r="AQ940" s="82"/>
      <c r="AR940" s="83"/>
      <c r="AS940" s="84"/>
      <c r="AV940" s="82"/>
      <c r="AW940" s="90"/>
      <c r="AX940" s="91"/>
      <c r="AY940" s="87"/>
      <c r="BB940" s="88"/>
    </row>
    <row r="941" spans="42:54">
      <c r="AP941" s="80"/>
      <c r="AQ941" s="82"/>
      <c r="AR941" s="83"/>
      <c r="AS941" s="84"/>
      <c r="AV941" s="82"/>
      <c r="AW941" s="90"/>
      <c r="AX941" s="91"/>
      <c r="AY941" s="87"/>
      <c r="BB941" s="88"/>
    </row>
    <row r="942" spans="42:54">
      <c r="AP942" s="80"/>
      <c r="AQ942" s="82"/>
      <c r="AR942" s="83"/>
      <c r="AS942" s="84"/>
      <c r="AV942" s="82"/>
      <c r="AW942" s="90"/>
      <c r="AX942" s="91"/>
      <c r="AY942" s="87"/>
      <c r="BB942" s="88"/>
    </row>
    <row r="943" spans="42:54">
      <c r="AP943" s="80"/>
      <c r="AQ943" s="82"/>
      <c r="AR943" s="83"/>
      <c r="AS943" s="84"/>
      <c r="AV943" s="82"/>
      <c r="AW943" s="90"/>
      <c r="AX943" s="91"/>
      <c r="AY943" s="87"/>
      <c r="BB943" s="88"/>
    </row>
    <row r="944" spans="42:54">
      <c r="AP944" s="80"/>
      <c r="AQ944" s="82"/>
      <c r="AR944" s="83"/>
      <c r="AS944" s="84"/>
      <c r="AV944" s="82"/>
      <c r="AW944" s="90"/>
      <c r="AX944" s="91"/>
      <c r="AY944" s="87"/>
      <c r="BB944" s="88"/>
    </row>
    <row r="945" spans="42:54">
      <c r="AP945" s="80"/>
      <c r="AQ945" s="82"/>
      <c r="AR945" s="83"/>
      <c r="AS945" s="84"/>
      <c r="AV945" s="82"/>
      <c r="AW945" s="90"/>
      <c r="AX945" s="91"/>
      <c r="AY945" s="87"/>
      <c r="BB945" s="88"/>
    </row>
    <row r="946" spans="42:54">
      <c r="AP946" s="80"/>
      <c r="AQ946" s="82"/>
      <c r="AR946" s="83"/>
      <c r="AS946" s="84"/>
      <c r="AV946" s="82"/>
      <c r="AW946" s="90"/>
      <c r="AX946" s="91"/>
      <c r="AY946" s="87"/>
      <c r="BB946" s="88"/>
    </row>
    <row r="947" spans="42:54">
      <c r="AP947" s="80"/>
      <c r="AQ947" s="82"/>
      <c r="AR947" s="83"/>
      <c r="AS947" s="84"/>
      <c r="AV947" s="82"/>
      <c r="AW947" s="90"/>
      <c r="AX947" s="91"/>
      <c r="AY947" s="87"/>
      <c r="BB947" s="88"/>
    </row>
    <row r="948" spans="42:54">
      <c r="AP948" s="80"/>
      <c r="AQ948" s="82"/>
      <c r="AR948" s="83"/>
      <c r="AS948" s="84"/>
      <c r="AV948" s="82"/>
      <c r="AW948" s="90"/>
      <c r="AX948" s="91"/>
      <c r="AY948" s="87"/>
      <c r="BB948" s="88"/>
    </row>
    <row r="949" spans="42:54">
      <c r="AP949" s="80"/>
      <c r="AQ949" s="82"/>
      <c r="AR949" s="83"/>
      <c r="AS949" s="84"/>
      <c r="AV949" s="82"/>
      <c r="AW949" s="90"/>
      <c r="AX949" s="91"/>
      <c r="AY949" s="87"/>
      <c r="BB949" s="88"/>
    </row>
    <row r="950" spans="42:54">
      <c r="AP950" s="80"/>
      <c r="AQ950" s="82"/>
      <c r="AR950" s="83"/>
      <c r="AS950" s="84"/>
      <c r="AV950" s="82"/>
      <c r="AW950" s="90"/>
      <c r="AX950" s="91"/>
      <c r="AY950" s="87"/>
      <c r="BB950" s="88"/>
    </row>
    <row r="951" spans="42:54">
      <c r="AP951" s="80"/>
      <c r="AQ951" s="82"/>
      <c r="AR951" s="83"/>
      <c r="AS951" s="84"/>
      <c r="AV951" s="82"/>
      <c r="AW951" s="90"/>
      <c r="AX951" s="91"/>
      <c r="AY951" s="87"/>
      <c r="BB951" s="88"/>
    </row>
    <row r="952" spans="42:54">
      <c r="AP952" s="80"/>
      <c r="AQ952" s="82"/>
      <c r="AR952" s="83"/>
      <c r="AS952" s="84"/>
      <c r="AV952" s="82"/>
      <c r="AW952" s="90"/>
      <c r="AX952" s="91"/>
      <c r="AY952" s="87"/>
      <c r="BB952" s="88"/>
    </row>
    <row r="953" spans="42:54">
      <c r="AP953" s="80"/>
      <c r="AQ953" s="82"/>
      <c r="AR953" s="83"/>
      <c r="AS953" s="84"/>
      <c r="AV953" s="82"/>
      <c r="AW953" s="90"/>
      <c r="AX953" s="91"/>
      <c r="AY953" s="87"/>
      <c r="BB953" s="88"/>
    </row>
    <row r="954" spans="42:54">
      <c r="AP954" s="80"/>
      <c r="AQ954" s="82"/>
      <c r="AR954" s="83"/>
      <c r="AS954" s="84"/>
      <c r="AV954" s="82"/>
      <c r="AW954" s="90"/>
      <c r="AX954" s="91"/>
      <c r="AY954" s="87"/>
      <c r="BB954" s="88"/>
    </row>
    <row r="955" spans="42:54">
      <c r="AP955" s="80"/>
      <c r="AQ955" s="82"/>
      <c r="AR955" s="83"/>
      <c r="AS955" s="84"/>
      <c r="AV955" s="82"/>
      <c r="AW955" s="90"/>
      <c r="AX955" s="91"/>
      <c r="AY955" s="87"/>
      <c r="BB955" s="88"/>
    </row>
    <row r="956" spans="42:54">
      <c r="AP956" s="80"/>
      <c r="AQ956" s="82"/>
      <c r="AR956" s="83"/>
      <c r="AS956" s="84"/>
      <c r="AV956" s="82"/>
      <c r="AW956" s="90"/>
      <c r="AX956" s="91"/>
      <c r="AY956" s="87"/>
      <c r="BB956" s="88"/>
    </row>
    <row r="957" spans="42:54">
      <c r="AP957" s="80"/>
      <c r="AQ957" s="82"/>
      <c r="AR957" s="83"/>
      <c r="AS957" s="84"/>
      <c r="AV957" s="82"/>
      <c r="AW957" s="90"/>
      <c r="AX957" s="91"/>
      <c r="AY957" s="87"/>
      <c r="BB957" s="88"/>
    </row>
    <row r="958" spans="42:54">
      <c r="AP958" s="80"/>
      <c r="AQ958" s="82"/>
      <c r="AR958" s="83"/>
      <c r="AS958" s="84"/>
      <c r="AV958" s="82"/>
      <c r="AW958" s="90"/>
      <c r="AX958" s="91"/>
      <c r="AY958" s="87"/>
      <c r="BB958" s="88"/>
    </row>
    <row r="959" spans="42:54">
      <c r="AP959" s="80"/>
      <c r="AQ959" s="82"/>
      <c r="AR959" s="83"/>
      <c r="AS959" s="84"/>
      <c r="AV959" s="82"/>
      <c r="AW959" s="90"/>
      <c r="AX959" s="91"/>
      <c r="AY959" s="87"/>
      <c r="BB959" s="88"/>
    </row>
    <row r="960" spans="42:54">
      <c r="AP960" s="80"/>
      <c r="AQ960" s="82"/>
      <c r="AR960" s="83"/>
      <c r="AS960" s="84"/>
      <c r="AV960" s="82"/>
      <c r="AW960" s="90"/>
      <c r="AX960" s="91"/>
      <c r="AY960" s="87"/>
      <c r="BB960" s="88"/>
    </row>
    <row r="961" spans="42:54">
      <c r="AP961" s="80"/>
      <c r="AQ961" s="82"/>
      <c r="AR961" s="83"/>
      <c r="AS961" s="84"/>
      <c r="AV961" s="82"/>
      <c r="AW961" s="90"/>
      <c r="AX961" s="91"/>
      <c r="AY961" s="87"/>
      <c r="BB961" s="88"/>
    </row>
    <row r="962" spans="42:54">
      <c r="AP962" s="80"/>
      <c r="AQ962" s="82"/>
      <c r="AR962" s="83"/>
      <c r="AS962" s="84"/>
      <c r="AV962" s="82"/>
      <c r="AW962" s="90"/>
      <c r="AX962" s="91"/>
      <c r="AY962" s="87"/>
      <c r="BB962" s="88"/>
    </row>
    <row r="963" spans="42:54">
      <c r="AP963" s="80"/>
      <c r="AQ963" s="82"/>
      <c r="AR963" s="83"/>
      <c r="AS963" s="84"/>
      <c r="AV963" s="82"/>
      <c r="AW963" s="90"/>
      <c r="AX963" s="91"/>
      <c r="AY963" s="87"/>
      <c r="BB963" s="88"/>
    </row>
    <row r="964" spans="42:54">
      <c r="AP964" s="80"/>
      <c r="AQ964" s="82"/>
      <c r="AR964" s="83"/>
      <c r="AS964" s="84"/>
      <c r="AV964" s="82"/>
      <c r="AW964" s="90"/>
      <c r="AX964" s="91"/>
      <c r="AY964" s="87"/>
      <c r="BB964" s="88"/>
    </row>
    <row r="965" spans="42:54">
      <c r="AP965" s="80"/>
      <c r="AQ965" s="82"/>
      <c r="AR965" s="83"/>
      <c r="AS965" s="84"/>
      <c r="AV965" s="82"/>
      <c r="AW965" s="90"/>
      <c r="AX965" s="91"/>
      <c r="AY965" s="87"/>
      <c r="BB965" s="88"/>
    </row>
    <row r="966" spans="42:54">
      <c r="AP966" s="80"/>
      <c r="AQ966" s="82"/>
      <c r="AR966" s="83"/>
      <c r="AS966" s="84"/>
      <c r="AV966" s="82"/>
      <c r="AW966" s="90"/>
      <c r="AX966" s="91"/>
      <c r="AY966" s="87"/>
      <c r="BB966" s="88"/>
    </row>
    <row r="967" spans="42:54">
      <c r="AP967" s="80"/>
      <c r="AQ967" s="82"/>
      <c r="AR967" s="83"/>
      <c r="AS967" s="84"/>
      <c r="AV967" s="82"/>
      <c r="AW967" s="90"/>
      <c r="AX967" s="91"/>
      <c r="AY967" s="87"/>
      <c r="BB967" s="88"/>
    </row>
    <row r="968" spans="42:54">
      <c r="AP968" s="80"/>
      <c r="AQ968" s="82"/>
      <c r="AR968" s="83"/>
      <c r="AS968" s="84"/>
      <c r="AV968" s="82"/>
      <c r="AW968" s="90"/>
      <c r="AX968" s="91"/>
      <c r="AY968" s="87"/>
      <c r="BB968" s="88"/>
    </row>
    <row r="969" spans="42:54">
      <c r="AP969" s="80"/>
      <c r="AQ969" s="82"/>
      <c r="AR969" s="83"/>
      <c r="AS969" s="84"/>
      <c r="AV969" s="82"/>
      <c r="AW969" s="90"/>
      <c r="AX969" s="91"/>
      <c r="AY969" s="87"/>
      <c r="BB969" s="88"/>
    </row>
    <row r="970" spans="42:54">
      <c r="AP970" s="80"/>
      <c r="AQ970" s="82"/>
      <c r="AR970" s="83"/>
      <c r="AS970" s="84"/>
      <c r="AV970" s="82"/>
      <c r="AW970" s="90"/>
      <c r="AX970" s="91"/>
      <c r="AY970" s="87"/>
      <c r="BB970" s="88"/>
    </row>
    <row r="971" spans="42:54">
      <c r="AP971" s="80"/>
      <c r="AQ971" s="82"/>
      <c r="AR971" s="83"/>
      <c r="AS971" s="84"/>
      <c r="AV971" s="82"/>
      <c r="AW971" s="90"/>
      <c r="AX971" s="91"/>
      <c r="AY971" s="87"/>
      <c r="BB971" s="88"/>
    </row>
    <row r="972" spans="42:54">
      <c r="AP972" s="80"/>
      <c r="AQ972" s="82"/>
      <c r="AR972" s="83"/>
      <c r="AS972" s="84"/>
      <c r="AV972" s="82"/>
      <c r="AW972" s="90"/>
      <c r="AX972" s="91"/>
      <c r="AY972" s="87"/>
      <c r="BB972" s="88"/>
    </row>
    <row r="973" spans="42:54">
      <c r="AP973" s="80"/>
      <c r="AQ973" s="82"/>
      <c r="AR973" s="83"/>
      <c r="AS973" s="84"/>
      <c r="AV973" s="82"/>
      <c r="AW973" s="90"/>
      <c r="AX973" s="91"/>
      <c r="AY973" s="87"/>
      <c r="BB973" s="88"/>
    </row>
    <row r="974" spans="42:54">
      <c r="AP974" s="80"/>
      <c r="AQ974" s="82"/>
      <c r="AR974" s="83"/>
      <c r="AS974" s="84"/>
      <c r="AV974" s="82"/>
      <c r="AW974" s="90"/>
      <c r="AX974" s="91"/>
      <c r="AY974" s="87"/>
      <c r="BB974" s="88"/>
    </row>
    <row r="975" spans="42:54">
      <c r="AP975" s="80"/>
      <c r="AQ975" s="82"/>
      <c r="AR975" s="83"/>
      <c r="AS975" s="84"/>
      <c r="AV975" s="82"/>
      <c r="AW975" s="90"/>
      <c r="AX975" s="91"/>
      <c r="AY975" s="87"/>
      <c r="BB975" s="88"/>
    </row>
    <row r="976" spans="42:54">
      <c r="AP976" s="80"/>
      <c r="AQ976" s="82"/>
      <c r="AR976" s="83"/>
      <c r="AS976" s="84"/>
      <c r="AV976" s="82"/>
      <c r="AW976" s="90"/>
      <c r="AX976" s="91"/>
      <c r="AY976" s="87"/>
      <c r="BB976" s="88"/>
    </row>
    <row r="977" spans="42:54">
      <c r="AP977" s="80"/>
      <c r="AQ977" s="82"/>
      <c r="AR977" s="83"/>
      <c r="AS977" s="84"/>
      <c r="AV977" s="82"/>
      <c r="AW977" s="90"/>
      <c r="AX977" s="91"/>
      <c r="AY977" s="87"/>
      <c r="BB977" s="88"/>
    </row>
    <row r="978" spans="42:54">
      <c r="AP978" s="80"/>
      <c r="AQ978" s="82"/>
      <c r="AR978" s="83"/>
      <c r="AS978" s="84"/>
      <c r="AV978" s="82"/>
      <c r="AW978" s="90"/>
      <c r="AX978" s="91"/>
      <c r="AY978" s="87"/>
      <c r="BB978" s="88"/>
    </row>
    <row r="979" spans="42:54">
      <c r="AP979" s="80"/>
      <c r="AQ979" s="82"/>
      <c r="AR979" s="83"/>
      <c r="AS979" s="84"/>
      <c r="AV979" s="82"/>
      <c r="AW979" s="90"/>
      <c r="AX979" s="91"/>
      <c r="AY979" s="87"/>
      <c r="BB979" s="88"/>
    </row>
    <row r="980" spans="42:54">
      <c r="AP980" s="80"/>
      <c r="AQ980" s="82"/>
      <c r="AR980" s="83"/>
      <c r="AS980" s="84"/>
      <c r="AV980" s="82"/>
      <c r="AW980" s="90"/>
      <c r="AX980" s="91"/>
      <c r="AY980" s="87"/>
      <c r="BB980" s="88"/>
    </row>
    <row r="981" spans="42:54">
      <c r="AP981" s="80"/>
      <c r="AQ981" s="82"/>
      <c r="AR981" s="83"/>
      <c r="AS981" s="84"/>
      <c r="AV981" s="82"/>
      <c r="AW981" s="90"/>
      <c r="AX981" s="91"/>
      <c r="AY981" s="87"/>
      <c r="BB981" s="88"/>
    </row>
    <row r="982" spans="42:54">
      <c r="AP982" s="80"/>
      <c r="AQ982" s="82"/>
      <c r="AR982" s="83"/>
      <c r="AS982" s="84"/>
      <c r="AV982" s="82"/>
      <c r="AW982" s="90"/>
      <c r="AX982" s="91"/>
      <c r="AY982" s="87"/>
      <c r="BB982" s="88"/>
    </row>
    <row r="983" spans="42:54">
      <c r="AP983" s="80"/>
      <c r="AQ983" s="82"/>
      <c r="AR983" s="83"/>
      <c r="AS983" s="84"/>
      <c r="AV983" s="82"/>
      <c r="AW983" s="90"/>
      <c r="AX983" s="91"/>
      <c r="AY983" s="87"/>
      <c r="BB983" s="88"/>
    </row>
    <row r="984" spans="42:54">
      <c r="AP984" s="80"/>
      <c r="AQ984" s="82"/>
      <c r="AR984" s="83"/>
      <c r="AS984" s="84"/>
      <c r="AV984" s="82"/>
      <c r="AW984" s="90"/>
      <c r="AX984" s="91"/>
      <c r="AY984" s="87"/>
      <c r="BB984" s="88"/>
    </row>
    <row r="985" spans="42:54">
      <c r="AP985" s="80"/>
      <c r="AQ985" s="82"/>
      <c r="AR985" s="83"/>
      <c r="AS985" s="84"/>
      <c r="AV985" s="82"/>
      <c r="AW985" s="90"/>
      <c r="AX985" s="91"/>
      <c r="AY985" s="87"/>
      <c r="BB985" s="88"/>
    </row>
    <row r="986" spans="42:54">
      <c r="AP986" s="80"/>
      <c r="AQ986" s="82"/>
      <c r="AR986" s="83"/>
      <c r="AS986" s="84"/>
      <c r="AV986" s="82"/>
      <c r="AW986" s="90"/>
      <c r="AX986" s="91"/>
      <c r="AY986" s="87"/>
      <c r="BB986" s="88"/>
    </row>
    <row r="987" spans="42:54">
      <c r="AP987" s="80"/>
      <c r="AQ987" s="82"/>
      <c r="AR987" s="83"/>
      <c r="AS987" s="84"/>
      <c r="AV987" s="82"/>
      <c r="AW987" s="90"/>
      <c r="AX987" s="91"/>
      <c r="AY987" s="87"/>
      <c r="BB987" s="88"/>
    </row>
    <row r="988" spans="42:54">
      <c r="AP988" s="80"/>
      <c r="AQ988" s="82"/>
      <c r="AR988" s="83"/>
      <c r="AS988" s="84"/>
      <c r="AV988" s="82"/>
      <c r="AW988" s="90"/>
      <c r="AX988" s="91"/>
      <c r="AY988" s="87"/>
      <c r="BB988" s="88"/>
    </row>
    <row r="989" spans="42:54">
      <c r="AP989" s="80"/>
      <c r="AQ989" s="82"/>
      <c r="AR989" s="83"/>
      <c r="AS989" s="84"/>
      <c r="AV989" s="82"/>
      <c r="AW989" s="90"/>
      <c r="AX989" s="91"/>
      <c r="AY989" s="87"/>
      <c r="BB989" s="88"/>
    </row>
    <row r="990" spans="42:54">
      <c r="AP990" s="80"/>
      <c r="AQ990" s="82"/>
      <c r="AR990" s="83"/>
      <c r="AS990" s="84"/>
      <c r="AV990" s="82"/>
      <c r="AW990" s="90"/>
      <c r="AX990" s="91"/>
      <c r="AY990" s="87"/>
      <c r="BB990" s="88"/>
    </row>
    <row r="991" spans="42:54">
      <c r="AP991" s="80"/>
      <c r="AQ991" s="82"/>
      <c r="AR991" s="83"/>
      <c r="AS991" s="84"/>
      <c r="AV991" s="82"/>
      <c r="AW991" s="90"/>
      <c r="AX991" s="91"/>
      <c r="AY991" s="87"/>
      <c r="BB991" s="88"/>
    </row>
    <row r="992" spans="42:54">
      <c r="AP992" s="80"/>
      <c r="AQ992" s="82"/>
      <c r="AR992" s="83"/>
      <c r="AS992" s="84"/>
      <c r="AV992" s="82"/>
      <c r="AW992" s="90"/>
      <c r="AX992" s="91"/>
      <c r="AY992" s="87"/>
      <c r="BB992" s="88"/>
    </row>
    <row r="993" spans="42:54">
      <c r="AP993" s="80"/>
      <c r="AQ993" s="82"/>
      <c r="AR993" s="83"/>
      <c r="AS993" s="84"/>
      <c r="AV993" s="82"/>
      <c r="AW993" s="90"/>
      <c r="AX993" s="91"/>
      <c r="AY993" s="87"/>
      <c r="BB993" s="88"/>
    </row>
    <row r="994" spans="42:54">
      <c r="AP994" s="80"/>
      <c r="AQ994" s="82"/>
      <c r="AR994" s="83"/>
      <c r="AS994" s="84"/>
      <c r="AV994" s="82"/>
      <c r="AW994" s="90"/>
      <c r="AX994" s="91"/>
      <c r="AY994" s="87"/>
      <c r="BB994" s="88"/>
    </row>
    <row r="995" spans="42:54">
      <c r="AP995" s="80"/>
      <c r="AQ995" s="82"/>
      <c r="AR995" s="83"/>
      <c r="AS995" s="84"/>
      <c r="AV995" s="82"/>
      <c r="AW995" s="90"/>
      <c r="AX995" s="91"/>
      <c r="AY995" s="87"/>
      <c r="BB995" s="88"/>
    </row>
    <row r="996" spans="42:54">
      <c r="AP996" s="80"/>
      <c r="AQ996" s="82"/>
      <c r="AR996" s="83"/>
      <c r="AS996" s="84"/>
      <c r="AV996" s="82"/>
      <c r="AW996" s="90"/>
      <c r="AX996" s="91"/>
      <c r="AY996" s="87"/>
      <c r="BB996" s="88"/>
    </row>
    <row r="997" spans="42:54">
      <c r="AP997" s="80"/>
      <c r="AQ997" s="82"/>
      <c r="AR997" s="83"/>
      <c r="AS997" s="84"/>
      <c r="AV997" s="82"/>
      <c r="AW997" s="90"/>
      <c r="AX997" s="91"/>
      <c r="AY997" s="87"/>
      <c r="BB997" s="88"/>
    </row>
    <row r="998" spans="42:54">
      <c r="AP998" s="80"/>
      <c r="AQ998" s="82"/>
      <c r="AR998" s="83"/>
      <c r="AS998" s="84"/>
      <c r="AV998" s="82"/>
      <c r="AW998" s="90"/>
      <c r="AX998" s="91"/>
      <c r="AY998" s="87"/>
      <c r="BB998" s="88"/>
    </row>
    <row r="999" spans="42:54">
      <c r="AP999" s="80"/>
      <c r="AQ999" s="82"/>
      <c r="AR999" s="83"/>
      <c r="AS999" s="84"/>
      <c r="AV999" s="82"/>
      <c r="AW999" s="90"/>
      <c r="AX999" s="91"/>
      <c r="AY999" s="87"/>
      <c r="BB999" s="88"/>
    </row>
    <row r="1000" spans="42:54">
      <c r="AP1000" s="80"/>
      <c r="AQ1000" s="82"/>
      <c r="AR1000" s="83"/>
      <c r="AS1000" s="84"/>
      <c r="AV1000" s="82"/>
      <c r="AW1000" s="90"/>
      <c r="AX1000" s="91"/>
      <c r="AY1000" s="87"/>
      <c r="BB1000" s="88"/>
    </row>
    <row r="1001" spans="42:54">
      <c r="AP1001" s="80"/>
      <c r="AQ1001" s="82"/>
      <c r="AR1001" s="83"/>
      <c r="AS1001" s="84"/>
      <c r="AV1001" s="82"/>
      <c r="AW1001" s="90"/>
      <c r="AX1001" s="91"/>
      <c r="AY1001" s="87"/>
      <c r="BB1001" s="88"/>
    </row>
    <row r="1002" spans="42:54">
      <c r="AP1002" s="80"/>
      <c r="AQ1002" s="82"/>
      <c r="AR1002" s="83"/>
      <c r="AS1002" s="84"/>
      <c r="AV1002" s="82"/>
      <c r="AW1002" s="90"/>
      <c r="AX1002" s="91"/>
      <c r="AY1002" s="87"/>
      <c r="BB1002" s="88"/>
    </row>
    <row r="1003" spans="42:54">
      <c r="AP1003" s="80"/>
      <c r="AQ1003" s="82"/>
      <c r="AR1003" s="83"/>
      <c r="AS1003" s="84"/>
      <c r="AV1003" s="82"/>
      <c r="AW1003" s="90"/>
      <c r="AX1003" s="91"/>
      <c r="AY1003" s="87"/>
      <c r="BB1003" s="88"/>
    </row>
    <row r="1004" spans="42:54">
      <c r="AP1004" s="80"/>
      <c r="AQ1004" s="82"/>
      <c r="AR1004" s="83"/>
      <c r="AS1004" s="84"/>
      <c r="AV1004" s="82"/>
      <c r="AW1004" s="90"/>
      <c r="AX1004" s="91"/>
      <c r="AY1004" s="87"/>
      <c r="BB1004" s="88"/>
    </row>
    <row r="1005" spans="42:54">
      <c r="AP1005" s="80"/>
      <c r="AQ1005" s="82"/>
      <c r="AR1005" s="83"/>
      <c r="AS1005" s="84"/>
      <c r="AV1005" s="82"/>
      <c r="AW1005" s="90"/>
      <c r="AX1005" s="91"/>
      <c r="AY1005" s="87"/>
      <c r="BB1005" s="88"/>
    </row>
    <row r="1006" spans="42:54">
      <c r="AP1006" s="80"/>
      <c r="AQ1006" s="82"/>
      <c r="AR1006" s="83"/>
      <c r="AS1006" s="84"/>
      <c r="AV1006" s="82"/>
      <c r="AW1006" s="90"/>
      <c r="AX1006" s="91"/>
      <c r="AY1006" s="87"/>
      <c r="BB1006" s="88"/>
    </row>
    <row r="1007" spans="42:54">
      <c r="AP1007" s="80"/>
      <c r="AQ1007" s="82"/>
      <c r="AR1007" s="83"/>
      <c r="AS1007" s="84"/>
      <c r="AV1007" s="82"/>
      <c r="AW1007" s="90"/>
      <c r="AX1007" s="91"/>
      <c r="AY1007" s="87"/>
      <c r="BB1007" s="88"/>
    </row>
    <row r="1008" spans="42:54">
      <c r="AP1008" s="80"/>
      <c r="AQ1008" s="82"/>
      <c r="AR1008" s="83"/>
      <c r="AS1008" s="84"/>
      <c r="AV1008" s="82"/>
      <c r="AW1008" s="90"/>
      <c r="AX1008" s="91"/>
      <c r="AY1008" s="87"/>
      <c r="BB1008" s="88"/>
    </row>
    <row r="1009" spans="42:54">
      <c r="AP1009" s="80"/>
      <c r="AQ1009" s="82"/>
      <c r="AR1009" s="83"/>
      <c r="AS1009" s="84"/>
      <c r="AV1009" s="82"/>
      <c r="AW1009" s="90"/>
      <c r="AX1009" s="91"/>
      <c r="AY1009" s="87"/>
      <c r="BB1009" s="88"/>
    </row>
    <row r="1010" spans="42:54">
      <c r="AP1010" s="80"/>
      <c r="AQ1010" s="82"/>
      <c r="AR1010" s="83"/>
      <c r="AS1010" s="84"/>
      <c r="AV1010" s="82"/>
      <c r="AW1010" s="90"/>
      <c r="AX1010" s="91"/>
      <c r="AY1010" s="87"/>
      <c r="BB1010" s="88"/>
    </row>
    <row r="1011" spans="42:54">
      <c r="AP1011" s="80"/>
      <c r="AQ1011" s="82"/>
      <c r="AR1011" s="83"/>
      <c r="AS1011" s="84"/>
      <c r="AV1011" s="82"/>
      <c r="AW1011" s="90"/>
      <c r="AX1011" s="91"/>
      <c r="AY1011" s="87"/>
      <c r="BB1011" s="88"/>
    </row>
    <row r="1012" spans="42:54">
      <c r="AP1012" s="80"/>
      <c r="AQ1012" s="82"/>
      <c r="AR1012" s="83"/>
      <c r="AS1012" s="84"/>
      <c r="AV1012" s="82"/>
      <c r="AW1012" s="90"/>
      <c r="AX1012" s="91"/>
      <c r="AY1012" s="87"/>
      <c r="BB1012" s="88"/>
    </row>
    <row r="1013" spans="42:54">
      <c r="AP1013" s="80"/>
      <c r="AQ1013" s="82"/>
      <c r="AR1013" s="83"/>
      <c r="AS1013" s="84"/>
      <c r="AV1013" s="82"/>
      <c r="AW1013" s="90"/>
      <c r="AX1013" s="91"/>
      <c r="AY1013" s="87"/>
      <c r="BB1013" s="88"/>
    </row>
    <row r="1014" spans="42:54">
      <c r="AP1014" s="80"/>
      <c r="AQ1014" s="82"/>
      <c r="AR1014" s="83"/>
      <c r="AS1014" s="84"/>
      <c r="AV1014" s="82"/>
      <c r="AW1014" s="90"/>
      <c r="AX1014" s="91"/>
      <c r="AY1014" s="87"/>
      <c r="BB1014" s="88"/>
    </row>
    <row r="1015" spans="42:54">
      <c r="AP1015" s="80"/>
      <c r="AQ1015" s="82"/>
      <c r="AR1015" s="83"/>
      <c r="AS1015" s="84"/>
      <c r="AV1015" s="82"/>
      <c r="AW1015" s="90"/>
      <c r="AX1015" s="91"/>
      <c r="AY1015" s="87"/>
      <c r="BB1015" s="88"/>
    </row>
    <row r="1016" spans="42:54">
      <c r="AP1016" s="80"/>
      <c r="AQ1016" s="82"/>
      <c r="AR1016" s="83"/>
      <c r="AS1016" s="84"/>
      <c r="AV1016" s="82"/>
      <c r="AW1016" s="90"/>
      <c r="AX1016" s="91"/>
      <c r="AY1016" s="87"/>
      <c r="BB1016" s="88"/>
    </row>
    <row r="1017" spans="42:54">
      <c r="AP1017" s="80"/>
      <c r="AQ1017" s="82"/>
      <c r="AR1017" s="83"/>
      <c r="AS1017" s="84"/>
      <c r="AV1017" s="82"/>
      <c r="AW1017" s="90"/>
      <c r="AX1017" s="91"/>
      <c r="AY1017" s="87"/>
      <c r="BB1017" s="88"/>
    </row>
    <row r="1018" spans="42:54">
      <c r="AP1018" s="80"/>
      <c r="AQ1018" s="82"/>
      <c r="AR1018" s="83"/>
      <c r="AS1018" s="84"/>
      <c r="AV1018" s="82"/>
      <c r="AW1018" s="90"/>
      <c r="AX1018" s="91"/>
      <c r="AY1018" s="87"/>
      <c r="BB1018" s="88"/>
    </row>
    <row r="1019" spans="42:54">
      <c r="AP1019" s="80"/>
      <c r="AQ1019" s="82"/>
      <c r="AR1019" s="83"/>
      <c r="AS1019" s="84"/>
      <c r="AV1019" s="82"/>
      <c r="AW1019" s="90"/>
      <c r="AX1019" s="91"/>
      <c r="AY1019" s="87"/>
      <c r="BB1019" s="88"/>
    </row>
    <row r="1020" spans="42:54">
      <c r="AP1020" s="80"/>
      <c r="AQ1020" s="82"/>
      <c r="AR1020" s="83"/>
      <c r="AS1020" s="84"/>
      <c r="AV1020" s="82"/>
      <c r="AW1020" s="90"/>
      <c r="AX1020" s="91"/>
      <c r="AY1020" s="87"/>
      <c r="BB1020" s="88"/>
    </row>
    <row r="1021" spans="42:54">
      <c r="AP1021" s="80"/>
      <c r="AQ1021" s="82"/>
      <c r="AR1021" s="83"/>
      <c r="AS1021" s="84"/>
      <c r="AV1021" s="82"/>
      <c r="AW1021" s="90"/>
      <c r="AX1021" s="91"/>
      <c r="AY1021" s="87"/>
      <c r="BB1021" s="88"/>
    </row>
    <row r="1022" spans="42:54">
      <c r="AP1022" s="80"/>
      <c r="AQ1022" s="82"/>
      <c r="AR1022" s="83"/>
      <c r="AS1022" s="84"/>
      <c r="AV1022" s="82"/>
      <c r="AW1022" s="90"/>
      <c r="AX1022" s="91"/>
      <c r="AY1022" s="87"/>
      <c r="BB1022" s="88"/>
    </row>
    <row r="1023" spans="42:54">
      <c r="AP1023" s="80"/>
      <c r="AQ1023" s="82"/>
      <c r="AR1023" s="83"/>
      <c r="AS1023" s="84"/>
      <c r="AV1023" s="82"/>
      <c r="AW1023" s="90"/>
      <c r="AX1023" s="91"/>
      <c r="AY1023" s="87"/>
      <c r="BB1023" s="88"/>
    </row>
    <row r="1024" spans="42:54">
      <c r="AP1024" s="80"/>
      <c r="AQ1024" s="82"/>
      <c r="AR1024" s="83"/>
      <c r="AS1024" s="84"/>
      <c r="AV1024" s="82"/>
      <c r="AW1024" s="90"/>
      <c r="AX1024" s="91"/>
      <c r="AY1024" s="87"/>
      <c r="BB1024" s="88"/>
    </row>
    <row r="1025" spans="42:54">
      <c r="AP1025" s="80"/>
      <c r="AQ1025" s="82"/>
      <c r="AR1025" s="83"/>
      <c r="AS1025" s="84"/>
      <c r="AV1025" s="82"/>
      <c r="AW1025" s="90"/>
      <c r="AX1025" s="91"/>
      <c r="AY1025" s="87"/>
      <c r="BB1025" s="88"/>
    </row>
    <row r="1026" spans="42:54">
      <c r="AP1026" s="80"/>
      <c r="AQ1026" s="82"/>
      <c r="AR1026" s="83"/>
      <c r="AS1026" s="84"/>
      <c r="AV1026" s="82"/>
      <c r="AW1026" s="90"/>
      <c r="AX1026" s="91"/>
      <c r="AY1026" s="87"/>
      <c r="BB1026" s="88"/>
    </row>
    <row r="1027" spans="42:54">
      <c r="AP1027" s="80"/>
      <c r="AQ1027" s="82"/>
      <c r="AR1027" s="83"/>
      <c r="AS1027" s="84"/>
      <c r="AV1027" s="82"/>
      <c r="AW1027" s="90"/>
      <c r="AX1027" s="91"/>
      <c r="AY1027" s="87"/>
      <c r="BB1027" s="88"/>
    </row>
    <row r="1028" spans="42:54">
      <c r="AP1028" s="80"/>
      <c r="AQ1028" s="82"/>
      <c r="AR1028" s="83"/>
      <c r="AS1028" s="84"/>
      <c r="AV1028" s="82"/>
      <c r="AW1028" s="90"/>
      <c r="AX1028" s="91"/>
      <c r="AY1028" s="87"/>
      <c r="BB1028" s="88"/>
    </row>
    <row r="1029" spans="42:54">
      <c r="AP1029" s="80"/>
      <c r="AQ1029" s="82"/>
      <c r="AR1029" s="83"/>
      <c r="AS1029" s="84"/>
      <c r="AV1029" s="82"/>
      <c r="AW1029" s="90"/>
      <c r="AX1029" s="91"/>
      <c r="AY1029" s="87"/>
      <c r="BB1029" s="88"/>
    </row>
    <row r="1030" spans="42:54">
      <c r="AP1030" s="80"/>
      <c r="AQ1030" s="82"/>
      <c r="AR1030" s="83"/>
      <c r="AS1030" s="84"/>
      <c r="AV1030" s="82"/>
      <c r="AW1030" s="90"/>
      <c r="AX1030" s="91"/>
      <c r="AY1030" s="87"/>
      <c r="BB1030" s="88"/>
    </row>
  </sheetData>
  <sortState ref="A2:BI188">
    <sortCondition ref="C2:C188"/>
    <sortCondition ref="D2:D188"/>
  </sortState>
  <conditionalFormatting sqref="K1 K349:K383 AM1 AM185:AM191 AL118:AL122 AL133 AL135:AL151 AL161:AL184 AM193 AL125:AL130 AM197:AM233 AM258:AM383 AM235:AM252 AM468:AM727 K468:K727 K775:K1048576 AM775:AM1048576 AL9:AL112">
    <cfRule type="cellIs" dxfId="372" priority="355" operator="equal">
      <formula>"Seeker"</formula>
    </cfRule>
    <cfRule type="cellIs" dxfId="371" priority="356" operator="equal">
      <formula>"Neutral"</formula>
    </cfRule>
    <cfRule type="cellIs" dxfId="370" priority="357" operator="equal">
      <formula>"Rogue"</formula>
    </cfRule>
    <cfRule type="cellIs" dxfId="369" priority="358" operator="equal">
      <formula>"Guardian"</formula>
    </cfRule>
    <cfRule type="cellIs" dxfId="368" priority="359" operator="equal">
      <formula>"Survivor"</formula>
    </cfRule>
    <cfRule type="cellIs" dxfId="367" priority="360" operator="equal">
      <formula>"Mystic"</formula>
    </cfRule>
  </conditionalFormatting>
  <conditionalFormatting sqref="K102:K105 K235:K348 K8:K100 K2:K6">
    <cfRule type="cellIs" dxfId="366" priority="349" operator="equal">
      <formula>"seeker"</formula>
    </cfRule>
    <cfRule type="cellIs" dxfId="365" priority="350" operator="equal">
      <formula>"neutral"</formula>
    </cfRule>
    <cfRule type="cellIs" dxfId="364" priority="351" operator="equal">
      <formula>"rogue"</formula>
    </cfRule>
    <cfRule type="cellIs" dxfId="363" priority="352" operator="equal">
      <formula>"Guardian"</formula>
    </cfRule>
    <cfRule type="cellIs" dxfId="362" priority="353" operator="equal">
      <formula>"Survivor"</formula>
    </cfRule>
    <cfRule type="cellIs" dxfId="361" priority="354" operator="equal">
      <formula>"Mystic"</formula>
    </cfRule>
  </conditionalFormatting>
  <conditionalFormatting sqref="K135:K153 K159:K170 K172:K194 K106:K123 K196:K233 K125:K133">
    <cfRule type="cellIs" dxfId="360" priority="343" operator="equal">
      <formula>"seeker"</formula>
    </cfRule>
    <cfRule type="cellIs" dxfId="359" priority="344" operator="equal">
      <formula>"neutral"</formula>
    </cfRule>
    <cfRule type="cellIs" dxfId="358" priority="345" operator="equal">
      <formula>"rogue"</formula>
    </cfRule>
    <cfRule type="cellIs" dxfId="357" priority="346" operator="equal">
      <formula>"Guardian"</formula>
    </cfRule>
    <cfRule type="cellIs" dxfId="356" priority="347" operator="equal">
      <formula>"Survivor"</formula>
    </cfRule>
    <cfRule type="cellIs" dxfId="355" priority="348" operator="equal">
      <formula>"Mystic"</formula>
    </cfRule>
  </conditionalFormatting>
  <conditionalFormatting sqref="K101">
    <cfRule type="cellIs" dxfId="354" priority="337" operator="equal">
      <formula>"seeker"</formula>
    </cfRule>
    <cfRule type="cellIs" dxfId="353" priority="338" operator="equal">
      <formula>"neutral"</formula>
    </cfRule>
    <cfRule type="cellIs" dxfId="352" priority="339" operator="equal">
      <formula>"rogue"</formula>
    </cfRule>
    <cfRule type="cellIs" dxfId="351" priority="340" operator="equal">
      <formula>"Guardian"</formula>
    </cfRule>
    <cfRule type="cellIs" dxfId="350" priority="341" operator="equal">
      <formula>"Survivor"</formula>
    </cfRule>
    <cfRule type="cellIs" dxfId="349" priority="342" operator="equal">
      <formula>"Mystic"</formula>
    </cfRule>
  </conditionalFormatting>
  <conditionalFormatting sqref="AM113:AM117">
    <cfRule type="cellIs" dxfId="348" priority="331" operator="equal">
      <formula>"seeker"</formula>
    </cfRule>
    <cfRule type="cellIs" dxfId="347" priority="332" operator="equal">
      <formula>"neutral"</formula>
    </cfRule>
    <cfRule type="cellIs" dxfId="346" priority="333" operator="equal">
      <formula>"rogue"</formula>
    </cfRule>
    <cfRule type="cellIs" dxfId="345" priority="334" operator="equal">
      <formula>"Guardian"</formula>
    </cfRule>
    <cfRule type="cellIs" dxfId="344" priority="335" operator="equal">
      <formula>"Survivor"</formula>
    </cfRule>
    <cfRule type="cellIs" dxfId="343" priority="336" operator="equal">
      <formula>"Mystic"</formula>
    </cfRule>
  </conditionalFormatting>
  <conditionalFormatting sqref="AM131:AM132">
    <cfRule type="cellIs" dxfId="342" priority="325" operator="equal">
      <formula>"seeker"</formula>
    </cfRule>
    <cfRule type="cellIs" dxfId="341" priority="326" operator="equal">
      <formula>"neutral"</formula>
    </cfRule>
    <cfRule type="cellIs" dxfId="340" priority="327" operator="equal">
      <formula>"rogue"</formula>
    </cfRule>
    <cfRule type="cellIs" dxfId="339" priority="328" operator="equal">
      <formula>"Guardian"</formula>
    </cfRule>
    <cfRule type="cellIs" dxfId="338" priority="329" operator="equal">
      <formula>"Survivor"</formula>
    </cfRule>
    <cfRule type="cellIs" dxfId="337" priority="330" operator="equal">
      <formula>"Mystic"</formula>
    </cfRule>
  </conditionalFormatting>
  <conditionalFormatting sqref="AL134">
    <cfRule type="cellIs" dxfId="336" priority="319" operator="equal">
      <formula>"Seeker"</formula>
    </cfRule>
    <cfRule type="cellIs" dxfId="335" priority="320" operator="equal">
      <formula>"Neutral"</formula>
    </cfRule>
    <cfRule type="cellIs" dxfId="334" priority="321" operator="equal">
      <formula>"Rogue"</formula>
    </cfRule>
    <cfRule type="cellIs" dxfId="333" priority="322" operator="equal">
      <formula>"Guardian"</formula>
    </cfRule>
    <cfRule type="cellIs" dxfId="332" priority="323" operator="equal">
      <formula>"Survivor"</formula>
    </cfRule>
    <cfRule type="cellIs" dxfId="331" priority="324" operator="equal">
      <formula>"Mystic"</formula>
    </cfRule>
  </conditionalFormatting>
  <conditionalFormatting sqref="K134">
    <cfRule type="cellIs" dxfId="330" priority="313" operator="equal">
      <formula>"seeker"</formula>
    </cfRule>
    <cfRule type="cellIs" dxfId="329" priority="314" operator="equal">
      <formula>"neutral"</formula>
    </cfRule>
    <cfRule type="cellIs" dxfId="328" priority="315" operator="equal">
      <formula>"rogue"</formula>
    </cfRule>
    <cfRule type="cellIs" dxfId="327" priority="316" operator="equal">
      <formula>"Guardian"</formula>
    </cfRule>
    <cfRule type="cellIs" dxfId="326" priority="317" operator="equal">
      <formula>"Survivor"</formula>
    </cfRule>
    <cfRule type="cellIs" dxfId="325" priority="318" operator="equal">
      <formula>"Mystic"</formula>
    </cfRule>
  </conditionalFormatting>
  <conditionalFormatting sqref="AM152:AM153 AM159:AM160">
    <cfRule type="cellIs" dxfId="324" priority="307" operator="equal">
      <formula>"seeker"</formula>
    </cfRule>
    <cfRule type="cellIs" dxfId="323" priority="308" operator="equal">
      <formula>"neutral"</formula>
    </cfRule>
    <cfRule type="cellIs" dxfId="322" priority="309" operator="equal">
      <formula>"rogue"</formula>
    </cfRule>
    <cfRule type="cellIs" dxfId="321" priority="310" operator="equal">
      <formula>"Guardian"</formula>
    </cfRule>
    <cfRule type="cellIs" dxfId="320" priority="311" operator="equal">
      <formula>"Survivor"</formula>
    </cfRule>
    <cfRule type="cellIs" dxfId="319" priority="312" operator="equal">
      <formula>"Mystic"</formula>
    </cfRule>
  </conditionalFormatting>
  <conditionalFormatting sqref="K154">
    <cfRule type="cellIs" dxfId="318" priority="301" operator="equal">
      <formula>"seeker"</formula>
    </cfRule>
    <cfRule type="cellIs" dxfId="317" priority="302" operator="equal">
      <formula>"neutral"</formula>
    </cfRule>
    <cfRule type="cellIs" dxfId="316" priority="303" operator="equal">
      <formula>"rogue"</formula>
    </cfRule>
    <cfRule type="cellIs" dxfId="315" priority="304" operator="equal">
      <formula>"Guardian"</formula>
    </cfRule>
    <cfRule type="cellIs" dxfId="314" priority="305" operator="equal">
      <formula>"Survivor"</formula>
    </cfRule>
    <cfRule type="cellIs" dxfId="313" priority="306" operator="equal">
      <formula>"Mystic"</formula>
    </cfRule>
  </conditionalFormatting>
  <conditionalFormatting sqref="AM154">
    <cfRule type="cellIs" dxfId="312" priority="295" operator="equal">
      <formula>"seeker"</formula>
    </cfRule>
    <cfRule type="cellIs" dxfId="311" priority="296" operator="equal">
      <formula>"neutral"</formula>
    </cfRule>
    <cfRule type="cellIs" dxfId="310" priority="297" operator="equal">
      <formula>"rogue"</formula>
    </cfRule>
    <cfRule type="cellIs" dxfId="309" priority="298" operator="equal">
      <formula>"Guardian"</formula>
    </cfRule>
    <cfRule type="cellIs" dxfId="308" priority="299" operator="equal">
      <formula>"Survivor"</formula>
    </cfRule>
    <cfRule type="cellIs" dxfId="307" priority="300" operator="equal">
      <formula>"Mystic"</formula>
    </cfRule>
  </conditionalFormatting>
  <conditionalFormatting sqref="K155">
    <cfRule type="cellIs" dxfId="306" priority="289" operator="equal">
      <formula>"seeker"</formula>
    </cfRule>
    <cfRule type="cellIs" dxfId="305" priority="290" operator="equal">
      <formula>"neutral"</formula>
    </cfRule>
    <cfRule type="cellIs" dxfId="304" priority="291" operator="equal">
      <formula>"rogue"</formula>
    </cfRule>
    <cfRule type="cellIs" dxfId="303" priority="292" operator="equal">
      <formula>"Guardian"</formula>
    </cfRule>
    <cfRule type="cellIs" dxfId="302" priority="293" operator="equal">
      <formula>"Survivor"</formula>
    </cfRule>
    <cfRule type="cellIs" dxfId="301" priority="294" operator="equal">
      <formula>"Mystic"</formula>
    </cfRule>
  </conditionalFormatting>
  <conditionalFormatting sqref="AM155">
    <cfRule type="cellIs" dxfId="300" priority="283" operator="equal">
      <formula>"seeker"</formula>
    </cfRule>
    <cfRule type="cellIs" dxfId="299" priority="284" operator="equal">
      <formula>"neutral"</formula>
    </cfRule>
    <cfRule type="cellIs" dxfId="298" priority="285" operator="equal">
      <formula>"rogue"</formula>
    </cfRule>
    <cfRule type="cellIs" dxfId="297" priority="286" operator="equal">
      <formula>"Guardian"</formula>
    </cfRule>
    <cfRule type="cellIs" dxfId="296" priority="287" operator="equal">
      <formula>"Survivor"</formula>
    </cfRule>
    <cfRule type="cellIs" dxfId="295" priority="288" operator="equal">
      <formula>"Mystic"</formula>
    </cfRule>
  </conditionalFormatting>
  <conditionalFormatting sqref="K156">
    <cfRule type="cellIs" dxfId="294" priority="277" operator="equal">
      <formula>"seeker"</formula>
    </cfRule>
    <cfRule type="cellIs" dxfId="293" priority="278" operator="equal">
      <formula>"neutral"</formula>
    </cfRule>
    <cfRule type="cellIs" dxfId="292" priority="279" operator="equal">
      <formula>"rogue"</formula>
    </cfRule>
    <cfRule type="cellIs" dxfId="291" priority="280" operator="equal">
      <formula>"Guardian"</formula>
    </cfRule>
    <cfRule type="cellIs" dxfId="290" priority="281" operator="equal">
      <formula>"Survivor"</formula>
    </cfRule>
    <cfRule type="cellIs" dxfId="289" priority="282" operator="equal">
      <formula>"Mystic"</formula>
    </cfRule>
  </conditionalFormatting>
  <conditionalFormatting sqref="AM156">
    <cfRule type="cellIs" dxfId="288" priority="271" operator="equal">
      <formula>"seeker"</formula>
    </cfRule>
    <cfRule type="cellIs" dxfId="287" priority="272" operator="equal">
      <formula>"neutral"</formula>
    </cfRule>
    <cfRule type="cellIs" dxfId="286" priority="273" operator="equal">
      <formula>"rogue"</formula>
    </cfRule>
    <cfRule type="cellIs" dxfId="285" priority="274" operator="equal">
      <formula>"Guardian"</formula>
    </cfRule>
    <cfRule type="cellIs" dxfId="284" priority="275" operator="equal">
      <formula>"Survivor"</formula>
    </cfRule>
    <cfRule type="cellIs" dxfId="283" priority="276" operator="equal">
      <formula>"Mystic"</formula>
    </cfRule>
  </conditionalFormatting>
  <conditionalFormatting sqref="K157">
    <cfRule type="cellIs" dxfId="282" priority="265" operator="equal">
      <formula>"seeker"</formula>
    </cfRule>
    <cfRule type="cellIs" dxfId="281" priority="266" operator="equal">
      <formula>"neutral"</formula>
    </cfRule>
    <cfRule type="cellIs" dxfId="280" priority="267" operator="equal">
      <formula>"rogue"</formula>
    </cfRule>
    <cfRule type="cellIs" dxfId="279" priority="268" operator="equal">
      <formula>"Guardian"</formula>
    </cfRule>
    <cfRule type="cellIs" dxfId="278" priority="269" operator="equal">
      <formula>"Survivor"</formula>
    </cfRule>
    <cfRule type="cellIs" dxfId="277" priority="270" operator="equal">
      <formula>"Mystic"</formula>
    </cfRule>
  </conditionalFormatting>
  <conditionalFormatting sqref="AM157">
    <cfRule type="cellIs" dxfId="276" priority="259" operator="equal">
      <formula>"seeker"</formula>
    </cfRule>
    <cfRule type="cellIs" dxfId="275" priority="260" operator="equal">
      <formula>"neutral"</formula>
    </cfRule>
    <cfRule type="cellIs" dxfId="274" priority="261" operator="equal">
      <formula>"rogue"</formula>
    </cfRule>
    <cfRule type="cellIs" dxfId="273" priority="262" operator="equal">
      <formula>"Guardian"</formula>
    </cfRule>
    <cfRule type="cellIs" dxfId="272" priority="263" operator="equal">
      <formula>"Survivor"</formula>
    </cfRule>
    <cfRule type="cellIs" dxfId="271" priority="264" operator="equal">
      <formula>"Mystic"</formula>
    </cfRule>
  </conditionalFormatting>
  <conditionalFormatting sqref="K158">
    <cfRule type="cellIs" dxfId="270" priority="253" operator="equal">
      <formula>"seeker"</formula>
    </cfRule>
    <cfRule type="cellIs" dxfId="269" priority="254" operator="equal">
      <formula>"neutral"</formula>
    </cfRule>
    <cfRule type="cellIs" dxfId="268" priority="255" operator="equal">
      <formula>"rogue"</formula>
    </cfRule>
    <cfRule type="cellIs" dxfId="267" priority="256" operator="equal">
      <formula>"Guardian"</formula>
    </cfRule>
    <cfRule type="cellIs" dxfId="266" priority="257" operator="equal">
      <formula>"Survivor"</formula>
    </cfRule>
    <cfRule type="cellIs" dxfId="265" priority="258" operator="equal">
      <formula>"Mystic"</formula>
    </cfRule>
  </conditionalFormatting>
  <conditionalFormatting sqref="AM158">
    <cfRule type="cellIs" dxfId="264" priority="247" operator="equal">
      <formula>"seeker"</formula>
    </cfRule>
    <cfRule type="cellIs" dxfId="263" priority="248" operator="equal">
      <formula>"neutral"</formula>
    </cfRule>
    <cfRule type="cellIs" dxfId="262" priority="249" operator="equal">
      <formula>"rogue"</formula>
    </cfRule>
    <cfRule type="cellIs" dxfId="261" priority="250" operator="equal">
      <formula>"Guardian"</formula>
    </cfRule>
    <cfRule type="cellIs" dxfId="260" priority="251" operator="equal">
      <formula>"Survivor"</formula>
    </cfRule>
    <cfRule type="cellIs" dxfId="259" priority="252" operator="equal">
      <formula>"Mystic"</formula>
    </cfRule>
  </conditionalFormatting>
  <conditionalFormatting sqref="K171">
    <cfRule type="cellIs" dxfId="258" priority="241" operator="equal">
      <formula>"seeker"</formula>
    </cfRule>
    <cfRule type="cellIs" dxfId="257" priority="242" operator="equal">
      <formula>"neutral"</formula>
    </cfRule>
    <cfRule type="cellIs" dxfId="256" priority="243" operator="equal">
      <formula>"rogue"</formula>
    </cfRule>
    <cfRule type="cellIs" dxfId="255" priority="244" operator="equal">
      <formula>"Guardian"</formula>
    </cfRule>
    <cfRule type="cellIs" dxfId="254" priority="245" operator="equal">
      <formula>"Survivor"</formula>
    </cfRule>
    <cfRule type="cellIs" dxfId="253" priority="246" operator="equal">
      <formula>"Mystic"</formula>
    </cfRule>
  </conditionalFormatting>
  <conditionalFormatting sqref="AL191">
    <cfRule type="cellIs" dxfId="252" priority="229" operator="equal">
      <formula>"Seeker"</formula>
    </cfRule>
    <cfRule type="cellIs" dxfId="251" priority="230" operator="equal">
      <formula>"Neutral"</formula>
    </cfRule>
    <cfRule type="cellIs" dxfId="250" priority="231" operator="equal">
      <formula>"Rogue"</formula>
    </cfRule>
    <cfRule type="cellIs" dxfId="249" priority="232" operator="equal">
      <formula>"Guardian"</formula>
    </cfRule>
    <cfRule type="cellIs" dxfId="248" priority="233" operator="equal">
      <formula>"Survivor"</formula>
    </cfRule>
    <cfRule type="cellIs" dxfId="247" priority="234" operator="equal">
      <formula>"Mystic"</formula>
    </cfRule>
  </conditionalFormatting>
  <conditionalFormatting sqref="AM192">
    <cfRule type="cellIs" dxfId="246" priority="223" operator="equal">
      <formula>"seeker"</formula>
    </cfRule>
    <cfRule type="cellIs" dxfId="245" priority="224" operator="equal">
      <formula>"neutral"</formula>
    </cfRule>
    <cfRule type="cellIs" dxfId="244" priority="225" operator="equal">
      <formula>"rogue"</formula>
    </cfRule>
    <cfRule type="cellIs" dxfId="243" priority="226" operator="equal">
      <formula>"Guardian"</formula>
    </cfRule>
    <cfRule type="cellIs" dxfId="242" priority="227" operator="equal">
      <formula>"Survivor"</formula>
    </cfRule>
    <cfRule type="cellIs" dxfId="241" priority="228" operator="equal">
      <formula>"Mystic"</formula>
    </cfRule>
  </conditionalFormatting>
  <conditionalFormatting sqref="AM194">
    <cfRule type="cellIs" dxfId="240" priority="217" operator="equal">
      <formula>"seeker"</formula>
    </cfRule>
    <cfRule type="cellIs" dxfId="239" priority="218" operator="equal">
      <formula>"neutral"</formula>
    </cfRule>
    <cfRule type="cellIs" dxfId="238" priority="219" operator="equal">
      <formula>"rogue"</formula>
    </cfRule>
    <cfRule type="cellIs" dxfId="237" priority="220" operator="equal">
      <formula>"Guardian"</formula>
    </cfRule>
    <cfRule type="cellIs" dxfId="236" priority="221" operator="equal">
      <formula>"Survivor"</formula>
    </cfRule>
    <cfRule type="cellIs" dxfId="235" priority="222" operator="equal">
      <formula>"Mystic"</formula>
    </cfRule>
  </conditionalFormatting>
  <conditionalFormatting sqref="K195">
    <cfRule type="cellIs" dxfId="234" priority="211" operator="equal">
      <formula>"seeker"</formula>
    </cfRule>
    <cfRule type="cellIs" dxfId="233" priority="212" operator="equal">
      <formula>"neutral"</formula>
    </cfRule>
    <cfRule type="cellIs" dxfId="232" priority="213" operator="equal">
      <formula>"rogue"</formula>
    </cfRule>
    <cfRule type="cellIs" dxfId="231" priority="214" operator="equal">
      <formula>"Guardian"</formula>
    </cfRule>
    <cfRule type="cellIs" dxfId="230" priority="215" operator="equal">
      <formula>"Survivor"</formula>
    </cfRule>
    <cfRule type="cellIs" dxfId="229" priority="216" operator="equal">
      <formula>"Mystic"</formula>
    </cfRule>
  </conditionalFormatting>
  <conditionalFormatting sqref="AM196">
    <cfRule type="cellIs" dxfId="228" priority="205" operator="equal">
      <formula>"seeker"</formula>
    </cfRule>
    <cfRule type="cellIs" dxfId="227" priority="206" operator="equal">
      <formula>"neutral"</formula>
    </cfRule>
    <cfRule type="cellIs" dxfId="226" priority="207" operator="equal">
      <formula>"rogue"</formula>
    </cfRule>
    <cfRule type="cellIs" dxfId="225" priority="208" operator="equal">
      <formula>"Guardian"</formula>
    </cfRule>
    <cfRule type="cellIs" dxfId="224" priority="209" operator="equal">
      <formula>"Survivor"</formula>
    </cfRule>
    <cfRule type="cellIs" dxfId="223" priority="210" operator="equal">
      <formula>"Mystic"</formula>
    </cfRule>
  </conditionalFormatting>
  <conditionalFormatting sqref="AM195">
    <cfRule type="cellIs" dxfId="222" priority="199" operator="equal">
      <formula>"seeker"</formula>
    </cfRule>
    <cfRule type="cellIs" dxfId="221" priority="200" operator="equal">
      <formula>"neutral"</formula>
    </cfRule>
    <cfRule type="cellIs" dxfId="220" priority="201" operator="equal">
      <formula>"rogue"</formula>
    </cfRule>
    <cfRule type="cellIs" dxfId="219" priority="202" operator="equal">
      <formula>"Guardian"</formula>
    </cfRule>
    <cfRule type="cellIs" dxfId="218" priority="203" operator="equal">
      <formula>"Survivor"</formula>
    </cfRule>
    <cfRule type="cellIs" dxfId="217" priority="204" operator="equal">
      <formula>"Mystic"</formula>
    </cfRule>
  </conditionalFormatting>
  <conditionalFormatting sqref="AL4">
    <cfRule type="cellIs" dxfId="216" priority="193" operator="equal">
      <formula>"Seeker"</formula>
    </cfRule>
    <cfRule type="cellIs" dxfId="215" priority="194" operator="equal">
      <formula>"Neutral"</formula>
    </cfRule>
    <cfRule type="cellIs" dxfId="214" priority="195" operator="equal">
      <formula>"Rogue"</formula>
    </cfRule>
    <cfRule type="cellIs" dxfId="213" priority="196" operator="equal">
      <formula>"Guardian"</formula>
    </cfRule>
    <cfRule type="cellIs" dxfId="212" priority="197" operator="equal">
      <formula>"Survivor"</formula>
    </cfRule>
    <cfRule type="cellIs" dxfId="211" priority="198" operator="equal">
      <formula>"Mystic"</formula>
    </cfRule>
  </conditionalFormatting>
  <conditionalFormatting sqref="AL5">
    <cfRule type="cellIs" dxfId="210" priority="187" operator="equal">
      <formula>"Seeker"</formula>
    </cfRule>
    <cfRule type="cellIs" dxfId="209" priority="188" operator="equal">
      <formula>"Neutral"</formula>
    </cfRule>
    <cfRule type="cellIs" dxfId="208" priority="189" operator="equal">
      <formula>"Rogue"</formula>
    </cfRule>
    <cfRule type="cellIs" dxfId="207" priority="190" operator="equal">
      <formula>"Guardian"</formula>
    </cfRule>
    <cfRule type="cellIs" dxfId="206" priority="191" operator="equal">
      <formula>"Survivor"</formula>
    </cfRule>
    <cfRule type="cellIs" dxfId="205" priority="192" operator="equal">
      <formula>"Mystic"</formula>
    </cfRule>
  </conditionalFormatting>
  <conditionalFormatting sqref="AL8">
    <cfRule type="cellIs" dxfId="204" priority="175" operator="equal">
      <formula>"Seeker"</formula>
    </cfRule>
    <cfRule type="cellIs" dxfId="203" priority="176" operator="equal">
      <formula>"Neutral"</formula>
    </cfRule>
    <cfRule type="cellIs" dxfId="202" priority="177" operator="equal">
      <formula>"Rogue"</formula>
    </cfRule>
    <cfRule type="cellIs" dxfId="201" priority="178" operator="equal">
      <formula>"Guardian"</formula>
    </cfRule>
    <cfRule type="cellIs" dxfId="200" priority="179" operator="equal">
      <formula>"Survivor"</formula>
    </cfRule>
    <cfRule type="cellIs" dxfId="199" priority="180" operator="equal">
      <formula>"Mystic"</formula>
    </cfRule>
  </conditionalFormatting>
  <conditionalFormatting sqref="AL123">
    <cfRule type="cellIs" dxfId="198" priority="169" operator="equal">
      <formula>"Seeker"</formula>
    </cfRule>
    <cfRule type="cellIs" dxfId="197" priority="170" operator="equal">
      <formula>"Neutral"</formula>
    </cfRule>
    <cfRule type="cellIs" dxfId="196" priority="171" operator="equal">
      <formula>"Rogue"</formula>
    </cfRule>
    <cfRule type="cellIs" dxfId="195" priority="172" operator="equal">
      <formula>"Guardian"</formula>
    </cfRule>
    <cfRule type="cellIs" dxfId="194" priority="173" operator="equal">
      <formula>"Survivor"</formula>
    </cfRule>
    <cfRule type="cellIs" dxfId="193" priority="174" operator="equal">
      <formula>"Mystic"</formula>
    </cfRule>
  </conditionalFormatting>
  <conditionalFormatting sqref="AL124">
    <cfRule type="cellIs" dxfId="192" priority="163" operator="equal">
      <formula>"Seeker"</formula>
    </cfRule>
    <cfRule type="cellIs" dxfId="191" priority="164" operator="equal">
      <formula>"Neutral"</formula>
    </cfRule>
    <cfRule type="cellIs" dxfId="190" priority="165" operator="equal">
      <formula>"Rogue"</formula>
    </cfRule>
    <cfRule type="cellIs" dxfId="189" priority="166" operator="equal">
      <formula>"Guardian"</formula>
    </cfRule>
    <cfRule type="cellIs" dxfId="188" priority="167" operator="equal">
      <formula>"Survivor"</formula>
    </cfRule>
    <cfRule type="cellIs" dxfId="187" priority="168" operator="equal">
      <formula>"Mystic"</formula>
    </cfRule>
  </conditionalFormatting>
  <conditionalFormatting sqref="J124">
    <cfRule type="cellIs" dxfId="186" priority="157" operator="equal">
      <formula>"Seeker"</formula>
    </cfRule>
    <cfRule type="cellIs" dxfId="185" priority="158" operator="equal">
      <formula>"Neutral"</formula>
    </cfRule>
    <cfRule type="cellIs" dxfId="184" priority="159" operator="equal">
      <formula>"Rogue"</formula>
    </cfRule>
    <cfRule type="cellIs" dxfId="183" priority="160" operator="equal">
      <formula>"Guardian"</formula>
    </cfRule>
    <cfRule type="cellIs" dxfId="182" priority="161" operator="equal">
      <formula>"Survivor"</formula>
    </cfRule>
    <cfRule type="cellIs" dxfId="181" priority="162" operator="equal">
      <formula>"Mystic"</formula>
    </cfRule>
  </conditionalFormatting>
  <conditionalFormatting sqref="AM254">
    <cfRule type="cellIs" dxfId="180" priority="151" operator="equal">
      <formula>"seeker"</formula>
    </cfRule>
    <cfRule type="cellIs" dxfId="179" priority="152" operator="equal">
      <formula>"neutral"</formula>
    </cfRule>
    <cfRule type="cellIs" dxfId="178" priority="153" operator="equal">
      <formula>"rogue"</formula>
    </cfRule>
    <cfRule type="cellIs" dxfId="177" priority="154" operator="equal">
      <formula>"Guardian"</formula>
    </cfRule>
    <cfRule type="cellIs" dxfId="176" priority="155" operator="equal">
      <formula>"Survivor"</formula>
    </cfRule>
    <cfRule type="cellIs" dxfId="175" priority="156" operator="equal">
      <formula>"Mystic"</formula>
    </cfRule>
  </conditionalFormatting>
  <conditionalFormatting sqref="AM255">
    <cfRule type="cellIs" dxfId="174" priority="145" operator="equal">
      <formula>"seeker"</formula>
    </cfRule>
    <cfRule type="cellIs" dxfId="173" priority="146" operator="equal">
      <formula>"neutral"</formula>
    </cfRule>
    <cfRule type="cellIs" dxfId="172" priority="147" operator="equal">
      <formula>"rogue"</formula>
    </cfRule>
    <cfRule type="cellIs" dxfId="171" priority="148" operator="equal">
      <formula>"Guardian"</formula>
    </cfRule>
    <cfRule type="cellIs" dxfId="170" priority="149" operator="equal">
      <formula>"Survivor"</formula>
    </cfRule>
    <cfRule type="cellIs" dxfId="169" priority="150" operator="equal">
      <formula>"Mystic"</formula>
    </cfRule>
  </conditionalFormatting>
  <conditionalFormatting sqref="AM256">
    <cfRule type="cellIs" dxfId="168" priority="139" operator="equal">
      <formula>"seeker"</formula>
    </cfRule>
    <cfRule type="cellIs" dxfId="167" priority="140" operator="equal">
      <formula>"neutral"</formula>
    </cfRule>
    <cfRule type="cellIs" dxfId="166" priority="141" operator="equal">
      <formula>"rogue"</formula>
    </cfRule>
    <cfRule type="cellIs" dxfId="165" priority="142" operator="equal">
      <formula>"Guardian"</formula>
    </cfRule>
    <cfRule type="cellIs" dxfId="164" priority="143" operator="equal">
      <formula>"Survivor"</formula>
    </cfRule>
    <cfRule type="cellIs" dxfId="163" priority="144" operator="equal">
      <formula>"Mystic"</formula>
    </cfRule>
  </conditionalFormatting>
  <conditionalFormatting sqref="AM257">
    <cfRule type="cellIs" dxfId="162" priority="133" operator="equal">
      <formula>"seeker"</formula>
    </cfRule>
    <cfRule type="cellIs" dxfId="161" priority="134" operator="equal">
      <formula>"neutral"</formula>
    </cfRule>
    <cfRule type="cellIs" dxfId="160" priority="135" operator="equal">
      <formula>"rogue"</formula>
    </cfRule>
    <cfRule type="cellIs" dxfId="159" priority="136" operator="equal">
      <formula>"Guardian"</formula>
    </cfRule>
    <cfRule type="cellIs" dxfId="158" priority="137" operator="equal">
      <formula>"Survivor"</formula>
    </cfRule>
    <cfRule type="cellIs" dxfId="157" priority="138" operator="equal">
      <formula>"Mystic"</formula>
    </cfRule>
  </conditionalFormatting>
  <conditionalFormatting sqref="AM253">
    <cfRule type="cellIs" dxfId="156" priority="127" operator="equal">
      <formula>"seeker"</formula>
    </cfRule>
    <cfRule type="cellIs" dxfId="155" priority="128" operator="equal">
      <formula>"neutral"</formula>
    </cfRule>
    <cfRule type="cellIs" dxfId="154" priority="129" operator="equal">
      <formula>"rogue"</formula>
    </cfRule>
    <cfRule type="cellIs" dxfId="153" priority="130" operator="equal">
      <formula>"Guardian"</formula>
    </cfRule>
    <cfRule type="cellIs" dxfId="152" priority="131" operator="equal">
      <formula>"Survivor"</formula>
    </cfRule>
    <cfRule type="cellIs" dxfId="151" priority="132" operator="equal">
      <formula>"Mystic"</formula>
    </cfRule>
  </conditionalFormatting>
  <conditionalFormatting sqref="AM384:AM388">
    <cfRule type="cellIs" dxfId="150" priority="121" operator="equal">
      <formula>"Seeker"</formula>
    </cfRule>
    <cfRule type="cellIs" dxfId="149" priority="122" operator="equal">
      <formula>"Neutral"</formula>
    </cfRule>
    <cfRule type="cellIs" dxfId="148" priority="123" operator="equal">
      <formula>"Rogue"</formula>
    </cfRule>
    <cfRule type="cellIs" dxfId="147" priority="124" operator="equal">
      <formula>"Guardian"</formula>
    </cfRule>
    <cfRule type="cellIs" dxfId="146" priority="125" operator="equal">
      <formula>"Survivor"</formula>
    </cfRule>
    <cfRule type="cellIs" dxfId="145" priority="126" operator="equal">
      <formula>"Mystic"</formula>
    </cfRule>
  </conditionalFormatting>
  <conditionalFormatting sqref="K384:K388">
    <cfRule type="cellIs" dxfId="144" priority="115" operator="equal">
      <formula>"seeker"</formula>
    </cfRule>
    <cfRule type="cellIs" dxfId="143" priority="116" operator="equal">
      <formula>"neutral"</formula>
    </cfRule>
    <cfRule type="cellIs" dxfId="142" priority="117" operator="equal">
      <formula>"rogue"</formula>
    </cfRule>
    <cfRule type="cellIs" dxfId="141" priority="118" operator="equal">
      <formula>"Guardian"</formula>
    </cfRule>
    <cfRule type="cellIs" dxfId="140" priority="119" operator="equal">
      <formula>"Survivor"</formula>
    </cfRule>
    <cfRule type="cellIs" dxfId="139" priority="120" operator="equal">
      <formula>"Mystic"</formula>
    </cfRule>
  </conditionalFormatting>
  <conditionalFormatting sqref="AM234">
    <cfRule type="cellIs" dxfId="138" priority="109" operator="equal">
      <formula>"Seeker"</formula>
    </cfRule>
    <cfRule type="cellIs" dxfId="137" priority="110" operator="equal">
      <formula>"Neutral"</formula>
    </cfRule>
    <cfRule type="cellIs" dxfId="136" priority="111" operator="equal">
      <formula>"Rogue"</formula>
    </cfRule>
    <cfRule type="cellIs" dxfId="135" priority="112" operator="equal">
      <formula>"Guardian"</formula>
    </cfRule>
    <cfRule type="cellIs" dxfId="134" priority="113" operator="equal">
      <formula>"Survivor"</formula>
    </cfRule>
    <cfRule type="cellIs" dxfId="133" priority="114" operator="equal">
      <formula>"Mystic"</formula>
    </cfRule>
  </conditionalFormatting>
  <conditionalFormatting sqref="K234">
    <cfRule type="cellIs" dxfId="132" priority="103" operator="equal">
      <formula>"seeker"</formula>
    </cfRule>
    <cfRule type="cellIs" dxfId="131" priority="104" operator="equal">
      <formula>"neutral"</formula>
    </cfRule>
    <cfRule type="cellIs" dxfId="130" priority="105" operator="equal">
      <formula>"rogue"</formula>
    </cfRule>
    <cfRule type="cellIs" dxfId="129" priority="106" operator="equal">
      <formula>"Guardian"</formula>
    </cfRule>
    <cfRule type="cellIs" dxfId="128" priority="107" operator="equal">
      <formula>"Survivor"</formula>
    </cfRule>
    <cfRule type="cellIs" dxfId="127" priority="108" operator="equal">
      <formula>"Mystic"</formula>
    </cfRule>
  </conditionalFormatting>
  <conditionalFormatting sqref="K389:K430 AM389:AM430">
    <cfRule type="cellIs" dxfId="126" priority="97" operator="equal">
      <formula>"seeker"</formula>
    </cfRule>
    <cfRule type="cellIs" dxfId="125" priority="98" operator="equal">
      <formula>"neutral"</formula>
    </cfRule>
    <cfRule type="cellIs" dxfId="124" priority="99" operator="equal">
      <formula>"rogue"</formula>
    </cfRule>
    <cfRule type="cellIs" dxfId="123" priority="100" operator="equal">
      <formula>"Guardian"</formula>
    </cfRule>
    <cfRule type="cellIs" dxfId="122" priority="101" operator="equal">
      <formula>"Survivor"</formula>
    </cfRule>
    <cfRule type="cellIs" dxfId="121" priority="102" operator="equal">
      <formula>"Mystic"</formula>
    </cfRule>
  </conditionalFormatting>
  <conditionalFormatting sqref="K431:K467 AM431:AM443 AM451:AM467">
    <cfRule type="cellIs" dxfId="120" priority="91" operator="equal">
      <formula>"seeker"</formula>
    </cfRule>
    <cfRule type="cellIs" dxfId="119" priority="92" operator="equal">
      <formula>"neutral"</formula>
    </cfRule>
    <cfRule type="cellIs" dxfId="118" priority="93" operator="equal">
      <formula>"rogue"</formula>
    </cfRule>
    <cfRule type="cellIs" dxfId="117" priority="94" operator="equal">
      <formula>"Guardian"</formula>
    </cfRule>
    <cfRule type="cellIs" dxfId="116" priority="95" operator="equal">
      <formula>"Survivor"</formula>
    </cfRule>
    <cfRule type="cellIs" dxfId="115" priority="96" operator="equal">
      <formula>"Mystic"</formula>
    </cfRule>
  </conditionalFormatting>
  <conditionalFormatting sqref="AM444:AM450">
    <cfRule type="cellIs" dxfId="114" priority="85" operator="equal">
      <formula>"seeker"</formula>
    </cfRule>
    <cfRule type="cellIs" dxfId="113" priority="86" operator="equal">
      <formula>"neutral"</formula>
    </cfRule>
    <cfRule type="cellIs" dxfId="112" priority="87" operator="equal">
      <formula>"rogue"</formula>
    </cfRule>
    <cfRule type="cellIs" dxfId="111" priority="88" operator="equal">
      <formula>"Guardian"</formula>
    </cfRule>
    <cfRule type="cellIs" dxfId="110" priority="89" operator="equal">
      <formula>"Survivor"</formula>
    </cfRule>
    <cfRule type="cellIs" dxfId="109" priority="90" operator="equal">
      <formula>"Mystic"</formula>
    </cfRule>
  </conditionalFormatting>
  <conditionalFormatting sqref="AL738">
    <cfRule type="cellIs" dxfId="108" priority="49" operator="equal">
      <formula>"Seeker"</formula>
    </cfRule>
    <cfRule type="cellIs" dxfId="107" priority="50" operator="equal">
      <formula>"Neutral"</formula>
    </cfRule>
    <cfRule type="cellIs" dxfId="106" priority="51" operator="equal">
      <formula>"Rogue"</formula>
    </cfRule>
    <cfRule type="cellIs" dxfId="105" priority="52" operator="equal">
      <formula>"Guardian"</formula>
    </cfRule>
    <cfRule type="cellIs" dxfId="104" priority="53" operator="equal">
      <formula>"Survivor"</formula>
    </cfRule>
    <cfRule type="cellIs" dxfId="103" priority="54" operator="equal">
      <formula>"Mystic"</formula>
    </cfRule>
  </conditionalFormatting>
  <conditionalFormatting sqref="AL734 AL739:AL747 AL768:AL774">
    <cfRule type="cellIs" dxfId="102" priority="79" operator="equal">
      <formula>"Seeker"</formula>
    </cfRule>
    <cfRule type="cellIs" dxfId="101" priority="80" operator="equal">
      <formula>"Neutral"</formula>
    </cfRule>
    <cfRule type="cellIs" dxfId="100" priority="81" operator="equal">
      <formula>"Rogue"</formula>
    </cfRule>
    <cfRule type="cellIs" dxfId="99" priority="82" operator="equal">
      <formula>"Guardian"</formula>
    </cfRule>
    <cfRule type="cellIs" dxfId="98" priority="83" operator="equal">
      <formula>"Survivor"</formula>
    </cfRule>
    <cfRule type="cellIs" dxfId="97" priority="84" operator="equal">
      <formula>"Mystic"</formula>
    </cfRule>
  </conditionalFormatting>
  <conditionalFormatting sqref="K734:K774">
    <cfRule type="cellIs" dxfId="96" priority="73" operator="equal">
      <formula>"seeker"</formula>
    </cfRule>
    <cfRule type="cellIs" dxfId="95" priority="74" operator="equal">
      <formula>"neutral"</formula>
    </cfRule>
    <cfRule type="cellIs" dxfId="94" priority="75" operator="equal">
      <formula>"rogue"</formula>
    </cfRule>
    <cfRule type="cellIs" dxfId="93" priority="76" operator="equal">
      <formula>"Guardian"</formula>
    </cfRule>
    <cfRule type="cellIs" dxfId="92" priority="77" operator="equal">
      <formula>"Survivor"</formula>
    </cfRule>
    <cfRule type="cellIs" dxfId="91" priority="78" operator="equal">
      <formula>"Mystic"</formula>
    </cfRule>
  </conditionalFormatting>
  <conditionalFormatting sqref="AL735">
    <cfRule type="cellIs" dxfId="90" priority="67" operator="equal">
      <formula>"Seeker"</formula>
    </cfRule>
    <cfRule type="cellIs" dxfId="89" priority="68" operator="equal">
      <formula>"Neutral"</formula>
    </cfRule>
    <cfRule type="cellIs" dxfId="88" priority="69" operator="equal">
      <formula>"Rogue"</formula>
    </cfRule>
    <cfRule type="cellIs" dxfId="87" priority="70" operator="equal">
      <formula>"Guardian"</formula>
    </cfRule>
    <cfRule type="cellIs" dxfId="86" priority="71" operator="equal">
      <formula>"Survivor"</formula>
    </cfRule>
    <cfRule type="cellIs" dxfId="85" priority="72" operator="equal">
      <formula>"Mystic"</formula>
    </cfRule>
  </conditionalFormatting>
  <conditionalFormatting sqref="AL736">
    <cfRule type="cellIs" dxfId="84" priority="61" operator="equal">
      <formula>"Seeker"</formula>
    </cfRule>
    <cfRule type="cellIs" dxfId="83" priority="62" operator="equal">
      <formula>"Neutral"</formula>
    </cfRule>
    <cfRule type="cellIs" dxfId="82" priority="63" operator="equal">
      <formula>"Rogue"</formula>
    </cfRule>
    <cfRule type="cellIs" dxfId="81" priority="64" operator="equal">
      <formula>"Guardian"</formula>
    </cfRule>
    <cfRule type="cellIs" dxfId="80" priority="65" operator="equal">
      <formula>"Survivor"</formula>
    </cfRule>
    <cfRule type="cellIs" dxfId="79" priority="66" operator="equal">
      <formula>"Mystic"</formula>
    </cfRule>
  </conditionalFormatting>
  <conditionalFormatting sqref="AL737">
    <cfRule type="cellIs" dxfId="78" priority="55" operator="equal">
      <formula>"Seeker"</formula>
    </cfRule>
    <cfRule type="cellIs" dxfId="77" priority="56" operator="equal">
      <formula>"Neutral"</formula>
    </cfRule>
    <cfRule type="cellIs" dxfId="76" priority="57" operator="equal">
      <formula>"Rogue"</formula>
    </cfRule>
    <cfRule type="cellIs" dxfId="75" priority="58" operator="equal">
      <formula>"Guardian"</formula>
    </cfRule>
    <cfRule type="cellIs" dxfId="74" priority="59" operator="equal">
      <formula>"Survivor"</formula>
    </cfRule>
    <cfRule type="cellIs" dxfId="73" priority="60" operator="equal">
      <formula>"Mystic"</formula>
    </cfRule>
  </conditionalFormatting>
  <conditionalFormatting sqref="AM728:AM732">
    <cfRule type="cellIs" dxfId="72" priority="43" operator="equal">
      <formula>"Seeker"</formula>
    </cfRule>
    <cfRule type="cellIs" dxfId="71" priority="44" operator="equal">
      <formula>"Neutral"</formula>
    </cfRule>
    <cfRule type="cellIs" dxfId="70" priority="45" operator="equal">
      <formula>"Rogue"</formula>
    </cfRule>
    <cfRule type="cellIs" dxfId="69" priority="46" operator="equal">
      <formula>"Guardian"</formula>
    </cfRule>
    <cfRule type="cellIs" dxfId="68" priority="47" operator="equal">
      <formula>"Survivor"</formula>
    </cfRule>
    <cfRule type="cellIs" dxfId="67" priority="48" operator="equal">
      <formula>"Mystic"</formula>
    </cfRule>
  </conditionalFormatting>
  <conditionalFormatting sqref="K728:K732">
    <cfRule type="cellIs" dxfId="66" priority="37" operator="equal">
      <formula>"seeker"</formula>
    </cfRule>
    <cfRule type="cellIs" dxfId="65" priority="38" operator="equal">
      <formula>"neutral"</formula>
    </cfRule>
    <cfRule type="cellIs" dxfId="64" priority="39" operator="equal">
      <formula>"rogue"</formula>
    </cfRule>
    <cfRule type="cellIs" dxfId="63" priority="40" operator="equal">
      <formula>"Guardian"</formula>
    </cfRule>
    <cfRule type="cellIs" dxfId="62" priority="41" operator="equal">
      <formula>"Survivor"</formula>
    </cfRule>
    <cfRule type="cellIs" dxfId="61" priority="42" operator="equal">
      <formula>"Mystic"</formula>
    </cfRule>
  </conditionalFormatting>
  <conditionalFormatting sqref="AM733">
    <cfRule type="cellIs" dxfId="60" priority="31" operator="equal">
      <formula>"Seeker"</formula>
    </cfRule>
    <cfRule type="cellIs" dxfId="59" priority="32" operator="equal">
      <formula>"Neutral"</formula>
    </cfRule>
    <cfRule type="cellIs" dxfId="58" priority="33" operator="equal">
      <formula>"Rogue"</formula>
    </cfRule>
    <cfRule type="cellIs" dxfId="57" priority="34" operator="equal">
      <formula>"Guardian"</formula>
    </cfRule>
    <cfRule type="cellIs" dxfId="56" priority="35" operator="equal">
      <formula>"Survivor"</formula>
    </cfRule>
    <cfRule type="cellIs" dxfId="55" priority="36" operator="equal">
      <formula>"Mystic"</formula>
    </cfRule>
  </conditionalFormatting>
  <conditionalFormatting sqref="K733">
    <cfRule type="cellIs" dxfId="54" priority="25" operator="equal">
      <formula>"seeker"</formula>
    </cfRule>
    <cfRule type="cellIs" dxfId="53" priority="26" operator="equal">
      <formula>"neutral"</formula>
    </cfRule>
    <cfRule type="cellIs" dxfId="52" priority="27" operator="equal">
      <formula>"rogue"</formula>
    </cfRule>
    <cfRule type="cellIs" dxfId="51" priority="28" operator="equal">
      <formula>"Guardian"</formula>
    </cfRule>
    <cfRule type="cellIs" dxfId="50" priority="29" operator="equal">
      <formula>"Survivor"</formula>
    </cfRule>
    <cfRule type="cellIs" dxfId="49" priority="30" operator="equal">
      <formula>"Mystic"</formula>
    </cfRule>
  </conditionalFormatting>
  <conditionalFormatting sqref="AM2 AM4:AM6">
    <cfRule type="cellIs" dxfId="48" priority="19" operator="equal">
      <formula>"seeker"</formula>
    </cfRule>
    <cfRule type="cellIs" dxfId="47" priority="20" operator="equal">
      <formula>"neutral"</formula>
    </cfRule>
    <cfRule type="cellIs" dxfId="46" priority="21" operator="equal">
      <formula>"rogue"</formula>
    </cfRule>
    <cfRule type="cellIs" dxfId="45" priority="22" operator="equal">
      <formula>"Guardian"</formula>
    </cfRule>
    <cfRule type="cellIs" dxfId="44" priority="23" operator="equal">
      <formula>"Survivor"</formula>
    </cfRule>
    <cfRule type="cellIs" dxfId="43" priority="24" operator="equal">
      <formula>"Mystic"</formula>
    </cfRule>
  </conditionalFormatting>
  <conditionalFormatting sqref="K7">
    <cfRule type="cellIs" dxfId="11" priority="1" operator="equal">
      <formula>"seeker"</formula>
    </cfRule>
    <cfRule type="cellIs" dxfId="10" priority="2" operator="equal">
      <formula>"neutral"</formula>
    </cfRule>
    <cfRule type="cellIs" dxfId="9" priority="3" operator="equal">
      <formula>"rogue"</formula>
    </cfRule>
    <cfRule type="cellIs" dxfId="8" priority="4" operator="equal">
      <formula>"Guardian"</formula>
    </cfRule>
    <cfRule type="cellIs" dxfId="7" priority="5" operator="equal">
      <formula>"Survivor"</formula>
    </cfRule>
    <cfRule type="cellIs" dxfId="6"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1948</v>
      </c>
      <c r="B2" s="9" t="s">
        <v>51</v>
      </c>
    </row>
    <row r="4" spans="1:3">
      <c r="A4" s="11" t="s">
        <v>2</v>
      </c>
      <c r="B4" s="11" t="s">
        <v>1924</v>
      </c>
      <c r="C4" s="12" t="s">
        <v>143</v>
      </c>
    </row>
    <row r="5" spans="1:3" ht="72">
      <c r="A5" s="3" t="s">
        <v>399</v>
      </c>
      <c r="B5" s="5" t="s">
        <v>1884</v>
      </c>
      <c r="C5" s="3" t="s">
        <v>144</v>
      </c>
    </row>
    <row r="6" spans="1:3" ht="72">
      <c r="A6" s="3" t="s">
        <v>400</v>
      </c>
      <c r="B6" s="5" t="s">
        <v>1885</v>
      </c>
      <c r="C6" s="3" t="s">
        <v>145</v>
      </c>
    </row>
    <row r="7" spans="1:3" ht="60">
      <c r="A7" s="3" t="s">
        <v>401</v>
      </c>
      <c r="B7" s="5" t="s">
        <v>1886</v>
      </c>
      <c r="C7" s="3"/>
    </row>
    <row r="8" spans="1:3" ht="48">
      <c r="A8" s="3" t="s">
        <v>402</v>
      </c>
      <c r="B8" s="5" t="s">
        <v>1968</v>
      </c>
      <c r="C8" s="3"/>
    </row>
    <row r="9" spans="1:3" ht="72">
      <c r="A9" s="3" t="s">
        <v>403</v>
      </c>
      <c r="B9" s="5" t="s">
        <v>1887</v>
      </c>
      <c r="C9" s="3" t="s">
        <v>146</v>
      </c>
    </row>
    <row r="10" spans="1:3" ht="60">
      <c r="A10" s="3" t="s">
        <v>404</v>
      </c>
      <c r="B10" s="5" t="s">
        <v>1888</v>
      </c>
      <c r="C10" s="3" t="s">
        <v>147</v>
      </c>
    </row>
    <row r="11" spans="1:3" ht="72">
      <c r="A11" s="3" t="s">
        <v>405</v>
      </c>
      <c r="B11" s="5" t="s">
        <v>1969</v>
      </c>
      <c r="C11" s="3" t="s">
        <v>148</v>
      </c>
    </row>
    <row r="12" spans="1:3" ht="84">
      <c r="A12" s="3" t="s">
        <v>406</v>
      </c>
      <c r="B12" s="5" t="s">
        <v>1889</v>
      </c>
      <c r="C12" s="3" t="s">
        <v>149</v>
      </c>
    </row>
    <row r="13" spans="1:3" ht="60">
      <c r="A13" s="3" t="s">
        <v>407</v>
      </c>
      <c r="B13" s="5" t="s">
        <v>1970</v>
      </c>
      <c r="C13" s="3" t="s">
        <v>150</v>
      </c>
    </row>
    <row r="14" spans="1:3" ht="72">
      <c r="A14" s="3" t="s">
        <v>408</v>
      </c>
      <c r="B14" s="5" t="s">
        <v>1890</v>
      </c>
      <c r="C14" s="3"/>
    </row>
    <row r="15" spans="1:3" ht="60">
      <c r="A15" s="3" t="s">
        <v>409</v>
      </c>
      <c r="B15" s="5" t="s">
        <v>1891</v>
      </c>
      <c r="C15" s="3" t="s">
        <v>151</v>
      </c>
    </row>
    <row r="16" spans="1:3" ht="60">
      <c r="A16" s="3" t="s">
        <v>410</v>
      </c>
      <c r="B16" s="5" t="s">
        <v>1892</v>
      </c>
      <c r="C16" s="3" t="s">
        <v>152</v>
      </c>
    </row>
    <row r="17" spans="1:3" ht="36">
      <c r="A17" s="3" t="s">
        <v>411</v>
      </c>
      <c r="B17" s="5" t="s">
        <v>1671</v>
      </c>
      <c r="C17" s="3"/>
    </row>
    <row r="18" spans="1:3" ht="60">
      <c r="A18" s="3" t="s">
        <v>412</v>
      </c>
      <c r="B18" s="5" t="s">
        <v>1971</v>
      </c>
      <c r="C18" s="3" t="s">
        <v>153</v>
      </c>
    </row>
    <row r="19" spans="1:3" ht="72">
      <c r="A19" s="3" t="s">
        <v>413</v>
      </c>
      <c r="B19" s="5" t="s">
        <v>1672</v>
      </c>
      <c r="C19" s="3" t="s">
        <v>154</v>
      </c>
    </row>
    <row r="20" spans="1:3" ht="60">
      <c r="A20" s="3" t="s">
        <v>414</v>
      </c>
      <c r="B20" s="5" t="s">
        <v>1673</v>
      </c>
      <c r="C20" s="3" t="s">
        <v>155</v>
      </c>
    </row>
    <row r="21" spans="1:3" ht="48">
      <c r="A21" s="3" t="s">
        <v>415</v>
      </c>
      <c r="B21" s="5" t="s">
        <v>1674</v>
      </c>
      <c r="C21" s="3"/>
    </row>
    <row r="22" spans="1:3" ht="60">
      <c r="A22" s="3" t="s">
        <v>416</v>
      </c>
      <c r="B22" s="5" t="s">
        <v>1675</v>
      </c>
      <c r="C22" s="3" t="s">
        <v>156</v>
      </c>
    </row>
    <row r="23" spans="1:3" ht="60">
      <c r="A23" s="3" t="s">
        <v>417</v>
      </c>
      <c r="B23" s="5" t="s">
        <v>1676</v>
      </c>
      <c r="C23" s="3" t="s">
        <v>157</v>
      </c>
    </row>
    <row r="24" spans="1:3" ht="24">
      <c r="A24" s="3" t="s">
        <v>418</v>
      </c>
      <c r="B24" s="5" t="s">
        <v>1677</v>
      </c>
      <c r="C24" s="3" t="s">
        <v>158</v>
      </c>
    </row>
    <row r="25" spans="1:3" ht="36">
      <c r="A25" s="3" t="s">
        <v>419</v>
      </c>
      <c r="B25" s="5" t="s">
        <v>1678</v>
      </c>
      <c r="C25" s="3" t="s">
        <v>159</v>
      </c>
    </row>
    <row r="26" spans="1:3" ht="36">
      <c r="A26" s="3" t="s">
        <v>420</v>
      </c>
      <c r="B26" s="5" t="s">
        <v>1972</v>
      </c>
      <c r="C26" s="3" t="s">
        <v>160</v>
      </c>
    </row>
    <row r="27" spans="1:3" ht="36">
      <c r="A27" s="3" t="s">
        <v>421</v>
      </c>
      <c r="B27" s="5" t="s">
        <v>1679</v>
      </c>
      <c r="C27" s="3" t="s">
        <v>161</v>
      </c>
    </row>
    <row r="28" spans="1:3" ht="36">
      <c r="A28" s="3" t="s">
        <v>422</v>
      </c>
      <c r="B28" s="5" t="s">
        <v>1680</v>
      </c>
      <c r="C28" s="3" t="s">
        <v>162</v>
      </c>
    </row>
    <row r="29" spans="1:3" ht="24">
      <c r="A29" s="3" t="s">
        <v>423</v>
      </c>
      <c r="B29" s="5" t="s">
        <v>1681</v>
      </c>
      <c r="C29" s="3" t="s">
        <v>163</v>
      </c>
    </row>
    <row r="30" spans="1:3" ht="84">
      <c r="A30" s="3" t="s">
        <v>424</v>
      </c>
      <c r="B30" s="5" t="s">
        <v>1682</v>
      </c>
      <c r="C30" s="3" t="s">
        <v>164</v>
      </c>
    </row>
    <row r="31" spans="1:3" ht="72">
      <c r="A31" s="3" t="s">
        <v>425</v>
      </c>
      <c r="B31" s="5" t="s">
        <v>1973</v>
      </c>
      <c r="C31" s="3" t="s">
        <v>165</v>
      </c>
    </row>
    <row r="32" spans="1:3" ht="36">
      <c r="A32" s="3" t="s">
        <v>426</v>
      </c>
      <c r="B32" s="5" t="s">
        <v>1683</v>
      </c>
      <c r="C32" s="3"/>
    </row>
    <row r="33" spans="1:3" ht="72">
      <c r="A33" s="3" t="s">
        <v>427</v>
      </c>
      <c r="B33" s="5" t="s">
        <v>1684</v>
      </c>
      <c r="C33" s="3" t="s">
        <v>167</v>
      </c>
    </row>
    <row r="34" spans="1:3" ht="48">
      <c r="A34" s="3" t="s">
        <v>428</v>
      </c>
      <c r="B34" s="5" t="s">
        <v>1685</v>
      </c>
      <c r="C34" s="3"/>
    </row>
    <row r="35" spans="1:3" ht="72">
      <c r="A35" s="3" t="s">
        <v>429</v>
      </c>
      <c r="B35" s="5" t="s">
        <v>1974</v>
      </c>
      <c r="C35" s="3" t="s">
        <v>168</v>
      </c>
    </row>
    <row r="36" spans="1:3" ht="36">
      <c r="A36" s="3" t="s">
        <v>430</v>
      </c>
      <c r="B36" s="5" t="s">
        <v>1975</v>
      </c>
      <c r="C36" s="3" t="s">
        <v>169</v>
      </c>
    </row>
    <row r="37" spans="1:3" ht="48">
      <c r="A37" s="3" t="s">
        <v>431</v>
      </c>
      <c r="B37" s="5" t="s">
        <v>1686</v>
      </c>
      <c r="C37" s="3" t="s">
        <v>170</v>
      </c>
    </row>
    <row r="38" spans="1:3" ht="36">
      <c r="A38" s="3" t="s">
        <v>432</v>
      </c>
      <c r="B38" s="5" t="s">
        <v>1687</v>
      </c>
      <c r="C38" s="3" t="s">
        <v>171</v>
      </c>
    </row>
    <row r="39" spans="1:3" ht="48">
      <c r="A39" s="3" t="s">
        <v>433</v>
      </c>
      <c r="B39" s="5" t="s">
        <v>1688</v>
      </c>
      <c r="C39" s="3" t="s">
        <v>172</v>
      </c>
    </row>
    <row r="40" spans="1:3" ht="72">
      <c r="A40" s="3" t="s">
        <v>434</v>
      </c>
      <c r="B40" s="5" t="s">
        <v>1689</v>
      </c>
      <c r="C40" s="3" t="s">
        <v>173</v>
      </c>
    </row>
    <row r="41" spans="1:3" ht="36">
      <c r="A41" s="3" t="s">
        <v>435</v>
      </c>
      <c r="B41" s="5" t="s">
        <v>1690</v>
      </c>
      <c r="C41" s="3" t="s">
        <v>174</v>
      </c>
    </row>
    <row r="42" spans="1:3" ht="60">
      <c r="A42" s="3" t="s">
        <v>436</v>
      </c>
      <c r="B42" s="5" t="s">
        <v>1691</v>
      </c>
      <c r="C42" s="3" t="s">
        <v>175</v>
      </c>
    </row>
    <row r="43" spans="1:3" ht="84">
      <c r="A43" s="3" t="s">
        <v>437</v>
      </c>
      <c r="B43" s="5" t="s">
        <v>1976</v>
      </c>
      <c r="C43" s="3" t="s">
        <v>176</v>
      </c>
    </row>
    <row r="44" spans="1:3" ht="48">
      <c r="A44" s="3" t="s">
        <v>438</v>
      </c>
      <c r="B44" s="5" t="s">
        <v>1692</v>
      </c>
      <c r="C44" s="3" t="s">
        <v>177</v>
      </c>
    </row>
    <row r="45" spans="1:3" ht="60">
      <c r="A45" s="3" t="s">
        <v>439</v>
      </c>
      <c r="B45" s="5" t="s">
        <v>1977</v>
      </c>
      <c r="C45" s="3"/>
    </row>
    <row r="46" spans="1:3" ht="60">
      <c r="A46" s="3" t="s">
        <v>440</v>
      </c>
      <c r="B46" s="5" t="s">
        <v>1693</v>
      </c>
      <c r="C46" s="3" t="s">
        <v>178</v>
      </c>
    </row>
    <row r="47" spans="1:3" ht="60">
      <c r="A47" s="3" t="s">
        <v>441</v>
      </c>
      <c r="B47" s="5" t="s">
        <v>1694</v>
      </c>
      <c r="C47" s="3" t="s">
        <v>179</v>
      </c>
    </row>
    <row r="48" spans="1:3" ht="60">
      <c r="A48" s="3" t="s">
        <v>442</v>
      </c>
      <c r="B48" s="5" t="s">
        <v>1695</v>
      </c>
      <c r="C48" s="3" t="s">
        <v>180</v>
      </c>
    </row>
    <row r="49" spans="1:3" ht="60">
      <c r="A49" s="3" t="s">
        <v>443</v>
      </c>
      <c r="B49" s="5" t="s">
        <v>1696</v>
      </c>
      <c r="C49" s="3" t="s">
        <v>181</v>
      </c>
    </row>
    <row r="50" spans="1:3" ht="36">
      <c r="A50" s="3" t="s">
        <v>444</v>
      </c>
      <c r="B50" s="5" t="s">
        <v>1697</v>
      </c>
      <c r="C50" s="3"/>
    </row>
    <row r="51" spans="1:3" ht="36">
      <c r="A51" s="3" t="s">
        <v>445</v>
      </c>
      <c r="B51" s="5" t="s">
        <v>1978</v>
      </c>
      <c r="C51" s="3" t="s">
        <v>182</v>
      </c>
    </row>
    <row r="52" spans="1:3" ht="24">
      <c r="A52" s="3" t="s">
        <v>446</v>
      </c>
      <c r="B52" s="5" t="s">
        <v>1698</v>
      </c>
      <c r="C52" s="3"/>
    </row>
    <row r="53" spans="1:3" ht="36">
      <c r="A53" s="3" t="s">
        <v>447</v>
      </c>
      <c r="B53" s="5" t="s">
        <v>1699</v>
      </c>
      <c r="C53" s="3" t="s">
        <v>183</v>
      </c>
    </row>
    <row r="54" spans="1:3" ht="36">
      <c r="A54" s="3" t="s">
        <v>448</v>
      </c>
      <c r="B54" s="5" t="s">
        <v>1700</v>
      </c>
      <c r="C54" s="3" t="s">
        <v>184</v>
      </c>
    </row>
    <row r="55" spans="1:3" ht="48">
      <c r="A55" s="3" t="s">
        <v>449</v>
      </c>
      <c r="B55" s="5" t="s">
        <v>1701</v>
      </c>
      <c r="C55" s="3" t="s">
        <v>185</v>
      </c>
    </row>
    <row r="56" spans="1:3" ht="36">
      <c r="A56" s="3" t="s">
        <v>450</v>
      </c>
      <c r="B56" s="5" t="s">
        <v>1702</v>
      </c>
      <c r="C56" s="3" t="s">
        <v>186</v>
      </c>
    </row>
    <row r="57" spans="1:3" ht="24">
      <c r="A57" s="3" t="s">
        <v>451</v>
      </c>
      <c r="B57" s="5" t="s">
        <v>1979</v>
      </c>
      <c r="C57" s="3" t="s">
        <v>187</v>
      </c>
    </row>
    <row r="58" spans="1:3" ht="36">
      <c r="A58" s="3" t="s">
        <v>452</v>
      </c>
      <c r="B58" s="5" t="s">
        <v>1703</v>
      </c>
      <c r="C58" s="3" t="s">
        <v>188</v>
      </c>
    </row>
    <row r="59" spans="1:3" ht="48">
      <c r="A59" s="3" t="s">
        <v>453</v>
      </c>
      <c r="B59" s="5" t="s">
        <v>1980</v>
      </c>
      <c r="C59" s="3"/>
    </row>
    <row r="60" spans="1:3" ht="48">
      <c r="A60" s="3" t="s">
        <v>454</v>
      </c>
      <c r="B60" s="5" t="s">
        <v>1981</v>
      </c>
      <c r="C60" s="3" t="s">
        <v>189</v>
      </c>
    </row>
    <row r="61" spans="1:3" ht="48">
      <c r="A61" s="3" t="s">
        <v>455</v>
      </c>
      <c r="B61" s="5" t="s">
        <v>1704</v>
      </c>
      <c r="C61" s="3" t="s">
        <v>190</v>
      </c>
    </row>
    <row r="62" spans="1:3" ht="60">
      <c r="A62" s="3" t="s">
        <v>456</v>
      </c>
      <c r="B62" s="5" t="s">
        <v>1705</v>
      </c>
      <c r="C62" s="3" t="s">
        <v>191</v>
      </c>
    </row>
    <row r="63" spans="1:3" ht="60">
      <c r="A63" s="3" t="s">
        <v>457</v>
      </c>
      <c r="B63" s="5" t="s">
        <v>1706</v>
      </c>
      <c r="C63" s="3" t="s">
        <v>192</v>
      </c>
    </row>
    <row r="64" spans="1:3" ht="60">
      <c r="A64" s="3" t="s">
        <v>458</v>
      </c>
      <c r="B64" s="5" t="s">
        <v>1707</v>
      </c>
      <c r="C64" s="3"/>
    </row>
    <row r="65" spans="1:3" ht="60">
      <c r="A65" s="3" t="s">
        <v>459</v>
      </c>
      <c r="B65" s="5" t="s">
        <v>1708</v>
      </c>
      <c r="C65" s="3" t="s">
        <v>193</v>
      </c>
    </row>
    <row r="66" spans="1:3" ht="60">
      <c r="A66" s="3" t="s">
        <v>460</v>
      </c>
      <c r="B66" s="5" t="s">
        <v>1709</v>
      </c>
      <c r="C66" s="3"/>
    </row>
    <row r="67" spans="1:3" ht="48">
      <c r="A67" s="3" t="s">
        <v>461</v>
      </c>
      <c r="B67" s="5" t="s">
        <v>1710</v>
      </c>
      <c r="C67" s="3" t="s">
        <v>191</v>
      </c>
    </row>
    <row r="68" spans="1:3" ht="24">
      <c r="A68" s="3" t="s">
        <v>462</v>
      </c>
      <c r="B68" s="5" t="s">
        <v>1711</v>
      </c>
      <c r="C68" s="3"/>
    </row>
    <row r="69" spans="1:3" ht="36">
      <c r="A69" s="3" t="s">
        <v>463</v>
      </c>
      <c r="B69" s="5" t="s">
        <v>1982</v>
      </c>
      <c r="C69" s="3"/>
    </row>
    <row r="70" spans="1:3" ht="36">
      <c r="A70" s="3" t="s">
        <v>464</v>
      </c>
      <c r="B70" s="5" t="s">
        <v>1983</v>
      </c>
      <c r="C70" s="3"/>
    </row>
    <row r="71" spans="1:3" ht="48">
      <c r="A71" s="3" t="s">
        <v>465</v>
      </c>
      <c r="B71" s="5" t="s">
        <v>1712</v>
      </c>
      <c r="C71" s="3" t="s">
        <v>194</v>
      </c>
    </row>
    <row r="72" spans="1:3" ht="36">
      <c r="A72" s="3" t="s">
        <v>466</v>
      </c>
      <c r="B72" s="5" t="s">
        <v>1713</v>
      </c>
      <c r="C72" s="3" t="s">
        <v>195</v>
      </c>
    </row>
    <row r="73" spans="1:3" ht="48">
      <c r="A73" s="3" t="s">
        <v>467</v>
      </c>
      <c r="B73" s="5" t="s">
        <v>1714</v>
      </c>
      <c r="C73" s="3" t="s">
        <v>196</v>
      </c>
    </row>
    <row r="74" spans="1:3" ht="60">
      <c r="A74" s="3" t="s">
        <v>468</v>
      </c>
      <c r="B74" s="5" t="s">
        <v>1984</v>
      </c>
      <c r="C74" s="3" t="s">
        <v>197</v>
      </c>
    </row>
    <row r="75" spans="1:3" ht="60">
      <c r="A75" s="3" t="s">
        <v>469</v>
      </c>
      <c r="B75" s="5" t="s">
        <v>1985</v>
      </c>
      <c r="C75" s="3" t="s">
        <v>198</v>
      </c>
    </row>
    <row r="76" spans="1:3" ht="60">
      <c r="A76" s="3" t="s">
        <v>470</v>
      </c>
      <c r="B76" s="5" t="s">
        <v>1715</v>
      </c>
      <c r="C76" s="3" t="s">
        <v>191</v>
      </c>
    </row>
    <row r="77" spans="1:3" ht="72">
      <c r="A77" s="3" t="s">
        <v>471</v>
      </c>
      <c r="B77" s="5" t="s">
        <v>1716</v>
      </c>
      <c r="C77" s="3" t="s">
        <v>199</v>
      </c>
    </row>
    <row r="78" spans="1:3" ht="96">
      <c r="A78" s="3" t="s">
        <v>472</v>
      </c>
      <c r="B78" s="5" t="s">
        <v>2124</v>
      </c>
      <c r="C78" s="3" t="s">
        <v>200</v>
      </c>
    </row>
    <row r="79" spans="1:3" ht="108">
      <c r="A79" s="3" t="s">
        <v>473</v>
      </c>
      <c r="B79" s="5" t="s">
        <v>2125</v>
      </c>
      <c r="C79" s="3" t="s">
        <v>201</v>
      </c>
    </row>
    <row r="80" spans="1:3" ht="96">
      <c r="A80" s="3" t="s">
        <v>474</v>
      </c>
      <c r="B80" s="5" t="s">
        <v>2126</v>
      </c>
      <c r="C80" s="3"/>
    </row>
    <row r="81" spans="1:3" ht="60">
      <c r="A81" s="3" t="s">
        <v>475</v>
      </c>
      <c r="B81" s="5" t="s">
        <v>3031</v>
      </c>
      <c r="C81" s="3"/>
    </row>
    <row r="82" spans="1:3" ht="120">
      <c r="A82" s="3" t="s">
        <v>476</v>
      </c>
      <c r="B82" s="5" t="s">
        <v>3032</v>
      </c>
      <c r="C82" s="3" t="s">
        <v>202</v>
      </c>
    </row>
    <row r="83" spans="1:3" ht="36">
      <c r="A83" s="3" t="s">
        <v>477</v>
      </c>
      <c r="B83" s="5" t="s">
        <v>2127</v>
      </c>
      <c r="C83" s="3"/>
    </row>
    <row r="84" spans="1:3" ht="72">
      <c r="A84" s="3" t="s">
        <v>478</v>
      </c>
      <c r="B84" s="5" t="s">
        <v>2128</v>
      </c>
      <c r="C84" s="3" t="s">
        <v>203</v>
      </c>
    </row>
    <row r="85" spans="1:3" ht="96">
      <c r="A85" s="3" t="s">
        <v>479</v>
      </c>
      <c r="B85" s="5" t="s">
        <v>2129</v>
      </c>
      <c r="C85" s="3" t="s">
        <v>204</v>
      </c>
    </row>
    <row r="86" spans="1:3" ht="84">
      <c r="A86" s="3" t="s">
        <v>480</v>
      </c>
      <c r="B86" s="5" t="s">
        <v>2130</v>
      </c>
      <c r="C86" s="3" t="s">
        <v>205</v>
      </c>
    </row>
    <row r="87" spans="1:3" ht="108">
      <c r="A87" s="3" t="s">
        <v>481</v>
      </c>
      <c r="B87" s="5" t="s">
        <v>2131</v>
      </c>
      <c r="C87" s="3" t="s">
        <v>206</v>
      </c>
    </row>
    <row r="88" spans="1:3" ht="72">
      <c r="A88" s="3" t="s">
        <v>482</v>
      </c>
      <c r="B88" s="5" t="s">
        <v>2132</v>
      </c>
      <c r="C88" s="3" t="s">
        <v>207</v>
      </c>
    </row>
    <row r="89" spans="1:3" ht="84">
      <c r="A89" s="3" t="s">
        <v>483</v>
      </c>
      <c r="B89" s="5" t="s">
        <v>2133</v>
      </c>
      <c r="C89" s="3"/>
    </row>
    <row r="90" spans="1:3" ht="60">
      <c r="A90" s="3" t="s">
        <v>484</v>
      </c>
      <c r="B90" s="5" t="s">
        <v>2134</v>
      </c>
      <c r="C90" s="3" t="s">
        <v>208</v>
      </c>
    </row>
    <row r="91" spans="1:3" ht="60">
      <c r="A91" s="3" t="s">
        <v>485</v>
      </c>
      <c r="B91" s="5" t="s">
        <v>3033</v>
      </c>
      <c r="C91" s="3" t="s">
        <v>209</v>
      </c>
    </row>
    <row r="92" spans="1:3" ht="60">
      <c r="A92" s="3" t="s">
        <v>486</v>
      </c>
      <c r="B92" s="5" t="s">
        <v>3034</v>
      </c>
      <c r="C92" s="3"/>
    </row>
    <row r="93" spans="1:3" ht="84">
      <c r="A93" s="3" t="s">
        <v>487</v>
      </c>
      <c r="B93" s="5" t="s">
        <v>2135</v>
      </c>
      <c r="C93" s="3" t="s">
        <v>210</v>
      </c>
    </row>
    <row r="94" spans="1:3" ht="84">
      <c r="A94" s="3" t="s">
        <v>488</v>
      </c>
      <c r="B94" s="5" t="s">
        <v>2136</v>
      </c>
      <c r="C94" s="3" t="s">
        <v>211</v>
      </c>
    </row>
    <row r="95" spans="1:3" ht="60">
      <c r="A95" s="3" t="s">
        <v>489</v>
      </c>
      <c r="B95" s="5" t="s">
        <v>2137</v>
      </c>
      <c r="C95" s="3" t="s">
        <v>212</v>
      </c>
    </row>
    <row r="96" spans="1:3" ht="84">
      <c r="A96" s="3" t="s">
        <v>490</v>
      </c>
      <c r="B96" s="5" t="s">
        <v>2138</v>
      </c>
      <c r="C96" s="3" t="s">
        <v>213</v>
      </c>
    </row>
    <row r="97" spans="1:3" ht="24">
      <c r="A97" s="3" t="s">
        <v>491</v>
      </c>
      <c r="B97" s="5" t="s">
        <v>2139</v>
      </c>
      <c r="C97" s="3" t="s">
        <v>214</v>
      </c>
    </row>
    <row r="98" spans="1:3" ht="60">
      <c r="A98" s="3" t="s">
        <v>492</v>
      </c>
      <c r="B98" s="5" t="s">
        <v>3035</v>
      </c>
      <c r="C98" s="3" t="s">
        <v>215</v>
      </c>
    </row>
    <row r="99" spans="1:3" ht="60">
      <c r="A99" s="3" t="s">
        <v>493</v>
      </c>
      <c r="B99" s="5" t="s">
        <v>3036</v>
      </c>
      <c r="C99" s="3" t="s">
        <v>216</v>
      </c>
    </row>
    <row r="100" spans="1:3" ht="84">
      <c r="A100" s="3" t="s">
        <v>494</v>
      </c>
      <c r="B100" s="5" t="s">
        <v>2140</v>
      </c>
      <c r="C100" s="3" t="s">
        <v>217</v>
      </c>
    </row>
    <row r="101" spans="1:3" ht="60">
      <c r="A101" s="3" t="s">
        <v>495</v>
      </c>
      <c r="B101" s="5" t="s">
        <v>2141</v>
      </c>
      <c r="C101" s="3"/>
    </row>
    <row r="102" spans="1:3" ht="72">
      <c r="A102" s="3" t="s">
        <v>496</v>
      </c>
      <c r="B102" s="5" t="s">
        <v>2142</v>
      </c>
      <c r="C102" s="3" t="s">
        <v>218</v>
      </c>
    </row>
    <row r="103" spans="1:3" ht="60">
      <c r="A103" s="3" t="s">
        <v>497</v>
      </c>
      <c r="B103" s="5" t="s">
        <v>3037</v>
      </c>
      <c r="C103" s="3"/>
    </row>
    <row r="104" spans="1:3" ht="60">
      <c r="A104" s="3" t="s">
        <v>498</v>
      </c>
      <c r="B104" s="5" t="s">
        <v>3038</v>
      </c>
      <c r="C104" s="3"/>
    </row>
    <row r="105" spans="1:3" ht="84">
      <c r="A105" s="3" t="s">
        <v>499</v>
      </c>
      <c r="B105" s="5" t="s">
        <v>2143</v>
      </c>
      <c r="C105" s="3" t="s">
        <v>219</v>
      </c>
    </row>
    <row r="106" spans="1:3" ht="120">
      <c r="A106" s="3" t="s">
        <v>500</v>
      </c>
      <c r="B106" s="5" t="s">
        <v>2144</v>
      </c>
      <c r="C106" s="3" t="s">
        <v>220</v>
      </c>
    </row>
    <row r="107" spans="1:3" ht="96">
      <c r="A107" s="3" t="s">
        <v>501</v>
      </c>
      <c r="B107" s="5" t="s">
        <v>2145</v>
      </c>
      <c r="C107" s="3"/>
    </row>
    <row r="108" spans="1:3" ht="72">
      <c r="A108" s="3" t="s">
        <v>502</v>
      </c>
      <c r="B108" s="5" t="s">
        <v>2146</v>
      </c>
      <c r="C108" s="3"/>
    </row>
    <row r="109" spans="1:3" ht="84">
      <c r="A109" s="3" t="s">
        <v>503</v>
      </c>
      <c r="B109" s="5" t="s">
        <v>2147</v>
      </c>
      <c r="C109" s="3" t="s">
        <v>221</v>
      </c>
    </row>
    <row r="110" spans="1:3" ht="48">
      <c r="A110" s="3" t="s">
        <v>504</v>
      </c>
      <c r="B110" s="5" t="s">
        <v>3039</v>
      </c>
      <c r="C110" s="3"/>
    </row>
    <row r="111" spans="1:3" ht="84">
      <c r="A111" s="3" t="s">
        <v>505</v>
      </c>
      <c r="B111" s="5" t="s">
        <v>3040</v>
      </c>
      <c r="C111" s="3" t="s">
        <v>222</v>
      </c>
    </row>
    <row r="112" spans="1:3" ht="108">
      <c r="A112" s="3" t="s">
        <v>506</v>
      </c>
      <c r="B112" s="5" t="s">
        <v>2148</v>
      </c>
      <c r="C112" s="3" t="s">
        <v>223</v>
      </c>
    </row>
    <row r="113" spans="1:3" ht="120">
      <c r="A113" s="3" t="s">
        <v>507</v>
      </c>
      <c r="B113" s="5" t="s">
        <v>2149</v>
      </c>
      <c r="C113" s="3" t="s">
        <v>224</v>
      </c>
    </row>
    <row r="114" spans="1:3" ht="120">
      <c r="A114" s="3" t="s">
        <v>508</v>
      </c>
      <c r="B114" s="5" t="s">
        <v>2150</v>
      </c>
      <c r="C114" s="3" t="s">
        <v>225</v>
      </c>
    </row>
    <row r="115" spans="1:3" ht="84">
      <c r="A115" s="3" t="s">
        <v>509</v>
      </c>
      <c r="B115" s="5" t="s">
        <v>2151</v>
      </c>
      <c r="C115" s="3" t="s">
        <v>226</v>
      </c>
    </row>
    <row r="116" spans="1:3" ht="60">
      <c r="A116" s="3" t="s">
        <v>510</v>
      </c>
      <c r="B116" s="5" t="s">
        <v>2152</v>
      </c>
      <c r="C116" s="3"/>
    </row>
    <row r="117" spans="1:3" ht="60">
      <c r="A117" s="3" t="s">
        <v>511</v>
      </c>
      <c r="B117" s="5" t="s">
        <v>3041</v>
      </c>
      <c r="C117" s="3" t="s">
        <v>227</v>
      </c>
    </row>
    <row r="118" spans="1:3" ht="84">
      <c r="A118" s="3" t="s">
        <v>512</v>
      </c>
      <c r="B118" s="5" t="s">
        <v>3042</v>
      </c>
      <c r="C118" s="3"/>
    </row>
    <row r="119" spans="1:3" ht="96">
      <c r="A119" s="3" t="s">
        <v>513</v>
      </c>
      <c r="B119" s="5" t="s">
        <v>2153</v>
      </c>
      <c r="C119" s="3" t="s">
        <v>228</v>
      </c>
    </row>
    <row r="120" spans="1:3" ht="36">
      <c r="A120" s="3" t="s">
        <v>514</v>
      </c>
      <c r="B120" s="5" t="s">
        <v>2154</v>
      </c>
      <c r="C120" s="3"/>
    </row>
    <row r="121" spans="1:3" ht="72">
      <c r="A121" s="3" t="s">
        <v>515</v>
      </c>
      <c r="B121" s="5" t="s">
        <v>2155</v>
      </c>
      <c r="C121" s="3"/>
    </row>
    <row r="122" spans="1:3" ht="48">
      <c r="A122" s="3" t="s">
        <v>516</v>
      </c>
      <c r="B122" s="5" t="s">
        <v>2156</v>
      </c>
      <c r="C122" s="3" t="s">
        <v>229</v>
      </c>
    </row>
    <row r="123" spans="1:3" ht="48">
      <c r="A123" s="3" t="s">
        <v>3707</v>
      </c>
      <c r="B123" s="5" t="s">
        <v>3303</v>
      </c>
      <c r="C123" s="3"/>
    </row>
    <row r="124" spans="1:3" ht="36">
      <c r="A124" s="3" t="s">
        <v>3708</v>
      </c>
      <c r="B124" s="5" t="s">
        <v>3304</v>
      </c>
      <c r="C124" s="3"/>
    </row>
    <row r="125" spans="1:3" ht="84">
      <c r="A125" s="3" t="s">
        <v>3709</v>
      </c>
      <c r="B125" s="5" t="s">
        <v>3305</v>
      </c>
      <c r="C125" s="3" t="s">
        <v>230</v>
      </c>
    </row>
    <row r="126" spans="1:3" ht="36">
      <c r="A126" s="3" t="s">
        <v>3710</v>
      </c>
      <c r="B126" s="5" t="s">
        <v>3306</v>
      </c>
      <c r="C126" s="3" t="s">
        <v>231</v>
      </c>
    </row>
    <row r="127" spans="1:3" ht="204">
      <c r="A127" s="3" t="s">
        <v>3711</v>
      </c>
      <c r="B127" s="5" t="s">
        <v>3307</v>
      </c>
      <c r="C127" s="3" t="s">
        <v>232</v>
      </c>
    </row>
    <row r="128" spans="1:3" ht="144">
      <c r="A128" s="3" t="s">
        <v>3712</v>
      </c>
      <c r="B128" s="5" t="s">
        <v>3308</v>
      </c>
      <c r="C128" s="3" t="s">
        <v>233</v>
      </c>
    </row>
    <row r="129" spans="1:3" ht="108">
      <c r="A129" s="3" t="s">
        <v>3713</v>
      </c>
      <c r="B129" s="5" t="s">
        <v>3309</v>
      </c>
      <c r="C129" s="3" t="s">
        <v>234</v>
      </c>
    </row>
    <row r="130" spans="1:3" ht="108">
      <c r="A130" s="3" t="s">
        <v>3714</v>
      </c>
      <c r="B130" s="5" t="s">
        <v>3310</v>
      </c>
      <c r="C130" s="3" t="s">
        <v>235</v>
      </c>
    </row>
    <row r="131" spans="1:3" ht="60">
      <c r="A131" s="3" t="s">
        <v>3715</v>
      </c>
      <c r="B131" s="5" t="s">
        <v>3311</v>
      </c>
      <c r="C131" s="3" t="s">
        <v>236</v>
      </c>
    </row>
    <row r="132" spans="1:3" ht="108">
      <c r="A132" s="3" t="s">
        <v>3716</v>
      </c>
      <c r="B132" s="5" t="s">
        <v>3312</v>
      </c>
      <c r="C132" s="3" t="s">
        <v>237</v>
      </c>
    </row>
    <row r="133" spans="1:3" ht="48">
      <c r="A133" s="3" t="s">
        <v>517</v>
      </c>
      <c r="B133" s="5" t="s">
        <v>1893</v>
      </c>
      <c r="C133" s="3"/>
    </row>
    <row r="134" spans="1:3" ht="84">
      <c r="A134" s="3" t="s">
        <v>518</v>
      </c>
      <c r="B134" s="5" t="s">
        <v>1986</v>
      </c>
      <c r="C134" s="3"/>
    </row>
    <row r="135" spans="1:3" ht="24">
      <c r="A135" s="3" t="s">
        <v>519</v>
      </c>
      <c r="B135" s="5" t="s">
        <v>1717</v>
      </c>
      <c r="C135" s="3"/>
    </row>
    <row r="136" spans="1:3" ht="96">
      <c r="A136" s="3" t="s">
        <v>520</v>
      </c>
      <c r="B136" s="5" t="s">
        <v>1987</v>
      </c>
      <c r="C136" s="3" t="s">
        <v>238</v>
      </c>
    </row>
    <row r="137" spans="1:3" ht="60">
      <c r="A137" s="3" t="s">
        <v>521</v>
      </c>
      <c r="B137" s="5" t="s">
        <v>1718</v>
      </c>
      <c r="C137" s="3" t="s">
        <v>239</v>
      </c>
    </row>
    <row r="138" spans="1:3" ht="60">
      <c r="A138" s="3" t="s">
        <v>522</v>
      </c>
      <c r="B138" s="5" t="s">
        <v>1719</v>
      </c>
      <c r="C138" s="3" t="s">
        <v>240</v>
      </c>
    </row>
    <row r="139" spans="1:3" ht="48">
      <c r="A139" s="3" t="s">
        <v>523</v>
      </c>
      <c r="B139" s="5" t="s">
        <v>1720</v>
      </c>
      <c r="C139" s="3"/>
    </row>
    <row r="140" spans="1:3" ht="72">
      <c r="A140" s="3" t="s">
        <v>524</v>
      </c>
      <c r="B140" s="5" t="s">
        <v>1721</v>
      </c>
      <c r="C140" s="3" t="s">
        <v>241</v>
      </c>
    </row>
    <row r="141" spans="1:3" ht="60">
      <c r="A141" s="3" t="s">
        <v>525</v>
      </c>
      <c r="B141" s="5" t="s">
        <v>1722</v>
      </c>
      <c r="C141" s="3" t="s">
        <v>242</v>
      </c>
    </row>
    <row r="142" spans="1:3" ht="48">
      <c r="A142" s="3" t="s">
        <v>526</v>
      </c>
      <c r="B142" s="5" t="s">
        <v>1988</v>
      </c>
      <c r="C142" s="3" t="s">
        <v>243</v>
      </c>
    </row>
    <row r="143" spans="1:3" ht="84">
      <c r="A143" s="3" t="s">
        <v>3717</v>
      </c>
      <c r="B143" s="5" t="s">
        <v>3313</v>
      </c>
      <c r="C143" s="3" t="s">
        <v>244</v>
      </c>
    </row>
    <row r="144" spans="1:3" ht="48">
      <c r="A144" s="3" t="s">
        <v>3718</v>
      </c>
      <c r="B144" s="5" t="s">
        <v>3314</v>
      </c>
      <c r="C144" s="3" t="s">
        <v>245</v>
      </c>
    </row>
    <row r="145" spans="1:3" ht="96">
      <c r="A145" s="3" t="s">
        <v>3719</v>
      </c>
      <c r="B145" s="5" t="s">
        <v>3315</v>
      </c>
      <c r="C145" s="3" t="s">
        <v>246</v>
      </c>
    </row>
    <row r="146" spans="1:3" ht="108">
      <c r="A146" s="3" t="s">
        <v>527</v>
      </c>
      <c r="B146" s="5" t="s">
        <v>2157</v>
      </c>
      <c r="C146" s="3"/>
    </row>
    <row r="147" spans="1:3" ht="72">
      <c r="A147" s="3" t="s">
        <v>528</v>
      </c>
      <c r="B147" s="5" t="s">
        <v>3043</v>
      </c>
      <c r="C147" s="3" t="s">
        <v>247</v>
      </c>
    </row>
    <row r="148" spans="1:3" ht="60">
      <c r="A148" s="3" t="s">
        <v>529</v>
      </c>
      <c r="B148" s="5" t="s">
        <v>3044</v>
      </c>
      <c r="C148" s="3"/>
    </row>
    <row r="149" spans="1:3" ht="96">
      <c r="A149" s="3" t="s">
        <v>530</v>
      </c>
      <c r="B149" s="5" t="s">
        <v>3045</v>
      </c>
      <c r="C149" s="3"/>
    </row>
    <row r="150" spans="1:3" ht="96">
      <c r="A150" s="3" t="s">
        <v>531</v>
      </c>
      <c r="B150" s="5" t="s">
        <v>3046</v>
      </c>
      <c r="C150" s="3" t="s">
        <v>248</v>
      </c>
    </row>
    <row r="151" spans="1:3" ht="96">
      <c r="A151" s="3" t="s">
        <v>532</v>
      </c>
      <c r="B151" s="5" t="s">
        <v>3047</v>
      </c>
      <c r="C151" s="3"/>
    </row>
    <row r="152" spans="1:3" ht="72">
      <c r="A152" s="3" t="s">
        <v>533</v>
      </c>
      <c r="B152" s="5" t="s">
        <v>2158</v>
      </c>
      <c r="C152" s="3"/>
    </row>
    <row r="153" spans="1:3" ht="84">
      <c r="A153" s="3" t="s">
        <v>534</v>
      </c>
      <c r="B153" s="5" t="s">
        <v>2159</v>
      </c>
      <c r="C153" s="3"/>
    </row>
    <row r="154" spans="1:3" ht="48">
      <c r="A154" s="3" t="s">
        <v>535</v>
      </c>
      <c r="B154" s="5" t="s">
        <v>2160</v>
      </c>
      <c r="C154" s="3"/>
    </row>
    <row r="155" spans="1:3" ht="84">
      <c r="A155" s="3" t="s">
        <v>536</v>
      </c>
      <c r="B155" s="5" t="s">
        <v>2161</v>
      </c>
      <c r="C155" s="3"/>
    </row>
    <row r="156" spans="1:3" ht="60">
      <c r="A156" s="3" t="s">
        <v>537</v>
      </c>
      <c r="B156" s="5" t="s">
        <v>2162</v>
      </c>
      <c r="C156" s="3"/>
    </row>
    <row r="157" spans="1:3" ht="72">
      <c r="A157" s="3" t="s">
        <v>538</v>
      </c>
      <c r="B157" s="5" t="s">
        <v>1894</v>
      </c>
      <c r="C157" s="3" t="s">
        <v>249</v>
      </c>
    </row>
    <row r="158" spans="1:3" ht="84">
      <c r="A158" s="3" t="s">
        <v>539</v>
      </c>
      <c r="B158" s="5" t="s">
        <v>1989</v>
      </c>
      <c r="C158" s="3"/>
    </row>
    <row r="159" spans="1:3" ht="36">
      <c r="A159" s="3" t="s">
        <v>540</v>
      </c>
      <c r="B159" s="5" t="s">
        <v>1723</v>
      </c>
      <c r="C159" s="3" t="s">
        <v>250</v>
      </c>
    </row>
    <row r="160" spans="1:3" ht="60">
      <c r="A160" s="3" t="s">
        <v>541</v>
      </c>
      <c r="B160" s="5" t="s">
        <v>1724</v>
      </c>
      <c r="C160" s="3"/>
    </row>
    <row r="161" spans="1:3" ht="60">
      <c r="A161" s="3" t="s">
        <v>542</v>
      </c>
      <c r="B161" s="5" t="s">
        <v>1725</v>
      </c>
      <c r="C161" s="3" t="s">
        <v>251</v>
      </c>
    </row>
    <row r="162" spans="1:3" ht="60">
      <c r="A162" s="3" t="s">
        <v>543</v>
      </c>
      <c r="B162" s="5" t="s">
        <v>1726</v>
      </c>
      <c r="C162" s="3" t="s">
        <v>252</v>
      </c>
    </row>
    <row r="163" spans="1:3" ht="48">
      <c r="A163" s="3" t="s">
        <v>544</v>
      </c>
      <c r="B163" s="5" t="s">
        <v>1727</v>
      </c>
      <c r="C163" s="3"/>
    </row>
    <row r="164" spans="1:3" ht="60">
      <c r="A164" s="3" t="s">
        <v>545</v>
      </c>
      <c r="B164" s="5" t="s">
        <v>1990</v>
      </c>
      <c r="C164" s="3"/>
    </row>
    <row r="165" spans="1:3" ht="60">
      <c r="A165" s="3" t="s">
        <v>546</v>
      </c>
      <c r="B165" s="5" t="s">
        <v>1991</v>
      </c>
      <c r="C165" s="3" t="s">
        <v>253</v>
      </c>
    </row>
    <row r="166" spans="1:3" ht="48">
      <c r="A166" s="3" t="s">
        <v>547</v>
      </c>
      <c r="B166" s="5" t="s">
        <v>1992</v>
      </c>
      <c r="C166" s="3" t="s">
        <v>254</v>
      </c>
    </row>
    <row r="167" spans="1:3" ht="96">
      <c r="A167" s="3" t="s">
        <v>3720</v>
      </c>
      <c r="B167" s="5" t="s">
        <v>3316</v>
      </c>
      <c r="C167" s="3" t="s">
        <v>255</v>
      </c>
    </row>
    <row r="168" spans="1:3" ht="72">
      <c r="A168" s="3" t="s">
        <v>3721</v>
      </c>
      <c r="B168" s="5" t="s">
        <v>3317</v>
      </c>
      <c r="C168" s="3" t="s">
        <v>256</v>
      </c>
    </row>
    <row r="169" spans="1:3" ht="120">
      <c r="A169" s="3" t="s">
        <v>548</v>
      </c>
      <c r="B169" s="5" t="s">
        <v>2163</v>
      </c>
      <c r="C169" s="3" t="s">
        <v>257</v>
      </c>
    </row>
    <row r="170" spans="1:3" ht="108">
      <c r="A170" s="3" t="s">
        <v>549</v>
      </c>
      <c r="B170" s="5" t="s">
        <v>2164</v>
      </c>
      <c r="C170" s="3" t="s">
        <v>258</v>
      </c>
    </row>
    <row r="171" spans="1:3" ht="96">
      <c r="A171" s="3" t="s">
        <v>550</v>
      </c>
      <c r="B171" s="5" t="s">
        <v>2165</v>
      </c>
      <c r="C171" s="3"/>
    </row>
    <row r="172" spans="1:3" ht="84">
      <c r="A172" s="3" t="s">
        <v>551</v>
      </c>
      <c r="B172" s="5" t="s">
        <v>2166</v>
      </c>
      <c r="C172" s="3"/>
    </row>
    <row r="173" spans="1:3" ht="96">
      <c r="A173" s="3" t="s">
        <v>552</v>
      </c>
      <c r="B173" s="5" t="s">
        <v>2167</v>
      </c>
      <c r="C173" s="3"/>
    </row>
    <row r="174" spans="1:3" ht="84">
      <c r="A174" s="3" t="s">
        <v>553</v>
      </c>
      <c r="B174" s="5" t="s">
        <v>2168</v>
      </c>
      <c r="C174" s="3" t="s">
        <v>259</v>
      </c>
    </row>
    <row r="175" spans="1:3" ht="108">
      <c r="A175" s="3" t="s">
        <v>554</v>
      </c>
      <c r="B175" s="5" t="s">
        <v>3048</v>
      </c>
      <c r="C175" s="3"/>
    </row>
    <row r="176" spans="1:3" ht="60">
      <c r="A176" s="3" t="s">
        <v>555</v>
      </c>
      <c r="B176" s="5" t="s">
        <v>3049</v>
      </c>
      <c r="C176" s="3"/>
    </row>
    <row r="177" spans="1:3" ht="72">
      <c r="A177" s="3" t="s">
        <v>556</v>
      </c>
      <c r="B177" s="5" t="s">
        <v>3050</v>
      </c>
      <c r="C177" s="3"/>
    </row>
    <row r="178" spans="1:3" ht="60">
      <c r="A178" s="3" t="s">
        <v>557</v>
      </c>
      <c r="B178" s="5" t="s">
        <v>3051</v>
      </c>
      <c r="C178" s="3"/>
    </row>
    <row r="179" spans="1:3" ht="48">
      <c r="A179" s="3" t="s">
        <v>558</v>
      </c>
      <c r="B179" s="5" t="s">
        <v>2169</v>
      </c>
      <c r="C179" s="3"/>
    </row>
    <row r="180" spans="1:3" ht="96">
      <c r="A180" s="3" t="s">
        <v>559</v>
      </c>
      <c r="B180" s="5" t="s">
        <v>2170</v>
      </c>
      <c r="C180" s="3" t="s">
        <v>260</v>
      </c>
    </row>
    <row r="181" spans="1:3" ht="72">
      <c r="A181" s="3" t="s">
        <v>560</v>
      </c>
      <c r="B181" s="5" t="s">
        <v>2171</v>
      </c>
      <c r="C181" s="3"/>
    </row>
    <row r="182" spans="1:3" ht="60">
      <c r="A182" s="3" t="s">
        <v>561</v>
      </c>
      <c r="B182" s="5" t="s">
        <v>1895</v>
      </c>
      <c r="C182" s="3"/>
    </row>
    <row r="183" spans="1:3" ht="84">
      <c r="A183" s="3" t="s">
        <v>562</v>
      </c>
      <c r="B183" s="5" t="s">
        <v>1993</v>
      </c>
      <c r="C183" s="3"/>
    </row>
    <row r="184" spans="1:3" ht="36">
      <c r="A184" s="3" t="s">
        <v>563</v>
      </c>
      <c r="B184" s="5" t="s">
        <v>1994</v>
      </c>
      <c r="C184" s="3" t="s">
        <v>261</v>
      </c>
    </row>
    <row r="185" spans="1:3" ht="108">
      <c r="A185" s="3" t="s">
        <v>564</v>
      </c>
      <c r="B185" s="5" t="s">
        <v>1728</v>
      </c>
      <c r="C185" s="3" t="s">
        <v>262</v>
      </c>
    </row>
    <row r="186" spans="1:3" ht="36">
      <c r="A186" s="3" t="s">
        <v>565</v>
      </c>
      <c r="B186" s="5" t="s">
        <v>1729</v>
      </c>
      <c r="C186" s="3" t="s">
        <v>263</v>
      </c>
    </row>
    <row r="187" spans="1:3" ht="84">
      <c r="A187" s="3" t="s">
        <v>566</v>
      </c>
      <c r="B187" s="5" t="s">
        <v>1995</v>
      </c>
      <c r="C187" s="3" t="s">
        <v>264</v>
      </c>
    </row>
    <row r="188" spans="1:3" ht="60">
      <c r="A188" s="3" t="s">
        <v>567</v>
      </c>
      <c r="B188" s="5" t="s">
        <v>1730</v>
      </c>
      <c r="C188" s="3" t="s">
        <v>265</v>
      </c>
    </row>
    <row r="189" spans="1:3" ht="48">
      <c r="A189" s="3" t="s">
        <v>568</v>
      </c>
      <c r="B189" s="5" t="s">
        <v>1731</v>
      </c>
      <c r="C189" s="3"/>
    </row>
    <row r="190" spans="1:3" ht="36">
      <c r="A190" s="3" t="s">
        <v>569</v>
      </c>
      <c r="B190" s="5" t="s">
        <v>1732</v>
      </c>
      <c r="C190" s="3" t="s">
        <v>266</v>
      </c>
    </row>
    <row r="191" spans="1:3" ht="108">
      <c r="A191" s="3" t="s">
        <v>570</v>
      </c>
      <c r="B191" s="5" t="s">
        <v>1733</v>
      </c>
      <c r="C191" s="3" t="s">
        <v>267</v>
      </c>
    </row>
    <row r="192" spans="1:3" ht="48">
      <c r="A192" s="3" t="s">
        <v>3722</v>
      </c>
      <c r="B192" s="5" t="s">
        <v>3318</v>
      </c>
      <c r="C192" s="3"/>
    </row>
    <row r="193" spans="1:3" ht="108">
      <c r="A193" s="3" t="s">
        <v>3723</v>
      </c>
      <c r="B193" s="5" t="s">
        <v>3319</v>
      </c>
      <c r="C193" s="3" t="s">
        <v>268</v>
      </c>
    </row>
    <row r="194" spans="1:3" ht="84">
      <c r="A194" s="3" t="s">
        <v>3724</v>
      </c>
      <c r="B194" s="5" t="s">
        <v>3320</v>
      </c>
      <c r="C194" s="3" t="s">
        <v>269</v>
      </c>
    </row>
    <row r="195" spans="1:3" ht="60">
      <c r="A195" s="3" t="s">
        <v>571</v>
      </c>
      <c r="B195" s="5" t="s">
        <v>2172</v>
      </c>
      <c r="C195" s="3" t="s">
        <v>270</v>
      </c>
    </row>
    <row r="196" spans="1:3" ht="84">
      <c r="A196" s="3" t="s">
        <v>572</v>
      </c>
      <c r="B196" s="5" t="s">
        <v>2173</v>
      </c>
      <c r="C196" s="3"/>
    </row>
    <row r="197" spans="1:3" ht="120">
      <c r="A197" s="3" t="s">
        <v>573</v>
      </c>
      <c r="B197" s="5" t="s">
        <v>3052</v>
      </c>
      <c r="C197" s="3" t="s">
        <v>271</v>
      </c>
    </row>
    <row r="198" spans="1:3" ht="72">
      <c r="A198" s="3" t="s">
        <v>574</v>
      </c>
      <c r="B198" s="5" t="s">
        <v>3053</v>
      </c>
      <c r="C198" s="3" t="s">
        <v>272</v>
      </c>
    </row>
    <row r="199" spans="1:3" ht="36">
      <c r="A199" s="3" t="s">
        <v>575</v>
      </c>
      <c r="B199" s="5" t="s">
        <v>2174</v>
      </c>
      <c r="C199" s="3"/>
    </row>
    <row r="200" spans="1:3" ht="72">
      <c r="A200" s="3" t="s">
        <v>576</v>
      </c>
      <c r="B200" s="5" t="s">
        <v>2175</v>
      </c>
      <c r="C200" s="3" t="s">
        <v>273</v>
      </c>
    </row>
    <row r="201" spans="1:3" ht="48">
      <c r="A201" s="3" t="s">
        <v>577</v>
      </c>
      <c r="B201" s="5" t="s">
        <v>2176</v>
      </c>
      <c r="C201" s="3"/>
    </row>
    <row r="202" spans="1:3" ht="84">
      <c r="A202" s="3" t="s">
        <v>578</v>
      </c>
      <c r="B202" s="5" t="s">
        <v>2177</v>
      </c>
      <c r="C202" s="3"/>
    </row>
    <row r="203" spans="1:3" ht="84">
      <c r="A203" s="3" t="s">
        <v>579</v>
      </c>
      <c r="B203" s="5" t="s">
        <v>2178</v>
      </c>
      <c r="C203" s="3"/>
    </row>
    <row r="204" spans="1:3" ht="84">
      <c r="A204" s="3" t="s">
        <v>580</v>
      </c>
      <c r="B204" s="5" t="s">
        <v>1896</v>
      </c>
      <c r="C204" s="3" t="s">
        <v>274</v>
      </c>
    </row>
    <row r="205" spans="1:3" ht="96">
      <c r="A205" s="3" t="s">
        <v>581</v>
      </c>
      <c r="B205" s="5" t="s">
        <v>1734</v>
      </c>
      <c r="C205" s="3"/>
    </row>
    <row r="206" spans="1:3" ht="36">
      <c r="A206" s="3" t="s">
        <v>582</v>
      </c>
      <c r="B206" s="5" t="s">
        <v>1996</v>
      </c>
      <c r="C206" s="3"/>
    </row>
    <row r="207" spans="1:3" ht="84">
      <c r="A207" s="3" t="s">
        <v>583</v>
      </c>
      <c r="B207" s="5" t="s">
        <v>1735</v>
      </c>
      <c r="C207" s="3" t="s">
        <v>275</v>
      </c>
    </row>
    <row r="208" spans="1:3" ht="36">
      <c r="A208" s="3" t="s">
        <v>584</v>
      </c>
      <c r="B208" s="5" t="s">
        <v>1736</v>
      </c>
      <c r="C208" s="3" t="s">
        <v>276</v>
      </c>
    </row>
    <row r="209" spans="1:3" ht="60">
      <c r="A209" s="3" t="s">
        <v>585</v>
      </c>
      <c r="B209" s="5" t="s">
        <v>1737</v>
      </c>
      <c r="C209" s="3" t="s">
        <v>277</v>
      </c>
    </row>
    <row r="210" spans="1:3" ht="36">
      <c r="A210" s="3" t="s">
        <v>586</v>
      </c>
      <c r="B210" s="5" t="s">
        <v>1738</v>
      </c>
      <c r="C210" s="3" t="s">
        <v>278</v>
      </c>
    </row>
    <row r="211" spans="1:3" ht="84">
      <c r="A211" s="3" t="s">
        <v>587</v>
      </c>
      <c r="B211" s="5" t="s">
        <v>1739</v>
      </c>
      <c r="C211" s="3" t="s">
        <v>279</v>
      </c>
    </row>
    <row r="212" spans="1:3" ht="72">
      <c r="A212" s="3" t="s">
        <v>588</v>
      </c>
      <c r="B212" s="5" t="s">
        <v>1740</v>
      </c>
      <c r="C212" s="3"/>
    </row>
    <row r="213" spans="1:3" ht="48">
      <c r="A213" s="3" t="s">
        <v>589</v>
      </c>
      <c r="B213" s="5" t="s">
        <v>1997</v>
      </c>
      <c r="C213" s="3" t="s">
        <v>280</v>
      </c>
    </row>
    <row r="214" spans="1:3" ht="132">
      <c r="A214" s="3" t="s">
        <v>3725</v>
      </c>
      <c r="B214" s="5" t="s">
        <v>3321</v>
      </c>
      <c r="C214" s="3" t="s">
        <v>281</v>
      </c>
    </row>
    <row r="215" spans="1:3" ht="84">
      <c r="A215" s="3" t="s">
        <v>590</v>
      </c>
      <c r="B215" s="5" t="s">
        <v>3054</v>
      </c>
      <c r="C215" s="3"/>
    </row>
    <row r="216" spans="1:3" ht="84">
      <c r="A216" s="3" t="s">
        <v>591</v>
      </c>
      <c r="B216" s="5" t="s">
        <v>3055</v>
      </c>
      <c r="C216" s="3"/>
    </row>
    <row r="217" spans="1:3" ht="72">
      <c r="A217" s="3" t="s">
        <v>592</v>
      </c>
      <c r="B217" s="5" t="s">
        <v>3056</v>
      </c>
      <c r="C217" s="3"/>
    </row>
    <row r="218" spans="1:3" ht="84">
      <c r="A218" s="3" t="s">
        <v>593</v>
      </c>
      <c r="B218" s="5" t="s">
        <v>3057</v>
      </c>
      <c r="C218" s="3"/>
    </row>
    <row r="219" spans="1:3" ht="96">
      <c r="A219" s="3" t="s">
        <v>594</v>
      </c>
      <c r="B219" s="5" t="s">
        <v>3058</v>
      </c>
      <c r="C219" s="3"/>
    </row>
    <row r="220" spans="1:3" ht="96">
      <c r="A220" s="3" t="s">
        <v>595</v>
      </c>
      <c r="B220" s="5" t="s">
        <v>3059</v>
      </c>
      <c r="C220" s="3"/>
    </row>
    <row r="221" spans="1:3" ht="96">
      <c r="A221" s="3" t="s">
        <v>596</v>
      </c>
      <c r="B221" s="5" t="s">
        <v>3060</v>
      </c>
      <c r="C221" s="3"/>
    </row>
    <row r="222" spans="1:3" ht="84">
      <c r="A222" s="3" t="s">
        <v>597</v>
      </c>
      <c r="B222" s="5" t="s">
        <v>3061</v>
      </c>
      <c r="C222" s="3"/>
    </row>
    <row r="223" spans="1:3" ht="60">
      <c r="A223" s="3" t="s">
        <v>598</v>
      </c>
      <c r="B223" s="5" t="s">
        <v>2179</v>
      </c>
      <c r="C223" s="3"/>
    </row>
    <row r="224" spans="1:3" ht="72">
      <c r="A224" s="3" t="s">
        <v>599</v>
      </c>
      <c r="B224" s="5" t="s">
        <v>2180</v>
      </c>
      <c r="C224" s="3"/>
    </row>
    <row r="225" spans="1:3" ht="60">
      <c r="A225" s="3" t="s">
        <v>600</v>
      </c>
      <c r="B225" s="5" t="s">
        <v>2181</v>
      </c>
      <c r="C225" s="3"/>
    </row>
    <row r="226" spans="1:3" ht="60">
      <c r="A226" s="3" t="s">
        <v>601</v>
      </c>
      <c r="B226" s="5" t="s">
        <v>2182</v>
      </c>
      <c r="C226" s="3"/>
    </row>
    <row r="227" spans="1:3" ht="84">
      <c r="A227" s="3" t="s">
        <v>602</v>
      </c>
      <c r="B227" s="5" t="s">
        <v>1897</v>
      </c>
      <c r="C227" s="3" t="s">
        <v>282</v>
      </c>
    </row>
    <row r="228" spans="1:3" ht="60">
      <c r="A228" s="3" t="s">
        <v>603</v>
      </c>
      <c r="B228" s="5" t="s">
        <v>1741</v>
      </c>
      <c r="C228" s="3"/>
    </row>
    <row r="229" spans="1:3" ht="84">
      <c r="A229" s="3" t="s">
        <v>604</v>
      </c>
      <c r="B229" s="5" t="s">
        <v>1742</v>
      </c>
      <c r="C229" s="3"/>
    </row>
    <row r="230" spans="1:3" ht="96">
      <c r="A230" s="3" t="s">
        <v>605</v>
      </c>
      <c r="B230" s="5" t="s">
        <v>1743</v>
      </c>
      <c r="C230" s="3" t="s">
        <v>283</v>
      </c>
    </row>
    <row r="231" spans="1:3" ht="72">
      <c r="A231" s="3" t="s">
        <v>606</v>
      </c>
      <c r="B231" s="5" t="s">
        <v>1744</v>
      </c>
      <c r="C231" s="3" t="s">
        <v>284</v>
      </c>
    </row>
    <row r="232" spans="1:3" ht="72">
      <c r="A232" s="3" t="s">
        <v>607</v>
      </c>
      <c r="B232" s="5" t="s">
        <v>1745</v>
      </c>
      <c r="C232" s="3" t="s">
        <v>285</v>
      </c>
    </row>
    <row r="233" spans="1:3" ht="36">
      <c r="A233" s="3" t="s">
        <v>608</v>
      </c>
      <c r="B233" s="5" t="s">
        <v>1746</v>
      </c>
      <c r="C233" s="3"/>
    </row>
    <row r="234" spans="1:3" ht="60">
      <c r="A234" s="3" t="s">
        <v>609</v>
      </c>
      <c r="B234" s="5" t="s">
        <v>1747</v>
      </c>
      <c r="C234" s="3"/>
    </row>
    <row r="235" spans="1:3" ht="48">
      <c r="A235" s="3" t="s">
        <v>610</v>
      </c>
      <c r="B235" s="5" t="s">
        <v>1748</v>
      </c>
      <c r="C235" s="3"/>
    </row>
    <row r="236" spans="1:3" ht="48">
      <c r="A236" s="3" t="s">
        <v>611</v>
      </c>
      <c r="B236" s="5" t="s">
        <v>1998</v>
      </c>
      <c r="C236" s="3" t="s">
        <v>286</v>
      </c>
    </row>
    <row r="237" spans="1:3" ht="48">
      <c r="A237" s="3" t="s">
        <v>3726</v>
      </c>
      <c r="B237" s="5" t="s">
        <v>3322</v>
      </c>
      <c r="C237" s="3"/>
    </row>
    <row r="238" spans="1:3" ht="108">
      <c r="A238" s="3" t="s">
        <v>3727</v>
      </c>
      <c r="B238" s="5" t="s">
        <v>3323</v>
      </c>
      <c r="C238" s="3" t="s">
        <v>287</v>
      </c>
    </row>
    <row r="239" spans="1:3" ht="96">
      <c r="A239" s="3" t="s">
        <v>612</v>
      </c>
      <c r="B239" s="5" t="s">
        <v>2183</v>
      </c>
      <c r="C239" s="3" t="s">
        <v>288</v>
      </c>
    </row>
    <row r="240" spans="1:3" ht="84">
      <c r="A240" s="3" t="s">
        <v>613</v>
      </c>
      <c r="B240" s="5" t="s">
        <v>2184</v>
      </c>
      <c r="C240" s="3"/>
    </row>
    <row r="241" spans="1:3" ht="84">
      <c r="A241" s="3" t="s">
        <v>614</v>
      </c>
      <c r="B241" s="5" t="s">
        <v>2185</v>
      </c>
      <c r="C241" s="3"/>
    </row>
    <row r="242" spans="1:3" ht="96">
      <c r="A242" s="3" t="s">
        <v>615</v>
      </c>
      <c r="B242" s="5" t="s">
        <v>2186</v>
      </c>
      <c r="C242" s="3"/>
    </row>
    <row r="243" spans="1:3" ht="96">
      <c r="A243" s="3" t="s">
        <v>616</v>
      </c>
      <c r="B243" s="5" t="s">
        <v>2187</v>
      </c>
      <c r="C243" s="3"/>
    </row>
    <row r="244" spans="1:3" ht="84">
      <c r="A244" s="3" t="s">
        <v>617</v>
      </c>
      <c r="B244" s="5" t="s">
        <v>2188</v>
      </c>
      <c r="C244" s="3"/>
    </row>
    <row r="245" spans="1:3" ht="96">
      <c r="A245" s="3" t="s">
        <v>618</v>
      </c>
      <c r="B245" s="5" t="s">
        <v>3062</v>
      </c>
      <c r="C245" s="3" t="s">
        <v>289</v>
      </c>
    </row>
    <row r="246" spans="1:3" ht="108">
      <c r="A246" s="3" t="s">
        <v>619</v>
      </c>
      <c r="B246" s="5" t="s">
        <v>3063</v>
      </c>
      <c r="C246" s="3"/>
    </row>
    <row r="247" spans="1:3" ht="84">
      <c r="A247" s="3" t="s">
        <v>620</v>
      </c>
      <c r="B247" s="5" t="s">
        <v>3064</v>
      </c>
      <c r="C247" s="3"/>
    </row>
    <row r="248" spans="1:3" ht="60">
      <c r="A248" s="3" t="s">
        <v>621</v>
      </c>
      <c r="B248" s="5" t="s">
        <v>1999</v>
      </c>
      <c r="C248" s="3" t="s">
        <v>290</v>
      </c>
    </row>
    <row r="249" spans="1:3" ht="84">
      <c r="A249" s="3" t="s">
        <v>622</v>
      </c>
      <c r="B249" s="5" t="s">
        <v>1749</v>
      </c>
      <c r="C249" s="3"/>
    </row>
    <row r="250" spans="1:3" ht="72">
      <c r="A250" s="3" t="s">
        <v>623</v>
      </c>
      <c r="B250" s="5" t="s">
        <v>1750</v>
      </c>
      <c r="C250" s="3" t="s">
        <v>291</v>
      </c>
    </row>
    <row r="251" spans="1:3" ht="108">
      <c r="A251" s="3" t="s">
        <v>624</v>
      </c>
      <c r="B251" s="5" t="s">
        <v>2000</v>
      </c>
      <c r="C251" s="3"/>
    </row>
    <row r="252" spans="1:3" ht="72">
      <c r="A252" s="3" t="s">
        <v>625</v>
      </c>
      <c r="B252" s="5" t="s">
        <v>2001</v>
      </c>
      <c r="C252" s="3" t="s">
        <v>292</v>
      </c>
    </row>
    <row r="253" spans="1:3" ht="72">
      <c r="A253" s="3" t="s">
        <v>626</v>
      </c>
      <c r="B253" s="5" t="s">
        <v>1751</v>
      </c>
      <c r="C253" s="3" t="s">
        <v>293</v>
      </c>
    </row>
    <row r="254" spans="1:3" ht="36">
      <c r="A254" s="3" t="s">
        <v>627</v>
      </c>
      <c r="B254" s="5" t="s">
        <v>2002</v>
      </c>
      <c r="C254" s="3"/>
    </row>
    <row r="255" spans="1:3" ht="60">
      <c r="A255" s="3" t="s">
        <v>628</v>
      </c>
      <c r="B255" s="5" t="s">
        <v>2003</v>
      </c>
      <c r="C255" s="3"/>
    </row>
    <row r="256" spans="1:3" ht="48">
      <c r="A256" s="3" t="s">
        <v>629</v>
      </c>
      <c r="B256" s="5" t="s">
        <v>2004</v>
      </c>
      <c r="C256" s="3" t="s">
        <v>294</v>
      </c>
    </row>
    <row r="257" spans="1:3" ht="36">
      <c r="A257" s="3" t="s">
        <v>630</v>
      </c>
      <c r="B257" s="5" t="s">
        <v>1752</v>
      </c>
      <c r="C257" s="3"/>
    </row>
    <row r="258" spans="1:3" ht="72">
      <c r="A258" s="3" t="s">
        <v>3728</v>
      </c>
      <c r="B258" s="5" t="s">
        <v>3324</v>
      </c>
      <c r="C258" s="3"/>
    </row>
    <row r="259" spans="1:3" ht="72">
      <c r="A259" s="3" t="s">
        <v>3729</v>
      </c>
      <c r="B259" s="5" t="s">
        <v>3325</v>
      </c>
      <c r="C259" s="3"/>
    </row>
    <row r="260" spans="1:3" ht="36">
      <c r="A260" s="3" t="s">
        <v>3730</v>
      </c>
      <c r="B260" s="5" t="s">
        <v>3326</v>
      </c>
      <c r="C260" s="3"/>
    </row>
    <row r="261" spans="1:3" ht="72">
      <c r="A261" s="3" t="s">
        <v>3731</v>
      </c>
      <c r="B261" s="5" t="s">
        <v>3327</v>
      </c>
      <c r="C261" s="3"/>
    </row>
    <row r="262" spans="1:3" ht="108">
      <c r="A262" s="3" t="s">
        <v>631</v>
      </c>
      <c r="B262" s="5" t="s">
        <v>2189</v>
      </c>
      <c r="C262" s="3" t="s">
        <v>295</v>
      </c>
    </row>
    <row r="263" spans="1:3" ht="96">
      <c r="A263" s="3" t="s">
        <v>632</v>
      </c>
      <c r="B263" s="5" t="s">
        <v>3065</v>
      </c>
      <c r="C263" s="3" t="s">
        <v>296</v>
      </c>
    </row>
    <row r="264" spans="1:3" ht="72">
      <c r="A264" s="3" t="s">
        <v>633</v>
      </c>
      <c r="B264" s="5" t="s">
        <v>3066</v>
      </c>
      <c r="C264" s="3"/>
    </row>
    <row r="265" spans="1:3" ht="96">
      <c r="A265" s="3" t="s">
        <v>634</v>
      </c>
      <c r="B265" s="5" t="s">
        <v>3067</v>
      </c>
      <c r="C265" s="3"/>
    </row>
    <row r="266" spans="1:3" ht="60">
      <c r="A266" s="3" t="s">
        <v>635</v>
      </c>
      <c r="B266" s="5" t="s">
        <v>3068</v>
      </c>
      <c r="C266" s="3"/>
    </row>
    <row r="267" spans="1:3" ht="84">
      <c r="A267" s="3" t="s">
        <v>636</v>
      </c>
      <c r="B267" s="5" t="s">
        <v>2190</v>
      </c>
      <c r="C267" s="3"/>
    </row>
    <row r="268" spans="1:3" ht="84">
      <c r="A268" s="3" t="s">
        <v>637</v>
      </c>
      <c r="B268" s="5" t="s">
        <v>2191</v>
      </c>
      <c r="C268" s="3"/>
    </row>
    <row r="269" spans="1:3" ht="84">
      <c r="A269" s="3" t="s">
        <v>638</v>
      </c>
      <c r="B269" s="5" t="s">
        <v>2192</v>
      </c>
      <c r="C269" s="3"/>
    </row>
    <row r="270" spans="1:3" ht="72">
      <c r="A270" s="3" t="s">
        <v>639</v>
      </c>
      <c r="B270" s="5" t="s">
        <v>2193</v>
      </c>
      <c r="C270" s="3"/>
    </row>
    <row r="271" spans="1:3" ht="72">
      <c r="A271" s="3" t="s">
        <v>640</v>
      </c>
      <c r="B271" s="5" t="s">
        <v>2194</v>
      </c>
      <c r="C271" s="3"/>
    </row>
    <row r="272" spans="1:3" ht="60">
      <c r="A272" s="3" t="s">
        <v>641</v>
      </c>
      <c r="B272" s="5" t="s">
        <v>1898</v>
      </c>
      <c r="C272" s="3"/>
    </row>
    <row r="273" spans="1:3" ht="72">
      <c r="A273" s="3" t="s">
        <v>642</v>
      </c>
      <c r="B273" s="5" t="s">
        <v>1899</v>
      </c>
      <c r="C273" s="3"/>
    </row>
    <row r="274" spans="1:3" ht="60">
      <c r="A274" s="3" t="s">
        <v>643</v>
      </c>
      <c r="B274" s="5" t="s">
        <v>2005</v>
      </c>
      <c r="C274" s="3" t="s">
        <v>297</v>
      </c>
    </row>
    <row r="275" spans="1:3" ht="48">
      <c r="A275" s="3" t="s">
        <v>644</v>
      </c>
      <c r="B275" s="5" t="s">
        <v>2006</v>
      </c>
      <c r="C275" s="3"/>
    </row>
    <row r="276" spans="1:3" ht="36">
      <c r="A276" s="3" t="s">
        <v>645</v>
      </c>
      <c r="B276" s="5" t="s">
        <v>1753</v>
      </c>
      <c r="C276" s="3"/>
    </row>
    <row r="277" spans="1:3" ht="48">
      <c r="A277" s="3" t="s">
        <v>646</v>
      </c>
      <c r="B277" s="5" t="s">
        <v>1754</v>
      </c>
      <c r="C277" s="3"/>
    </row>
    <row r="278" spans="1:3" ht="84">
      <c r="A278" s="3" t="s">
        <v>647</v>
      </c>
      <c r="B278" s="5" t="s">
        <v>2007</v>
      </c>
      <c r="C278" s="3" t="s">
        <v>298</v>
      </c>
    </row>
    <row r="279" spans="1:3" ht="36">
      <c r="A279" s="3" t="s">
        <v>648</v>
      </c>
      <c r="B279" s="5" t="s">
        <v>2008</v>
      </c>
      <c r="C279" s="3" t="s">
        <v>251</v>
      </c>
    </row>
    <row r="280" spans="1:3" ht="96">
      <c r="A280" s="3" t="s">
        <v>649</v>
      </c>
      <c r="B280" s="5" t="s">
        <v>1755</v>
      </c>
      <c r="C280" s="3" t="s">
        <v>299</v>
      </c>
    </row>
    <row r="281" spans="1:3" ht="48">
      <c r="A281" s="3" t="s">
        <v>650</v>
      </c>
      <c r="B281" s="5" t="s">
        <v>2009</v>
      </c>
      <c r="C281" s="3"/>
    </row>
    <row r="282" spans="1:3" ht="84">
      <c r="A282" s="3" t="s">
        <v>651</v>
      </c>
      <c r="B282" s="5" t="s">
        <v>2010</v>
      </c>
      <c r="C282" s="3"/>
    </row>
    <row r="283" spans="1:3" ht="48">
      <c r="A283" s="3" t="s">
        <v>652</v>
      </c>
      <c r="B283" s="5" t="s">
        <v>1756</v>
      </c>
      <c r="C283" s="3" t="s">
        <v>300</v>
      </c>
    </row>
    <row r="284" spans="1:3" ht="72">
      <c r="A284" s="3" t="s">
        <v>653</v>
      </c>
      <c r="B284" s="5" t="s">
        <v>1757</v>
      </c>
      <c r="C284" s="3"/>
    </row>
    <row r="285" spans="1:3" ht="84">
      <c r="A285" s="3" t="s">
        <v>654</v>
      </c>
      <c r="B285" s="5" t="s">
        <v>2195</v>
      </c>
      <c r="C285" s="3" t="s">
        <v>301</v>
      </c>
    </row>
    <row r="286" spans="1:3" ht="48">
      <c r="A286" s="3" t="s">
        <v>655</v>
      </c>
      <c r="B286" s="5" t="s">
        <v>2196</v>
      </c>
      <c r="C286" s="3"/>
    </row>
    <row r="287" spans="1:3" ht="120">
      <c r="A287" s="3" t="s">
        <v>656</v>
      </c>
      <c r="B287" s="5" t="s">
        <v>3069</v>
      </c>
      <c r="C287" s="3" t="s">
        <v>302</v>
      </c>
    </row>
    <row r="288" spans="1:3" ht="96">
      <c r="A288" s="3" t="s">
        <v>657</v>
      </c>
      <c r="B288" s="5" t="s">
        <v>3070</v>
      </c>
      <c r="C288" s="3"/>
    </row>
    <row r="289" spans="1:3" ht="72">
      <c r="A289" s="3" t="s">
        <v>658</v>
      </c>
      <c r="B289" s="5" t="s">
        <v>3071</v>
      </c>
      <c r="C289" s="3"/>
    </row>
    <row r="290" spans="1:3" ht="84">
      <c r="A290" s="3" t="s">
        <v>659</v>
      </c>
      <c r="B290" s="5" t="s">
        <v>3072</v>
      </c>
      <c r="C290" s="3"/>
    </row>
    <row r="291" spans="1:3" ht="96">
      <c r="A291" s="3" t="s">
        <v>660</v>
      </c>
      <c r="B291" s="5" t="s">
        <v>1758</v>
      </c>
      <c r="C291" s="3" t="s">
        <v>303</v>
      </c>
    </row>
    <row r="292" spans="1:3" ht="72">
      <c r="A292" s="3" t="s">
        <v>661</v>
      </c>
      <c r="B292" s="5" t="s">
        <v>2197</v>
      </c>
      <c r="C292" s="3"/>
    </row>
    <row r="293" spans="1:3" ht="48">
      <c r="A293" s="3" t="s">
        <v>662</v>
      </c>
      <c r="B293" s="5" t="s">
        <v>2198</v>
      </c>
      <c r="C293" s="3" t="s">
        <v>304</v>
      </c>
    </row>
    <row r="294" spans="1:3" ht="48">
      <c r="A294" s="3" t="s">
        <v>663</v>
      </c>
      <c r="B294" s="5" t="s">
        <v>3073</v>
      </c>
      <c r="C294" s="3"/>
    </row>
    <row r="295" spans="1:3" ht="108">
      <c r="A295" s="3" t="s">
        <v>664</v>
      </c>
      <c r="B295" s="5" t="s">
        <v>2199</v>
      </c>
      <c r="C295" s="3" t="s">
        <v>305</v>
      </c>
    </row>
    <row r="296" spans="1:3" ht="84">
      <c r="A296" s="3" t="s">
        <v>665</v>
      </c>
      <c r="B296" s="5" t="s">
        <v>2200</v>
      </c>
      <c r="C296" s="3" t="s">
        <v>306</v>
      </c>
    </row>
    <row r="297" spans="1:3" ht="72">
      <c r="A297" s="3" t="s">
        <v>666</v>
      </c>
      <c r="B297" s="5" t="s">
        <v>2201</v>
      </c>
      <c r="C297" s="3" t="s">
        <v>307</v>
      </c>
    </row>
    <row r="298" spans="1:3" ht="72">
      <c r="A298" s="3" t="s">
        <v>667</v>
      </c>
      <c r="B298" s="5" t="s">
        <v>2202</v>
      </c>
      <c r="C298" s="3"/>
    </row>
    <row r="299" spans="1:3" ht="72">
      <c r="A299" s="3" t="s">
        <v>668</v>
      </c>
      <c r="B299" s="5" t="s">
        <v>2203</v>
      </c>
      <c r="C299" s="3"/>
    </row>
    <row r="300" spans="1:3" ht="72">
      <c r="A300" s="3" t="s">
        <v>669</v>
      </c>
      <c r="B300" s="5" t="s">
        <v>2204</v>
      </c>
      <c r="C300" s="3"/>
    </row>
    <row r="301" spans="1:3" ht="84">
      <c r="A301" s="3" t="s">
        <v>670</v>
      </c>
      <c r="B301" s="5" t="s">
        <v>2205</v>
      </c>
      <c r="C301" s="3"/>
    </row>
    <row r="302" spans="1:3" ht="60">
      <c r="A302" s="3" t="s">
        <v>671</v>
      </c>
      <c r="B302" s="5" t="s">
        <v>2206</v>
      </c>
      <c r="C302" s="3"/>
    </row>
    <row r="303" spans="1:3" ht="108">
      <c r="A303" s="3" t="s">
        <v>672</v>
      </c>
      <c r="B303" s="5" t="s">
        <v>2207</v>
      </c>
      <c r="C303" s="3"/>
    </row>
    <row r="304" spans="1:3" ht="60">
      <c r="A304" s="3" t="s">
        <v>673</v>
      </c>
      <c r="B304" s="5" t="s">
        <v>2208</v>
      </c>
      <c r="C304" s="3"/>
    </row>
    <row r="305" spans="1:3" ht="108">
      <c r="A305" s="3" t="s">
        <v>674</v>
      </c>
      <c r="B305" s="5" t="s">
        <v>3074</v>
      </c>
      <c r="C305" s="3"/>
    </row>
    <row r="306" spans="1:3" ht="72">
      <c r="A306" s="3" t="s">
        <v>675</v>
      </c>
      <c r="B306" s="5" t="s">
        <v>2209</v>
      </c>
      <c r="C306" s="3" t="s">
        <v>308</v>
      </c>
    </row>
    <row r="307" spans="1:3" ht="120">
      <c r="A307" s="3" t="s">
        <v>676</v>
      </c>
      <c r="B307" s="5" t="s">
        <v>3075</v>
      </c>
      <c r="C307" s="3" t="s">
        <v>309</v>
      </c>
    </row>
    <row r="308" spans="1:3" ht="72">
      <c r="A308" s="3" t="s">
        <v>677</v>
      </c>
      <c r="B308" s="5" t="s">
        <v>3076</v>
      </c>
      <c r="C308" s="3" t="s">
        <v>310</v>
      </c>
    </row>
    <row r="309" spans="1:3" ht="60">
      <c r="A309" s="3" t="s">
        <v>678</v>
      </c>
      <c r="B309" s="5" t="s">
        <v>3077</v>
      </c>
      <c r="C309" s="3" t="s">
        <v>311</v>
      </c>
    </row>
    <row r="310" spans="1:3" ht="48">
      <c r="A310" s="3" t="s">
        <v>679</v>
      </c>
      <c r="B310" s="5" t="s">
        <v>2210</v>
      </c>
      <c r="C310" s="3"/>
    </row>
    <row r="311" spans="1:3" ht="72">
      <c r="A311" s="3" t="s">
        <v>680</v>
      </c>
      <c r="B311" s="5" t="s">
        <v>2211</v>
      </c>
      <c r="C311" s="3"/>
    </row>
    <row r="312" spans="1:3" ht="108">
      <c r="A312" s="3" t="s">
        <v>681</v>
      </c>
      <c r="B312" s="5" t="s">
        <v>2212</v>
      </c>
      <c r="C312" s="3" t="s">
        <v>312</v>
      </c>
    </row>
    <row r="313" spans="1:3" ht="72">
      <c r="A313" s="3" t="s">
        <v>682</v>
      </c>
      <c r="B313" s="5" t="s">
        <v>2213</v>
      </c>
      <c r="C313" s="3" t="s">
        <v>313</v>
      </c>
    </row>
    <row r="314" spans="1:3" ht="60">
      <c r="A314" s="3" t="s">
        <v>683</v>
      </c>
      <c r="B314" s="5" t="s">
        <v>2214</v>
      </c>
      <c r="C314" s="3"/>
    </row>
    <row r="315" spans="1:3" ht="72">
      <c r="A315" s="3" t="s">
        <v>684</v>
      </c>
      <c r="B315" s="5" t="s">
        <v>2215</v>
      </c>
      <c r="C315" s="3"/>
    </row>
    <row r="316" spans="1:3" ht="72">
      <c r="A316" s="3" t="s">
        <v>685</v>
      </c>
      <c r="B316" s="5" t="s">
        <v>2216</v>
      </c>
      <c r="C316" s="3" t="s">
        <v>314</v>
      </c>
    </row>
    <row r="317" spans="1:3" ht="84">
      <c r="A317" s="3" t="s">
        <v>686</v>
      </c>
      <c r="B317" s="5" t="s">
        <v>2217</v>
      </c>
      <c r="C317" s="3"/>
    </row>
    <row r="318" spans="1:3" ht="72">
      <c r="A318" s="3" t="s">
        <v>687</v>
      </c>
      <c r="B318" s="5" t="s">
        <v>3078</v>
      </c>
      <c r="C318" s="3"/>
    </row>
    <row r="319" spans="1:3" ht="60">
      <c r="A319" s="3" t="s">
        <v>688</v>
      </c>
      <c r="B319" s="5" t="s">
        <v>2218</v>
      </c>
      <c r="C319" s="3"/>
    </row>
    <row r="320" spans="1:3" ht="72">
      <c r="A320" s="3" t="s">
        <v>689</v>
      </c>
      <c r="B320" s="5" t="s">
        <v>2219</v>
      </c>
      <c r="C320" s="3" t="s">
        <v>315</v>
      </c>
    </row>
    <row r="321" spans="1:3" ht="60">
      <c r="A321" s="3" t="s">
        <v>690</v>
      </c>
      <c r="B321" s="5" t="s">
        <v>2220</v>
      </c>
      <c r="C321" s="3"/>
    </row>
    <row r="322" spans="1:3" ht="60">
      <c r="A322" s="3" t="s">
        <v>691</v>
      </c>
      <c r="B322" s="5" t="s">
        <v>2221</v>
      </c>
      <c r="C322" s="3"/>
    </row>
    <row r="323" spans="1:3" ht="96">
      <c r="A323" s="3" t="s">
        <v>692</v>
      </c>
      <c r="B323" s="5" t="s">
        <v>3079</v>
      </c>
      <c r="C323" s="3"/>
    </row>
    <row r="324" spans="1:3" ht="72">
      <c r="A324" s="3" t="s">
        <v>693</v>
      </c>
      <c r="B324" s="5" t="s">
        <v>3080</v>
      </c>
      <c r="C324" s="3"/>
    </row>
    <row r="325" spans="1:3" ht="84">
      <c r="A325" s="3" t="s">
        <v>694</v>
      </c>
      <c r="B325" s="5" t="s">
        <v>2222</v>
      </c>
      <c r="C325" s="3" t="s">
        <v>316</v>
      </c>
    </row>
    <row r="326" spans="1:3" ht="84">
      <c r="A326" s="3" t="s">
        <v>695</v>
      </c>
      <c r="B326" s="5" t="s">
        <v>2223</v>
      </c>
      <c r="C326" s="3" t="s">
        <v>317</v>
      </c>
    </row>
    <row r="327" spans="1:3" ht="60">
      <c r="A327" s="3" t="s">
        <v>696</v>
      </c>
      <c r="B327" s="5" t="s">
        <v>2224</v>
      </c>
      <c r="C327" s="3" t="s">
        <v>318</v>
      </c>
    </row>
    <row r="328" spans="1:3" ht="72">
      <c r="A328" s="3" t="s">
        <v>697</v>
      </c>
      <c r="B328" s="5" t="s">
        <v>3081</v>
      </c>
      <c r="C328" s="3"/>
    </row>
    <row r="329" spans="1:3" ht="60">
      <c r="A329" s="3" t="s">
        <v>698</v>
      </c>
      <c r="B329" s="5" t="s">
        <v>3082</v>
      </c>
      <c r="C329" s="3"/>
    </row>
    <row r="330" spans="1:3" ht="108">
      <c r="A330" s="3" t="s">
        <v>699</v>
      </c>
      <c r="B330" s="5" t="s">
        <v>3083</v>
      </c>
      <c r="C330" s="3"/>
    </row>
    <row r="331" spans="1:3" ht="60">
      <c r="A331" s="3" t="s">
        <v>700</v>
      </c>
      <c r="B331" s="5" t="s">
        <v>2225</v>
      </c>
      <c r="C331" s="3"/>
    </row>
    <row r="332" spans="1:3" ht="60">
      <c r="A332" s="3" t="s">
        <v>701</v>
      </c>
      <c r="B332" s="5" t="s">
        <v>2226</v>
      </c>
      <c r="C332" s="3"/>
    </row>
    <row r="333" spans="1:3" ht="72">
      <c r="A333" s="3" t="s">
        <v>702</v>
      </c>
      <c r="B333" s="5" t="s">
        <v>2227</v>
      </c>
      <c r="C333" s="3"/>
    </row>
    <row r="334" spans="1:3" ht="96">
      <c r="A334" s="3" t="s">
        <v>703</v>
      </c>
      <c r="B334" s="5" t="s">
        <v>3084</v>
      </c>
      <c r="C334" s="3"/>
    </row>
    <row r="335" spans="1:3" ht="132">
      <c r="A335" s="3" t="s">
        <v>3732</v>
      </c>
      <c r="B335" s="5" t="s">
        <v>3328</v>
      </c>
      <c r="C335" s="3"/>
    </row>
    <row r="336" spans="1:3" ht="96">
      <c r="A336" s="3" t="s">
        <v>3733</v>
      </c>
      <c r="B336" s="5" t="s">
        <v>3329</v>
      </c>
      <c r="C336" s="3" t="s">
        <v>319</v>
      </c>
    </row>
    <row r="337" spans="1:3" ht="132">
      <c r="A337" s="3" t="s">
        <v>3734</v>
      </c>
      <c r="B337" s="5" t="s">
        <v>3330</v>
      </c>
      <c r="C337" s="3"/>
    </row>
    <row r="338" spans="1:3" ht="72">
      <c r="A338" s="3" t="s">
        <v>3735</v>
      </c>
      <c r="B338" s="5" t="s">
        <v>3331</v>
      </c>
      <c r="C338" s="3"/>
    </row>
    <row r="339" spans="1:3" ht="108">
      <c r="A339" s="3" t="s">
        <v>3736</v>
      </c>
      <c r="B339" s="5" t="s">
        <v>3332</v>
      </c>
      <c r="C339" s="3"/>
    </row>
    <row r="340" spans="1:3" ht="48">
      <c r="A340" s="3" t="s">
        <v>3737</v>
      </c>
      <c r="B340" s="5" t="s">
        <v>3333</v>
      </c>
      <c r="C340" s="3" t="s">
        <v>320</v>
      </c>
    </row>
    <row r="341" spans="1:3" ht="168">
      <c r="A341" s="3" t="s">
        <v>3738</v>
      </c>
      <c r="B341" s="5" t="s">
        <v>3334</v>
      </c>
      <c r="C341" s="3" t="s">
        <v>321</v>
      </c>
    </row>
    <row r="342" spans="1:3" ht="144">
      <c r="A342" s="3" t="s">
        <v>3739</v>
      </c>
      <c r="B342" s="5" t="s">
        <v>3335</v>
      </c>
      <c r="C342" s="3"/>
    </row>
    <row r="343" spans="1:3" ht="96">
      <c r="A343" s="3" t="s">
        <v>3740</v>
      </c>
      <c r="B343" s="5" t="s">
        <v>3336</v>
      </c>
      <c r="C343" s="3" t="s">
        <v>321</v>
      </c>
    </row>
    <row r="344" spans="1:3" ht="156">
      <c r="A344" s="3" t="s">
        <v>3741</v>
      </c>
      <c r="B344" s="5" t="s">
        <v>3337</v>
      </c>
      <c r="C344" s="3" t="s">
        <v>321</v>
      </c>
    </row>
    <row r="345" spans="1:3" ht="108">
      <c r="A345" s="3" t="s">
        <v>3742</v>
      </c>
      <c r="B345" s="5" t="s">
        <v>3338</v>
      </c>
      <c r="C345" s="3" t="s">
        <v>322</v>
      </c>
    </row>
    <row r="346" spans="1:3" ht="108">
      <c r="A346" s="3" t="s">
        <v>3743</v>
      </c>
      <c r="B346" s="5" t="s">
        <v>3339</v>
      </c>
      <c r="C346" s="3" t="s">
        <v>321</v>
      </c>
    </row>
    <row r="347" spans="1:3" ht="108">
      <c r="A347" s="3" t="s">
        <v>3744</v>
      </c>
      <c r="B347" s="5" t="s">
        <v>3340</v>
      </c>
      <c r="C347" s="3" t="s">
        <v>323</v>
      </c>
    </row>
    <row r="348" spans="1:3" ht="84">
      <c r="A348" s="3" t="s">
        <v>704</v>
      </c>
      <c r="B348" s="5" t="s">
        <v>2011</v>
      </c>
      <c r="C348" s="3"/>
    </row>
    <row r="349" spans="1:3" ht="60">
      <c r="A349" s="3" t="s">
        <v>705</v>
      </c>
      <c r="B349" s="5" t="s">
        <v>1759</v>
      </c>
      <c r="C349" s="3" t="s">
        <v>324</v>
      </c>
    </row>
    <row r="350" spans="1:3" ht="60">
      <c r="A350" s="3" t="s">
        <v>706</v>
      </c>
      <c r="B350" s="5" t="s">
        <v>1760</v>
      </c>
      <c r="C350" s="3"/>
    </row>
    <row r="351" spans="1:3" ht="48">
      <c r="A351" s="3" t="s">
        <v>707</v>
      </c>
      <c r="B351" s="5" t="s">
        <v>2012</v>
      </c>
      <c r="C351" s="3" t="s">
        <v>239</v>
      </c>
    </row>
    <row r="352" spans="1:3" ht="96">
      <c r="A352" s="3" t="s">
        <v>708</v>
      </c>
      <c r="B352" s="5" t="s">
        <v>2013</v>
      </c>
      <c r="C352" s="3" t="s">
        <v>239</v>
      </c>
    </row>
    <row r="353" spans="1:3" ht="84">
      <c r="A353" s="3" t="s">
        <v>709</v>
      </c>
      <c r="B353" s="5" t="s">
        <v>2014</v>
      </c>
      <c r="C353" s="3" t="s">
        <v>325</v>
      </c>
    </row>
    <row r="354" spans="1:3" ht="60">
      <c r="A354" s="3" t="s">
        <v>710</v>
      </c>
      <c r="B354" s="5" t="s">
        <v>1761</v>
      </c>
      <c r="C354" s="3" t="s">
        <v>326</v>
      </c>
    </row>
    <row r="355" spans="1:3" ht="60">
      <c r="A355" s="3" t="s">
        <v>711</v>
      </c>
      <c r="B355" s="5" t="s">
        <v>1762</v>
      </c>
      <c r="C355" s="3"/>
    </row>
    <row r="356" spans="1:3" ht="60">
      <c r="A356" s="3" t="s">
        <v>712</v>
      </c>
      <c r="B356" s="5" t="s">
        <v>1763</v>
      </c>
      <c r="C356" s="3" t="s">
        <v>327</v>
      </c>
    </row>
    <row r="357" spans="1:3" ht="48">
      <c r="A357" s="3" t="s">
        <v>713</v>
      </c>
      <c r="B357" s="5" t="s">
        <v>1764</v>
      </c>
      <c r="C357" s="3"/>
    </row>
    <row r="358" spans="1:3" ht="84">
      <c r="A358" s="3" t="s">
        <v>3745</v>
      </c>
      <c r="B358" s="5" t="s">
        <v>3962</v>
      </c>
      <c r="C358" s="3"/>
    </row>
    <row r="359" spans="1:3" ht="84">
      <c r="A359" s="3" t="s">
        <v>3746</v>
      </c>
      <c r="B359" s="5" t="s">
        <v>3341</v>
      </c>
      <c r="C359" s="3" t="s">
        <v>328</v>
      </c>
    </row>
    <row r="360" spans="1:3" ht="96">
      <c r="A360" s="3" t="s">
        <v>3747</v>
      </c>
      <c r="B360" s="5" t="s">
        <v>3342</v>
      </c>
      <c r="C360" s="3"/>
    </row>
    <row r="361" spans="1:3" ht="96">
      <c r="A361" s="3" t="s">
        <v>714</v>
      </c>
      <c r="B361" s="5" t="s">
        <v>3963</v>
      </c>
      <c r="C361" s="3" t="s">
        <v>329</v>
      </c>
    </row>
    <row r="362" spans="1:3" ht="96">
      <c r="A362" s="3" t="s">
        <v>715</v>
      </c>
      <c r="B362" s="5" t="s">
        <v>3085</v>
      </c>
      <c r="C362" s="3"/>
    </row>
    <row r="363" spans="1:3" ht="84">
      <c r="A363" s="3" t="s">
        <v>716</v>
      </c>
      <c r="B363" s="5" t="s">
        <v>3086</v>
      </c>
      <c r="C363" s="3" t="s">
        <v>330</v>
      </c>
    </row>
    <row r="364" spans="1:3" ht="72">
      <c r="A364" s="3" t="s">
        <v>717</v>
      </c>
      <c r="B364" s="5" t="s">
        <v>3087</v>
      </c>
      <c r="C364" s="3"/>
    </row>
    <row r="365" spans="1:3" ht="96">
      <c r="A365" s="3" t="s">
        <v>718</v>
      </c>
      <c r="B365" s="5" t="s">
        <v>3088</v>
      </c>
      <c r="C365" s="3"/>
    </row>
    <row r="366" spans="1:3" ht="84">
      <c r="A366" s="3" t="s">
        <v>719</v>
      </c>
      <c r="B366" s="5" t="s">
        <v>3089</v>
      </c>
      <c r="C366" s="3"/>
    </row>
    <row r="367" spans="1:3" ht="60">
      <c r="A367" s="3" t="s">
        <v>720</v>
      </c>
      <c r="B367" s="5" t="s">
        <v>2228</v>
      </c>
      <c r="C367" s="3"/>
    </row>
    <row r="368" spans="1:3" ht="72">
      <c r="A368" s="3" t="s">
        <v>721</v>
      </c>
      <c r="B368" s="5" t="s">
        <v>2229</v>
      </c>
      <c r="C368" s="3"/>
    </row>
    <row r="369" spans="1:3" ht="72">
      <c r="A369" s="3" t="s">
        <v>722</v>
      </c>
      <c r="B369" s="5" t="s">
        <v>2230</v>
      </c>
      <c r="C369" s="3"/>
    </row>
    <row r="370" spans="1:3" ht="84">
      <c r="A370" s="3" t="s">
        <v>723</v>
      </c>
      <c r="B370" s="5" t="s">
        <v>2231</v>
      </c>
      <c r="C370" s="3" t="s">
        <v>331</v>
      </c>
    </row>
    <row r="371" spans="1:3" ht="48">
      <c r="A371" s="3" t="s">
        <v>724</v>
      </c>
      <c r="B371" s="5" t="s">
        <v>2232</v>
      </c>
      <c r="C371" s="3" t="s">
        <v>332</v>
      </c>
    </row>
    <row r="372" spans="1:3" ht="84">
      <c r="A372" s="3" t="s">
        <v>725</v>
      </c>
      <c r="B372" s="5" t="s">
        <v>2233</v>
      </c>
      <c r="C372" s="3"/>
    </row>
    <row r="373" spans="1:3" ht="84">
      <c r="A373" s="3" t="s">
        <v>726</v>
      </c>
      <c r="B373" s="5" t="s">
        <v>2234</v>
      </c>
      <c r="C373" s="3"/>
    </row>
    <row r="374" spans="1:3" ht="84">
      <c r="A374" s="3" t="s">
        <v>727</v>
      </c>
      <c r="B374" s="5" t="s">
        <v>2235</v>
      </c>
      <c r="C374" s="3" t="s">
        <v>333</v>
      </c>
    </row>
    <row r="375" spans="1:3" ht="84">
      <c r="A375" s="3" t="s">
        <v>728</v>
      </c>
      <c r="B375" s="5" t="s">
        <v>2015</v>
      </c>
      <c r="C375" s="3"/>
    </row>
    <row r="376" spans="1:3" ht="48">
      <c r="A376" s="3" t="s">
        <v>729</v>
      </c>
      <c r="B376" s="5" t="s">
        <v>1765</v>
      </c>
      <c r="C376" s="3"/>
    </row>
    <row r="377" spans="1:3" ht="24">
      <c r="A377" s="3" t="s">
        <v>730</v>
      </c>
      <c r="B377" s="5" t="s">
        <v>1766</v>
      </c>
      <c r="C377" s="3"/>
    </row>
    <row r="378" spans="1:3" ht="60">
      <c r="A378" s="3" t="s">
        <v>731</v>
      </c>
      <c r="B378" s="5" t="s">
        <v>2016</v>
      </c>
      <c r="C378" s="3"/>
    </row>
    <row r="379" spans="1:3" ht="36">
      <c r="A379" s="3" t="s">
        <v>732</v>
      </c>
      <c r="B379" s="5" t="s">
        <v>1767</v>
      </c>
      <c r="C379" s="3"/>
    </row>
    <row r="380" spans="1:3" ht="96">
      <c r="A380" s="3" t="s">
        <v>733</v>
      </c>
      <c r="B380" s="5" t="s">
        <v>2017</v>
      </c>
      <c r="C380" s="3" t="s">
        <v>334</v>
      </c>
    </row>
    <row r="381" spans="1:3" ht="84">
      <c r="A381" s="3" t="s">
        <v>734</v>
      </c>
      <c r="B381" s="5" t="s">
        <v>2018</v>
      </c>
      <c r="C381" s="3"/>
    </row>
    <row r="382" spans="1:3" ht="72">
      <c r="A382" s="3" t="s">
        <v>735</v>
      </c>
      <c r="B382" s="5" t="s">
        <v>2019</v>
      </c>
      <c r="C382" s="3"/>
    </row>
    <row r="383" spans="1:3" ht="60">
      <c r="A383" s="3" t="s">
        <v>736</v>
      </c>
      <c r="B383" s="5" t="s">
        <v>1768</v>
      </c>
      <c r="C383" s="3"/>
    </row>
    <row r="384" spans="1:3" ht="36">
      <c r="A384" s="3" t="s">
        <v>737</v>
      </c>
      <c r="B384" s="5" t="s">
        <v>1769</v>
      </c>
      <c r="C384" s="3"/>
    </row>
    <row r="385" spans="1:3" ht="48">
      <c r="A385" s="3" t="s">
        <v>3748</v>
      </c>
      <c r="B385" s="5" t="s">
        <v>3964</v>
      </c>
      <c r="C385" s="3"/>
    </row>
    <row r="386" spans="1:3" ht="48">
      <c r="A386" s="3" t="s">
        <v>3749</v>
      </c>
      <c r="B386" s="5" t="s">
        <v>3343</v>
      </c>
      <c r="C386" s="3"/>
    </row>
    <row r="387" spans="1:3" ht="84">
      <c r="A387" s="3" t="s">
        <v>3750</v>
      </c>
      <c r="B387" s="5" t="s">
        <v>3344</v>
      </c>
      <c r="C387" s="3"/>
    </row>
    <row r="388" spans="1:3" ht="96">
      <c r="A388" s="3" t="s">
        <v>738</v>
      </c>
      <c r="B388" s="5" t="s">
        <v>3965</v>
      </c>
      <c r="C388" s="3"/>
    </row>
    <row r="389" spans="1:3" ht="84">
      <c r="A389" s="3" t="s">
        <v>739</v>
      </c>
      <c r="B389" s="5" t="s">
        <v>3090</v>
      </c>
      <c r="C389" s="3"/>
    </row>
    <row r="390" spans="1:3" ht="84">
      <c r="A390" s="3" t="s">
        <v>740</v>
      </c>
      <c r="B390" s="5" t="s">
        <v>3091</v>
      </c>
      <c r="C390" s="3"/>
    </row>
    <row r="391" spans="1:3" ht="72">
      <c r="A391" s="3" t="s">
        <v>741</v>
      </c>
      <c r="B391" s="5" t="s">
        <v>3092</v>
      </c>
      <c r="C391" s="3"/>
    </row>
    <row r="392" spans="1:3" ht="72">
      <c r="A392" s="3" t="s">
        <v>742</v>
      </c>
      <c r="B392" s="5" t="s">
        <v>3093</v>
      </c>
      <c r="C392" s="3"/>
    </row>
    <row r="393" spans="1:3" ht="60">
      <c r="A393" s="3" t="s">
        <v>743</v>
      </c>
      <c r="B393" s="5" t="s">
        <v>2236</v>
      </c>
      <c r="C393" s="3"/>
    </row>
    <row r="394" spans="1:3" ht="72">
      <c r="A394" s="3" t="s">
        <v>744</v>
      </c>
      <c r="B394" s="5" t="s">
        <v>2237</v>
      </c>
      <c r="C394" s="3"/>
    </row>
    <row r="395" spans="1:3" ht="72">
      <c r="A395" s="3" t="s">
        <v>745</v>
      </c>
      <c r="B395" s="5" t="s">
        <v>2238</v>
      </c>
      <c r="C395" s="3"/>
    </row>
    <row r="396" spans="1:3" ht="72">
      <c r="A396" s="3" t="s">
        <v>746</v>
      </c>
      <c r="B396" s="5" t="s">
        <v>2239</v>
      </c>
      <c r="C396" s="3"/>
    </row>
    <row r="397" spans="1:3" ht="72">
      <c r="A397" s="3" t="s">
        <v>747</v>
      </c>
      <c r="B397" s="5" t="s">
        <v>2240</v>
      </c>
      <c r="C397" s="3"/>
    </row>
    <row r="398" spans="1:3" ht="96">
      <c r="A398" s="3" t="s">
        <v>748</v>
      </c>
      <c r="B398" s="5" t="s">
        <v>2241</v>
      </c>
      <c r="C398" s="3"/>
    </row>
    <row r="399" spans="1:3" ht="72">
      <c r="A399" s="3" t="s">
        <v>749</v>
      </c>
      <c r="B399" s="5" t="s">
        <v>2242</v>
      </c>
      <c r="C399" s="3"/>
    </row>
    <row r="400" spans="1:3" ht="72">
      <c r="A400" s="3" t="s">
        <v>750</v>
      </c>
      <c r="B400" s="5" t="s">
        <v>1900</v>
      </c>
      <c r="C400" s="3"/>
    </row>
    <row r="401" spans="1:3" ht="36">
      <c r="A401" s="3" t="s">
        <v>751</v>
      </c>
      <c r="B401" s="5" t="s">
        <v>2020</v>
      </c>
      <c r="C401" s="3"/>
    </row>
    <row r="402" spans="1:3" ht="72">
      <c r="A402" s="3" t="s">
        <v>752</v>
      </c>
      <c r="B402" s="5" t="s">
        <v>2021</v>
      </c>
      <c r="C402" s="3" t="s">
        <v>335</v>
      </c>
    </row>
    <row r="403" spans="1:3" ht="96">
      <c r="A403" s="3" t="s">
        <v>753</v>
      </c>
      <c r="B403" s="5" t="s">
        <v>1770</v>
      </c>
      <c r="C403" s="3"/>
    </row>
    <row r="404" spans="1:3" ht="108">
      <c r="A404" s="3" t="s">
        <v>754</v>
      </c>
      <c r="B404" s="5" t="s">
        <v>2022</v>
      </c>
      <c r="C404" s="3" t="s">
        <v>336</v>
      </c>
    </row>
    <row r="405" spans="1:3" ht="72">
      <c r="A405" s="3" t="s">
        <v>755</v>
      </c>
      <c r="B405" s="5" t="s">
        <v>3966</v>
      </c>
      <c r="C405" s="3"/>
    </row>
    <row r="406" spans="1:3" ht="48">
      <c r="A406" s="3" t="s">
        <v>756</v>
      </c>
      <c r="B406" s="5" t="s">
        <v>2023</v>
      </c>
      <c r="C406" s="3" t="s">
        <v>326</v>
      </c>
    </row>
    <row r="407" spans="1:3" ht="60">
      <c r="A407" s="3" t="s">
        <v>757</v>
      </c>
      <c r="B407" s="5" t="s">
        <v>1771</v>
      </c>
      <c r="C407" s="3"/>
    </row>
    <row r="408" spans="1:3" ht="60">
      <c r="A408" s="3" t="s">
        <v>758</v>
      </c>
      <c r="B408" s="5" t="s">
        <v>1772</v>
      </c>
      <c r="C408" s="3" t="s">
        <v>337</v>
      </c>
    </row>
    <row r="409" spans="1:3" ht="72">
      <c r="A409" s="3" t="s">
        <v>759</v>
      </c>
      <c r="B409" s="5" t="s">
        <v>1773</v>
      </c>
      <c r="C409" s="3"/>
    </row>
    <row r="410" spans="1:3" ht="72">
      <c r="A410" s="3" t="s">
        <v>3751</v>
      </c>
      <c r="B410" s="5" t="s">
        <v>3345</v>
      </c>
      <c r="C410" s="3"/>
    </row>
    <row r="411" spans="1:3" ht="96">
      <c r="A411" s="3" t="s">
        <v>3752</v>
      </c>
      <c r="B411" s="5" t="s">
        <v>3346</v>
      </c>
      <c r="C411" s="3"/>
    </row>
    <row r="412" spans="1:3" ht="144">
      <c r="A412" s="3" t="s">
        <v>760</v>
      </c>
      <c r="B412" s="5" t="s">
        <v>3094</v>
      </c>
      <c r="C412" s="3"/>
    </row>
    <row r="413" spans="1:3" ht="72">
      <c r="A413" s="3" t="s">
        <v>761</v>
      </c>
      <c r="B413" s="5" t="s">
        <v>3095</v>
      </c>
      <c r="C413" s="3"/>
    </row>
    <row r="414" spans="1:3" ht="84">
      <c r="A414" s="3" t="s">
        <v>762</v>
      </c>
      <c r="B414" s="5" t="s">
        <v>3096</v>
      </c>
      <c r="C414" s="3"/>
    </row>
    <row r="415" spans="1:3" ht="60">
      <c r="A415" s="3" t="s">
        <v>763</v>
      </c>
      <c r="B415" s="5" t="s">
        <v>3097</v>
      </c>
      <c r="C415" s="3"/>
    </row>
    <row r="416" spans="1:3" ht="72">
      <c r="A416" s="3" t="s">
        <v>764</v>
      </c>
      <c r="B416" s="5" t="s">
        <v>3098</v>
      </c>
      <c r="C416" s="3"/>
    </row>
    <row r="417" spans="1:3" ht="72">
      <c r="A417" s="3" t="s">
        <v>765</v>
      </c>
      <c r="B417" s="5" t="s">
        <v>2243</v>
      </c>
      <c r="C417" s="3"/>
    </row>
    <row r="418" spans="1:3" ht="36">
      <c r="A418" s="3" t="s">
        <v>766</v>
      </c>
      <c r="B418" s="5" t="s">
        <v>2244</v>
      </c>
      <c r="C418" s="3"/>
    </row>
    <row r="419" spans="1:3" ht="120">
      <c r="A419" s="3" t="s">
        <v>767</v>
      </c>
      <c r="B419" s="5" t="s">
        <v>2245</v>
      </c>
      <c r="C419" s="3"/>
    </row>
    <row r="420" spans="1:3" ht="96">
      <c r="A420" s="3" t="s">
        <v>768</v>
      </c>
      <c r="B420" s="5" t="s">
        <v>2246</v>
      </c>
      <c r="C420" s="3" t="s">
        <v>338</v>
      </c>
    </row>
    <row r="421" spans="1:3" ht="72">
      <c r="A421" s="3" t="s">
        <v>769</v>
      </c>
      <c r="B421" s="5" t="s">
        <v>2247</v>
      </c>
      <c r="C421" s="3"/>
    </row>
    <row r="422" spans="1:3" ht="84">
      <c r="A422" s="3" t="s">
        <v>770</v>
      </c>
      <c r="B422" s="5" t="s">
        <v>2248</v>
      </c>
      <c r="C422" s="3"/>
    </row>
    <row r="423" spans="1:3" ht="96">
      <c r="A423" s="3" t="s">
        <v>771</v>
      </c>
      <c r="B423" s="5" t="s">
        <v>2249</v>
      </c>
      <c r="C423" s="3"/>
    </row>
    <row r="424" spans="1:3" ht="72">
      <c r="A424" s="3" t="s">
        <v>772</v>
      </c>
      <c r="B424" s="5" t="s">
        <v>2024</v>
      </c>
      <c r="C424" s="3" t="s">
        <v>339</v>
      </c>
    </row>
    <row r="425" spans="1:3" ht="60">
      <c r="A425" s="3" t="s">
        <v>773</v>
      </c>
      <c r="B425" s="5" t="s">
        <v>1774</v>
      </c>
      <c r="C425" s="3"/>
    </row>
    <row r="426" spans="1:3" ht="48">
      <c r="A426" s="3" t="s">
        <v>774</v>
      </c>
      <c r="B426" s="5" t="s">
        <v>1775</v>
      </c>
      <c r="C426" s="3" t="s">
        <v>340</v>
      </c>
    </row>
    <row r="427" spans="1:3" ht="60">
      <c r="A427" s="3" t="s">
        <v>775</v>
      </c>
      <c r="B427" s="5" t="s">
        <v>2025</v>
      </c>
      <c r="C427" s="3"/>
    </row>
    <row r="428" spans="1:3" ht="48">
      <c r="A428" s="3" t="s">
        <v>776</v>
      </c>
      <c r="B428" s="5" t="s">
        <v>2026</v>
      </c>
      <c r="C428" s="3"/>
    </row>
    <row r="429" spans="1:3" ht="36">
      <c r="A429" s="3" t="s">
        <v>777</v>
      </c>
      <c r="B429" s="5" t="s">
        <v>1776</v>
      </c>
      <c r="C429" s="3" t="s">
        <v>341</v>
      </c>
    </row>
    <row r="430" spans="1:3" ht="60">
      <c r="A430" s="3" t="s">
        <v>778</v>
      </c>
      <c r="B430" s="5" t="s">
        <v>1777</v>
      </c>
      <c r="C430" s="3"/>
    </row>
    <row r="431" spans="1:3" ht="72">
      <c r="A431" s="3" t="s">
        <v>779</v>
      </c>
      <c r="B431" s="5" t="s">
        <v>2027</v>
      </c>
      <c r="C431" s="3"/>
    </row>
    <row r="432" spans="1:3" ht="36">
      <c r="A432" s="3" t="s">
        <v>780</v>
      </c>
      <c r="B432" s="5" t="s">
        <v>1778</v>
      </c>
      <c r="C432" s="3"/>
    </row>
    <row r="433" spans="1:3" ht="60">
      <c r="A433" s="3" t="s">
        <v>781</v>
      </c>
      <c r="B433" s="5" t="s">
        <v>2028</v>
      </c>
      <c r="C433" s="3"/>
    </row>
    <row r="434" spans="1:3" ht="132">
      <c r="A434" s="3" t="s">
        <v>3753</v>
      </c>
      <c r="B434" s="5" t="s">
        <v>3347</v>
      </c>
      <c r="C434" s="3"/>
    </row>
    <row r="435" spans="1:3" ht="108">
      <c r="A435" s="3" t="s">
        <v>3754</v>
      </c>
      <c r="B435" s="5" t="s">
        <v>3348</v>
      </c>
      <c r="C435" s="3"/>
    </row>
    <row r="436" spans="1:3" ht="72">
      <c r="A436" s="3" t="s">
        <v>782</v>
      </c>
      <c r="B436" s="5" t="s">
        <v>2250</v>
      </c>
      <c r="C436" s="3"/>
    </row>
    <row r="437" spans="1:3" ht="72">
      <c r="A437" s="3" t="s">
        <v>783</v>
      </c>
      <c r="B437" s="5" t="s">
        <v>3099</v>
      </c>
      <c r="C437" s="3"/>
    </row>
    <row r="438" spans="1:3" ht="60">
      <c r="A438" s="3" t="s">
        <v>784</v>
      </c>
      <c r="B438" s="5" t="s">
        <v>3100</v>
      </c>
      <c r="C438" s="3"/>
    </row>
    <row r="439" spans="1:3" ht="60">
      <c r="A439" s="3" t="s">
        <v>785</v>
      </c>
      <c r="B439" s="5" t="s">
        <v>3101</v>
      </c>
      <c r="C439" s="3"/>
    </row>
    <row r="440" spans="1:3" ht="96">
      <c r="A440" s="3" t="s">
        <v>786</v>
      </c>
      <c r="B440" s="5" t="s">
        <v>3102</v>
      </c>
      <c r="C440" s="3"/>
    </row>
    <row r="441" spans="1:3" ht="72">
      <c r="A441" s="3" t="s">
        <v>787</v>
      </c>
      <c r="B441" s="5" t="s">
        <v>2251</v>
      </c>
      <c r="C441" s="3"/>
    </row>
    <row r="442" spans="1:3" ht="60">
      <c r="A442" s="3" t="s">
        <v>788</v>
      </c>
      <c r="B442" s="5" t="s">
        <v>2252</v>
      </c>
      <c r="C442" s="3"/>
    </row>
    <row r="443" spans="1:3" ht="72">
      <c r="A443" s="3" t="s">
        <v>789</v>
      </c>
      <c r="B443" s="5" t="s">
        <v>2253</v>
      </c>
      <c r="C443" s="3"/>
    </row>
    <row r="444" spans="1:3" ht="48">
      <c r="A444" s="3" t="s">
        <v>790</v>
      </c>
      <c r="B444" s="5" t="s">
        <v>2254</v>
      </c>
      <c r="C444" s="3"/>
    </row>
    <row r="445" spans="1:3" ht="96">
      <c r="A445" s="3" t="s">
        <v>791</v>
      </c>
      <c r="B445" s="5" t="s">
        <v>2255</v>
      </c>
      <c r="C445" s="3"/>
    </row>
    <row r="446" spans="1:3" ht="84">
      <c r="A446" s="3" t="s">
        <v>792</v>
      </c>
      <c r="B446" s="5" t="s">
        <v>2256</v>
      </c>
      <c r="C446" s="3"/>
    </row>
    <row r="447" spans="1:3" ht="72">
      <c r="A447" s="3" t="s">
        <v>793</v>
      </c>
      <c r="B447" s="5" t="s">
        <v>2257</v>
      </c>
      <c r="C447" s="3"/>
    </row>
    <row r="448" spans="1:3" ht="84">
      <c r="A448" s="3" t="s">
        <v>794</v>
      </c>
      <c r="B448" s="5" t="s">
        <v>2258</v>
      </c>
      <c r="C448" s="3"/>
    </row>
    <row r="449" spans="1:3" ht="60">
      <c r="A449" s="3" t="s">
        <v>795</v>
      </c>
      <c r="B449" s="5" t="s">
        <v>1901</v>
      </c>
      <c r="C449" s="3"/>
    </row>
    <row r="450" spans="1:3" ht="84">
      <c r="A450" s="3" t="s">
        <v>796</v>
      </c>
      <c r="B450" s="5" t="s">
        <v>2029</v>
      </c>
      <c r="C450" s="3"/>
    </row>
    <row r="451" spans="1:3" ht="60">
      <c r="A451" s="3" t="s">
        <v>797</v>
      </c>
      <c r="B451" s="5" t="s">
        <v>1779</v>
      </c>
      <c r="C451" s="3"/>
    </row>
    <row r="452" spans="1:3" ht="96">
      <c r="A452" s="3" t="s">
        <v>798</v>
      </c>
      <c r="B452" s="5" t="s">
        <v>1780</v>
      </c>
      <c r="C452" s="3"/>
    </row>
    <row r="453" spans="1:3" ht="96">
      <c r="A453" s="3" t="s">
        <v>799</v>
      </c>
      <c r="B453" s="5" t="s">
        <v>1781</v>
      </c>
      <c r="C453" s="3" t="s">
        <v>342</v>
      </c>
    </row>
    <row r="454" spans="1:3" ht="72">
      <c r="A454" s="3" t="s">
        <v>800</v>
      </c>
      <c r="B454" s="5" t="s">
        <v>1782</v>
      </c>
      <c r="C454" s="3"/>
    </row>
    <row r="455" spans="1:3" ht="48">
      <c r="A455" s="3" t="s">
        <v>801</v>
      </c>
      <c r="B455" s="5" t="s">
        <v>1783</v>
      </c>
      <c r="C455" s="3"/>
    </row>
    <row r="456" spans="1:3" ht="24">
      <c r="A456" s="3" t="s">
        <v>802</v>
      </c>
      <c r="B456" s="5" t="s">
        <v>1784</v>
      </c>
      <c r="C456" s="3"/>
    </row>
    <row r="457" spans="1:3" ht="48">
      <c r="A457" s="3" t="s">
        <v>803</v>
      </c>
      <c r="B457" s="5" t="s">
        <v>2030</v>
      </c>
      <c r="C457" s="3"/>
    </row>
    <row r="458" spans="1:3" ht="60">
      <c r="A458" s="3" t="s">
        <v>804</v>
      </c>
      <c r="B458" s="5" t="s">
        <v>1785</v>
      </c>
      <c r="C458" s="3"/>
    </row>
    <row r="459" spans="1:3" ht="72">
      <c r="A459" s="3" t="s">
        <v>3755</v>
      </c>
      <c r="B459" s="5" t="s">
        <v>3349</v>
      </c>
      <c r="C459" s="3"/>
    </row>
    <row r="460" spans="1:3" ht="36">
      <c r="A460" s="3" t="s">
        <v>3756</v>
      </c>
      <c r="B460" s="5" t="s">
        <v>3350</v>
      </c>
      <c r="C460" s="3"/>
    </row>
    <row r="461" spans="1:3" ht="108">
      <c r="A461" s="3" t="s">
        <v>3757</v>
      </c>
      <c r="B461" s="5" t="s">
        <v>3351</v>
      </c>
      <c r="C461" s="3"/>
    </row>
    <row r="462" spans="1:3" ht="96">
      <c r="A462" s="3" t="s">
        <v>3758</v>
      </c>
      <c r="B462" s="5" t="s">
        <v>3352</v>
      </c>
      <c r="C462" s="3"/>
    </row>
    <row r="463" spans="1:3" ht="96">
      <c r="A463" s="3" t="s">
        <v>3759</v>
      </c>
      <c r="B463" s="5" t="s">
        <v>3353</v>
      </c>
      <c r="C463" s="3"/>
    </row>
    <row r="464" spans="1:3" ht="108">
      <c r="A464" s="3" t="s">
        <v>3760</v>
      </c>
      <c r="B464" s="5" t="s">
        <v>3354</v>
      </c>
      <c r="C464" s="3"/>
    </row>
    <row r="465" spans="1:3" ht="96">
      <c r="A465" s="3" t="s">
        <v>3761</v>
      </c>
      <c r="B465" s="5" t="s">
        <v>3355</v>
      </c>
      <c r="C465" s="3"/>
    </row>
    <row r="466" spans="1:3" ht="96">
      <c r="A466" s="3" t="s">
        <v>3762</v>
      </c>
      <c r="B466" s="5" t="s">
        <v>3356</v>
      </c>
      <c r="C466" s="3"/>
    </row>
    <row r="467" spans="1:3" ht="96">
      <c r="A467" s="3" t="s">
        <v>805</v>
      </c>
      <c r="B467" s="5" t="s">
        <v>2259</v>
      </c>
      <c r="C467" s="3"/>
    </row>
    <row r="468" spans="1:3" ht="96">
      <c r="A468" s="3" t="s">
        <v>806</v>
      </c>
      <c r="B468" s="5" t="s">
        <v>2260</v>
      </c>
      <c r="C468" s="3"/>
    </row>
    <row r="469" spans="1:3" ht="108">
      <c r="A469" s="3" t="s">
        <v>807</v>
      </c>
      <c r="B469" s="5" t="s">
        <v>3103</v>
      </c>
      <c r="C469" s="3"/>
    </row>
    <row r="470" spans="1:3" ht="96">
      <c r="A470" s="3" t="s">
        <v>808</v>
      </c>
      <c r="B470" s="5" t="s">
        <v>3104</v>
      </c>
      <c r="C470" s="3"/>
    </row>
    <row r="471" spans="1:3" ht="72">
      <c r="A471" s="3" t="s">
        <v>809</v>
      </c>
      <c r="B471" s="5" t="s">
        <v>2261</v>
      </c>
      <c r="C471" s="3"/>
    </row>
    <row r="472" spans="1:3" ht="72">
      <c r="A472" s="3" t="s">
        <v>810</v>
      </c>
      <c r="B472" s="5" t="s">
        <v>2262</v>
      </c>
      <c r="C472" s="3"/>
    </row>
    <row r="473" spans="1:3" ht="108">
      <c r="A473" s="3" t="s">
        <v>811</v>
      </c>
      <c r="B473" s="5" t="s">
        <v>2263</v>
      </c>
      <c r="C473" s="3"/>
    </row>
    <row r="474" spans="1:3" ht="108">
      <c r="A474" s="3" t="s">
        <v>812</v>
      </c>
      <c r="B474" s="5" t="s">
        <v>1786</v>
      </c>
      <c r="C474" s="3"/>
    </row>
    <row r="475" spans="1:3" ht="96">
      <c r="A475" s="3" t="s">
        <v>813</v>
      </c>
      <c r="B475" s="5" t="s">
        <v>2264</v>
      </c>
      <c r="C475" s="3"/>
    </row>
    <row r="476" spans="1:3" ht="96">
      <c r="A476" s="3" t="s">
        <v>814</v>
      </c>
      <c r="B476" s="5" t="s">
        <v>2031</v>
      </c>
      <c r="C476" s="3"/>
    </row>
    <row r="477" spans="1:3" ht="36">
      <c r="A477" s="3" t="s">
        <v>815</v>
      </c>
      <c r="B477" s="5" t="s">
        <v>1787</v>
      </c>
      <c r="C477" s="3"/>
    </row>
    <row r="478" spans="1:3" ht="36">
      <c r="A478" s="3" t="s">
        <v>816</v>
      </c>
      <c r="B478" s="5" t="s">
        <v>2032</v>
      </c>
      <c r="C478" s="3"/>
    </row>
    <row r="479" spans="1:3" ht="60">
      <c r="A479" s="3" t="s">
        <v>817</v>
      </c>
      <c r="B479" s="5" t="s">
        <v>2033</v>
      </c>
      <c r="C479" s="3" t="s">
        <v>343</v>
      </c>
    </row>
    <row r="480" spans="1:3" ht="72">
      <c r="A480" s="3" t="s">
        <v>818</v>
      </c>
      <c r="B480" s="5" t="s">
        <v>1788</v>
      </c>
      <c r="C480" s="3" t="s">
        <v>344</v>
      </c>
    </row>
    <row r="481" spans="1:3" ht="84">
      <c r="A481" s="3" t="s">
        <v>819</v>
      </c>
      <c r="B481" s="5" t="s">
        <v>2034</v>
      </c>
      <c r="C481" s="3"/>
    </row>
    <row r="482" spans="1:3" ht="72">
      <c r="A482" s="3" t="s">
        <v>820</v>
      </c>
      <c r="B482" s="5" t="s">
        <v>1789</v>
      </c>
      <c r="C482" s="3"/>
    </row>
    <row r="483" spans="1:3" ht="24">
      <c r="A483" s="3" t="s">
        <v>821</v>
      </c>
      <c r="B483" s="5" t="s">
        <v>1790</v>
      </c>
      <c r="C483" s="3" t="s">
        <v>345</v>
      </c>
    </row>
    <row r="484" spans="1:3" ht="72">
      <c r="A484" s="3" t="s">
        <v>822</v>
      </c>
      <c r="B484" s="5" t="s">
        <v>1791</v>
      </c>
      <c r="C484" s="3"/>
    </row>
    <row r="485" spans="1:3" ht="84">
      <c r="A485" s="3" t="s">
        <v>823</v>
      </c>
      <c r="B485" s="5" t="s">
        <v>2035</v>
      </c>
      <c r="C485" s="3" t="s">
        <v>346</v>
      </c>
    </row>
    <row r="486" spans="1:3" ht="96">
      <c r="A486" s="3" t="s">
        <v>3763</v>
      </c>
      <c r="B486" s="5" t="s">
        <v>3357</v>
      </c>
      <c r="C486" s="3"/>
    </row>
    <row r="487" spans="1:3" ht="84">
      <c r="A487" s="3" t="s">
        <v>3764</v>
      </c>
      <c r="B487" s="5" t="s">
        <v>3358</v>
      </c>
      <c r="C487" s="3"/>
    </row>
    <row r="488" spans="1:3" ht="84">
      <c r="A488" s="3" t="s">
        <v>3765</v>
      </c>
      <c r="B488" s="5" t="s">
        <v>3359</v>
      </c>
      <c r="C488" s="3"/>
    </row>
    <row r="489" spans="1:3" ht="96">
      <c r="A489" s="3" t="s">
        <v>824</v>
      </c>
      <c r="B489" s="5" t="s">
        <v>3105</v>
      </c>
      <c r="C489" s="3" t="s">
        <v>347</v>
      </c>
    </row>
    <row r="490" spans="1:3" ht="72">
      <c r="A490" s="3" t="s">
        <v>825</v>
      </c>
      <c r="B490" s="5" t="s">
        <v>3106</v>
      </c>
      <c r="C490" s="3"/>
    </row>
    <row r="491" spans="1:3" ht="60">
      <c r="A491" s="3" t="s">
        <v>826</v>
      </c>
      <c r="B491" s="5" t="s">
        <v>3107</v>
      </c>
      <c r="C491" s="3"/>
    </row>
    <row r="492" spans="1:3" ht="60">
      <c r="A492" s="3" t="s">
        <v>827</v>
      </c>
      <c r="B492" s="5" t="s">
        <v>2265</v>
      </c>
      <c r="C492" s="3"/>
    </row>
    <row r="493" spans="1:3" ht="96">
      <c r="A493" s="3" t="s">
        <v>828</v>
      </c>
      <c r="B493" s="5" t="s">
        <v>2266</v>
      </c>
      <c r="C493" s="3"/>
    </row>
    <row r="494" spans="1:3" ht="72">
      <c r="A494" s="3" t="s">
        <v>829</v>
      </c>
      <c r="B494" s="5" t="s">
        <v>2267</v>
      </c>
      <c r="C494" s="3"/>
    </row>
    <row r="495" spans="1:3" ht="60">
      <c r="A495" s="3" t="s">
        <v>830</v>
      </c>
      <c r="B495" s="5" t="s">
        <v>2268</v>
      </c>
      <c r="C495" s="3"/>
    </row>
    <row r="496" spans="1:3" ht="60">
      <c r="A496" s="3" t="s">
        <v>831</v>
      </c>
      <c r="B496" s="5" t="s">
        <v>2269</v>
      </c>
      <c r="C496" s="3"/>
    </row>
    <row r="497" spans="1:3" ht="60">
      <c r="A497" s="3" t="s">
        <v>832</v>
      </c>
      <c r="B497" s="5" t="s">
        <v>2270</v>
      </c>
      <c r="C497" s="3"/>
    </row>
    <row r="498" spans="1:3" ht="120">
      <c r="A498" s="3" t="s">
        <v>833</v>
      </c>
      <c r="B498" s="5" t="s">
        <v>2271</v>
      </c>
      <c r="C498" s="3" t="s">
        <v>348</v>
      </c>
    </row>
    <row r="499" spans="1:3" ht="108">
      <c r="A499" s="3" t="s">
        <v>834</v>
      </c>
      <c r="B499" s="5" t="s">
        <v>2272</v>
      </c>
      <c r="C499" s="3"/>
    </row>
    <row r="500" spans="1:3" ht="48">
      <c r="A500" s="3" t="s">
        <v>835</v>
      </c>
      <c r="B500" s="5" t="s">
        <v>2273</v>
      </c>
      <c r="C500" s="3"/>
    </row>
    <row r="501" spans="1:3" ht="72">
      <c r="A501" s="3" t="s">
        <v>836</v>
      </c>
      <c r="B501" s="5" t="s">
        <v>2274</v>
      </c>
      <c r="C501" s="3"/>
    </row>
    <row r="502" spans="1:3" ht="72">
      <c r="A502" s="3" t="s">
        <v>837</v>
      </c>
      <c r="B502" s="5" t="s">
        <v>1902</v>
      </c>
      <c r="C502" s="3"/>
    </row>
    <row r="503" spans="1:3" ht="60">
      <c r="A503" s="3" t="s">
        <v>838</v>
      </c>
      <c r="B503" s="5" t="s">
        <v>2036</v>
      </c>
      <c r="C503" s="3"/>
    </row>
    <row r="504" spans="1:3" ht="72">
      <c r="A504" s="3" t="s">
        <v>839</v>
      </c>
      <c r="B504" s="5" t="s">
        <v>1792</v>
      </c>
      <c r="C504" s="3" t="s">
        <v>349</v>
      </c>
    </row>
    <row r="505" spans="1:3" ht="60">
      <c r="A505" s="3" t="s">
        <v>840</v>
      </c>
      <c r="B505" s="5" t="s">
        <v>1793</v>
      </c>
      <c r="C505" s="3"/>
    </row>
    <row r="506" spans="1:3" ht="48">
      <c r="A506" s="3" t="s">
        <v>841</v>
      </c>
      <c r="B506" s="5" t="s">
        <v>1794</v>
      </c>
      <c r="C506" s="3"/>
    </row>
    <row r="507" spans="1:3" ht="36">
      <c r="A507" s="3" t="s">
        <v>842</v>
      </c>
      <c r="B507" s="5" t="s">
        <v>1795</v>
      </c>
      <c r="C507" s="3"/>
    </row>
    <row r="508" spans="1:3" ht="36">
      <c r="A508" s="3" t="s">
        <v>843</v>
      </c>
      <c r="B508" s="5" t="s">
        <v>1796</v>
      </c>
      <c r="C508" s="3"/>
    </row>
    <row r="509" spans="1:3" ht="36">
      <c r="A509" s="3" t="s">
        <v>844</v>
      </c>
      <c r="B509" s="5" t="s">
        <v>2037</v>
      </c>
      <c r="C509" s="3" t="s">
        <v>350</v>
      </c>
    </row>
    <row r="510" spans="1:3" ht="84">
      <c r="A510" s="3" t="s">
        <v>845</v>
      </c>
      <c r="B510" s="5" t="s">
        <v>2038</v>
      </c>
      <c r="C510" s="3"/>
    </row>
    <row r="511" spans="1:3" ht="60">
      <c r="A511" s="3" t="s">
        <v>846</v>
      </c>
      <c r="B511" s="5" t="s">
        <v>1797</v>
      </c>
      <c r="C511" s="3"/>
    </row>
    <row r="512" spans="1:3" ht="36">
      <c r="A512" s="3" t="s">
        <v>847</v>
      </c>
      <c r="B512" s="5" t="s">
        <v>2039</v>
      </c>
      <c r="C512" s="3"/>
    </row>
    <row r="513" spans="1:3" ht="36">
      <c r="A513" s="3" t="s">
        <v>848</v>
      </c>
      <c r="B513" s="5" t="s">
        <v>1798</v>
      </c>
      <c r="C513" s="3"/>
    </row>
    <row r="514" spans="1:3" ht="72">
      <c r="A514" s="3" t="s">
        <v>849</v>
      </c>
      <c r="B514" s="5" t="s">
        <v>2040</v>
      </c>
      <c r="C514" s="3"/>
    </row>
    <row r="515" spans="1:3" ht="72">
      <c r="A515" s="3" t="s">
        <v>850</v>
      </c>
      <c r="B515" s="5" t="s">
        <v>1799</v>
      </c>
      <c r="C515" s="3" t="s">
        <v>351</v>
      </c>
    </row>
    <row r="516" spans="1:3" ht="60">
      <c r="A516" s="3" t="s">
        <v>851</v>
      </c>
      <c r="B516" s="5" t="s">
        <v>2041</v>
      </c>
      <c r="C516" s="3"/>
    </row>
    <row r="517" spans="1:3" ht="72">
      <c r="A517" s="3" t="s">
        <v>852</v>
      </c>
      <c r="B517" s="5" t="s">
        <v>2042</v>
      </c>
      <c r="C517" s="3" t="s">
        <v>352</v>
      </c>
    </row>
    <row r="518" spans="1:3" ht="108">
      <c r="A518" s="3" t="s">
        <v>853</v>
      </c>
      <c r="B518" s="5" t="s">
        <v>2043</v>
      </c>
      <c r="C518" s="3" t="s">
        <v>353</v>
      </c>
    </row>
    <row r="519" spans="1:3" ht="60">
      <c r="A519" s="3" t="s">
        <v>854</v>
      </c>
      <c r="B519" s="5" t="s">
        <v>1800</v>
      </c>
      <c r="C519" s="3"/>
    </row>
    <row r="520" spans="1:3" ht="108">
      <c r="A520" s="3" t="s">
        <v>855</v>
      </c>
      <c r="B520" s="5" t="s">
        <v>2275</v>
      </c>
      <c r="C520" s="3"/>
    </row>
    <row r="521" spans="1:3" ht="84">
      <c r="A521" s="3" t="s">
        <v>856</v>
      </c>
      <c r="B521" s="5" t="s">
        <v>2276</v>
      </c>
      <c r="C521" s="3"/>
    </row>
    <row r="522" spans="1:3" ht="108">
      <c r="A522" s="3" t="s">
        <v>857</v>
      </c>
      <c r="B522" s="5" t="s">
        <v>3108</v>
      </c>
      <c r="C522" s="3"/>
    </row>
    <row r="523" spans="1:3" ht="60">
      <c r="A523" s="3" t="s">
        <v>858</v>
      </c>
      <c r="B523" s="5" t="s">
        <v>3109</v>
      </c>
      <c r="C523" s="3"/>
    </row>
    <row r="524" spans="1:3" ht="84">
      <c r="A524" s="3" t="s">
        <v>859</v>
      </c>
      <c r="B524" s="5" t="s">
        <v>3110</v>
      </c>
      <c r="C524" s="3"/>
    </row>
    <row r="525" spans="1:3" ht="84">
      <c r="A525" s="3" t="s">
        <v>860</v>
      </c>
      <c r="B525" s="5" t="s">
        <v>2277</v>
      </c>
      <c r="C525" s="3"/>
    </row>
    <row r="526" spans="1:3" ht="108">
      <c r="A526" s="3" t="s">
        <v>861</v>
      </c>
      <c r="B526" s="5" t="s">
        <v>2278</v>
      </c>
      <c r="C526" s="3"/>
    </row>
    <row r="527" spans="1:3" ht="84">
      <c r="A527" s="3" t="s">
        <v>862</v>
      </c>
      <c r="B527" s="5" t="s">
        <v>2279</v>
      </c>
      <c r="C527" s="3"/>
    </row>
    <row r="528" spans="1:3" ht="84">
      <c r="A528" s="3" t="s">
        <v>863</v>
      </c>
      <c r="B528" s="5" t="s">
        <v>2280</v>
      </c>
      <c r="C528" s="3"/>
    </row>
    <row r="529" spans="1:3" ht="84">
      <c r="A529" s="3" t="s">
        <v>864</v>
      </c>
      <c r="B529" s="5" t="s">
        <v>3111</v>
      </c>
      <c r="C529" s="3"/>
    </row>
    <row r="530" spans="1:3" ht="60">
      <c r="A530" s="3" t="s">
        <v>865</v>
      </c>
      <c r="B530" s="5" t="s">
        <v>3360</v>
      </c>
      <c r="C530" s="3" t="s">
        <v>354</v>
      </c>
    </row>
    <row r="531" spans="1:3" ht="96">
      <c r="A531" s="3" t="s">
        <v>866</v>
      </c>
      <c r="B531" s="5" t="s">
        <v>2281</v>
      </c>
      <c r="C531" s="3"/>
    </row>
    <row r="532" spans="1:3" ht="96">
      <c r="A532" s="3" t="s">
        <v>867</v>
      </c>
      <c r="B532" s="5" t="s">
        <v>2282</v>
      </c>
      <c r="C532" s="3"/>
    </row>
    <row r="533" spans="1:3" ht="84">
      <c r="A533" s="3" t="s">
        <v>868</v>
      </c>
      <c r="B533" s="5" t="s">
        <v>2283</v>
      </c>
      <c r="C533" s="3"/>
    </row>
    <row r="534" spans="1:3" ht="108">
      <c r="A534" s="3" t="s">
        <v>869</v>
      </c>
      <c r="B534" s="5" t="s">
        <v>3112</v>
      </c>
      <c r="C534" s="3"/>
    </row>
    <row r="535" spans="1:3" ht="108">
      <c r="A535" s="3" t="s">
        <v>870</v>
      </c>
      <c r="B535" s="5" t="s">
        <v>3113</v>
      </c>
      <c r="C535" s="3"/>
    </row>
    <row r="536" spans="1:3" ht="108">
      <c r="A536" s="3" t="s">
        <v>871</v>
      </c>
      <c r="B536" s="5" t="s">
        <v>3114</v>
      </c>
      <c r="C536" s="3"/>
    </row>
    <row r="537" spans="1:3" ht="60">
      <c r="A537" s="3" t="s">
        <v>872</v>
      </c>
      <c r="B537" s="5" t="s">
        <v>2284</v>
      </c>
      <c r="C537" s="3"/>
    </row>
    <row r="538" spans="1:3" ht="108">
      <c r="A538" s="3" t="s">
        <v>873</v>
      </c>
      <c r="B538" s="5" t="s">
        <v>2285</v>
      </c>
      <c r="C538" s="3"/>
    </row>
    <row r="539" spans="1:3" ht="84">
      <c r="A539" s="3" t="s">
        <v>874</v>
      </c>
      <c r="B539" s="5" t="s">
        <v>3115</v>
      </c>
      <c r="C539" s="3"/>
    </row>
    <row r="540" spans="1:3" ht="96">
      <c r="A540" s="3" t="s">
        <v>875</v>
      </c>
      <c r="B540" s="5" t="s">
        <v>3116</v>
      </c>
      <c r="C540" s="3"/>
    </row>
    <row r="541" spans="1:3" ht="72">
      <c r="A541" s="3" t="s">
        <v>876</v>
      </c>
      <c r="B541" s="5" t="s">
        <v>2286</v>
      </c>
      <c r="C541" s="3"/>
    </row>
    <row r="542" spans="1:3" ht="72">
      <c r="A542" s="3" t="s">
        <v>877</v>
      </c>
      <c r="B542" s="5" t="s">
        <v>2287</v>
      </c>
      <c r="C542" s="3"/>
    </row>
    <row r="543" spans="1:3" ht="72">
      <c r="A543" s="3" t="s">
        <v>878</v>
      </c>
      <c r="B543" s="5" t="s">
        <v>2288</v>
      </c>
      <c r="C543" s="3"/>
    </row>
    <row r="544" spans="1:3" ht="84">
      <c r="A544" s="3" t="s">
        <v>879</v>
      </c>
      <c r="B544" s="5" t="s">
        <v>2289</v>
      </c>
      <c r="C544" s="3"/>
    </row>
    <row r="545" spans="1:3" ht="84">
      <c r="A545" s="3" t="s">
        <v>880</v>
      </c>
      <c r="B545" s="5" t="s">
        <v>2290</v>
      </c>
      <c r="C545" s="3"/>
    </row>
    <row r="546" spans="1:3" ht="72">
      <c r="A546" s="3" t="s">
        <v>881</v>
      </c>
      <c r="B546" s="5" t="s">
        <v>2291</v>
      </c>
      <c r="C546" s="3"/>
    </row>
    <row r="547" spans="1:3" ht="84">
      <c r="A547" s="3" t="s">
        <v>882</v>
      </c>
      <c r="B547" s="5" t="s">
        <v>3117</v>
      </c>
      <c r="C547" s="3"/>
    </row>
    <row r="548" spans="1:3" ht="72">
      <c r="A548" s="3" t="s">
        <v>883</v>
      </c>
      <c r="B548" s="5" t="s">
        <v>3118</v>
      </c>
      <c r="C548" s="3"/>
    </row>
    <row r="549" spans="1:3" ht="48">
      <c r="A549" s="3" t="s">
        <v>884</v>
      </c>
      <c r="B549" s="5" t="s">
        <v>2292</v>
      </c>
      <c r="C549" s="3"/>
    </row>
    <row r="550" spans="1:3" ht="60">
      <c r="A550" s="3" t="s">
        <v>885</v>
      </c>
      <c r="B550" s="5" t="s">
        <v>2293</v>
      </c>
      <c r="C550" s="3"/>
    </row>
    <row r="551" spans="1:3" ht="84">
      <c r="A551" s="3" t="s">
        <v>886</v>
      </c>
      <c r="B551" s="5" t="s">
        <v>2294</v>
      </c>
      <c r="C551" s="3"/>
    </row>
    <row r="552" spans="1:3" ht="72">
      <c r="A552" s="3" t="s">
        <v>887</v>
      </c>
      <c r="B552" s="5" t="s">
        <v>2295</v>
      </c>
      <c r="C552" s="3"/>
    </row>
    <row r="553" spans="1:3" ht="84">
      <c r="A553" s="3" t="s">
        <v>888</v>
      </c>
      <c r="B553" s="5" t="s">
        <v>2296</v>
      </c>
      <c r="C553" s="3"/>
    </row>
    <row r="554" spans="1:3" ht="84">
      <c r="A554" s="3" t="s">
        <v>889</v>
      </c>
      <c r="B554" s="5" t="s">
        <v>2297</v>
      </c>
      <c r="C554" s="3"/>
    </row>
    <row r="555" spans="1:3" ht="72">
      <c r="A555" s="3" t="s">
        <v>890</v>
      </c>
      <c r="B555" s="5" t="s">
        <v>2298</v>
      </c>
      <c r="C555" s="3"/>
    </row>
    <row r="556" spans="1:3" ht="60">
      <c r="A556" s="3" t="s">
        <v>891</v>
      </c>
      <c r="B556" s="5" t="s">
        <v>2299</v>
      </c>
      <c r="C556" s="3"/>
    </row>
    <row r="557" spans="1:3" ht="108">
      <c r="A557" s="3" t="s">
        <v>892</v>
      </c>
      <c r="B557" s="5" t="s">
        <v>2300</v>
      </c>
      <c r="C557" s="3"/>
    </row>
    <row r="558" spans="1:3" ht="84">
      <c r="A558" s="3" t="s">
        <v>893</v>
      </c>
      <c r="B558" s="5" t="s">
        <v>2301</v>
      </c>
      <c r="C558" s="3"/>
    </row>
    <row r="559" spans="1:3" ht="96">
      <c r="A559" s="3" t="s">
        <v>894</v>
      </c>
      <c r="B559" s="5" t="s">
        <v>2302</v>
      </c>
      <c r="C559" s="3"/>
    </row>
    <row r="560" spans="1:3" ht="84">
      <c r="A560" s="3" t="s">
        <v>895</v>
      </c>
      <c r="B560" s="5" t="s">
        <v>3119</v>
      </c>
      <c r="C560" s="3"/>
    </row>
    <row r="561" spans="1:3" ht="48">
      <c r="A561" s="3" t="s">
        <v>896</v>
      </c>
      <c r="B561" s="5" t="s">
        <v>2303</v>
      </c>
      <c r="C561" s="3"/>
    </row>
    <row r="562" spans="1:3" ht="72">
      <c r="A562" s="3" t="s">
        <v>897</v>
      </c>
      <c r="B562" s="5" t="s">
        <v>2304</v>
      </c>
      <c r="C562" s="3"/>
    </row>
    <row r="563" spans="1:3" ht="84">
      <c r="A563" s="3" t="s">
        <v>898</v>
      </c>
      <c r="B563" s="5" t="s">
        <v>2305</v>
      </c>
      <c r="C563" s="3"/>
    </row>
    <row r="564" spans="1:3" ht="84">
      <c r="A564" s="3" t="s">
        <v>899</v>
      </c>
      <c r="B564" s="5" t="s">
        <v>2306</v>
      </c>
      <c r="C564" s="3"/>
    </row>
    <row r="565" spans="1:3" ht="72">
      <c r="A565" s="3" t="s">
        <v>900</v>
      </c>
      <c r="B565" s="5" t="s">
        <v>2307</v>
      </c>
      <c r="C565" s="3"/>
    </row>
    <row r="566" spans="1:3" ht="84">
      <c r="A566" s="3" t="s">
        <v>3766</v>
      </c>
      <c r="B566" s="5" t="s">
        <v>3361</v>
      </c>
      <c r="C566" s="3"/>
    </row>
    <row r="567" spans="1:3" ht="84">
      <c r="A567" s="3" t="s">
        <v>3767</v>
      </c>
      <c r="B567" s="5" t="s">
        <v>3362</v>
      </c>
      <c r="C567" s="3"/>
    </row>
    <row r="568" spans="1:3" ht="144">
      <c r="A568" s="3" t="s">
        <v>3768</v>
      </c>
      <c r="B568" s="5" t="s">
        <v>3363</v>
      </c>
      <c r="C568" s="3"/>
    </row>
    <row r="569" spans="1:3" ht="96">
      <c r="A569" s="3" t="s">
        <v>3769</v>
      </c>
      <c r="B569" s="5" t="s">
        <v>3364</v>
      </c>
      <c r="C569" s="3"/>
    </row>
    <row r="570" spans="1:3" ht="60">
      <c r="A570" s="3" t="s">
        <v>3770</v>
      </c>
      <c r="B570" s="5" t="s">
        <v>3365</v>
      </c>
      <c r="C570" s="3"/>
    </row>
    <row r="571" spans="1:3" ht="72">
      <c r="A571" s="3" t="s">
        <v>3771</v>
      </c>
      <c r="B571" s="5" t="s">
        <v>3366</v>
      </c>
      <c r="C571" s="3"/>
    </row>
    <row r="572" spans="1:3" ht="84">
      <c r="A572" s="3" t="s">
        <v>3772</v>
      </c>
      <c r="B572" s="5" t="s">
        <v>3367</v>
      </c>
      <c r="C572" s="3"/>
    </row>
    <row r="573" spans="1:3" ht="84">
      <c r="A573" s="3" t="s">
        <v>3773</v>
      </c>
      <c r="B573" s="5" t="s">
        <v>3368</v>
      </c>
      <c r="C573" s="3"/>
    </row>
    <row r="574" spans="1:3" ht="36">
      <c r="A574" s="3" t="s">
        <v>3774</v>
      </c>
      <c r="B574" s="5" t="s">
        <v>3369</v>
      </c>
      <c r="C574" s="3"/>
    </row>
    <row r="575" spans="1:3" ht="48">
      <c r="A575" s="3" t="s">
        <v>3775</v>
      </c>
      <c r="B575" s="5" t="s">
        <v>3370</v>
      </c>
      <c r="C575" s="3"/>
    </row>
    <row r="576" spans="1:3" ht="36">
      <c r="A576" s="3" t="s">
        <v>3776</v>
      </c>
      <c r="B576" s="5" t="s">
        <v>3371</v>
      </c>
      <c r="C576" s="3"/>
    </row>
    <row r="577" spans="1:3" ht="96">
      <c r="A577" s="3" t="s">
        <v>3777</v>
      </c>
      <c r="B577" s="5" t="s">
        <v>3372</v>
      </c>
      <c r="C577" s="3"/>
    </row>
    <row r="578" spans="1:3" ht="72">
      <c r="A578" s="3" t="s">
        <v>901</v>
      </c>
      <c r="B578" s="5" t="s">
        <v>1903</v>
      </c>
      <c r="C578" s="3"/>
    </row>
    <row r="579" spans="1:3" ht="48">
      <c r="A579" s="3" t="s">
        <v>902</v>
      </c>
      <c r="B579" s="5" t="s">
        <v>2044</v>
      </c>
      <c r="C579" s="3"/>
    </row>
    <row r="580" spans="1:3" ht="36">
      <c r="A580" s="3" t="s">
        <v>903</v>
      </c>
      <c r="B580" s="5" t="s">
        <v>1801</v>
      </c>
      <c r="C580" s="3"/>
    </row>
    <row r="581" spans="1:3" ht="48">
      <c r="A581" s="3" t="s">
        <v>904</v>
      </c>
      <c r="B581" s="5" t="s">
        <v>2045</v>
      </c>
      <c r="C581" s="3"/>
    </row>
    <row r="582" spans="1:3" ht="60">
      <c r="A582" s="3" t="s">
        <v>905</v>
      </c>
      <c r="B582" s="5" t="s">
        <v>2046</v>
      </c>
      <c r="C582" s="3"/>
    </row>
    <row r="583" spans="1:3" ht="48">
      <c r="A583" s="3" t="s">
        <v>906</v>
      </c>
      <c r="B583" s="5" t="s">
        <v>2047</v>
      </c>
      <c r="C583" s="3"/>
    </row>
    <row r="584" spans="1:3" ht="84">
      <c r="A584" s="3" t="s">
        <v>907</v>
      </c>
      <c r="B584" s="5" t="s">
        <v>2048</v>
      </c>
      <c r="C584" s="3"/>
    </row>
    <row r="585" spans="1:3" ht="48">
      <c r="A585" s="3" t="s">
        <v>908</v>
      </c>
      <c r="B585" s="5" t="s">
        <v>1802</v>
      </c>
      <c r="C585" s="3"/>
    </row>
    <row r="586" spans="1:3" ht="36">
      <c r="A586" s="3" t="s">
        <v>909</v>
      </c>
      <c r="B586" s="5" t="s">
        <v>2049</v>
      </c>
      <c r="C586" s="3"/>
    </row>
    <row r="587" spans="1:3" ht="48">
      <c r="A587" s="3" t="s">
        <v>910</v>
      </c>
      <c r="B587" s="5" t="s">
        <v>1803</v>
      </c>
      <c r="C587" s="3" t="s">
        <v>355</v>
      </c>
    </row>
    <row r="588" spans="1:3" ht="180">
      <c r="A588" s="3" t="s">
        <v>3778</v>
      </c>
      <c r="B588" s="5" t="s">
        <v>3373</v>
      </c>
      <c r="C588" s="3"/>
    </row>
    <row r="589" spans="1:3" ht="132">
      <c r="A589" s="3" t="s">
        <v>3779</v>
      </c>
      <c r="B589" s="5" t="s">
        <v>3374</v>
      </c>
      <c r="C589" s="3"/>
    </row>
    <row r="590" spans="1:3" ht="96">
      <c r="A590" s="3" t="s">
        <v>3780</v>
      </c>
      <c r="B590" s="5" t="s">
        <v>3375</v>
      </c>
      <c r="C590" s="3"/>
    </row>
    <row r="591" spans="1:3" ht="84">
      <c r="A591" s="3" t="s">
        <v>911</v>
      </c>
      <c r="B591" s="5" t="s">
        <v>2308</v>
      </c>
      <c r="C591" s="3"/>
    </row>
    <row r="592" spans="1:3" ht="96">
      <c r="A592" s="3" t="s">
        <v>912</v>
      </c>
      <c r="B592" s="5" t="s">
        <v>2309</v>
      </c>
      <c r="C592" s="3"/>
    </row>
    <row r="593" spans="1:3" ht="108">
      <c r="A593" s="3" t="s">
        <v>913</v>
      </c>
      <c r="B593" s="5" t="s">
        <v>2310</v>
      </c>
      <c r="C593" s="3" t="s">
        <v>356</v>
      </c>
    </row>
    <row r="594" spans="1:3" ht="96">
      <c r="A594" s="3" t="s">
        <v>914</v>
      </c>
      <c r="B594" s="5" t="s">
        <v>2311</v>
      </c>
      <c r="C594" s="3"/>
    </row>
    <row r="595" spans="1:3" ht="72">
      <c r="A595" s="3" t="s">
        <v>915</v>
      </c>
      <c r="B595" s="5" t="s">
        <v>3120</v>
      </c>
      <c r="C595" s="3"/>
    </row>
    <row r="596" spans="1:3" ht="60">
      <c r="A596" s="3" t="s">
        <v>916</v>
      </c>
      <c r="B596" s="5" t="s">
        <v>3121</v>
      </c>
      <c r="C596" s="3" t="s">
        <v>357</v>
      </c>
    </row>
    <row r="597" spans="1:3" ht="72">
      <c r="A597" s="3" t="s">
        <v>917</v>
      </c>
      <c r="B597" s="5" t="s">
        <v>3122</v>
      </c>
      <c r="C597" s="3"/>
    </row>
    <row r="598" spans="1:3" ht="72">
      <c r="A598" s="3" t="s">
        <v>918</v>
      </c>
      <c r="B598" s="5" t="s">
        <v>3123</v>
      </c>
      <c r="C598" s="3"/>
    </row>
    <row r="599" spans="1:3" ht="72">
      <c r="A599" s="3" t="s">
        <v>919</v>
      </c>
      <c r="B599" s="5" t="s">
        <v>3124</v>
      </c>
      <c r="C599" s="3"/>
    </row>
    <row r="600" spans="1:3" ht="48">
      <c r="A600" s="3" t="s">
        <v>920</v>
      </c>
      <c r="B600" s="5" t="s">
        <v>2312</v>
      </c>
      <c r="C600" s="3"/>
    </row>
    <row r="601" spans="1:3" ht="60">
      <c r="A601" s="3" t="s">
        <v>921</v>
      </c>
      <c r="B601" s="5" t="s">
        <v>2313</v>
      </c>
      <c r="C601" s="3"/>
    </row>
    <row r="602" spans="1:3" ht="60">
      <c r="A602" s="3" t="s">
        <v>922</v>
      </c>
      <c r="B602" s="5" t="s">
        <v>2314</v>
      </c>
      <c r="C602" s="3"/>
    </row>
    <row r="603" spans="1:3" ht="60">
      <c r="A603" s="3" t="s">
        <v>923</v>
      </c>
      <c r="B603" s="5" t="s">
        <v>1804</v>
      </c>
      <c r="C603" s="3"/>
    </row>
    <row r="604" spans="1:3" ht="96">
      <c r="A604" s="3" t="s">
        <v>924</v>
      </c>
      <c r="B604" s="5" t="s">
        <v>1805</v>
      </c>
      <c r="C604" s="3"/>
    </row>
    <row r="605" spans="1:3" ht="72">
      <c r="A605" s="3" t="s">
        <v>925</v>
      </c>
      <c r="B605" s="5" t="s">
        <v>1806</v>
      </c>
      <c r="C605" s="3"/>
    </row>
    <row r="606" spans="1:3" ht="84">
      <c r="A606" s="3" t="s">
        <v>926</v>
      </c>
      <c r="B606" s="5" t="s">
        <v>2315</v>
      </c>
      <c r="C606" s="3"/>
    </row>
    <row r="607" spans="1:3" ht="96">
      <c r="A607" s="3" t="s">
        <v>927</v>
      </c>
      <c r="B607" s="5" t="s">
        <v>2316</v>
      </c>
      <c r="C607" s="3"/>
    </row>
    <row r="608" spans="1:3" ht="36">
      <c r="A608" s="3" t="s">
        <v>928</v>
      </c>
      <c r="B608" s="5" t="s">
        <v>2317</v>
      </c>
      <c r="C608" s="3" t="s">
        <v>358</v>
      </c>
    </row>
    <row r="609" spans="1:3" ht="60">
      <c r="A609" s="3" t="s">
        <v>929</v>
      </c>
      <c r="B609" s="5" t="s">
        <v>2050</v>
      </c>
      <c r="C609" s="3"/>
    </row>
    <row r="610" spans="1:3" ht="60">
      <c r="A610" s="3" t="s">
        <v>930</v>
      </c>
      <c r="B610" s="5" t="s">
        <v>1807</v>
      </c>
      <c r="C610" s="3"/>
    </row>
    <row r="611" spans="1:3" ht="48">
      <c r="A611" s="3" t="s">
        <v>931</v>
      </c>
      <c r="B611" s="5" t="s">
        <v>2051</v>
      </c>
      <c r="C611" s="3"/>
    </row>
    <row r="612" spans="1:3" ht="72">
      <c r="A612" s="3" t="s">
        <v>932</v>
      </c>
      <c r="B612" s="5" t="s">
        <v>2052</v>
      </c>
      <c r="C612" s="3"/>
    </row>
    <row r="613" spans="1:3" ht="72">
      <c r="A613" s="3" t="s">
        <v>933</v>
      </c>
      <c r="B613" s="5" t="s">
        <v>2053</v>
      </c>
      <c r="C613" s="3"/>
    </row>
    <row r="614" spans="1:3" ht="60">
      <c r="A614" s="3" t="s">
        <v>934</v>
      </c>
      <c r="B614" s="5" t="s">
        <v>1808</v>
      </c>
      <c r="C614" s="3"/>
    </row>
    <row r="615" spans="1:3" ht="72">
      <c r="A615" s="3" t="s">
        <v>935</v>
      </c>
      <c r="B615" s="5" t="s">
        <v>2054</v>
      </c>
      <c r="C615" s="3"/>
    </row>
    <row r="616" spans="1:3" ht="72">
      <c r="A616" s="3" t="s">
        <v>936</v>
      </c>
      <c r="B616" s="5" t="s">
        <v>2055</v>
      </c>
      <c r="C616" s="3"/>
    </row>
    <row r="617" spans="1:3" ht="60">
      <c r="A617" s="3" t="s">
        <v>937</v>
      </c>
      <c r="B617" s="5" t="s">
        <v>2056</v>
      </c>
      <c r="C617" s="3"/>
    </row>
    <row r="618" spans="1:3" ht="72">
      <c r="A618" s="3" t="s">
        <v>938</v>
      </c>
      <c r="B618" s="5" t="s">
        <v>1809</v>
      </c>
      <c r="C618" s="3" t="s">
        <v>359</v>
      </c>
    </row>
    <row r="619" spans="1:3" ht="60">
      <c r="A619" s="3" t="s">
        <v>3781</v>
      </c>
      <c r="B619" s="5" t="s">
        <v>3376</v>
      </c>
      <c r="C619" s="3"/>
    </row>
    <row r="620" spans="1:3" ht="36">
      <c r="A620" s="3" t="s">
        <v>3782</v>
      </c>
      <c r="B620" s="5" t="s">
        <v>3377</v>
      </c>
      <c r="C620" s="3"/>
    </row>
    <row r="621" spans="1:3" ht="120">
      <c r="A621" s="3" t="s">
        <v>939</v>
      </c>
      <c r="B621" s="5" t="s">
        <v>2318</v>
      </c>
      <c r="C621" s="3"/>
    </row>
    <row r="622" spans="1:3" ht="108">
      <c r="A622" s="3" t="s">
        <v>3783</v>
      </c>
      <c r="B622" s="5" t="s">
        <v>3378</v>
      </c>
      <c r="C622" s="3"/>
    </row>
    <row r="623" spans="1:3" ht="72">
      <c r="A623" s="3" t="s">
        <v>940</v>
      </c>
      <c r="B623" s="5" t="s">
        <v>2319</v>
      </c>
      <c r="C623" s="3"/>
    </row>
    <row r="624" spans="1:3" ht="96">
      <c r="A624" s="3" t="s">
        <v>941</v>
      </c>
      <c r="B624" s="5" t="s">
        <v>2320</v>
      </c>
      <c r="C624" s="3"/>
    </row>
    <row r="625" spans="1:3" ht="96">
      <c r="A625" s="3" t="s">
        <v>942</v>
      </c>
      <c r="B625" s="5" t="s">
        <v>2321</v>
      </c>
      <c r="C625" s="3"/>
    </row>
    <row r="626" spans="1:3" ht="72">
      <c r="A626" s="3" t="s">
        <v>943</v>
      </c>
      <c r="B626" s="5" t="s">
        <v>2322</v>
      </c>
      <c r="C626" s="3"/>
    </row>
    <row r="627" spans="1:3" ht="72">
      <c r="A627" s="3" t="s">
        <v>944</v>
      </c>
      <c r="B627" s="5" t="s">
        <v>3125</v>
      </c>
      <c r="C627" s="3"/>
    </row>
    <row r="628" spans="1:3" ht="72">
      <c r="A628" s="3" t="s">
        <v>945</v>
      </c>
      <c r="B628" s="5" t="s">
        <v>3126</v>
      </c>
      <c r="C628" s="3"/>
    </row>
    <row r="629" spans="1:3" ht="84">
      <c r="A629" s="3" t="s">
        <v>946</v>
      </c>
      <c r="B629" s="5" t="s">
        <v>3127</v>
      </c>
      <c r="C629" s="3"/>
    </row>
    <row r="630" spans="1:3" ht="72">
      <c r="A630" s="3" t="s">
        <v>947</v>
      </c>
      <c r="B630" s="5" t="s">
        <v>2323</v>
      </c>
      <c r="C630" s="3"/>
    </row>
    <row r="631" spans="1:3" ht="72">
      <c r="A631" s="3" t="s">
        <v>948</v>
      </c>
      <c r="B631" s="5" t="s">
        <v>2324</v>
      </c>
      <c r="C631" s="3"/>
    </row>
    <row r="632" spans="1:3" ht="72">
      <c r="A632" s="3" t="s">
        <v>949</v>
      </c>
      <c r="B632" s="5" t="s">
        <v>2325</v>
      </c>
      <c r="C632" s="3"/>
    </row>
    <row r="633" spans="1:3" ht="84">
      <c r="A633" s="3" t="s">
        <v>950</v>
      </c>
      <c r="B633" s="5" t="s">
        <v>1904</v>
      </c>
      <c r="C633" s="3"/>
    </row>
    <row r="634" spans="1:3" ht="72">
      <c r="A634" s="3" t="s">
        <v>951</v>
      </c>
      <c r="B634" s="5" t="s">
        <v>2057</v>
      </c>
      <c r="C634" s="3"/>
    </row>
    <row r="635" spans="1:3" ht="72">
      <c r="A635" s="3" t="s">
        <v>952</v>
      </c>
      <c r="B635" s="5" t="s">
        <v>2058</v>
      </c>
      <c r="C635" s="3"/>
    </row>
    <row r="636" spans="1:3" ht="108">
      <c r="A636" s="3" t="s">
        <v>953</v>
      </c>
      <c r="B636" s="5" t="s">
        <v>2059</v>
      </c>
      <c r="C636" s="3"/>
    </row>
    <row r="637" spans="1:3" ht="48">
      <c r="A637" s="3" t="s">
        <v>954</v>
      </c>
      <c r="B637" s="5" t="s">
        <v>1810</v>
      </c>
      <c r="C637" s="3"/>
    </row>
    <row r="638" spans="1:3" ht="84">
      <c r="A638" s="3" t="s">
        <v>955</v>
      </c>
      <c r="B638" s="5" t="s">
        <v>1811</v>
      </c>
      <c r="C638" s="3"/>
    </row>
    <row r="639" spans="1:3" ht="84">
      <c r="A639" s="3" t="s">
        <v>956</v>
      </c>
      <c r="B639" s="5" t="s">
        <v>1812</v>
      </c>
      <c r="C639" s="3"/>
    </row>
    <row r="640" spans="1:3" ht="72">
      <c r="A640" s="3" t="s">
        <v>957</v>
      </c>
      <c r="B640" s="5" t="s">
        <v>1813</v>
      </c>
      <c r="C640" s="3"/>
    </row>
    <row r="641" spans="1:3" ht="108">
      <c r="A641" s="3" t="s">
        <v>958</v>
      </c>
      <c r="B641" s="5" t="s">
        <v>1814</v>
      </c>
      <c r="C641" s="3"/>
    </row>
    <row r="642" spans="1:3" ht="48">
      <c r="A642" s="3" t="s">
        <v>959</v>
      </c>
      <c r="B642" s="5" t="s">
        <v>1815</v>
      </c>
      <c r="C642" s="3"/>
    </row>
    <row r="643" spans="1:3" ht="144">
      <c r="A643" s="3" t="s">
        <v>3784</v>
      </c>
      <c r="B643" s="5" t="s">
        <v>3379</v>
      </c>
      <c r="C643" s="3"/>
    </row>
    <row r="644" spans="1:3" ht="108">
      <c r="A644" s="3" t="s">
        <v>3785</v>
      </c>
      <c r="B644" s="5" t="s">
        <v>3380</v>
      </c>
      <c r="C644" s="3"/>
    </row>
    <row r="645" spans="1:3" ht="72">
      <c r="A645" s="3" t="s">
        <v>960</v>
      </c>
      <c r="B645" s="5" t="s">
        <v>2326</v>
      </c>
      <c r="C645" s="3"/>
    </row>
    <row r="646" spans="1:3" ht="72">
      <c r="A646" s="3" t="s">
        <v>961</v>
      </c>
      <c r="B646" s="5" t="s">
        <v>2327</v>
      </c>
      <c r="C646" s="3"/>
    </row>
    <row r="647" spans="1:3" ht="84">
      <c r="A647" s="3" t="s">
        <v>962</v>
      </c>
      <c r="B647" s="5" t="s">
        <v>2328</v>
      </c>
      <c r="C647" s="3"/>
    </row>
    <row r="648" spans="1:3" ht="108">
      <c r="A648" s="3" t="s">
        <v>963</v>
      </c>
      <c r="B648" s="5" t="s">
        <v>2329</v>
      </c>
      <c r="C648" s="3"/>
    </row>
    <row r="649" spans="1:3" ht="84">
      <c r="A649" s="3" t="s">
        <v>964</v>
      </c>
      <c r="B649" s="5" t="s">
        <v>2330</v>
      </c>
      <c r="C649" s="3"/>
    </row>
    <row r="650" spans="1:3" ht="96">
      <c r="A650" s="3" t="s">
        <v>965</v>
      </c>
      <c r="B650" s="5" t="s">
        <v>2331</v>
      </c>
      <c r="C650" s="3"/>
    </row>
    <row r="651" spans="1:3" ht="72">
      <c r="A651" s="3" t="s">
        <v>966</v>
      </c>
      <c r="B651" s="5" t="s">
        <v>2332</v>
      </c>
      <c r="C651" s="3"/>
    </row>
    <row r="652" spans="1:3" ht="84">
      <c r="A652" s="3" t="s">
        <v>967</v>
      </c>
      <c r="B652" s="5" t="s">
        <v>3128</v>
      </c>
      <c r="C652" s="3"/>
    </row>
    <row r="653" spans="1:3" ht="96">
      <c r="A653" s="3" t="s">
        <v>968</v>
      </c>
      <c r="B653" s="5" t="s">
        <v>3129</v>
      </c>
      <c r="C653" s="3"/>
    </row>
    <row r="654" spans="1:3" ht="84">
      <c r="A654" s="3" t="s">
        <v>969</v>
      </c>
      <c r="B654" s="5" t="s">
        <v>3130</v>
      </c>
      <c r="C654" s="3"/>
    </row>
    <row r="655" spans="1:3" ht="72">
      <c r="A655" s="3" t="s">
        <v>970</v>
      </c>
      <c r="B655" s="5" t="s">
        <v>2333</v>
      </c>
      <c r="C655" s="3"/>
    </row>
    <row r="656" spans="1:3" ht="84">
      <c r="A656" s="3" t="s">
        <v>971</v>
      </c>
      <c r="B656" s="5" t="s">
        <v>2334</v>
      </c>
      <c r="C656" s="3"/>
    </row>
    <row r="657" spans="1:3" ht="84">
      <c r="A657" s="3" t="s">
        <v>972</v>
      </c>
      <c r="B657" s="5" t="s">
        <v>2335</v>
      </c>
      <c r="C657" s="3"/>
    </row>
    <row r="658" spans="1:3" ht="60">
      <c r="A658" s="3" t="s">
        <v>973</v>
      </c>
      <c r="B658" s="5" t="s">
        <v>2060</v>
      </c>
      <c r="C658" s="3"/>
    </row>
    <row r="659" spans="1:3" ht="48">
      <c r="A659" s="3" t="s">
        <v>974</v>
      </c>
      <c r="B659" s="5" t="s">
        <v>1816</v>
      </c>
      <c r="C659" s="3"/>
    </row>
    <row r="660" spans="1:3" ht="48">
      <c r="A660" s="3" t="s">
        <v>975</v>
      </c>
      <c r="B660" s="5" t="s">
        <v>1817</v>
      </c>
      <c r="C660" s="3"/>
    </row>
    <row r="661" spans="1:3" ht="108">
      <c r="A661" s="3" t="s">
        <v>976</v>
      </c>
      <c r="B661" s="5" t="s">
        <v>2061</v>
      </c>
      <c r="C661" s="3"/>
    </row>
    <row r="662" spans="1:3" ht="72">
      <c r="A662" s="3" t="s">
        <v>977</v>
      </c>
      <c r="B662" s="5" t="s">
        <v>2062</v>
      </c>
      <c r="C662" s="3"/>
    </row>
    <row r="663" spans="1:3" ht="60">
      <c r="A663" s="3" t="s">
        <v>978</v>
      </c>
      <c r="B663" s="5" t="s">
        <v>2063</v>
      </c>
      <c r="C663" s="3"/>
    </row>
    <row r="664" spans="1:3" ht="108">
      <c r="A664" s="3" t="s">
        <v>979</v>
      </c>
      <c r="B664" s="5" t="s">
        <v>2064</v>
      </c>
      <c r="C664" s="3"/>
    </row>
    <row r="665" spans="1:3" ht="60">
      <c r="A665" s="3" t="s">
        <v>980</v>
      </c>
      <c r="B665" s="5" t="s">
        <v>1818</v>
      </c>
      <c r="C665" s="3"/>
    </row>
    <row r="666" spans="1:3" ht="60">
      <c r="A666" s="3" t="s">
        <v>981</v>
      </c>
      <c r="B666" s="5" t="s">
        <v>1819</v>
      </c>
      <c r="C666" s="3"/>
    </row>
    <row r="667" spans="1:3" ht="96">
      <c r="A667" s="3" t="s">
        <v>982</v>
      </c>
      <c r="B667" s="5" t="s">
        <v>1820</v>
      </c>
      <c r="C667" s="3"/>
    </row>
    <row r="668" spans="1:3" ht="108">
      <c r="A668" s="3" t="s">
        <v>3786</v>
      </c>
      <c r="B668" s="5" t="s">
        <v>3381</v>
      </c>
      <c r="C668" s="3"/>
    </row>
    <row r="669" spans="1:3" ht="84">
      <c r="A669" s="3" t="s">
        <v>983</v>
      </c>
      <c r="B669" s="5" t="s">
        <v>2336</v>
      </c>
      <c r="C669" s="3"/>
    </row>
    <row r="670" spans="1:3" ht="96">
      <c r="A670" s="3" t="s">
        <v>984</v>
      </c>
      <c r="B670" s="5" t="s">
        <v>2337</v>
      </c>
      <c r="C670" s="3"/>
    </row>
    <row r="671" spans="1:3" ht="84">
      <c r="A671" s="3" t="s">
        <v>985</v>
      </c>
      <c r="B671" s="5" t="s">
        <v>2338</v>
      </c>
      <c r="C671" s="3"/>
    </row>
    <row r="672" spans="1:3" ht="72">
      <c r="A672" s="3" t="s">
        <v>986</v>
      </c>
      <c r="B672" s="5" t="s">
        <v>2339</v>
      </c>
      <c r="C672" s="3"/>
    </row>
    <row r="673" spans="1:3" ht="120">
      <c r="A673" s="3" t="s">
        <v>987</v>
      </c>
      <c r="B673" s="5" t="s">
        <v>3131</v>
      </c>
      <c r="C673" s="3"/>
    </row>
    <row r="674" spans="1:3" ht="108">
      <c r="A674" s="3" t="s">
        <v>988</v>
      </c>
      <c r="B674" s="5" t="s">
        <v>3132</v>
      </c>
      <c r="C674" s="3"/>
    </row>
    <row r="675" spans="1:3" ht="108">
      <c r="A675" s="3" t="s">
        <v>989</v>
      </c>
      <c r="B675" s="5" t="s">
        <v>3133</v>
      </c>
      <c r="C675" s="3"/>
    </row>
    <row r="676" spans="1:3" ht="120">
      <c r="A676" s="3" t="s">
        <v>990</v>
      </c>
      <c r="B676" s="5" t="s">
        <v>3134</v>
      </c>
      <c r="C676" s="3"/>
    </row>
    <row r="677" spans="1:3" ht="96">
      <c r="A677" s="3" t="s">
        <v>991</v>
      </c>
      <c r="B677" s="5" t="s">
        <v>3135</v>
      </c>
      <c r="C677" s="3"/>
    </row>
    <row r="678" spans="1:3" ht="96">
      <c r="A678" s="3" t="s">
        <v>992</v>
      </c>
      <c r="B678" s="5" t="s">
        <v>3136</v>
      </c>
      <c r="C678" s="3"/>
    </row>
    <row r="679" spans="1:3" ht="108">
      <c r="A679" s="3" t="s">
        <v>993</v>
      </c>
      <c r="B679" s="5" t="s">
        <v>3137</v>
      </c>
      <c r="C679" s="3"/>
    </row>
    <row r="680" spans="1:3" ht="96">
      <c r="A680" s="3" t="s">
        <v>994</v>
      </c>
      <c r="B680" s="5" t="s">
        <v>3138</v>
      </c>
      <c r="C680" s="3"/>
    </row>
    <row r="681" spans="1:3" ht="84">
      <c r="A681" s="3" t="s">
        <v>995</v>
      </c>
      <c r="B681" s="5" t="s">
        <v>2340</v>
      </c>
      <c r="C681" s="3"/>
    </row>
    <row r="682" spans="1:3" ht="72">
      <c r="A682" s="3" t="s">
        <v>996</v>
      </c>
      <c r="B682" s="5" t="s">
        <v>2341</v>
      </c>
      <c r="C682" s="3"/>
    </row>
    <row r="683" spans="1:3" ht="60">
      <c r="A683" s="3" t="s">
        <v>997</v>
      </c>
      <c r="B683" s="5" t="s">
        <v>2342</v>
      </c>
      <c r="C683" s="3"/>
    </row>
    <row r="684" spans="1:3" ht="72">
      <c r="A684" s="3" t="s">
        <v>998</v>
      </c>
      <c r="B684" s="5" t="s">
        <v>3382</v>
      </c>
      <c r="C684" s="3"/>
    </row>
    <row r="685" spans="1:3" ht="60">
      <c r="A685" s="3" t="s">
        <v>999</v>
      </c>
      <c r="B685" s="5" t="s">
        <v>3383</v>
      </c>
      <c r="C685" s="3"/>
    </row>
    <row r="686" spans="1:3" ht="96">
      <c r="A686" s="3" t="s">
        <v>1000</v>
      </c>
      <c r="B686" s="5" t="s">
        <v>3384</v>
      </c>
      <c r="C686" s="3"/>
    </row>
    <row r="687" spans="1:3" ht="72">
      <c r="A687" s="3" t="s">
        <v>1001</v>
      </c>
      <c r="B687" s="5" t="s">
        <v>3385</v>
      </c>
      <c r="C687" s="3"/>
    </row>
    <row r="688" spans="1:3" ht="24">
      <c r="A688" s="3" t="s">
        <v>1002</v>
      </c>
      <c r="B688" s="5" t="s">
        <v>3386</v>
      </c>
      <c r="C688" s="3"/>
    </row>
    <row r="689" spans="1:3" ht="84">
      <c r="A689" s="3" t="s">
        <v>1003</v>
      </c>
      <c r="B689" s="5" t="s">
        <v>3387</v>
      </c>
      <c r="C689" s="3"/>
    </row>
    <row r="690" spans="1:3" ht="48">
      <c r="A690" s="3" t="s">
        <v>1004</v>
      </c>
      <c r="B690" s="5" t="s">
        <v>3388</v>
      </c>
      <c r="C690" s="3"/>
    </row>
    <row r="691" spans="1:3" ht="60">
      <c r="A691" s="3" t="s">
        <v>1005</v>
      </c>
      <c r="B691" s="5" t="s">
        <v>3389</v>
      </c>
      <c r="C691" s="3"/>
    </row>
    <row r="692" spans="1:3" ht="72">
      <c r="A692" s="3" t="s">
        <v>1006</v>
      </c>
      <c r="B692" s="5" t="s">
        <v>3390</v>
      </c>
      <c r="C692" s="3"/>
    </row>
    <row r="693" spans="1:3" ht="48">
      <c r="A693" s="3" t="s">
        <v>1007</v>
      </c>
      <c r="B693" s="5" t="s">
        <v>3391</v>
      </c>
      <c r="C693" s="3"/>
    </row>
    <row r="694" spans="1:3" ht="108">
      <c r="A694" s="3" t="s">
        <v>3787</v>
      </c>
      <c r="B694" s="5" t="s">
        <v>3392</v>
      </c>
      <c r="C694" s="3"/>
    </row>
    <row r="695" spans="1:3" ht="84">
      <c r="A695" s="3" t="s">
        <v>3788</v>
      </c>
      <c r="B695" s="5" t="s">
        <v>3393</v>
      </c>
      <c r="C695" s="3"/>
    </row>
    <row r="696" spans="1:3" ht="84">
      <c r="A696" s="3" t="s">
        <v>1008</v>
      </c>
      <c r="B696" s="5" t="s">
        <v>3394</v>
      </c>
      <c r="C696" s="3"/>
    </row>
    <row r="697" spans="1:3" ht="72">
      <c r="A697" s="3" t="s">
        <v>1009</v>
      </c>
      <c r="B697" s="5" t="s">
        <v>3395</v>
      </c>
      <c r="C697" s="3"/>
    </row>
    <row r="698" spans="1:3" ht="84">
      <c r="A698" s="3" t="s">
        <v>1010</v>
      </c>
      <c r="B698" s="5" t="s">
        <v>3396</v>
      </c>
      <c r="C698" s="3"/>
    </row>
    <row r="699" spans="1:3" ht="72">
      <c r="A699" s="3" t="s">
        <v>1011</v>
      </c>
      <c r="B699" s="5" t="s">
        <v>3397</v>
      </c>
      <c r="C699" s="3"/>
    </row>
    <row r="700" spans="1:3" ht="84">
      <c r="A700" s="3" t="s">
        <v>1012</v>
      </c>
      <c r="B700" s="5" t="s">
        <v>3398</v>
      </c>
      <c r="C700" s="3"/>
    </row>
    <row r="701" spans="1:3" ht="48">
      <c r="A701" s="3" t="s">
        <v>1013</v>
      </c>
      <c r="B701" s="5" t="s">
        <v>3399</v>
      </c>
      <c r="C701" s="3"/>
    </row>
    <row r="702" spans="1:3" ht="60">
      <c r="A702" s="3" t="s">
        <v>1014</v>
      </c>
      <c r="B702" s="5" t="s">
        <v>3400</v>
      </c>
      <c r="C702" s="3"/>
    </row>
    <row r="703" spans="1:3" ht="48">
      <c r="A703" s="3" t="s">
        <v>1015</v>
      </c>
      <c r="B703" s="5" t="s">
        <v>3401</v>
      </c>
      <c r="C703" s="3"/>
    </row>
    <row r="704" spans="1:3" ht="60">
      <c r="A704" s="3" t="s">
        <v>1016</v>
      </c>
      <c r="B704" s="5" t="s">
        <v>3402</v>
      </c>
      <c r="C704" s="3"/>
    </row>
    <row r="705" spans="1:3" ht="84">
      <c r="A705" s="3" t="s">
        <v>1017</v>
      </c>
      <c r="B705" s="5" t="s">
        <v>3403</v>
      </c>
      <c r="C705" s="3"/>
    </row>
    <row r="706" spans="1:3" ht="60">
      <c r="A706" s="3" t="s">
        <v>1018</v>
      </c>
      <c r="B706" s="5" t="s">
        <v>3404</v>
      </c>
      <c r="C706" s="3"/>
    </row>
    <row r="707" spans="1:3" ht="60">
      <c r="A707" s="3" t="s">
        <v>1019</v>
      </c>
      <c r="B707" s="5" t="s">
        <v>3405</v>
      </c>
      <c r="C707" s="3"/>
    </row>
    <row r="708" spans="1:3" ht="84">
      <c r="A708" s="3" t="s">
        <v>1020</v>
      </c>
      <c r="B708" s="5" t="s">
        <v>3406</v>
      </c>
      <c r="C708" s="3"/>
    </row>
    <row r="709" spans="1:3" ht="72">
      <c r="A709" s="3" t="s">
        <v>1021</v>
      </c>
      <c r="B709" s="5" t="s">
        <v>3407</v>
      </c>
      <c r="C709" s="3"/>
    </row>
    <row r="710" spans="1:3" ht="72">
      <c r="A710" s="3" t="s">
        <v>1022</v>
      </c>
      <c r="B710" s="5" t="s">
        <v>3408</v>
      </c>
      <c r="C710" s="3"/>
    </row>
    <row r="711" spans="1:3" ht="60">
      <c r="A711" s="3" t="s">
        <v>1023</v>
      </c>
      <c r="B711" s="5" t="s">
        <v>2065</v>
      </c>
      <c r="C711" s="3"/>
    </row>
    <row r="712" spans="1:3" ht="72">
      <c r="A712" s="3" t="s">
        <v>1024</v>
      </c>
      <c r="B712" s="5" t="s">
        <v>1821</v>
      </c>
      <c r="C712" s="3"/>
    </row>
    <row r="713" spans="1:3" ht="60">
      <c r="A713" s="3" t="s">
        <v>1025</v>
      </c>
      <c r="B713" s="5" t="s">
        <v>2066</v>
      </c>
      <c r="C713" s="3"/>
    </row>
    <row r="714" spans="1:3" ht="60">
      <c r="A714" s="3" t="s">
        <v>1026</v>
      </c>
      <c r="B714" s="5" t="s">
        <v>2067</v>
      </c>
      <c r="C714" s="3"/>
    </row>
    <row r="715" spans="1:3" ht="36">
      <c r="A715" s="3" t="s">
        <v>1027</v>
      </c>
      <c r="B715" s="5" t="s">
        <v>1822</v>
      </c>
      <c r="C715" s="3"/>
    </row>
    <row r="716" spans="1:3" ht="72">
      <c r="A716" s="3" t="s">
        <v>1028</v>
      </c>
      <c r="B716" s="5" t="s">
        <v>1823</v>
      </c>
      <c r="C716" s="3"/>
    </row>
    <row r="717" spans="1:3" ht="48">
      <c r="A717" s="3" t="s">
        <v>1029</v>
      </c>
      <c r="B717" s="5" t="s">
        <v>2068</v>
      </c>
      <c r="C717" s="3"/>
    </row>
    <row r="718" spans="1:3" ht="72">
      <c r="A718" s="3" t="s">
        <v>1030</v>
      </c>
      <c r="B718" s="5" t="s">
        <v>1824</v>
      </c>
      <c r="C718" s="3"/>
    </row>
    <row r="719" spans="1:3" ht="108">
      <c r="A719" s="3" t="s">
        <v>1031</v>
      </c>
      <c r="B719" s="5" t="s">
        <v>2069</v>
      </c>
      <c r="C719" s="3"/>
    </row>
    <row r="720" spans="1:3" ht="60">
      <c r="A720" s="3" t="s">
        <v>1032</v>
      </c>
      <c r="B720" s="5" t="s">
        <v>1825</v>
      </c>
      <c r="C720" s="3"/>
    </row>
    <row r="721" spans="1:3" ht="72">
      <c r="A721" s="3" t="s">
        <v>3789</v>
      </c>
      <c r="B721" s="5" t="s">
        <v>3409</v>
      </c>
      <c r="C721" s="3"/>
    </row>
    <row r="722" spans="1:3" ht="48">
      <c r="A722" s="3" t="s">
        <v>3790</v>
      </c>
      <c r="B722" s="5" t="s">
        <v>3410</v>
      </c>
      <c r="C722" s="3"/>
    </row>
    <row r="723" spans="1:3" ht="120">
      <c r="A723" s="3" t="s">
        <v>3791</v>
      </c>
      <c r="B723" s="5" t="s">
        <v>3411</v>
      </c>
      <c r="C723" s="3"/>
    </row>
    <row r="724" spans="1:3" ht="96">
      <c r="A724" s="3" t="s">
        <v>1033</v>
      </c>
      <c r="B724" s="5" t="s">
        <v>2343</v>
      </c>
      <c r="C724" s="3"/>
    </row>
    <row r="725" spans="1:3" ht="84">
      <c r="A725" s="3" t="s">
        <v>1034</v>
      </c>
      <c r="B725" s="5" t="s">
        <v>2344</v>
      </c>
      <c r="C725" s="3"/>
    </row>
    <row r="726" spans="1:3" ht="84">
      <c r="A726" s="3" t="s">
        <v>1035</v>
      </c>
      <c r="B726" s="5" t="s">
        <v>2345</v>
      </c>
      <c r="C726" s="3"/>
    </row>
    <row r="727" spans="1:3" ht="96">
      <c r="A727" s="3" t="s">
        <v>1036</v>
      </c>
      <c r="B727" s="5" t="s">
        <v>2346</v>
      </c>
      <c r="C727" s="3"/>
    </row>
    <row r="728" spans="1:3" ht="72">
      <c r="A728" s="3" t="s">
        <v>1037</v>
      </c>
      <c r="B728" s="5" t="s">
        <v>2347</v>
      </c>
      <c r="C728" s="3" t="s">
        <v>360</v>
      </c>
    </row>
    <row r="729" spans="1:3" ht="108">
      <c r="A729" s="3" t="s">
        <v>1038</v>
      </c>
      <c r="B729" s="5" t="s">
        <v>2348</v>
      </c>
      <c r="C729" s="3"/>
    </row>
    <row r="730" spans="1:3" ht="84">
      <c r="A730" s="3" t="s">
        <v>1039</v>
      </c>
      <c r="B730" s="5" t="s">
        <v>2349</v>
      </c>
      <c r="C730" s="3"/>
    </row>
    <row r="731" spans="1:3" ht="96">
      <c r="A731" s="3" t="s">
        <v>1040</v>
      </c>
      <c r="B731" s="5" t="s">
        <v>3139</v>
      </c>
      <c r="C731" s="3"/>
    </row>
    <row r="732" spans="1:3" ht="84">
      <c r="A732" s="3" t="s">
        <v>1041</v>
      </c>
      <c r="B732" s="5" t="s">
        <v>3140</v>
      </c>
      <c r="C732" s="3"/>
    </row>
    <row r="733" spans="1:3" ht="48">
      <c r="A733" s="3" t="s">
        <v>1042</v>
      </c>
      <c r="B733" s="5" t="s">
        <v>3141</v>
      </c>
      <c r="C733" s="3"/>
    </row>
    <row r="734" spans="1:3" ht="60">
      <c r="A734" s="3" t="s">
        <v>1043</v>
      </c>
      <c r="B734" s="5" t="s">
        <v>2350</v>
      </c>
      <c r="C734" s="3"/>
    </row>
    <row r="735" spans="1:3" ht="72">
      <c r="A735" s="3" t="s">
        <v>1044</v>
      </c>
      <c r="B735" s="5" t="s">
        <v>2351</v>
      </c>
      <c r="C735" s="3"/>
    </row>
    <row r="736" spans="1:3" ht="60">
      <c r="A736" s="3" t="s">
        <v>1045</v>
      </c>
      <c r="B736" s="5" t="s">
        <v>2352</v>
      </c>
      <c r="C736" s="3"/>
    </row>
    <row r="737" spans="1:3" ht="72">
      <c r="A737" s="3" t="s">
        <v>1046</v>
      </c>
      <c r="B737" s="5" t="s">
        <v>2353</v>
      </c>
      <c r="C737" s="3"/>
    </row>
    <row r="738" spans="1:3" ht="60">
      <c r="A738" s="3" t="s">
        <v>3967</v>
      </c>
      <c r="B738" s="5" t="s">
        <v>3968</v>
      </c>
      <c r="C738" s="3"/>
    </row>
    <row r="739" spans="1:3" ht="72">
      <c r="A739" s="3" t="s">
        <v>1047</v>
      </c>
      <c r="B739" s="5" t="s">
        <v>1905</v>
      </c>
      <c r="C739" s="3"/>
    </row>
    <row r="740" spans="1:3" ht="84">
      <c r="A740" s="3" t="s">
        <v>1048</v>
      </c>
      <c r="B740" s="5" t="s">
        <v>1826</v>
      </c>
      <c r="C740" s="3"/>
    </row>
    <row r="741" spans="1:3" ht="60">
      <c r="A741" s="3" t="s">
        <v>1049</v>
      </c>
      <c r="B741" s="5" t="s">
        <v>1827</v>
      </c>
      <c r="C741" s="3"/>
    </row>
    <row r="742" spans="1:3" ht="72">
      <c r="A742" s="3" t="s">
        <v>1050</v>
      </c>
      <c r="B742" s="5" t="s">
        <v>2070</v>
      </c>
      <c r="C742" s="3"/>
    </row>
    <row r="743" spans="1:3" ht="60">
      <c r="A743" s="3" t="s">
        <v>1051</v>
      </c>
      <c r="B743" s="5" t="s">
        <v>1828</v>
      </c>
      <c r="C743" s="3"/>
    </row>
    <row r="744" spans="1:3" ht="72">
      <c r="A744" s="3" t="s">
        <v>1052</v>
      </c>
      <c r="B744" s="5" t="s">
        <v>1829</v>
      </c>
      <c r="C744" s="3"/>
    </row>
    <row r="745" spans="1:3" ht="72">
      <c r="A745" s="3" t="s">
        <v>1053</v>
      </c>
      <c r="B745" s="5" t="s">
        <v>2071</v>
      </c>
      <c r="C745" s="3"/>
    </row>
    <row r="746" spans="1:3" ht="72">
      <c r="A746" s="3" t="s">
        <v>1054</v>
      </c>
      <c r="B746" s="5" t="s">
        <v>2072</v>
      </c>
      <c r="C746" s="3"/>
    </row>
    <row r="747" spans="1:3" ht="72">
      <c r="A747" s="3" t="s">
        <v>1055</v>
      </c>
      <c r="B747" s="5" t="s">
        <v>1830</v>
      </c>
      <c r="C747" s="3"/>
    </row>
    <row r="748" spans="1:3" ht="36">
      <c r="A748" s="3" t="s">
        <v>1056</v>
      </c>
      <c r="B748" s="5" t="s">
        <v>1831</v>
      </c>
      <c r="C748" s="3"/>
    </row>
    <row r="749" spans="1:3" ht="36">
      <c r="A749" s="3" t="s">
        <v>1057</v>
      </c>
      <c r="B749" s="5" t="s">
        <v>1832</v>
      </c>
      <c r="C749" s="3"/>
    </row>
    <row r="750" spans="1:3" ht="72">
      <c r="A750" s="3" t="s">
        <v>1058</v>
      </c>
      <c r="B750" s="5" t="s">
        <v>1833</v>
      </c>
      <c r="C750" s="3"/>
    </row>
    <row r="751" spans="1:3" ht="60">
      <c r="A751" s="3" t="s">
        <v>1059</v>
      </c>
      <c r="B751" s="5" t="s">
        <v>1949</v>
      </c>
      <c r="C751" s="3"/>
    </row>
    <row r="752" spans="1:3" ht="48">
      <c r="A752" s="3" t="s">
        <v>1060</v>
      </c>
      <c r="B752" s="5" t="s">
        <v>1834</v>
      </c>
      <c r="C752" s="3"/>
    </row>
    <row r="753" spans="1:3" ht="84">
      <c r="A753" s="3" t="s">
        <v>1061</v>
      </c>
      <c r="B753" s="5" t="s">
        <v>3412</v>
      </c>
      <c r="C753" s="3"/>
    </row>
    <row r="754" spans="1:3" ht="84">
      <c r="A754" s="3" t="s">
        <v>1062</v>
      </c>
      <c r="B754" s="5" t="s">
        <v>3142</v>
      </c>
      <c r="C754" s="3"/>
    </row>
    <row r="755" spans="1:3" ht="108">
      <c r="A755" s="3" t="s">
        <v>1063</v>
      </c>
      <c r="B755" s="5" t="s">
        <v>3143</v>
      </c>
      <c r="C755" s="3"/>
    </row>
    <row r="756" spans="1:3" ht="108">
      <c r="A756" s="3" t="s">
        <v>1064</v>
      </c>
      <c r="B756" s="5" t="s">
        <v>3144</v>
      </c>
      <c r="C756" s="3"/>
    </row>
    <row r="757" spans="1:3" ht="108">
      <c r="A757" s="3" t="s">
        <v>1065</v>
      </c>
      <c r="B757" s="5" t="s">
        <v>3145</v>
      </c>
      <c r="C757" s="3"/>
    </row>
    <row r="758" spans="1:3" ht="72">
      <c r="A758" s="3" t="s">
        <v>1066</v>
      </c>
      <c r="B758" s="5" t="s">
        <v>2354</v>
      </c>
      <c r="C758" s="3"/>
    </row>
    <row r="759" spans="1:3" ht="72">
      <c r="A759" s="3" t="s">
        <v>1067</v>
      </c>
      <c r="B759" s="5" t="s">
        <v>2355</v>
      </c>
      <c r="C759" s="3"/>
    </row>
    <row r="760" spans="1:3" ht="48">
      <c r="A760" s="3" t="s">
        <v>1068</v>
      </c>
      <c r="B760" s="5" t="s">
        <v>2356</v>
      </c>
      <c r="C760" s="3"/>
    </row>
    <row r="761" spans="1:3" ht="96">
      <c r="A761" s="3" t="s">
        <v>1069</v>
      </c>
      <c r="B761" s="5" t="s">
        <v>2357</v>
      </c>
      <c r="C761" s="3"/>
    </row>
    <row r="762" spans="1:3" ht="108">
      <c r="A762" s="3" t="s">
        <v>1070</v>
      </c>
      <c r="B762" s="5" t="s">
        <v>1835</v>
      </c>
      <c r="C762" s="3"/>
    </row>
    <row r="763" spans="1:3" ht="84">
      <c r="A763" s="3" t="s">
        <v>1071</v>
      </c>
      <c r="B763" s="5" t="s">
        <v>2358</v>
      </c>
      <c r="C763" s="3"/>
    </row>
    <row r="764" spans="1:3" ht="96">
      <c r="A764" s="3" t="s">
        <v>1072</v>
      </c>
      <c r="B764" s="5" t="s">
        <v>3146</v>
      </c>
      <c r="C764" s="3"/>
    </row>
    <row r="765" spans="1:3" ht="108">
      <c r="A765" s="3" t="s">
        <v>1073</v>
      </c>
      <c r="B765" s="5" t="s">
        <v>3147</v>
      </c>
      <c r="C765" s="3"/>
    </row>
    <row r="766" spans="1:3" ht="96">
      <c r="A766" s="3" t="s">
        <v>1074</v>
      </c>
      <c r="B766" s="5" t="s">
        <v>3148</v>
      </c>
      <c r="C766" s="3"/>
    </row>
    <row r="767" spans="1:3" ht="72">
      <c r="A767" s="3" t="s">
        <v>1075</v>
      </c>
      <c r="B767" s="5" t="s">
        <v>2359</v>
      </c>
      <c r="C767" s="3"/>
    </row>
    <row r="768" spans="1:3" ht="96">
      <c r="A768" s="3" t="s">
        <v>1076</v>
      </c>
      <c r="B768" s="5" t="s">
        <v>2360</v>
      </c>
      <c r="C768" s="3"/>
    </row>
    <row r="769" spans="1:3" ht="96">
      <c r="A769" s="3" t="s">
        <v>1077</v>
      </c>
      <c r="B769" s="5" t="s">
        <v>3149</v>
      </c>
      <c r="C769" s="3"/>
    </row>
    <row r="770" spans="1:3" ht="72">
      <c r="A770" s="3" t="s">
        <v>1078</v>
      </c>
      <c r="B770" s="5" t="s">
        <v>2361</v>
      </c>
      <c r="C770" s="3"/>
    </row>
    <row r="771" spans="1:3" ht="72">
      <c r="A771" s="3" t="s">
        <v>1079</v>
      </c>
      <c r="B771" s="5" t="s">
        <v>2362</v>
      </c>
      <c r="C771" s="3"/>
    </row>
    <row r="772" spans="1:3" ht="72">
      <c r="A772" s="3" t="s">
        <v>1080</v>
      </c>
      <c r="B772" s="5" t="s">
        <v>2363</v>
      </c>
      <c r="C772" s="3"/>
    </row>
    <row r="773" spans="1:3" ht="84">
      <c r="A773" s="3" t="s">
        <v>1081</v>
      </c>
      <c r="B773" s="5" t="s">
        <v>3150</v>
      </c>
      <c r="C773" s="3"/>
    </row>
    <row r="774" spans="1:3" ht="72">
      <c r="A774" s="3" t="s">
        <v>1082</v>
      </c>
      <c r="B774" s="5" t="s">
        <v>2364</v>
      </c>
      <c r="C774" s="3"/>
    </row>
    <row r="775" spans="1:3" ht="84">
      <c r="A775" s="3" t="s">
        <v>1083</v>
      </c>
      <c r="B775" s="5" t="s">
        <v>2365</v>
      </c>
      <c r="C775" s="3"/>
    </row>
    <row r="776" spans="1:3" ht="84">
      <c r="A776" s="3" t="s">
        <v>1084</v>
      </c>
      <c r="B776" s="5" t="s">
        <v>2366</v>
      </c>
      <c r="C776" s="3"/>
    </row>
    <row r="777" spans="1:3" ht="72">
      <c r="A777" s="3" t="s">
        <v>1085</v>
      </c>
      <c r="B777" s="5" t="s">
        <v>2367</v>
      </c>
      <c r="C777" s="3"/>
    </row>
    <row r="778" spans="1:3" ht="60">
      <c r="A778" s="3" t="s">
        <v>1086</v>
      </c>
      <c r="B778" s="5" t="s">
        <v>2368</v>
      </c>
      <c r="C778" s="3"/>
    </row>
    <row r="779" spans="1:3" ht="96">
      <c r="A779" s="3" t="s">
        <v>1087</v>
      </c>
      <c r="B779" s="5" t="s">
        <v>2369</v>
      </c>
      <c r="C779" s="3"/>
    </row>
    <row r="780" spans="1:3" ht="84">
      <c r="A780" s="3" t="s">
        <v>1088</v>
      </c>
      <c r="B780" s="5" t="s">
        <v>2370</v>
      </c>
      <c r="C780" s="3"/>
    </row>
    <row r="781" spans="1:3" ht="84">
      <c r="A781" s="3" t="s">
        <v>1089</v>
      </c>
      <c r="B781" s="5" t="s">
        <v>2371</v>
      </c>
      <c r="C781" s="3"/>
    </row>
    <row r="782" spans="1:3" ht="60">
      <c r="A782" s="3" t="s">
        <v>1090</v>
      </c>
      <c r="B782" s="5" t="s">
        <v>2372</v>
      </c>
      <c r="C782" s="3"/>
    </row>
    <row r="783" spans="1:3" ht="96">
      <c r="A783" s="3" t="s">
        <v>1091</v>
      </c>
      <c r="B783" s="5" t="s">
        <v>2373</v>
      </c>
      <c r="C783" s="3"/>
    </row>
    <row r="784" spans="1:3" ht="84">
      <c r="A784" s="3" t="s">
        <v>1092</v>
      </c>
      <c r="B784" s="5" t="s">
        <v>2374</v>
      </c>
      <c r="C784" s="3"/>
    </row>
    <row r="785" spans="1:3" ht="84">
      <c r="A785" s="3" t="s">
        <v>1093</v>
      </c>
      <c r="B785" s="5" t="s">
        <v>2375</v>
      </c>
      <c r="C785" s="3"/>
    </row>
    <row r="786" spans="1:3" ht="72">
      <c r="A786" s="3" t="s">
        <v>1094</v>
      </c>
      <c r="B786" s="5" t="s">
        <v>2376</v>
      </c>
      <c r="C786" s="3"/>
    </row>
    <row r="787" spans="1:3" ht="96">
      <c r="A787" s="3" t="s">
        <v>1095</v>
      </c>
      <c r="B787" s="5" t="s">
        <v>3151</v>
      </c>
      <c r="C787" s="3"/>
    </row>
    <row r="788" spans="1:3" ht="72">
      <c r="A788" s="3" t="s">
        <v>1096</v>
      </c>
      <c r="B788" s="5" t="s">
        <v>3152</v>
      </c>
      <c r="C788" s="3"/>
    </row>
    <row r="789" spans="1:3" ht="60">
      <c r="A789" s="3" t="s">
        <v>1097</v>
      </c>
      <c r="B789" s="5" t="s">
        <v>2377</v>
      </c>
      <c r="C789" s="3"/>
    </row>
    <row r="790" spans="1:3" ht="84">
      <c r="A790" s="3" t="s">
        <v>1098</v>
      </c>
      <c r="B790" s="5" t="s">
        <v>2378</v>
      </c>
      <c r="C790" s="3"/>
    </row>
    <row r="791" spans="1:3" ht="84">
      <c r="A791" s="3" t="s">
        <v>1099</v>
      </c>
      <c r="B791" s="5" t="s">
        <v>3153</v>
      </c>
      <c r="C791" s="3"/>
    </row>
    <row r="792" spans="1:3" ht="48">
      <c r="A792" s="3" t="s">
        <v>1100</v>
      </c>
      <c r="B792" s="5" t="s">
        <v>3413</v>
      </c>
      <c r="C792" s="3"/>
    </row>
    <row r="793" spans="1:3" ht="72">
      <c r="A793" s="3" t="s">
        <v>1101</v>
      </c>
      <c r="B793" s="5" t="s">
        <v>2379</v>
      </c>
      <c r="C793" s="3"/>
    </row>
    <row r="794" spans="1:3" ht="84">
      <c r="A794" s="3" t="s">
        <v>1102</v>
      </c>
      <c r="B794" s="5" t="s">
        <v>2380</v>
      </c>
      <c r="C794" s="3"/>
    </row>
    <row r="795" spans="1:3" ht="60">
      <c r="A795" s="3" t="s">
        <v>1103</v>
      </c>
      <c r="B795" s="5" t="s">
        <v>2381</v>
      </c>
      <c r="C795" s="3"/>
    </row>
    <row r="796" spans="1:3" ht="120">
      <c r="A796" s="3" t="s">
        <v>3792</v>
      </c>
      <c r="B796" s="5" t="s">
        <v>3414</v>
      </c>
      <c r="C796" s="3"/>
    </row>
    <row r="797" spans="1:3" ht="108">
      <c r="A797" s="3" t="s">
        <v>3793</v>
      </c>
      <c r="B797" s="5" t="s">
        <v>3415</v>
      </c>
      <c r="C797" s="3"/>
    </row>
    <row r="798" spans="1:3" ht="156">
      <c r="A798" s="3" t="s">
        <v>3794</v>
      </c>
      <c r="B798" s="5" t="s">
        <v>3416</v>
      </c>
      <c r="C798" s="3"/>
    </row>
    <row r="799" spans="1:3" ht="120">
      <c r="A799" s="3" t="s">
        <v>3795</v>
      </c>
      <c r="B799" s="5" t="s">
        <v>3417</v>
      </c>
      <c r="C799" s="3"/>
    </row>
    <row r="800" spans="1:3" ht="108">
      <c r="A800" s="3" t="s">
        <v>3796</v>
      </c>
      <c r="B800" s="5" t="s">
        <v>3418</v>
      </c>
      <c r="C800" s="3"/>
    </row>
    <row r="801" spans="1:3" ht="120">
      <c r="A801" s="3" t="s">
        <v>3797</v>
      </c>
      <c r="B801" s="5" t="s">
        <v>3419</v>
      </c>
      <c r="C801" s="3"/>
    </row>
    <row r="802" spans="1:3" ht="132">
      <c r="A802" s="3" t="s">
        <v>3798</v>
      </c>
      <c r="B802" s="5" t="s">
        <v>3420</v>
      </c>
      <c r="C802" s="3"/>
    </row>
    <row r="803" spans="1:3" ht="144">
      <c r="A803" s="3" t="s">
        <v>3799</v>
      </c>
      <c r="B803" s="5" t="s">
        <v>3421</v>
      </c>
      <c r="C803" s="3"/>
    </row>
    <row r="804" spans="1:3" ht="120">
      <c r="A804" s="3" t="s">
        <v>3800</v>
      </c>
      <c r="B804" s="5" t="s">
        <v>3422</v>
      </c>
      <c r="C804" s="3"/>
    </row>
    <row r="805" spans="1:3" ht="60">
      <c r="A805" s="3" t="s">
        <v>1104</v>
      </c>
      <c r="B805" s="5" t="s">
        <v>2073</v>
      </c>
      <c r="C805" s="3"/>
    </row>
    <row r="806" spans="1:3" ht="60">
      <c r="A806" s="3" t="s">
        <v>1105</v>
      </c>
      <c r="B806" s="5" t="s">
        <v>1950</v>
      </c>
      <c r="C806" s="3"/>
    </row>
    <row r="807" spans="1:3" ht="60">
      <c r="A807" s="3" t="s">
        <v>1106</v>
      </c>
      <c r="B807" s="5" t="s">
        <v>1836</v>
      </c>
      <c r="C807" s="3"/>
    </row>
    <row r="808" spans="1:3" ht="120">
      <c r="A808" s="3" t="s">
        <v>1107</v>
      </c>
      <c r="B808" s="5" t="s">
        <v>3423</v>
      </c>
      <c r="C808" s="3"/>
    </row>
    <row r="809" spans="1:3" ht="36">
      <c r="A809" s="3" t="s">
        <v>1108</v>
      </c>
      <c r="B809" s="5" t="s">
        <v>1837</v>
      </c>
      <c r="C809" s="3"/>
    </row>
    <row r="810" spans="1:3" ht="84">
      <c r="A810" s="3" t="s">
        <v>1109</v>
      </c>
      <c r="B810" s="5" t="s">
        <v>1951</v>
      </c>
      <c r="C810" s="3"/>
    </row>
    <row r="811" spans="1:3" ht="72">
      <c r="A811" s="3" t="s">
        <v>1110</v>
      </c>
      <c r="B811" s="5" t="s">
        <v>1838</v>
      </c>
      <c r="C811" s="3"/>
    </row>
    <row r="812" spans="1:3" ht="72">
      <c r="A812" s="3" t="s">
        <v>1111</v>
      </c>
      <c r="B812" s="5" t="s">
        <v>1952</v>
      </c>
      <c r="C812" s="3"/>
    </row>
    <row r="813" spans="1:3" ht="60">
      <c r="A813" s="3" t="s">
        <v>1112</v>
      </c>
      <c r="B813" s="5" t="s">
        <v>1839</v>
      </c>
      <c r="C813" s="3"/>
    </row>
    <row r="814" spans="1:3" ht="84">
      <c r="A814" s="3" t="s">
        <v>1113</v>
      </c>
      <c r="B814" s="5" t="s">
        <v>1840</v>
      </c>
      <c r="C814" s="3"/>
    </row>
    <row r="815" spans="1:3" ht="96">
      <c r="A815" s="3" t="s">
        <v>3801</v>
      </c>
      <c r="B815" s="5" t="s">
        <v>3424</v>
      </c>
      <c r="C815" s="3"/>
    </row>
    <row r="816" spans="1:3" ht="144">
      <c r="A816" s="3" t="s">
        <v>3802</v>
      </c>
      <c r="B816" s="5" t="s">
        <v>3425</v>
      </c>
      <c r="C816" s="3"/>
    </row>
    <row r="817" spans="1:3" ht="132">
      <c r="A817" s="3" t="s">
        <v>3803</v>
      </c>
      <c r="B817" s="5" t="s">
        <v>3426</v>
      </c>
      <c r="C817" s="3"/>
    </row>
    <row r="818" spans="1:3" ht="132">
      <c r="A818" s="3" t="s">
        <v>1114</v>
      </c>
      <c r="B818" s="5" t="s">
        <v>2382</v>
      </c>
      <c r="C818" s="3"/>
    </row>
    <row r="819" spans="1:3" ht="60">
      <c r="A819" s="3" t="s">
        <v>1115</v>
      </c>
      <c r="B819" s="5" t="s">
        <v>2383</v>
      </c>
      <c r="C819" s="3"/>
    </row>
    <row r="820" spans="1:3" ht="72">
      <c r="A820" s="3" t="s">
        <v>1116</v>
      </c>
      <c r="B820" s="5" t="s">
        <v>2103</v>
      </c>
      <c r="C820" s="3"/>
    </row>
    <row r="821" spans="1:3" ht="96">
      <c r="A821" s="3" t="s">
        <v>1117</v>
      </c>
      <c r="B821" s="5" t="s">
        <v>2384</v>
      </c>
      <c r="C821" s="3"/>
    </row>
    <row r="822" spans="1:3" ht="84">
      <c r="A822" s="3" t="s">
        <v>2104</v>
      </c>
      <c r="B822" s="5" t="s">
        <v>2385</v>
      </c>
      <c r="C822" s="3"/>
    </row>
    <row r="823" spans="1:3" ht="96">
      <c r="A823" s="3" t="s">
        <v>1118</v>
      </c>
      <c r="B823" s="5" t="s">
        <v>2386</v>
      </c>
      <c r="C823" s="3"/>
    </row>
    <row r="824" spans="1:3" ht="120">
      <c r="A824" s="3" t="s">
        <v>2105</v>
      </c>
      <c r="B824" s="5" t="s">
        <v>2387</v>
      </c>
      <c r="C824" s="3"/>
    </row>
    <row r="825" spans="1:3" ht="84">
      <c r="A825" s="3" t="s">
        <v>2106</v>
      </c>
      <c r="B825" s="5" t="s">
        <v>2388</v>
      </c>
      <c r="C825" s="3"/>
    </row>
    <row r="826" spans="1:3" ht="96">
      <c r="A826" s="3" t="s">
        <v>1119</v>
      </c>
      <c r="B826" s="5" t="s">
        <v>2389</v>
      </c>
      <c r="C826" s="3"/>
    </row>
    <row r="827" spans="1:3" ht="72">
      <c r="A827" s="3" t="s">
        <v>2107</v>
      </c>
      <c r="B827" s="5" t="s">
        <v>2390</v>
      </c>
      <c r="C827" s="3"/>
    </row>
    <row r="828" spans="1:3" ht="96">
      <c r="A828" s="3" t="s">
        <v>1120</v>
      </c>
      <c r="B828" s="5" t="s">
        <v>2391</v>
      </c>
      <c r="C828" s="3"/>
    </row>
    <row r="829" spans="1:3" ht="48">
      <c r="A829" s="3" t="s">
        <v>2392</v>
      </c>
      <c r="B829" s="5" t="s">
        <v>2393</v>
      </c>
      <c r="C829" s="3" t="s">
        <v>361</v>
      </c>
    </row>
    <row r="830" spans="1:3" ht="48">
      <c r="A830" s="3" t="s">
        <v>2394</v>
      </c>
      <c r="B830" s="5" t="s">
        <v>2395</v>
      </c>
      <c r="C830" s="3"/>
    </row>
    <row r="831" spans="1:3" ht="48">
      <c r="A831" s="3" t="s">
        <v>2396</v>
      </c>
      <c r="B831" s="5" t="s">
        <v>3427</v>
      </c>
      <c r="C831" s="3"/>
    </row>
    <row r="832" spans="1:3" ht="84">
      <c r="A832" s="3" t="s">
        <v>2397</v>
      </c>
      <c r="B832" s="5" t="s">
        <v>2398</v>
      </c>
      <c r="C832" s="3" t="s">
        <v>362</v>
      </c>
    </row>
    <row r="833" spans="1:3" ht="48">
      <c r="A833" s="3" t="s">
        <v>2399</v>
      </c>
      <c r="B833" s="5" t="s">
        <v>2400</v>
      </c>
      <c r="C833" s="3" t="s">
        <v>363</v>
      </c>
    </row>
    <row r="834" spans="1:3" ht="84">
      <c r="A834" s="3" t="s">
        <v>2401</v>
      </c>
      <c r="B834" s="5" t="s">
        <v>2402</v>
      </c>
      <c r="C834" s="3" t="s">
        <v>363</v>
      </c>
    </row>
    <row r="835" spans="1:3" ht="72">
      <c r="A835" s="3" t="s">
        <v>2403</v>
      </c>
      <c r="B835" s="5" t="s">
        <v>2404</v>
      </c>
      <c r="C835" s="3" t="s">
        <v>364</v>
      </c>
    </row>
    <row r="836" spans="1:3" ht="60">
      <c r="A836" s="3" t="s">
        <v>2405</v>
      </c>
      <c r="B836" s="5" t="s">
        <v>2406</v>
      </c>
      <c r="C836" s="3" t="s">
        <v>365</v>
      </c>
    </row>
    <row r="837" spans="1:3" ht="84">
      <c r="A837" s="3" t="s">
        <v>2407</v>
      </c>
      <c r="B837" s="5" t="s">
        <v>2408</v>
      </c>
      <c r="C837" s="3" t="s">
        <v>363</v>
      </c>
    </row>
    <row r="838" spans="1:3" ht="60">
      <c r="A838" s="3" t="s">
        <v>2409</v>
      </c>
      <c r="B838" s="5" t="s">
        <v>2410</v>
      </c>
      <c r="C838" s="3" t="s">
        <v>366</v>
      </c>
    </row>
    <row r="839" spans="1:3" ht="60">
      <c r="A839" s="3" t="s">
        <v>3804</v>
      </c>
      <c r="B839" s="5" t="s">
        <v>3428</v>
      </c>
      <c r="C839" s="3" t="s">
        <v>363</v>
      </c>
    </row>
    <row r="840" spans="1:3" ht="168">
      <c r="A840" s="3" t="s">
        <v>3805</v>
      </c>
      <c r="B840" s="5" t="s">
        <v>3429</v>
      </c>
      <c r="C840" s="3"/>
    </row>
    <row r="841" spans="1:3" ht="168">
      <c r="A841" s="3" t="s">
        <v>3806</v>
      </c>
      <c r="B841" s="5" t="s">
        <v>3430</v>
      </c>
      <c r="C841" s="3"/>
    </row>
    <row r="842" spans="1:3" ht="216">
      <c r="A842" s="3" t="s">
        <v>3807</v>
      </c>
      <c r="B842" s="5" t="s">
        <v>3431</v>
      </c>
      <c r="C842" s="3" t="s">
        <v>363</v>
      </c>
    </row>
    <row r="843" spans="1:3" ht="120">
      <c r="A843" s="3" t="s">
        <v>3808</v>
      </c>
      <c r="B843" s="5" t="s">
        <v>3432</v>
      </c>
      <c r="C843" s="3"/>
    </row>
    <row r="844" spans="1:3" ht="108">
      <c r="A844" s="3" t="s">
        <v>2411</v>
      </c>
      <c r="B844" s="5" t="s">
        <v>2412</v>
      </c>
      <c r="C844" s="3"/>
    </row>
    <row r="845" spans="1:3" ht="108">
      <c r="A845" s="3" t="s">
        <v>2413</v>
      </c>
      <c r="B845" s="5" t="s">
        <v>2414</v>
      </c>
      <c r="C845" s="3"/>
    </row>
    <row r="846" spans="1:3" ht="96">
      <c r="A846" s="3" t="s">
        <v>2415</v>
      </c>
      <c r="B846" s="5" t="s">
        <v>2416</v>
      </c>
      <c r="C846" s="3"/>
    </row>
    <row r="847" spans="1:3" ht="72">
      <c r="A847" s="3" t="s">
        <v>2417</v>
      </c>
      <c r="B847" s="5" t="s">
        <v>2418</v>
      </c>
      <c r="C847" s="3"/>
    </row>
    <row r="848" spans="1:3" ht="72">
      <c r="A848" s="3" t="s">
        <v>2419</v>
      </c>
      <c r="B848" s="5" t="s">
        <v>2420</v>
      </c>
      <c r="C848" s="3"/>
    </row>
    <row r="849" spans="1:3" ht="72">
      <c r="A849" s="3" t="s">
        <v>2421</v>
      </c>
      <c r="B849" s="5" t="s">
        <v>2422</v>
      </c>
      <c r="C849" s="3"/>
    </row>
    <row r="850" spans="1:3" ht="72">
      <c r="A850" s="3" t="s">
        <v>2423</v>
      </c>
      <c r="B850" s="5" t="s">
        <v>2424</v>
      </c>
      <c r="C850" s="3" t="s">
        <v>367</v>
      </c>
    </row>
    <row r="851" spans="1:3" ht="84">
      <c r="A851" s="3" t="s">
        <v>2425</v>
      </c>
      <c r="B851" s="5" t="s">
        <v>2426</v>
      </c>
      <c r="C851" s="3"/>
    </row>
    <row r="852" spans="1:3" ht="72">
      <c r="A852" s="3" t="s">
        <v>2427</v>
      </c>
      <c r="B852" s="5" t="s">
        <v>2428</v>
      </c>
      <c r="C852" s="3"/>
    </row>
    <row r="853" spans="1:3" ht="120">
      <c r="A853" s="3" t="s">
        <v>2429</v>
      </c>
      <c r="B853" s="5" t="s">
        <v>2430</v>
      </c>
      <c r="C853" s="3"/>
    </row>
    <row r="854" spans="1:3" ht="96">
      <c r="A854" s="3" t="s">
        <v>2431</v>
      </c>
      <c r="B854" s="5" t="s">
        <v>3969</v>
      </c>
      <c r="C854" s="3"/>
    </row>
    <row r="855" spans="1:3" ht="84">
      <c r="A855" s="3" t="s">
        <v>2432</v>
      </c>
      <c r="B855" s="5" t="s">
        <v>3970</v>
      </c>
      <c r="C855" s="3"/>
    </row>
    <row r="856" spans="1:3" ht="96">
      <c r="A856" s="3" t="s">
        <v>2433</v>
      </c>
      <c r="B856" s="5" t="s">
        <v>2434</v>
      </c>
      <c r="C856" s="3"/>
    </row>
    <row r="857" spans="1:3" ht="72">
      <c r="A857" s="3" t="s">
        <v>2435</v>
      </c>
      <c r="B857" s="5" t="s">
        <v>3971</v>
      </c>
      <c r="C857" s="3"/>
    </row>
    <row r="858" spans="1:3" ht="84">
      <c r="A858" s="3" t="s">
        <v>2436</v>
      </c>
      <c r="B858" s="5" t="s">
        <v>3972</v>
      </c>
      <c r="C858" s="3"/>
    </row>
    <row r="859" spans="1:3" ht="60">
      <c r="A859" s="3" t="s">
        <v>2437</v>
      </c>
      <c r="B859" s="5" t="s">
        <v>3973</v>
      </c>
      <c r="C859" s="3"/>
    </row>
    <row r="860" spans="1:3" ht="96">
      <c r="A860" s="3" t="s">
        <v>3433</v>
      </c>
      <c r="B860" s="5" t="s">
        <v>3434</v>
      </c>
      <c r="C860" s="3"/>
    </row>
    <row r="861" spans="1:3" ht="84">
      <c r="A861" s="3" t="s">
        <v>3435</v>
      </c>
      <c r="B861" s="5" t="s">
        <v>3436</v>
      </c>
      <c r="C861" s="3"/>
    </row>
    <row r="862" spans="1:3" ht="60">
      <c r="A862" s="3" t="s">
        <v>3437</v>
      </c>
      <c r="B862" s="5" t="s">
        <v>3438</v>
      </c>
      <c r="C862" s="3"/>
    </row>
    <row r="863" spans="1:3" ht="84">
      <c r="A863" s="3" t="s">
        <v>3439</v>
      </c>
      <c r="B863" s="5" t="s">
        <v>3440</v>
      </c>
      <c r="C863" s="3"/>
    </row>
    <row r="864" spans="1:3" ht="36">
      <c r="A864" s="3" t="s">
        <v>3441</v>
      </c>
      <c r="B864" s="5" t="s">
        <v>3442</v>
      </c>
      <c r="C864" s="3"/>
    </row>
    <row r="865" spans="1:3" ht="60">
      <c r="A865" s="3" t="s">
        <v>3443</v>
      </c>
      <c r="B865" s="5" t="s">
        <v>3444</v>
      </c>
      <c r="C865" s="3"/>
    </row>
    <row r="866" spans="1:3" ht="36">
      <c r="A866" s="3" t="s">
        <v>3445</v>
      </c>
      <c r="B866" s="5" t="s">
        <v>3446</v>
      </c>
      <c r="C866" s="3"/>
    </row>
    <row r="867" spans="1:3" ht="72">
      <c r="A867" s="3" t="s">
        <v>3447</v>
      </c>
      <c r="B867" s="5" t="s">
        <v>3448</v>
      </c>
      <c r="C867" s="3"/>
    </row>
    <row r="868" spans="1:3" ht="84">
      <c r="A868" s="3" t="s">
        <v>3449</v>
      </c>
      <c r="B868" s="5" t="s">
        <v>3450</v>
      </c>
      <c r="C868" s="3"/>
    </row>
    <row r="869" spans="1:3" ht="72">
      <c r="A869" s="3" t="s">
        <v>3451</v>
      </c>
      <c r="B869" s="5" t="s">
        <v>3452</v>
      </c>
      <c r="C869" s="3"/>
    </row>
    <row r="870" spans="1:3" ht="180">
      <c r="A870" s="3" t="s">
        <v>3809</v>
      </c>
      <c r="B870" s="5" t="s">
        <v>3453</v>
      </c>
      <c r="C870" s="3"/>
    </row>
    <row r="871" spans="1:3" ht="204">
      <c r="A871" s="3" t="s">
        <v>3810</v>
      </c>
      <c r="B871" s="5" t="s">
        <v>3454</v>
      </c>
      <c r="C871" s="3"/>
    </row>
    <row r="872" spans="1:3" ht="84">
      <c r="A872" s="3" t="s">
        <v>3455</v>
      </c>
      <c r="B872" s="5" t="s">
        <v>3456</v>
      </c>
      <c r="C872" s="3"/>
    </row>
    <row r="873" spans="1:3" ht="96">
      <c r="A873" s="3" t="s">
        <v>3457</v>
      </c>
      <c r="B873" s="5" t="s">
        <v>3458</v>
      </c>
      <c r="C873" s="3"/>
    </row>
    <row r="874" spans="1:3" ht="96">
      <c r="A874" s="3" t="s">
        <v>3459</v>
      </c>
      <c r="B874" s="5" t="s">
        <v>3460</v>
      </c>
      <c r="C874" s="3"/>
    </row>
    <row r="875" spans="1:3" ht="108">
      <c r="A875" s="3" t="s">
        <v>3461</v>
      </c>
      <c r="B875" s="5" t="s">
        <v>3462</v>
      </c>
      <c r="C875" s="3"/>
    </row>
    <row r="876" spans="1:3" ht="60">
      <c r="A876" s="3" t="s">
        <v>3463</v>
      </c>
      <c r="B876" s="5" t="s">
        <v>3464</v>
      </c>
      <c r="C876" s="3"/>
    </row>
    <row r="877" spans="1:3" ht="96">
      <c r="A877" s="3" t="s">
        <v>3465</v>
      </c>
      <c r="B877" s="5" t="s">
        <v>3974</v>
      </c>
      <c r="C877" s="3"/>
    </row>
    <row r="878" spans="1:3" ht="84">
      <c r="A878" s="3" t="s">
        <v>3466</v>
      </c>
      <c r="B878" s="5" t="s">
        <v>3467</v>
      </c>
      <c r="C878" s="3"/>
    </row>
    <row r="879" spans="1:3" ht="108">
      <c r="A879" s="3" t="s">
        <v>3468</v>
      </c>
      <c r="B879" s="5" t="s">
        <v>3469</v>
      </c>
      <c r="C879" s="3"/>
    </row>
    <row r="880" spans="1:3" ht="108">
      <c r="A880" s="3" t="s">
        <v>3470</v>
      </c>
      <c r="B880" s="5" t="s">
        <v>3471</v>
      </c>
      <c r="C880" s="3"/>
    </row>
    <row r="881" spans="1:3" ht="84">
      <c r="A881" s="3" t="s">
        <v>3472</v>
      </c>
      <c r="B881" s="5" t="s">
        <v>3975</v>
      </c>
      <c r="C881" s="3"/>
    </row>
    <row r="882" spans="1:3" ht="96">
      <c r="A882" s="3" t="s">
        <v>3473</v>
      </c>
      <c r="B882" s="5" t="s">
        <v>3474</v>
      </c>
      <c r="C882" s="3"/>
    </row>
    <row r="883" spans="1:3" ht="96">
      <c r="A883" s="3" t="s">
        <v>3475</v>
      </c>
      <c r="B883" s="5" t="s">
        <v>3476</v>
      </c>
      <c r="C883" s="3"/>
    </row>
    <row r="884" spans="1:3" ht="60">
      <c r="A884" s="3" t="s">
        <v>3477</v>
      </c>
      <c r="B884" s="5" t="s">
        <v>3478</v>
      </c>
      <c r="C884" s="3"/>
    </row>
    <row r="885" spans="1:3" ht="72">
      <c r="A885" s="3" t="s">
        <v>3479</v>
      </c>
      <c r="B885" s="5" t="s">
        <v>3976</v>
      </c>
      <c r="C885" s="3"/>
    </row>
    <row r="886" spans="1:3" ht="72">
      <c r="A886" s="3" t="s">
        <v>3480</v>
      </c>
      <c r="B886" s="5" t="s">
        <v>3977</v>
      </c>
      <c r="C886" s="3"/>
    </row>
    <row r="887" spans="1:3" ht="84">
      <c r="A887" s="3" t="s">
        <v>3481</v>
      </c>
      <c r="B887" s="5" t="s">
        <v>3978</v>
      </c>
      <c r="C887" s="3"/>
    </row>
    <row r="888" spans="1:3" ht="108">
      <c r="A888" s="3" t="s">
        <v>1121</v>
      </c>
      <c r="B888" s="5" t="s">
        <v>2438</v>
      </c>
      <c r="C888" s="3"/>
    </row>
    <row r="889" spans="1:3" ht="72">
      <c r="A889" s="3" t="s">
        <v>1122</v>
      </c>
      <c r="B889" s="5" t="s">
        <v>2439</v>
      </c>
      <c r="C889" s="3"/>
    </row>
    <row r="890" spans="1:3" ht="72">
      <c r="A890" s="3" t="s">
        <v>1123</v>
      </c>
      <c r="B890" s="5" t="s">
        <v>2440</v>
      </c>
      <c r="C890" s="3"/>
    </row>
    <row r="891" spans="1:3" ht="60">
      <c r="A891" s="3" t="s">
        <v>1124</v>
      </c>
      <c r="B891" s="5" t="s">
        <v>2441</v>
      </c>
      <c r="C891" s="3"/>
    </row>
    <row r="892" spans="1:3" ht="96">
      <c r="A892" s="3" t="s">
        <v>1125</v>
      </c>
      <c r="B892" s="5" t="s">
        <v>2442</v>
      </c>
      <c r="C892" s="3"/>
    </row>
    <row r="893" spans="1:3" ht="84">
      <c r="A893" s="3" t="s">
        <v>1126</v>
      </c>
      <c r="B893" s="5" t="s">
        <v>2443</v>
      </c>
      <c r="C893" s="3"/>
    </row>
    <row r="894" spans="1:3" ht="84">
      <c r="A894" s="3" t="s">
        <v>1127</v>
      </c>
      <c r="B894" s="5" t="s">
        <v>3154</v>
      </c>
      <c r="C894" s="3"/>
    </row>
    <row r="895" spans="1:3" ht="60">
      <c r="A895" s="3" t="s">
        <v>1128</v>
      </c>
      <c r="B895" s="5" t="s">
        <v>3155</v>
      </c>
      <c r="C895" s="3"/>
    </row>
    <row r="896" spans="1:3" ht="108">
      <c r="A896" s="3" t="s">
        <v>1129</v>
      </c>
      <c r="B896" s="5" t="s">
        <v>3156</v>
      </c>
      <c r="C896" s="3" t="s">
        <v>368</v>
      </c>
    </row>
    <row r="897" spans="1:3" ht="84">
      <c r="A897" s="3" t="s">
        <v>1130</v>
      </c>
      <c r="B897" s="5" t="s">
        <v>3157</v>
      </c>
      <c r="C897" s="3"/>
    </row>
    <row r="898" spans="1:3" ht="60">
      <c r="A898" s="3" t="s">
        <v>1131</v>
      </c>
      <c r="B898" s="5" t="s">
        <v>3158</v>
      </c>
      <c r="C898" s="3"/>
    </row>
    <row r="899" spans="1:3" ht="84">
      <c r="A899" s="3" t="s">
        <v>1132</v>
      </c>
      <c r="B899" s="5" t="s">
        <v>2444</v>
      </c>
      <c r="C899" s="3"/>
    </row>
    <row r="900" spans="1:3" ht="48">
      <c r="A900" s="3" t="s">
        <v>1133</v>
      </c>
      <c r="B900" s="5" t="s">
        <v>2445</v>
      </c>
      <c r="C900" s="3"/>
    </row>
    <row r="901" spans="1:3" ht="60">
      <c r="A901" s="3" t="s">
        <v>1134</v>
      </c>
      <c r="B901" s="5" t="s">
        <v>2446</v>
      </c>
      <c r="C901" s="3"/>
    </row>
    <row r="902" spans="1:3" ht="60">
      <c r="A902" s="3" t="s">
        <v>1135</v>
      </c>
      <c r="B902" s="5" t="s">
        <v>2447</v>
      </c>
      <c r="C902" s="3"/>
    </row>
    <row r="903" spans="1:3" ht="84">
      <c r="A903" s="3" t="s">
        <v>3811</v>
      </c>
      <c r="B903" s="5" t="s">
        <v>3482</v>
      </c>
      <c r="C903" s="3"/>
    </row>
    <row r="904" spans="1:3" ht="60">
      <c r="A904" s="3" t="s">
        <v>3812</v>
      </c>
      <c r="B904" s="5" t="s">
        <v>3483</v>
      </c>
      <c r="C904" s="3"/>
    </row>
    <row r="905" spans="1:3" ht="108">
      <c r="A905" s="3" t="s">
        <v>3813</v>
      </c>
      <c r="B905" s="5" t="s">
        <v>3484</v>
      </c>
      <c r="C905" s="3"/>
    </row>
    <row r="906" spans="1:3" ht="72">
      <c r="A906" s="3" t="s">
        <v>3814</v>
      </c>
      <c r="B906" s="5" t="s">
        <v>3485</v>
      </c>
      <c r="C906" s="3"/>
    </row>
    <row r="907" spans="1:3" ht="108">
      <c r="A907" s="3" t="s">
        <v>3815</v>
      </c>
      <c r="B907" s="5" t="s">
        <v>3486</v>
      </c>
      <c r="C907" s="3"/>
    </row>
    <row r="908" spans="1:3" ht="84">
      <c r="A908" s="3" t="s">
        <v>3816</v>
      </c>
      <c r="B908" s="5" t="s">
        <v>3487</v>
      </c>
      <c r="C908" s="3"/>
    </row>
    <row r="909" spans="1:3" ht="144">
      <c r="A909" s="3" t="s">
        <v>3817</v>
      </c>
      <c r="B909" s="5" t="s">
        <v>3488</v>
      </c>
      <c r="C909" s="3"/>
    </row>
    <row r="910" spans="1:3" ht="84">
      <c r="A910" s="3" t="s">
        <v>1136</v>
      </c>
      <c r="B910" s="5" t="s">
        <v>2448</v>
      </c>
      <c r="C910" s="3"/>
    </row>
    <row r="911" spans="1:3" ht="72">
      <c r="A911" s="3" t="s">
        <v>1137</v>
      </c>
      <c r="B911" s="5" t="s">
        <v>2449</v>
      </c>
      <c r="C911" s="3"/>
    </row>
    <row r="912" spans="1:3" ht="108">
      <c r="A912" s="3" t="s">
        <v>1138</v>
      </c>
      <c r="B912" s="5" t="s">
        <v>2450</v>
      </c>
      <c r="C912" s="3"/>
    </row>
    <row r="913" spans="1:3" ht="48">
      <c r="A913" s="3" t="s">
        <v>1139</v>
      </c>
      <c r="B913" s="5" t="s">
        <v>2451</v>
      </c>
      <c r="C913" s="3"/>
    </row>
    <row r="914" spans="1:3" ht="108">
      <c r="A914" s="3" t="s">
        <v>1140</v>
      </c>
      <c r="B914" s="5" t="s">
        <v>2452</v>
      </c>
      <c r="C914" s="3"/>
    </row>
    <row r="915" spans="1:3" ht="48">
      <c r="A915" s="3" t="s">
        <v>1141</v>
      </c>
      <c r="B915" s="5" t="s">
        <v>2453</v>
      </c>
      <c r="C915" s="3"/>
    </row>
    <row r="916" spans="1:3" ht="60">
      <c r="A916" s="3" t="s">
        <v>1142</v>
      </c>
      <c r="B916" s="5" t="s">
        <v>2454</v>
      </c>
      <c r="C916" s="3"/>
    </row>
    <row r="917" spans="1:3" ht="60">
      <c r="A917" s="3" t="s">
        <v>1143</v>
      </c>
      <c r="B917" s="5" t="s">
        <v>2455</v>
      </c>
      <c r="C917" s="3"/>
    </row>
    <row r="918" spans="1:3" ht="84">
      <c r="A918" s="3" t="s">
        <v>1144</v>
      </c>
      <c r="B918" s="5" t="s">
        <v>2456</v>
      </c>
      <c r="C918" s="3"/>
    </row>
    <row r="919" spans="1:3" ht="72">
      <c r="A919" s="3" t="s">
        <v>1145</v>
      </c>
      <c r="B919" s="5" t="s">
        <v>2457</v>
      </c>
      <c r="C919" s="3"/>
    </row>
    <row r="920" spans="1:3" ht="72">
      <c r="A920" s="3" t="s">
        <v>1146</v>
      </c>
      <c r="B920" s="5" t="s">
        <v>2458</v>
      </c>
      <c r="C920" s="3"/>
    </row>
    <row r="921" spans="1:3" ht="60">
      <c r="A921" s="3" t="s">
        <v>1147</v>
      </c>
      <c r="B921" s="5" t="s">
        <v>3159</v>
      </c>
      <c r="C921" s="3"/>
    </row>
    <row r="922" spans="1:3" ht="96">
      <c r="A922" s="3" t="s">
        <v>1148</v>
      </c>
      <c r="B922" s="5" t="s">
        <v>3160</v>
      </c>
      <c r="C922" s="3"/>
    </row>
    <row r="923" spans="1:3" ht="84">
      <c r="A923" s="3" t="s">
        <v>1149</v>
      </c>
      <c r="B923" s="5" t="s">
        <v>3161</v>
      </c>
      <c r="C923" s="3"/>
    </row>
    <row r="924" spans="1:3" ht="72">
      <c r="A924" s="3" t="s">
        <v>1150</v>
      </c>
      <c r="B924" s="5" t="s">
        <v>3162</v>
      </c>
      <c r="C924" s="3"/>
    </row>
    <row r="925" spans="1:3" ht="108">
      <c r="A925" s="3" t="s">
        <v>1151</v>
      </c>
      <c r="B925" s="5" t="s">
        <v>3163</v>
      </c>
      <c r="C925" s="3"/>
    </row>
    <row r="926" spans="1:3" ht="72">
      <c r="A926" s="3" t="s">
        <v>1152</v>
      </c>
      <c r="B926" s="5" t="s">
        <v>3164</v>
      </c>
      <c r="C926" s="3"/>
    </row>
    <row r="927" spans="1:3" ht="84">
      <c r="A927" s="3" t="s">
        <v>1153</v>
      </c>
      <c r="B927" s="5" t="s">
        <v>3165</v>
      </c>
      <c r="C927" s="3"/>
    </row>
    <row r="928" spans="1:3" ht="96">
      <c r="A928" s="3" t="s">
        <v>1154</v>
      </c>
      <c r="B928" s="5" t="s">
        <v>3166</v>
      </c>
      <c r="C928" s="3"/>
    </row>
    <row r="929" spans="1:3" ht="96">
      <c r="A929" s="3" t="s">
        <v>1155</v>
      </c>
      <c r="B929" s="5" t="s">
        <v>3167</v>
      </c>
      <c r="C929" s="3"/>
    </row>
    <row r="930" spans="1:3" ht="96">
      <c r="A930" s="3" t="s">
        <v>1156</v>
      </c>
      <c r="B930" s="5" t="s">
        <v>3168</v>
      </c>
      <c r="C930" s="3"/>
    </row>
    <row r="931" spans="1:3" ht="108">
      <c r="A931" s="3" t="s">
        <v>3818</v>
      </c>
      <c r="B931" s="5" t="s">
        <v>3489</v>
      </c>
      <c r="C931" s="3"/>
    </row>
    <row r="932" spans="1:3" ht="84">
      <c r="A932" s="3" t="s">
        <v>3819</v>
      </c>
      <c r="B932" s="5" t="s">
        <v>3490</v>
      </c>
      <c r="C932" s="3"/>
    </row>
    <row r="933" spans="1:3" ht="132">
      <c r="A933" s="3" t="s">
        <v>3820</v>
      </c>
      <c r="B933" s="5" t="s">
        <v>3491</v>
      </c>
      <c r="C933" s="3"/>
    </row>
    <row r="934" spans="1:3" ht="120">
      <c r="A934" s="3" t="s">
        <v>1157</v>
      </c>
      <c r="B934" s="5" t="s">
        <v>2459</v>
      </c>
      <c r="C934" s="3"/>
    </row>
    <row r="935" spans="1:3" ht="84">
      <c r="A935" s="3" t="s">
        <v>1158</v>
      </c>
      <c r="B935" s="5" t="s">
        <v>3492</v>
      </c>
      <c r="C935" s="3"/>
    </row>
    <row r="936" spans="1:3" ht="120">
      <c r="A936" s="3" t="s">
        <v>1159</v>
      </c>
      <c r="B936" s="5" t="s">
        <v>3169</v>
      </c>
      <c r="C936" s="3"/>
    </row>
    <row r="937" spans="1:3" ht="96">
      <c r="A937" s="3" t="s">
        <v>1160</v>
      </c>
      <c r="B937" s="5" t="s">
        <v>3170</v>
      </c>
      <c r="C937" s="3"/>
    </row>
    <row r="938" spans="1:3" ht="72">
      <c r="A938" s="3" t="s">
        <v>1161</v>
      </c>
      <c r="B938" s="5" t="s">
        <v>2460</v>
      </c>
      <c r="C938" s="3"/>
    </row>
    <row r="939" spans="1:3" ht="72">
      <c r="A939" s="3" t="s">
        <v>1162</v>
      </c>
      <c r="B939" s="5" t="s">
        <v>2461</v>
      </c>
      <c r="C939" s="3"/>
    </row>
    <row r="940" spans="1:3" ht="60">
      <c r="A940" s="3" t="s">
        <v>1163</v>
      </c>
      <c r="B940" s="5" t="s">
        <v>2462</v>
      </c>
      <c r="C940" s="3"/>
    </row>
    <row r="941" spans="1:3" ht="72">
      <c r="A941" s="3" t="s">
        <v>1164</v>
      </c>
      <c r="B941" s="5" t="s">
        <v>2463</v>
      </c>
      <c r="C941" s="3"/>
    </row>
    <row r="942" spans="1:3" ht="96">
      <c r="A942" s="3" t="s">
        <v>1165</v>
      </c>
      <c r="B942" s="5" t="s">
        <v>2464</v>
      </c>
      <c r="C942" s="3"/>
    </row>
    <row r="943" spans="1:3" ht="72">
      <c r="A943" s="3" t="s">
        <v>1166</v>
      </c>
      <c r="B943" s="5" t="s">
        <v>2465</v>
      </c>
      <c r="C943" s="3"/>
    </row>
    <row r="944" spans="1:3" ht="84">
      <c r="A944" s="3" t="s">
        <v>1167</v>
      </c>
      <c r="B944" s="5" t="s">
        <v>2466</v>
      </c>
      <c r="C944" s="3"/>
    </row>
    <row r="945" spans="1:3" ht="84">
      <c r="A945" s="3" t="s">
        <v>1168</v>
      </c>
      <c r="B945" s="5" t="s">
        <v>2467</v>
      </c>
      <c r="C945" s="3"/>
    </row>
    <row r="946" spans="1:3" ht="84">
      <c r="A946" s="3" t="s">
        <v>1169</v>
      </c>
      <c r="B946" s="5" t="s">
        <v>2468</v>
      </c>
      <c r="C946" s="3"/>
    </row>
    <row r="947" spans="1:3" ht="84">
      <c r="A947" s="3" t="s">
        <v>1170</v>
      </c>
      <c r="B947" s="5" t="s">
        <v>3171</v>
      </c>
      <c r="C947" s="3"/>
    </row>
    <row r="948" spans="1:3" ht="108">
      <c r="A948" s="3" t="s">
        <v>1171</v>
      </c>
      <c r="B948" s="5" t="s">
        <v>3172</v>
      </c>
      <c r="C948" s="3"/>
    </row>
    <row r="949" spans="1:3" ht="96">
      <c r="A949" s="3" t="s">
        <v>1172</v>
      </c>
      <c r="B949" s="5" t="s">
        <v>3173</v>
      </c>
      <c r="C949" s="3"/>
    </row>
    <row r="950" spans="1:3" ht="72">
      <c r="A950" s="3" t="s">
        <v>1173</v>
      </c>
      <c r="B950" s="5" t="s">
        <v>3174</v>
      </c>
      <c r="C950" s="3"/>
    </row>
    <row r="951" spans="1:3" ht="96">
      <c r="A951" s="3" t="s">
        <v>1174</v>
      </c>
      <c r="B951" s="5" t="s">
        <v>3175</v>
      </c>
      <c r="C951" s="3"/>
    </row>
    <row r="952" spans="1:3" ht="108">
      <c r="A952" s="3" t="s">
        <v>1175</v>
      </c>
      <c r="B952" s="5" t="s">
        <v>2469</v>
      </c>
      <c r="C952" s="3"/>
    </row>
    <row r="953" spans="1:3" ht="72">
      <c r="A953" s="3" t="s">
        <v>1176</v>
      </c>
      <c r="B953" s="5" t="s">
        <v>2470</v>
      </c>
      <c r="C953" s="3"/>
    </row>
    <row r="954" spans="1:3" ht="84">
      <c r="A954" s="3" t="s">
        <v>1177</v>
      </c>
      <c r="B954" s="5" t="s">
        <v>2471</v>
      </c>
      <c r="C954" s="3"/>
    </row>
    <row r="955" spans="1:3" ht="60">
      <c r="A955" s="3" t="s">
        <v>1178</v>
      </c>
      <c r="B955" s="5" t="s">
        <v>2472</v>
      </c>
      <c r="C955" s="3"/>
    </row>
    <row r="956" spans="1:3" ht="48">
      <c r="A956" s="3" t="s">
        <v>1179</v>
      </c>
      <c r="B956" s="5" t="s">
        <v>2473</v>
      </c>
      <c r="C956" s="3"/>
    </row>
    <row r="957" spans="1:3" ht="36">
      <c r="A957" s="3" t="s">
        <v>1180</v>
      </c>
      <c r="B957" s="5" t="s">
        <v>2474</v>
      </c>
      <c r="C957" s="3"/>
    </row>
    <row r="958" spans="1:3" ht="108">
      <c r="A958" s="3" t="s">
        <v>3821</v>
      </c>
      <c r="B958" s="3" t="s">
        <v>1953</v>
      </c>
      <c r="C958" s="3"/>
    </row>
    <row r="959" spans="1:3" ht="108">
      <c r="A959" s="3" t="s">
        <v>1181</v>
      </c>
      <c r="B959" s="5" t="s">
        <v>2475</v>
      </c>
      <c r="C959" s="3"/>
    </row>
    <row r="960" spans="1:3" ht="96">
      <c r="A960" s="3" t="s">
        <v>1182</v>
      </c>
      <c r="B960" s="5" t="s">
        <v>2476</v>
      </c>
      <c r="C960" s="3"/>
    </row>
    <row r="961" spans="1:3" ht="96">
      <c r="A961" s="3" t="s">
        <v>1183</v>
      </c>
      <c r="B961" s="5" t="s">
        <v>2477</v>
      </c>
      <c r="C961" s="3"/>
    </row>
    <row r="962" spans="1:3" ht="96">
      <c r="A962" s="3" t="s">
        <v>1184</v>
      </c>
      <c r="B962" s="5" t="s">
        <v>2478</v>
      </c>
      <c r="C962" s="3"/>
    </row>
    <row r="963" spans="1:3" ht="72">
      <c r="A963" s="3" t="s">
        <v>1185</v>
      </c>
      <c r="B963" s="5" t="s">
        <v>2479</v>
      </c>
      <c r="C963" s="3"/>
    </row>
    <row r="964" spans="1:3" ht="84">
      <c r="A964" s="3" t="s">
        <v>1186</v>
      </c>
      <c r="B964" s="5" t="s">
        <v>2480</v>
      </c>
      <c r="C964" s="3"/>
    </row>
    <row r="965" spans="1:3" ht="96">
      <c r="A965" s="3" t="s">
        <v>1187</v>
      </c>
      <c r="B965" s="5" t="s">
        <v>3176</v>
      </c>
      <c r="C965" s="3"/>
    </row>
    <row r="966" spans="1:3" ht="72">
      <c r="A966" s="3" t="s">
        <v>1188</v>
      </c>
      <c r="B966" s="5" t="s">
        <v>3177</v>
      </c>
      <c r="C966" s="3"/>
    </row>
    <row r="967" spans="1:3" ht="132">
      <c r="A967" s="3" t="s">
        <v>3822</v>
      </c>
      <c r="B967" s="3" t="s">
        <v>1954</v>
      </c>
      <c r="C967" s="3"/>
    </row>
    <row r="968" spans="1:3" ht="108">
      <c r="A968" s="3" t="s">
        <v>1189</v>
      </c>
      <c r="B968" s="5" t="s">
        <v>2481</v>
      </c>
      <c r="C968" s="3"/>
    </row>
    <row r="969" spans="1:3" ht="96">
      <c r="A969" s="3" t="s">
        <v>1190</v>
      </c>
      <c r="B969" s="5" t="s">
        <v>2482</v>
      </c>
      <c r="C969" s="3"/>
    </row>
    <row r="970" spans="1:3" ht="108">
      <c r="A970" s="3" t="s">
        <v>1191</v>
      </c>
      <c r="B970" s="5" t="s">
        <v>2483</v>
      </c>
      <c r="C970" s="3"/>
    </row>
    <row r="971" spans="1:3" ht="84">
      <c r="A971" s="3" t="s">
        <v>1192</v>
      </c>
      <c r="B971" s="5" t="s">
        <v>3178</v>
      </c>
      <c r="C971" s="3"/>
    </row>
    <row r="972" spans="1:3" ht="108">
      <c r="A972" s="3" t="s">
        <v>1193</v>
      </c>
      <c r="B972" s="5" t="s">
        <v>3179</v>
      </c>
      <c r="C972" s="3"/>
    </row>
    <row r="973" spans="1:3" ht="60">
      <c r="A973" s="3" t="s">
        <v>1194</v>
      </c>
      <c r="B973" s="5" t="s">
        <v>2484</v>
      </c>
      <c r="C973" s="3"/>
    </row>
    <row r="974" spans="1:3" ht="72">
      <c r="A974" s="3" t="s">
        <v>1195</v>
      </c>
      <c r="B974" s="5" t="s">
        <v>2485</v>
      </c>
      <c r="C974" s="3"/>
    </row>
    <row r="975" spans="1:3" ht="96">
      <c r="A975" s="3" t="s">
        <v>1196</v>
      </c>
      <c r="B975" s="5" t="s">
        <v>2486</v>
      </c>
      <c r="C975" s="3"/>
    </row>
    <row r="976" spans="1:3" ht="180">
      <c r="A976" s="3" t="s">
        <v>3823</v>
      </c>
      <c r="B976" s="3" t="s">
        <v>1955</v>
      </c>
      <c r="C976" s="3"/>
    </row>
    <row r="977" spans="1:3" ht="108">
      <c r="A977" s="3" t="s">
        <v>1197</v>
      </c>
      <c r="B977" s="5" t="s">
        <v>2487</v>
      </c>
      <c r="C977" s="3"/>
    </row>
    <row r="978" spans="1:3" ht="108">
      <c r="A978" s="3" t="s">
        <v>1198</v>
      </c>
      <c r="B978" s="5" t="s">
        <v>2488</v>
      </c>
      <c r="C978" s="3"/>
    </row>
    <row r="979" spans="1:3" ht="96">
      <c r="A979" s="3" t="s">
        <v>1199</v>
      </c>
      <c r="B979" s="5" t="s">
        <v>2489</v>
      </c>
      <c r="C979" s="3"/>
    </row>
    <row r="980" spans="1:3" ht="96">
      <c r="A980" s="3" t="s">
        <v>1200</v>
      </c>
      <c r="B980" s="5" t="s">
        <v>3180</v>
      </c>
      <c r="C980" s="3"/>
    </row>
    <row r="981" spans="1:3" ht="96">
      <c r="A981" s="3" t="s">
        <v>1201</v>
      </c>
      <c r="B981" s="5" t="s">
        <v>3181</v>
      </c>
      <c r="C981" s="3"/>
    </row>
    <row r="982" spans="1:3" ht="72">
      <c r="A982" s="3" t="s">
        <v>1202</v>
      </c>
      <c r="B982" s="5" t="s">
        <v>2490</v>
      </c>
      <c r="C982" s="3"/>
    </row>
    <row r="983" spans="1:3" ht="96">
      <c r="A983" s="3" t="s">
        <v>1203</v>
      </c>
      <c r="B983" s="5" t="s">
        <v>2491</v>
      </c>
      <c r="C983" s="3"/>
    </row>
    <row r="984" spans="1:3" ht="96">
      <c r="A984" s="3" t="s">
        <v>1204</v>
      </c>
      <c r="B984" s="5" t="s">
        <v>2492</v>
      </c>
      <c r="C984" s="3"/>
    </row>
    <row r="985" spans="1:3" ht="180">
      <c r="A985" s="3" t="s">
        <v>3824</v>
      </c>
      <c r="B985" s="3" t="s">
        <v>1956</v>
      </c>
      <c r="C985" s="3"/>
    </row>
    <row r="986" spans="1:3" ht="96">
      <c r="A986" s="3" t="s">
        <v>1205</v>
      </c>
      <c r="B986" s="5" t="s">
        <v>2493</v>
      </c>
      <c r="C986" s="3"/>
    </row>
    <row r="987" spans="1:3" ht="96">
      <c r="A987" s="3" t="s">
        <v>1206</v>
      </c>
      <c r="B987" s="5" t="s">
        <v>2494</v>
      </c>
      <c r="C987" s="3"/>
    </row>
    <row r="988" spans="1:3" ht="84">
      <c r="A988" s="3" t="s">
        <v>1207</v>
      </c>
      <c r="B988" s="5" t="s">
        <v>3182</v>
      </c>
      <c r="C988" s="3"/>
    </row>
    <row r="989" spans="1:3" ht="84">
      <c r="A989" s="3" t="s">
        <v>1208</v>
      </c>
      <c r="B989" s="5" t="s">
        <v>3183</v>
      </c>
      <c r="C989" s="3"/>
    </row>
    <row r="990" spans="1:3" ht="108">
      <c r="A990" s="3" t="s">
        <v>1209</v>
      </c>
      <c r="B990" s="5" t="s">
        <v>3184</v>
      </c>
      <c r="C990" s="3"/>
    </row>
    <row r="991" spans="1:3" ht="72">
      <c r="A991" s="3" t="s">
        <v>1210</v>
      </c>
      <c r="B991" s="5" t="s">
        <v>2495</v>
      </c>
      <c r="C991" s="3"/>
    </row>
    <row r="992" spans="1:3" ht="72">
      <c r="A992" s="3" t="s">
        <v>1211</v>
      </c>
      <c r="B992" s="5" t="s">
        <v>2496</v>
      </c>
      <c r="C992" s="3"/>
    </row>
    <row r="993" spans="1:3" ht="108">
      <c r="A993" s="3" t="s">
        <v>1212</v>
      </c>
      <c r="B993" s="5" t="s">
        <v>2497</v>
      </c>
      <c r="C993" s="3"/>
    </row>
    <row r="994" spans="1:3" ht="228">
      <c r="A994" s="3" t="s">
        <v>3825</v>
      </c>
      <c r="B994" s="3" t="s">
        <v>1957</v>
      </c>
      <c r="C994" s="3"/>
    </row>
    <row r="995" spans="1:3" ht="108">
      <c r="A995" s="3" t="s">
        <v>1213</v>
      </c>
      <c r="B995" s="5" t="s">
        <v>2498</v>
      </c>
      <c r="C995" s="3"/>
    </row>
    <row r="996" spans="1:3" ht="96">
      <c r="A996" s="3" t="s">
        <v>1214</v>
      </c>
      <c r="B996" s="5" t="s">
        <v>2499</v>
      </c>
      <c r="C996" s="3"/>
    </row>
    <row r="997" spans="1:3" ht="132">
      <c r="A997" s="3" t="s">
        <v>1215</v>
      </c>
      <c r="B997" s="5" t="s">
        <v>2500</v>
      </c>
      <c r="C997" s="3"/>
    </row>
    <row r="998" spans="1:3" ht="108">
      <c r="A998" s="3" t="s">
        <v>1216</v>
      </c>
      <c r="B998" s="5" t="s">
        <v>2501</v>
      </c>
      <c r="C998" s="3"/>
    </row>
    <row r="999" spans="1:3" ht="108">
      <c r="A999" s="3" t="s">
        <v>1217</v>
      </c>
      <c r="B999" s="5" t="s">
        <v>2502</v>
      </c>
      <c r="C999" s="3"/>
    </row>
    <row r="1000" spans="1:3" ht="108">
      <c r="A1000" s="3" t="s">
        <v>1218</v>
      </c>
      <c r="B1000" s="5" t="s">
        <v>2503</v>
      </c>
      <c r="C1000" s="3"/>
    </row>
    <row r="1001" spans="1:3" ht="84">
      <c r="A1001" s="3" t="s">
        <v>1219</v>
      </c>
      <c r="B1001" s="5" t="s">
        <v>3185</v>
      </c>
      <c r="C1001" s="3"/>
    </row>
    <row r="1002" spans="1:3" ht="72">
      <c r="A1002" s="3" t="s">
        <v>1220</v>
      </c>
      <c r="B1002" s="5" t="s">
        <v>3186</v>
      </c>
      <c r="C1002" s="3"/>
    </row>
    <row r="1003" spans="1:3" ht="72">
      <c r="A1003" s="3" t="s">
        <v>1221</v>
      </c>
      <c r="B1003" s="5" t="s">
        <v>2504</v>
      </c>
      <c r="C1003" s="3"/>
    </row>
    <row r="1004" spans="1:3" ht="96">
      <c r="A1004" s="3" t="s">
        <v>3826</v>
      </c>
      <c r="B1004" s="5" t="s">
        <v>3493</v>
      </c>
      <c r="C1004" s="3"/>
    </row>
    <row r="1005" spans="1:3" ht="192">
      <c r="A1005" s="3" t="s">
        <v>3827</v>
      </c>
      <c r="B1005" s="3" t="s">
        <v>1958</v>
      </c>
      <c r="C1005" s="3"/>
    </row>
    <row r="1006" spans="1:3" ht="120">
      <c r="A1006" s="3" t="s">
        <v>1222</v>
      </c>
      <c r="B1006" s="5" t="s">
        <v>2505</v>
      </c>
      <c r="C1006" s="3"/>
    </row>
    <row r="1007" spans="1:3" ht="120">
      <c r="A1007" s="3" t="s">
        <v>1223</v>
      </c>
      <c r="B1007" s="5" t="s">
        <v>2506</v>
      </c>
      <c r="C1007" s="3"/>
    </row>
    <row r="1008" spans="1:3" ht="96">
      <c r="A1008" s="3" t="s">
        <v>1224</v>
      </c>
      <c r="B1008" s="5" t="s">
        <v>3187</v>
      </c>
      <c r="C1008" s="3"/>
    </row>
    <row r="1009" spans="1:3" ht="84">
      <c r="A1009" s="3" t="s">
        <v>1225</v>
      </c>
      <c r="B1009" s="5" t="s">
        <v>3188</v>
      </c>
      <c r="C1009" s="3"/>
    </row>
    <row r="1010" spans="1:3" ht="84">
      <c r="A1010" s="3" t="s">
        <v>1226</v>
      </c>
      <c r="B1010" s="5" t="s">
        <v>3189</v>
      </c>
      <c r="C1010" s="3"/>
    </row>
    <row r="1011" spans="1:3" ht="96">
      <c r="A1011" s="3" t="s">
        <v>1227</v>
      </c>
      <c r="B1011" s="5" t="s">
        <v>2507</v>
      </c>
      <c r="C1011" s="3"/>
    </row>
    <row r="1012" spans="1:3" ht="72">
      <c r="A1012" s="3" t="s">
        <v>1228</v>
      </c>
      <c r="B1012" s="5" t="s">
        <v>2508</v>
      </c>
      <c r="C1012" s="3"/>
    </row>
    <row r="1013" spans="1:3" ht="108">
      <c r="A1013" s="3" t="s">
        <v>3828</v>
      </c>
      <c r="B1013" s="3" t="s">
        <v>1959</v>
      </c>
      <c r="C1013" s="3"/>
    </row>
    <row r="1014" spans="1:3" ht="108">
      <c r="A1014" s="3" t="s">
        <v>1229</v>
      </c>
      <c r="B1014" s="5" t="s">
        <v>2509</v>
      </c>
      <c r="C1014" s="3"/>
    </row>
    <row r="1015" spans="1:3" ht="96">
      <c r="A1015" s="3" t="s">
        <v>1230</v>
      </c>
      <c r="B1015" s="5" t="s">
        <v>2510</v>
      </c>
      <c r="C1015" s="3"/>
    </row>
    <row r="1016" spans="1:3" ht="84">
      <c r="A1016" s="3" t="s">
        <v>1231</v>
      </c>
      <c r="B1016" s="5" t="s">
        <v>3190</v>
      </c>
      <c r="C1016" s="3"/>
    </row>
    <row r="1017" spans="1:3" ht="72">
      <c r="A1017" s="3" t="s">
        <v>1232</v>
      </c>
      <c r="B1017" s="5" t="s">
        <v>3191</v>
      </c>
      <c r="C1017" s="3"/>
    </row>
    <row r="1018" spans="1:3" ht="84">
      <c r="A1018" s="3" t="s">
        <v>1233</v>
      </c>
      <c r="B1018" s="5" t="s">
        <v>2511</v>
      </c>
      <c r="C1018" s="3"/>
    </row>
    <row r="1019" spans="1:3" ht="96">
      <c r="A1019" s="3" t="s">
        <v>1234</v>
      </c>
      <c r="B1019" s="5" t="s">
        <v>2512</v>
      </c>
      <c r="C1019" s="3"/>
    </row>
    <row r="1020" spans="1:3" ht="84">
      <c r="A1020" s="3" t="s">
        <v>1235</v>
      </c>
      <c r="B1020" s="5" t="s">
        <v>2513</v>
      </c>
      <c r="C1020" s="3"/>
    </row>
    <row r="1021" spans="1:3" ht="48">
      <c r="A1021" s="3" t="s">
        <v>1236</v>
      </c>
      <c r="B1021" s="5" t="s">
        <v>2514</v>
      </c>
      <c r="C1021" s="3"/>
    </row>
    <row r="1022" spans="1:3" ht="168">
      <c r="A1022" s="3" t="s">
        <v>3829</v>
      </c>
      <c r="B1022" s="3" t="s">
        <v>1960</v>
      </c>
      <c r="C1022" s="3"/>
    </row>
    <row r="1023" spans="1:3" ht="144">
      <c r="A1023" s="3" t="s">
        <v>1237</v>
      </c>
      <c r="B1023" s="5" t="s">
        <v>3192</v>
      </c>
      <c r="C1023" s="3"/>
    </row>
    <row r="1024" spans="1:3" ht="120">
      <c r="A1024" s="3" t="s">
        <v>1238</v>
      </c>
      <c r="B1024" s="5" t="s">
        <v>3193</v>
      </c>
      <c r="C1024" s="3"/>
    </row>
    <row r="1025" spans="1:3" ht="84">
      <c r="A1025" s="3" t="s">
        <v>1239</v>
      </c>
      <c r="B1025" s="5" t="s">
        <v>2515</v>
      </c>
      <c r="C1025" s="3"/>
    </row>
    <row r="1026" spans="1:3" ht="84">
      <c r="A1026" s="3" t="s">
        <v>1240</v>
      </c>
      <c r="B1026" s="5" t="s">
        <v>2516</v>
      </c>
      <c r="C1026" s="3"/>
    </row>
    <row r="1027" spans="1:3" ht="84">
      <c r="A1027" s="3" t="s">
        <v>1241</v>
      </c>
      <c r="B1027" s="5" t="s">
        <v>2517</v>
      </c>
      <c r="C1027" s="3"/>
    </row>
    <row r="1028" spans="1:3" ht="84">
      <c r="A1028" s="3" t="s">
        <v>1242</v>
      </c>
      <c r="B1028" s="5" t="s">
        <v>2518</v>
      </c>
      <c r="C1028" s="3"/>
    </row>
    <row r="1029" spans="1:3" ht="96">
      <c r="A1029" s="3" t="s">
        <v>1243</v>
      </c>
      <c r="B1029" s="5" t="s">
        <v>2519</v>
      </c>
      <c r="C1029" s="3"/>
    </row>
    <row r="1030" spans="1:3" ht="96">
      <c r="A1030" s="3" t="s">
        <v>1244</v>
      </c>
      <c r="B1030" s="5" t="s">
        <v>2520</v>
      </c>
      <c r="C1030" s="3"/>
    </row>
    <row r="1031" spans="1:3" ht="96">
      <c r="A1031" s="3" t="s">
        <v>1245</v>
      </c>
      <c r="B1031" s="5" t="s">
        <v>2521</v>
      </c>
      <c r="C1031" s="3"/>
    </row>
    <row r="1032" spans="1:3" ht="180">
      <c r="A1032" s="3" t="s">
        <v>3830</v>
      </c>
      <c r="B1032" s="3" t="s">
        <v>1961</v>
      </c>
      <c r="C1032" s="3"/>
    </row>
    <row r="1033" spans="1:3" ht="84">
      <c r="A1033" s="3" t="s">
        <v>1246</v>
      </c>
      <c r="B1033" s="5" t="s">
        <v>2522</v>
      </c>
      <c r="C1033" s="3"/>
    </row>
    <row r="1034" spans="1:3" ht="96">
      <c r="A1034" s="3" t="s">
        <v>1247</v>
      </c>
      <c r="B1034" s="5" t="s">
        <v>2523</v>
      </c>
      <c r="C1034" s="3"/>
    </row>
    <row r="1035" spans="1:3" ht="96">
      <c r="A1035" s="3" t="s">
        <v>1248</v>
      </c>
      <c r="B1035" s="5" t="s">
        <v>2524</v>
      </c>
      <c r="C1035" s="3"/>
    </row>
    <row r="1036" spans="1:3" ht="132">
      <c r="A1036" s="3" t="s">
        <v>1249</v>
      </c>
      <c r="B1036" s="5" t="s">
        <v>3194</v>
      </c>
      <c r="C1036" s="3"/>
    </row>
    <row r="1037" spans="1:3" ht="84">
      <c r="A1037" s="3" t="s">
        <v>1250</v>
      </c>
      <c r="B1037" s="5" t="s">
        <v>3195</v>
      </c>
      <c r="C1037" s="3"/>
    </row>
    <row r="1038" spans="1:3" ht="72">
      <c r="A1038" s="3" t="s">
        <v>1251</v>
      </c>
      <c r="B1038" s="5" t="s">
        <v>2525</v>
      </c>
      <c r="C1038" s="3"/>
    </row>
    <row r="1039" spans="1:3" ht="96">
      <c r="A1039" s="3" t="s">
        <v>1252</v>
      </c>
      <c r="B1039" s="5" t="s">
        <v>2526</v>
      </c>
      <c r="C1039" s="3"/>
    </row>
    <row r="1040" spans="1:3" ht="96">
      <c r="A1040" s="3" t="s">
        <v>1253</v>
      </c>
      <c r="B1040" s="5" t="s">
        <v>2527</v>
      </c>
      <c r="C1040" s="3"/>
    </row>
    <row r="1041" spans="1:3" ht="300">
      <c r="A1041" s="3" t="s">
        <v>3831</v>
      </c>
      <c r="B1041" s="3" t="s">
        <v>1962</v>
      </c>
      <c r="C1041" s="3"/>
    </row>
    <row r="1042" spans="1:3" ht="132">
      <c r="A1042" s="3" t="s">
        <v>3832</v>
      </c>
      <c r="B1042" s="5" t="s">
        <v>3494</v>
      </c>
      <c r="C1042" s="3"/>
    </row>
    <row r="1043" spans="1:3" ht="72">
      <c r="A1043" s="3" t="s">
        <v>1254</v>
      </c>
      <c r="B1043" s="5" t="s">
        <v>2528</v>
      </c>
      <c r="C1043" s="3"/>
    </row>
    <row r="1044" spans="1:3" ht="96">
      <c r="A1044" s="3" t="s">
        <v>1255</v>
      </c>
      <c r="B1044" s="5" t="s">
        <v>2529</v>
      </c>
      <c r="C1044" s="3"/>
    </row>
    <row r="1045" spans="1:3" ht="84">
      <c r="A1045" s="3" t="s">
        <v>1256</v>
      </c>
      <c r="B1045" s="5" t="s">
        <v>2530</v>
      </c>
      <c r="C1045" s="3"/>
    </row>
    <row r="1046" spans="1:3" ht="96">
      <c r="A1046" s="3" t="s">
        <v>1257</v>
      </c>
      <c r="B1046" s="5" t="s">
        <v>2531</v>
      </c>
      <c r="C1046" s="3"/>
    </row>
    <row r="1047" spans="1:3" ht="84">
      <c r="A1047" s="3" t="s">
        <v>1258</v>
      </c>
      <c r="B1047" s="5" t="s">
        <v>2532</v>
      </c>
      <c r="C1047" s="3"/>
    </row>
    <row r="1048" spans="1:3" ht="72">
      <c r="A1048" s="3" t="s">
        <v>1259</v>
      </c>
      <c r="B1048" s="5" t="s">
        <v>2533</v>
      </c>
      <c r="C1048" s="3"/>
    </row>
    <row r="1049" spans="1:3" ht="360">
      <c r="A1049" s="3" t="s">
        <v>3833</v>
      </c>
      <c r="B1049" s="3" t="s">
        <v>1963</v>
      </c>
      <c r="C1049" s="3"/>
    </row>
    <row r="1050" spans="1:3" ht="96">
      <c r="A1050" s="3" t="s">
        <v>1260</v>
      </c>
      <c r="B1050" s="5" t="s">
        <v>2534</v>
      </c>
      <c r="C1050" s="3"/>
    </row>
    <row r="1051" spans="1:3" ht="108">
      <c r="A1051" s="3" t="s">
        <v>1261</v>
      </c>
      <c r="B1051" s="5" t="s">
        <v>2535</v>
      </c>
      <c r="C1051" s="3"/>
    </row>
    <row r="1052" spans="1:3" ht="84">
      <c r="A1052" s="3" t="s">
        <v>1262</v>
      </c>
      <c r="B1052" s="5" t="s">
        <v>2536</v>
      </c>
      <c r="C1052" s="3"/>
    </row>
    <row r="1053" spans="1:3" ht="84">
      <c r="A1053" s="3" t="s">
        <v>1263</v>
      </c>
      <c r="B1053" s="5" t="s">
        <v>2537</v>
      </c>
      <c r="C1053" s="3"/>
    </row>
    <row r="1054" spans="1:3" ht="60">
      <c r="A1054" s="3" t="s">
        <v>1264</v>
      </c>
      <c r="B1054" s="5" t="s">
        <v>2538</v>
      </c>
      <c r="C1054" s="3"/>
    </row>
    <row r="1055" spans="1:3" ht="84">
      <c r="A1055" s="3" t="s">
        <v>1265</v>
      </c>
      <c r="B1055" s="5" t="s">
        <v>2539</v>
      </c>
      <c r="C1055" s="3"/>
    </row>
    <row r="1056" spans="1:3" ht="72">
      <c r="A1056" s="3" t="s">
        <v>1266</v>
      </c>
      <c r="B1056" s="5" t="s">
        <v>2540</v>
      </c>
      <c r="C1056" s="3"/>
    </row>
    <row r="1057" spans="1:3" ht="48">
      <c r="A1057" s="3" t="s">
        <v>1267</v>
      </c>
      <c r="B1057" s="5" t="s">
        <v>2541</v>
      </c>
      <c r="C1057" s="3"/>
    </row>
    <row r="1058" spans="1:3" ht="60">
      <c r="A1058" s="3" t="s">
        <v>1268</v>
      </c>
      <c r="B1058" s="5" t="s">
        <v>2542</v>
      </c>
      <c r="C1058" s="3"/>
    </row>
    <row r="1059" spans="1:3" ht="360">
      <c r="A1059" s="3" t="s">
        <v>3834</v>
      </c>
      <c r="B1059" s="3" t="s">
        <v>1964</v>
      </c>
      <c r="C1059" s="3"/>
    </row>
    <row r="1060" spans="1:3" ht="132">
      <c r="A1060" s="3" t="s">
        <v>3835</v>
      </c>
      <c r="B1060" s="5" t="s">
        <v>3495</v>
      </c>
      <c r="C1060" s="3"/>
    </row>
    <row r="1061" spans="1:3" ht="168">
      <c r="A1061" s="3" t="s">
        <v>3836</v>
      </c>
      <c r="B1061" s="5" t="s">
        <v>3496</v>
      </c>
      <c r="C1061" s="3" t="s">
        <v>369</v>
      </c>
    </row>
    <row r="1062" spans="1:3" ht="84">
      <c r="A1062" s="3" t="s">
        <v>3837</v>
      </c>
      <c r="B1062" s="5" t="s">
        <v>3497</v>
      </c>
      <c r="C1062" s="3"/>
    </row>
    <row r="1063" spans="1:3" ht="96">
      <c r="A1063" s="3" t="s">
        <v>1269</v>
      </c>
      <c r="B1063" s="5" t="s">
        <v>2543</v>
      </c>
      <c r="C1063" s="3" t="s">
        <v>370</v>
      </c>
    </row>
    <row r="1064" spans="1:3" ht="72">
      <c r="A1064" s="3" t="s">
        <v>1270</v>
      </c>
      <c r="B1064" s="5" t="s">
        <v>2544</v>
      </c>
      <c r="C1064" s="3"/>
    </row>
    <row r="1065" spans="1:3" ht="96">
      <c r="A1065" s="3" t="s">
        <v>1271</v>
      </c>
      <c r="B1065" s="5" t="s">
        <v>2545</v>
      </c>
      <c r="C1065" s="3" t="s">
        <v>371</v>
      </c>
    </row>
    <row r="1066" spans="1:3" ht="72">
      <c r="A1066" s="3" t="s">
        <v>1272</v>
      </c>
      <c r="B1066" s="5" t="s">
        <v>2546</v>
      </c>
      <c r="C1066" s="3"/>
    </row>
    <row r="1067" spans="1:3" ht="60">
      <c r="A1067" s="3" t="s">
        <v>1273</v>
      </c>
      <c r="B1067" s="5" t="s">
        <v>2547</v>
      </c>
      <c r="C1067" s="3"/>
    </row>
    <row r="1068" spans="1:3" ht="324">
      <c r="A1068" s="3" t="s">
        <v>3979</v>
      </c>
      <c r="B1068" s="3" t="s">
        <v>3980</v>
      </c>
      <c r="C1068" s="3"/>
    </row>
    <row r="1069" spans="1:3" ht="96">
      <c r="A1069" s="3" t="s">
        <v>3981</v>
      </c>
      <c r="B1069" s="5" t="s">
        <v>3982</v>
      </c>
      <c r="C1069" s="3"/>
    </row>
    <row r="1070" spans="1:3" ht="84">
      <c r="A1070" s="3" t="s">
        <v>3983</v>
      </c>
      <c r="B1070" s="5" t="s">
        <v>3984</v>
      </c>
      <c r="C1070" s="3"/>
    </row>
    <row r="1071" spans="1:3" ht="108">
      <c r="A1071" s="3" t="s">
        <v>3985</v>
      </c>
      <c r="B1071" s="5" t="s">
        <v>3986</v>
      </c>
      <c r="C1071" s="3"/>
    </row>
    <row r="1072" spans="1:3" ht="120">
      <c r="A1072" s="3" t="s">
        <v>3987</v>
      </c>
      <c r="B1072" s="5" t="s">
        <v>3988</v>
      </c>
      <c r="C1072" s="3"/>
    </row>
    <row r="1073" spans="1:3" ht="84">
      <c r="A1073" s="3" t="s">
        <v>3989</v>
      </c>
      <c r="B1073" s="5" t="s">
        <v>3990</v>
      </c>
      <c r="C1073" s="3"/>
    </row>
    <row r="1074" spans="1:3" ht="108">
      <c r="A1074" s="3" t="s">
        <v>3991</v>
      </c>
      <c r="B1074" s="5" t="s">
        <v>3992</v>
      </c>
      <c r="C1074" s="3"/>
    </row>
    <row r="1075" spans="1:3" ht="60">
      <c r="A1075" s="3" t="s">
        <v>3993</v>
      </c>
      <c r="B1075" s="5" t="s">
        <v>3994</v>
      </c>
      <c r="C1075" s="3"/>
    </row>
    <row r="1076" spans="1:3" ht="324">
      <c r="A1076" s="3" t="s">
        <v>3995</v>
      </c>
      <c r="B1076" s="3" t="s">
        <v>3996</v>
      </c>
      <c r="C1076" s="3"/>
    </row>
    <row r="1077" spans="1:3" ht="216">
      <c r="A1077" s="3" t="s">
        <v>3997</v>
      </c>
      <c r="B1077" s="5" t="s">
        <v>3998</v>
      </c>
      <c r="C1077" s="3"/>
    </row>
    <row r="1078" spans="1:3" ht="84">
      <c r="A1078" s="3" t="s">
        <v>3999</v>
      </c>
      <c r="B1078" s="5" t="s">
        <v>4000</v>
      </c>
      <c r="C1078" s="3"/>
    </row>
    <row r="1079" spans="1:3" ht="84">
      <c r="A1079" s="3" t="s">
        <v>4001</v>
      </c>
      <c r="B1079" s="5" t="s">
        <v>4002</v>
      </c>
      <c r="C1079" s="3"/>
    </row>
    <row r="1080" spans="1:3" ht="108">
      <c r="A1080" s="3" t="s">
        <v>4003</v>
      </c>
      <c r="B1080" s="5" t="s">
        <v>4004</v>
      </c>
      <c r="C1080" s="3"/>
    </row>
    <row r="1081" spans="1:3" ht="84">
      <c r="A1081" s="3" t="s">
        <v>4005</v>
      </c>
      <c r="B1081" s="5" t="s">
        <v>4006</v>
      </c>
      <c r="C1081" s="3"/>
    </row>
    <row r="1082" spans="1:3" ht="96">
      <c r="A1082" s="3" t="s">
        <v>4007</v>
      </c>
      <c r="B1082" s="5" t="s">
        <v>4008</v>
      </c>
      <c r="C1082" s="3"/>
    </row>
    <row r="1083" spans="1:3" ht="96">
      <c r="A1083" s="3" t="s">
        <v>4009</v>
      </c>
      <c r="B1083" s="5" t="s">
        <v>4010</v>
      </c>
      <c r="C1083" s="3"/>
    </row>
    <row r="1084" spans="1:3" ht="72">
      <c r="A1084" s="3" t="s">
        <v>4011</v>
      </c>
      <c r="B1084" s="5" t="s">
        <v>4012</v>
      </c>
      <c r="C1084" s="3"/>
    </row>
    <row r="1085" spans="1:3" ht="348">
      <c r="A1085" s="3" t="s">
        <v>4013</v>
      </c>
      <c r="B1085" s="3" t="s">
        <v>4014</v>
      </c>
      <c r="C1085" s="3"/>
    </row>
    <row r="1086" spans="1:3" ht="132">
      <c r="A1086" s="3" t="s">
        <v>4015</v>
      </c>
      <c r="B1086" s="5" t="s">
        <v>4016</v>
      </c>
      <c r="C1086" s="3"/>
    </row>
    <row r="1087" spans="1:3" ht="120">
      <c r="A1087" s="3" t="s">
        <v>4017</v>
      </c>
      <c r="B1087" s="5" t="s">
        <v>4018</v>
      </c>
      <c r="C1087" s="3"/>
    </row>
    <row r="1088" spans="1:3" ht="120">
      <c r="A1088" s="3" t="s">
        <v>4019</v>
      </c>
      <c r="B1088" s="5" t="s">
        <v>4020</v>
      </c>
      <c r="C1088" s="3"/>
    </row>
    <row r="1089" spans="1:3" ht="96">
      <c r="A1089" s="3" t="s">
        <v>4021</v>
      </c>
      <c r="B1089" s="5" t="s">
        <v>4022</v>
      </c>
      <c r="C1089" s="3"/>
    </row>
    <row r="1090" spans="1:3" ht="96">
      <c r="A1090" s="3" t="s">
        <v>4023</v>
      </c>
      <c r="B1090" s="5" t="s">
        <v>4024</v>
      </c>
      <c r="C1090" s="3"/>
    </row>
    <row r="1091" spans="1:3" ht="72">
      <c r="A1091" s="3" t="s">
        <v>4025</v>
      </c>
      <c r="B1091" s="5" t="s">
        <v>4026</v>
      </c>
      <c r="C1091" s="3"/>
    </row>
    <row r="1092" spans="1:3" ht="72">
      <c r="A1092" s="3" t="s">
        <v>4027</v>
      </c>
      <c r="B1092" s="5" t="s">
        <v>4028</v>
      </c>
      <c r="C1092" s="3"/>
    </row>
    <row r="1093" spans="1:3" ht="96">
      <c r="A1093" s="3" t="s">
        <v>3838</v>
      </c>
      <c r="B1093" s="3" t="s">
        <v>1965</v>
      </c>
      <c r="C1093" s="3"/>
    </row>
    <row r="1094" spans="1:3" ht="108">
      <c r="A1094" s="3" t="s">
        <v>1274</v>
      </c>
      <c r="B1094" s="5" t="s">
        <v>2548</v>
      </c>
      <c r="C1094" s="3"/>
    </row>
    <row r="1095" spans="1:3" ht="84">
      <c r="A1095" s="3" t="s">
        <v>1275</v>
      </c>
      <c r="B1095" s="5" t="s">
        <v>3196</v>
      </c>
      <c r="C1095" s="3"/>
    </row>
    <row r="1096" spans="1:3" ht="108">
      <c r="A1096" s="3" t="s">
        <v>1276</v>
      </c>
      <c r="B1096" s="5" t="s">
        <v>3197</v>
      </c>
      <c r="C1096" s="3"/>
    </row>
    <row r="1097" spans="1:3" ht="120">
      <c r="A1097" s="3" t="s">
        <v>1277</v>
      </c>
      <c r="B1097" s="5" t="s">
        <v>3198</v>
      </c>
      <c r="C1097" s="3" t="s">
        <v>372</v>
      </c>
    </row>
    <row r="1098" spans="1:3" ht="84">
      <c r="A1098" s="3" t="s">
        <v>1278</v>
      </c>
      <c r="B1098" s="5" t="s">
        <v>2549</v>
      </c>
      <c r="C1098" s="3" t="s">
        <v>373</v>
      </c>
    </row>
    <row r="1099" spans="1:3" ht="96">
      <c r="A1099" s="3" t="s">
        <v>1279</v>
      </c>
      <c r="B1099" s="5" t="s">
        <v>2550</v>
      </c>
      <c r="C1099" s="3"/>
    </row>
    <row r="1100" spans="1:3" ht="60">
      <c r="A1100" s="3" t="s">
        <v>1280</v>
      </c>
      <c r="B1100" s="5" t="s">
        <v>2551</v>
      </c>
      <c r="C1100" s="3"/>
    </row>
    <row r="1101" spans="1:3" ht="120">
      <c r="A1101" s="3" t="s">
        <v>3839</v>
      </c>
      <c r="B1101" s="3" t="s">
        <v>1966</v>
      </c>
      <c r="C1101" s="3"/>
    </row>
    <row r="1102" spans="1:3" ht="96">
      <c r="A1102" s="3" t="s">
        <v>1281</v>
      </c>
      <c r="B1102" s="5" t="s">
        <v>3199</v>
      </c>
      <c r="C1102" s="3"/>
    </row>
    <row r="1103" spans="1:3" ht="108">
      <c r="A1103" s="3" t="s">
        <v>1282</v>
      </c>
      <c r="B1103" s="5" t="s">
        <v>3200</v>
      </c>
      <c r="C1103" s="3" t="s">
        <v>374</v>
      </c>
    </row>
    <row r="1104" spans="1:3" ht="72">
      <c r="A1104" s="3" t="s">
        <v>1283</v>
      </c>
      <c r="B1104" s="5" t="s">
        <v>2552</v>
      </c>
      <c r="C1104" s="3"/>
    </row>
    <row r="1105" spans="1:3" ht="120">
      <c r="A1105" s="3" t="s">
        <v>1284</v>
      </c>
      <c r="B1105" s="5" t="s">
        <v>2553</v>
      </c>
      <c r="C1105" s="3" t="s">
        <v>375</v>
      </c>
    </row>
    <row r="1106" spans="1:3" ht="108">
      <c r="A1106" s="3" t="s">
        <v>1285</v>
      </c>
      <c r="B1106" s="5" t="s">
        <v>2554</v>
      </c>
      <c r="C1106" s="3" t="s">
        <v>375</v>
      </c>
    </row>
    <row r="1107" spans="1:3" ht="120">
      <c r="A1107" s="3" t="s">
        <v>1286</v>
      </c>
      <c r="B1107" s="5" t="s">
        <v>3201</v>
      </c>
      <c r="C1107" s="3" t="s">
        <v>375</v>
      </c>
    </row>
    <row r="1108" spans="1:3" ht="72">
      <c r="A1108" s="3" t="s">
        <v>1287</v>
      </c>
      <c r="B1108" s="5" t="s">
        <v>1841</v>
      </c>
      <c r="C1108" s="3"/>
    </row>
    <row r="1109" spans="1:3" ht="168">
      <c r="A1109" s="3" t="s">
        <v>3840</v>
      </c>
      <c r="B1109" s="3" t="s">
        <v>1967</v>
      </c>
      <c r="C1109" s="3" t="s">
        <v>376</v>
      </c>
    </row>
    <row r="1110" spans="1:3" ht="120">
      <c r="A1110" s="3" t="s">
        <v>1288</v>
      </c>
      <c r="B1110" s="5" t="s">
        <v>3202</v>
      </c>
      <c r="C1110" s="3"/>
    </row>
    <row r="1111" spans="1:3" ht="96">
      <c r="A1111" s="3" t="s">
        <v>1289</v>
      </c>
      <c r="B1111" s="5" t="s">
        <v>2555</v>
      </c>
      <c r="C1111" s="3"/>
    </row>
    <row r="1112" spans="1:3" ht="96">
      <c r="A1112" s="3" t="s">
        <v>1290</v>
      </c>
      <c r="B1112" s="5" t="s">
        <v>3203</v>
      </c>
      <c r="C1112" s="3"/>
    </row>
    <row r="1113" spans="1:3" ht="84">
      <c r="A1113" s="3" t="s">
        <v>1291</v>
      </c>
      <c r="B1113" s="5" t="s">
        <v>2556</v>
      </c>
      <c r="C1113" s="3"/>
    </row>
    <row r="1114" spans="1:3" ht="132">
      <c r="A1114" s="3" t="s">
        <v>1292</v>
      </c>
      <c r="B1114" s="5" t="s">
        <v>3204</v>
      </c>
      <c r="C1114" s="3" t="s">
        <v>377</v>
      </c>
    </row>
    <row r="1115" spans="1:3" ht="96">
      <c r="A1115" s="3" t="s">
        <v>1293</v>
      </c>
      <c r="B1115" s="5" t="s">
        <v>2557</v>
      </c>
      <c r="C1115" s="3"/>
    </row>
    <row r="1116" spans="1:3" ht="108">
      <c r="A1116" s="3" t="s">
        <v>1294</v>
      </c>
      <c r="B1116" s="5" t="s">
        <v>2558</v>
      </c>
      <c r="C1116" s="3" t="s">
        <v>378</v>
      </c>
    </row>
    <row r="1117" spans="1:3" ht="84">
      <c r="A1117" s="3" t="s">
        <v>1295</v>
      </c>
      <c r="B1117" s="5" t="s">
        <v>1906</v>
      </c>
      <c r="C1117" s="3" t="s">
        <v>379</v>
      </c>
    </row>
    <row r="1118" spans="1:3" ht="72">
      <c r="A1118" s="3" t="s">
        <v>1296</v>
      </c>
      <c r="B1118" s="5" t="s">
        <v>1907</v>
      </c>
      <c r="C1118" s="3" t="s">
        <v>379</v>
      </c>
    </row>
    <row r="1119" spans="1:3" ht="60">
      <c r="A1119" s="3" t="s">
        <v>1297</v>
      </c>
      <c r="B1119" s="5" t="s">
        <v>1908</v>
      </c>
      <c r="C1119" s="3" t="s">
        <v>379</v>
      </c>
    </row>
    <row r="1120" spans="1:3" ht="60">
      <c r="A1120" s="3" t="s">
        <v>1298</v>
      </c>
      <c r="B1120" s="5" t="s">
        <v>1909</v>
      </c>
      <c r="C1120" s="3"/>
    </row>
    <row r="1121" spans="1:3" ht="84">
      <c r="A1121" s="3" t="s">
        <v>1299</v>
      </c>
      <c r="B1121" s="5" t="s">
        <v>1910</v>
      </c>
      <c r="C1121" s="3"/>
    </row>
    <row r="1122" spans="1:3" ht="72">
      <c r="A1122" s="3" t="s">
        <v>1300</v>
      </c>
      <c r="B1122" s="5" t="s">
        <v>1842</v>
      </c>
      <c r="C1122" s="3"/>
    </row>
    <row r="1123" spans="1:3" ht="72">
      <c r="A1123" s="3" t="s">
        <v>1301</v>
      </c>
      <c r="B1123" s="5" t="s">
        <v>1843</v>
      </c>
      <c r="C1123" s="3"/>
    </row>
    <row r="1124" spans="1:3" ht="72">
      <c r="A1124" s="3" t="s">
        <v>1302</v>
      </c>
      <c r="B1124" s="5" t="s">
        <v>1844</v>
      </c>
      <c r="C1124" s="3"/>
    </row>
    <row r="1125" spans="1:3" ht="60">
      <c r="A1125" s="3" t="s">
        <v>1303</v>
      </c>
      <c r="B1125" s="5" t="s">
        <v>1845</v>
      </c>
      <c r="C1125" s="3"/>
    </row>
    <row r="1126" spans="1:3" ht="84">
      <c r="A1126" s="3" t="s">
        <v>1304</v>
      </c>
      <c r="B1126" s="5" t="s">
        <v>1846</v>
      </c>
      <c r="C1126" s="3"/>
    </row>
    <row r="1127" spans="1:3" ht="48">
      <c r="A1127" s="3" t="s">
        <v>1305</v>
      </c>
      <c r="B1127" s="5" t="s">
        <v>1847</v>
      </c>
      <c r="C1127" s="3" t="s">
        <v>380</v>
      </c>
    </row>
    <row r="1128" spans="1:3" ht="72">
      <c r="A1128" s="3" t="s">
        <v>1306</v>
      </c>
      <c r="B1128" s="5" t="s">
        <v>1848</v>
      </c>
      <c r="C1128" s="3" t="s">
        <v>381</v>
      </c>
    </row>
    <row r="1129" spans="1:3" ht="72">
      <c r="A1129" s="3" t="s">
        <v>1307</v>
      </c>
      <c r="B1129" s="5" t="s">
        <v>1849</v>
      </c>
      <c r="C1129" s="3" t="s">
        <v>382</v>
      </c>
    </row>
    <row r="1130" spans="1:3" ht="72">
      <c r="A1130" s="3" t="s">
        <v>1308</v>
      </c>
      <c r="B1130" s="5" t="s">
        <v>1850</v>
      </c>
      <c r="C1130" s="3" t="s">
        <v>382</v>
      </c>
    </row>
    <row r="1131" spans="1:3" ht="48">
      <c r="A1131" s="3" t="s">
        <v>1309</v>
      </c>
      <c r="B1131" s="5" t="s">
        <v>1851</v>
      </c>
      <c r="C1131" s="3" t="s">
        <v>383</v>
      </c>
    </row>
    <row r="1132" spans="1:3" ht="48">
      <c r="A1132" s="3" t="s">
        <v>1310</v>
      </c>
      <c r="B1132" s="5" t="s">
        <v>1852</v>
      </c>
      <c r="C1132" s="3" t="s">
        <v>382</v>
      </c>
    </row>
    <row r="1133" spans="1:3" ht="36">
      <c r="A1133" s="3" t="s">
        <v>1311</v>
      </c>
      <c r="B1133" s="5" t="s">
        <v>1853</v>
      </c>
      <c r="C1133" s="3" t="s">
        <v>382</v>
      </c>
    </row>
    <row r="1134" spans="1:3" ht="60">
      <c r="A1134" s="3" t="s">
        <v>1312</v>
      </c>
      <c r="B1134" s="5" t="s">
        <v>1854</v>
      </c>
      <c r="C1134" s="3" t="s">
        <v>382</v>
      </c>
    </row>
    <row r="1135" spans="1:3" ht="60">
      <c r="A1135" s="3" t="s">
        <v>1313</v>
      </c>
      <c r="B1135" s="5" t="s">
        <v>2074</v>
      </c>
      <c r="C1135" s="3" t="s">
        <v>383</v>
      </c>
    </row>
    <row r="1136" spans="1:3" ht="84">
      <c r="A1136" s="3" t="s">
        <v>1314</v>
      </c>
      <c r="B1136" s="5" t="s">
        <v>2075</v>
      </c>
      <c r="C1136" s="3"/>
    </row>
    <row r="1137" spans="1:3" ht="72">
      <c r="A1137" s="3" t="s">
        <v>1315</v>
      </c>
      <c r="B1137" s="5" t="s">
        <v>2076</v>
      </c>
      <c r="C1137" s="3"/>
    </row>
    <row r="1138" spans="1:3" ht="72">
      <c r="A1138" s="3" t="s">
        <v>1316</v>
      </c>
      <c r="B1138" s="5" t="s">
        <v>2077</v>
      </c>
      <c r="C1138" s="3"/>
    </row>
    <row r="1139" spans="1:3" ht="84">
      <c r="A1139" s="3" t="s">
        <v>3841</v>
      </c>
      <c r="B1139" s="5" t="s">
        <v>3498</v>
      </c>
      <c r="C1139" s="3"/>
    </row>
    <row r="1140" spans="1:3" ht="144">
      <c r="A1140" s="3" t="s">
        <v>3842</v>
      </c>
      <c r="B1140" s="5" t="s">
        <v>3499</v>
      </c>
      <c r="C1140" s="3"/>
    </row>
    <row r="1141" spans="1:3" ht="72">
      <c r="A1141" s="3" t="s">
        <v>3843</v>
      </c>
      <c r="B1141" s="5" t="s">
        <v>3500</v>
      </c>
      <c r="C1141" s="3"/>
    </row>
    <row r="1142" spans="1:3" ht="108">
      <c r="A1142" s="3" t="s">
        <v>3844</v>
      </c>
      <c r="B1142" s="5" t="s">
        <v>3501</v>
      </c>
      <c r="C1142" s="3"/>
    </row>
    <row r="1143" spans="1:3" ht="60">
      <c r="A1143" s="3" t="s">
        <v>3845</v>
      </c>
      <c r="B1143" s="5" t="s">
        <v>3502</v>
      </c>
      <c r="C1143" s="3"/>
    </row>
    <row r="1144" spans="1:3" ht="168">
      <c r="A1144" s="3" t="s">
        <v>3846</v>
      </c>
      <c r="B1144" s="5" t="s">
        <v>3503</v>
      </c>
      <c r="C1144" s="3"/>
    </row>
    <row r="1145" spans="1:3" ht="108">
      <c r="A1145" s="3" t="s">
        <v>3847</v>
      </c>
      <c r="B1145" s="5" t="s">
        <v>3504</v>
      </c>
      <c r="C1145" s="3"/>
    </row>
    <row r="1146" spans="1:3" ht="156">
      <c r="A1146" s="3" t="s">
        <v>3848</v>
      </c>
      <c r="B1146" s="5" t="s">
        <v>3505</v>
      </c>
      <c r="C1146" s="3"/>
    </row>
    <row r="1147" spans="1:3" ht="132">
      <c r="A1147" s="3" t="s">
        <v>3849</v>
      </c>
      <c r="B1147" s="5" t="s">
        <v>3506</v>
      </c>
      <c r="C1147" s="3"/>
    </row>
    <row r="1148" spans="1:3" ht="144">
      <c r="A1148" s="3" t="s">
        <v>1317</v>
      </c>
      <c r="B1148" s="5" t="s">
        <v>2559</v>
      </c>
      <c r="C1148" s="3"/>
    </row>
    <row r="1149" spans="1:3" ht="144">
      <c r="A1149" s="3" t="s">
        <v>1318</v>
      </c>
      <c r="B1149" s="5" t="s">
        <v>2560</v>
      </c>
      <c r="C1149" s="3"/>
    </row>
    <row r="1150" spans="1:3" ht="144">
      <c r="A1150" s="3" t="s">
        <v>1319</v>
      </c>
      <c r="B1150" s="5" t="s">
        <v>2561</v>
      </c>
      <c r="C1150" s="3"/>
    </row>
    <row r="1151" spans="1:3" ht="84">
      <c r="A1151" s="3" t="s">
        <v>1320</v>
      </c>
      <c r="B1151" s="5" t="s">
        <v>2562</v>
      </c>
      <c r="C1151" s="3"/>
    </row>
    <row r="1152" spans="1:3" ht="120">
      <c r="A1152" s="3" t="s">
        <v>1321</v>
      </c>
      <c r="B1152" s="5" t="s">
        <v>3205</v>
      </c>
      <c r="C1152" s="3"/>
    </row>
    <row r="1153" spans="1:3" ht="96">
      <c r="A1153" s="3" t="s">
        <v>1322</v>
      </c>
      <c r="B1153" s="5" t="s">
        <v>3206</v>
      </c>
      <c r="C1153" s="3"/>
    </row>
    <row r="1154" spans="1:3" ht="84">
      <c r="A1154" s="3" t="s">
        <v>1323</v>
      </c>
      <c r="B1154" s="5" t="s">
        <v>3207</v>
      </c>
      <c r="C1154" s="3"/>
    </row>
    <row r="1155" spans="1:3" ht="96">
      <c r="A1155" s="3" t="s">
        <v>1324</v>
      </c>
      <c r="B1155" s="5" t="s">
        <v>3208</v>
      </c>
      <c r="C1155" s="3"/>
    </row>
    <row r="1156" spans="1:3" ht="108">
      <c r="A1156" s="3" t="s">
        <v>1325</v>
      </c>
      <c r="B1156" s="5" t="s">
        <v>3209</v>
      </c>
      <c r="C1156" s="3"/>
    </row>
    <row r="1157" spans="1:3" ht="84">
      <c r="A1157" s="3" t="s">
        <v>1326</v>
      </c>
      <c r="B1157" s="5" t="s">
        <v>3210</v>
      </c>
      <c r="C1157" s="3"/>
    </row>
    <row r="1158" spans="1:3" ht="108">
      <c r="A1158" s="3" t="s">
        <v>1327</v>
      </c>
      <c r="B1158" s="5" t="s">
        <v>2563</v>
      </c>
      <c r="C1158" s="3"/>
    </row>
    <row r="1159" spans="1:3" ht="108">
      <c r="A1159" s="3" t="s">
        <v>1328</v>
      </c>
      <c r="B1159" s="5" t="s">
        <v>2564</v>
      </c>
      <c r="C1159" s="3"/>
    </row>
    <row r="1160" spans="1:3" ht="96">
      <c r="A1160" s="3" t="s">
        <v>1329</v>
      </c>
      <c r="B1160" s="5" t="s">
        <v>2565</v>
      </c>
      <c r="C1160" s="3"/>
    </row>
    <row r="1161" spans="1:3" ht="96">
      <c r="A1161" s="3" t="s">
        <v>1330</v>
      </c>
      <c r="B1161" s="5" t="s">
        <v>2566</v>
      </c>
      <c r="C1161" s="3"/>
    </row>
    <row r="1162" spans="1:3" ht="96">
      <c r="A1162" s="3" t="s">
        <v>1331</v>
      </c>
      <c r="B1162" s="5" t="s">
        <v>2567</v>
      </c>
      <c r="C1162" s="3"/>
    </row>
    <row r="1163" spans="1:3" ht="96">
      <c r="A1163" s="3" t="s">
        <v>1332</v>
      </c>
      <c r="B1163" s="5" t="s">
        <v>2568</v>
      </c>
      <c r="C1163" s="3"/>
    </row>
    <row r="1164" spans="1:3" ht="96">
      <c r="A1164" s="3" t="s">
        <v>1333</v>
      </c>
      <c r="B1164" s="5" t="s">
        <v>2569</v>
      </c>
      <c r="C1164" s="3"/>
    </row>
    <row r="1165" spans="1:3" ht="96">
      <c r="A1165" s="3" t="s">
        <v>1334</v>
      </c>
      <c r="B1165" s="5" t="s">
        <v>2570</v>
      </c>
      <c r="C1165" s="3"/>
    </row>
    <row r="1166" spans="1:3" ht="96">
      <c r="A1166" s="3" t="s">
        <v>1335</v>
      </c>
      <c r="B1166" s="5" t="s">
        <v>2571</v>
      </c>
      <c r="C1166" s="3"/>
    </row>
    <row r="1167" spans="1:3" ht="72">
      <c r="A1167" s="3" t="s">
        <v>1336</v>
      </c>
      <c r="B1167" s="5" t="s">
        <v>2572</v>
      </c>
      <c r="C1167" s="3"/>
    </row>
    <row r="1168" spans="1:3" ht="72">
      <c r="A1168" s="3" t="s">
        <v>1337</v>
      </c>
      <c r="B1168" s="5" t="s">
        <v>2573</v>
      </c>
      <c r="C1168" s="3"/>
    </row>
    <row r="1169" spans="1:3" ht="60">
      <c r="A1169" s="3" t="s">
        <v>1338</v>
      </c>
      <c r="B1169" s="5" t="s">
        <v>2574</v>
      </c>
      <c r="C1169" s="3"/>
    </row>
    <row r="1170" spans="1:3" ht="84">
      <c r="A1170" s="3" t="s">
        <v>1339</v>
      </c>
      <c r="B1170" s="5" t="s">
        <v>2575</v>
      </c>
      <c r="C1170" s="3"/>
    </row>
    <row r="1171" spans="1:3" ht="72">
      <c r="A1171" s="3" t="s">
        <v>1340</v>
      </c>
      <c r="B1171" s="5" t="s">
        <v>2576</v>
      </c>
      <c r="C1171" s="3"/>
    </row>
    <row r="1172" spans="1:3" ht="48">
      <c r="A1172" s="3" t="s">
        <v>1341</v>
      </c>
      <c r="B1172" s="5" t="s">
        <v>2577</v>
      </c>
      <c r="C1172" s="3" t="s">
        <v>384</v>
      </c>
    </row>
    <row r="1173" spans="1:3" ht="36">
      <c r="A1173" s="3" t="s">
        <v>1342</v>
      </c>
      <c r="B1173" s="5" t="s">
        <v>2578</v>
      </c>
      <c r="C1173" s="3"/>
    </row>
    <row r="1174" spans="1:3" ht="60">
      <c r="A1174" s="3" t="s">
        <v>1343</v>
      </c>
      <c r="B1174" s="5" t="s">
        <v>2579</v>
      </c>
      <c r="C1174" s="3" t="s">
        <v>385</v>
      </c>
    </row>
    <row r="1175" spans="1:3" ht="60">
      <c r="A1175" s="3" t="s">
        <v>1344</v>
      </c>
      <c r="B1175" s="5" t="s">
        <v>2580</v>
      </c>
      <c r="C1175" s="3"/>
    </row>
    <row r="1176" spans="1:3" ht="84">
      <c r="A1176" s="3" t="s">
        <v>1345</v>
      </c>
      <c r="B1176" s="5" t="s">
        <v>2581</v>
      </c>
      <c r="C1176" s="3"/>
    </row>
    <row r="1177" spans="1:3" ht="84">
      <c r="A1177" s="3" t="s">
        <v>1346</v>
      </c>
      <c r="B1177" s="5" t="s">
        <v>2582</v>
      </c>
      <c r="C1177" s="3"/>
    </row>
    <row r="1178" spans="1:3" ht="84">
      <c r="A1178" s="3" t="s">
        <v>1347</v>
      </c>
      <c r="B1178" s="5" t="s">
        <v>2583</v>
      </c>
      <c r="C1178" s="3"/>
    </row>
    <row r="1179" spans="1:3" ht="96">
      <c r="A1179" s="3" t="s">
        <v>1348</v>
      </c>
      <c r="B1179" s="5" t="s">
        <v>2584</v>
      </c>
      <c r="C1179" s="3" t="s">
        <v>386</v>
      </c>
    </row>
    <row r="1180" spans="1:3" ht="108">
      <c r="A1180" s="3" t="s">
        <v>1349</v>
      </c>
      <c r="B1180" s="5" t="s">
        <v>2585</v>
      </c>
      <c r="C1180" s="3" t="s">
        <v>387</v>
      </c>
    </row>
    <row r="1181" spans="1:3" ht="84">
      <c r="A1181" s="3" t="s">
        <v>1350</v>
      </c>
      <c r="B1181" s="5" t="s">
        <v>3211</v>
      </c>
      <c r="C1181" s="3"/>
    </row>
    <row r="1182" spans="1:3" ht="108">
      <c r="A1182" s="3" t="s">
        <v>1351</v>
      </c>
      <c r="B1182" s="5" t="s">
        <v>3212</v>
      </c>
      <c r="C1182" s="3"/>
    </row>
    <row r="1183" spans="1:3" ht="120">
      <c r="A1183" s="3" t="s">
        <v>1352</v>
      </c>
      <c r="B1183" s="5" t="s">
        <v>3213</v>
      </c>
      <c r="C1183" s="3" t="s">
        <v>388</v>
      </c>
    </row>
    <row r="1184" spans="1:3" ht="72">
      <c r="A1184" s="3" t="s">
        <v>1353</v>
      </c>
      <c r="B1184" s="5" t="s">
        <v>3214</v>
      </c>
      <c r="C1184" s="3"/>
    </row>
    <row r="1185" spans="1:3" ht="84">
      <c r="A1185" s="3" t="s">
        <v>1354</v>
      </c>
      <c r="B1185" s="5" t="s">
        <v>3215</v>
      </c>
      <c r="C1185" s="3"/>
    </row>
    <row r="1186" spans="1:3" ht="84">
      <c r="A1186" s="3" t="s">
        <v>1355</v>
      </c>
      <c r="B1186" s="5" t="s">
        <v>2586</v>
      </c>
      <c r="C1186" s="3" t="s">
        <v>389</v>
      </c>
    </row>
    <row r="1187" spans="1:3" ht="60">
      <c r="A1187" s="3" t="s">
        <v>1356</v>
      </c>
      <c r="B1187" s="5" t="s">
        <v>2587</v>
      </c>
      <c r="C1187" s="3"/>
    </row>
    <row r="1188" spans="1:3" ht="48">
      <c r="A1188" s="3" t="s">
        <v>1357</v>
      </c>
      <c r="B1188" s="5" t="s">
        <v>2588</v>
      </c>
      <c r="C1188" s="3"/>
    </row>
    <row r="1189" spans="1:3" ht="72">
      <c r="A1189" s="3" t="s">
        <v>1358</v>
      </c>
      <c r="B1189" s="5" t="s">
        <v>2589</v>
      </c>
      <c r="C1189" s="3"/>
    </row>
    <row r="1190" spans="1:3" ht="84">
      <c r="A1190" s="3" t="s">
        <v>1359</v>
      </c>
      <c r="B1190" s="5" t="s">
        <v>2590</v>
      </c>
      <c r="C1190" s="3"/>
    </row>
    <row r="1191" spans="1:3" ht="144">
      <c r="A1191" s="3" t="s">
        <v>1360</v>
      </c>
      <c r="B1191" s="5" t="s">
        <v>2591</v>
      </c>
      <c r="C1191" s="3"/>
    </row>
    <row r="1192" spans="1:3" ht="120">
      <c r="A1192" s="3" t="s">
        <v>1361</v>
      </c>
      <c r="B1192" s="5" t="s">
        <v>2592</v>
      </c>
      <c r="C1192" s="3"/>
    </row>
    <row r="1193" spans="1:3" ht="108">
      <c r="A1193" s="3" t="s">
        <v>1362</v>
      </c>
      <c r="B1193" s="5" t="s">
        <v>3216</v>
      </c>
      <c r="C1193" s="3"/>
    </row>
    <row r="1194" spans="1:3" ht="120">
      <c r="A1194" s="3" t="s">
        <v>1363</v>
      </c>
      <c r="B1194" s="5" t="s">
        <v>3217</v>
      </c>
      <c r="C1194" s="3"/>
    </row>
    <row r="1195" spans="1:3" ht="96">
      <c r="A1195" s="3" t="s">
        <v>1364</v>
      </c>
      <c r="B1195" s="5" t="s">
        <v>2593</v>
      </c>
      <c r="C1195" s="3"/>
    </row>
    <row r="1196" spans="1:3" ht="108">
      <c r="A1196" s="3" t="s">
        <v>1365</v>
      </c>
      <c r="B1196" s="5" t="s">
        <v>2594</v>
      </c>
      <c r="C1196" s="3"/>
    </row>
    <row r="1197" spans="1:3" ht="108">
      <c r="A1197" s="3" t="s">
        <v>1366</v>
      </c>
      <c r="B1197" s="5" t="s">
        <v>2595</v>
      </c>
      <c r="C1197" s="3"/>
    </row>
    <row r="1198" spans="1:3" ht="84">
      <c r="A1198" s="3" t="s">
        <v>1367</v>
      </c>
      <c r="B1198" s="5" t="s">
        <v>2596</v>
      </c>
      <c r="C1198" s="3" t="s">
        <v>390</v>
      </c>
    </row>
    <row r="1199" spans="1:3" ht="84">
      <c r="A1199" s="3" t="s">
        <v>1368</v>
      </c>
      <c r="B1199" s="5" t="s">
        <v>2597</v>
      </c>
      <c r="C1199" s="3"/>
    </row>
    <row r="1200" spans="1:3" ht="60">
      <c r="A1200" s="3" t="s">
        <v>1369</v>
      </c>
      <c r="B1200" s="5" t="s">
        <v>2598</v>
      </c>
      <c r="C1200" s="3"/>
    </row>
    <row r="1201" spans="1:3" ht="120">
      <c r="A1201" s="3" t="s">
        <v>1370</v>
      </c>
      <c r="B1201" s="5" t="s">
        <v>2078</v>
      </c>
      <c r="C1201" s="3"/>
    </row>
    <row r="1202" spans="1:3" ht="72">
      <c r="A1202" s="3" t="s">
        <v>1371</v>
      </c>
      <c r="B1202" s="5" t="s">
        <v>1911</v>
      </c>
      <c r="C1202" s="3"/>
    </row>
    <row r="1203" spans="1:3" ht="72">
      <c r="A1203" s="3" t="s">
        <v>1372</v>
      </c>
      <c r="B1203" s="5" t="s">
        <v>2079</v>
      </c>
      <c r="C1203" s="3"/>
    </row>
    <row r="1204" spans="1:3" ht="60">
      <c r="A1204" s="3" t="s">
        <v>1373</v>
      </c>
      <c r="B1204" s="5" t="s">
        <v>2080</v>
      </c>
      <c r="C1204" s="3"/>
    </row>
    <row r="1205" spans="1:3" ht="60">
      <c r="A1205" s="3" t="s">
        <v>1374</v>
      </c>
      <c r="B1205" s="5" t="s">
        <v>1912</v>
      </c>
      <c r="C1205" s="3"/>
    </row>
    <row r="1206" spans="1:3" ht="72">
      <c r="A1206" s="3" t="s">
        <v>1375</v>
      </c>
      <c r="B1206" s="5" t="s">
        <v>1855</v>
      </c>
      <c r="C1206" s="3" t="s">
        <v>391</v>
      </c>
    </row>
    <row r="1207" spans="1:3" ht="72">
      <c r="A1207" s="3" t="s">
        <v>1376</v>
      </c>
      <c r="B1207" s="5" t="s">
        <v>1856</v>
      </c>
      <c r="C1207" s="3"/>
    </row>
    <row r="1208" spans="1:3" ht="72">
      <c r="A1208" s="3" t="s">
        <v>1377</v>
      </c>
      <c r="B1208" s="5" t="s">
        <v>1857</v>
      </c>
      <c r="C1208" s="3"/>
    </row>
    <row r="1209" spans="1:3" ht="36">
      <c r="A1209" s="3" t="s">
        <v>1378</v>
      </c>
      <c r="B1209" s="5" t="s">
        <v>2081</v>
      </c>
      <c r="C1209" s="3"/>
    </row>
    <row r="1210" spans="1:3" ht="72">
      <c r="A1210" s="3" t="s">
        <v>1379</v>
      </c>
      <c r="B1210" s="5" t="s">
        <v>1858</v>
      </c>
      <c r="C1210" s="3" t="s">
        <v>392</v>
      </c>
    </row>
    <row r="1211" spans="1:3" ht="60">
      <c r="A1211" s="3" t="s">
        <v>1380</v>
      </c>
      <c r="B1211" s="5" t="s">
        <v>2082</v>
      </c>
      <c r="C1211" s="3"/>
    </row>
    <row r="1212" spans="1:3" ht="48">
      <c r="A1212" s="3" t="s">
        <v>1381</v>
      </c>
      <c r="B1212" s="5" t="s">
        <v>1859</v>
      </c>
      <c r="C1212" s="3"/>
    </row>
    <row r="1213" spans="1:3" ht="48">
      <c r="A1213" s="3" t="s">
        <v>1382</v>
      </c>
      <c r="B1213" s="5" t="s">
        <v>2083</v>
      </c>
      <c r="C1213" s="3"/>
    </row>
    <row r="1214" spans="1:3" ht="84">
      <c r="A1214" s="3" t="s">
        <v>1383</v>
      </c>
      <c r="B1214" s="5" t="s">
        <v>1860</v>
      </c>
      <c r="C1214" s="3"/>
    </row>
    <row r="1215" spans="1:3" ht="72">
      <c r="A1215" s="3" t="s">
        <v>1384</v>
      </c>
      <c r="B1215" s="5" t="s">
        <v>2084</v>
      </c>
      <c r="C1215" s="3"/>
    </row>
    <row r="1216" spans="1:3" ht="84">
      <c r="A1216" s="3" t="s">
        <v>1385</v>
      </c>
      <c r="B1216" s="5" t="s">
        <v>1861</v>
      </c>
      <c r="C1216" s="3"/>
    </row>
    <row r="1217" spans="1:3" ht="72">
      <c r="A1217" s="3" t="s">
        <v>1386</v>
      </c>
      <c r="B1217" s="5" t="s">
        <v>1862</v>
      </c>
      <c r="C1217" s="3"/>
    </row>
    <row r="1218" spans="1:3" ht="60">
      <c r="A1218" s="3" t="s">
        <v>1387</v>
      </c>
      <c r="B1218" s="5" t="s">
        <v>1863</v>
      </c>
      <c r="C1218" s="3"/>
    </row>
    <row r="1219" spans="1:3" ht="96">
      <c r="A1219" s="3" t="s">
        <v>1388</v>
      </c>
      <c r="B1219" s="5" t="s">
        <v>2085</v>
      </c>
      <c r="C1219" s="3"/>
    </row>
    <row r="1220" spans="1:3" ht="60">
      <c r="A1220" s="3" t="s">
        <v>1389</v>
      </c>
      <c r="B1220" s="5" t="s">
        <v>1864</v>
      </c>
      <c r="C1220" s="3"/>
    </row>
    <row r="1221" spans="1:3" ht="36">
      <c r="A1221" s="3" t="s">
        <v>1390</v>
      </c>
      <c r="B1221" s="5" t="s">
        <v>2086</v>
      </c>
      <c r="C1221" s="3"/>
    </row>
    <row r="1222" spans="1:3" ht="72">
      <c r="A1222" s="3" t="s">
        <v>1391</v>
      </c>
      <c r="B1222" s="5" t="s">
        <v>2087</v>
      </c>
      <c r="C1222" s="3"/>
    </row>
    <row r="1223" spans="1:3" ht="60">
      <c r="A1223" s="3" t="s">
        <v>1392</v>
      </c>
      <c r="B1223" s="5" t="s">
        <v>2088</v>
      </c>
      <c r="C1223" s="3"/>
    </row>
    <row r="1224" spans="1:3" ht="48">
      <c r="A1224" s="3" t="s">
        <v>1393</v>
      </c>
      <c r="B1224" s="5" t="s">
        <v>1865</v>
      </c>
      <c r="C1224" s="3"/>
    </row>
    <row r="1225" spans="1:3" ht="120">
      <c r="A1225" s="3" t="s">
        <v>1394</v>
      </c>
      <c r="B1225" s="5" t="s">
        <v>3218</v>
      </c>
      <c r="C1225" s="3"/>
    </row>
    <row r="1226" spans="1:3" ht="96">
      <c r="A1226" s="3" t="s">
        <v>1395</v>
      </c>
      <c r="B1226" s="5" t="s">
        <v>3219</v>
      </c>
      <c r="C1226" s="3"/>
    </row>
    <row r="1227" spans="1:3" ht="96">
      <c r="A1227" s="3" t="s">
        <v>1396</v>
      </c>
      <c r="B1227" s="5" t="s">
        <v>3220</v>
      </c>
      <c r="C1227" s="3"/>
    </row>
    <row r="1228" spans="1:3" ht="72">
      <c r="A1228" s="3" t="s">
        <v>1397</v>
      </c>
      <c r="B1228" s="5" t="s">
        <v>2599</v>
      </c>
      <c r="C1228" s="3"/>
    </row>
    <row r="1229" spans="1:3" ht="84">
      <c r="A1229" s="3" t="s">
        <v>1398</v>
      </c>
      <c r="B1229" s="5" t="s">
        <v>2600</v>
      </c>
      <c r="C1229" s="3"/>
    </row>
    <row r="1230" spans="1:3" ht="96">
      <c r="A1230" s="3" t="s">
        <v>1399</v>
      </c>
      <c r="B1230" s="5" t="s">
        <v>2601</v>
      </c>
      <c r="C1230" s="3"/>
    </row>
    <row r="1231" spans="1:3" ht="96">
      <c r="A1231" s="3" t="s">
        <v>1400</v>
      </c>
      <c r="B1231" s="5" t="s">
        <v>2602</v>
      </c>
      <c r="C1231" s="3"/>
    </row>
    <row r="1232" spans="1:3" ht="84">
      <c r="A1232" s="3" t="s">
        <v>1401</v>
      </c>
      <c r="B1232" s="5" t="s">
        <v>2603</v>
      </c>
      <c r="C1232" s="3"/>
    </row>
    <row r="1233" spans="1:3" ht="48">
      <c r="A1233" s="3" t="s">
        <v>1402</v>
      </c>
      <c r="B1233" s="5" t="s">
        <v>2604</v>
      </c>
      <c r="C1233" s="3"/>
    </row>
    <row r="1234" spans="1:3" ht="60">
      <c r="A1234" s="3" t="s">
        <v>1403</v>
      </c>
      <c r="B1234" s="5" t="s">
        <v>2605</v>
      </c>
      <c r="C1234" s="3"/>
    </row>
    <row r="1235" spans="1:3" ht="84">
      <c r="A1235" s="3" t="s">
        <v>1404</v>
      </c>
      <c r="B1235" s="5" t="s">
        <v>3221</v>
      </c>
      <c r="C1235" s="3"/>
    </row>
    <row r="1236" spans="1:3" ht="84">
      <c r="A1236" s="3" t="s">
        <v>1405</v>
      </c>
      <c r="B1236" s="5" t="s">
        <v>2606</v>
      </c>
      <c r="C1236" s="3" t="s">
        <v>393</v>
      </c>
    </row>
    <row r="1237" spans="1:3" ht="72">
      <c r="A1237" s="3" t="s">
        <v>1406</v>
      </c>
      <c r="B1237" s="5" t="s">
        <v>2607</v>
      </c>
      <c r="C1237" s="3" t="s">
        <v>394</v>
      </c>
    </row>
    <row r="1238" spans="1:3" ht="60">
      <c r="A1238" s="3" t="s">
        <v>1407</v>
      </c>
      <c r="B1238" s="5" t="s">
        <v>2608</v>
      </c>
      <c r="C1238" s="3"/>
    </row>
    <row r="1239" spans="1:3" ht="84">
      <c r="A1239" s="3" t="s">
        <v>1408</v>
      </c>
      <c r="B1239" s="5" t="s">
        <v>2609</v>
      </c>
      <c r="C1239" s="3"/>
    </row>
    <row r="1240" spans="1:3" ht="132">
      <c r="A1240" s="3" t="s">
        <v>1409</v>
      </c>
      <c r="B1240" s="5" t="s">
        <v>2610</v>
      </c>
      <c r="C1240" s="3"/>
    </row>
    <row r="1241" spans="1:3" ht="120">
      <c r="A1241" s="3" t="s">
        <v>1410</v>
      </c>
      <c r="B1241" s="5" t="s">
        <v>2611</v>
      </c>
      <c r="C1241" s="3" t="s">
        <v>395</v>
      </c>
    </row>
    <row r="1242" spans="1:3" ht="120">
      <c r="A1242" s="3" t="s">
        <v>1411</v>
      </c>
      <c r="B1242" s="5" t="s">
        <v>2612</v>
      </c>
      <c r="C1242" s="3"/>
    </row>
    <row r="1243" spans="1:3" ht="132">
      <c r="A1243" s="3" t="s">
        <v>1412</v>
      </c>
      <c r="B1243" s="5" t="s">
        <v>3222</v>
      </c>
      <c r="C1243" s="3"/>
    </row>
    <row r="1244" spans="1:3" ht="108">
      <c r="A1244" s="3" t="s">
        <v>1413</v>
      </c>
      <c r="B1244" s="5" t="s">
        <v>3223</v>
      </c>
      <c r="C1244" s="3"/>
    </row>
    <row r="1245" spans="1:3" ht="132">
      <c r="A1245" s="3" t="s">
        <v>1414</v>
      </c>
      <c r="B1245" s="5" t="s">
        <v>3224</v>
      </c>
      <c r="C1245" s="3"/>
    </row>
    <row r="1246" spans="1:3" ht="108">
      <c r="A1246" s="3" t="s">
        <v>1415</v>
      </c>
      <c r="B1246" s="5" t="s">
        <v>3225</v>
      </c>
      <c r="C1246" s="3"/>
    </row>
    <row r="1247" spans="1:3" ht="120">
      <c r="A1247" s="3" t="s">
        <v>1416</v>
      </c>
      <c r="B1247" s="5" t="s">
        <v>3226</v>
      </c>
      <c r="C1247" s="3"/>
    </row>
    <row r="1248" spans="1:3" ht="108">
      <c r="A1248" s="3" t="s">
        <v>1417</v>
      </c>
      <c r="B1248" s="5" t="s">
        <v>2613</v>
      </c>
      <c r="C1248" s="3"/>
    </row>
    <row r="1249" spans="1:3" ht="96">
      <c r="A1249" s="3" t="s">
        <v>1418</v>
      </c>
      <c r="B1249" s="5" t="s">
        <v>2614</v>
      </c>
      <c r="C1249" s="3"/>
    </row>
    <row r="1250" spans="1:3" ht="108">
      <c r="A1250" s="3" t="s">
        <v>1419</v>
      </c>
      <c r="B1250" s="5" t="s">
        <v>2615</v>
      </c>
      <c r="C1250" s="3"/>
    </row>
    <row r="1251" spans="1:3" ht="96">
      <c r="A1251" s="3" t="s">
        <v>1420</v>
      </c>
      <c r="B1251" s="5" t="s">
        <v>2616</v>
      </c>
      <c r="C1251" s="3"/>
    </row>
    <row r="1252" spans="1:3" ht="60">
      <c r="A1252" s="3" t="s">
        <v>1421</v>
      </c>
      <c r="B1252" s="5" t="s">
        <v>2617</v>
      </c>
      <c r="C1252" s="3"/>
    </row>
    <row r="1253" spans="1:3" ht="108">
      <c r="A1253" s="3" t="s">
        <v>1422</v>
      </c>
      <c r="B1253" s="5" t="s">
        <v>2618</v>
      </c>
      <c r="C1253" s="3"/>
    </row>
    <row r="1254" spans="1:3" ht="72">
      <c r="A1254" s="3" t="s">
        <v>1423</v>
      </c>
      <c r="B1254" s="5" t="s">
        <v>2619</v>
      </c>
      <c r="C1254" s="3"/>
    </row>
    <row r="1255" spans="1:3" ht="84">
      <c r="A1255" s="3" t="s">
        <v>1424</v>
      </c>
      <c r="B1255" s="5" t="s">
        <v>2620</v>
      </c>
      <c r="C1255" s="3"/>
    </row>
    <row r="1256" spans="1:3" ht="60">
      <c r="A1256" s="3" t="s">
        <v>1425</v>
      </c>
      <c r="B1256" s="5" t="s">
        <v>2621</v>
      </c>
      <c r="C1256" s="3"/>
    </row>
    <row r="1257" spans="1:3" ht="84">
      <c r="A1257" s="3" t="s">
        <v>1426</v>
      </c>
      <c r="B1257" s="5" t="s">
        <v>2622</v>
      </c>
      <c r="C1257" s="3"/>
    </row>
    <row r="1258" spans="1:3" ht="84">
      <c r="A1258" s="3" t="s">
        <v>1427</v>
      </c>
      <c r="B1258" s="5" t="s">
        <v>2623</v>
      </c>
      <c r="C1258" s="3"/>
    </row>
    <row r="1259" spans="1:3" ht="96">
      <c r="A1259" s="3" t="s">
        <v>1428</v>
      </c>
      <c r="B1259" s="5" t="s">
        <v>2624</v>
      </c>
      <c r="C1259" s="3"/>
    </row>
    <row r="1260" spans="1:3" ht="108">
      <c r="A1260" s="3" t="s">
        <v>1429</v>
      </c>
      <c r="B1260" s="5" t="s">
        <v>3227</v>
      </c>
      <c r="C1260" s="3"/>
    </row>
    <row r="1261" spans="1:3" ht="120">
      <c r="A1261" s="3" t="s">
        <v>1430</v>
      </c>
      <c r="B1261" s="5" t="s">
        <v>3228</v>
      </c>
      <c r="C1261" s="3"/>
    </row>
    <row r="1262" spans="1:3" ht="120">
      <c r="A1262" s="3" t="s">
        <v>1431</v>
      </c>
      <c r="B1262" s="5" t="s">
        <v>3229</v>
      </c>
      <c r="C1262" s="3"/>
    </row>
    <row r="1263" spans="1:3" ht="120">
      <c r="A1263" s="3" t="s">
        <v>1432</v>
      </c>
      <c r="B1263" s="5" t="s">
        <v>3230</v>
      </c>
      <c r="C1263" s="3"/>
    </row>
    <row r="1264" spans="1:3" ht="84">
      <c r="A1264" s="3" t="s">
        <v>1433</v>
      </c>
      <c r="B1264" s="5" t="s">
        <v>2625</v>
      </c>
      <c r="C1264" s="3" t="s">
        <v>396</v>
      </c>
    </row>
    <row r="1265" spans="1:3" ht="84">
      <c r="A1265" s="3" t="s">
        <v>1434</v>
      </c>
      <c r="B1265" s="5" t="s">
        <v>2626</v>
      </c>
      <c r="C1265" s="3"/>
    </row>
    <row r="1266" spans="1:3" ht="60">
      <c r="A1266" s="3" t="s">
        <v>1435</v>
      </c>
      <c r="B1266" s="5" t="s">
        <v>2627</v>
      </c>
      <c r="C1266" s="3"/>
    </row>
    <row r="1267" spans="1:3" ht="96">
      <c r="A1267" s="3" t="s">
        <v>3850</v>
      </c>
      <c r="B1267" s="5" t="s">
        <v>3507</v>
      </c>
      <c r="C1267" s="3"/>
    </row>
    <row r="1268" spans="1:3" ht="60">
      <c r="A1268" s="3" t="s">
        <v>3851</v>
      </c>
      <c r="B1268" s="5" t="s">
        <v>3508</v>
      </c>
      <c r="C1268" s="3"/>
    </row>
    <row r="1269" spans="1:3" ht="168">
      <c r="A1269" s="3" t="s">
        <v>3852</v>
      </c>
      <c r="B1269" s="5" t="s">
        <v>3509</v>
      </c>
      <c r="C1269" s="3"/>
    </row>
    <row r="1270" spans="1:3" ht="180">
      <c r="A1270" s="3" t="s">
        <v>3853</v>
      </c>
      <c r="B1270" s="5" t="s">
        <v>3510</v>
      </c>
      <c r="C1270" s="3"/>
    </row>
    <row r="1271" spans="1:3" ht="120">
      <c r="A1271" s="3" t="s">
        <v>3854</v>
      </c>
      <c r="B1271" s="5" t="s">
        <v>3511</v>
      </c>
      <c r="C1271" s="3"/>
    </row>
    <row r="1272" spans="1:3" ht="108">
      <c r="A1272" s="3" t="s">
        <v>3855</v>
      </c>
      <c r="B1272" s="5" t="s">
        <v>3512</v>
      </c>
      <c r="C1272" s="3"/>
    </row>
    <row r="1273" spans="1:3" ht="168">
      <c r="A1273" s="3" t="s">
        <v>3856</v>
      </c>
      <c r="B1273" s="5" t="s">
        <v>3513</v>
      </c>
      <c r="C1273" s="3"/>
    </row>
    <row r="1274" spans="1:3" ht="96">
      <c r="A1274" s="3" t="s">
        <v>3857</v>
      </c>
      <c r="B1274" s="5" t="s">
        <v>3514</v>
      </c>
      <c r="C1274" s="3"/>
    </row>
    <row r="1275" spans="1:3" ht="72">
      <c r="A1275" s="3" t="s">
        <v>3858</v>
      </c>
      <c r="B1275" s="5" t="s">
        <v>3515</v>
      </c>
      <c r="C1275" s="3"/>
    </row>
    <row r="1276" spans="1:3" ht="72">
      <c r="A1276" s="3" t="s">
        <v>3859</v>
      </c>
      <c r="B1276" s="5" t="s">
        <v>3516</v>
      </c>
      <c r="C1276" s="3"/>
    </row>
    <row r="1277" spans="1:3" ht="84">
      <c r="A1277" s="3" t="s">
        <v>3860</v>
      </c>
      <c r="B1277" s="5" t="s">
        <v>3517</v>
      </c>
      <c r="C1277" s="3"/>
    </row>
    <row r="1278" spans="1:3" ht="84">
      <c r="A1278" s="3" t="s">
        <v>3861</v>
      </c>
      <c r="B1278" s="5" t="s">
        <v>3518</v>
      </c>
      <c r="C1278" s="3"/>
    </row>
    <row r="1279" spans="1:3" ht="108">
      <c r="A1279" s="3" t="s">
        <v>3862</v>
      </c>
      <c r="B1279" s="5" t="s">
        <v>3519</v>
      </c>
      <c r="C1279" s="3"/>
    </row>
    <row r="1280" spans="1:3" ht="84">
      <c r="A1280" s="3" t="s">
        <v>1436</v>
      </c>
      <c r="B1280" s="5" t="s">
        <v>2089</v>
      </c>
      <c r="C1280" s="3"/>
    </row>
    <row r="1281" spans="1:3" ht="72">
      <c r="A1281" s="3" t="s">
        <v>1437</v>
      </c>
      <c r="B1281" s="5" t="s">
        <v>2090</v>
      </c>
      <c r="C1281" s="3"/>
    </row>
    <row r="1282" spans="1:3" ht="96">
      <c r="A1282" s="3" t="s">
        <v>1438</v>
      </c>
      <c r="B1282" s="5" t="s">
        <v>2091</v>
      </c>
      <c r="C1282" s="3"/>
    </row>
    <row r="1283" spans="1:3" ht="96">
      <c r="A1283" s="3" t="s">
        <v>1439</v>
      </c>
      <c r="B1283" s="5" t="s">
        <v>1913</v>
      </c>
      <c r="C1283" s="3"/>
    </row>
    <row r="1284" spans="1:3" ht="84">
      <c r="A1284" s="3" t="s">
        <v>1440</v>
      </c>
      <c r="B1284" s="5" t="s">
        <v>2092</v>
      </c>
      <c r="C1284" s="3"/>
    </row>
    <row r="1285" spans="1:3" ht="96">
      <c r="A1285" s="3" t="s">
        <v>1441</v>
      </c>
      <c r="B1285" s="5" t="s">
        <v>1866</v>
      </c>
      <c r="C1285" s="3"/>
    </row>
    <row r="1286" spans="1:3" ht="72">
      <c r="A1286" s="3" t="s">
        <v>1442</v>
      </c>
      <c r="B1286" s="5" t="s">
        <v>1867</v>
      </c>
      <c r="C1286" s="3"/>
    </row>
    <row r="1287" spans="1:3" ht="72">
      <c r="A1287" s="3" t="s">
        <v>1443</v>
      </c>
      <c r="B1287" s="5" t="s">
        <v>1868</v>
      </c>
      <c r="C1287" s="3"/>
    </row>
    <row r="1288" spans="1:3" ht="36">
      <c r="A1288" s="3" t="s">
        <v>1444</v>
      </c>
      <c r="B1288" s="5" t="s">
        <v>2093</v>
      </c>
      <c r="C1288" s="3"/>
    </row>
    <row r="1289" spans="1:3" ht="48">
      <c r="A1289" s="3" t="s">
        <v>1445</v>
      </c>
      <c r="B1289" s="5" t="s">
        <v>2094</v>
      </c>
      <c r="C1289" s="3"/>
    </row>
    <row r="1290" spans="1:3" ht="72">
      <c r="A1290" s="3" t="s">
        <v>1446</v>
      </c>
      <c r="B1290" s="5" t="s">
        <v>1869</v>
      </c>
      <c r="C1290" s="3"/>
    </row>
    <row r="1291" spans="1:3" ht="36">
      <c r="A1291" s="3" t="s">
        <v>1447</v>
      </c>
      <c r="B1291" s="5" t="s">
        <v>2095</v>
      </c>
      <c r="C1291" s="3"/>
    </row>
    <row r="1292" spans="1:3" ht="60">
      <c r="A1292" s="3" t="s">
        <v>1448</v>
      </c>
      <c r="B1292" s="5" t="s">
        <v>2096</v>
      </c>
      <c r="C1292" s="3"/>
    </row>
    <row r="1293" spans="1:3" ht="60">
      <c r="A1293" s="3" t="s">
        <v>1449</v>
      </c>
      <c r="B1293" s="5" t="s">
        <v>2097</v>
      </c>
      <c r="C1293" s="3"/>
    </row>
    <row r="1294" spans="1:3" ht="60">
      <c r="A1294" s="3" t="s">
        <v>1450</v>
      </c>
      <c r="B1294" s="5" t="s">
        <v>1870</v>
      </c>
      <c r="C1294" s="3"/>
    </row>
    <row r="1295" spans="1:3" ht="84">
      <c r="A1295" s="3" t="s">
        <v>1451</v>
      </c>
      <c r="B1295" s="5" t="s">
        <v>1871</v>
      </c>
      <c r="C1295" s="3"/>
    </row>
    <row r="1296" spans="1:3" ht="96">
      <c r="A1296" s="3" t="s">
        <v>1452</v>
      </c>
      <c r="B1296" s="5" t="s">
        <v>1872</v>
      </c>
      <c r="C1296" s="3"/>
    </row>
    <row r="1297" spans="1:3" ht="72">
      <c r="A1297" s="3" t="s">
        <v>1453</v>
      </c>
      <c r="B1297" s="5" t="s">
        <v>2098</v>
      </c>
      <c r="C1297" s="3"/>
    </row>
    <row r="1298" spans="1:3" ht="72">
      <c r="A1298" s="3" t="s">
        <v>1454</v>
      </c>
      <c r="B1298" s="5" t="s">
        <v>1873</v>
      </c>
      <c r="C1298" s="3"/>
    </row>
    <row r="1299" spans="1:3" ht="72">
      <c r="A1299" s="3" t="s">
        <v>1455</v>
      </c>
      <c r="B1299" s="5" t="s">
        <v>2099</v>
      </c>
      <c r="C1299" s="3"/>
    </row>
    <row r="1300" spans="1:3" ht="72">
      <c r="A1300" s="3" t="s">
        <v>1456</v>
      </c>
      <c r="B1300" s="5" t="s">
        <v>2100</v>
      </c>
      <c r="C1300" s="3"/>
    </row>
    <row r="1301" spans="1:3" ht="120">
      <c r="A1301" s="3" t="s">
        <v>3863</v>
      </c>
      <c r="B1301" s="5" t="s">
        <v>3520</v>
      </c>
      <c r="C1301" s="3"/>
    </row>
    <row r="1302" spans="1:3" ht="144">
      <c r="A1302" s="3" t="s">
        <v>3864</v>
      </c>
      <c r="B1302" s="5" t="s">
        <v>3521</v>
      </c>
      <c r="C1302" s="3"/>
    </row>
    <row r="1303" spans="1:3" ht="180">
      <c r="A1303" s="3" t="s">
        <v>3865</v>
      </c>
      <c r="B1303" s="5" t="s">
        <v>3522</v>
      </c>
      <c r="C1303" s="3"/>
    </row>
    <row r="1304" spans="1:3" ht="84">
      <c r="A1304" s="3" t="s">
        <v>3866</v>
      </c>
      <c r="B1304" s="5" t="s">
        <v>3523</v>
      </c>
      <c r="C1304" s="3"/>
    </row>
    <row r="1305" spans="1:3" ht="108">
      <c r="A1305" s="3" t="s">
        <v>3867</v>
      </c>
      <c r="B1305" s="5" t="s">
        <v>3524</v>
      </c>
      <c r="C1305" s="3"/>
    </row>
    <row r="1306" spans="1:3" ht="84">
      <c r="A1306" s="3" t="s">
        <v>3868</v>
      </c>
      <c r="B1306" s="5" t="s">
        <v>3525</v>
      </c>
      <c r="C1306" s="3" t="s">
        <v>397</v>
      </c>
    </row>
    <row r="1307" spans="1:3" ht="144">
      <c r="A1307" s="3" t="s">
        <v>3869</v>
      </c>
      <c r="B1307" s="5" t="s">
        <v>3526</v>
      </c>
      <c r="C1307" s="3"/>
    </row>
    <row r="1308" spans="1:3" ht="132">
      <c r="A1308" s="3" t="s">
        <v>3870</v>
      </c>
      <c r="B1308" s="5" t="s">
        <v>3527</v>
      </c>
      <c r="C1308" s="3"/>
    </row>
    <row r="1309" spans="1:3" ht="96">
      <c r="A1309" s="3" t="s">
        <v>3871</v>
      </c>
      <c r="B1309" s="5" t="s">
        <v>1874</v>
      </c>
      <c r="C1309" s="3"/>
    </row>
    <row r="1310" spans="1:3" ht="72">
      <c r="A1310" s="3" t="s">
        <v>1457</v>
      </c>
      <c r="B1310" s="5" t="s">
        <v>3231</v>
      </c>
      <c r="C1310" s="3"/>
    </row>
    <row r="1311" spans="1:3" ht="72">
      <c r="A1311" s="3" t="s">
        <v>1458</v>
      </c>
      <c r="B1311" s="5" t="s">
        <v>3232</v>
      </c>
      <c r="C1311" s="3"/>
    </row>
    <row r="1312" spans="1:3" ht="72">
      <c r="A1312" s="3" t="s">
        <v>1459</v>
      </c>
      <c r="B1312" s="5" t="s">
        <v>3233</v>
      </c>
      <c r="C1312" s="3"/>
    </row>
    <row r="1313" spans="1:3" ht="72">
      <c r="A1313" s="3" t="s">
        <v>1460</v>
      </c>
      <c r="B1313" s="5" t="s">
        <v>3234</v>
      </c>
      <c r="C1313" s="3"/>
    </row>
    <row r="1314" spans="1:3" ht="132">
      <c r="A1314" s="3" t="s">
        <v>1461</v>
      </c>
      <c r="B1314" s="5" t="s">
        <v>3235</v>
      </c>
      <c r="C1314" s="3"/>
    </row>
    <row r="1315" spans="1:3" ht="84">
      <c r="A1315" s="3" t="s">
        <v>1462</v>
      </c>
      <c r="B1315" s="5" t="s">
        <v>3236</v>
      </c>
      <c r="C1315" s="3"/>
    </row>
    <row r="1316" spans="1:3" ht="84">
      <c r="A1316" s="3" t="s">
        <v>1463</v>
      </c>
      <c r="B1316" s="5" t="s">
        <v>3237</v>
      </c>
      <c r="C1316" s="3"/>
    </row>
    <row r="1317" spans="1:3" ht="84">
      <c r="A1317" s="3" t="s">
        <v>1464</v>
      </c>
      <c r="B1317" s="5" t="s">
        <v>3238</v>
      </c>
      <c r="C1317" s="3"/>
    </row>
    <row r="1318" spans="1:3" ht="72">
      <c r="A1318" s="3" t="s">
        <v>1465</v>
      </c>
      <c r="B1318" s="5" t="s">
        <v>2628</v>
      </c>
      <c r="C1318" s="3"/>
    </row>
    <row r="1319" spans="1:3" ht="84">
      <c r="A1319" s="3" t="s">
        <v>1466</v>
      </c>
      <c r="B1319" s="5" t="s">
        <v>2629</v>
      </c>
      <c r="C1319" s="3"/>
    </row>
    <row r="1320" spans="1:3" ht="72">
      <c r="A1320" s="3" t="s">
        <v>1467</v>
      </c>
      <c r="B1320" s="5" t="s">
        <v>2630</v>
      </c>
      <c r="C1320" s="3"/>
    </row>
    <row r="1321" spans="1:3" ht="60">
      <c r="A1321" s="3" t="s">
        <v>1468</v>
      </c>
      <c r="B1321" s="5" t="s">
        <v>2631</v>
      </c>
      <c r="C1321" s="3"/>
    </row>
    <row r="1322" spans="1:3" ht="60">
      <c r="A1322" s="3" t="s">
        <v>1469</v>
      </c>
      <c r="B1322" s="5" t="s">
        <v>2632</v>
      </c>
      <c r="C1322" s="3"/>
    </row>
    <row r="1323" spans="1:3" ht="60">
      <c r="A1323" s="3" t="s">
        <v>3872</v>
      </c>
      <c r="B1323" s="5" t="s">
        <v>1875</v>
      </c>
      <c r="C1323" s="3"/>
    </row>
    <row r="1324" spans="1:3" ht="144">
      <c r="A1324" s="3" t="s">
        <v>1470</v>
      </c>
      <c r="B1324" s="5" t="s">
        <v>3239</v>
      </c>
      <c r="C1324" s="3"/>
    </row>
    <row r="1325" spans="1:3" ht="120">
      <c r="A1325" s="3" t="s">
        <v>1471</v>
      </c>
      <c r="B1325" s="5" t="s">
        <v>3240</v>
      </c>
      <c r="C1325" s="3" t="s">
        <v>398</v>
      </c>
    </row>
    <row r="1326" spans="1:3" ht="84">
      <c r="A1326" s="3" t="s">
        <v>1472</v>
      </c>
      <c r="B1326" s="5" t="s">
        <v>3241</v>
      </c>
      <c r="C1326" s="3"/>
    </row>
    <row r="1327" spans="1:3" ht="108">
      <c r="A1327" s="3" t="s">
        <v>1473</v>
      </c>
      <c r="B1327" s="5" t="s">
        <v>3242</v>
      </c>
      <c r="C1327" s="3"/>
    </row>
    <row r="1328" spans="1:3" ht="108">
      <c r="A1328" s="3" t="s">
        <v>1474</v>
      </c>
      <c r="B1328" s="5" t="s">
        <v>3243</v>
      </c>
      <c r="C1328" s="3"/>
    </row>
    <row r="1329" spans="1:3" ht="108">
      <c r="A1329" s="3" t="s">
        <v>1475</v>
      </c>
      <c r="B1329" s="5" t="s">
        <v>2633</v>
      </c>
      <c r="C1329" s="3"/>
    </row>
    <row r="1330" spans="1:3" ht="96">
      <c r="A1330" s="3" t="s">
        <v>1476</v>
      </c>
      <c r="B1330" s="5" t="s">
        <v>2101</v>
      </c>
      <c r="C1330" s="3"/>
    </row>
    <row r="1331" spans="1:3" ht="84">
      <c r="A1331" s="3" t="s">
        <v>1477</v>
      </c>
      <c r="B1331" s="5" t="s">
        <v>2634</v>
      </c>
      <c r="C1331" s="3"/>
    </row>
    <row r="1332" spans="1:3" ht="72">
      <c r="A1332" s="3" t="s">
        <v>1478</v>
      </c>
      <c r="B1332" s="5" t="s">
        <v>2635</v>
      </c>
      <c r="C1332" s="3"/>
    </row>
    <row r="1333" spans="1:3" ht="84">
      <c r="A1333" s="3" t="s">
        <v>1479</v>
      </c>
      <c r="B1333" s="5" t="s">
        <v>2636</v>
      </c>
      <c r="C1333" s="3"/>
    </row>
    <row r="1334" spans="1:3" ht="60">
      <c r="A1334" s="3" t="s">
        <v>1480</v>
      </c>
      <c r="B1334" s="5" t="s">
        <v>2637</v>
      </c>
      <c r="C1334" s="3"/>
    </row>
    <row r="1335" spans="1:3" ht="84">
      <c r="A1335" s="3" t="s">
        <v>3873</v>
      </c>
      <c r="B1335" s="5" t="s">
        <v>1876</v>
      </c>
      <c r="C1335" s="3"/>
    </row>
    <row r="1336" spans="1:3" ht="84">
      <c r="A1336" s="3" t="s">
        <v>1481</v>
      </c>
      <c r="B1336" s="5" t="s">
        <v>2638</v>
      </c>
      <c r="C1336" s="3"/>
    </row>
    <row r="1337" spans="1:3" ht="120">
      <c r="A1337" s="3" t="s">
        <v>1482</v>
      </c>
      <c r="B1337" s="5" t="s">
        <v>3244</v>
      </c>
      <c r="C1337" s="3"/>
    </row>
    <row r="1338" spans="1:3" ht="120">
      <c r="A1338" s="3" t="s">
        <v>1483</v>
      </c>
      <c r="B1338" s="5" t="s">
        <v>3245</v>
      </c>
      <c r="C1338" s="3"/>
    </row>
    <row r="1339" spans="1:3" ht="72">
      <c r="A1339" s="3" t="s">
        <v>1484</v>
      </c>
      <c r="B1339" s="5" t="s">
        <v>3246</v>
      </c>
      <c r="C1339" s="3"/>
    </row>
    <row r="1340" spans="1:3" ht="96">
      <c r="A1340" s="3" t="s">
        <v>1485</v>
      </c>
      <c r="B1340" s="5" t="s">
        <v>3247</v>
      </c>
      <c r="C1340" s="3"/>
    </row>
    <row r="1341" spans="1:3" ht="72">
      <c r="A1341" s="3" t="s">
        <v>1486</v>
      </c>
      <c r="B1341" s="5" t="s">
        <v>3248</v>
      </c>
      <c r="C1341" s="3"/>
    </row>
    <row r="1342" spans="1:3" ht="84">
      <c r="A1342" s="3" t="s">
        <v>1487</v>
      </c>
      <c r="B1342" s="5" t="s">
        <v>2639</v>
      </c>
      <c r="C1342" s="3"/>
    </row>
    <row r="1343" spans="1:3" ht="72">
      <c r="A1343" s="3" t="s">
        <v>1488</v>
      </c>
      <c r="B1343" s="5" t="s">
        <v>2640</v>
      </c>
      <c r="C1343" s="3"/>
    </row>
    <row r="1344" spans="1:3" ht="72">
      <c r="A1344" s="3" t="s">
        <v>1489</v>
      </c>
      <c r="B1344" s="5" t="s">
        <v>2641</v>
      </c>
      <c r="C1344" s="3"/>
    </row>
    <row r="1345" spans="1:3" ht="72">
      <c r="A1345" s="3" t="s">
        <v>1490</v>
      </c>
      <c r="B1345" s="5" t="s">
        <v>2642</v>
      </c>
      <c r="C1345" s="3"/>
    </row>
    <row r="1346" spans="1:3" ht="96">
      <c r="A1346" s="3" t="s">
        <v>1491</v>
      </c>
      <c r="B1346" s="5" t="s">
        <v>2643</v>
      </c>
      <c r="C1346" s="3"/>
    </row>
    <row r="1347" spans="1:3" ht="108">
      <c r="A1347" s="3" t="s">
        <v>1492</v>
      </c>
      <c r="B1347" s="5" t="s">
        <v>2644</v>
      </c>
      <c r="C1347" s="3"/>
    </row>
    <row r="1348" spans="1:3" ht="84">
      <c r="A1348" s="3" t="s">
        <v>1493</v>
      </c>
      <c r="B1348" s="5" t="s">
        <v>2645</v>
      </c>
      <c r="C1348" s="3"/>
    </row>
    <row r="1349" spans="1:3" ht="72">
      <c r="A1349" s="3" t="s">
        <v>1494</v>
      </c>
      <c r="B1349" s="5" t="s">
        <v>2646</v>
      </c>
      <c r="C1349" s="3"/>
    </row>
    <row r="1350" spans="1:3" ht="60">
      <c r="A1350" s="3" t="s">
        <v>1495</v>
      </c>
      <c r="B1350" s="5" t="s">
        <v>2647</v>
      </c>
      <c r="C1350" s="3"/>
    </row>
    <row r="1351" spans="1:3" ht="72">
      <c r="A1351" s="3" t="s">
        <v>1496</v>
      </c>
      <c r="B1351" s="5" t="s">
        <v>3249</v>
      </c>
      <c r="C1351" s="3"/>
    </row>
    <row r="1352" spans="1:3" ht="84">
      <c r="A1352" s="3" t="s">
        <v>1497</v>
      </c>
      <c r="B1352" s="5" t="s">
        <v>2648</v>
      </c>
      <c r="C1352" s="3"/>
    </row>
    <row r="1353" spans="1:3" ht="84">
      <c r="A1353" s="3" t="s">
        <v>1498</v>
      </c>
      <c r="B1353" s="5" t="s">
        <v>2649</v>
      </c>
      <c r="C1353" s="3"/>
    </row>
    <row r="1354" spans="1:3" ht="72">
      <c r="A1354" s="3" t="s">
        <v>1499</v>
      </c>
      <c r="B1354" s="5" t="s">
        <v>2650</v>
      </c>
      <c r="C1354" s="3"/>
    </row>
    <row r="1355" spans="1:3" ht="72">
      <c r="A1355" s="3" t="s">
        <v>1500</v>
      </c>
      <c r="B1355" s="5" t="s">
        <v>2651</v>
      </c>
      <c r="C1355" s="3"/>
    </row>
    <row r="1356" spans="1:3" ht="60">
      <c r="A1356" s="3" t="s">
        <v>1501</v>
      </c>
      <c r="B1356" s="5" t="s">
        <v>2652</v>
      </c>
      <c r="C1356" s="3"/>
    </row>
    <row r="1357" spans="1:3" ht="48">
      <c r="A1357" s="3" t="s">
        <v>1502</v>
      </c>
      <c r="B1357" s="5" t="s">
        <v>2653</v>
      </c>
      <c r="C1357" s="3"/>
    </row>
    <row r="1358" spans="1:3" ht="60">
      <c r="A1358" s="3" t="s">
        <v>1503</v>
      </c>
      <c r="B1358" s="5" t="s">
        <v>2654</v>
      </c>
      <c r="C1358" s="3"/>
    </row>
    <row r="1359" spans="1:3" ht="72">
      <c r="A1359" s="3" t="s">
        <v>1504</v>
      </c>
      <c r="B1359" s="5" t="s">
        <v>2655</v>
      </c>
      <c r="C1359" s="3"/>
    </row>
    <row r="1360" spans="1:3" ht="60">
      <c r="A1360" s="3" t="s">
        <v>1505</v>
      </c>
      <c r="B1360" s="5" t="s">
        <v>2656</v>
      </c>
      <c r="C1360" s="3"/>
    </row>
    <row r="1361" spans="1:3" ht="72">
      <c r="A1361" s="3" t="s">
        <v>1506</v>
      </c>
      <c r="B1361" s="5" t="s">
        <v>2657</v>
      </c>
      <c r="C1361" s="3"/>
    </row>
    <row r="1362" spans="1:3" ht="72">
      <c r="A1362" s="3" t="s">
        <v>1507</v>
      </c>
      <c r="B1362" s="5" t="s">
        <v>2658</v>
      </c>
      <c r="C1362" s="3"/>
    </row>
    <row r="1363" spans="1:3" ht="84">
      <c r="A1363" s="3" t="s">
        <v>1508</v>
      </c>
      <c r="B1363" s="5" t="s">
        <v>2659</v>
      </c>
      <c r="C1363" s="3"/>
    </row>
    <row r="1364" spans="1:3" ht="108">
      <c r="A1364" s="3" t="s">
        <v>1509</v>
      </c>
      <c r="B1364" s="5" t="s">
        <v>2660</v>
      </c>
      <c r="C1364" s="3"/>
    </row>
    <row r="1365" spans="1:3" ht="36">
      <c r="A1365" s="3" t="s">
        <v>1510</v>
      </c>
      <c r="B1365" s="5" t="s">
        <v>1914</v>
      </c>
      <c r="C1365" s="3"/>
    </row>
    <row r="1366" spans="1:3" ht="36">
      <c r="A1366" s="3" t="s">
        <v>1511</v>
      </c>
      <c r="B1366" s="5" t="s">
        <v>1915</v>
      </c>
      <c r="C1366" s="3"/>
    </row>
    <row r="1367" spans="1:3" ht="60">
      <c r="A1367" s="3" t="s">
        <v>1512</v>
      </c>
      <c r="B1367" s="5" t="s">
        <v>2661</v>
      </c>
      <c r="C1367" s="3"/>
    </row>
    <row r="1368" spans="1:3" ht="48">
      <c r="A1368" s="3" t="s">
        <v>1513</v>
      </c>
      <c r="B1368" s="5" t="s">
        <v>2662</v>
      </c>
      <c r="C1368" s="3"/>
    </row>
    <row r="1369" spans="1:3" ht="48">
      <c r="A1369" s="3" t="s">
        <v>1514</v>
      </c>
      <c r="B1369" s="5" t="s">
        <v>2663</v>
      </c>
      <c r="C1369" s="3"/>
    </row>
    <row r="1370" spans="1:3" ht="48">
      <c r="A1370" s="3" t="s">
        <v>1515</v>
      </c>
      <c r="B1370" s="5" t="s">
        <v>2664</v>
      </c>
      <c r="C1370" s="3"/>
    </row>
    <row r="1371" spans="1:3" ht="48">
      <c r="A1371" s="3" t="s">
        <v>1516</v>
      </c>
      <c r="B1371" s="5" t="s">
        <v>2665</v>
      </c>
      <c r="C1371" s="3"/>
    </row>
    <row r="1372" spans="1:3" ht="48">
      <c r="A1372" s="3" t="s">
        <v>1517</v>
      </c>
      <c r="B1372" s="5" t="s">
        <v>2666</v>
      </c>
      <c r="C1372" s="3"/>
    </row>
    <row r="1373" spans="1:3" ht="60">
      <c r="A1373" s="3" t="s">
        <v>1518</v>
      </c>
      <c r="B1373" s="5" t="s">
        <v>2667</v>
      </c>
      <c r="C1373" s="3"/>
    </row>
    <row r="1374" spans="1:3" ht="36">
      <c r="A1374" s="3" t="s">
        <v>1519</v>
      </c>
      <c r="B1374" s="5" t="s">
        <v>3250</v>
      </c>
      <c r="C1374" s="3"/>
    </row>
    <row r="1375" spans="1:3" ht="36">
      <c r="A1375" s="3" t="s">
        <v>1520</v>
      </c>
      <c r="B1375" s="5" t="s">
        <v>3251</v>
      </c>
      <c r="C1375" s="3"/>
    </row>
    <row r="1376" spans="1:3" ht="48">
      <c r="A1376" s="3" t="s">
        <v>1521</v>
      </c>
      <c r="B1376" s="5" t="s">
        <v>3252</v>
      </c>
      <c r="C1376" s="3"/>
    </row>
    <row r="1377" spans="1:3" ht="36">
      <c r="A1377" s="3" t="s">
        <v>1522</v>
      </c>
      <c r="B1377" s="5" t="s">
        <v>3253</v>
      </c>
      <c r="C1377" s="3"/>
    </row>
    <row r="1378" spans="1:3" ht="24">
      <c r="A1378" s="3" t="s">
        <v>1523</v>
      </c>
      <c r="B1378" s="5" t="s">
        <v>2668</v>
      </c>
      <c r="C1378" s="3"/>
    </row>
    <row r="1379" spans="1:3" ht="24">
      <c r="A1379" s="3" t="s">
        <v>1524</v>
      </c>
      <c r="B1379" s="5" t="s">
        <v>2669</v>
      </c>
      <c r="C1379" s="3"/>
    </row>
    <row r="1380" spans="1:3" ht="36">
      <c r="A1380" s="3" t="s">
        <v>3874</v>
      </c>
      <c r="B1380" s="5" t="s">
        <v>3528</v>
      </c>
      <c r="C1380" s="3"/>
    </row>
    <row r="1381" spans="1:3" ht="36">
      <c r="A1381" s="3" t="s">
        <v>3875</v>
      </c>
      <c r="B1381" s="5" t="s">
        <v>3529</v>
      </c>
      <c r="C1381" s="3"/>
    </row>
    <row r="1382" spans="1:3" ht="36">
      <c r="A1382" s="3" t="s">
        <v>3876</v>
      </c>
      <c r="B1382" s="5" t="s">
        <v>3530</v>
      </c>
      <c r="C1382" s="3"/>
    </row>
    <row r="1383" spans="1:3" ht="24">
      <c r="A1383" s="3" t="s">
        <v>1525</v>
      </c>
      <c r="B1383" s="5" t="s">
        <v>2670</v>
      </c>
      <c r="C1383" s="3"/>
    </row>
    <row r="1384" spans="1:3" ht="24">
      <c r="A1384" s="3" t="s">
        <v>1526</v>
      </c>
      <c r="B1384" s="5" t="s">
        <v>2671</v>
      </c>
      <c r="C1384" s="3"/>
    </row>
    <row r="1385" spans="1:3" ht="24">
      <c r="A1385" s="3" t="s">
        <v>1527</v>
      </c>
      <c r="B1385" s="5" t="s">
        <v>2671</v>
      </c>
      <c r="C1385" s="3"/>
    </row>
    <row r="1386" spans="1:3" ht="36">
      <c r="A1386" s="3" t="s">
        <v>1528</v>
      </c>
      <c r="B1386" s="5" t="s">
        <v>1916</v>
      </c>
      <c r="C1386" s="3"/>
    </row>
    <row r="1387" spans="1:3" ht="48">
      <c r="A1387" s="3" t="s">
        <v>1529</v>
      </c>
      <c r="B1387" s="5" t="s">
        <v>2672</v>
      </c>
      <c r="C1387" s="3"/>
    </row>
    <row r="1388" spans="1:3" ht="36">
      <c r="A1388" s="3" t="s">
        <v>1530</v>
      </c>
      <c r="B1388" s="5" t="s">
        <v>2673</v>
      </c>
      <c r="C1388" s="3"/>
    </row>
    <row r="1389" spans="1:3" ht="36">
      <c r="A1389" s="3" t="s">
        <v>1531</v>
      </c>
      <c r="B1389" s="5" t="s">
        <v>2674</v>
      </c>
      <c r="C1389" s="3"/>
    </row>
    <row r="1390" spans="1:3" ht="36">
      <c r="A1390" s="3" t="s">
        <v>1532</v>
      </c>
      <c r="B1390" s="5" t="s">
        <v>2675</v>
      </c>
      <c r="C1390" s="3"/>
    </row>
    <row r="1391" spans="1:3" ht="48">
      <c r="A1391" s="3" t="s">
        <v>1533</v>
      </c>
      <c r="B1391" s="5" t="s">
        <v>2676</v>
      </c>
      <c r="C1391" s="3"/>
    </row>
    <row r="1392" spans="1:3" ht="36">
      <c r="A1392" s="3" t="s">
        <v>1534</v>
      </c>
      <c r="B1392" s="5" t="s">
        <v>3254</v>
      </c>
      <c r="C1392" s="3"/>
    </row>
    <row r="1393" spans="1:3" ht="36">
      <c r="A1393" s="3" t="s">
        <v>1535</v>
      </c>
      <c r="B1393" s="5" t="s">
        <v>3255</v>
      </c>
      <c r="C1393" s="3"/>
    </row>
    <row r="1394" spans="1:3" ht="24">
      <c r="A1394" s="3" t="s">
        <v>1536</v>
      </c>
      <c r="B1394" s="5" t="s">
        <v>2677</v>
      </c>
      <c r="C1394" s="3"/>
    </row>
    <row r="1395" spans="1:3" ht="36">
      <c r="A1395" s="3" t="s">
        <v>3877</v>
      </c>
      <c r="B1395" s="5" t="s">
        <v>3531</v>
      </c>
      <c r="C1395" s="3"/>
    </row>
    <row r="1396" spans="1:3" ht="36">
      <c r="A1396" s="3" t="s">
        <v>3878</v>
      </c>
      <c r="B1396" s="5" t="s">
        <v>3532</v>
      </c>
      <c r="C1396" s="3"/>
    </row>
    <row r="1397" spans="1:3" ht="36">
      <c r="A1397" s="3" t="s">
        <v>3879</v>
      </c>
      <c r="B1397" s="5" t="s">
        <v>3533</v>
      </c>
      <c r="C1397" s="3"/>
    </row>
    <row r="1398" spans="1:3" ht="24">
      <c r="A1398" s="3" t="s">
        <v>1537</v>
      </c>
      <c r="B1398" s="5" t="s">
        <v>2678</v>
      </c>
      <c r="C1398" s="3"/>
    </row>
    <row r="1399" spans="1:3" ht="24">
      <c r="A1399" s="3" t="s">
        <v>1538</v>
      </c>
      <c r="B1399" s="5" t="s">
        <v>2678</v>
      </c>
      <c r="C1399" s="3"/>
    </row>
    <row r="1400" spans="1:3" ht="24">
      <c r="A1400" s="3" t="s">
        <v>1539</v>
      </c>
      <c r="B1400" s="5" t="s">
        <v>2679</v>
      </c>
      <c r="C1400" s="3"/>
    </row>
    <row r="1401" spans="1:3" ht="24">
      <c r="A1401" s="3" t="s">
        <v>1540</v>
      </c>
      <c r="B1401" s="5" t="s">
        <v>2680</v>
      </c>
      <c r="C1401" s="3"/>
    </row>
    <row r="1402" spans="1:3" ht="24">
      <c r="A1402" s="3" t="s">
        <v>1541</v>
      </c>
      <c r="B1402" s="5" t="s">
        <v>2681</v>
      </c>
      <c r="C1402" s="3"/>
    </row>
    <row r="1403" spans="1:3" ht="24">
      <c r="A1403" s="3" t="s">
        <v>1542</v>
      </c>
      <c r="B1403" s="5" t="s">
        <v>2682</v>
      </c>
      <c r="C1403" s="3"/>
    </row>
    <row r="1404" spans="1:3" ht="24">
      <c r="A1404" s="3" t="s">
        <v>1543</v>
      </c>
      <c r="B1404" s="5" t="s">
        <v>2681</v>
      </c>
      <c r="C1404" s="3"/>
    </row>
    <row r="1405" spans="1:3" ht="24">
      <c r="A1405" s="3" t="s">
        <v>1544</v>
      </c>
      <c r="B1405" s="5" t="s">
        <v>2681</v>
      </c>
      <c r="C1405" s="3"/>
    </row>
    <row r="1406" spans="1:3" ht="36">
      <c r="A1406" s="3" t="s">
        <v>1545</v>
      </c>
      <c r="B1406" s="5" t="s">
        <v>3256</v>
      </c>
      <c r="C1406" s="3"/>
    </row>
    <row r="1407" spans="1:3" ht="36">
      <c r="A1407" s="3" t="s">
        <v>1546</v>
      </c>
      <c r="B1407" s="5" t="s">
        <v>3257</v>
      </c>
      <c r="C1407" s="3"/>
    </row>
    <row r="1408" spans="1:3" ht="36">
      <c r="A1408" s="3" t="s">
        <v>1547</v>
      </c>
      <c r="B1408" s="5" t="s">
        <v>3258</v>
      </c>
      <c r="C1408" s="3"/>
    </row>
    <row r="1409" spans="1:3" ht="36">
      <c r="A1409" s="3" t="s">
        <v>1548</v>
      </c>
      <c r="B1409" s="5" t="s">
        <v>3259</v>
      </c>
      <c r="C1409" s="3"/>
    </row>
    <row r="1410" spans="1:3" ht="36">
      <c r="A1410" s="3" t="s">
        <v>1549</v>
      </c>
      <c r="B1410" s="5" t="s">
        <v>3260</v>
      </c>
      <c r="C1410" s="3"/>
    </row>
    <row r="1411" spans="1:3" ht="24">
      <c r="A1411" s="3" t="s">
        <v>1550</v>
      </c>
      <c r="B1411" s="5" t="s">
        <v>2683</v>
      </c>
      <c r="C1411" s="3"/>
    </row>
    <row r="1412" spans="1:3" ht="24">
      <c r="A1412" s="3" t="s">
        <v>1551</v>
      </c>
      <c r="B1412" s="5" t="s">
        <v>2684</v>
      </c>
      <c r="C1412" s="3"/>
    </row>
    <row r="1413" spans="1:3" ht="36">
      <c r="A1413" s="3" t="s">
        <v>3880</v>
      </c>
      <c r="B1413" s="5" t="s">
        <v>3534</v>
      </c>
      <c r="C1413" s="3"/>
    </row>
    <row r="1414" spans="1:3" ht="36">
      <c r="A1414" s="3" t="s">
        <v>3881</v>
      </c>
      <c r="B1414" s="5" t="s">
        <v>3535</v>
      </c>
      <c r="C1414" s="3"/>
    </row>
    <row r="1415" spans="1:3" ht="36">
      <c r="A1415" s="3" t="s">
        <v>3882</v>
      </c>
      <c r="B1415" s="5" t="s">
        <v>3536</v>
      </c>
      <c r="C1415" s="3"/>
    </row>
    <row r="1416" spans="1:3" ht="36">
      <c r="A1416" s="3" t="s">
        <v>3883</v>
      </c>
      <c r="B1416" s="5" t="s">
        <v>3537</v>
      </c>
      <c r="C1416" s="3"/>
    </row>
    <row r="1417" spans="1:3" ht="36">
      <c r="A1417" s="3" t="s">
        <v>3884</v>
      </c>
      <c r="B1417" s="5" t="s">
        <v>3538</v>
      </c>
      <c r="C1417" s="3"/>
    </row>
    <row r="1418" spans="1:3" ht="24">
      <c r="A1418" s="3" t="s">
        <v>1552</v>
      </c>
      <c r="B1418" s="5" t="s">
        <v>2685</v>
      </c>
      <c r="C1418" s="3"/>
    </row>
    <row r="1419" spans="1:3" ht="24">
      <c r="A1419" s="3" t="s">
        <v>1553</v>
      </c>
      <c r="B1419" s="5" t="s">
        <v>2686</v>
      </c>
      <c r="C1419" s="3"/>
    </row>
    <row r="1420" spans="1:3" ht="24">
      <c r="A1420" s="3" t="s">
        <v>1554</v>
      </c>
      <c r="B1420" s="5" t="s">
        <v>2686</v>
      </c>
      <c r="C1420" s="3"/>
    </row>
    <row r="1421" spans="1:3" ht="24">
      <c r="A1421" s="3" t="s">
        <v>1555</v>
      </c>
      <c r="B1421" s="5" t="s">
        <v>2687</v>
      </c>
      <c r="C1421" s="3"/>
    </row>
    <row r="1422" spans="1:3" ht="24">
      <c r="A1422" s="3" t="s">
        <v>1556</v>
      </c>
      <c r="B1422" s="5" t="s">
        <v>2685</v>
      </c>
      <c r="C1422" s="3"/>
    </row>
    <row r="1423" spans="1:3" ht="60">
      <c r="A1423" s="3" t="s">
        <v>1557</v>
      </c>
      <c r="B1423" s="5" t="s">
        <v>1917</v>
      </c>
      <c r="C1423" s="3"/>
    </row>
    <row r="1424" spans="1:3" ht="120">
      <c r="A1424" s="3" t="s">
        <v>1558</v>
      </c>
      <c r="B1424" s="5" t="s">
        <v>3261</v>
      </c>
      <c r="C1424" s="3"/>
    </row>
    <row r="1425" spans="1:3" ht="132">
      <c r="A1425" s="3" t="s">
        <v>1559</v>
      </c>
      <c r="B1425" s="5" t="s">
        <v>2688</v>
      </c>
      <c r="C1425" s="3"/>
    </row>
    <row r="1426" spans="1:3" ht="72">
      <c r="A1426" s="3" t="s">
        <v>3885</v>
      </c>
      <c r="B1426" s="5" t="s">
        <v>3539</v>
      </c>
      <c r="C1426" s="3"/>
    </row>
    <row r="1427" spans="1:3" ht="132">
      <c r="A1427" s="3" t="s">
        <v>3886</v>
      </c>
      <c r="B1427" s="5" t="s">
        <v>3540</v>
      </c>
      <c r="C1427" s="3"/>
    </row>
    <row r="1428" spans="1:3" ht="180">
      <c r="A1428" s="3" t="s">
        <v>3887</v>
      </c>
      <c r="B1428" s="5" t="s">
        <v>3541</v>
      </c>
      <c r="C1428" s="3"/>
    </row>
    <row r="1429" spans="1:3" ht="144">
      <c r="A1429" s="3" t="s">
        <v>1560</v>
      </c>
      <c r="B1429" s="5" t="s">
        <v>2689</v>
      </c>
      <c r="C1429" s="3"/>
    </row>
    <row r="1430" spans="1:3" ht="120">
      <c r="A1430" s="3" t="s">
        <v>1561</v>
      </c>
      <c r="B1430" s="5" t="s">
        <v>3262</v>
      </c>
      <c r="C1430" s="3"/>
    </row>
    <row r="1431" spans="1:3" ht="120">
      <c r="A1431" s="3" t="s">
        <v>1562</v>
      </c>
      <c r="B1431" s="5" t="s">
        <v>3263</v>
      </c>
      <c r="C1431" s="3"/>
    </row>
    <row r="1432" spans="1:3" ht="120">
      <c r="A1432" s="3" t="s">
        <v>1563</v>
      </c>
      <c r="B1432" s="5" t="s">
        <v>3264</v>
      </c>
      <c r="C1432" s="3"/>
    </row>
    <row r="1433" spans="1:3" ht="132">
      <c r="A1433" s="3" t="s">
        <v>1564</v>
      </c>
      <c r="B1433" s="5" t="s">
        <v>3265</v>
      </c>
      <c r="C1433" s="3"/>
    </row>
    <row r="1434" spans="1:3" ht="156">
      <c r="A1434" s="3" t="s">
        <v>3888</v>
      </c>
      <c r="B1434" s="5" t="s">
        <v>3542</v>
      </c>
      <c r="C1434" s="3"/>
    </row>
    <row r="1435" spans="1:3" ht="60">
      <c r="A1435" s="3" t="s">
        <v>1565</v>
      </c>
      <c r="B1435" s="5" t="s">
        <v>2690</v>
      </c>
      <c r="C1435" s="3"/>
    </row>
    <row r="1436" spans="1:3" ht="84">
      <c r="A1436" s="3" t="s">
        <v>1566</v>
      </c>
      <c r="B1436" s="5" t="s">
        <v>2691</v>
      </c>
      <c r="C1436" s="3"/>
    </row>
    <row r="1437" spans="1:3" ht="108">
      <c r="A1437" s="3" t="s">
        <v>1567</v>
      </c>
      <c r="B1437" s="5" t="s">
        <v>2102</v>
      </c>
      <c r="C1437" s="3"/>
    </row>
    <row r="1438" spans="1:3" ht="180">
      <c r="A1438" s="3" t="s">
        <v>3889</v>
      </c>
      <c r="B1438" s="5" t="s">
        <v>3543</v>
      </c>
      <c r="C1438" s="3"/>
    </row>
    <row r="1439" spans="1:3" ht="84">
      <c r="A1439" s="3" t="s">
        <v>3890</v>
      </c>
      <c r="B1439" s="5" t="s">
        <v>3544</v>
      </c>
      <c r="C1439" s="3"/>
    </row>
    <row r="1440" spans="1:3" ht="96">
      <c r="A1440" s="3" t="s">
        <v>3891</v>
      </c>
      <c r="B1440" s="5" t="s">
        <v>3545</v>
      </c>
      <c r="C1440" s="3"/>
    </row>
    <row r="1441" spans="1:3" ht="108">
      <c r="A1441" s="3" t="s">
        <v>3892</v>
      </c>
      <c r="B1441" s="5" t="s">
        <v>3546</v>
      </c>
      <c r="C1441" s="3"/>
    </row>
    <row r="1442" spans="1:3" ht="120">
      <c r="A1442" s="3" t="s">
        <v>3893</v>
      </c>
      <c r="B1442" s="5" t="s">
        <v>3547</v>
      </c>
      <c r="C1442" s="3"/>
    </row>
    <row r="1443" spans="1:3" ht="132">
      <c r="A1443" s="3" t="s">
        <v>3894</v>
      </c>
      <c r="B1443" s="5" t="s">
        <v>3548</v>
      </c>
      <c r="C1443" s="3"/>
    </row>
    <row r="1444" spans="1:3" ht="108">
      <c r="A1444" s="3" t="s">
        <v>3895</v>
      </c>
      <c r="B1444" s="5" t="s">
        <v>3549</v>
      </c>
      <c r="C1444" s="3"/>
    </row>
    <row r="1445" spans="1:3" ht="96">
      <c r="A1445" s="3" t="s">
        <v>3896</v>
      </c>
      <c r="B1445" s="5" t="s">
        <v>3550</v>
      </c>
      <c r="C1445" s="3"/>
    </row>
    <row r="1446" spans="1:3" ht="156">
      <c r="A1446" s="3" t="s">
        <v>3897</v>
      </c>
      <c r="B1446" s="5" t="s">
        <v>3551</v>
      </c>
      <c r="C1446" s="3"/>
    </row>
    <row r="1447" spans="1:3" ht="48">
      <c r="A1447" s="3" t="s">
        <v>1568</v>
      </c>
      <c r="B1447" s="5" t="s">
        <v>2692</v>
      </c>
      <c r="C1447" s="3"/>
    </row>
    <row r="1448" spans="1:3" ht="60">
      <c r="A1448" s="3" t="s">
        <v>1569</v>
      </c>
      <c r="B1448" s="5" t="s">
        <v>2693</v>
      </c>
      <c r="C1448" s="3"/>
    </row>
    <row r="1449" spans="1:3" ht="48">
      <c r="A1449" s="3" t="s">
        <v>1570</v>
      </c>
      <c r="B1449" s="5" t="s">
        <v>2694</v>
      </c>
      <c r="C1449" s="3"/>
    </row>
    <row r="1450" spans="1:3" ht="36">
      <c r="A1450" s="3" t="s">
        <v>1571</v>
      </c>
      <c r="B1450" s="5" t="s">
        <v>2695</v>
      </c>
      <c r="C1450" s="3"/>
    </row>
    <row r="1451" spans="1:3" ht="36">
      <c r="A1451" s="3" t="s">
        <v>1572</v>
      </c>
      <c r="B1451" s="5" t="s">
        <v>3266</v>
      </c>
      <c r="C1451" s="3"/>
    </row>
    <row r="1452" spans="1:3" ht="36">
      <c r="A1452" s="3" t="s">
        <v>1573</v>
      </c>
      <c r="B1452" s="5" t="s">
        <v>3267</v>
      </c>
      <c r="C1452" s="3"/>
    </row>
    <row r="1453" spans="1:3" ht="36">
      <c r="A1453" s="3" t="s">
        <v>1574</v>
      </c>
      <c r="B1453" s="5" t="s">
        <v>3268</v>
      </c>
      <c r="C1453" s="3"/>
    </row>
    <row r="1454" spans="1:3" ht="24">
      <c r="A1454" s="3" t="s">
        <v>1575</v>
      </c>
      <c r="B1454" s="5" t="s">
        <v>2696</v>
      </c>
      <c r="C1454" s="3"/>
    </row>
    <row r="1455" spans="1:3" ht="24">
      <c r="A1455" s="3" t="s">
        <v>1576</v>
      </c>
      <c r="B1455" s="5" t="s">
        <v>2697</v>
      </c>
      <c r="C1455" s="3"/>
    </row>
    <row r="1456" spans="1:3" ht="36">
      <c r="A1456" s="3" t="s">
        <v>1577</v>
      </c>
      <c r="B1456" s="5" t="s">
        <v>2698</v>
      </c>
      <c r="C1456" s="3"/>
    </row>
    <row r="1457" spans="1:3" ht="36">
      <c r="A1457" s="3" t="s">
        <v>1578</v>
      </c>
      <c r="B1457" s="5" t="s">
        <v>2699</v>
      </c>
      <c r="C1457" s="3"/>
    </row>
    <row r="1458" spans="1:3" ht="36">
      <c r="A1458" s="3" t="s">
        <v>1579</v>
      </c>
      <c r="B1458" s="5" t="s">
        <v>2700</v>
      </c>
      <c r="C1458" s="3"/>
    </row>
    <row r="1459" spans="1:3" ht="48">
      <c r="A1459" s="3" t="s">
        <v>1580</v>
      </c>
      <c r="B1459" s="5" t="s">
        <v>2701</v>
      </c>
      <c r="C1459" s="3"/>
    </row>
    <row r="1460" spans="1:3" ht="36">
      <c r="A1460" s="3" t="s">
        <v>1581</v>
      </c>
      <c r="B1460" s="5" t="s">
        <v>3269</v>
      </c>
      <c r="C1460" s="3"/>
    </row>
    <row r="1461" spans="1:3" ht="48">
      <c r="A1461" s="3" t="s">
        <v>1582</v>
      </c>
      <c r="B1461" s="5" t="s">
        <v>3270</v>
      </c>
      <c r="C1461" s="3"/>
    </row>
    <row r="1462" spans="1:3" ht="36">
      <c r="A1462" s="3" t="s">
        <v>1583</v>
      </c>
      <c r="B1462" s="5" t="s">
        <v>2702</v>
      </c>
      <c r="C1462" s="3"/>
    </row>
    <row r="1463" spans="1:3" ht="24">
      <c r="A1463" s="3" t="s">
        <v>1584</v>
      </c>
      <c r="B1463" s="5" t="s">
        <v>2703</v>
      </c>
      <c r="C1463" s="3"/>
    </row>
    <row r="1464" spans="1:3" ht="36">
      <c r="A1464" s="3" t="s">
        <v>1585</v>
      </c>
      <c r="B1464" s="5" t="s">
        <v>1918</v>
      </c>
      <c r="C1464" s="3"/>
    </row>
    <row r="1465" spans="1:3" ht="48">
      <c r="A1465" s="3" t="s">
        <v>1586</v>
      </c>
      <c r="B1465" s="5" t="s">
        <v>1919</v>
      </c>
      <c r="C1465" s="3"/>
    </row>
    <row r="1466" spans="1:3" ht="48">
      <c r="A1466" s="3" t="s">
        <v>1587</v>
      </c>
      <c r="B1466" s="5" t="s">
        <v>1920</v>
      </c>
      <c r="C1466" s="3"/>
    </row>
    <row r="1467" spans="1:3" ht="48">
      <c r="A1467" s="3" t="s">
        <v>1588</v>
      </c>
      <c r="B1467" s="5" t="s">
        <v>1921</v>
      </c>
      <c r="C1467" s="3"/>
    </row>
    <row r="1468" spans="1:3" ht="48">
      <c r="A1468" s="3" t="s">
        <v>1589</v>
      </c>
      <c r="B1468" s="5" t="s">
        <v>1922</v>
      </c>
      <c r="C1468" s="3"/>
    </row>
    <row r="1469" spans="1:3" ht="36">
      <c r="A1469" s="3" t="s">
        <v>1590</v>
      </c>
      <c r="B1469" s="5" t="s">
        <v>3271</v>
      </c>
      <c r="C1469" s="3"/>
    </row>
    <row r="1470" spans="1:3" ht="36">
      <c r="A1470" s="3" t="s">
        <v>1591</v>
      </c>
      <c r="B1470" s="5" t="s">
        <v>3272</v>
      </c>
      <c r="C1470" s="3"/>
    </row>
    <row r="1471" spans="1:3" ht="48">
      <c r="A1471" s="3" t="s">
        <v>1592</v>
      </c>
      <c r="B1471" s="5" t="s">
        <v>3273</v>
      </c>
      <c r="C1471" s="3"/>
    </row>
    <row r="1472" spans="1:3" ht="36">
      <c r="A1472" s="3" t="s">
        <v>3898</v>
      </c>
      <c r="B1472" s="5" t="s">
        <v>3552</v>
      </c>
      <c r="C1472" s="3"/>
    </row>
    <row r="1473" spans="1:3" ht="36">
      <c r="A1473" s="3" t="s">
        <v>3899</v>
      </c>
      <c r="B1473" s="5" t="s">
        <v>3553</v>
      </c>
      <c r="C1473" s="3"/>
    </row>
    <row r="1474" spans="1:3" ht="36">
      <c r="A1474" s="3" t="s">
        <v>3900</v>
      </c>
      <c r="B1474" s="5" t="s">
        <v>3554</v>
      </c>
      <c r="C1474" s="3"/>
    </row>
    <row r="1475" spans="1:3" ht="36">
      <c r="A1475" s="3" t="s">
        <v>3901</v>
      </c>
      <c r="B1475" s="5" t="s">
        <v>3555</v>
      </c>
      <c r="C1475" s="3"/>
    </row>
    <row r="1476" spans="1:3" ht="36">
      <c r="A1476" s="3" t="s">
        <v>3902</v>
      </c>
      <c r="B1476" s="5" t="s">
        <v>3555</v>
      </c>
      <c r="C1476" s="3"/>
    </row>
    <row r="1477" spans="1:3" ht="24">
      <c r="A1477" s="3" t="s">
        <v>1593</v>
      </c>
      <c r="B1477" s="5" t="s">
        <v>2704</v>
      </c>
      <c r="C1477" s="3"/>
    </row>
    <row r="1478" spans="1:3" ht="36">
      <c r="A1478" s="3" t="s">
        <v>1594</v>
      </c>
      <c r="B1478" s="5" t="s">
        <v>2705</v>
      </c>
      <c r="C1478" s="3"/>
    </row>
    <row r="1479" spans="1:3" ht="36">
      <c r="A1479" s="3" t="s">
        <v>1595</v>
      </c>
      <c r="B1479" s="5" t="s">
        <v>2706</v>
      </c>
      <c r="C1479" s="3"/>
    </row>
    <row r="1480" spans="1:3" ht="36">
      <c r="A1480" s="3" t="s">
        <v>1596</v>
      </c>
      <c r="B1480" s="5" t="s">
        <v>2707</v>
      </c>
      <c r="C1480" s="3"/>
    </row>
    <row r="1481" spans="1:3" ht="60">
      <c r="A1481" s="3" t="s">
        <v>1597</v>
      </c>
      <c r="B1481" s="5" t="s">
        <v>2708</v>
      </c>
      <c r="C1481" s="3"/>
    </row>
    <row r="1482" spans="1:3" ht="36">
      <c r="A1482" s="3" t="s">
        <v>1598</v>
      </c>
      <c r="B1482" s="5" t="s">
        <v>2709</v>
      </c>
      <c r="C1482" s="3"/>
    </row>
    <row r="1483" spans="1:3" ht="48">
      <c r="A1483" s="3" t="s">
        <v>1599</v>
      </c>
      <c r="B1483" s="5" t="s">
        <v>3274</v>
      </c>
      <c r="C1483" s="3"/>
    </row>
    <row r="1484" spans="1:3" ht="36">
      <c r="A1484" s="3" t="s">
        <v>1600</v>
      </c>
      <c r="B1484" s="5" t="s">
        <v>3275</v>
      </c>
      <c r="C1484" s="3"/>
    </row>
    <row r="1485" spans="1:3" ht="24">
      <c r="A1485" s="3" t="s">
        <v>1601</v>
      </c>
      <c r="B1485" s="5" t="s">
        <v>2710</v>
      </c>
      <c r="C1485" s="3"/>
    </row>
    <row r="1486" spans="1:3" ht="24">
      <c r="A1486" s="3" t="s">
        <v>1602</v>
      </c>
      <c r="B1486" s="5" t="s">
        <v>2711</v>
      </c>
      <c r="C1486" s="3"/>
    </row>
    <row r="1487" spans="1:3" ht="24">
      <c r="A1487" s="3" t="s">
        <v>1603</v>
      </c>
      <c r="B1487" s="5" t="s">
        <v>2712</v>
      </c>
      <c r="C1487" s="3"/>
    </row>
    <row r="1488" spans="1:3" ht="24">
      <c r="A1488" s="3" t="s">
        <v>1604</v>
      </c>
      <c r="B1488" s="5" t="s">
        <v>2713</v>
      </c>
      <c r="C1488" s="3"/>
    </row>
    <row r="1489" spans="1:3" ht="24">
      <c r="A1489" s="3" t="s">
        <v>1605</v>
      </c>
      <c r="B1489" s="5" t="s">
        <v>2713</v>
      </c>
      <c r="C1489" s="3"/>
    </row>
    <row r="1490" spans="1:3" ht="36">
      <c r="A1490" s="3" t="s">
        <v>3903</v>
      </c>
      <c r="B1490" s="5" t="s">
        <v>3556</v>
      </c>
      <c r="C1490" s="3"/>
    </row>
    <row r="1491" spans="1:3" ht="36">
      <c r="A1491" s="3" t="s">
        <v>3904</v>
      </c>
      <c r="B1491" s="5" t="s">
        <v>3557</v>
      </c>
      <c r="C1491" s="3"/>
    </row>
    <row r="1492" spans="1:3" ht="36">
      <c r="A1492" s="3" t="s">
        <v>3905</v>
      </c>
      <c r="B1492" s="5" t="s">
        <v>3558</v>
      </c>
      <c r="C1492" s="3"/>
    </row>
    <row r="1493" spans="1:3" ht="36">
      <c r="A1493" s="3" t="s">
        <v>3906</v>
      </c>
      <c r="B1493" s="5" t="s">
        <v>3559</v>
      </c>
      <c r="C1493" s="3"/>
    </row>
    <row r="1494" spans="1:3" ht="24">
      <c r="A1494" s="3" t="s">
        <v>1606</v>
      </c>
      <c r="B1494" s="5" t="s">
        <v>1946</v>
      </c>
      <c r="C1494" s="3"/>
    </row>
    <row r="1495" spans="1:3" ht="24">
      <c r="A1495" s="3" t="s">
        <v>1607</v>
      </c>
      <c r="B1495" s="5" t="s">
        <v>2714</v>
      </c>
      <c r="C1495" s="3"/>
    </row>
    <row r="1496" spans="1:3" ht="24">
      <c r="A1496" s="3" t="s">
        <v>1608</v>
      </c>
      <c r="B1496" s="5" t="s">
        <v>2715</v>
      </c>
      <c r="C1496" s="3"/>
    </row>
    <row r="1497" spans="1:3" ht="48">
      <c r="A1497" s="3" t="s">
        <v>1609</v>
      </c>
      <c r="B1497" s="5" t="s">
        <v>2716</v>
      </c>
      <c r="C1497" s="3"/>
    </row>
    <row r="1498" spans="1:3" ht="36">
      <c r="A1498" s="3" t="s">
        <v>1610</v>
      </c>
      <c r="B1498" s="5" t="s">
        <v>2717</v>
      </c>
      <c r="C1498" s="3"/>
    </row>
    <row r="1499" spans="1:3" ht="36">
      <c r="A1499" s="3" t="s">
        <v>1611</v>
      </c>
      <c r="B1499" s="5" t="s">
        <v>2718</v>
      </c>
      <c r="C1499" s="3"/>
    </row>
    <row r="1500" spans="1:3" ht="48">
      <c r="A1500" s="3" t="s">
        <v>1612</v>
      </c>
      <c r="B1500" s="5" t="s">
        <v>2719</v>
      </c>
      <c r="C1500" s="3"/>
    </row>
    <row r="1501" spans="1:3" ht="36">
      <c r="A1501" s="3" t="s">
        <v>1613</v>
      </c>
      <c r="B1501" s="5" t="s">
        <v>2720</v>
      </c>
      <c r="C1501" s="3"/>
    </row>
    <row r="1502" spans="1:3" ht="48">
      <c r="A1502" s="3" t="s">
        <v>1614</v>
      </c>
      <c r="B1502" s="5" t="s">
        <v>2721</v>
      </c>
      <c r="C1502" s="3"/>
    </row>
    <row r="1503" spans="1:3" ht="36">
      <c r="A1503" s="3" t="s">
        <v>1615</v>
      </c>
      <c r="B1503" s="5" t="s">
        <v>2722</v>
      </c>
      <c r="C1503" s="3"/>
    </row>
    <row r="1504" spans="1:3" ht="48">
      <c r="A1504" s="3" t="s">
        <v>1616</v>
      </c>
      <c r="B1504" s="5" t="s">
        <v>2723</v>
      </c>
      <c r="C1504" s="3"/>
    </row>
    <row r="1505" spans="1:3" ht="48">
      <c r="A1505" s="3" t="s">
        <v>1617</v>
      </c>
      <c r="B1505" s="5" t="s">
        <v>2724</v>
      </c>
      <c r="C1505" s="3"/>
    </row>
    <row r="1506" spans="1:3" ht="36">
      <c r="A1506" s="3" t="s">
        <v>1618</v>
      </c>
      <c r="B1506" s="5" t="s">
        <v>2725</v>
      </c>
      <c r="C1506" s="3"/>
    </row>
    <row r="1507" spans="1:3" ht="36">
      <c r="A1507" s="3" t="s">
        <v>1619</v>
      </c>
      <c r="B1507" s="5" t="s">
        <v>2726</v>
      </c>
      <c r="C1507" s="3"/>
    </row>
    <row r="1508" spans="1:3" ht="48">
      <c r="A1508" s="3" t="s">
        <v>1620</v>
      </c>
      <c r="B1508" s="5" t="s">
        <v>2727</v>
      </c>
      <c r="C1508" s="3"/>
    </row>
    <row r="1509" spans="1:3" ht="48">
      <c r="A1509" s="3" t="s">
        <v>1621</v>
      </c>
      <c r="B1509" s="5" t="s">
        <v>1923</v>
      </c>
      <c r="C1509" s="3"/>
    </row>
    <row r="1510" spans="1:3" ht="36">
      <c r="A1510" s="3" t="s">
        <v>1622</v>
      </c>
      <c r="B1510" s="5" t="s">
        <v>3276</v>
      </c>
      <c r="C1510" s="3"/>
    </row>
    <row r="1511" spans="1:3" ht="48">
      <c r="A1511" s="3" t="s">
        <v>1623</v>
      </c>
      <c r="B1511" s="5" t="s">
        <v>3277</v>
      </c>
      <c r="C1511" s="3"/>
    </row>
    <row r="1512" spans="1:3" ht="36">
      <c r="A1512" s="3" t="s">
        <v>1624</v>
      </c>
      <c r="B1512" s="5" t="s">
        <v>3278</v>
      </c>
      <c r="C1512" s="3"/>
    </row>
    <row r="1513" spans="1:3" ht="36">
      <c r="A1513" s="3" t="s">
        <v>1625</v>
      </c>
      <c r="B1513" s="5" t="s">
        <v>3279</v>
      </c>
      <c r="C1513" s="3"/>
    </row>
    <row r="1514" spans="1:3" ht="48">
      <c r="A1514" s="3" t="s">
        <v>1626</v>
      </c>
      <c r="B1514" s="5" t="s">
        <v>3280</v>
      </c>
      <c r="C1514" s="3"/>
    </row>
    <row r="1515" spans="1:3" ht="24">
      <c r="A1515" s="3" t="s">
        <v>1627</v>
      </c>
      <c r="B1515" s="5" t="s">
        <v>2728</v>
      </c>
      <c r="C1515" s="3"/>
    </row>
    <row r="1516" spans="1:3" ht="36">
      <c r="A1516" s="3" t="s">
        <v>1628</v>
      </c>
      <c r="B1516" s="5" t="s">
        <v>2729</v>
      </c>
      <c r="C1516" s="3"/>
    </row>
    <row r="1517" spans="1:3" ht="60">
      <c r="A1517" s="3" t="s">
        <v>3907</v>
      </c>
      <c r="B1517" s="5" t="s">
        <v>3560</v>
      </c>
      <c r="C1517" s="3"/>
    </row>
    <row r="1518" spans="1:3" ht="36">
      <c r="A1518" s="3" t="s">
        <v>3908</v>
      </c>
      <c r="B1518" s="5" t="s">
        <v>3557</v>
      </c>
      <c r="C1518" s="3"/>
    </row>
    <row r="1519" spans="1:3" ht="36">
      <c r="A1519" s="3" t="s">
        <v>3909</v>
      </c>
      <c r="B1519" s="5" t="s">
        <v>3554</v>
      </c>
      <c r="C1519" s="3"/>
    </row>
    <row r="1520" spans="1:3" ht="36">
      <c r="A1520" s="3" t="s">
        <v>3910</v>
      </c>
      <c r="B1520" s="5" t="s">
        <v>3561</v>
      </c>
      <c r="C1520" s="3"/>
    </row>
    <row r="1521" spans="1:3" ht="36">
      <c r="A1521" s="3" t="s">
        <v>3911</v>
      </c>
      <c r="B1521" s="5" t="s">
        <v>3562</v>
      </c>
      <c r="C1521" s="3"/>
    </row>
    <row r="1522" spans="1:3" ht="48">
      <c r="A1522" s="3" t="s">
        <v>3912</v>
      </c>
      <c r="B1522" s="5" t="s">
        <v>3555</v>
      </c>
      <c r="C1522" s="3"/>
    </row>
    <row r="1523" spans="1:3" ht="36">
      <c r="A1523" s="3" t="s">
        <v>3913</v>
      </c>
      <c r="B1523" s="5" t="s">
        <v>3563</v>
      </c>
      <c r="C1523" s="3"/>
    </row>
    <row r="1524" spans="1:3" ht="24">
      <c r="A1524" s="3" t="s">
        <v>1629</v>
      </c>
      <c r="B1524" s="5" t="s">
        <v>1946</v>
      </c>
      <c r="C1524" s="3"/>
    </row>
    <row r="1525" spans="1:3" ht="24">
      <c r="A1525" s="3" t="s">
        <v>1630</v>
      </c>
      <c r="B1525" s="5" t="s">
        <v>2730</v>
      </c>
      <c r="C1525" s="3"/>
    </row>
    <row r="1526" spans="1:3" ht="24">
      <c r="A1526" s="3" t="s">
        <v>1631</v>
      </c>
      <c r="B1526" s="5" t="s">
        <v>2730</v>
      </c>
      <c r="C1526" s="3"/>
    </row>
    <row r="1527" spans="1:3" ht="24">
      <c r="A1527" s="3" t="s">
        <v>1632</v>
      </c>
      <c r="B1527" s="5" t="s">
        <v>2730</v>
      </c>
      <c r="C1527" s="3"/>
    </row>
    <row r="1528" spans="1:3" ht="24">
      <c r="A1528" s="3" t="s">
        <v>1633</v>
      </c>
      <c r="B1528" s="5" t="s">
        <v>2730</v>
      </c>
      <c r="C1528" s="3"/>
    </row>
    <row r="1529" spans="1:3" ht="24">
      <c r="A1529" s="3" t="s">
        <v>1634</v>
      </c>
      <c r="B1529" s="5" t="s">
        <v>2730</v>
      </c>
      <c r="C1529" s="3"/>
    </row>
    <row r="1530" spans="1:3" ht="24">
      <c r="A1530" s="3" t="s">
        <v>1635</v>
      </c>
      <c r="B1530" s="5" t="s">
        <v>2730</v>
      </c>
      <c r="C1530" s="3"/>
    </row>
    <row r="1531" spans="1:3" ht="96">
      <c r="A1531" s="3" t="s">
        <v>3914</v>
      </c>
      <c r="B1531" s="5" t="s">
        <v>3564</v>
      </c>
      <c r="C1531" s="3"/>
    </row>
    <row r="1532" spans="1:3" ht="48">
      <c r="A1532" s="3" t="s">
        <v>3915</v>
      </c>
      <c r="B1532" s="5" t="s">
        <v>3565</v>
      </c>
      <c r="C1532" s="3"/>
    </row>
    <row r="1533" spans="1:3" ht="72">
      <c r="A1533" s="3" t="s">
        <v>3916</v>
      </c>
      <c r="B1533" s="5" t="s">
        <v>3566</v>
      </c>
      <c r="C1533" s="3"/>
    </row>
    <row r="1534" spans="1:3" ht="48">
      <c r="A1534" s="3" t="s">
        <v>3917</v>
      </c>
      <c r="B1534" s="5" t="s">
        <v>3567</v>
      </c>
      <c r="C1534" s="3"/>
    </row>
    <row r="1535" spans="1:3" ht="60">
      <c r="A1535" s="3" t="s">
        <v>3918</v>
      </c>
      <c r="B1535" s="5" t="s">
        <v>3568</v>
      </c>
      <c r="C1535" s="3"/>
    </row>
    <row r="1536" spans="1:3" ht="60">
      <c r="A1536" s="3" t="s">
        <v>3919</v>
      </c>
      <c r="B1536" s="5" t="s">
        <v>3569</v>
      </c>
      <c r="C1536" s="3"/>
    </row>
    <row r="1537" spans="1:3" ht="48">
      <c r="A1537" s="3" t="s">
        <v>3920</v>
      </c>
      <c r="B1537" s="5" t="s">
        <v>3570</v>
      </c>
      <c r="C1537" s="3"/>
    </row>
    <row r="1538" spans="1:3" ht="72">
      <c r="A1538" s="3" t="s">
        <v>3921</v>
      </c>
      <c r="B1538" s="5" t="s">
        <v>3571</v>
      </c>
      <c r="C1538" s="3"/>
    </row>
    <row r="1539" spans="1:3" ht="60">
      <c r="A1539" s="3" t="s">
        <v>3922</v>
      </c>
      <c r="B1539" s="5" t="s">
        <v>3572</v>
      </c>
      <c r="C1539" s="3"/>
    </row>
    <row r="1540" spans="1:3" ht="60">
      <c r="A1540" s="3" t="s">
        <v>3923</v>
      </c>
      <c r="B1540" s="5" t="s">
        <v>3573</v>
      </c>
      <c r="C1540" s="3"/>
    </row>
    <row r="1541" spans="1:3" ht="72">
      <c r="A1541" s="3" t="s">
        <v>3924</v>
      </c>
      <c r="B1541" s="5" t="s">
        <v>3574</v>
      </c>
      <c r="C1541" s="3"/>
    </row>
    <row r="1542" spans="1:3" ht="60">
      <c r="A1542" s="3" t="s">
        <v>3925</v>
      </c>
      <c r="B1542" s="5" t="s">
        <v>3575</v>
      </c>
      <c r="C1542" s="3"/>
    </row>
    <row r="1543" spans="1:3" ht="96">
      <c r="A1543" s="3" t="s">
        <v>3926</v>
      </c>
      <c r="B1543" s="5" t="s">
        <v>3576</v>
      </c>
      <c r="C1543" s="3"/>
    </row>
    <row r="1544" spans="1:3" ht="96">
      <c r="A1544" s="3" t="s">
        <v>3927</v>
      </c>
      <c r="B1544" s="5" t="s">
        <v>3577</v>
      </c>
      <c r="C1544" s="3"/>
    </row>
    <row r="1545" spans="1:3" ht="48">
      <c r="A1545" s="3" t="s">
        <v>3928</v>
      </c>
      <c r="B1545" s="5" t="s">
        <v>3578</v>
      </c>
      <c r="C1545" s="3"/>
    </row>
    <row r="1546" spans="1:3" ht="48">
      <c r="A1546" s="3" t="s">
        <v>3929</v>
      </c>
      <c r="B1546" s="5" t="s">
        <v>3579</v>
      </c>
      <c r="C1546" s="3"/>
    </row>
    <row r="1547" spans="1:3" ht="72">
      <c r="A1547" s="3" t="s">
        <v>3930</v>
      </c>
      <c r="B1547" s="5" t="s">
        <v>3580</v>
      </c>
      <c r="C1547" s="3"/>
    </row>
    <row r="1548" spans="1:3" ht="36">
      <c r="A1548" s="3" t="s">
        <v>3931</v>
      </c>
      <c r="B1548" s="5" t="s">
        <v>3581</v>
      </c>
      <c r="C1548" s="3"/>
    </row>
    <row r="1549" spans="1:3" ht="60">
      <c r="A1549" s="3" t="s">
        <v>3932</v>
      </c>
      <c r="B1549" s="5" t="s">
        <v>3582</v>
      </c>
      <c r="C1549" s="3"/>
    </row>
    <row r="1550" spans="1:3" ht="96">
      <c r="A1550" s="3" t="s">
        <v>3933</v>
      </c>
      <c r="B1550" s="5" t="s">
        <v>3583</v>
      </c>
      <c r="C1550" s="3"/>
    </row>
    <row r="1551" spans="1:3" ht="72">
      <c r="A1551" s="3" t="s">
        <v>3934</v>
      </c>
      <c r="B1551" s="5" t="s">
        <v>3584</v>
      </c>
      <c r="C1551" s="3"/>
    </row>
    <row r="1552" spans="1:3" ht="84">
      <c r="A1552" s="3" t="s">
        <v>3935</v>
      </c>
      <c r="B1552" s="5" t="s">
        <v>3585</v>
      </c>
      <c r="C1552" s="3"/>
    </row>
    <row r="1553" spans="1:3" ht="84">
      <c r="A1553" s="3" t="s">
        <v>1636</v>
      </c>
      <c r="B1553" s="5" t="s">
        <v>2731</v>
      </c>
      <c r="C1553" s="3"/>
    </row>
    <row r="1554" spans="1:3" ht="72">
      <c r="A1554" s="3" t="s">
        <v>1637</v>
      </c>
      <c r="B1554" s="5" t="s">
        <v>2732</v>
      </c>
      <c r="C1554" s="3"/>
    </row>
    <row r="1555" spans="1:3" ht="48">
      <c r="A1555" s="3" t="s">
        <v>1638</v>
      </c>
      <c r="B1555" s="5" t="s">
        <v>2733</v>
      </c>
      <c r="C1555" s="3"/>
    </row>
    <row r="1556" spans="1:3" ht="96">
      <c r="A1556" s="3" t="s">
        <v>1639</v>
      </c>
      <c r="B1556" s="5" t="s">
        <v>2734</v>
      </c>
      <c r="C1556" s="3"/>
    </row>
    <row r="1557" spans="1:3" ht="144">
      <c r="A1557" s="3" t="s">
        <v>3936</v>
      </c>
      <c r="B1557" s="5" t="s">
        <v>3586</v>
      </c>
      <c r="C1557" s="3"/>
    </row>
    <row r="1558" spans="1:3" ht="72">
      <c r="A1558" s="3" t="s">
        <v>3937</v>
      </c>
      <c r="B1558" s="5" t="s">
        <v>3587</v>
      </c>
      <c r="C1558" s="3"/>
    </row>
    <row r="1559" spans="1:3" ht="156">
      <c r="A1559" s="3" t="s">
        <v>3938</v>
      </c>
      <c r="B1559" s="5" t="s">
        <v>3588</v>
      </c>
      <c r="C1559" s="3"/>
    </row>
    <row r="1560" spans="1:3" ht="108">
      <c r="A1560" s="3" t="s">
        <v>1640</v>
      </c>
      <c r="B1560" s="5" t="s">
        <v>3281</v>
      </c>
      <c r="C1560" s="3"/>
    </row>
    <row r="1561" spans="1:3" ht="108">
      <c r="A1561" s="3" t="s">
        <v>1641</v>
      </c>
      <c r="B1561" s="5" t="s">
        <v>2735</v>
      </c>
      <c r="C1561" s="3"/>
    </row>
    <row r="1562" spans="1:3" ht="108">
      <c r="A1562" s="3" t="s">
        <v>3939</v>
      </c>
      <c r="B1562" s="5" t="s">
        <v>3589</v>
      </c>
      <c r="C1562" s="3"/>
    </row>
    <row r="1563" spans="1:3" ht="108">
      <c r="A1563" s="3" t="s">
        <v>3940</v>
      </c>
      <c r="B1563" s="5" t="s">
        <v>3590</v>
      </c>
      <c r="C1563" s="3"/>
    </row>
    <row r="1564" spans="1:3" ht="120">
      <c r="A1564" s="3" t="s">
        <v>3941</v>
      </c>
      <c r="B1564" s="5" t="s">
        <v>3591</v>
      </c>
      <c r="C1564" s="3"/>
    </row>
    <row r="1565" spans="1:3" ht="204">
      <c r="A1565" s="3" t="s">
        <v>3942</v>
      </c>
      <c r="B1565" s="5" t="s">
        <v>3592</v>
      </c>
      <c r="C1565" s="3"/>
    </row>
    <row r="1566" spans="1:3" ht="96">
      <c r="A1566" s="3" t="s">
        <v>1642</v>
      </c>
      <c r="B1566" s="5" t="s">
        <v>2736</v>
      </c>
      <c r="C1566" s="3"/>
    </row>
    <row r="1567" spans="1:3" ht="72">
      <c r="A1567" s="3" t="s">
        <v>1643</v>
      </c>
      <c r="B1567" s="5" t="s">
        <v>2737</v>
      </c>
      <c r="C1567" s="3"/>
    </row>
    <row r="1568" spans="1:3" ht="84">
      <c r="A1568" s="3" t="s">
        <v>1644</v>
      </c>
      <c r="B1568" s="5" t="s">
        <v>2738</v>
      </c>
      <c r="C1568" s="3"/>
    </row>
    <row r="1569" spans="1:3" ht="84">
      <c r="A1569" s="3" t="s">
        <v>1645</v>
      </c>
      <c r="B1569" s="5" t="s">
        <v>2739</v>
      </c>
      <c r="C1569" s="3"/>
    </row>
    <row r="1570" spans="1:3" ht="72">
      <c r="A1570" s="3" t="s">
        <v>1646</v>
      </c>
      <c r="B1570" s="5" t="s">
        <v>2740</v>
      </c>
      <c r="C1570" s="3"/>
    </row>
    <row r="1571" spans="1:3" ht="96">
      <c r="A1571" s="3" t="s">
        <v>1647</v>
      </c>
      <c r="B1571" s="5" t="s">
        <v>2741</v>
      </c>
      <c r="C1571" s="3"/>
    </row>
    <row r="1572" spans="1:3" ht="84">
      <c r="A1572" s="3" t="s">
        <v>1648</v>
      </c>
      <c r="B1572" s="5" t="s">
        <v>2742</v>
      </c>
      <c r="C1572" s="3"/>
    </row>
    <row r="1573" spans="1:3" ht="84">
      <c r="A1573" s="3" t="s">
        <v>1649</v>
      </c>
      <c r="B1573" s="5" t="s">
        <v>2743</v>
      </c>
      <c r="C1573" s="3"/>
    </row>
    <row r="1574" spans="1:3" ht="84">
      <c r="A1574" s="3" t="s">
        <v>1650</v>
      </c>
      <c r="B1574" s="5" t="s">
        <v>2744</v>
      </c>
      <c r="C1574" s="3"/>
    </row>
    <row r="1575" spans="1:3" ht="84">
      <c r="A1575" s="3" t="s">
        <v>1651</v>
      </c>
      <c r="B1575" s="5" t="s">
        <v>2745</v>
      </c>
      <c r="C1575" s="3"/>
    </row>
    <row r="1576" spans="1:3" ht="96">
      <c r="A1576" s="3" t="s">
        <v>1652</v>
      </c>
      <c r="B1576" s="5" t="s">
        <v>2746</v>
      </c>
      <c r="C1576" s="3"/>
    </row>
    <row r="1577" spans="1:3" ht="96">
      <c r="A1577" s="3" t="s">
        <v>1653</v>
      </c>
      <c r="B1577" s="5" t="s">
        <v>2747</v>
      </c>
      <c r="C1577" s="3"/>
    </row>
    <row r="1578" spans="1:3" ht="84">
      <c r="A1578" s="3" t="s">
        <v>1654</v>
      </c>
      <c r="B1578" s="5" t="s">
        <v>3282</v>
      </c>
      <c r="C1578" s="3"/>
    </row>
    <row r="1579" spans="1:3" ht="84">
      <c r="A1579" s="3" t="s">
        <v>1655</v>
      </c>
      <c r="B1579" s="5" t="s">
        <v>3283</v>
      </c>
      <c r="C1579" s="3"/>
    </row>
    <row r="1580" spans="1:3" ht="72">
      <c r="A1580" s="3" t="s">
        <v>1656</v>
      </c>
      <c r="B1580" s="5" t="s">
        <v>3284</v>
      </c>
      <c r="C1580" s="3"/>
    </row>
    <row r="1581" spans="1:3" ht="84">
      <c r="A1581" s="3" t="s">
        <v>1657</v>
      </c>
      <c r="B1581" s="5" t="s">
        <v>3285</v>
      </c>
      <c r="C1581" s="3"/>
    </row>
    <row r="1582" spans="1:3" ht="72">
      <c r="A1582" s="3" t="s">
        <v>1658</v>
      </c>
      <c r="B1582" s="5" t="s">
        <v>3286</v>
      </c>
      <c r="C1582" s="3"/>
    </row>
    <row r="1583" spans="1:3" ht="84">
      <c r="A1583" s="3" t="s">
        <v>1659</v>
      </c>
      <c r="B1583" s="5" t="s">
        <v>3287</v>
      </c>
      <c r="C1583" s="3"/>
    </row>
    <row r="1584" spans="1:3" ht="108">
      <c r="A1584" s="3" t="s">
        <v>1660</v>
      </c>
      <c r="B1584" s="5" t="s">
        <v>3288</v>
      </c>
      <c r="C1584" s="3"/>
    </row>
    <row r="1585" spans="1:3" ht="84">
      <c r="A1585" s="3" t="s">
        <v>1661</v>
      </c>
      <c r="B1585" s="5" t="s">
        <v>3289</v>
      </c>
      <c r="C1585" s="3"/>
    </row>
    <row r="1586" spans="1:3" ht="96">
      <c r="A1586" s="3" t="s">
        <v>1662</v>
      </c>
      <c r="B1586" s="5" t="s">
        <v>3290</v>
      </c>
      <c r="C1586" s="3"/>
    </row>
    <row r="1587" spans="1:3" ht="72">
      <c r="A1587" s="3" t="s">
        <v>1663</v>
      </c>
      <c r="B1587" s="5" t="s">
        <v>3291</v>
      </c>
      <c r="C1587" s="3"/>
    </row>
    <row r="1588" spans="1:3" ht="72">
      <c r="A1588" s="3" t="s">
        <v>1664</v>
      </c>
      <c r="B1588" s="5" t="s">
        <v>3292</v>
      </c>
      <c r="C1588" s="3"/>
    </row>
    <row r="1589" spans="1:3" ht="72">
      <c r="A1589" s="3" t="s">
        <v>1665</v>
      </c>
      <c r="B1589" s="5" t="s">
        <v>3293</v>
      </c>
      <c r="C1589" s="3"/>
    </row>
    <row r="1590" spans="1:3" ht="96">
      <c r="A1590" s="3" t="s">
        <v>1666</v>
      </c>
      <c r="B1590" s="5" t="s">
        <v>3294</v>
      </c>
      <c r="C1590" s="3"/>
    </row>
    <row r="1591" spans="1:3" ht="108">
      <c r="A1591" s="3" t="s">
        <v>1667</v>
      </c>
      <c r="B1591" s="5" t="s">
        <v>3295</v>
      </c>
      <c r="C1591" s="3"/>
    </row>
    <row r="1592" spans="1:3" ht="96">
      <c r="A1592" s="3" t="s">
        <v>1668</v>
      </c>
      <c r="B1592" s="5" t="s">
        <v>3296</v>
      </c>
      <c r="C1592" s="3"/>
    </row>
    <row r="1593" spans="1:3" ht="108">
      <c r="A1593" s="3" t="s">
        <v>1669</v>
      </c>
      <c r="B1593" s="5" t="s">
        <v>2748</v>
      </c>
      <c r="C1593" s="3"/>
    </row>
    <row r="1594" spans="1:3" ht="144">
      <c r="A1594" s="3" t="s">
        <v>3943</v>
      </c>
      <c r="B1594" s="5" t="s">
        <v>3593</v>
      </c>
      <c r="C1594" s="3"/>
    </row>
    <row r="1595" spans="1:3" ht="72">
      <c r="A1595" s="3" t="s">
        <v>2749</v>
      </c>
      <c r="B1595" s="5" t="s">
        <v>2750</v>
      </c>
      <c r="C1595" s="3"/>
    </row>
    <row r="1596" spans="1:3" ht="84">
      <c r="A1596" s="3" t="s">
        <v>2751</v>
      </c>
      <c r="B1596" s="5" t="s">
        <v>2752</v>
      </c>
      <c r="C1596" s="3"/>
    </row>
    <row r="1597" spans="1:3" ht="60">
      <c r="A1597" s="3" t="s">
        <v>2753</v>
      </c>
      <c r="B1597" s="5" t="s">
        <v>2754</v>
      </c>
      <c r="C1597" s="3"/>
    </row>
    <row r="1598" spans="1:3" ht="72">
      <c r="A1598" s="3" t="s">
        <v>2755</v>
      </c>
      <c r="B1598" s="5" t="s">
        <v>2756</v>
      </c>
      <c r="C1598" s="3"/>
    </row>
    <row r="1599" spans="1:3" ht="84">
      <c r="A1599" s="3" t="s">
        <v>2757</v>
      </c>
      <c r="B1599" s="5" t="s">
        <v>2758</v>
      </c>
      <c r="C1599" s="3"/>
    </row>
    <row r="1600" spans="1:3" ht="72">
      <c r="A1600" s="3" t="s">
        <v>2759</v>
      </c>
      <c r="B1600" s="5" t="s">
        <v>2760</v>
      </c>
      <c r="C1600" s="3"/>
    </row>
    <row r="1601" spans="1:3" ht="84">
      <c r="A1601" s="3" t="s">
        <v>2761</v>
      </c>
      <c r="B1601" s="5" t="s">
        <v>2762</v>
      </c>
      <c r="C1601" s="3"/>
    </row>
    <row r="1602" spans="1:3" ht="216">
      <c r="A1602" s="3" t="s">
        <v>3944</v>
      </c>
      <c r="B1602" s="5" t="s">
        <v>2763</v>
      </c>
      <c r="C1602" s="3"/>
    </row>
    <row r="1603" spans="1:3" ht="72">
      <c r="A1603" s="3" t="s">
        <v>2764</v>
      </c>
      <c r="B1603" s="5" t="s">
        <v>3594</v>
      </c>
      <c r="C1603" s="3"/>
    </row>
    <row r="1604" spans="1:3" ht="48">
      <c r="A1604" s="3" t="s">
        <v>2765</v>
      </c>
      <c r="B1604" s="5" t="s">
        <v>3595</v>
      </c>
      <c r="C1604" s="3"/>
    </row>
    <row r="1605" spans="1:3" ht="60">
      <c r="A1605" s="3" t="s">
        <v>2766</v>
      </c>
      <c r="B1605" s="5" t="s">
        <v>3596</v>
      </c>
      <c r="C1605" s="3"/>
    </row>
    <row r="1606" spans="1:3" ht="96">
      <c r="A1606" s="3" t="s">
        <v>2767</v>
      </c>
      <c r="B1606" s="5" t="s">
        <v>3597</v>
      </c>
      <c r="C1606" s="3"/>
    </row>
    <row r="1607" spans="1:3" ht="84">
      <c r="A1607" s="3" t="s">
        <v>2768</v>
      </c>
      <c r="B1607" s="5" t="s">
        <v>3598</v>
      </c>
      <c r="C1607" s="3"/>
    </row>
    <row r="1608" spans="1:3" ht="84">
      <c r="A1608" s="3" t="s">
        <v>2769</v>
      </c>
      <c r="B1608" s="5" t="s">
        <v>3599</v>
      </c>
      <c r="C1608" s="3"/>
    </row>
    <row r="1609" spans="1:3" ht="84">
      <c r="A1609" s="3" t="s">
        <v>2770</v>
      </c>
      <c r="B1609" s="5" t="s">
        <v>3600</v>
      </c>
      <c r="C1609" s="3"/>
    </row>
    <row r="1610" spans="1:3" ht="36">
      <c r="A1610" s="3" t="s">
        <v>2771</v>
      </c>
      <c r="B1610" s="5" t="s">
        <v>3601</v>
      </c>
      <c r="C1610" s="3"/>
    </row>
    <row r="1611" spans="1:3" ht="60">
      <c r="A1611" s="3" t="s">
        <v>2772</v>
      </c>
      <c r="B1611" s="5" t="s">
        <v>3602</v>
      </c>
      <c r="C1611" s="3"/>
    </row>
    <row r="1612" spans="1:3" ht="108">
      <c r="A1612" s="3" t="s">
        <v>2773</v>
      </c>
      <c r="B1612" s="5" t="s">
        <v>3603</v>
      </c>
      <c r="C1612" s="3"/>
    </row>
    <row r="1613" spans="1:3" ht="84">
      <c r="A1613" s="3" t="s">
        <v>2774</v>
      </c>
      <c r="B1613" s="5" t="s">
        <v>3604</v>
      </c>
      <c r="C1613" s="3"/>
    </row>
    <row r="1614" spans="1:3" ht="72">
      <c r="A1614" s="3" t="s">
        <v>2775</v>
      </c>
      <c r="B1614" s="5" t="s">
        <v>3605</v>
      </c>
      <c r="C1614" s="3"/>
    </row>
    <row r="1615" spans="1:3" ht="132">
      <c r="A1615" s="3" t="s">
        <v>2776</v>
      </c>
      <c r="B1615" s="5" t="s">
        <v>3606</v>
      </c>
      <c r="C1615" s="3"/>
    </row>
    <row r="1616" spans="1:3" ht="72">
      <c r="A1616" s="3" t="s">
        <v>2777</v>
      </c>
      <c r="B1616" s="5" t="s">
        <v>3607</v>
      </c>
      <c r="C1616" s="3"/>
    </row>
    <row r="1617" spans="1:3" ht="60">
      <c r="A1617" s="3" t="s">
        <v>2778</v>
      </c>
      <c r="B1617" s="5" t="s">
        <v>3608</v>
      </c>
      <c r="C1617" s="3"/>
    </row>
    <row r="1618" spans="1:3" ht="72">
      <c r="A1618" s="3" t="s">
        <v>2779</v>
      </c>
      <c r="B1618" s="5" t="s">
        <v>3609</v>
      </c>
      <c r="C1618" s="3"/>
    </row>
    <row r="1619" spans="1:3" ht="60">
      <c r="A1619" s="3" t="s">
        <v>2780</v>
      </c>
      <c r="B1619" s="5" t="s">
        <v>3610</v>
      </c>
      <c r="C1619" s="3"/>
    </row>
    <row r="1620" spans="1:3" ht="60">
      <c r="A1620" s="3" t="s">
        <v>2781</v>
      </c>
      <c r="B1620" s="5" t="s">
        <v>3611</v>
      </c>
      <c r="C1620" s="3"/>
    </row>
    <row r="1621" spans="1:3" ht="84">
      <c r="A1621" s="3" t="s">
        <v>2782</v>
      </c>
      <c r="B1621" s="5" t="s">
        <v>3612</v>
      </c>
      <c r="C1621" s="3"/>
    </row>
    <row r="1622" spans="1:3" ht="48">
      <c r="A1622" s="3" t="s">
        <v>2783</v>
      </c>
      <c r="B1622" s="5" t="s">
        <v>3613</v>
      </c>
      <c r="C1622" s="3"/>
    </row>
    <row r="1623" spans="1:3" ht="120">
      <c r="A1623" s="3" t="s">
        <v>2784</v>
      </c>
      <c r="B1623" s="5" t="s">
        <v>3614</v>
      </c>
      <c r="C1623" s="3"/>
    </row>
    <row r="1624" spans="1:3" ht="60">
      <c r="A1624" s="3" t="s">
        <v>2785</v>
      </c>
      <c r="B1624" s="5" t="s">
        <v>3615</v>
      </c>
      <c r="C1624" s="3"/>
    </row>
    <row r="1625" spans="1:3" ht="60">
      <c r="A1625" s="3" t="s">
        <v>2786</v>
      </c>
      <c r="B1625" s="5" t="s">
        <v>3616</v>
      </c>
      <c r="C1625" s="3"/>
    </row>
    <row r="1626" spans="1:3" ht="96">
      <c r="A1626" s="3" t="s">
        <v>2787</v>
      </c>
      <c r="B1626" s="5" t="s">
        <v>3617</v>
      </c>
      <c r="C1626" s="3"/>
    </row>
    <row r="1627" spans="1:3" ht="84">
      <c r="A1627" s="3" t="s">
        <v>2788</v>
      </c>
      <c r="B1627" s="5" t="s">
        <v>3618</v>
      </c>
      <c r="C1627" s="3"/>
    </row>
    <row r="1628" spans="1:3" ht="60">
      <c r="A1628" s="3" t="s">
        <v>2789</v>
      </c>
      <c r="B1628" s="5" t="s">
        <v>3619</v>
      </c>
      <c r="C1628" s="3"/>
    </row>
    <row r="1629" spans="1:3" ht="72">
      <c r="A1629" s="3" t="s">
        <v>2790</v>
      </c>
      <c r="B1629" s="5" t="s">
        <v>3620</v>
      </c>
      <c r="C1629" s="3"/>
    </row>
    <row r="1630" spans="1:3" ht="48">
      <c r="A1630" s="3" t="s">
        <v>2791</v>
      </c>
      <c r="B1630" s="5" t="s">
        <v>3621</v>
      </c>
      <c r="C1630" s="3"/>
    </row>
    <row r="1631" spans="1:3" ht="72">
      <c r="A1631" s="3" t="s">
        <v>2792</v>
      </c>
      <c r="B1631" s="5" t="s">
        <v>3622</v>
      </c>
      <c r="C1631" s="3"/>
    </row>
    <row r="1632" spans="1:3" ht="72">
      <c r="A1632" s="3" t="s">
        <v>2793</v>
      </c>
      <c r="B1632" s="5" t="s">
        <v>3623</v>
      </c>
      <c r="C1632" s="3"/>
    </row>
    <row r="1633" spans="1:3" ht="84">
      <c r="A1633" s="3" t="s">
        <v>2794</v>
      </c>
      <c r="B1633" s="5" t="s">
        <v>3624</v>
      </c>
      <c r="C1633" s="3"/>
    </row>
    <row r="1634" spans="1:3" ht="60">
      <c r="A1634" s="3" t="s">
        <v>2795</v>
      </c>
      <c r="B1634" s="5" t="s">
        <v>3625</v>
      </c>
      <c r="C1634" s="3"/>
    </row>
    <row r="1635" spans="1:3" ht="84">
      <c r="A1635" s="3" t="s">
        <v>2796</v>
      </c>
      <c r="B1635" s="5" t="s">
        <v>3626</v>
      </c>
      <c r="C1635" s="3"/>
    </row>
    <row r="1636" spans="1:3" ht="60">
      <c r="A1636" s="3" t="s">
        <v>2797</v>
      </c>
      <c r="B1636" s="5" t="s">
        <v>3627</v>
      </c>
      <c r="C1636" s="3"/>
    </row>
    <row r="1637" spans="1:3" ht="60">
      <c r="A1637" s="3" t="s">
        <v>2798</v>
      </c>
      <c r="B1637" s="5" t="s">
        <v>3628</v>
      </c>
      <c r="C1637" s="3"/>
    </row>
    <row r="1638" spans="1:3" ht="72">
      <c r="A1638" s="3" t="s">
        <v>2799</v>
      </c>
      <c r="B1638" s="5" t="s">
        <v>3629</v>
      </c>
      <c r="C1638" s="3"/>
    </row>
    <row r="1639" spans="1:3" ht="60">
      <c r="A1639" s="3" t="s">
        <v>2800</v>
      </c>
      <c r="B1639" s="5" t="s">
        <v>3630</v>
      </c>
      <c r="C1639" s="3"/>
    </row>
    <row r="1640" spans="1:3" ht="108">
      <c r="A1640" s="3" t="s">
        <v>2801</v>
      </c>
      <c r="B1640" s="5" t="s">
        <v>3631</v>
      </c>
      <c r="C1640" s="3"/>
    </row>
    <row r="1641" spans="1:3" ht="72">
      <c r="A1641" s="3" t="s">
        <v>2802</v>
      </c>
      <c r="B1641" s="5" t="s">
        <v>3632</v>
      </c>
      <c r="C1641" s="3"/>
    </row>
    <row r="1642" spans="1:3" ht="84">
      <c r="A1642" s="3" t="s">
        <v>2803</v>
      </c>
      <c r="B1642" s="5" t="s">
        <v>3633</v>
      </c>
      <c r="C1642" s="3"/>
    </row>
    <row r="1643" spans="1:3" ht="132">
      <c r="A1643" s="3" t="s">
        <v>2804</v>
      </c>
      <c r="B1643" s="5" t="s">
        <v>3634</v>
      </c>
      <c r="C1643" s="3"/>
    </row>
    <row r="1644" spans="1:3" ht="108">
      <c r="A1644" s="3" t="s">
        <v>2805</v>
      </c>
      <c r="B1644" s="5" t="s">
        <v>3635</v>
      </c>
      <c r="C1644" s="3"/>
    </row>
    <row r="1645" spans="1:3" ht="120">
      <c r="A1645" s="3" t="s">
        <v>2806</v>
      </c>
      <c r="B1645" s="5" t="s">
        <v>3636</v>
      </c>
      <c r="C1645" s="3"/>
    </row>
    <row r="1646" spans="1:3" ht="108">
      <c r="A1646" s="3" t="s">
        <v>2807</v>
      </c>
      <c r="B1646" s="5" t="s">
        <v>3637</v>
      </c>
      <c r="C1646" s="3"/>
    </row>
    <row r="1647" spans="1:3" ht="72">
      <c r="A1647" s="3" t="s">
        <v>2808</v>
      </c>
      <c r="B1647" s="5" t="s">
        <v>3638</v>
      </c>
      <c r="C1647" s="3"/>
    </row>
    <row r="1648" spans="1:3" ht="96">
      <c r="A1648" s="3" t="s">
        <v>2809</v>
      </c>
      <c r="B1648" s="5" t="s">
        <v>3639</v>
      </c>
      <c r="C1648" s="3"/>
    </row>
    <row r="1649" spans="1:3" ht="72">
      <c r="A1649" s="3" t="s">
        <v>2810</v>
      </c>
      <c r="B1649" s="5" t="s">
        <v>3640</v>
      </c>
      <c r="C1649" s="3"/>
    </row>
    <row r="1650" spans="1:3" ht="72">
      <c r="A1650" s="3" t="s">
        <v>2811</v>
      </c>
      <c r="B1650" s="5" t="s">
        <v>3641</v>
      </c>
      <c r="C1650" s="3"/>
    </row>
    <row r="1651" spans="1:3" ht="96">
      <c r="A1651" s="3" t="s">
        <v>2812</v>
      </c>
      <c r="B1651" s="5" t="s">
        <v>3642</v>
      </c>
      <c r="C1651" s="3"/>
    </row>
    <row r="1652" spans="1:3" ht="96">
      <c r="A1652" s="3" t="s">
        <v>2813</v>
      </c>
      <c r="B1652" s="5" t="s">
        <v>3643</v>
      </c>
      <c r="C1652" s="3"/>
    </row>
    <row r="1653" spans="1:3" ht="60">
      <c r="A1653" s="3" t="s">
        <v>2814</v>
      </c>
      <c r="B1653" s="5" t="s">
        <v>3644</v>
      </c>
      <c r="C1653" s="3"/>
    </row>
    <row r="1654" spans="1:3" ht="132">
      <c r="A1654" s="3" t="s">
        <v>2815</v>
      </c>
      <c r="B1654" s="5" t="s">
        <v>3645</v>
      </c>
      <c r="C1654" s="3"/>
    </row>
    <row r="1655" spans="1:3" ht="84">
      <c r="A1655" s="3" t="s">
        <v>2816</v>
      </c>
      <c r="B1655" s="5" t="s">
        <v>3646</v>
      </c>
      <c r="C1655" s="3"/>
    </row>
    <row r="1656" spans="1:3" ht="96">
      <c r="A1656" s="3" t="s">
        <v>2817</v>
      </c>
      <c r="B1656" s="5" t="s">
        <v>3647</v>
      </c>
      <c r="C1656" s="3"/>
    </row>
    <row r="1657" spans="1:3" ht="48">
      <c r="A1657" s="3" t="s">
        <v>2818</v>
      </c>
      <c r="B1657" s="5" t="s">
        <v>3648</v>
      </c>
      <c r="C1657" s="3"/>
    </row>
    <row r="1658" spans="1:3" ht="72">
      <c r="A1658" s="3" t="s">
        <v>2819</v>
      </c>
      <c r="B1658" s="5" t="s">
        <v>3649</v>
      </c>
      <c r="C1658" s="3"/>
    </row>
    <row r="1659" spans="1:3" ht="36">
      <c r="A1659" s="3" t="s">
        <v>2820</v>
      </c>
      <c r="B1659" s="5" t="s">
        <v>3650</v>
      </c>
      <c r="C1659" s="3"/>
    </row>
    <row r="1660" spans="1:3" ht="48">
      <c r="A1660" s="3" t="s">
        <v>2821</v>
      </c>
      <c r="B1660" s="5" t="s">
        <v>3651</v>
      </c>
      <c r="C1660" s="3"/>
    </row>
    <row r="1661" spans="1:3" ht="48">
      <c r="A1661" s="3" t="s">
        <v>2822</v>
      </c>
      <c r="B1661" s="5" t="s">
        <v>3652</v>
      </c>
      <c r="C1661" s="3"/>
    </row>
    <row r="1662" spans="1:3" ht="60">
      <c r="A1662" s="3" t="s">
        <v>2823</v>
      </c>
      <c r="B1662" s="5" t="s">
        <v>3653</v>
      </c>
      <c r="C1662" s="3"/>
    </row>
    <row r="1663" spans="1:3" ht="36">
      <c r="A1663" s="3" t="s">
        <v>2824</v>
      </c>
      <c r="B1663" s="5" t="s">
        <v>3654</v>
      </c>
      <c r="C1663" s="3"/>
    </row>
    <row r="1664" spans="1:3" ht="48">
      <c r="A1664" s="3" t="s">
        <v>2825</v>
      </c>
      <c r="B1664" s="5" t="s">
        <v>3655</v>
      </c>
      <c r="C1664" s="3"/>
    </row>
    <row r="1665" spans="1:3" ht="48">
      <c r="A1665" s="3" t="s">
        <v>2826</v>
      </c>
      <c r="B1665" s="5" t="s">
        <v>3656</v>
      </c>
      <c r="C1665" s="3"/>
    </row>
    <row r="1666" spans="1:3" ht="60">
      <c r="A1666" s="3" t="s">
        <v>2827</v>
      </c>
      <c r="B1666" s="5" t="s">
        <v>3657</v>
      </c>
      <c r="C1666" s="3"/>
    </row>
    <row r="1667" spans="1:3" ht="48">
      <c r="A1667" s="3" t="s">
        <v>2828</v>
      </c>
      <c r="B1667" s="5" t="s">
        <v>3658</v>
      </c>
      <c r="C1667" s="3"/>
    </row>
    <row r="1668" spans="1:3" ht="36">
      <c r="A1668" s="3" t="s">
        <v>1670</v>
      </c>
      <c r="B1668" s="5" t="s">
        <v>3659</v>
      </c>
      <c r="C1668" s="3"/>
    </row>
    <row r="1669" spans="1:3" ht="48">
      <c r="A1669" s="3" t="s">
        <v>2829</v>
      </c>
      <c r="B1669" s="5" t="s">
        <v>3660</v>
      </c>
      <c r="C1669" s="3"/>
    </row>
    <row r="1670" spans="1:3" ht="36">
      <c r="A1670" s="3" t="s">
        <v>2830</v>
      </c>
      <c r="B1670" s="5" t="s">
        <v>3661</v>
      </c>
      <c r="C1670" s="3"/>
    </row>
    <row r="1671" spans="1:3" ht="48">
      <c r="A1671" s="3" t="s">
        <v>2831</v>
      </c>
      <c r="B1671" s="5" t="s">
        <v>3662</v>
      </c>
      <c r="C1671" s="3"/>
    </row>
    <row r="1672" spans="1:3" ht="60">
      <c r="A1672" s="3" t="s">
        <v>2832</v>
      </c>
      <c r="B1672" s="5" t="s">
        <v>3663</v>
      </c>
      <c r="C1672" s="3"/>
    </row>
    <row r="1673" spans="1:3" ht="36">
      <c r="A1673" s="3" t="s">
        <v>2833</v>
      </c>
      <c r="B1673" s="5" t="s">
        <v>3664</v>
      </c>
      <c r="C1673" s="3"/>
    </row>
    <row r="1674" spans="1:3" ht="96">
      <c r="A1674" s="3" t="s">
        <v>2834</v>
      </c>
      <c r="B1674" s="5" t="s">
        <v>3665</v>
      </c>
      <c r="C1674" s="3"/>
    </row>
    <row r="1675" spans="1:3" ht="84">
      <c r="A1675" s="3" t="s">
        <v>2835</v>
      </c>
      <c r="B1675" s="5" t="s">
        <v>3666</v>
      </c>
      <c r="C1675" s="3"/>
    </row>
    <row r="1676" spans="1:3" ht="36">
      <c r="A1676" s="3" t="s">
        <v>2836</v>
      </c>
      <c r="B1676" s="5" t="s">
        <v>3667</v>
      </c>
      <c r="C1676" s="3"/>
    </row>
    <row r="1677" spans="1:3" ht="48">
      <c r="A1677" s="3" t="s">
        <v>2837</v>
      </c>
      <c r="B1677" s="5" t="s">
        <v>3668</v>
      </c>
      <c r="C1677" s="3"/>
    </row>
    <row r="1678" spans="1:3" ht="48">
      <c r="A1678" s="3" t="s">
        <v>2838</v>
      </c>
      <c r="B1678" s="5" t="s">
        <v>3669</v>
      </c>
      <c r="C1678" s="3"/>
    </row>
    <row r="1679" spans="1:3" ht="60">
      <c r="A1679" s="3" t="s">
        <v>2839</v>
      </c>
      <c r="B1679" s="5" t="s">
        <v>3670</v>
      </c>
      <c r="C1679" s="3"/>
    </row>
    <row r="1680" spans="1:3" ht="84">
      <c r="A1680" s="3" t="s">
        <v>2840</v>
      </c>
      <c r="B1680" s="5" t="s">
        <v>3671</v>
      </c>
      <c r="C1680" s="3"/>
    </row>
    <row r="1681" spans="1:3" ht="60">
      <c r="A1681" s="3" t="s">
        <v>2841</v>
      </c>
      <c r="B1681" s="5" t="s">
        <v>3672</v>
      </c>
      <c r="C1681" s="3"/>
    </row>
    <row r="1682" spans="1:3" ht="96">
      <c r="A1682" s="3" t="s">
        <v>2842</v>
      </c>
      <c r="B1682" s="5" t="s">
        <v>3673</v>
      </c>
      <c r="C1682" s="3"/>
    </row>
    <row r="1683" spans="1:3" ht="108">
      <c r="A1683" s="3" t="s">
        <v>2843</v>
      </c>
      <c r="B1683" s="5" t="s">
        <v>3674</v>
      </c>
      <c r="C1683" s="3"/>
    </row>
    <row r="1684" spans="1:3" ht="108">
      <c r="A1684" s="3" t="s">
        <v>2844</v>
      </c>
      <c r="B1684" s="5" t="s">
        <v>3675</v>
      </c>
      <c r="C1684" s="3"/>
    </row>
    <row r="1685" spans="1:3" ht="108">
      <c r="A1685" s="3" t="s">
        <v>2845</v>
      </c>
      <c r="B1685" s="5" t="s">
        <v>3676</v>
      </c>
      <c r="C1685" s="3"/>
    </row>
    <row r="1686" spans="1:3" ht="72">
      <c r="A1686" s="3" t="s">
        <v>2846</v>
      </c>
      <c r="B1686" s="5" t="s">
        <v>3677</v>
      </c>
      <c r="C1686" s="3"/>
    </row>
    <row r="1687" spans="1:3" ht="108">
      <c r="A1687" s="3" t="s">
        <v>2847</v>
      </c>
      <c r="B1687" s="5" t="s">
        <v>3678</v>
      </c>
      <c r="C1687" s="3"/>
    </row>
    <row r="1688" spans="1:3" ht="72">
      <c r="A1688" s="3" t="s">
        <v>2848</v>
      </c>
      <c r="B1688" s="5" t="s">
        <v>3679</v>
      </c>
      <c r="C1688" s="3"/>
    </row>
    <row r="1689" spans="1:3" ht="120">
      <c r="A1689" s="3" t="s">
        <v>2849</v>
      </c>
      <c r="B1689" s="5" t="s">
        <v>3680</v>
      </c>
      <c r="C1689" s="3"/>
    </row>
    <row r="1690" spans="1:3" ht="72">
      <c r="A1690" s="3" t="s">
        <v>2850</v>
      </c>
      <c r="B1690" s="5" t="s">
        <v>3681</v>
      </c>
      <c r="C1690" s="3"/>
    </row>
    <row r="1691" spans="1:3" ht="108">
      <c r="A1691" s="3" t="s">
        <v>2851</v>
      </c>
      <c r="B1691" s="5" t="s">
        <v>3682</v>
      </c>
      <c r="C1691" s="3"/>
    </row>
    <row r="1692" spans="1:3" ht="132">
      <c r="A1692" s="3" t="s">
        <v>2852</v>
      </c>
      <c r="B1692" s="5" t="s">
        <v>3683</v>
      </c>
      <c r="C1692" s="3"/>
    </row>
    <row r="1693" spans="1:3" ht="72">
      <c r="A1693" s="3" t="s">
        <v>2853</v>
      </c>
      <c r="B1693" s="5" t="s">
        <v>3684</v>
      </c>
      <c r="C1693" s="3"/>
    </row>
    <row r="1694" spans="1:3" ht="132">
      <c r="A1694" s="3" t="s">
        <v>2854</v>
      </c>
      <c r="B1694" s="5" t="s">
        <v>3685</v>
      </c>
      <c r="C1694" s="3"/>
    </row>
    <row r="1695" spans="1:3" ht="132">
      <c r="A1695" s="3" t="s">
        <v>2855</v>
      </c>
      <c r="B1695" s="5" t="s">
        <v>3686</v>
      </c>
      <c r="C1695" s="3"/>
    </row>
    <row r="1696" spans="1:3" ht="84">
      <c r="A1696" s="3" t="s">
        <v>2856</v>
      </c>
      <c r="B1696" s="5" t="s">
        <v>3687</v>
      </c>
      <c r="C1696" s="3"/>
    </row>
    <row r="1697" spans="1:3" ht="36">
      <c r="A1697" s="3" t="s">
        <v>2857</v>
      </c>
      <c r="B1697" s="5" t="s">
        <v>3688</v>
      </c>
      <c r="C1697" s="3"/>
    </row>
    <row r="1698" spans="1:3" ht="72">
      <c r="A1698" s="3" t="s">
        <v>2858</v>
      </c>
      <c r="B1698" s="5" t="s">
        <v>3689</v>
      </c>
      <c r="C1698" s="3"/>
    </row>
    <row r="1699" spans="1:3" ht="36">
      <c r="A1699" s="3" t="s">
        <v>2859</v>
      </c>
      <c r="B1699" s="5" t="s">
        <v>3690</v>
      </c>
      <c r="C1699" s="3"/>
    </row>
    <row r="1700" spans="1:3" ht="48">
      <c r="A1700" s="3" t="s">
        <v>2860</v>
      </c>
      <c r="B1700" s="5" t="s">
        <v>3691</v>
      </c>
      <c r="C1700" s="3"/>
    </row>
    <row r="1701" spans="1:3" ht="60">
      <c r="A1701" s="3" t="s">
        <v>2861</v>
      </c>
      <c r="B1701" s="5" t="s">
        <v>3692</v>
      </c>
      <c r="C1701" s="3"/>
    </row>
    <row r="1702" spans="1:3" ht="60">
      <c r="A1702" s="3" t="s">
        <v>2862</v>
      </c>
      <c r="B1702" s="5" t="s">
        <v>3693</v>
      </c>
      <c r="C1702" s="3"/>
    </row>
    <row r="1703" spans="1:3" ht="72">
      <c r="A1703" s="3" t="s">
        <v>2863</v>
      </c>
      <c r="B1703" s="5" t="s">
        <v>2864</v>
      </c>
      <c r="C1703" s="3"/>
    </row>
    <row r="1704" spans="1:3" ht="72">
      <c r="A1704" s="3" t="s">
        <v>2865</v>
      </c>
      <c r="B1704" s="5" t="s">
        <v>2866</v>
      </c>
      <c r="C1704" s="3"/>
    </row>
    <row r="1705" spans="1:3" ht="72">
      <c r="A1705" s="3" t="s">
        <v>2867</v>
      </c>
      <c r="B1705" s="5" t="s">
        <v>2868</v>
      </c>
      <c r="C1705" s="3"/>
    </row>
    <row r="1706" spans="1:3" ht="60">
      <c r="A1706" s="3" t="s">
        <v>2869</v>
      </c>
      <c r="B1706" s="5" t="s">
        <v>2870</v>
      </c>
      <c r="C1706" s="3"/>
    </row>
    <row r="1707" spans="1:3" ht="60">
      <c r="A1707" s="3" t="s">
        <v>2871</v>
      </c>
      <c r="B1707" s="5" t="s">
        <v>1878</v>
      </c>
      <c r="C1707" s="3"/>
    </row>
    <row r="1708" spans="1:3" ht="96">
      <c r="A1708" s="3" t="s">
        <v>2872</v>
      </c>
      <c r="B1708" s="5" t="s">
        <v>2873</v>
      </c>
      <c r="C1708" s="3"/>
    </row>
    <row r="1709" spans="1:3" ht="72">
      <c r="A1709" s="3" t="s">
        <v>2874</v>
      </c>
      <c r="B1709" s="5" t="s">
        <v>2875</v>
      </c>
      <c r="C1709" s="3"/>
    </row>
    <row r="1710" spans="1:3" ht="72">
      <c r="A1710" s="3" t="s">
        <v>2876</v>
      </c>
      <c r="B1710" s="5" t="s">
        <v>2877</v>
      </c>
      <c r="C1710" s="3"/>
    </row>
    <row r="1711" spans="1:3" ht="84">
      <c r="A1711" s="3" t="s">
        <v>2878</v>
      </c>
      <c r="B1711" s="5" t="s">
        <v>2879</v>
      </c>
      <c r="C1711" s="3"/>
    </row>
    <row r="1712" spans="1:3" ht="96">
      <c r="A1712" s="3" t="s">
        <v>2880</v>
      </c>
      <c r="B1712" s="5" t="s">
        <v>2881</v>
      </c>
      <c r="C1712" s="3"/>
    </row>
    <row r="1713" spans="1:3" ht="96">
      <c r="A1713" s="3" t="s">
        <v>2882</v>
      </c>
      <c r="B1713" s="5" t="s">
        <v>2883</v>
      </c>
      <c r="C1713" s="3"/>
    </row>
    <row r="1714" spans="1:3" ht="84">
      <c r="A1714" s="3" t="s">
        <v>2884</v>
      </c>
      <c r="B1714" s="5" t="s">
        <v>2885</v>
      </c>
      <c r="C1714" s="3"/>
    </row>
    <row r="1715" spans="1:3" ht="120">
      <c r="A1715" s="3" t="s">
        <v>2886</v>
      </c>
      <c r="B1715" s="5" t="s">
        <v>3297</v>
      </c>
      <c r="C1715" s="3"/>
    </row>
    <row r="1716" spans="1:3" ht="120">
      <c r="A1716" s="3" t="s">
        <v>2887</v>
      </c>
      <c r="B1716" s="5" t="s">
        <v>2888</v>
      </c>
      <c r="C1716" s="3"/>
    </row>
    <row r="1717" spans="1:3" ht="48">
      <c r="A1717" s="3" t="s">
        <v>2889</v>
      </c>
      <c r="B1717" s="5" t="s">
        <v>2890</v>
      </c>
      <c r="C1717" s="3"/>
    </row>
    <row r="1718" spans="1:3" ht="84">
      <c r="A1718" s="3" t="s">
        <v>2891</v>
      </c>
      <c r="B1718" s="5" t="s">
        <v>2892</v>
      </c>
      <c r="C1718" s="3"/>
    </row>
    <row r="1719" spans="1:3" ht="84">
      <c r="A1719" s="3" t="s">
        <v>2893</v>
      </c>
      <c r="B1719" s="5" t="s">
        <v>2894</v>
      </c>
      <c r="C1719" s="3"/>
    </row>
    <row r="1720" spans="1:3" ht="84">
      <c r="A1720" s="3" t="s">
        <v>2895</v>
      </c>
      <c r="B1720" s="5" t="s">
        <v>2896</v>
      </c>
      <c r="C1720" s="3"/>
    </row>
    <row r="1721" spans="1:3" ht="72">
      <c r="A1721" s="3" t="s">
        <v>2897</v>
      </c>
      <c r="B1721" s="5" t="s">
        <v>2898</v>
      </c>
      <c r="C1721" s="3"/>
    </row>
    <row r="1722" spans="1:3" ht="72">
      <c r="A1722" s="3" t="s">
        <v>2899</v>
      </c>
      <c r="B1722" s="5" t="s">
        <v>2900</v>
      </c>
      <c r="C1722" s="3"/>
    </row>
    <row r="1723" spans="1:3" ht="108">
      <c r="A1723" s="3" t="s">
        <v>2901</v>
      </c>
      <c r="B1723" s="5" t="s">
        <v>2902</v>
      </c>
      <c r="C1723" s="3"/>
    </row>
    <row r="1724" spans="1:3" ht="72">
      <c r="A1724" s="3" t="s">
        <v>2903</v>
      </c>
      <c r="B1724" s="5" t="s">
        <v>2904</v>
      </c>
      <c r="C1724" s="3"/>
    </row>
    <row r="1725" spans="1:3" ht="120">
      <c r="A1725" s="3" t="s">
        <v>2905</v>
      </c>
      <c r="B1725" s="5" t="s">
        <v>2906</v>
      </c>
      <c r="C1725" s="3"/>
    </row>
    <row r="1726" spans="1:3" ht="72">
      <c r="A1726" s="3" t="s">
        <v>2907</v>
      </c>
      <c r="B1726" s="5" t="s">
        <v>2908</v>
      </c>
      <c r="C1726" s="3"/>
    </row>
    <row r="1727" spans="1:3" ht="120">
      <c r="A1727" s="3" t="s">
        <v>2909</v>
      </c>
      <c r="B1727" s="5" t="s">
        <v>2910</v>
      </c>
      <c r="C1727" s="3"/>
    </row>
    <row r="1728" spans="1:3" ht="132">
      <c r="A1728" s="3" t="s">
        <v>2911</v>
      </c>
      <c r="B1728" s="5" t="s">
        <v>2912</v>
      </c>
      <c r="C1728" s="3"/>
    </row>
    <row r="1729" spans="1:3" ht="108">
      <c r="A1729" s="3" t="s">
        <v>2913</v>
      </c>
      <c r="B1729" s="5" t="s">
        <v>2914</v>
      </c>
      <c r="C1729" s="3"/>
    </row>
    <row r="1730" spans="1:3" ht="96">
      <c r="A1730" s="3" t="s">
        <v>2915</v>
      </c>
      <c r="B1730" s="5" t="s">
        <v>2916</v>
      </c>
      <c r="C1730" s="3"/>
    </row>
    <row r="1731" spans="1:3" ht="84">
      <c r="A1731" s="3" t="s">
        <v>2917</v>
      </c>
      <c r="B1731" s="5" t="s">
        <v>2918</v>
      </c>
      <c r="C1731" s="3"/>
    </row>
    <row r="1732" spans="1:3" ht="84">
      <c r="A1732" s="3" t="s">
        <v>2919</v>
      </c>
      <c r="B1732" s="5" t="s">
        <v>2920</v>
      </c>
      <c r="C1732" s="3"/>
    </row>
    <row r="1733" spans="1:3" ht="72">
      <c r="A1733" s="3" t="s">
        <v>2921</v>
      </c>
      <c r="B1733" s="5" t="s">
        <v>2922</v>
      </c>
      <c r="C1733" s="3"/>
    </row>
    <row r="1734" spans="1:3" ht="84">
      <c r="A1734" s="3" t="s">
        <v>2923</v>
      </c>
      <c r="B1734" s="5" t="s">
        <v>2924</v>
      </c>
      <c r="C1734" s="3"/>
    </row>
    <row r="1735" spans="1:3" ht="108">
      <c r="A1735" s="3" t="s">
        <v>2925</v>
      </c>
      <c r="B1735" s="5" t="s">
        <v>2926</v>
      </c>
      <c r="C1735" s="3"/>
    </row>
    <row r="1736" spans="1:3" ht="84">
      <c r="A1736" s="3" t="s">
        <v>2927</v>
      </c>
      <c r="B1736" s="5" t="s">
        <v>2928</v>
      </c>
      <c r="C1736" s="3"/>
    </row>
    <row r="1737" spans="1:3" ht="96">
      <c r="A1737" s="3" t="s">
        <v>2929</v>
      </c>
      <c r="B1737" s="5" t="s">
        <v>2930</v>
      </c>
      <c r="C1737" s="3"/>
    </row>
    <row r="1738" spans="1:3" ht="72">
      <c r="A1738" s="3" t="s">
        <v>2931</v>
      </c>
      <c r="B1738" s="5" t="s">
        <v>2932</v>
      </c>
      <c r="C1738" s="3"/>
    </row>
    <row r="1739" spans="1:3" ht="72">
      <c r="A1739" s="3" t="s">
        <v>2933</v>
      </c>
      <c r="B1739" s="5" t="s">
        <v>2934</v>
      </c>
      <c r="C1739" s="3"/>
    </row>
    <row r="1740" spans="1:3" ht="96">
      <c r="A1740" s="3" t="s">
        <v>2935</v>
      </c>
      <c r="B1740" s="5" t="s">
        <v>2936</v>
      </c>
      <c r="C1740" s="3"/>
    </row>
    <row r="1741" spans="1:3" ht="132">
      <c r="A1741" s="3" t="s">
        <v>2937</v>
      </c>
      <c r="B1741" s="5" t="s">
        <v>2938</v>
      </c>
      <c r="C1741" s="3"/>
    </row>
    <row r="1742" spans="1:3" ht="96">
      <c r="A1742" s="3" t="s">
        <v>2939</v>
      </c>
      <c r="B1742" s="5" t="s">
        <v>2940</v>
      </c>
      <c r="C1742" s="3"/>
    </row>
    <row r="1743" spans="1:3" ht="60">
      <c r="A1743" s="3" t="s">
        <v>2941</v>
      </c>
      <c r="B1743" s="5" t="s">
        <v>2942</v>
      </c>
      <c r="C1743" s="3"/>
    </row>
    <row r="1744" spans="1:3" ht="156">
      <c r="A1744" s="3" t="s">
        <v>2943</v>
      </c>
      <c r="B1744" s="5" t="s">
        <v>2944</v>
      </c>
      <c r="C1744" s="3"/>
    </row>
    <row r="1745" spans="1:3" ht="132">
      <c r="A1745" s="3" t="s">
        <v>2945</v>
      </c>
      <c r="B1745" s="5" t="s">
        <v>2946</v>
      </c>
      <c r="C1745" s="3"/>
    </row>
    <row r="1746" spans="1:3" ht="108">
      <c r="A1746" s="3" t="s">
        <v>2947</v>
      </c>
      <c r="B1746" s="5" t="s">
        <v>2948</v>
      </c>
      <c r="C1746" s="3"/>
    </row>
    <row r="1747" spans="1:3" ht="132">
      <c r="A1747" s="3" t="s">
        <v>2949</v>
      </c>
      <c r="B1747" s="5" t="s">
        <v>2950</v>
      </c>
      <c r="C1747" s="3"/>
    </row>
    <row r="1748" spans="1:3" ht="132">
      <c r="A1748" s="3" t="s">
        <v>2951</v>
      </c>
      <c r="B1748" s="5" t="s">
        <v>2952</v>
      </c>
      <c r="C1748" s="3"/>
    </row>
    <row r="1749" spans="1:3" ht="84">
      <c r="A1749" s="3" t="s">
        <v>2953</v>
      </c>
      <c r="B1749" s="5" t="s">
        <v>2954</v>
      </c>
      <c r="C1749" s="3"/>
    </row>
    <row r="1750" spans="1:3" ht="84">
      <c r="A1750" s="3" t="s">
        <v>2955</v>
      </c>
      <c r="B1750" s="5" t="s">
        <v>2956</v>
      </c>
      <c r="C1750" s="3"/>
    </row>
    <row r="1751" spans="1:3" ht="48">
      <c r="A1751" s="3" t="s">
        <v>2957</v>
      </c>
      <c r="B1751" s="5" t="s">
        <v>2958</v>
      </c>
      <c r="C1751" s="3"/>
    </row>
    <row r="1752" spans="1:3" ht="60">
      <c r="A1752" s="3" t="s">
        <v>2959</v>
      </c>
      <c r="B1752" s="5" t="s">
        <v>2960</v>
      </c>
      <c r="C1752" s="3"/>
    </row>
    <row r="1753" spans="1:3" ht="72">
      <c r="A1753" s="3" t="s">
        <v>2961</v>
      </c>
      <c r="B1753" s="5" t="s">
        <v>2962</v>
      </c>
      <c r="C1753" s="3"/>
    </row>
    <row r="1754" spans="1:3" ht="72">
      <c r="A1754" s="3" t="s">
        <v>2963</v>
      </c>
      <c r="B1754" s="5" t="s">
        <v>2964</v>
      </c>
      <c r="C1754" s="3"/>
    </row>
    <row r="1755" spans="1:3" ht="72">
      <c r="A1755" s="3" t="s">
        <v>2965</v>
      </c>
      <c r="B1755" s="5" t="s">
        <v>2966</v>
      </c>
      <c r="C1755" s="3"/>
    </row>
    <row r="1756" spans="1:3" ht="48">
      <c r="A1756" s="3" t="s">
        <v>2967</v>
      </c>
      <c r="B1756" s="5" t="s">
        <v>1877</v>
      </c>
      <c r="C1756" s="3"/>
    </row>
    <row r="1757" spans="1:3" ht="132">
      <c r="A1757" s="3" t="s">
        <v>2968</v>
      </c>
      <c r="B1757" s="5" t="s">
        <v>2969</v>
      </c>
      <c r="C1757" s="3"/>
    </row>
    <row r="1758" spans="1:3" ht="96">
      <c r="A1758" s="3" t="s">
        <v>2970</v>
      </c>
      <c r="B1758" s="5" t="s">
        <v>2971</v>
      </c>
      <c r="C1758" s="3"/>
    </row>
    <row r="1759" spans="1:3" ht="60">
      <c r="A1759" s="3" t="s">
        <v>2972</v>
      </c>
      <c r="B1759" s="5" t="s">
        <v>2973</v>
      </c>
      <c r="C1759" s="3"/>
    </row>
    <row r="1760" spans="1:3" ht="108">
      <c r="A1760" s="3" t="s">
        <v>2974</v>
      </c>
      <c r="B1760" s="5" t="s">
        <v>2975</v>
      </c>
      <c r="C1760" s="3"/>
    </row>
    <row r="1761" spans="1:3" ht="108">
      <c r="A1761" s="3" t="s">
        <v>2976</v>
      </c>
      <c r="B1761" s="5" t="s">
        <v>2977</v>
      </c>
      <c r="C1761" s="3"/>
    </row>
    <row r="1762" spans="1:3" ht="132">
      <c r="A1762" s="3" t="s">
        <v>2978</v>
      </c>
      <c r="B1762" s="5" t="s">
        <v>2979</v>
      </c>
      <c r="C1762" s="3"/>
    </row>
    <row r="1763" spans="1:3" ht="96">
      <c r="A1763" s="3" t="s">
        <v>2980</v>
      </c>
      <c r="B1763" s="5" t="s">
        <v>2981</v>
      </c>
      <c r="C1763" s="3"/>
    </row>
    <row r="1764" spans="1:3" ht="108">
      <c r="A1764" s="3" t="s">
        <v>2982</v>
      </c>
      <c r="B1764" s="5" t="s">
        <v>2983</v>
      </c>
      <c r="C1764" s="3"/>
    </row>
    <row r="1765" spans="1:3" ht="60">
      <c r="A1765" s="3" t="s">
        <v>2984</v>
      </c>
      <c r="B1765" s="5" t="s">
        <v>2985</v>
      </c>
      <c r="C1765" s="3"/>
    </row>
    <row r="1766" spans="1:3" ht="120">
      <c r="A1766" s="3" t="s">
        <v>2986</v>
      </c>
      <c r="B1766" s="5" t="s">
        <v>2987</v>
      </c>
      <c r="C1766" s="3"/>
    </row>
    <row r="1767" spans="1:3" ht="96">
      <c r="A1767" s="3" t="s">
        <v>2988</v>
      </c>
      <c r="B1767" s="5" t="s">
        <v>2989</v>
      </c>
      <c r="C1767" s="3"/>
    </row>
    <row r="1768" spans="1:3" ht="60">
      <c r="A1768" s="3" t="s">
        <v>2990</v>
      </c>
      <c r="B1768" s="5" t="s">
        <v>2991</v>
      </c>
      <c r="C1768" s="3"/>
    </row>
    <row r="1769" spans="1:3" ht="72">
      <c r="A1769" s="3" t="s">
        <v>2992</v>
      </c>
      <c r="B1769" s="5" t="s">
        <v>2993</v>
      </c>
      <c r="C1769" s="3"/>
    </row>
    <row r="1770" spans="1:3" ht="120">
      <c r="A1770" s="3" t="s">
        <v>2994</v>
      </c>
      <c r="B1770" s="5" t="s">
        <v>2995</v>
      </c>
      <c r="C1770" s="3"/>
    </row>
    <row r="1771" spans="1:3" ht="60">
      <c r="A1771" s="3" t="s">
        <v>2996</v>
      </c>
      <c r="B1771" s="5" t="s">
        <v>2997</v>
      </c>
      <c r="C1771" s="3"/>
    </row>
    <row r="1772" spans="1:3" ht="36">
      <c r="A1772" s="3" t="s">
        <v>2998</v>
      </c>
      <c r="B1772" s="5" t="s">
        <v>2999</v>
      </c>
      <c r="C1772" s="3"/>
    </row>
    <row r="1773" spans="1:3" ht="60">
      <c r="A1773" s="3" t="s">
        <v>3000</v>
      </c>
      <c r="B1773" s="5" t="s">
        <v>3001</v>
      </c>
      <c r="C1773" s="3"/>
    </row>
    <row r="1774" spans="1:3" ht="48">
      <c r="A1774" s="3" t="s">
        <v>3002</v>
      </c>
      <c r="B1774" s="5" t="s">
        <v>3003</v>
      </c>
      <c r="C1774" s="3"/>
    </row>
    <row r="1775" spans="1:3" ht="72">
      <c r="A1775" s="3" t="s">
        <v>3004</v>
      </c>
      <c r="B1775" s="5" t="s">
        <v>3005</v>
      </c>
      <c r="C1775" s="3"/>
    </row>
    <row r="1776" spans="1:3" ht="132">
      <c r="A1776" s="3" t="s">
        <v>3006</v>
      </c>
      <c r="B1776" s="5" t="s">
        <v>3007</v>
      </c>
      <c r="C1776" s="3"/>
    </row>
    <row r="1777" spans="1:3" ht="108">
      <c r="A1777" s="3" t="s">
        <v>3008</v>
      </c>
      <c r="B1777" s="5" t="s">
        <v>3009</v>
      </c>
      <c r="C1777" s="3"/>
    </row>
    <row r="1778" spans="1:3" ht="72">
      <c r="A1778" s="3" t="s">
        <v>3010</v>
      </c>
      <c r="B1778" s="5" t="s">
        <v>3011</v>
      </c>
      <c r="C1778" s="3"/>
    </row>
    <row r="1779" spans="1:3" ht="120">
      <c r="A1779" s="3" t="s">
        <v>3945</v>
      </c>
      <c r="B1779" s="5" t="s">
        <v>3694</v>
      </c>
      <c r="C1779" s="3"/>
    </row>
    <row r="1780" spans="1:3" ht="204">
      <c r="A1780" s="3" t="s">
        <v>3946</v>
      </c>
      <c r="B1780" s="5" t="s">
        <v>3695</v>
      </c>
      <c r="C1780" s="3"/>
    </row>
    <row r="1781" spans="1:3" ht="132">
      <c r="A1781" s="3" t="s">
        <v>3947</v>
      </c>
      <c r="B1781" s="5" t="s">
        <v>3696</v>
      </c>
      <c r="C1781" s="3"/>
    </row>
    <row r="1782" spans="1:3" ht="36">
      <c r="A1782" s="3" t="s">
        <v>3948</v>
      </c>
      <c r="B1782" s="5" t="s">
        <v>1947</v>
      </c>
      <c r="C1782" s="3"/>
    </row>
    <row r="1783" spans="1:3" ht="132">
      <c r="A1783" s="3" t="s">
        <v>3949</v>
      </c>
      <c r="B1783" s="5" t="s">
        <v>3697</v>
      </c>
      <c r="C1783" s="3"/>
    </row>
    <row r="1784" spans="1:3" ht="156">
      <c r="A1784" s="3" t="s">
        <v>3950</v>
      </c>
      <c r="B1784" s="5" t="s">
        <v>3698</v>
      </c>
      <c r="C1784" s="3"/>
    </row>
    <row r="1785" spans="1:3" ht="120">
      <c r="A1785" s="3" t="s">
        <v>3951</v>
      </c>
      <c r="B1785" s="5" t="s">
        <v>3699</v>
      </c>
      <c r="C1785" s="3"/>
    </row>
    <row r="1786" spans="1:3" ht="96">
      <c r="A1786" s="3" t="s">
        <v>3952</v>
      </c>
      <c r="B1786" s="5" t="s">
        <v>3700</v>
      </c>
      <c r="C1786" s="3"/>
    </row>
    <row r="1787" spans="1:3" ht="36">
      <c r="A1787" s="3" t="s">
        <v>3953</v>
      </c>
      <c r="B1787" s="5" t="s">
        <v>1947</v>
      </c>
      <c r="C1787" s="3"/>
    </row>
    <row r="1788" spans="1:3" ht="192">
      <c r="A1788" s="3" t="s">
        <v>3954</v>
      </c>
      <c r="B1788" s="5" t="s">
        <v>3701</v>
      </c>
      <c r="C1788" s="3"/>
    </row>
    <row r="1789" spans="1:3" ht="180">
      <c r="A1789" s="3" t="s">
        <v>3955</v>
      </c>
      <c r="B1789" s="5" t="s">
        <v>3702</v>
      </c>
      <c r="C1789" s="3"/>
    </row>
    <row r="1790" spans="1:3" ht="132">
      <c r="A1790" s="3" t="s">
        <v>3956</v>
      </c>
      <c r="B1790" s="5" t="s">
        <v>3703</v>
      </c>
      <c r="C1790" s="3"/>
    </row>
    <row r="1791" spans="1:3" ht="36">
      <c r="A1791" s="3" t="s">
        <v>3957</v>
      </c>
      <c r="B1791" s="5" t="s">
        <v>1947</v>
      </c>
      <c r="C1791" s="3"/>
    </row>
    <row r="1792" spans="1:3" ht="132">
      <c r="A1792" s="3" t="s">
        <v>3958</v>
      </c>
      <c r="B1792" s="5" t="s">
        <v>3704</v>
      </c>
      <c r="C1792" s="3"/>
    </row>
    <row r="1793" spans="1:3" ht="96">
      <c r="A1793" s="3" t="s">
        <v>3959</v>
      </c>
      <c r="B1793" s="5" t="s">
        <v>3705</v>
      </c>
      <c r="C1793" s="3"/>
    </row>
    <row r="1794" spans="1:3" ht="84">
      <c r="A1794" s="3" t="s">
        <v>3960</v>
      </c>
      <c r="B1794" s="5" t="s">
        <v>3706</v>
      </c>
      <c r="C1794" s="3"/>
    </row>
    <row r="1795" spans="1:3" ht="120">
      <c r="A1795" s="3" t="s">
        <v>2108</v>
      </c>
      <c r="B1795" s="5" t="s">
        <v>3012</v>
      </c>
      <c r="C1795" s="3"/>
    </row>
    <row r="1796" spans="1:3" ht="120">
      <c r="A1796" s="3" t="s">
        <v>2109</v>
      </c>
      <c r="B1796" s="5" t="s">
        <v>3013</v>
      </c>
      <c r="C1796" s="3"/>
    </row>
    <row r="1797" spans="1:3" ht="144">
      <c r="A1797" s="3" t="s">
        <v>2110</v>
      </c>
      <c r="B1797" s="5" t="s">
        <v>3014</v>
      </c>
      <c r="C1797" s="3"/>
    </row>
    <row r="1798" spans="1:3" ht="96">
      <c r="A1798" s="3" t="s">
        <v>2111</v>
      </c>
      <c r="B1798" s="5" t="s">
        <v>3015</v>
      </c>
      <c r="C1798" s="3"/>
    </row>
    <row r="1799" spans="1:3" ht="84">
      <c r="A1799" s="3" t="s">
        <v>2112</v>
      </c>
      <c r="B1799" s="5" t="s">
        <v>3016</v>
      </c>
      <c r="C1799" s="3"/>
    </row>
    <row r="1800" spans="1:3" ht="108">
      <c r="A1800" s="3" t="s">
        <v>2113</v>
      </c>
      <c r="B1800" s="5" t="s">
        <v>3017</v>
      </c>
      <c r="C1800" s="3"/>
    </row>
    <row r="1801" spans="1:3" ht="96">
      <c r="A1801" s="3" t="s">
        <v>2114</v>
      </c>
      <c r="B1801" s="5" t="s">
        <v>3018</v>
      </c>
      <c r="C1801" s="3"/>
    </row>
    <row r="1802" spans="1:3" ht="132">
      <c r="A1802" s="3" t="s">
        <v>2115</v>
      </c>
      <c r="B1802" s="5" t="s">
        <v>3019</v>
      </c>
      <c r="C1802" s="3"/>
    </row>
    <row r="1803" spans="1:3" ht="132">
      <c r="A1803" s="3" t="s">
        <v>2116</v>
      </c>
      <c r="B1803" s="5" t="s">
        <v>3020</v>
      </c>
      <c r="C1803" s="3"/>
    </row>
    <row r="1804" spans="1:3" ht="144">
      <c r="A1804" s="3" t="s">
        <v>2117</v>
      </c>
      <c r="B1804" s="5" t="s">
        <v>3021</v>
      </c>
      <c r="C1804" s="3"/>
    </row>
    <row r="1805" spans="1:3" ht="60">
      <c r="A1805" s="3" t="s">
        <v>2118</v>
      </c>
      <c r="B1805" s="5" t="s">
        <v>3022</v>
      </c>
      <c r="C1805" s="3"/>
    </row>
    <row r="1806" spans="1:3" ht="96">
      <c r="A1806" s="3" t="s">
        <v>2119</v>
      </c>
      <c r="B1806" s="5" t="s">
        <v>3023</v>
      </c>
      <c r="C1806" s="3"/>
    </row>
    <row r="1807" spans="1:3" ht="72">
      <c r="A1807" s="3" t="s">
        <v>2120</v>
      </c>
      <c r="B1807" s="5" t="s">
        <v>3024</v>
      </c>
      <c r="C1807" s="3"/>
    </row>
    <row r="1808" spans="1:3" ht="96">
      <c r="A1808" s="3" t="s">
        <v>2121</v>
      </c>
      <c r="B1808" s="5" t="s">
        <v>3025</v>
      </c>
      <c r="C1808" s="3"/>
    </row>
    <row r="1809" spans="1:3" ht="60">
      <c r="A1809" s="3" t="s">
        <v>2122</v>
      </c>
      <c r="B1809" s="5" t="s">
        <v>3026</v>
      </c>
      <c r="C1809" s="3"/>
    </row>
    <row r="1810" spans="1:3" ht="48">
      <c r="A1810" s="3" t="s">
        <v>3027</v>
      </c>
      <c r="B1810" s="5" t="s">
        <v>3028</v>
      </c>
      <c r="C1810" s="3"/>
    </row>
    <row r="1811" spans="1:3" ht="60">
      <c r="A1811" s="3" t="s">
        <v>2123</v>
      </c>
      <c r="B1811" s="5" t="s">
        <v>3029</v>
      </c>
      <c r="C1811" s="3"/>
    </row>
    <row r="1812" spans="1:3" ht="72">
      <c r="A1812" s="3" t="s">
        <v>3961</v>
      </c>
      <c r="B1812" s="5" t="s">
        <v>3030</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42"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34" bestFit="1" customWidth="1"/>
    <col min="3" max="3" width="12.140625" bestFit="1" customWidth="1"/>
  </cols>
  <sheetData>
    <row r="2" spans="2:3">
      <c r="B2" s="33" t="s">
        <v>4051</v>
      </c>
      <c r="C2" s="28" t="s">
        <v>1935</v>
      </c>
    </row>
    <row r="3" spans="2:3">
      <c r="B3" s="29" t="s">
        <v>4052</v>
      </c>
      <c r="C3" s="28" t="s">
        <v>4032</v>
      </c>
    </row>
    <row r="4" spans="2:3">
      <c r="B4" s="33" t="s">
        <v>4053</v>
      </c>
      <c r="C4" s="28" t="s">
        <v>4033</v>
      </c>
    </row>
    <row r="5" spans="2:3">
      <c r="B5" s="33" t="s">
        <v>4054</v>
      </c>
      <c r="C5" s="28" t="s">
        <v>4034</v>
      </c>
    </row>
    <row r="6" spans="2:3">
      <c r="B6" s="33" t="s">
        <v>4055</v>
      </c>
      <c r="C6" s="28" t="s">
        <v>4035</v>
      </c>
    </row>
    <row r="7" spans="2:3">
      <c r="B7" s="33" t="s">
        <v>4056</v>
      </c>
      <c r="C7" s="28" t="s">
        <v>4036</v>
      </c>
    </row>
    <row r="8" spans="2:3">
      <c r="B8" s="33" t="s">
        <v>4057</v>
      </c>
      <c r="C8" s="28" t="s">
        <v>4037</v>
      </c>
    </row>
    <row r="9" spans="2:3">
      <c r="B9" s="33" t="s">
        <v>4058</v>
      </c>
      <c r="C9" s="28" t="s">
        <v>4038</v>
      </c>
    </row>
    <row r="10" spans="2:3">
      <c r="B10" s="33" t="s">
        <v>4059</v>
      </c>
      <c r="C10" s="28" t="s">
        <v>4039</v>
      </c>
    </row>
    <row r="11" spans="2:3">
      <c r="B11" s="33" t="s">
        <v>4060</v>
      </c>
      <c r="C11" s="28" t="s">
        <v>4040</v>
      </c>
    </row>
    <row r="12" spans="2:3">
      <c r="B12" s="33" t="s">
        <v>4061</v>
      </c>
      <c r="C12" s="28" t="s">
        <v>4041</v>
      </c>
    </row>
    <row r="13" spans="2:3">
      <c r="B13" s="29" t="s">
        <v>4062</v>
      </c>
      <c r="C13" s="28" t="s">
        <v>4042</v>
      </c>
    </row>
    <row r="14" spans="2:3">
      <c r="B14" s="29" t="s">
        <v>4063</v>
      </c>
      <c r="C14" s="28" t="s">
        <v>4043</v>
      </c>
    </row>
    <row r="15" spans="2:3">
      <c r="B15" s="29" t="s">
        <v>4064</v>
      </c>
      <c r="C15" s="28" t="s">
        <v>4044</v>
      </c>
    </row>
    <row r="16" spans="2:3">
      <c r="B16" s="29" t="s">
        <v>4065</v>
      </c>
      <c r="C16" s="28" t="s">
        <v>4045</v>
      </c>
    </row>
    <row r="17" spans="2:3">
      <c r="B17" s="29" t="s">
        <v>4066</v>
      </c>
      <c r="C17" s="28" t="s">
        <v>4046</v>
      </c>
    </row>
    <row r="18" spans="2:3">
      <c r="B18" s="29" t="s">
        <v>4067</v>
      </c>
      <c r="C18" s="28" t="s">
        <v>4047</v>
      </c>
    </row>
    <row r="19" spans="2:3">
      <c r="B19" s="29" t="s">
        <v>4068</v>
      </c>
      <c r="C19" s="28" t="s">
        <v>4048</v>
      </c>
    </row>
    <row r="20" spans="2:3">
      <c r="B20" s="29" t="s">
        <v>4069</v>
      </c>
      <c r="C20" s="28" t="s">
        <v>4049</v>
      </c>
    </row>
    <row r="21" spans="2:3">
      <c r="B21" s="29" t="s">
        <v>4070</v>
      </c>
      <c r="C21" s="28" t="s">
        <v>3</v>
      </c>
    </row>
    <row r="22" spans="2:3">
      <c r="B22" s="29" t="s">
        <v>4071</v>
      </c>
      <c r="C22" s="28" t="s">
        <v>4050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51</v>
      </c>
      <c r="C1" s="8" t="s">
        <v>1925</v>
      </c>
      <c r="D1" t="s">
        <v>1935</v>
      </c>
    </row>
    <row r="2" spans="1:4">
      <c r="A2" t="s">
        <v>50</v>
      </c>
      <c r="C2" t="s">
        <v>1926</v>
      </c>
      <c r="D2" t="s">
        <v>1936</v>
      </c>
    </row>
    <row r="3" spans="1:4">
      <c r="C3" s="8" t="s">
        <v>1927</v>
      </c>
      <c r="D3" t="s">
        <v>1937</v>
      </c>
    </row>
    <row r="4" spans="1:4">
      <c r="C4" s="8" t="s">
        <v>1928</v>
      </c>
      <c r="D4" t="s">
        <v>1938</v>
      </c>
    </row>
    <row r="5" spans="1:4">
      <c r="C5" s="8" t="s">
        <v>1929</v>
      </c>
      <c r="D5" t="s">
        <v>1939</v>
      </c>
    </row>
    <row r="6" spans="1:4">
      <c r="C6" s="8" t="s">
        <v>1930</v>
      </c>
      <c r="D6" t="s">
        <v>1940</v>
      </c>
    </row>
    <row r="7" spans="1:4">
      <c r="C7" s="8" t="s">
        <v>1931</v>
      </c>
      <c r="D7" t="s">
        <v>1941</v>
      </c>
    </row>
    <row r="8" spans="1:4">
      <c r="C8" s="8" t="s">
        <v>1932</v>
      </c>
      <c r="D8" t="s">
        <v>1942</v>
      </c>
    </row>
    <row r="9" spans="1:4">
      <c r="C9" s="8" t="s">
        <v>1933</v>
      </c>
      <c r="D9" t="s">
        <v>1943</v>
      </c>
    </row>
    <row r="10" spans="1:4">
      <c r="C10" s="8" t="s">
        <v>1934</v>
      </c>
      <c r="D10" t="s">
        <v>1944</v>
      </c>
    </row>
    <row r="11" spans="1:4">
      <c r="C11" s="8" t="s">
        <v>23</v>
      </c>
      <c r="D11" t="s">
        <v>1945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53</v>
      </c>
      <c r="D1" t="s">
        <v>54</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104</v>
      </c>
      <c r="B8" t="s">
        <v>131</v>
      </c>
      <c r="C8" t="s">
        <v>85</v>
      </c>
      <c r="D8">
        <v>9</v>
      </c>
      <c r="E8" t="s">
        <v>95</v>
      </c>
      <c r="G8" t="s">
        <v>27</v>
      </c>
      <c r="J8" t="s">
        <v>82</v>
      </c>
      <c r="K8" t="s">
        <v>24</v>
      </c>
      <c r="L8" t="s">
        <v>24</v>
      </c>
      <c r="M8" t="s">
        <v>24</v>
      </c>
      <c r="N8" t="s">
        <v>24</v>
      </c>
      <c r="O8" t="s">
        <v>24</v>
      </c>
      <c r="P8" t="s">
        <v>24</v>
      </c>
      <c r="Q8" t="s">
        <v>24</v>
      </c>
      <c r="S8">
        <v>3</v>
      </c>
      <c r="T8" t="s">
        <v>24</v>
      </c>
      <c r="U8" t="s">
        <v>97</v>
      </c>
      <c r="V8" t="s">
        <v>99</v>
      </c>
      <c r="W8" t="s">
        <v>1881</v>
      </c>
    </row>
    <row r="9" spans="1:23">
      <c r="A9" t="s">
        <v>104</v>
      </c>
      <c r="B9" t="s">
        <v>130</v>
      </c>
      <c r="C9" t="s">
        <v>85</v>
      </c>
      <c r="D9">
        <v>8</v>
      </c>
      <c r="E9" t="s">
        <v>93</v>
      </c>
      <c r="G9" t="s">
        <v>27</v>
      </c>
      <c r="K9" t="s">
        <v>24</v>
      </c>
      <c r="L9" t="s">
        <v>24</v>
      </c>
      <c r="M9" t="s">
        <v>24</v>
      </c>
      <c r="N9" t="s">
        <v>24</v>
      </c>
      <c r="O9" t="s">
        <v>24</v>
      </c>
      <c r="P9" t="s">
        <v>24</v>
      </c>
      <c r="Q9" t="s">
        <v>24</v>
      </c>
      <c r="S9">
        <v>3</v>
      </c>
      <c r="T9" t="s">
        <v>24</v>
      </c>
      <c r="U9" t="s">
        <v>135</v>
      </c>
      <c r="V9" t="s">
        <v>136</v>
      </c>
      <c r="W9" t="s">
        <v>1881</v>
      </c>
    </row>
    <row r="10" spans="1:23">
      <c r="A10" t="s">
        <v>104</v>
      </c>
      <c r="B10" t="s">
        <v>129</v>
      </c>
      <c r="C10" t="s">
        <v>85</v>
      </c>
      <c r="D10">
        <v>7</v>
      </c>
      <c r="E10" t="s">
        <v>90</v>
      </c>
      <c r="G10" t="s">
        <v>30</v>
      </c>
      <c r="I10" t="s">
        <v>40</v>
      </c>
      <c r="K10" t="s">
        <v>24</v>
      </c>
      <c r="L10" t="s">
        <v>24</v>
      </c>
      <c r="M10">
        <v>4</v>
      </c>
      <c r="N10" t="s">
        <v>24</v>
      </c>
      <c r="O10" t="s">
        <v>24</v>
      </c>
      <c r="P10" t="s">
        <v>24</v>
      </c>
      <c r="Q10" t="s">
        <v>24</v>
      </c>
      <c r="R10">
        <v>6</v>
      </c>
      <c r="S10">
        <v>4</v>
      </c>
      <c r="T10" t="s">
        <v>24</v>
      </c>
      <c r="U10" t="s">
        <v>91</v>
      </c>
      <c r="V10" t="s">
        <v>92</v>
      </c>
      <c r="W10" t="s">
        <v>1881</v>
      </c>
    </row>
    <row r="11" spans="1:23">
      <c r="A11" t="s">
        <v>104</v>
      </c>
      <c r="B11" t="s">
        <v>128</v>
      </c>
      <c r="C11" t="s">
        <v>85</v>
      </c>
      <c r="D11">
        <v>6</v>
      </c>
      <c r="E11" t="s">
        <v>88</v>
      </c>
      <c r="G11" t="s">
        <v>28</v>
      </c>
      <c r="I11" t="s">
        <v>38</v>
      </c>
      <c r="K11" t="s">
        <v>24</v>
      </c>
      <c r="L11">
        <v>34</v>
      </c>
      <c r="M11" t="s">
        <v>31</v>
      </c>
      <c r="N11" t="s">
        <v>24</v>
      </c>
      <c r="O11" t="s">
        <v>31</v>
      </c>
      <c r="P11">
        <v>3</v>
      </c>
      <c r="Q11">
        <v>5</v>
      </c>
      <c r="S11">
        <v>3</v>
      </c>
      <c r="T11" t="s">
        <v>24</v>
      </c>
      <c r="U11" t="s">
        <v>89</v>
      </c>
      <c r="V11" t="s">
        <v>137</v>
      </c>
      <c r="W11" t="s">
        <v>1881</v>
      </c>
    </row>
    <row r="12" spans="1:23">
      <c r="A12" t="s">
        <v>104</v>
      </c>
      <c r="B12" t="s">
        <v>127</v>
      </c>
      <c r="C12" t="s">
        <v>85</v>
      </c>
      <c r="D12">
        <v>5</v>
      </c>
      <c r="E12" t="s">
        <v>86</v>
      </c>
      <c r="G12" t="s">
        <v>28</v>
      </c>
      <c r="I12" t="s">
        <v>34</v>
      </c>
      <c r="J12" t="s">
        <v>33</v>
      </c>
      <c r="K12" t="s">
        <v>24</v>
      </c>
      <c r="L12">
        <v>10</v>
      </c>
      <c r="M12">
        <v>1</v>
      </c>
      <c r="N12" t="s">
        <v>24</v>
      </c>
      <c r="O12">
        <v>3</v>
      </c>
      <c r="P12">
        <v>1</v>
      </c>
      <c r="Q12">
        <v>6</v>
      </c>
      <c r="S12">
        <v>3</v>
      </c>
      <c r="T12" t="s">
        <v>24</v>
      </c>
      <c r="U12" t="s">
        <v>87</v>
      </c>
      <c r="W12" t="s">
        <v>1881</v>
      </c>
    </row>
    <row r="13" spans="1:23">
      <c r="A13" t="s">
        <v>104</v>
      </c>
      <c r="B13" t="s">
        <v>126</v>
      </c>
      <c r="C13" t="s">
        <v>85</v>
      </c>
      <c r="D13">
        <v>4</v>
      </c>
      <c r="E13" t="s">
        <v>46</v>
      </c>
      <c r="G13" t="s">
        <v>32</v>
      </c>
      <c r="K13" t="s">
        <v>24</v>
      </c>
      <c r="L13" t="s">
        <v>24</v>
      </c>
      <c r="M13" t="s">
        <v>24</v>
      </c>
      <c r="N13" t="s">
        <v>24</v>
      </c>
      <c r="O13" t="s">
        <v>24</v>
      </c>
      <c r="P13" t="s">
        <v>24</v>
      </c>
      <c r="Q13" t="s">
        <v>24</v>
      </c>
      <c r="R13">
        <v>1</v>
      </c>
      <c r="S13">
        <v>1</v>
      </c>
      <c r="T13" t="s">
        <v>24</v>
      </c>
      <c r="U13" t="s">
        <v>47</v>
      </c>
      <c r="W13" t="s">
        <v>1881</v>
      </c>
    </row>
    <row r="14" spans="1:23">
      <c r="A14" t="s">
        <v>104</v>
      </c>
      <c r="B14" t="s">
        <v>125</v>
      </c>
      <c r="C14" t="s">
        <v>85</v>
      </c>
      <c r="D14">
        <v>3</v>
      </c>
      <c r="E14" t="s">
        <v>46</v>
      </c>
      <c r="G14" t="s">
        <v>32</v>
      </c>
      <c r="K14" t="s">
        <v>24</v>
      </c>
      <c r="L14" t="s">
        <v>24</v>
      </c>
      <c r="M14" t="s">
        <v>24</v>
      </c>
      <c r="N14" t="s">
        <v>24</v>
      </c>
      <c r="O14" t="s">
        <v>24</v>
      </c>
      <c r="P14" t="s">
        <v>24</v>
      </c>
      <c r="Q14" t="s">
        <v>24</v>
      </c>
      <c r="R14" t="s">
        <v>37</v>
      </c>
      <c r="S14">
        <v>1</v>
      </c>
      <c r="T14" t="s">
        <v>24</v>
      </c>
      <c r="U14" t="s">
        <v>47</v>
      </c>
      <c r="W14" t="s">
        <v>1881</v>
      </c>
    </row>
    <row r="15" spans="1:23">
      <c r="A15" t="s">
        <v>104</v>
      </c>
      <c r="B15" t="s">
        <v>124</v>
      </c>
      <c r="C15" t="s">
        <v>85</v>
      </c>
      <c r="D15">
        <v>2</v>
      </c>
      <c r="E15" t="s">
        <v>46</v>
      </c>
      <c r="G15" t="s">
        <v>32</v>
      </c>
      <c r="K15" t="s">
        <v>24</v>
      </c>
      <c r="L15" t="s">
        <v>24</v>
      </c>
      <c r="M15" t="s">
        <v>24</v>
      </c>
      <c r="N15" t="s">
        <v>24</v>
      </c>
      <c r="O15" t="s">
        <v>24</v>
      </c>
      <c r="P15" t="s">
        <v>24</v>
      </c>
      <c r="Q15" t="s">
        <v>24</v>
      </c>
      <c r="R15">
        <v>5</v>
      </c>
      <c r="S15">
        <v>1</v>
      </c>
      <c r="T15" t="s">
        <v>24</v>
      </c>
      <c r="U15" t="s">
        <v>47</v>
      </c>
      <c r="W15" t="s">
        <v>1881</v>
      </c>
    </row>
    <row r="16" spans="1:23" ht="409.5">
      <c r="A16" t="s">
        <v>104</v>
      </c>
      <c r="B16" t="s">
        <v>123</v>
      </c>
      <c r="C16" t="s">
        <v>85</v>
      </c>
      <c r="D16">
        <v>1</v>
      </c>
      <c r="E16" t="s">
        <v>42</v>
      </c>
      <c r="G16" t="s">
        <v>36</v>
      </c>
      <c r="K16" t="s">
        <v>24</v>
      </c>
      <c r="L16" t="s">
        <v>24</v>
      </c>
      <c r="M16" t="s">
        <v>24</v>
      </c>
      <c r="N16" t="s">
        <v>24</v>
      </c>
      <c r="O16" t="s">
        <v>24</v>
      </c>
      <c r="P16" t="s">
        <v>24</v>
      </c>
      <c r="Q16" t="s">
        <v>24</v>
      </c>
      <c r="S16">
        <v>1</v>
      </c>
      <c r="T16" t="s">
        <v>24</v>
      </c>
      <c r="U16" s="22" t="s">
        <v>103</v>
      </c>
      <c r="W16" t="s">
        <v>1881</v>
      </c>
    </row>
    <row r="17" spans="1:23">
      <c r="A17" t="s">
        <v>104</v>
      </c>
      <c r="B17" t="s">
        <v>122</v>
      </c>
      <c r="C17" t="s">
        <v>66</v>
      </c>
      <c r="D17">
        <v>10</v>
      </c>
      <c r="E17" t="s">
        <v>83</v>
      </c>
      <c r="G17" t="s">
        <v>27</v>
      </c>
      <c r="K17" t="s">
        <v>24</v>
      </c>
      <c r="L17" t="s">
        <v>24</v>
      </c>
      <c r="M17" t="s">
        <v>24</v>
      </c>
      <c r="N17" t="s">
        <v>24</v>
      </c>
      <c r="O17" t="s">
        <v>24</v>
      </c>
      <c r="P17" t="s">
        <v>24</v>
      </c>
      <c r="Q17" t="s">
        <v>24</v>
      </c>
      <c r="S17">
        <v>2</v>
      </c>
      <c r="T17" t="s">
        <v>24</v>
      </c>
      <c r="U17" t="s">
        <v>84</v>
      </c>
      <c r="W17" t="s">
        <v>1883</v>
      </c>
    </row>
    <row r="18" spans="1:23">
      <c r="A18" t="s">
        <v>104</v>
      </c>
      <c r="B18" t="s">
        <v>121</v>
      </c>
      <c r="C18" t="s">
        <v>66</v>
      </c>
      <c r="D18">
        <v>9</v>
      </c>
      <c r="E18" t="s">
        <v>80</v>
      </c>
      <c r="G18" t="s">
        <v>27</v>
      </c>
      <c r="J18" t="s">
        <v>82</v>
      </c>
      <c r="K18" t="s">
        <v>24</v>
      </c>
      <c r="L18" t="s">
        <v>24</v>
      </c>
      <c r="M18" t="s">
        <v>24</v>
      </c>
      <c r="N18" t="s">
        <v>24</v>
      </c>
      <c r="O18" t="s">
        <v>24</v>
      </c>
      <c r="P18" t="s">
        <v>24</v>
      </c>
      <c r="Q18" t="s">
        <v>24</v>
      </c>
      <c r="S18">
        <v>3</v>
      </c>
      <c r="T18" t="s">
        <v>24</v>
      </c>
      <c r="U18" t="s">
        <v>81</v>
      </c>
      <c r="V18" t="s">
        <v>76</v>
      </c>
      <c r="W18" t="s">
        <v>1883</v>
      </c>
    </row>
    <row r="19" spans="1:23" ht="360">
      <c r="A19" t="s">
        <v>104</v>
      </c>
      <c r="B19" t="s">
        <v>120</v>
      </c>
      <c r="C19" t="s">
        <v>66</v>
      </c>
      <c r="D19">
        <v>8</v>
      </c>
      <c r="E19" t="s">
        <v>79</v>
      </c>
      <c r="G19" t="s">
        <v>30</v>
      </c>
      <c r="I19" t="s">
        <v>39</v>
      </c>
      <c r="K19" t="s">
        <v>24</v>
      </c>
      <c r="L19" t="s">
        <v>24</v>
      </c>
      <c r="M19">
        <v>4</v>
      </c>
      <c r="N19" t="s">
        <v>24</v>
      </c>
      <c r="O19" t="s">
        <v>24</v>
      </c>
      <c r="P19" t="s">
        <v>24</v>
      </c>
      <c r="Q19" t="s">
        <v>24</v>
      </c>
      <c r="R19">
        <v>4</v>
      </c>
      <c r="S19">
        <v>2</v>
      </c>
      <c r="T19" t="s">
        <v>24</v>
      </c>
      <c r="U19" s="22" t="s">
        <v>1880</v>
      </c>
      <c r="W19" t="s">
        <v>1883</v>
      </c>
    </row>
    <row r="20" spans="1:23">
      <c r="A20" t="s">
        <v>104</v>
      </c>
      <c r="B20" t="s">
        <v>119</v>
      </c>
      <c r="C20" t="s">
        <v>66</v>
      </c>
      <c r="D20">
        <v>7</v>
      </c>
      <c r="E20" t="s">
        <v>77</v>
      </c>
      <c r="G20" t="s">
        <v>30</v>
      </c>
      <c r="I20" t="s">
        <v>39</v>
      </c>
      <c r="K20" t="s">
        <v>24</v>
      </c>
      <c r="L20" t="s">
        <v>24</v>
      </c>
      <c r="M20">
        <v>2</v>
      </c>
      <c r="N20" t="s">
        <v>24</v>
      </c>
      <c r="O20" t="s">
        <v>24</v>
      </c>
      <c r="P20" t="s">
        <v>24</v>
      </c>
      <c r="Q20" t="s">
        <v>24</v>
      </c>
      <c r="R20">
        <v>6</v>
      </c>
      <c r="S20">
        <v>3</v>
      </c>
      <c r="T20" t="s">
        <v>24</v>
      </c>
      <c r="U20" t="s">
        <v>78</v>
      </c>
      <c r="V20" t="s">
        <v>138</v>
      </c>
      <c r="W20" t="s">
        <v>1883</v>
      </c>
    </row>
    <row r="21" spans="1:23">
      <c r="A21" t="s">
        <v>104</v>
      </c>
      <c r="B21" t="s">
        <v>118</v>
      </c>
      <c r="C21" t="s">
        <v>66</v>
      </c>
      <c r="D21">
        <v>6</v>
      </c>
      <c r="E21" t="s">
        <v>74</v>
      </c>
      <c r="G21" t="s">
        <v>28</v>
      </c>
      <c r="I21" t="s">
        <v>34</v>
      </c>
      <c r="K21" t="s">
        <v>24</v>
      </c>
      <c r="L21">
        <v>36</v>
      </c>
      <c r="M21">
        <v>3</v>
      </c>
      <c r="N21" t="s">
        <v>24</v>
      </c>
      <c r="O21">
        <v>2</v>
      </c>
      <c r="P21">
        <v>1</v>
      </c>
      <c r="Q21">
        <v>4</v>
      </c>
      <c r="S21">
        <v>2</v>
      </c>
      <c r="T21" t="s">
        <v>24</v>
      </c>
      <c r="U21" t="s">
        <v>75</v>
      </c>
      <c r="V21" t="s">
        <v>76</v>
      </c>
      <c r="W21" t="s">
        <v>1883</v>
      </c>
    </row>
    <row r="22" spans="1:23">
      <c r="A22" t="s">
        <v>104</v>
      </c>
      <c r="B22" t="s">
        <v>117</v>
      </c>
      <c r="C22" t="s">
        <v>66</v>
      </c>
      <c r="D22">
        <v>5</v>
      </c>
      <c r="E22" t="s">
        <v>72</v>
      </c>
      <c r="G22" t="s">
        <v>28</v>
      </c>
      <c r="I22" t="s">
        <v>34</v>
      </c>
      <c r="K22" t="s">
        <v>24</v>
      </c>
      <c r="L22">
        <v>15</v>
      </c>
      <c r="M22">
        <v>2</v>
      </c>
      <c r="N22" t="s">
        <v>24</v>
      </c>
      <c r="O22">
        <v>4</v>
      </c>
      <c r="P22">
        <v>2</v>
      </c>
      <c r="Q22">
        <v>3</v>
      </c>
      <c r="S22">
        <v>3</v>
      </c>
      <c r="T22" t="s">
        <v>24</v>
      </c>
      <c r="U22" t="s">
        <v>134</v>
      </c>
      <c r="V22" t="s">
        <v>73</v>
      </c>
      <c r="W22" t="s">
        <v>1883</v>
      </c>
    </row>
    <row r="23" spans="1:23" ht="409.5">
      <c r="A23" t="s">
        <v>104</v>
      </c>
      <c r="B23" t="s">
        <v>116</v>
      </c>
      <c r="C23" t="s">
        <v>66</v>
      </c>
      <c r="D23">
        <v>4</v>
      </c>
      <c r="E23" t="s">
        <v>70</v>
      </c>
      <c r="G23" t="s">
        <v>28</v>
      </c>
      <c r="I23" t="s">
        <v>41</v>
      </c>
      <c r="K23" t="s">
        <v>24</v>
      </c>
      <c r="L23">
        <v>44</v>
      </c>
      <c r="M23">
        <v>1</v>
      </c>
      <c r="N23" t="s">
        <v>24</v>
      </c>
      <c r="O23">
        <v>4</v>
      </c>
      <c r="P23">
        <v>4</v>
      </c>
      <c r="Q23">
        <v>6</v>
      </c>
      <c r="S23">
        <v>2</v>
      </c>
      <c r="T23" t="s">
        <v>24</v>
      </c>
      <c r="U23" s="22" t="s">
        <v>71</v>
      </c>
      <c r="W23" t="s">
        <v>1883</v>
      </c>
    </row>
    <row r="24" spans="1:23" ht="390">
      <c r="A24" t="s">
        <v>104</v>
      </c>
      <c r="B24" t="s">
        <v>115</v>
      </c>
      <c r="C24" t="s">
        <v>66</v>
      </c>
      <c r="D24">
        <v>3</v>
      </c>
      <c r="E24" t="s">
        <v>68</v>
      </c>
      <c r="F24" t="s">
        <v>23</v>
      </c>
      <c r="G24" t="s">
        <v>30</v>
      </c>
      <c r="I24" t="s">
        <v>39</v>
      </c>
      <c r="K24" t="s">
        <v>24</v>
      </c>
      <c r="L24" t="s">
        <v>24</v>
      </c>
      <c r="M24">
        <v>5</v>
      </c>
      <c r="N24" t="s">
        <v>24</v>
      </c>
      <c r="O24" t="s">
        <v>24</v>
      </c>
      <c r="P24" t="s">
        <v>24</v>
      </c>
      <c r="Q24" t="s">
        <v>24</v>
      </c>
      <c r="R24">
        <v>8</v>
      </c>
      <c r="S24">
        <v>1</v>
      </c>
      <c r="T24">
        <v>5</v>
      </c>
      <c r="U24" s="22" t="s">
        <v>69</v>
      </c>
      <c r="W24" t="s">
        <v>1883</v>
      </c>
    </row>
    <row r="25" spans="1:23" ht="405">
      <c r="A25" t="s">
        <v>104</v>
      </c>
      <c r="B25" t="s">
        <v>114</v>
      </c>
      <c r="C25" t="s">
        <v>66</v>
      </c>
      <c r="D25">
        <v>2</v>
      </c>
      <c r="E25" t="s">
        <v>67</v>
      </c>
      <c r="F25" t="s">
        <v>23</v>
      </c>
      <c r="G25" t="s">
        <v>28</v>
      </c>
      <c r="I25" t="s">
        <v>41</v>
      </c>
      <c r="K25" t="s">
        <v>24</v>
      </c>
      <c r="L25">
        <v>20</v>
      </c>
      <c r="M25">
        <v>3</v>
      </c>
      <c r="N25" t="s">
        <v>24</v>
      </c>
      <c r="O25">
        <v>3</v>
      </c>
      <c r="P25">
        <v>3</v>
      </c>
      <c r="Q25">
        <v>12</v>
      </c>
      <c r="S25">
        <v>1</v>
      </c>
      <c r="T25">
        <v>5</v>
      </c>
      <c r="U25" s="22" t="s">
        <v>133</v>
      </c>
      <c r="W25" t="s">
        <v>1883</v>
      </c>
    </row>
    <row r="26" spans="1:23" ht="409.5">
      <c r="A26" t="s">
        <v>104</v>
      </c>
      <c r="B26" t="s">
        <v>113</v>
      </c>
      <c r="C26" t="s">
        <v>66</v>
      </c>
      <c r="D26">
        <v>1</v>
      </c>
      <c r="E26" t="s">
        <v>44</v>
      </c>
      <c r="G26" t="s">
        <v>36</v>
      </c>
      <c r="K26" t="s">
        <v>24</v>
      </c>
      <c r="L26" t="s">
        <v>24</v>
      </c>
      <c r="M26" t="s">
        <v>24</v>
      </c>
      <c r="N26" t="s">
        <v>24</v>
      </c>
      <c r="O26" t="s">
        <v>24</v>
      </c>
      <c r="P26" t="s">
        <v>24</v>
      </c>
      <c r="Q26" t="s">
        <v>24</v>
      </c>
      <c r="S26">
        <v>1</v>
      </c>
      <c r="T26" t="s">
        <v>24</v>
      </c>
      <c r="U26" s="22" t="s">
        <v>102</v>
      </c>
      <c r="W26" t="s">
        <v>1883</v>
      </c>
    </row>
    <row r="27" spans="1:23">
      <c r="A27" t="s">
        <v>104</v>
      </c>
      <c r="B27" t="s">
        <v>112</v>
      </c>
      <c r="C27" t="s">
        <v>55</v>
      </c>
      <c r="D27">
        <v>8</v>
      </c>
      <c r="E27" t="s">
        <v>64</v>
      </c>
      <c r="G27" t="s">
        <v>27</v>
      </c>
      <c r="J27" t="s">
        <v>33</v>
      </c>
      <c r="K27" t="s">
        <v>24</v>
      </c>
      <c r="L27" t="s">
        <v>24</v>
      </c>
      <c r="M27" t="s">
        <v>24</v>
      </c>
      <c r="N27" t="s">
        <v>24</v>
      </c>
      <c r="O27" t="s">
        <v>24</v>
      </c>
      <c r="P27" t="s">
        <v>24</v>
      </c>
      <c r="Q27" t="s">
        <v>24</v>
      </c>
      <c r="S27">
        <v>3</v>
      </c>
      <c r="T27" t="s">
        <v>24</v>
      </c>
      <c r="U27" t="s">
        <v>65</v>
      </c>
      <c r="V27" t="s">
        <v>139</v>
      </c>
      <c r="W27" t="s">
        <v>1882</v>
      </c>
    </row>
    <row r="28" spans="1:23" ht="270">
      <c r="A28" t="s">
        <v>104</v>
      </c>
      <c r="B28" t="s">
        <v>111</v>
      </c>
      <c r="C28" t="s">
        <v>55</v>
      </c>
      <c r="D28">
        <v>7</v>
      </c>
      <c r="E28" t="s">
        <v>62</v>
      </c>
      <c r="G28" t="s">
        <v>30</v>
      </c>
      <c r="I28" t="s">
        <v>45</v>
      </c>
      <c r="J28" t="s">
        <v>35</v>
      </c>
      <c r="K28" t="s">
        <v>24</v>
      </c>
      <c r="L28" t="s">
        <v>24</v>
      </c>
      <c r="M28">
        <v>3</v>
      </c>
      <c r="N28" t="s">
        <v>24</v>
      </c>
      <c r="O28" t="s">
        <v>24</v>
      </c>
      <c r="P28" t="s">
        <v>24</v>
      </c>
      <c r="Q28" t="s">
        <v>24</v>
      </c>
      <c r="R28">
        <v>1</v>
      </c>
      <c r="S28">
        <v>3</v>
      </c>
      <c r="T28" t="s">
        <v>24</v>
      </c>
      <c r="U28" s="22" t="s">
        <v>63</v>
      </c>
      <c r="W28" t="s">
        <v>1882</v>
      </c>
    </row>
    <row r="29" spans="1:23" ht="240">
      <c r="A29" t="s">
        <v>104</v>
      </c>
      <c r="B29" t="s">
        <v>110</v>
      </c>
      <c r="C29" t="s">
        <v>55</v>
      </c>
      <c r="D29">
        <v>6</v>
      </c>
      <c r="E29" t="s">
        <v>60</v>
      </c>
      <c r="G29" t="s">
        <v>30</v>
      </c>
      <c r="I29" t="s">
        <v>40</v>
      </c>
      <c r="K29" t="s">
        <v>24</v>
      </c>
      <c r="L29" t="s">
        <v>24</v>
      </c>
      <c r="M29" t="s">
        <v>31</v>
      </c>
      <c r="N29" t="s">
        <v>24</v>
      </c>
      <c r="O29" t="s">
        <v>24</v>
      </c>
      <c r="P29" t="s">
        <v>24</v>
      </c>
      <c r="Q29" t="s">
        <v>24</v>
      </c>
      <c r="R29" t="s">
        <v>31</v>
      </c>
      <c r="S29">
        <v>3</v>
      </c>
      <c r="T29" t="s">
        <v>24</v>
      </c>
      <c r="U29" s="22" t="s">
        <v>61</v>
      </c>
      <c r="V29" t="s">
        <v>141</v>
      </c>
      <c r="W29" t="s">
        <v>1882</v>
      </c>
    </row>
    <row r="30" spans="1:23">
      <c r="A30" t="s">
        <v>104</v>
      </c>
      <c r="B30" t="s">
        <v>109</v>
      </c>
      <c r="C30" t="s">
        <v>55</v>
      </c>
      <c r="D30">
        <v>5</v>
      </c>
      <c r="E30" t="s">
        <v>57</v>
      </c>
      <c r="G30" t="s">
        <v>28</v>
      </c>
      <c r="I30" t="s">
        <v>29</v>
      </c>
      <c r="J30" t="s">
        <v>33</v>
      </c>
      <c r="K30" t="s">
        <v>24</v>
      </c>
      <c r="L30">
        <v>0</v>
      </c>
      <c r="M30">
        <v>1</v>
      </c>
      <c r="N30" t="s">
        <v>24</v>
      </c>
      <c r="O30">
        <v>7</v>
      </c>
      <c r="P30">
        <v>7</v>
      </c>
      <c r="Q30">
        <v>8</v>
      </c>
      <c r="S30">
        <v>2</v>
      </c>
      <c r="T30" t="s">
        <v>24</v>
      </c>
      <c r="U30" t="s">
        <v>58</v>
      </c>
      <c r="V30" t="s">
        <v>59</v>
      </c>
      <c r="W30" t="s">
        <v>1882</v>
      </c>
    </row>
    <row r="31" spans="1:23" ht="255">
      <c r="A31" t="s">
        <v>104</v>
      </c>
      <c r="B31" t="s">
        <v>108</v>
      </c>
      <c r="C31" t="s">
        <v>55</v>
      </c>
      <c r="D31">
        <v>4</v>
      </c>
      <c r="E31" t="s">
        <v>56</v>
      </c>
      <c r="G31" t="s">
        <v>28</v>
      </c>
      <c r="I31" t="s">
        <v>34</v>
      </c>
      <c r="K31" t="s">
        <v>24</v>
      </c>
      <c r="L31">
        <v>50</v>
      </c>
      <c r="M31">
        <v>3</v>
      </c>
      <c r="N31" t="s">
        <v>24</v>
      </c>
      <c r="O31">
        <v>2</v>
      </c>
      <c r="P31">
        <v>2</v>
      </c>
      <c r="Q31">
        <v>4</v>
      </c>
      <c r="S31">
        <v>3</v>
      </c>
      <c r="T31" t="s">
        <v>24</v>
      </c>
      <c r="U31" s="22" t="s">
        <v>132</v>
      </c>
      <c r="V31" t="s">
        <v>140</v>
      </c>
      <c r="W31" t="s">
        <v>1882</v>
      </c>
    </row>
    <row r="32" spans="1:23">
      <c r="A32" t="s">
        <v>104</v>
      </c>
      <c r="B32" t="s">
        <v>107</v>
      </c>
      <c r="C32" t="s">
        <v>55</v>
      </c>
      <c r="D32">
        <v>3</v>
      </c>
      <c r="E32" t="s">
        <v>94</v>
      </c>
      <c r="G32" t="s">
        <v>28</v>
      </c>
      <c r="I32" t="s">
        <v>34</v>
      </c>
      <c r="K32" t="s">
        <v>24</v>
      </c>
      <c r="L32">
        <v>20</v>
      </c>
      <c r="M32">
        <v>1</v>
      </c>
      <c r="N32" t="s">
        <v>24</v>
      </c>
      <c r="O32">
        <v>4</v>
      </c>
      <c r="P32">
        <v>3</v>
      </c>
      <c r="Q32">
        <v>5</v>
      </c>
      <c r="S32">
        <v>4</v>
      </c>
      <c r="T32" t="s">
        <v>24</v>
      </c>
      <c r="U32" t="s">
        <v>96</v>
      </c>
      <c r="V32" t="s">
        <v>98</v>
      </c>
      <c r="W32" t="s">
        <v>1882</v>
      </c>
    </row>
    <row r="33" spans="1:23">
      <c r="A33" t="s">
        <v>104</v>
      </c>
      <c r="B33" t="s">
        <v>106</v>
      </c>
      <c r="C33" t="s">
        <v>55</v>
      </c>
      <c r="D33">
        <v>2</v>
      </c>
      <c r="E33" t="s">
        <v>1879</v>
      </c>
      <c r="G33" t="s">
        <v>32</v>
      </c>
      <c r="K33" t="s">
        <v>24</v>
      </c>
      <c r="L33" t="s">
        <v>24</v>
      </c>
      <c r="M33" t="s">
        <v>24</v>
      </c>
      <c r="N33" t="s">
        <v>24</v>
      </c>
      <c r="O33" t="s">
        <v>24</v>
      </c>
      <c r="P33" t="s">
        <v>24</v>
      </c>
      <c r="Q33" t="s">
        <v>24</v>
      </c>
      <c r="R33" t="s">
        <v>31</v>
      </c>
      <c r="S33">
        <v>1</v>
      </c>
      <c r="T33" t="s">
        <v>24</v>
      </c>
      <c r="U33" t="s">
        <v>101</v>
      </c>
      <c r="W33" t="s">
        <v>1882</v>
      </c>
    </row>
    <row r="34" spans="1:23" ht="409.5">
      <c r="A34" t="s">
        <v>104</v>
      </c>
      <c r="B34" t="s">
        <v>105</v>
      </c>
      <c r="C34" t="s">
        <v>55</v>
      </c>
      <c r="D34">
        <v>1</v>
      </c>
      <c r="E34" t="s">
        <v>43</v>
      </c>
      <c r="G34" t="s">
        <v>36</v>
      </c>
      <c r="K34" t="s">
        <v>24</v>
      </c>
      <c r="L34" t="s">
        <v>24</v>
      </c>
      <c r="M34" t="s">
        <v>24</v>
      </c>
      <c r="N34" t="s">
        <v>24</v>
      </c>
      <c r="O34" t="s">
        <v>24</v>
      </c>
      <c r="P34" t="s">
        <v>24</v>
      </c>
      <c r="Q34" t="s">
        <v>24</v>
      </c>
      <c r="S34">
        <v>1</v>
      </c>
      <c r="T34" t="s">
        <v>24</v>
      </c>
      <c r="U34" s="22" t="s">
        <v>100</v>
      </c>
      <c r="W34" t="s">
        <v>1882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2017-12-19T23:46:49Z</dcterms:modified>
</cp:coreProperties>
</file>