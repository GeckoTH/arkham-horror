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codeName="ThisWorkbook" defaultThemeVersion="124226"/>
  <mc:AlternateContent xmlns:mc="http://schemas.openxmlformats.org/markup-compatibility/2006">
    <mc:Choice Requires="x15">
      <x15ac:absPath xmlns:x15ac="http://schemas.microsoft.com/office/spreadsheetml/2010/11/ac" url="D:\arkham_octgn\"/>
    </mc:Choice>
  </mc:AlternateContent>
  <xr:revisionPtr revIDLastSave="0" documentId="13_ncr:1_{1EA94FAE-4A56-499A-B264-1A7428B3D327}" xr6:coauthVersionLast="45" xr6:coauthVersionMax="45" xr10:uidLastSave="{00000000-0000-0000-0000-000000000000}"/>
  <bookViews>
    <workbookView xWindow="-120" yWindow="-120" windowWidth="29040" windowHeight="15840" activeTab="1" xr2:uid="{00000000-000D-0000-FFFF-FFFF00000000}"/>
  </bookViews>
  <sheets>
    <sheet name="Sets" sheetId="2" r:id="rId1"/>
    <sheet name="Card Data" sheetId="1" r:id="rId2"/>
    <sheet name="Special Characters" sheetId="7" r:id="rId3"/>
    <sheet name="Tables" sheetId="4" state="hidden" r:id="rId4"/>
    <sheet name="Sheet2" sheetId="6" state="hidden" r:id="rId5"/>
  </sheets>
  <functionGroups builtInGroupCount="19"/>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91029"/>
  <fileRecoveryPr repairLoad="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A31" i="2" l="1"/>
  <c r="Z31" i="2"/>
  <c r="Y31" i="2"/>
  <c r="X31" i="2"/>
  <c r="W31" i="2"/>
  <c r="V31" i="2"/>
  <c r="T31" i="2"/>
  <c r="S31" i="2"/>
  <c r="R31" i="2"/>
  <c r="Q31" i="2"/>
  <c r="P31" i="2"/>
  <c r="O31" i="2"/>
  <c r="N31" i="2"/>
  <c r="L31" i="2"/>
  <c r="K31" i="2"/>
  <c r="J31" i="2"/>
  <c r="I31" i="2"/>
  <c r="H31" i="2"/>
  <c r="G31" i="2"/>
  <c r="Z29" i="2" l="1"/>
  <c r="AA30" i="2"/>
  <c r="Z30" i="2"/>
  <c r="Y30" i="2"/>
  <c r="X30" i="2"/>
  <c r="W30" i="2"/>
  <c r="V30" i="2"/>
  <c r="T30" i="2"/>
  <c r="S30" i="2"/>
  <c r="R30" i="2"/>
  <c r="Q30" i="2"/>
  <c r="P30" i="2"/>
  <c r="O30" i="2"/>
  <c r="N30" i="2"/>
  <c r="L30" i="2"/>
  <c r="K30" i="2"/>
  <c r="J30" i="2"/>
  <c r="I30" i="2" s="1"/>
  <c r="H30" i="2"/>
  <c r="G30" i="2"/>
  <c r="AA29" i="2" l="1"/>
  <c r="AA28" i="2"/>
  <c r="Z28" i="2"/>
  <c r="Y29" i="2"/>
  <c r="Y28" i="2"/>
  <c r="X29" i="2"/>
  <c r="X28" i="2"/>
  <c r="W29" i="2"/>
  <c r="W28" i="2"/>
  <c r="V29" i="2"/>
  <c r="V28" i="2"/>
  <c r="T29" i="2"/>
  <c r="T28" i="2"/>
  <c r="S29" i="2"/>
  <c r="S28" i="2"/>
  <c r="R29" i="2"/>
  <c r="R28" i="2"/>
  <c r="Q29" i="2"/>
  <c r="Q28" i="2"/>
  <c r="P29" i="2"/>
  <c r="P28" i="2"/>
  <c r="O29" i="2"/>
  <c r="O28" i="2"/>
  <c r="N29" i="2"/>
  <c r="N28" i="2"/>
  <c r="L29" i="2"/>
  <c r="L28" i="2"/>
  <c r="K29" i="2"/>
  <c r="K28" i="2"/>
  <c r="J29" i="2"/>
  <c r="I29" i="2" s="1"/>
  <c r="J28" i="2"/>
  <c r="I28" i="2" s="1"/>
  <c r="H29" i="2"/>
  <c r="H28" i="2"/>
  <c r="G29" i="2"/>
  <c r="G28" i="2"/>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s="1"/>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<sst xmlns="http://schemas.openxmlformats.org/spreadsheetml/2006/main" count="23506" uniqueCount="7825">
  <si>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</si>
  <si>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</si>
  <si>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</si>
  <si>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</si>
  <si>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</si>
  <si>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</si>
  <si>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</si>
  <si>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</si>
  <si>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</si>
  <si>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</si>
  <si>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</si>
  <si>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</si>
  <si>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</si>
  <si>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</si>
  <si>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</si>
  <si>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</si>
  <si>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</si>
  <si>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</si>
  <si>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</si>
  <si>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</si>
  <si>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</si>
  <si>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</si>
  <si>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</si>
  <si>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</si>
  <si>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</si>
  <si>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</si>
  <si>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</si>
  <si>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</si>
  <si>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</si>
  <si>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</si>
  <si>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</si>
  <si>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</si>
  <si>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</si>
  <si>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</si>
  <si>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</si>
  <si>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</si>
  <si>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</si>
  <si>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</si>
  <si>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</si>
  <si>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</si>
  <si>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</si>
  <si>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</si>
  <si>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</si>
  <si>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</si>
  <si>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</si>
  <si>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</si>
  <si>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</si>
  <si>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</si>
  <si>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</si>
  <si>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</si>
  <si>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</si>
  <si>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</si>
  <si>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</si>
  <si>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</si>
  <si>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</si>
  <si>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</si>
  <si>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</si>
  <si>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</si>
  <si>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</si>
  <si>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</si>
  <si>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</si>
  <si>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</si>
  <si>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</si>
  <si>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</si>
  <si>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</si>
  <si>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</si>
  <si>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</si>
  <si>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</si>
  <si>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</si>
  <si>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</si>
  <si>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</si>
  <si>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</si>
  <si>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</si>
  <si>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</si>
  <si>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</si>
  <si>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</si>
  <si>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</si>
  <si>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</si>
  <si>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</si>
  <si>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</si>
  <si>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</si>
  <si>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</si>
  <si>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</si>
  <si>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</si>
  <si>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</si>
  <si>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</si>
  <si>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</si>
  <si>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</si>
  <si>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</si>
  <si>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</si>
  <si>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</si>
  <si>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</si>
  <si>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</si>
  <si>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</si>
  <si>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</si>
  <si>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</si>
  <si>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</si>
  <si>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</si>
  <si>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</si>
  <si>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</si>
  <si>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</si>
  <si>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</si>
  <si>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</si>
  <si>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</si>
  <si>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</si>
  <si>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</si>
  <si>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</si>
  <si>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</si>
  <si>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</si>
  <si>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</si>
  <si>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</si>
  <si>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</si>
  <si>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</si>
  <si>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</si>
  <si>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</si>
  <si>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</si>
  <si>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</si>
  <si>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</si>
  <si>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</si>
  <si>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</si>
  <si>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</si>
  <si>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</si>
  <si>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</si>
  <si>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</si>
  <si>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</si>
  <si>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</si>
  <si>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</si>
  <si>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</si>
  <si>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</si>
  <si>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</si>
  <si>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</si>
  <si>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</si>
  <si>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</si>
  <si>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</si>
  <si>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</si>
  <si>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</si>
  <si>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</si>
  <si>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</si>
  <si>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</si>
  <si>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</si>
  <si>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</si>
  <si>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</si>
  <si>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</si>
  <si>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</si>
  <si>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</si>
  <si>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</si>
  <si>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</si>
  <si>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</si>
  <si>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</si>
  <si>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</si>
  <si>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</si>
  <si>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</si>
  <si>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</si>
  <si>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</si>
  <si>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</si>
  <si>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</si>
  <si>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</si>
  <si>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</si>
  <si>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</si>
  <si>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</si>
  <si>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</si>
  <si>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</si>
  <si>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</si>
  <si>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</si>
  <si>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</si>
  <si>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</si>
  <si>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</si>
  <si>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</si>
  <si>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</si>
  <si>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</si>
  <si>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</si>
  <si>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</si>
  <si>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</si>
  <si>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</si>
  <si>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</si>
  <si>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</si>
  <si>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</si>
  <si>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</si>
  <si>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</si>
  <si>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</si>
  <si>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</si>
  <si>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</si>
  <si>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</si>
  <si>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</si>
  <si>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</si>
  <si>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</si>
  <si>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</si>
  <si>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</si>
  <si>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</si>
  <si>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</si>
  <si>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</si>
  <si>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</si>
  <si>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</si>
  <si>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</si>
  <si>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</si>
  <si>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</si>
  <si>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</si>
  <si>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</si>
  <si>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</si>
  <si>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</si>
  <si>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</si>
  <si>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</si>
  <si>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</si>
  <si>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</si>
  <si>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</si>
  <si>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</si>
  <si>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</si>
  <si>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</si>
  <si>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</si>
  <si>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</si>
  <si>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</si>
  <si>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</si>
  <si>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</si>
  <si>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</si>
  <si>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</si>
  <si>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</si>
  <si>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</si>
  <si>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</si>
  <si>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</si>
  <si>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</si>
  <si>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</si>
  <si>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</si>
  <si>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</si>
  <si>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</si>
  <si>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</si>
  <si>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</si>
  <si>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</si>
  <si>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</si>
  <si>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</si>
  <si>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</si>
  <si>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</si>
  <si>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</si>
  <si>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</si>
  <si>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</si>
  <si>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</si>
  <si>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</si>
  <si>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</si>
  <si>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</si>
  <si>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</si>
  <si>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</si>
  <si>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</si>
  <si>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</si>
  <si>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</si>
  <si>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</si>
  <si>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</si>
  <si>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</si>
  <si>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</si>
  <si>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</si>
  <si>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</si>
  <si>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</si>
  <si>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</si>
  <si>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</si>
  <si>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</si>
  <si>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</si>
  <si>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</si>
  <si>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</si>
  <si>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</si>
  <si>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</si>
  <si>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</si>
  <si>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</si>
  <si>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</si>
  <si>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</si>
  <si>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</si>
  <si>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</si>
  <si>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</si>
  <si>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</si>
  <si>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</si>
  <si>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</si>
  <si>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</si>
  <si>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</si>
  <si>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</si>
  <si>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</si>
  <si>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</si>
  <si>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</si>
  <si>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</si>
  <si>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</si>
  <si>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</si>
  <si>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</si>
  <si>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</si>
  <si>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</si>
  <si>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</si>
  <si>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</si>
  <si>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</si>
  <si>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</si>
  <si>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</si>
  <si>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</si>
  <si>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</si>
  <si>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</si>
  <si>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</si>
  <si>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</si>
  <si>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</si>
  <si>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</si>
  <si>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</si>
  <si>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</si>
  <si>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</si>
  <si>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</si>
  <si>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</si>
  <si>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</si>
  <si>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</si>
  <si>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</si>
  <si>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</si>
  <si>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</si>
  <si>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</si>
  <si>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</si>
  <si>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</si>
  <si>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</si>
  <si>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</si>
  <si>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</si>
  <si>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</si>
  <si>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</si>
  <si>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</si>
  <si>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</si>
  <si>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</si>
  <si>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</si>
  <si>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</si>
  <si>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</si>
  <si>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</si>
  <si>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</si>
  <si>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</si>
  <si>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</si>
  <si>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</si>
  <si>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</si>
  <si>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</si>
  <si>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</si>
  <si>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</si>
  <si>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</si>
  <si>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</si>
  <si>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</si>
  <si>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</si>
  <si>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</si>
  <si>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</si>
  <si>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</si>
  <si>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</si>
  <si>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</si>
  <si>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</si>
  <si>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</si>
  <si>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</si>
  <si>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</si>
  <si>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</si>
  <si>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</si>
  <si>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</si>
  <si>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</si>
  <si>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</si>
  <si>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</si>
  <si>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</si>
  <si>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</si>
  <si>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</si>
  <si>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</si>
  <si>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</si>
  <si>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</si>
  <si>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</si>
  <si>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</si>
  <si>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</si>
  <si>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</si>
  <si>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</si>
  <si>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</si>
  <si>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</si>
  <si>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</si>
  <si>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</si>
  <si>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</si>
  <si>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</si>
  <si>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</si>
  <si>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</si>
  <si>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</si>
  <si>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</si>
  <si>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</si>
  <si>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</si>
  <si>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</si>
  <si>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</si>
  <si>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</si>
  <si>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</si>
  <si>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</si>
  <si>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</si>
  <si>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</si>
  <si>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</si>
  <si>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</si>
  <si>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</si>
  <si>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</si>
  <si>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</si>
  <si>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</si>
  <si>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</si>
  <si>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</si>
  <si>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</si>
  <si>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</si>
  <si>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</si>
  <si>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</si>
  <si>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</si>
  <si>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</si>
  <si>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</si>
  <si>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</si>
  <si>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</si>
  <si>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</si>
  <si>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</si>
  <si>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</si>
  <si>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</si>
  <si>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</si>
  <si>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</si>
  <si>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</si>
  <si>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</si>
  <si>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</si>
  <si>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</si>
  <si>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</si>
  <si>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</si>
  <si>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</si>
  <si>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</si>
  <si>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</si>
  <si>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</si>
  <si>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</si>
  <si>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</si>
  <si>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</si>
  <si>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</si>
  <si>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</si>
  <si>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</si>
  <si>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</si>
  <si>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</si>
  <si>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</si>
  <si>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</si>
  <si>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</si>
  <si>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</si>
  <si>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</si>
  <si>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</si>
  <si>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</si>
  <si>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</si>
  <si>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</si>
  <si>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</si>
  <si>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</si>
  <si>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</si>
  <si>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</si>
  <si>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</si>
  <si>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</si>
  <si>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</si>
  <si>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</si>
  <si>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</si>
  <si>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</si>
  <si>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</si>
  <si>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</si>
  <si>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</si>
  <si>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</si>
  <si>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</si>
  <si>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</si>
  <si>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</si>
  <si>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</si>
  <si>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</si>
  <si>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</si>
  <si>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</si>
  <si>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</si>
  <si>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</si>
  <si>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</si>
  <si>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</si>
  <si>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</si>
  <si>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</si>
  <si>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</si>
  <si>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</si>
  <si>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</si>
  <si>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</si>
  <si>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</si>
  <si>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</si>
  <si>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</si>
  <si>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</si>
  <si>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</si>
  <si>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</si>
  <si>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</si>
  <si>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</si>
  <si>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</si>
  <si>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</si>
  <si>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</si>
  <si>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</si>
  <si>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</si>
  <si>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</si>
  <si>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</si>
  <si>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</si>
  <si>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</si>
  <si>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</si>
  <si>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</si>
  <si>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</si>
  <si>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</si>
  <si>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</si>
  <si>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</si>
  <si>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</si>
  <si>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</si>
  <si>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</si>
  <si>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</si>
  <si>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</si>
  <si>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</si>
  <si>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</si>
  <si>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</si>
  <si>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</si>
  <si>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</si>
  <si>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</si>
  <si>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</si>
  <si>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</si>
  <si>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</si>
  <si>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</si>
  <si>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</si>
  <si>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</si>
  <si>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</si>
  <si>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</si>
  <si>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</si>
  <si>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</si>
  <si>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</si>
  <si>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</si>
  <si>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</si>
  <si>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</si>
  <si>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</si>
  <si>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</si>
  <si>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</si>
  <si>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</si>
  <si>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</si>
  <si>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</si>
  <si>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</si>
  <si>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</si>
  <si>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</si>
  <si>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</si>
  <si>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</si>
  <si>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</si>
  <si>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</si>
  <si>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</si>
  <si>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</si>
  <si>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</si>
  <si>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</si>
  <si>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</si>
  <si>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</si>
  <si>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</si>
  <si>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</si>
  <si>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</si>
  <si>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</si>
  <si>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</si>
  <si>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</si>
  <si>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</si>
  <si>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</si>
  <si>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</si>
  <si>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</si>
  <si>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</si>
  <si>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</si>
  <si>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</si>
  <si>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</si>
  <si>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</si>
  <si>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</si>
  <si>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</si>
  <si>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</si>
  <si>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</si>
  <si>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</si>
  <si>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</si>
  <si>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</si>
  <si>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</si>
  <si>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</si>
  <si>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</si>
  <si>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</si>
  <si>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</si>
  <si>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</si>
  <si>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</si>
  <si>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</si>
  <si>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</si>
  <si>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</si>
  <si>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</si>
  <si>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</si>
  <si>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</si>
  <si>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</si>
  <si>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</si>
  <si>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</si>
  <si>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</si>
  <si>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</si>
  <si>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</si>
  <si>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</si>
  <si>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</si>
  <si>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</si>
  <si>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</si>
  <si>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</si>
  <si>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</si>
  <si>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</si>
  <si>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</si>
  <si>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</si>
  <si>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</si>
  <si>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</si>
  <si>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</si>
  <si>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</si>
  <si>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</si>
  <si>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</si>
  <si>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</si>
  <si>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</si>
  <si>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</si>
  <si>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</si>
  <si>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</si>
  <si>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</si>
  <si>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</si>
  <si>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</si>
  <si>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</si>
  <si>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</si>
  <si>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</si>
  <si>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</si>
  <si>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</si>
  <si>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</si>
  <si>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</si>
  <si>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</si>
  <si>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</si>
  <si>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</si>
  <si>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</si>
  <si>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</si>
  <si>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</si>
  <si>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</si>
  <si>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</si>
  <si>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</si>
  <si>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</si>
  <si>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</si>
  <si>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</si>
  <si>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</si>
  <si>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</si>
  <si>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</si>
  <si>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</si>
  <si>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</si>
  <si>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</si>
  <si>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</si>
  <si>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</si>
  <si>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</si>
  <si>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</si>
  <si>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</si>
  <si>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</si>
  <si>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</si>
  <si>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</si>
  <si>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</si>
  <si>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</si>
  <si>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</si>
  <si>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</si>
  <si>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</si>
  <si>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</si>
  <si>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</si>
  <si>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</si>
  <si>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</si>
  <si>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</si>
  <si>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</si>
  <si>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</si>
  <si>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</si>
  <si>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</si>
  <si>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</si>
  <si>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</si>
  <si>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</si>
  <si>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</si>
  <si>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</si>
  <si>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</si>
  <si>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</si>
  <si>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</si>
  <si>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</si>
  <si>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</si>
  <si>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</si>
  <si>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</si>
  <si>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</si>
  <si>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</si>
  <si>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</si>
  <si>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</si>
  <si>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</si>
  <si>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</si>
  <si>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</si>
  <si>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</si>
  <si>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</si>
  <si>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</si>
  <si>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</si>
  <si>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</si>
  <si>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</si>
  <si>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</si>
  <si>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</si>
  <si>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</si>
  <si>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</si>
  <si>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</si>
  <si>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</si>
  <si>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</si>
  <si>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</si>
  <si>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</si>
  <si>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</si>
  <si>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</si>
  <si>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</si>
  <si>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</si>
  <si>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</si>
  <si>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</si>
  <si>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</si>
  <si>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</si>
  <si>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</si>
  <si>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</si>
  <si>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</si>
  <si>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</si>
  <si>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</si>
  <si>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</si>
  <si>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</si>
  <si>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</si>
  <si>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</si>
  <si>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</si>
  <si>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</si>
  <si>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</si>
  <si>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</si>
  <si>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</si>
  <si>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</si>
  <si>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</si>
  <si>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</si>
  <si>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</si>
  <si>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</si>
  <si>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</si>
  <si>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</si>
  <si>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</si>
  <si>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</si>
  <si>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</si>
  <si>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</si>
  <si>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</si>
  <si>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</si>
  <si>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</si>
  <si>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</si>
  <si>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</si>
  <si>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</si>
  <si>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</si>
  <si>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</si>
  <si>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</si>
  <si>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</si>
  <si>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</si>
  <si>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</si>
  <si>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</si>
  <si>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</si>
  <si>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</si>
  <si>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</si>
  <si>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</si>
  <si>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</si>
  <si>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</si>
  <si>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</si>
  <si>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</si>
  <si>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</si>
  <si>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</si>
  <si>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</si>
  <si>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</si>
  <si>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</si>
  <si>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</si>
  <si>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</si>
  <si>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</si>
  <si>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</si>
  <si>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</si>
  <si>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</si>
  <si>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</si>
  <si>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</si>
  <si>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</si>
  <si>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</si>
  <si>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</si>
  <si>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</si>
  <si>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</si>
  <si>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</si>
  <si>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</si>
  <si>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</si>
  <si>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</si>
  <si>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</si>
  <si>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</si>
  <si>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</si>
  <si>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</si>
  <si>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</si>
  <si>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</si>
  <si>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</si>
  <si>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</si>
  <si>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</si>
  <si>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</si>
  <si>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</si>
  <si>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</si>
  <si>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</si>
  <si>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</si>
  <si>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</si>
  <si>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</si>
  <si>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</si>
  <si>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</si>
  <si>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</si>
  <si>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</si>
  <si>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</si>
  <si>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</si>
  <si>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</si>
  <si>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</si>
  <si>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</si>
  <si>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</si>
  <si>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</si>
  <si>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</si>
  <si>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</si>
  <si>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</si>
  <si>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</si>
  <si>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</si>
  <si>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</si>
  <si>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</si>
  <si>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</si>
  <si>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</si>
  <si>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</si>
  <si>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</si>
  <si>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</si>
  <si>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</si>
  <si>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</si>
  <si>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</si>
  <si>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</si>
  <si>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</si>
  <si>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</si>
  <si>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</si>
  <si>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</si>
  <si>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</si>
  <si>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</si>
  <si>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</si>
  <si>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</si>
  <si>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</si>
  <si>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</si>
  <si>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</si>
  <si>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</si>
  <si>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</si>
  <si>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</si>
  <si>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</si>
  <si>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</si>
  <si>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</si>
  <si>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</si>
  <si>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</si>
  <si>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</si>
  <si>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</si>
  <si>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</si>
  <si>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</si>
  <si>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</si>
  <si>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</si>
  <si>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</si>
  <si>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</si>
  <si>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</si>
  <si>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</si>
  <si>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</si>
  <si>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</si>
  <si>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</si>
  <si>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</si>
  <si>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</si>
  <si>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</si>
  <si>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</si>
  <si>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</si>
  <si>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</si>
  <si>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</si>
  <si>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</si>
  <si>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</si>
  <si>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</si>
  <si>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</si>
  <si>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</si>
  <si>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</si>
  <si>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</si>
  <si>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</si>
  <si>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</si>
  <si>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</si>
  <si>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</si>
  <si>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</si>
  <si>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</si>
  <si>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</si>
  <si>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</si>
  <si>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</si>
  <si>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</si>
  <si>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</si>
  <si>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</si>
  <si>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</si>
  <si>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</si>
  <si>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</si>
  <si>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</si>
  <si>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</si>
  <si>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</si>
  <si>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</si>
  <si>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</si>
  <si>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</si>
  <si>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</si>
  <si>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</si>
  <si>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</si>
  <si>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</si>
  <si>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</si>
  <si>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</si>
  <si>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</si>
  <si>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</si>
  <si>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</si>
  <si>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</si>
  <si>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</si>
  <si>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</si>
  <si>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</si>
  <si>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</si>
  <si>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</si>
  <si>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</si>
  <si>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</si>
  <si>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</si>
  <si>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</si>
  <si>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</si>
  <si>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</si>
  <si>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</si>
  <si>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</si>
  <si>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</si>
  <si>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</si>
  <si>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</si>
  <si>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</si>
  <si>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</si>
  <si>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</si>
  <si>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</si>
  <si>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</si>
  <si>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</si>
  <si>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</si>
  <si>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</si>
  <si>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</si>
  <si>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</si>
  <si>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</si>
  <si>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</si>
  <si>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</si>
  <si>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</si>
  <si>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</si>
  <si>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</si>
  <si>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</si>
  <si>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</si>
  <si>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</si>
  <si>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</si>
  <si>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</si>
  <si>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</si>
  <si>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</si>
  <si>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</si>
  <si>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</si>
  <si>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</si>
  <si>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</si>
  <si>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</si>
  <si>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</si>
  <si>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</si>
  <si>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</si>
  <si>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</si>
  <si>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</si>
  <si>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</si>
  <si>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</si>
  <si>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</si>
  <si>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</si>
  <si>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</si>
  <si>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</si>
  <si>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</si>
  <si>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</si>
  <si>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</si>
  <si>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</si>
  <si>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</si>
  <si>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</si>
  <si>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</si>
  <si>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</si>
  <si>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</si>
  <si>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</si>
  <si>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</si>
  <si>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</si>
  <si>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</si>
  <si>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</si>
  <si>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</si>
  <si>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</si>
  <si>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</si>
  <si>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</si>
  <si>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</si>
  <si>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</si>
  <si>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</si>
  <si>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</si>
  <si>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</si>
  <si>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</si>
  <si>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</si>
  <si>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</si>
  <si>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</si>
  <si>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</si>
  <si>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</si>
  <si>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</si>
  <si>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</si>
  <si>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</si>
  <si>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</si>
  <si>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</si>
  <si>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</si>
  <si>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</si>
  <si>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</si>
  <si>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</si>
  <si>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</si>
  <si>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</si>
  <si>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</si>
  <si>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</si>
  <si>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</si>
  <si>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</si>
  <si>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</si>
  <si>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</si>
  <si>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</si>
  <si>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</si>
  <si>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</si>
  <si>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</si>
  <si>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</si>
  <si>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</si>
  <si>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</si>
  <si>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</si>
  <si>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</si>
  <si>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</si>
  <si>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</si>
  <si>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</si>
  <si>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</si>
  <si>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</si>
  <si>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</si>
  <si>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</si>
  <si>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</si>
  <si>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</si>
  <si>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</si>
  <si>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</si>
  <si>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</si>
  <si>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</si>
  <si>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</si>
  <si>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</si>
  <si>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</si>
  <si>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</si>
  <si>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</si>
  <si>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</si>
  <si>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</si>
  <si>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</si>
  <si>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</si>
  <si>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</si>
  <si>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</si>
  <si>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</si>
  <si>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</si>
  <si>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</si>
  <si>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</si>
  <si>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</si>
  <si>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</si>
  <si>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</si>
  <si>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</si>
  <si>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</si>
  <si>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</si>
  <si>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</si>
  <si>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</si>
  <si>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</si>
  <si>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</si>
  <si>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</si>
  <si>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</si>
  <si>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</si>
  <si>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</si>
  <si>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</si>
  <si>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</si>
  <si>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</si>
  <si>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</si>
  <si>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</si>
  <si>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</si>
  <si>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</si>
  <si>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</si>
  <si>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</si>
  <si>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</si>
  <si>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</si>
  <si>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</si>
  <si>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</si>
  <si>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</si>
  <si>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</si>
  <si>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</si>
  <si>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</si>
  <si>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</si>
  <si>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</si>
  <si>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</si>
  <si>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</si>
  <si>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</si>
  <si>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</si>
  <si>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</si>
  <si>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</si>
  <si>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</si>
  <si>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</si>
  <si>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</si>
  <si>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</si>
  <si>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</si>
  <si>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</si>
  <si>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</si>
  <si>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</si>
  <si>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</si>
  <si>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</si>
  <si>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</si>
  <si>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</si>
  <si>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</si>
  <si>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</si>
  <si>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</si>
  <si>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</si>
  <si>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</si>
  <si>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</si>
  <si>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</si>
  <si>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</si>
  <si>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</si>
  <si>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</si>
  <si>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</si>
  <si>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</si>
  <si>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</si>
  <si>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</si>
  <si>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</si>
  <si>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</si>
  <si>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</si>
  <si>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</si>
  <si>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</si>
  <si>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</si>
  <si>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</si>
  <si>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</si>
  <si>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</si>
  <si>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</si>
  <si>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</si>
  <si>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</si>
  <si>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</si>
  <si>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</si>
  <si>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</si>
  <si>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</si>
  <si>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</si>
  <si>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</si>
  <si>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</si>
  <si>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</si>
  <si>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</si>
  <si>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</si>
  <si>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</si>
  <si>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</si>
  <si>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</si>
  <si>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</si>
  <si>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</si>
  <si>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</si>
  <si>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</si>
  <si>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</si>
  <si>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</si>
  <si>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</si>
  <si>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</si>
  <si>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</si>
  <si>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</si>
  <si>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</si>
  <si>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</si>
  <si>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</si>
  <si>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</si>
  <si>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</si>
  <si>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</si>
  <si>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</si>
  <si>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</si>
  <si>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</si>
  <si>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</si>
  <si>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</si>
  <si>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</si>
  <si>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</si>
  <si>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</si>
  <si>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</si>
  <si>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</si>
  <si>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</si>
  <si>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</si>
  <si>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</si>
  <si>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</si>
  <si>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</si>
  <si>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</si>
  <si>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</si>
  <si>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</si>
  <si>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</si>
  <si>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</si>
  <si>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</si>
  <si>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</si>
  <si>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</si>
  <si>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</si>
  <si>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</si>
  <si>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</si>
  <si>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</si>
  <si>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</si>
  <si>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</si>
  <si>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</si>
  <si>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</si>
  <si>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</si>
  <si>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</si>
  <si>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</si>
  <si>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</si>
  <si>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</si>
  <si>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</si>
  <si>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</si>
  <si>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</si>
  <si>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</si>
  <si>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</si>
  <si>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</si>
  <si>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</si>
  <si>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</si>
  <si>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</si>
  <si>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</si>
  <si>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</si>
  <si>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</si>
  <si>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</si>
  <si>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</si>
  <si>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</si>
  <si>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</si>
  <si>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</si>
  <si>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</si>
  <si>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</si>
  <si>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</si>
  <si>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</si>
  <si>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</si>
  <si>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</si>
  <si>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</si>
  <si>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</si>
  <si>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</si>
  <si>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</si>
  <si>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</si>
  <si>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</si>
  <si>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</si>
  <si>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</si>
  <si>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</si>
  <si>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</si>
  <si>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</si>
  <si>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</si>
  <si>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</si>
  <si>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</si>
  <si>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</si>
  <si>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</si>
  <si>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</si>
  <si>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</si>
  <si>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</si>
  <si>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</si>
  <si>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</si>
  <si>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</si>
  <si>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</si>
  <si>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</si>
  <si>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</si>
  <si>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</si>
  <si>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</si>
  <si>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</si>
  <si>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</si>
  <si>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</si>
  <si>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</si>
  <si>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</si>
  <si>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</si>
  <si>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</si>
  <si>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</si>
  <si>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</si>
  <si>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</si>
  <si>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</si>
  <si>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</si>
  <si>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</si>
  <si>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</si>
  <si>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</si>
  <si>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</si>
  <si>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</si>
  <si>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</si>
  <si>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</si>
  <si>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</si>
  <si>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</si>
  <si>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</si>
  <si>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</si>
  <si>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</si>
  <si>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</si>
  <si>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</si>
  <si>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</si>
  <si>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</si>
  <si>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</si>
  <si>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</si>
  <si>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</si>
  <si>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</si>
  <si>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</si>
  <si>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</si>
  <si>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</si>
  <si>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</si>
  <si>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</si>
  <si>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</si>
  <si>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</si>
  <si>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</si>
  <si>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</si>
  <si>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</si>
  <si>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</si>
  <si>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</si>
  <si>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</si>
  <si>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</si>
  <si>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</si>
  <si>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</si>
  <si>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</si>
  <si>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</si>
  <si>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</si>
  <si>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</si>
  <si>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</si>
  <si>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</si>
  <si>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</si>
  <si>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</si>
  <si>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</si>
  <si>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</si>
  <si>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</si>
  <si>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</si>
  <si>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</si>
  <si>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</si>
  <si>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</si>
  <si>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</si>
  <si>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</si>
  <si>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</si>
  <si>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</si>
  <si>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</si>
  <si>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</si>
  <si>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</si>
  <si>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</si>
  <si>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</si>
  <si>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</si>
  <si>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</si>
  <si>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</si>
  <si>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</si>
  <si>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</si>
  <si>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</si>
  <si>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</si>
  <si>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</si>
  <si>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</si>
  <si>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</si>
  <si>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</si>
  <si>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</si>
  <si>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</si>
  <si>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</si>
  <si>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</si>
  <si>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</si>
  <si>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</si>
  <si>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</si>
  <si>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</si>
  <si>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</si>
  <si>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</si>
  <si>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</si>
  <si>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</si>
  <si>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</si>
  <si>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</si>
  <si>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</si>
  <si>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</si>
  <si>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</si>
  <si>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</si>
  <si>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</si>
  <si>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</si>
  <si>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</si>
  <si>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</si>
  <si>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</si>
  <si>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</si>
  <si>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</si>
  <si>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</si>
  <si>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</si>
  <si>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</si>
  <si>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</si>
  <si>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</si>
  <si>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</si>
  <si>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</si>
  <si>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</si>
  <si>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</si>
  <si>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</si>
  <si>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</si>
  <si>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</si>
  <si>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</si>
  <si>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</si>
  <si>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</si>
  <si>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</si>
  <si>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</si>
  <si>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</si>
  <si>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</si>
  <si>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</si>
  <si>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</si>
  <si>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</si>
  <si>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</si>
  <si>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</si>
  <si>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</si>
  <si>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</si>
  <si>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</si>
  <si>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</si>
  <si>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</si>
  <si>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</si>
  <si>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</si>
  <si>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</si>
  <si>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</si>
  <si>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</si>
  <si>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</si>
  <si>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</si>
  <si>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</si>
  <si>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</si>
  <si>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</si>
  <si>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</si>
  <si>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</si>
  <si>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</si>
  <si>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</si>
  <si>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</si>
  <si>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</si>
  <si>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</si>
  <si>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</si>
  <si>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</si>
  <si>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</si>
  <si>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</si>
  <si>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</si>
  <si>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</si>
  <si>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</si>
  <si>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</si>
  <si>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</si>
  <si>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</si>
  <si>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</si>
  <si>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</si>
  <si>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</si>
  <si>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</si>
  <si>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</si>
  <si>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</si>
  <si>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</si>
  <si>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</si>
  <si>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</si>
  <si>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</si>
  <si>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</si>
  <si>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</si>
  <si>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</si>
  <si>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</si>
  <si>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</si>
  <si>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</si>
  <si>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</si>
  <si>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</si>
  <si>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</si>
  <si>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</si>
  <si>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</si>
  <si>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</si>
  <si>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</si>
  <si>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</si>
  <si>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</si>
  <si>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</si>
  <si>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</si>
  <si>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</si>
  <si>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</si>
  <si>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</si>
  <si>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</si>
  <si>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</si>
  <si>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</si>
  <si>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</si>
  <si>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</si>
  <si>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</si>
  <si>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</si>
  <si>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</si>
  <si>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</si>
  <si>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</si>
  <si>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</si>
  <si>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</si>
  <si>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</si>
  <si>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</si>
  <si>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</si>
  <si>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</si>
  <si>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</si>
  <si>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</si>
  <si>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</si>
  <si>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</si>
  <si>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</si>
  <si>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</si>
  <si>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</si>
  <si>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</si>
  <si>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</si>
  <si>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</si>
  <si>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</si>
  <si>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</si>
  <si>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</si>
  <si>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</si>
  <si>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</si>
  <si>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</si>
  <si>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</si>
  <si>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</si>
  <si>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</si>
  <si>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</si>
  <si>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</si>
  <si>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</si>
  <si>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</si>
  <si>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</si>
  <si>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</si>
  <si>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</si>
  <si>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</si>
  <si>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</si>
  <si>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</si>
  <si>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</si>
  <si>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</si>
  <si>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</si>
  <si>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</si>
  <si>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</si>
  <si>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</si>
  <si>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</si>
  <si>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</si>
  <si>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</si>
  <si>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</si>
  <si>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</si>
  <si>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</si>
  <si>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</si>
  <si>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</si>
  <si>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</si>
  <si>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</si>
  <si>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</si>
  <si>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</si>
  <si>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</si>
  <si>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</si>
  <si>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</si>
  <si>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</si>
  <si>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</si>
  <si>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</si>
  <si>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</si>
  <si>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</si>
  <si>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</si>
  <si>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</si>
  <si>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</si>
  <si>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</si>
  <si>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</si>
  <si>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</si>
  <si>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</si>
  <si>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</si>
  <si>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</si>
  <si>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</si>
  <si>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</si>
  <si>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</si>
  <si>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</si>
  <si>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</si>
  <si>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</si>
  <si>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</si>
  <si>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</si>
  <si>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</si>
  <si>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</si>
  <si>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</si>
  <si>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</si>
  <si>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</si>
  <si>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</si>
  <si>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</si>
  <si>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</si>
  <si>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</si>
  <si>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</si>
  <si>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</si>
  <si>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</si>
  <si>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</si>
  <si>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</si>
  <si>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</si>
  <si>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</si>
  <si>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</si>
  <si>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</si>
  <si>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</si>
  <si>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</si>
  <si>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</si>
  <si>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</si>
  <si>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</si>
  <si>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</si>
  <si>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</si>
  <si>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</si>
  <si>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</si>
  <si>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</si>
  <si>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</si>
  <si>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</si>
  <si>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</si>
  <si>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</si>
  <si>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</si>
  <si>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</si>
  <si>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</si>
  <si>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</si>
  <si>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</si>
  <si>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</si>
  <si>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</si>
  <si>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</si>
  <si>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</si>
  <si>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</si>
  <si>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</si>
  <si>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</si>
  <si>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</si>
  <si>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</si>
  <si>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</si>
  <si>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</si>
  <si>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</si>
  <si>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</si>
  <si>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</si>
  <si>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</si>
  <si>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</si>
  <si>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</si>
  <si>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</si>
  <si>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</si>
  <si>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</si>
  <si>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</si>
  <si>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</si>
  <si>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</si>
  <si>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</si>
  <si>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</si>
  <si>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</si>
  <si>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</si>
  <si>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</si>
  <si>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</si>
  <si>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</si>
  <si>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</si>
  <si>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</si>
  <si>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</si>
  <si>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</si>
  <si>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</si>
  <si>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</si>
  <si>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</si>
  <si>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</si>
  <si>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</si>
  <si>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</si>
  <si>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</si>
  <si>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</si>
  <si>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</si>
  <si>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</si>
  <si>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</si>
  <si>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</si>
  <si>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</si>
  <si>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</si>
  <si>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</si>
  <si>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</si>
  <si>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</si>
  <si>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</si>
  <si>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</si>
  <si>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</si>
  <si>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</si>
  <si>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</si>
  <si>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</si>
  <si>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</si>
  <si>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</si>
  <si>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</si>
  <si>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</si>
  <si>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</si>
  <si>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</si>
  <si>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</si>
  <si>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</si>
  <si>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</si>
  <si>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</si>
  <si>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</si>
  <si>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</si>
  <si>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</si>
  <si>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</si>
  <si>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</si>
  <si>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</si>
  <si>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</si>
  <si>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</si>
  <si>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</si>
  <si>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</si>
  <si>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</si>
  <si>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</si>
  <si>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</si>
  <si>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</si>
  <si>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</si>
  <si>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</si>
  <si>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</si>
  <si>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</si>
  <si>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</si>
  <si>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</si>
  <si>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</si>
  <si>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</si>
  <si>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</si>
  <si>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</si>
  <si>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</si>
  <si>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</si>
  <si>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</si>
  <si>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</si>
  <si>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</si>
  <si>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</si>
  <si>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</si>
  <si>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</si>
  <si>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</si>
  <si>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</si>
  <si>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</si>
  <si>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</si>
  <si>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</si>
  <si>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</si>
  <si>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</si>
  <si>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</si>
  <si>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</si>
  <si>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</si>
  <si>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</si>
  <si>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</si>
  <si>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</si>
  <si>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</si>
  <si>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</si>
  <si>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</si>
  <si>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</si>
  <si>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</si>
  <si>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</si>
  <si>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</si>
  <si>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</si>
  <si>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</si>
  <si>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</si>
  <si>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</si>
  <si>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</si>
  <si>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</si>
  <si>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</si>
  <si>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</si>
  <si>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</si>
  <si>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</si>
  <si>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</si>
  <si>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</si>
  <si>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</si>
  <si>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</si>
  <si>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</si>
  <si>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</si>
  <si>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</si>
  <si>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</si>
  <si>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</si>
  <si>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</si>
  <si>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</si>
  <si>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</si>
  <si>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</si>
  <si>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</si>
  <si>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</si>
  <si>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</si>
  <si>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</si>
  <si>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</si>
  <si>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</si>
  <si>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</si>
  <si>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</si>
  <si>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</si>
  <si>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</si>
  <si>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</si>
  <si>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</si>
  <si>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</si>
  <si>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</si>
  <si>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</si>
  <si>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</si>
  <si>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</si>
  <si>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</si>
  <si>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</si>
  <si>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</si>
  <si>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</si>
  <si>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</si>
  <si>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</si>
  <si>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</si>
  <si>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</si>
  <si>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</si>
  <si>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</si>
  <si>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</si>
  <si>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</si>
  <si>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</si>
  <si>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</si>
  <si>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</si>
  <si>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</si>
  <si>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</si>
  <si>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</si>
  <si>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</si>
  <si>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</si>
  <si>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</si>
  <si>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</si>
  <si>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</si>
  <si>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</si>
  <si>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</si>
  <si>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</si>
  <si>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</si>
  <si>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</si>
  <si>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</si>
  <si>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</si>
  <si>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</si>
  <si>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</si>
  <si>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</si>
  <si>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</si>
  <si>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</si>
  <si>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</si>
  <si>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</si>
  <si>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</si>
  <si>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</si>
  <si>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</si>
  <si>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</si>
  <si>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</si>
  <si>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</si>
  <si>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</si>
  <si>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</si>
  <si>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</si>
  <si>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</si>
  <si>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</si>
  <si>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</si>
  <si>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</si>
  <si>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</si>
  <si>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</si>
  <si>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</si>
  <si>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</si>
  <si>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</si>
  <si>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</si>
  <si>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</si>
  <si>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</si>
  <si>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</si>
  <si>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</si>
  <si>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</si>
  <si>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</si>
  <si>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</si>
  <si>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</si>
  <si>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</si>
  <si>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</si>
  <si>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</si>
  <si>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</si>
  <si>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</si>
  <si>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</si>
  <si>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</si>
  <si>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</si>
  <si>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</si>
  <si>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</si>
  <si>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</si>
  <si>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</si>
  <si>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</si>
  <si>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</si>
  <si>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</si>
  <si>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</si>
  <si>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</si>
  <si>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</si>
  <si>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</si>
  <si>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</si>
  <si>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</si>
  <si>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</si>
  <si>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</si>
  <si>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</si>
  <si>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</si>
  <si>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</si>
  <si>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</si>
  <si>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</si>
  <si>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</si>
  <si>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</si>
  <si>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</si>
  <si>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</si>
  <si>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</si>
  <si>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</si>
  <si>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</si>
  <si>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</si>
  <si>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</si>
  <si>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</si>
  <si>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</si>
  <si>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</si>
  <si>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</si>
  <si>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</si>
  <si>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</si>
  <si>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</si>
  <si>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</si>
  <si>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</si>
  <si>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</si>
  <si>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</si>
  <si>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</si>
  <si>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</si>
  <si>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</si>
  <si>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</si>
  <si>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</si>
  <si>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</si>
  <si>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</si>
  <si>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</si>
  <si>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</si>
  <si>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</si>
  <si>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</si>
  <si>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</si>
  <si>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</si>
  <si>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</si>
  <si>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</si>
  <si>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</si>
  <si>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</si>
  <si>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</si>
  <si>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</si>
  <si>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</si>
  <si>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</si>
  <si>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</si>
  <si>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</si>
  <si>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</si>
  <si>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</si>
  <si>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</si>
  <si>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</si>
  <si>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</si>
  <si>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</si>
  <si>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</si>
  <si>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</si>
  <si>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</si>
  <si>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</si>
  <si>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</si>
  <si>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</si>
  <si>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</si>
  <si>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</si>
  <si>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</si>
  <si>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</si>
  <si>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</si>
  <si>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</si>
  <si>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</si>
  <si>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</si>
  <si>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</si>
  <si>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</si>
  <si>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</si>
  <si>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</si>
  <si>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</si>
  <si>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</si>
  <si>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</si>
  <si>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</si>
  <si>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</si>
  <si>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</si>
  <si>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</si>
  <si>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</si>
  <si>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</si>
  <si>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</si>
  <si>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</si>
  <si>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</si>
  <si>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</si>
  <si>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</si>
  <si>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</si>
  <si>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</si>
  <si>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</si>
  <si>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</si>
  <si>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</si>
  <si>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</si>
  <si>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</si>
  <si>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</si>
  <si>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</si>
  <si>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</si>
  <si>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</si>
  <si>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</si>
  <si>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</si>
  <si>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</si>
  <si>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</si>
  <si>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</si>
  <si>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</si>
  <si>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</si>
  <si>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</si>
  <si>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</si>
  <si>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</si>
  <si>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</si>
  <si>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</si>
  <si>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</si>
  <si>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</si>
  <si>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</si>
  <si>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</si>
  <si>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</si>
  <si>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</si>
  <si>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</si>
  <si>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</si>
  <si>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</si>
  <si>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</si>
  <si>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</si>
  <si>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</si>
  <si>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</si>
  <si>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</si>
  <si>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</si>
  <si>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</si>
  <si>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</si>
  <si>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</si>
  <si>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</si>
  <si>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</si>
  <si>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</si>
  <si>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</si>
  <si>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</si>
  <si>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</si>
  <si>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</si>
  <si>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</si>
  <si>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</si>
  <si>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</si>
  <si>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</si>
  <si>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</si>
  <si>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</si>
  <si>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</si>
  <si>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</si>
  <si>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</si>
  <si>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</si>
  <si>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</si>
  <si>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</si>
  <si>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</si>
  <si>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</si>
  <si>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</si>
  <si>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</si>
  <si>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</si>
  <si>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</si>
  <si>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</si>
  <si>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</si>
  <si>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</si>
  <si>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</si>
  <si>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</si>
  <si>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</si>
  <si>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</si>
  <si>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</si>
  <si>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</si>
  <si>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</si>
  <si>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</si>
  <si>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</si>
  <si>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</si>
  <si>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</si>
  <si>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</si>
  <si>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</si>
  <si>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</si>
  <si>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</si>
  <si>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</si>
  <si>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</si>
  <si>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</si>
  <si>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</si>
  <si>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</si>
  <si>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</si>
  <si>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</si>
  <si>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</si>
  <si>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</si>
  <si>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</si>
  <si>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</si>
  <si>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</si>
  <si>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</si>
  <si>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</si>
  <si>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</si>
  <si>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</si>
  <si>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</si>
  <si>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</si>
  <si>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</si>
  <si>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</si>
  <si>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</si>
  <si>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</si>
  <si>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</si>
  <si>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</si>
  <si>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</si>
  <si>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</si>
  <si>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</si>
  <si>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</si>
  <si>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</si>
  <si>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</si>
  <si>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</si>
  <si>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</si>
  <si>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</si>
  <si>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</si>
  <si>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</si>
  <si>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</si>
  <si>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</si>
  <si>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</si>
  <si>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</si>
  <si>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</si>
  <si>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</si>
  <si>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</si>
  <si>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</si>
  <si>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</si>
  <si>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</si>
  <si>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</si>
  <si>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</si>
  <si>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</si>
  <si>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</si>
  <si>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</si>
  <si>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</si>
  <si>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</si>
  <si>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</si>
  <si>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</si>
  <si>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</si>
  <si>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</si>
  <si>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</si>
  <si>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</si>
  <si>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</si>
  <si>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</si>
  <si>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</si>
  <si>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</si>
  <si>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</si>
  <si>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</si>
  <si>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</si>
  <si>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</si>
  <si>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</si>
  <si>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</si>
  <si>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</si>
  <si>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</si>
  <si>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</si>
  <si>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</si>
  <si>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</si>
  <si>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</si>
  <si>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</si>
  <si>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</si>
  <si>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</si>
  <si>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</si>
  <si>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</si>
  <si>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</si>
  <si>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</si>
  <si>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</si>
  <si>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</si>
  <si>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</si>
  <si>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</si>
  <si>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</si>
  <si>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</si>
  <si>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</si>
  <si>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</si>
  <si>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</si>
  <si>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</si>
  <si>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</si>
  <si>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</si>
  <si>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</si>
  <si>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</si>
  <si>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</si>
  <si>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</si>
  <si>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</si>
  <si>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</si>
  <si>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</si>
  <si>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</si>
  <si>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</si>
  <si>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</si>
  <si>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</si>
  <si>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</si>
  <si>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</si>
  <si>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</si>
  <si>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</si>
  <si>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</si>
  <si>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</si>
  <si>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</si>
  <si>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</si>
  <si>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</si>
  <si>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</si>
  <si>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</si>
  <si>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</si>
  <si>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</si>
  <si>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</si>
  <si>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</si>
  <si>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</si>
  <si>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</si>
  <si>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</si>
  <si>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</si>
  <si>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</si>
  <si>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</si>
  <si>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</si>
  <si>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</si>
  <si>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</si>
  <si>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</si>
  <si>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</si>
  <si>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</si>
  <si>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</si>
  <si>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</si>
  <si>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</si>
  <si>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</si>
  <si>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</si>
  <si>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</si>
  <si>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</si>
  <si>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</si>
  <si>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</si>
  <si>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</si>
  <si>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</si>
  <si>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</si>
  <si>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</si>
  <si>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</si>
  <si>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</si>
  <si>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</si>
  <si>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</si>
  <si>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</si>
  <si>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</si>
  <si>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</si>
  <si>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</si>
  <si>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</si>
  <si>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</si>
  <si>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</si>
  <si>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</si>
  <si>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</si>
  <si>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</si>
  <si>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</si>
  <si>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</si>
  <si>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</si>
  <si>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</si>
  <si>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</si>
  <si>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</si>
  <si>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</si>
  <si>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</si>
  <si>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</si>
  <si>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</si>
  <si>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</si>
  <si>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</si>
  <si>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</si>
  <si>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</si>
  <si>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</si>
  <si>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</si>
  <si>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</si>
  <si>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</si>
  <si>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</si>
  <si>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</si>
  <si>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</si>
  <si>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</si>
  <si>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</si>
  <si>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</si>
  <si>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</si>
  <si>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</si>
  <si>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</si>
  <si>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</si>
  <si>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</si>
  <si>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</si>
  <si>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</si>
  <si>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</si>
  <si>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</si>
  <si>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</si>
  <si>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</si>
  <si>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</si>
  <si>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</si>
  <si>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</si>
  <si>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</si>
  <si>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</si>
  <si>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</si>
  <si>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</si>
  <si>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</si>
  <si>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</si>
  <si>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</si>
  <si>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</si>
  <si>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</si>
  <si>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</si>
  <si>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</si>
  <si>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</si>
  <si>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</si>
  <si>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</si>
  <si>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</si>
  <si>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</si>
  <si>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</si>
  <si>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</si>
  <si>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</si>
  <si>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</si>
  <si>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</si>
  <si>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</si>
  <si>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</si>
  <si>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</si>
  <si>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</si>
  <si>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</si>
  <si>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</si>
  <si>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</si>
  <si>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</si>
  <si>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</si>
  <si>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</si>
  <si>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</si>
  <si>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</si>
  <si>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</si>
  <si>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</si>
  <si>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</si>
  <si>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</si>
  <si>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</si>
  <si>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</si>
  <si>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</si>
  <si>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</si>
  <si>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</si>
  <si>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</si>
  <si>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</si>
  <si>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</si>
  <si>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</si>
  <si>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</si>
  <si>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</si>
  <si>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</si>
  <si>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</si>
  <si>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</si>
  <si>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</si>
  <si>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</si>
  <si>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</si>
  <si>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</si>
  <si>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</si>
  <si>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</si>
  <si>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</si>
  <si>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</si>
  <si>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</si>
  <si>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</si>
  <si>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</si>
  <si>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</si>
  <si>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</si>
  <si>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</si>
  <si>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</si>
  <si>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</si>
  <si>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</si>
  <si>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</si>
  <si>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</si>
  <si>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</si>
  <si>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</si>
  <si>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</si>
  <si>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</si>
  <si>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</si>
  <si>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</si>
  <si>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</si>
  <si>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</si>
  <si>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</si>
  <si>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</si>
  <si>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</si>
  <si>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</si>
  <si>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</si>
  <si>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</si>
  <si>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</si>
  <si>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</si>
  <si>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</si>
  <si>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</si>
  <si>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</si>
  <si>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</si>
  <si>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</si>
  <si>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</si>
  <si>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</si>
  <si>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</si>
  <si>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</si>
  <si>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</si>
  <si>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</si>
  <si>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</si>
  <si>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</si>
  <si>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</si>
  <si>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</si>
  <si>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</si>
  <si>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</si>
  <si>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</si>
  <si>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</si>
  <si>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</si>
  <si>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</si>
  <si>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</si>
  <si>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</si>
  <si>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</si>
  <si>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</si>
  <si>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</si>
  <si>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</si>
  <si>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</si>
  <si>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</si>
  <si>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</si>
  <si>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</si>
  <si>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</si>
  <si>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</si>
  <si>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</si>
  <si>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</si>
  <si>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</si>
  <si>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</si>
  <si>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</si>
  <si>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</si>
  <si>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</si>
  <si>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</si>
  <si>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</si>
  <si>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</si>
  <si>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</si>
  <si>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</si>
  <si>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</si>
  <si>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</si>
  <si>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</si>
  <si>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</si>
  <si>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</si>
  <si>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</si>
  <si>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</si>
  <si>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</si>
  <si>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</si>
  <si>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</si>
  <si>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</si>
  <si>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</si>
  <si>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</si>
  <si>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</si>
  <si>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</si>
  <si>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</si>
  <si>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</si>
  <si>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</si>
  <si>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</si>
  <si>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</si>
  <si>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</si>
  <si>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</si>
  <si>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</si>
  <si>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</si>
  <si>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</si>
  <si>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</si>
  <si>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</si>
  <si>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</si>
  <si>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</si>
  <si>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</si>
  <si>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</si>
  <si>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</si>
  <si>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</si>
  <si>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</si>
  <si>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</si>
  <si>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</si>
  <si>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</si>
  <si>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</si>
  <si>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</si>
  <si>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</si>
  <si>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</si>
  <si>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</si>
  <si>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</si>
  <si>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</si>
  <si>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</si>
  <si>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</si>
  <si>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</si>
  <si>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</si>
  <si>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</si>
  <si>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</si>
  <si>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</si>
  <si>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</si>
  <si>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</si>
  <si>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</si>
  <si>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</si>
  <si>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</si>
  <si>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</si>
  <si>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</si>
  <si>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</si>
  <si>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</si>
  <si>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</si>
  <si>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</si>
  <si>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</si>
  <si>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</si>
  <si>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</si>
  <si>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</si>
  <si>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</si>
  <si>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</si>
  <si>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</si>
  <si>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</si>
  <si>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</si>
  <si>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</si>
  <si>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</si>
  <si>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</si>
  <si>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</si>
  <si>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</si>
  <si>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</si>
  <si>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</si>
  <si>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</si>
  <si>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</si>
  <si>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</si>
  <si>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</si>
  <si>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</si>
  <si>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</si>
  <si>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</si>
  <si>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</si>
  <si>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</si>
  <si>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</si>
  <si>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</si>
  <si>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</si>
  <si>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</si>
  <si>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</si>
  <si>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</si>
  <si>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</si>
  <si>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</si>
  <si>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</si>
  <si>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</si>
  <si>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</si>
  <si>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</si>
  <si>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</si>
  <si>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</si>
  <si>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</si>
  <si>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</si>
  <si>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</si>
  <si>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</si>
  <si>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</si>
  <si>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</si>
  <si>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</si>
  <si>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</si>
  <si>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</si>
  <si>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</si>
  <si>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</si>
  <si>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</si>
  <si>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</si>
  <si>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</si>
  <si>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</si>
  <si>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</si>
  <si>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</si>
  <si>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</si>
  <si>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</si>
  <si>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</si>
  <si>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</si>
  <si>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</si>
  <si>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</si>
  <si>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</si>
  <si>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</si>
  <si>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</si>
  <si>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</si>
  <si>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</si>
  <si>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</si>
  <si>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</si>
  <si>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</si>
  <si>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</si>
  <si>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</si>
  <si>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</si>
  <si>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</si>
  <si>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</si>
  <si>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</si>
  <si>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</si>
  <si>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</si>
  <si>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</si>
  <si>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</si>
  <si>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</si>
  <si>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</si>
  <si>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</si>
  <si>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</si>
  <si>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</si>
  <si>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</si>
  <si>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</si>
  <si>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</si>
  <si>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</si>
  <si>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</si>
  <si>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</si>
  <si>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</si>
  <si>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</si>
  <si>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</si>
  <si>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</si>
  <si>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</si>
  <si>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</si>
  <si>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</si>
  <si>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</si>
  <si>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</si>
  <si>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</si>
  <si>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</si>
  <si>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</si>
  <si>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</si>
  <si>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</si>
  <si>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</si>
  <si>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</si>
  <si>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</si>
  <si>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</si>
  <si>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</si>
  <si>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</si>
  <si>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</si>
  <si>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</si>
  <si>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</si>
  <si>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</si>
  <si>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</si>
  <si>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</si>
  <si>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</si>
  <si>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</si>
  <si>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</si>
  <si>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</si>
  <si>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</si>
  <si>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</si>
  <si>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</si>
  <si>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</si>
  <si>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</si>
  <si>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</si>
  <si>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</si>
  <si>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</si>
  <si>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</si>
  <si>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</si>
  <si>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</si>
  <si>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</si>
  <si>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</si>
  <si>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</si>
  <si>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</si>
  <si>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</si>
  <si>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</si>
  <si>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</si>
  <si>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</si>
  <si>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</si>
  <si>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</si>
  <si>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</si>
  <si>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</si>
  <si>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</si>
  <si>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</si>
  <si>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</si>
  <si>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</si>
  <si>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</si>
  <si>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</si>
  <si>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</si>
  <si>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</si>
  <si>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</si>
  <si>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</si>
  <si>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</si>
  <si>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</si>
  <si>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</si>
  <si>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</si>
  <si>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</si>
  <si>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</si>
  <si>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</si>
  <si>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</si>
  <si>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</si>
  <si>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</si>
  <si>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</si>
  <si>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</si>
  <si>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</si>
  <si>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</si>
  <si>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</si>
  <si>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</si>
  <si>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</si>
  <si>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</si>
  <si>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</si>
  <si>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</si>
  <si>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</si>
  <si>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</si>
  <si>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</si>
  <si>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</si>
  <si>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</si>
  <si>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</si>
  <si>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</si>
  <si>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</si>
  <si>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</si>
  <si>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</si>
  <si>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</si>
  <si>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</si>
  <si>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</si>
  <si>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</si>
  <si>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</si>
  <si>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</si>
  <si>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</si>
  <si>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</si>
  <si>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</si>
  <si>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</si>
  <si>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</si>
  <si>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</si>
  <si>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</si>
  <si>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</si>
  <si>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</si>
  <si>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</si>
  <si>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</si>
  <si>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</si>
  <si>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</si>
  <si>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</si>
  <si>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</si>
  <si>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</si>
  <si>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</si>
  <si>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</si>
  <si>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</si>
  <si>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</si>
  <si>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</si>
  <si>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</si>
  <si>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</si>
  <si>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</si>
  <si>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</si>
  <si>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</si>
  <si>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</si>
  <si>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</si>
  <si>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</si>
  <si>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</si>
  <si>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</si>
  <si>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</si>
  <si>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</si>
  <si>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</si>
  <si>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</si>
  <si>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</si>
  <si>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</si>
  <si>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</si>
  <si>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</si>
  <si>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</si>
  <si>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</si>
  <si>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</si>
  <si>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</si>
  <si>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</si>
  <si>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</si>
  <si>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</si>
  <si>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</si>
  <si>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</si>
  <si>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</si>
  <si>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</si>
  <si>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</si>
  <si>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</si>
  <si>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</si>
  <si>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</si>
  <si>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</si>
  <si>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</si>
  <si>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</si>
  <si>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</si>
  <si>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</si>
  <si>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</si>
  <si>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</si>
  <si>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</si>
  <si>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</si>
  <si>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</si>
  <si>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</si>
  <si>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</si>
  <si>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</si>
  <si>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</si>
  <si>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</si>
  <si>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</si>
  <si>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</si>
  <si>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</si>
  <si>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</si>
  <si>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</si>
  <si>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</si>
  <si>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</si>
  <si>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</si>
  <si>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</si>
  <si>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</si>
  <si>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</si>
  <si>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</si>
  <si>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</si>
  <si>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</si>
  <si>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</si>
  <si>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</si>
  <si>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</si>
  <si>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</si>
  <si>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</si>
  <si>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</si>
  <si>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</si>
  <si>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</si>
  <si>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</si>
  <si>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</si>
  <si>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</si>
  <si>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</si>
  <si>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</si>
  <si>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</si>
  <si>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</si>
  <si>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</si>
  <si>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</si>
  <si>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</si>
  <si>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</si>
  <si>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</si>
  <si>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</si>
  <si>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</si>
  <si>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</si>
  <si>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</si>
  <si>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</si>
  <si>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</si>
  <si>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</si>
  <si>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</si>
  <si>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</si>
  <si>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</si>
  <si>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</si>
  <si>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</si>
  <si>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</si>
  <si>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</si>
  <si>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</si>
  <si>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</si>
  <si>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</si>
  <si>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</si>
  <si>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</si>
  <si>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</si>
  <si>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</si>
  <si>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</si>
  <si>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</si>
  <si>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</si>
  <si>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</si>
  <si>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</si>
  <si>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</si>
  <si>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</si>
  <si>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</si>
  <si>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</si>
  <si>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</si>
  <si>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</si>
  <si>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</si>
  <si>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</si>
  <si>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</si>
  <si>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</si>
  <si>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</si>
  <si>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</si>
  <si>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</si>
  <si>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</si>
  <si>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</si>
  <si>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</si>
  <si>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</si>
  <si>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</si>
  <si>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</si>
  <si>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</si>
  <si>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</si>
  <si>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</si>
  <si>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</si>
  <si>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</si>
  <si>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</si>
  <si>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</si>
  <si>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</si>
  <si>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</si>
  <si>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</si>
  <si>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</si>
  <si>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</si>
  <si>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</si>
  <si>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</si>
  <si>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</si>
  <si>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</si>
  <si>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</si>
  <si>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</si>
  <si>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</si>
  <si>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</si>
  <si>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</si>
  <si>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</si>
  <si>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</si>
  <si>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</si>
  <si>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</si>
  <si>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</si>
  <si>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</si>
  <si>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</si>
  <si>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</si>
  <si>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</si>
  <si>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</si>
  <si>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</si>
  <si>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</si>
  <si>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</si>
  <si>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</si>
  <si>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</si>
  <si>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</si>
  <si>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</si>
  <si>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</si>
  <si>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</si>
  <si>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</si>
  <si>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</si>
  <si>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</si>
  <si>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</si>
  <si>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</si>
  <si>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</si>
  <si>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</si>
  <si>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</si>
  <si>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</si>
  <si>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</si>
  <si>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</si>
  <si>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</si>
  <si>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</si>
  <si>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</si>
  <si>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</si>
  <si>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</si>
  <si>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</si>
  <si>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</si>
  <si>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</si>
  <si>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</si>
  <si>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</si>
  <si>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</si>
  <si>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</si>
  <si>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</si>
  <si>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</si>
  <si>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</si>
  <si>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</si>
  <si>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</si>
  <si>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</si>
  <si>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</si>
  <si>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</si>
  <si>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</si>
  <si>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</si>
  <si>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</si>
  <si>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</si>
  <si>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</si>
  <si>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</si>
  <si>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</si>
  <si>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</si>
  <si>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</si>
  <si>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</si>
  <si>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</si>
  <si>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</si>
  <si>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</si>
  <si>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</si>
  <si>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</si>
  <si>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</si>
  <si>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</si>
  <si>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</si>
  <si>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</si>
  <si>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</si>
  <si>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</si>
  <si>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</si>
  <si>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</si>
  <si>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</si>
  <si>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</si>
  <si>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</si>
  <si>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</si>
  <si>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</si>
  <si>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</si>
  <si>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</si>
  <si>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</si>
  <si>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</si>
  <si>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</si>
  <si>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</si>
  <si>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</si>
  <si>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</si>
  <si>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</si>
  <si>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</si>
  <si>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</si>
  <si>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</si>
  <si>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</si>
  <si>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</si>
  <si>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</si>
  <si>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</si>
  <si>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</si>
  <si>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</si>
  <si>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</si>
  <si>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</si>
  <si>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</si>
  <si>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</si>
  <si>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</si>
  <si>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</si>
  <si>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</si>
  <si>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</si>
  <si>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</si>
  <si>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</si>
  <si>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</si>
  <si>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</si>
  <si>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</si>
  <si>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</si>
  <si>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</si>
  <si>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</si>
  <si>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</si>
  <si>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</si>
  <si>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</si>
  <si>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</si>
  <si>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</si>
  <si>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</si>
  <si>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</si>
  <si>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</si>
  <si>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</si>
  <si>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</si>
  <si>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</si>
  <si>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</si>
  <si>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</si>
  <si>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</si>
  <si>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</si>
  <si>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</si>
  <si>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</si>
  <si>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</si>
  <si>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</si>
  <si>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</si>
  <si>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</si>
  <si>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</si>
  <si>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</si>
  <si>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</si>
  <si>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</si>
  <si>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</si>
  <si>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</si>
  <si>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</si>
  <si>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</si>
  <si>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</si>
  <si>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</si>
  <si>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</si>
  <si>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</si>
  <si>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</si>
  <si>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</si>
  <si>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</si>
  <si>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</si>
  <si>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</si>
  <si>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</si>
  <si>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</si>
  <si>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</si>
  <si>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</si>
  <si>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</si>
  <si>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</si>
  <si>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</si>
  <si>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</si>
  <si>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</si>
  <si>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</si>
  <si>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</si>
  <si>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</si>
  <si>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</si>
  <si>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</si>
  <si>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</si>
  <si>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</si>
  <si>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</si>
  <si>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</si>
  <si>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</si>
  <si>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</si>
  <si>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</si>
  <si>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</si>
  <si>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</si>
  <si>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</si>
  <si>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</si>
  <si>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</si>
  <si>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</si>
  <si>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</si>
  <si>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</si>
  <si>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</si>
  <si>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</si>
  <si>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</si>
  <si>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</si>
  <si>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</si>
  <si>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</si>
  <si>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</si>
  <si>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</si>
  <si>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</si>
  <si>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</si>
  <si>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</si>
  <si>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</si>
  <si>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</si>
  <si>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</si>
  <si>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</si>
  <si>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</si>
  <si>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</si>
  <si>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</si>
  <si>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</si>
  <si>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</si>
  <si>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</si>
  <si>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</si>
  <si>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</si>
  <si>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</si>
  <si>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</si>
  <si>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</si>
  <si>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</si>
  <si>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</si>
  <si>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</si>
  <si>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</si>
  <si>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</si>
  <si>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</si>
  <si>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</si>
  <si>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</si>
  <si>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</si>
  <si>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</si>
  <si>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</si>
  <si>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</si>
  <si>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</si>
  <si>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</si>
  <si>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</si>
  <si>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</si>
  <si>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</si>
  <si>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</si>
  <si>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</si>
  <si>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</si>
  <si>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</si>
  <si>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</si>
  <si>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</si>
  <si>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</si>
  <si>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</si>
  <si>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</si>
  <si>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</si>
  <si>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</si>
  <si>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</si>
  <si>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</si>
  <si>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</si>
  <si>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</si>
  <si>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</si>
  <si>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</si>
  <si>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</si>
  <si>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</si>
  <si>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</si>
  <si>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</si>
  <si>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</si>
  <si>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</si>
  <si>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</si>
  <si>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</si>
  <si>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</si>
  <si>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</si>
  <si>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</si>
  <si>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</si>
  <si>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</si>
  <si>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</si>
  <si>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</si>
  <si>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</si>
  <si>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</si>
  <si>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</si>
  <si>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</si>
  <si>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</si>
  <si>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</si>
  <si>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</si>
  <si>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</si>
  <si>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</si>
  <si>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</si>
  <si>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</si>
  <si>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</si>
  <si>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</si>
  <si>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</si>
  <si>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</si>
  <si>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</si>
  <si>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</si>
  <si>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</si>
  <si>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</si>
  <si>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</si>
  <si>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</si>
  <si>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</si>
  <si>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</si>
  <si>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</si>
  <si>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</si>
  <si>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</si>
  <si>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</si>
  <si>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</si>
  <si>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</si>
  <si>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</si>
  <si>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</si>
  <si>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</si>
  <si>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</si>
  <si>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</si>
  <si>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</si>
  <si>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</si>
  <si>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</si>
  <si>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</si>
  <si>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</si>
  <si>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</si>
  <si>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</si>
  <si>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</si>
  <si>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</si>
  <si>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</si>
  <si>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</si>
  <si>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</si>
  <si>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</si>
  <si>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</si>
  <si>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</si>
  <si>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</si>
  <si>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</si>
  <si>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</si>
  <si>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</si>
  <si>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</si>
  <si>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</si>
  <si>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</si>
  <si>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</si>
  <si>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</si>
  <si>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</si>
  <si>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</si>
  <si>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</si>
  <si>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</si>
  <si>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</si>
  <si>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</si>
  <si>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</si>
  <si>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</si>
  <si>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</si>
  <si>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</si>
  <si>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</si>
  <si>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</si>
  <si>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</si>
  <si>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</si>
  <si>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</si>
  <si>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</si>
  <si>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</si>
  <si>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</si>
  <si>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</si>
  <si>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</si>
  <si>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</si>
  <si>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</si>
  <si>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</si>
  <si>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</si>
  <si>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</si>
  <si>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</si>
  <si>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</si>
  <si>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</si>
  <si>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</si>
  <si>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</si>
  <si>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</si>
  <si>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</si>
  <si>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</si>
  <si>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</si>
  <si>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</si>
  <si>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</si>
  <si>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</si>
  <si>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</si>
  <si>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</si>
  <si>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</si>
  <si>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</si>
  <si>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</si>
  <si>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</si>
  <si>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</si>
  <si>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</si>
  <si>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</si>
  <si>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</si>
  <si>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</si>
  <si>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</si>
  <si>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</si>
  <si>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</si>
  <si>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</si>
  <si>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</si>
  <si>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</si>
  <si>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</si>
  <si>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</si>
  <si>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</si>
  <si>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</si>
  <si>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</si>
  <si>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</si>
  <si>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</si>
  <si>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</si>
  <si>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</si>
  <si>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</si>
  <si>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</si>
  <si>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</si>
  <si>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</si>
  <si>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</si>
  <si>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</si>
  <si>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</si>
  <si>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</si>
  <si>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</si>
  <si>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</si>
  <si>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</si>
  <si>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</si>
  <si>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</si>
  <si>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</si>
  <si>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</si>
  <si>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</si>
  <si>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</si>
  <si>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</si>
  <si>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</si>
  <si>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</si>
  <si>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</si>
  <si>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</si>
  <si>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</si>
  <si>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</si>
  <si>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</si>
  <si>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</si>
  <si>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</si>
  <si>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</si>
  <si>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</si>
  <si>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</si>
  <si>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</si>
  <si>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</si>
  <si>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</si>
  <si>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</si>
  <si>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</si>
  <si>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</si>
  <si>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</si>
  <si>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</si>
  <si>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</si>
  <si>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</si>
  <si>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</si>
  <si>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</si>
  <si>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</si>
  <si>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</si>
  <si>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</si>
  <si>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</si>
  <si>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</si>
  <si>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</si>
  <si>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</si>
  <si>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</si>
  <si>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</si>
  <si>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</si>
  <si>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</si>
  <si>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</si>
  <si>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</si>
  <si>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</si>
  <si>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</si>
  <si>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</si>
  <si>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</si>
  <si>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</si>
  <si>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</si>
  <si>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</si>
  <si>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</si>
  <si>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</si>
  <si>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</si>
  <si>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</si>
  <si>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</si>
  <si>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</si>
  <si>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</si>
  <si>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</si>
  <si>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</si>
  <si>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</si>
  <si>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</si>
  <si>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</si>
  <si>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</si>
  <si>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</si>
  <si>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</si>
  <si>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</si>
  <si>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</si>
  <si>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</si>
  <si>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</si>
  <si>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</si>
  <si>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</si>
  <si>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</si>
  <si>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</si>
  <si>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</si>
  <si>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</si>
  <si>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</si>
  <si>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</si>
  <si>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</si>
  <si>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</si>
  <si>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</si>
  <si>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</si>
  <si>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</si>
  <si>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</si>
  <si>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</si>
  <si>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</si>
  <si>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</si>
  <si>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</si>
  <si>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</si>
  <si>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</si>
  <si>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</si>
  <si>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</si>
  <si>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</si>
  <si>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</si>
  <si>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</si>
  <si>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</si>
  <si>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</si>
  <si>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</si>
  <si>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</si>
  <si>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</si>
  <si>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</si>
  <si>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</si>
  <si>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</si>
  <si>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</si>
  <si>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</si>
  <si>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</si>
  <si>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</si>
  <si>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</si>
  <si>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</si>
  <si>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</si>
  <si>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</si>
  <si>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</si>
  <si>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</si>
  <si>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</si>
  <si>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</si>
  <si>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</si>
  <si>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</si>
  <si>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</si>
  <si>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</si>
  <si>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</si>
  <si>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</si>
  <si>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</si>
  <si>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</si>
  <si>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</si>
  <si>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</si>
  <si>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</si>
  <si>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</si>
  <si>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</si>
  <si>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</si>
  <si>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</si>
  <si>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</si>
  <si>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</si>
  <si>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</si>
  <si>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</si>
  <si>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</si>
  <si>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</si>
  <si>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</si>
  <si>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</si>
  <si>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</si>
  <si>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</si>
  <si>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</si>
  <si>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</si>
  <si>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</si>
  <si>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</si>
  <si>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</si>
  <si>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</si>
  <si>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</si>
  <si>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</si>
  <si>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</si>
  <si>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</si>
  <si>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</si>
  <si>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</si>
  <si>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</si>
  <si>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</si>
  <si>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</si>
  <si>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</si>
  <si>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</si>
  <si>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</si>
  <si>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</si>
  <si>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</si>
  <si>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</si>
  <si>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</si>
  <si>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</si>
  <si>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</si>
  <si>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</si>
  <si>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</si>
  <si>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</si>
  <si>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</si>
  <si>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</si>
  <si>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</si>
  <si>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</si>
  <si>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</si>
  <si>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</si>
  <si>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</si>
  <si>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</si>
  <si>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</si>
  <si>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</si>
  <si>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</si>
  <si>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</si>
  <si>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</si>
  <si>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</si>
  <si>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</si>
  <si>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</si>
  <si>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</si>
  <si>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</si>
  <si>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</si>
  <si>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</si>
  <si>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</si>
  <si>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</si>
  <si>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</si>
  <si>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</si>
  <si>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</si>
  <si>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</si>
  <si>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</si>
  <si>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</si>
  <si>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</si>
  <si>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</si>
  <si>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</si>
  <si>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</si>
  <si>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</si>
  <si>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</si>
  <si>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</si>
  <si>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</si>
  <si>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</si>
  <si>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</si>
  <si>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</si>
  <si>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</si>
  <si>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</si>
  <si>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</si>
  <si>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</si>
  <si>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</si>
  <si>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</si>
  <si>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</si>
  <si>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</si>
  <si>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</si>
  <si>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</si>
  <si>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</si>
  <si>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</si>
  <si>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</si>
  <si>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</si>
  <si>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</si>
  <si>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</si>
  <si>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</si>
  <si>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</si>
  <si>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</si>
  <si>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</si>
  <si>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</si>
  <si>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</si>
  <si>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</si>
  <si>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</si>
  <si>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</si>
  <si>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</si>
  <si>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</si>
  <si>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</si>
  <si>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</si>
  <si>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</si>
  <si>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</si>
  <si>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</si>
  <si>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</si>
  <si>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</si>
  <si>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</si>
  <si>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</si>
  <si>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</si>
  <si>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</si>
  <si>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</si>
  <si>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</si>
  <si>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</si>
  <si>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</si>
  <si>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</si>
  <si>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</si>
  <si>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</si>
  <si>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</si>
  <si>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</si>
  <si>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</si>
  <si>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</si>
  <si>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</si>
  <si>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</si>
  <si>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</si>
  <si>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</si>
  <si>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</si>
  <si>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</si>
  <si>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</si>
  <si>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</si>
  <si>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</si>
  <si>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</si>
  <si>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</si>
  <si>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</si>
  <si>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</si>
  <si>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</si>
  <si>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</si>
  <si>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</si>
  <si>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</si>
  <si>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</si>
  <si>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</si>
  <si>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</si>
  <si>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</si>
  <si>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</si>
  <si>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</si>
  <si>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</si>
  <si>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</si>
  <si>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</si>
  <si>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</si>
  <si>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</si>
  <si>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</si>
  <si>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</si>
  <si>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</si>
  <si>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</si>
  <si>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</si>
  <si>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</si>
  <si>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</si>
  <si>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</si>
  <si>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</si>
  <si>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</si>
  <si>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</si>
  <si>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</si>
  <si>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</si>
  <si>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</si>
  <si>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</si>
  <si>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</si>
  <si>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</si>
  <si>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</si>
  <si>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</si>
  <si>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</si>
  <si>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</si>
  <si>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</si>
  <si>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</si>
  <si>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</si>
  <si>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</si>
  <si>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</si>
  <si>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</si>
  <si>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</si>
  <si>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</si>
  <si>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</si>
  <si>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</si>
  <si>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</si>
  <si>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</si>
  <si>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</si>
  <si>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</si>
  <si>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</si>
  <si>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</si>
  <si>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</si>
  <si>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</si>
  <si>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</si>
  <si>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</si>
  <si>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</si>
  <si>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</si>
  <si>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</si>
  <si>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</si>
  <si>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</si>
  <si>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</si>
  <si>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</si>
  <si>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</si>
  <si>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</si>
  <si>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</si>
  <si>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</si>
  <si>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</si>
  <si>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</si>
  <si>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</si>
  <si>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</si>
  <si>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</si>
  <si>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</si>
  <si>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</si>
  <si>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</si>
  <si>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</si>
  <si>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</si>
  <si>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</si>
  <si>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</si>
  <si>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</si>
  <si>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</si>
  <si>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</si>
  <si>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</si>
  <si>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</si>
  <si>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</si>
  <si>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</si>
  <si>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</si>
  <si>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</si>
  <si>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</si>
  <si>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</si>
  <si>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</si>
  <si>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</si>
  <si>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</si>
  <si>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</si>
  <si>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</si>
  <si>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</si>
  <si>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</si>
  <si>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</si>
  <si>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</si>
  <si>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</si>
  <si>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</si>
  <si>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</si>
  <si>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</si>
  <si>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</si>
  <si>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</si>
  <si>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</si>
  <si>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</si>
  <si>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</si>
  <si>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</si>
  <si>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</si>
  <si>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</si>
  <si>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</si>
  <si>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</si>
  <si>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</si>
  <si>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</si>
  <si>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</si>
  <si>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</si>
  <si>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</si>
  <si>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</si>
  <si>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</si>
  <si>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</si>
  <si>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</si>
  <si>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</si>
  <si>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</si>
  <si>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</si>
  <si>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</si>
  <si>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</si>
  <si>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</si>
  <si>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</si>
  <si>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</si>
  <si>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</si>
  <si>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</si>
  <si>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</si>
  <si>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</si>
  <si>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</si>
  <si>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</si>
  <si>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</si>
  <si>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</si>
  <si>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</si>
  <si>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</si>
  <si>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</si>
  <si>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</si>
  <si>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</si>
  <si>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</si>
  <si>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</si>
  <si>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</si>
  <si>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</si>
  <si>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</si>
  <si>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</si>
  <si>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</si>
  <si>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</si>
  <si>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</si>
  <si>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</si>
  <si>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</si>
  <si>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</si>
  <si>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</si>
  <si>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</si>
  <si>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</si>
  <si>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</si>
  <si>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</si>
  <si>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</si>
  <si>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</si>
  <si>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</si>
  <si>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</si>
  <si>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</si>
  <si>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</si>
  <si>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</si>
  <si>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</si>
  <si>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</si>
  <si>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</si>
  <si>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</si>
  <si>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</si>
  <si>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</si>
  <si>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</si>
  <si>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</si>
  <si>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</si>
  <si>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</si>
  <si>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</si>
  <si>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</si>
  <si>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</si>
  <si>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</si>
  <si>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</si>
  <si>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</si>
  <si>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</si>
  <si>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</si>
  <si>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</si>
  <si>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</si>
  <si>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</si>
  <si>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</si>
  <si>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</si>
  <si>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</si>
  <si>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</si>
  <si>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</si>
  <si>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</si>
  <si>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</si>
  <si>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</si>
  <si>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</si>
  <si>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</si>
  <si>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</si>
  <si>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</si>
  <si>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</si>
  <si>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</si>
  <si>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</si>
  <si>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</si>
  <si>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</si>
  <si>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</si>
  <si>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</si>
  <si>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</si>
  <si>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</si>
  <si>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</si>
  <si>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</si>
  <si>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</si>
  <si>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</si>
  <si>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</si>
  <si>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</si>
  <si>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</si>
  <si>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</si>
  <si>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</si>
  <si>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</si>
  <si>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</si>
  <si>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</si>
  <si>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</si>
  <si>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</si>
  <si>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</si>
  <si>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</si>
  <si>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</si>
  <si>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</si>
  <si>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</si>
  <si>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</si>
  <si>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</si>
  <si>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</si>
  <si>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</si>
  <si>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</si>
  <si>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</si>
  <si>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</si>
  <si>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</si>
  <si>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</si>
  <si>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</si>
  <si>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</si>
  <si>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</si>
  <si>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</si>
  <si>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</si>
  <si>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</si>
  <si>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</si>
  <si>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</si>
  <si>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</si>
  <si>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</si>
  <si>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</si>
  <si>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</si>
  <si>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</si>
  <si>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</si>
  <si>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</si>
  <si>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</si>
  <si>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</si>
  <si>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</si>
  <si>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</si>
  <si>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</si>
  <si>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</si>
  <si>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</si>
  <si>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</si>
  <si>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</si>
  <si>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</si>
  <si>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</si>
  <si>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</si>
  <si>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</si>
  <si>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</si>
  <si>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</si>
  <si>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</si>
  <si>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</si>
  <si>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</si>
  <si>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</si>
  <si>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</si>
  <si>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</si>
  <si>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</si>
  <si>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</si>
  <si>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</si>
  <si>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</si>
  <si>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</si>
  <si>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</si>
  <si>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</si>
  <si>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</si>
  <si>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</si>
  <si>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</si>
  <si>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</si>
  <si>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</si>
  <si>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</si>
  <si>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</si>
  <si>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</si>
  <si>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</si>
  <si>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</si>
  <si>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</si>
  <si>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</si>
  <si>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</si>
  <si>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</si>
  <si>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</si>
  <si>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</si>
  <si>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</si>
  <si>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</si>
  <si>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</si>
  <si>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</si>
  <si>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</si>
  <si>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</si>
  <si>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</si>
  <si>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</si>
  <si>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</si>
  <si>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</si>
  <si>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</si>
  <si>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</si>
  <si>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</si>
  <si>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</si>
  <si>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</si>
  <si>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</si>
  <si>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</si>
  <si>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</si>
  <si>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</si>
  <si>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</si>
  <si>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</si>
  <si>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</si>
  <si>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</si>
  <si>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</si>
  <si>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</si>
  <si>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</si>
  <si>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</si>
  <si>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</si>
  <si>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</si>
  <si>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</si>
  <si>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</si>
  <si>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</si>
  <si>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</si>
  <si>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</si>
  <si>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</si>
  <si>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</si>
  <si>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</si>
  <si>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</si>
  <si>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</si>
  <si>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</si>
  <si>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</si>
  <si>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</si>
  <si>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</si>
  <si>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</si>
  <si>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</si>
  <si>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</si>
  <si>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</si>
  <si>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</si>
  <si>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</si>
  <si>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</si>
  <si>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</si>
  <si>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</si>
  <si>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</si>
  <si>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</si>
  <si>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</si>
  <si>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</si>
  <si>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</si>
  <si>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</si>
  <si>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</si>
  <si>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</si>
  <si>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</si>
  <si>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</si>
  <si>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</si>
  <si>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</si>
  <si>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</si>
  <si>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</si>
  <si>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</si>
  <si>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</si>
  <si>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</si>
  <si>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</si>
  <si>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</si>
  <si>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</si>
  <si>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</si>
  <si>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</si>
  <si>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</si>
  <si>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</si>
  <si>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</si>
  <si>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</si>
  <si>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</si>
  <si>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</si>
  <si>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</si>
  <si>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</si>
  <si>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</si>
  <si>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</si>
  <si>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</si>
  <si>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</si>
  <si>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</si>
  <si>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</si>
  <si>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</si>
  <si>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</si>
  <si>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</si>
  <si>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</si>
  <si>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</si>
  <si>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</si>
  <si>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</si>
  <si>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</si>
  <si>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</si>
  <si>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</si>
  <si>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</si>
  <si>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</si>
  <si>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</si>
  <si>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</si>
  <si>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</si>
  <si>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</si>
  <si>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</si>
  <si>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</si>
  <si>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</si>
  <si>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</si>
  <si>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</si>
  <si>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</si>
  <si>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</si>
  <si>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</si>
  <si>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</si>
  <si>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</si>
  <si>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</si>
  <si>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</si>
  <si>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</si>
  <si>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</si>
  <si>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</si>
  <si>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</si>
  <si>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</si>
  <si>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</si>
  <si>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</si>
  <si>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</si>
  <si>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</si>
  <si>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</si>
  <si>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</si>
  <si>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</si>
  <si>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</si>
  <si>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</si>
  <si>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</si>
  <si>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</si>
  <si>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</si>
  <si>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</si>
  <si>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</si>
  <si>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</si>
  <si>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</si>
  <si>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</si>
  <si>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</si>
  <si>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</si>
  <si>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</si>
  <si>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</si>
  <si>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</si>
  <si>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</si>
  <si>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</si>
  <si>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</si>
  <si>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</si>
  <si>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</si>
  <si>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</si>
  <si>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</si>
  <si>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</si>
  <si>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</si>
  <si>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</si>
  <si>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</si>
  <si>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</si>
  <si>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</si>
  <si>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</si>
  <si>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</si>
  <si>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</si>
  <si>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</si>
  <si>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</si>
  <si>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</si>
  <si>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</si>
  <si>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</si>
  <si>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</si>
  <si>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</si>
  <si>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</si>
  <si>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</si>
  <si>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</si>
  <si>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</si>
  <si>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</si>
  <si>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</si>
  <si>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</si>
  <si>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</si>
  <si>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</si>
  <si>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</si>
  <si>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</si>
  <si>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</si>
  <si>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</si>
  <si>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</si>
  <si>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</si>
  <si>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</si>
  <si>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</si>
  <si>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</si>
  <si>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</si>
  <si>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</si>
  <si>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</si>
  <si>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</si>
  <si>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</si>
  <si>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</si>
  <si>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</si>
  <si>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</si>
  <si>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</si>
  <si>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</si>
  <si>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</si>
  <si>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</si>
  <si>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</si>
  <si>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</si>
  <si>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</si>
  <si>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</si>
  <si>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</si>
  <si>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</si>
  <si>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</si>
  <si>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</si>
  <si>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</si>
  <si>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</si>
  <si>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</si>
  <si>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</si>
  <si>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</si>
  <si>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</si>
  <si>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</si>
  <si>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</si>
  <si>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</si>
  <si>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</si>
  <si>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</si>
  <si>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</si>
  <si>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</si>
  <si>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</si>
  <si>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</si>
  <si>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</si>
  <si>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</si>
  <si>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</si>
  <si>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</si>
  <si>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</si>
  <si>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</si>
  <si>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</si>
  <si>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</si>
  <si>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</si>
  <si>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</si>
  <si>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</si>
  <si>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</si>
  <si>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</si>
  <si>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</si>
  <si>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</si>
  <si>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</si>
  <si>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</si>
  <si>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</si>
  <si>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</si>
  <si>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</si>
  <si>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</si>
  <si>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</si>
  <si>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</si>
  <si>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</si>
  <si>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</si>
  <si>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</si>
  <si>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</si>
  <si>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</si>
  <si>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</si>
  <si>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</si>
  <si>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</si>
  <si>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</si>
  <si>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</si>
  <si>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</si>
  <si>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</si>
  <si>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</si>
  <si>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</si>
  <si>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</si>
  <si>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</si>
  <si>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</si>
  <si>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</si>
  <si>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</si>
  <si>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</si>
  <si>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</si>
  <si>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</si>
  <si>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</si>
  <si>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</si>
  <si>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</si>
  <si>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</si>
  <si>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</si>
  <si>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</si>
  <si>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</si>
  <si>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</si>
  <si>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</si>
  <si>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</si>
  <si>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</si>
  <si>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</si>
  <si>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</si>
  <si>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</si>
  <si>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</si>
  <si>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</si>
  <si>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</si>
  <si>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</si>
  <si>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</si>
  <si>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</si>
  <si>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</si>
  <si>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</si>
  <si>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</si>
  <si>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</si>
  <si>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</si>
  <si>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</si>
  <si>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</si>
  <si>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</si>
  <si>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</si>
  <si>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</si>
  <si>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</si>
  <si>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</si>
  <si>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</si>
  <si>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</si>
  <si>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</si>
  <si>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</si>
  <si>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</si>
  <si>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</si>
  <si>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</si>
  <si>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</si>
  <si>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</si>
  <si>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</si>
  <si>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</si>
  <si>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</si>
  <si>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</si>
  <si>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</si>
  <si>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</si>
  <si>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</si>
  <si>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</si>
  <si>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</si>
  <si>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</si>
  <si>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</si>
  <si>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</si>
  <si>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</si>
  <si>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</si>
  <si>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</si>
  <si>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</si>
  <si>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</si>
  <si>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</si>
  <si>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</si>
  <si>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</si>
  <si>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</si>
  <si>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</si>
  <si>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</si>
  <si>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</si>
  <si>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</si>
  <si>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</si>
  <si>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</si>
  <si>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</si>
  <si>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</si>
  <si>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</si>
  <si>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</si>
  <si>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</si>
  <si>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</si>
  <si>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</si>
  <si>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</si>
  <si>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</si>
  <si>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</si>
  <si>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</si>
  <si>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</si>
  <si>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</si>
  <si>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</si>
  <si>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</si>
  <si>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</si>
  <si>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</si>
  <si>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</si>
  <si>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</si>
  <si>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</si>
  <si>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</si>
  <si>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</si>
  <si>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</si>
  <si>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</si>
  <si>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</si>
  <si>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</si>
  <si>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</si>
  <si>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</si>
  <si>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</si>
  <si>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</si>
  <si>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</si>
  <si>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</si>
  <si>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</si>
  <si>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</si>
  <si>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</si>
  <si>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</si>
  <si>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</si>
  <si>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</si>
  <si>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</si>
  <si>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</si>
  <si>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</si>
  <si>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</si>
  <si>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</si>
  <si>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</si>
  <si>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</si>
  <si>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</si>
  <si>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</si>
  <si>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</si>
  <si>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</si>
  <si>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</si>
  <si>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</si>
  <si>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</si>
  <si>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</si>
  <si>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</si>
  <si>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</si>
  <si>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</si>
  <si>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</si>
  <si>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</si>
  <si>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</si>
  <si>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</si>
  <si>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</si>
  <si>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</si>
  <si>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</si>
  <si>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</si>
  <si>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</si>
  <si>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</si>
  <si>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</si>
  <si>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</si>
  <si>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</si>
  <si>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</si>
  <si>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</si>
  <si>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</si>
  <si>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</si>
  <si>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</si>
  <si>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</si>
  <si>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</si>
  <si>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</si>
  <si>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</si>
  <si>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</si>
  <si>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</si>
  <si>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</si>
  <si>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</si>
  <si>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</si>
  <si>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</si>
  <si>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</si>
  <si>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</si>
  <si>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</si>
  <si>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</si>
  <si>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</si>
  <si>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</si>
  <si>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</si>
  <si>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</si>
  <si>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</si>
  <si>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</si>
  <si>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</si>
  <si>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</si>
  <si>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</si>
  <si>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</si>
  <si>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</si>
  <si>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</si>
  <si>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</si>
  <si>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</si>
  <si>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</si>
  <si>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</si>
  <si>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</si>
  <si>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</si>
  <si>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</si>
  <si>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</si>
  <si>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</si>
  <si>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</si>
  <si>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</si>
  <si>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</si>
  <si>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</si>
  <si>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</si>
  <si>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</si>
  <si>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</si>
  <si>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</si>
  <si>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</si>
  <si>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</si>
  <si>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</si>
  <si>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</si>
  <si>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</si>
  <si>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</si>
  <si>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</si>
  <si>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</si>
  <si>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</si>
  <si>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</si>
  <si>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</si>
  <si>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</si>
  <si>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</si>
  <si>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</si>
  <si>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</si>
  <si>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</si>
  <si>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</si>
  <si>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</si>
  <si>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</si>
  <si>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</si>
  <si>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</si>
  <si>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</si>
  <si>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</si>
  <si>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</si>
  <si>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</si>
  <si>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</si>
  <si>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</si>
  <si>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</si>
  <si>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</si>
  <si>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</si>
  <si>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</si>
  <si>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</si>
  <si>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</si>
  <si>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</si>
  <si>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</si>
  <si>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</si>
  <si>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</si>
  <si>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</si>
  <si>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</si>
  <si>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</si>
  <si>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</si>
  <si>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</si>
  <si>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</si>
  <si>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</si>
  <si>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</si>
  <si>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</si>
  <si>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</si>
  <si>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</si>
  <si>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</si>
  <si>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</si>
  <si>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</si>
  <si>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</si>
  <si>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</si>
  <si>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</si>
  <si>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</si>
  <si>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</si>
  <si>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</si>
  <si>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</si>
  <si>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</si>
  <si>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</si>
  <si>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</si>
  <si>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</si>
  <si>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</si>
  <si>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</si>
  <si>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</si>
  <si>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</si>
  <si>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</si>
  <si>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</si>
  <si>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</si>
  <si>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</si>
  <si>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</si>
  <si>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</si>
  <si>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</si>
  <si>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</si>
  <si>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</si>
  <si>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</si>
  <si>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</si>
  <si>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</si>
  <si>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</si>
  <si>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</si>
  <si>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</si>
  <si>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</si>
  <si>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</si>
  <si>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</si>
  <si>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</si>
  <si>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</si>
  <si>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</si>
  <si>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</si>
  <si>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</si>
  <si>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</si>
  <si>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</si>
  <si>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</si>
  <si>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</si>
  <si>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</si>
  <si>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</si>
  <si>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</si>
  <si>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</si>
  <si>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</si>
  <si>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</si>
  <si>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</si>
  <si>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</si>
  <si>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</si>
  <si>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</si>
  <si>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</si>
  <si>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</si>
  <si>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</si>
  <si>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</si>
  <si>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</si>
  <si>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</si>
  <si>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</si>
  <si>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</si>
  <si>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</si>
  <si>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</si>
  <si>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</si>
  <si>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</si>
  <si>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</si>
  <si>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</si>
  <si>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</si>
  <si>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</si>
  <si>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</si>
  <si>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</si>
  <si>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</si>
  <si>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</si>
  <si>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</si>
  <si>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</si>
  <si>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</si>
  <si>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</si>
  <si>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</si>
  <si>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</si>
  <si>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</si>
  <si>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</si>
  <si>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</si>
  <si>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</si>
  <si>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</si>
  <si>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</si>
  <si>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</si>
  <si>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</si>
  <si>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</si>
  <si>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</si>
  <si>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</si>
  <si>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</si>
  <si>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</si>
  <si>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</si>
  <si>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</si>
  <si>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</si>
  <si>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</si>
  <si>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</si>
  <si>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</si>
  <si>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</si>
  <si>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</si>
  <si>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</si>
  <si>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</si>
  <si>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</si>
  <si>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</si>
  <si>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</si>
  <si>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</si>
  <si>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</si>
  <si>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</si>
  <si>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</si>
  <si>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</si>
  <si>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</si>
  <si>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</si>
  <si>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</si>
  <si>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</si>
  <si>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</si>
  <si>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</si>
  <si>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</si>
  <si>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</si>
  <si>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</si>
  <si>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</si>
  <si>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</si>
  <si>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</si>
  <si>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</si>
  <si>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</si>
  <si>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</si>
  <si>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</si>
  <si>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</si>
  <si>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</si>
  <si>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</si>
  <si>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</si>
  <si>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</si>
  <si>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</si>
  <si>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</si>
  <si>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</si>
  <si>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</si>
  <si>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</si>
  <si>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</si>
  <si>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</si>
  <si>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</si>
  <si>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</si>
  <si>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</si>
  <si>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</si>
  <si>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</si>
  <si>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</si>
  <si>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</si>
  <si>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</si>
  <si>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</si>
  <si>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</si>
  <si>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</si>
  <si>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</si>
  <si>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</si>
  <si>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</si>
  <si>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</si>
  <si>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</si>
  <si>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</si>
  <si>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</si>
  <si>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</si>
  <si>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</si>
  <si>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</si>
  <si>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</si>
  <si>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</si>
  <si>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</si>
  <si>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</si>
  <si>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</si>
  <si>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</si>
  <si>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</si>
  <si>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</si>
  <si>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</si>
  <si>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</si>
  <si>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</si>
  <si>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</si>
  <si>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</si>
  <si>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</si>
  <si>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</si>
  <si>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</si>
  <si>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</si>
  <si>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</si>
  <si>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</si>
  <si>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</si>
  <si>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</si>
  <si>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</si>
  <si>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</si>
  <si>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</si>
  <si>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</si>
  <si>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</si>
  <si>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</si>
  <si>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</si>
  <si>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</si>
  <si>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</si>
  <si>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</si>
  <si>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</si>
  <si>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</si>
  <si>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</si>
  <si>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</si>
  <si>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</si>
  <si>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</si>
  <si>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</si>
  <si>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</si>
  <si>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</si>
  <si>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</si>
  <si>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</si>
  <si>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</si>
  <si>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</si>
  <si>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</si>
  <si>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</si>
  <si>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</si>
  <si>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</si>
  <si>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</si>
  <si>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</si>
  <si>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</si>
  <si>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</si>
  <si>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</si>
  <si>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</si>
  <si>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</si>
  <si>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</si>
  <si>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</si>
  <si>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</si>
  <si>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</si>
  <si>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</si>
  <si>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</si>
  <si>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</si>
  <si>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</si>
  <si>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</si>
  <si>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</si>
  <si>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</si>
  <si>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</si>
  <si>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</si>
  <si>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</si>
  <si>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</si>
  <si>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</si>
  <si>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</si>
  <si>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</si>
  <si>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</si>
  <si>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</si>
  <si>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</si>
  <si>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</si>
  <si>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</si>
  <si>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</si>
  <si>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</si>
  <si>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</si>
  <si>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</si>
  <si>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</si>
  <si>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</si>
  <si>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</si>
  <si>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</si>
  <si>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</si>
  <si>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</si>
  <si>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</si>
  <si>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</si>
  <si>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</si>
  <si>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</si>
  <si>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</si>
  <si>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</si>
  <si>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</si>
  <si>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</si>
  <si>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</si>
  <si>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</si>
  <si>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</si>
  <si>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</si>
  <si>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</si>
  <si>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</si>
  <si>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</si>
  <si>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</si>
  <si>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</si>
  <si>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</si>
  <si>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</si>
  <si>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</si>
  <si>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</si>
  <si>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</si>
  <si>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</si>
  <si>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</si>
  <si>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</si>
  <si>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</si>
  <si>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</si>
  <si>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</si>
  <si>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</si>
  <si>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</si>
  <si>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</si>
  <si>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</si>
  <si>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</si>
  <si>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</si>
  <si>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</si>
  <si>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</si>
  <si>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</si>
  <si>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</si>
  <si>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</si>
  <si>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</si>
  <si>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</si>
  <si>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</si>
  <si>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</si>
  <si>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</si>
  <si>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</si>
  <si>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</si>
  <si>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</si>
  <si>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</si>
  <si>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</si>
  <si>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</si>
  <si>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</si>
  <si>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</si>
  <si>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</si>
  <si>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</si>
  <si>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</si>
  <si>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</si>
  <si>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</si>
  <si>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</si>
  <si>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</si>
  <si>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</si>
  <si>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</si>
  <si>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</si>
  <si>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</si>
  <si>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</si>
  <si>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</si>
  <si>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</si>
  <si>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</si>
  <si>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</si>
  <si>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</si>
  <si>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</si>
  <si>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</si>
  <si>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</si>
  <si>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</si>
  <si>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</si>
  <si>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</si>
  <si>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</si>
  <si>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</si>
  <si>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</si>
  <si>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</si>
  <si>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</si>
  <si>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</si>
  <si>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</si>
  <si>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</si>
  <si>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</si>
  <si>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</si>
  <si>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</si>
  <si>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</si>
  <si>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</si>
  <si>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</si>
  <si>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</si>
  <si>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</si>
  <si>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</si>
  <si>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</si>
  <si>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</si>
  <si>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</si>
  <si>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</si>
  <si>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</si>
  <si>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</si>
  <si>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</si>
  <si>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</si>
  <si>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</si>
  <si>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</si>
  <si>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</si>
  <si>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</si>
  <si>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</si>
  <si>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</si>
  <si>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</si>
  <si>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</si>
  <si>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</si>
  <si>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</si>
  <si>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</si>
  <si>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</si>
  <si>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</si>
  <si>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</si>
  <si>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</si>
  <si>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</si>
  <si>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</si>
  <si>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</si>
  <si>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</si>
  <si>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</si>
  <si>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</si>
  <si>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</si>
  <si>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</si>
  <si>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</si>
  <si>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</si>
  <si>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</si>
  <si>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</si>
  <si>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</si>
  <si>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</si>
  <si>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</si>
  <si>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</si>
  <si>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</si>
  <si>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</si>
  <si>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</si>
  <si>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</si>
  <si>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</si>
  <si>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</si>
  <si>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</si>
  <si>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</si>
  <si>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</si>
  <si>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</si>
  <si>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</si>
  <si>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</si>
  <si>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</si>
  <si>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</si>
  <si>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</si>
  <si>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</si>
  <si>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</si>
  <si>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</si>
  <si>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</si>
  <si>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</si>
  <si>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</si>
  <si>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</si>
  <si>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</si>
  <si>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</si>
  <si>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</si>
  <si>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</si>
  <si>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</si>
  <si>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</si>
  <si>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</si>
  <si>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</si>
  <si>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</si>
  <si>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</si>
  <si>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</si>
  <si>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</si>
  <si>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</si>
  <si>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</si>
  <si>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</si>
  <si>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</si>
  <si>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</si>
  <si>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</si>
  <si>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</si>
  <si>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</si>
  <si>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</si>
  <si>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</si>
  <si>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</si>
  <si>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</si>
  <si>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</si>
  <si>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</si>
  <si>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</si>
  <si>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</si>
  <si>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</si>
  <si>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</si>
  <si>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</si>
  <si>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</si>
  <si>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</si>
  <si>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</si>
  <si>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</si>
  <si>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</si>
  <si>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</si>
  <si>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</si>
  <si>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</si>
  <si>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</si>
  <si>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</si>
  <si>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</si>
  <si>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</si>
  <si>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</si>
  <si>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</si>
  <si>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</si>
  <si>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</si>
  <si>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</si>
  <si>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</si>
  <si>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</si>
  <si>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</si>
  <si>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</si>
  <si>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</si>
  <si>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</si>
  <si>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</si>
  <si>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</si>
  <si>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</si>
  <si>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</si>
  <si>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</si>
  <si>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</si>
  <si>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</si>
  <si>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</si>
  <si>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</si>
  <si>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</si>
  <si>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</si>
  <si>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</si>
  <si>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</si>
  <si>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</si>
  <si>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</si>
  <si>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</si>
  <si>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</si>
  <si>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</si>
  <si>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</si>
  <si>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</si>
  <si>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</si>
  <si>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</si>
  <si>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</si>
  <si>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</si>
  <si>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</si>
  <si>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</si>
  <si>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</si>
  <si>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</si>
  <si>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</si>
  <si>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</si>
  <si>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</si>
  <si>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</si>
  <si>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</si>
  <si>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</si>
  <si>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</si>
  <si>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</si>
  <si>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</si>
  <si>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</si>
  <si>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</si>
  <si>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</si>
  <si>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</si>
  <si>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</si>
  <si>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</si>
  <si>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</si>
  <si>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</si>
  <si>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</si>
  <si>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</si>
  <si>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</si>
  <si>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</si>
  <si>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</si>
  <si>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</si>
  <si>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</si>
  <si>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</si>
  <si>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</si>
  <si>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</si>
  <si>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</si>
  <si>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</si>
  <si>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</si>
  <si>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</si>
  <si>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</si>
  <si>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</si>
  <si>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</si>
  <si>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</si>
  <si>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</si>
  <si>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</si>
  <si>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</si>
  <si>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</si>
  <si>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</si>
  <si>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</si>
  <si>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</si>
  <si>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</si>
  <si>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</si>
  <si>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</si>
  <si>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</si>
  <si>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</si>
  <si>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</si>
  <si>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</si>
  <si>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</si>
  <si>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</si>
  <si>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</si>
  <si>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</si>
  <si>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</si>
  <si>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</si>
  <si>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</si>
  <si>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</si>
  <si>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</si>
  <si>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</si>
  <si>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</si>
  <si>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</si>
  <si>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</si>
  <si>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</si>
  <si>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</si>
  <si>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</si>
  <si>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</si>
  <si>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</si>
  <si>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</si>
  <si>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</si>
  <si>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</si>
  <si>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</si>
  <si>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</si>
  <si>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</si>
  <si>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</si>
  <si>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</si>
  <si>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</si>
  <si>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</si>
  <si>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</si>
  <si>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</si>
  <si>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</si>
  <si>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</si>
  <si>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</si>
  <si>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</si>
  <si>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</si>
  <si>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</si>
  <si>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</si>
  <si>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</si>
  <si>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</si>
  <si>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</si>
  <si>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</si>
  <si>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</si>
  <si>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</si>
  <si>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</si>
  <si>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</si>
  <si>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</si>
  <si>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</si>
  <si>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</si>
  <si>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</si>
  <si>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</si>
  <si>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</si>
  <si>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</si>
  <si>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</si>
  <si>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</si>
  <si>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</si>
  <si>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</si>
  <si>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</si>
  <si>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</si>
  <si>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</si>
  <si>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</si>
  <si>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</si>
  <si>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</si>
  <si>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</si>
  <si>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</si>
  <si>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</si>
  <si>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</si>
  <si>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</si>
  <si>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</si>
  <si>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</si>
  <si>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</si>
  <si>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</si>
  <si>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</si>
  <si>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</si>
  <si>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</si>
  <si>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</si>
  <si>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</si>
  <si>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</si>
  <si>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</si>
  <si>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</si>
  <si>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</si>
  <si>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</si>
  <si>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</si>
  <si>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</si>
  <si>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</si>
  <si>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</si>
  <si>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</si>
  <si>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</si>
  <si>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</si>
  <si>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</si>
  <si>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</si>
  <si>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</si>
  <si>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</si>
  <si>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</si>
  <si>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</si>
  <si>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</si>
  <si>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</si>
  <si>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</si>
  <si>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</si>
  <si>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</si>
  <si>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</si>
  <si>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</si>
  <si>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</si>
  <si>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</si>
  <si>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</si>
  <si>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</si>
  <si>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</si>
  <si>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</si>
  <si>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</si>
  <si>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</si>
  <si>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</si>
  <si>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</si>
  <si>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</si>
  <si>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</si>
  <si>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</si>
  <si>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</si>
  <si>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</si>
  <si>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</si>
  <si>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</si>
  <si>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</si>
  <si>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</si>
  <si>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</si>
  <si>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</si>
  <si>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</si>
  <si>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</si>
  <si>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</si>
  <si>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</si>
  <si>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</si>
  <si>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</si>
  <si>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</si>
  <si>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</si>
  <si>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</si>
  <si>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</si>
  <si>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</si>
  <si>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</si>
  <si>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</si>
  <si>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</si>
  <si>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</si>
  <si>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</si>
  <si>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</si>
  <si>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</si>
  <si>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</si>
  <si>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</si>
  <si>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</si>
  <si>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</si>
  <si>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</si>
  <si>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</si>
  <si>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</si>
  <si>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</si>
  <si>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</si>
  <si>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</si>
  <si>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</si>
  <si>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</si>
  <si>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</si>
  <si>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</si>
  <si>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</si>
  <si>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</si>
  <si>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</si>
  <si>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</si>
  <si>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</si>
  <si>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</si>
  <si>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</si>
  <si>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</si>
  <si>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</si>
  <si>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</si>
  <si>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</si>
  <si>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</si>
  <si>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</si>
  <si>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</si>
  <si>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</si>
  <si>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</si>
  <si>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</si>
  <si>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</si>
  <si>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</si>
  <si>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</si>
  <si>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</si>
  <si>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</si>
  <si>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</si>
  <si>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</si>
  <si>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</si>
  <si>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</si>
  <si>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</si>
  <si>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</si>
  <si>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</si>
  <si>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</si>
  <si>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</si>
  <si>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</si>
  <si>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</si>
  <si>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</si>
  <si>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</si>
  <si>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</si>
  <si>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</si>
  <si>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</si>
  <si>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</si>
  <si>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</si>
  <si>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</si>
  <si>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</si>
  <si>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</si>
  <si>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</si>
  <si>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</si>
  <si>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</si>
  <si>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</si>
  <si>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</si>
  <si>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</si>
  <si>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</si>
  <si>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</si>
  <si>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</si>
  <si>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</si>
  <si>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</si>
  <si>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</si>
  <si>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</si>
  <si>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</si>
  <si>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</si>
  <si>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</si>
  <si>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</si>
  <si>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</si>
  <si>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</si>
  <si>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</si>
  <si>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</si>
  <si>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</si>
  <si>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</si>
  <si>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</si>
  <si>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</si>
  <si>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</si>
  <si>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</si>
  <si>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</si>
  <si>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</si>
  <si>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</si>
  <si>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</si>
  <si>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</si>
  <si>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</si>
  <si>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</si>
  <si>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</si>
  <si>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</si>
  <si>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</si>
  <si>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</si>
  <si>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</si>
  <si>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</si>
  <si>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</si>
  <si>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</si>
  <si>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</si>
  <si>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</si>
  <si>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</si>
  <si>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</si>
  <si>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</si>
  <si>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</si>
  <si>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</si>
  <si>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</si>
  <si>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</si>
  <si>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</si>
  <si>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</si>
  <si>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</si>
  <si>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</si>
  <si>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</si>
  <si>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</si>
  <si>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</si>
  <si>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</si>
  <si>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</si>
  <si>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</si>
  <si>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</si>
  <si>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</si>
  <si>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</si>
  <si>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</si>
  <si>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</si>
  <si>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</si>
  <si>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</si>
  <si>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</si>
  <si>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</si>
  <si>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</si>
  <si>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</si>
  <si>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</si>
  <si>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</si>
  <si>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</si>
  <si>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</si>
  <si>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</si>
  <si>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</si>
  <si>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</si>
  <si>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</si>
  <si>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</si>
  <si>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</si>
  <si>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</si>
  <si>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</si>
  <si>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</si>
  <si>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</si>
  <si>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</si>
  <si>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</si>
  <si>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</si>
  <si>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</si>
  <si>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</si>
  <si>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</si>
  <si>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</si>
  <si>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</si>
  <si>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</si>
  <si>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</si>
  <si>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</si>
  <si>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</si>
  <si>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</si>
  <si>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</si>
  <si>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</si>
  <si>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</si>
  <si>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</si>
  <si>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</si>
  <si>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</si>
  <si>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</si>
  <si>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</si>
  <si>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</si>
  <si>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</si>
  <si>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</si>
  <si>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</si>
  <si>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</si>
  <si>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</si>
  <si>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</si>
  <si>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</si>
  <si>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</si>
  <si>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</si>
  <si>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</si>
  <si>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</si>
  <si>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</si>
  <si>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</si>
  <si>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</si>
  <si>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</si>
  <si>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</si>
  <si>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</si>
  <si>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</si>
  <si>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</si>
  <si>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</si>
  <si>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</si>
  <si>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</si>
  <si>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</si>
  <si>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</si>
  <si>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</si>
  <si>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</si>
  <si>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</si>
  <si>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</si>
  <si>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</si>
  <si>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</si>
  <si>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</si>
  <si>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</si>
  <si>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</si>
  <si>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</si>
  <si>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</si>
  <si>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</si>
  <si>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</si>
  <si>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</si>
  <si>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</si>
  <si>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</si>
  <si>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</si>
  <si>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</si>
  <si>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</si>
  <si>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</si>
  <si>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</si>
  <si>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</si>
  <si>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</si>
  <si>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</si>
  <si>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</si>
  <si>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</si>
  <si>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</si>
  <si>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</si>
  <si>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</si>
  <si>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</si>
  <si>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</si>
  <si>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</si>
  <si>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</si>
  <si>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</si>
  <si>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</si>
  <si>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</si>
  <si>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</si>
  <si>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</si>
  <si>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</si>
  <si>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</si>
  <si>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</si>
  <si>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</si>
  <si>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</si>
  <si>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</si>
  <si>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</si>
  <si>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</si>
  <si>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</si>
  <si>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</si>
  <si>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</si>
  <si>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</si>
  <si>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</si>
  <si>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</si>
  <si>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</si>
  <si>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</si>
  <si>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</si>
  <si>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</si>
  <si>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</si>
  <si>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</si>
  <si>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</si>
  <si>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</si>
  <si>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</si>
  <si>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</si>
  <si>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</si>
  <si>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</si>
  <si>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</si>
  <si>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</si>
  <si>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</si>
  <si>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</si>
  <si>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</si>
  <si>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</si>
  <si>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</si>
  <si>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</si>
  <si>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</si>
  <si>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</si>
  <si>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</si>
  <si>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</si>
  <si>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</si>
  <si>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</si>
  <si>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</si>
  <si>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</si>
  <si>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</si>
  <si>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</si>
  <si>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</si>
  <si>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</si>
  <si>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</si>
  <si>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</si>
  <si>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</si>
  <si>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</si>
  <si>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</si>
  <si>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</si>
  <si>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</si>
  <si>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</si>
  <si>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</si>
  <si>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</si>
  <si>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</si>
  <si>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</si>
  <si>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</si>
  <si>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</si>
  <si>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</si>
  <si>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</si>
  <si>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</si>
  <si>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</si>
  <si>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</si>
  <si>
    <t>16ba646f-1232-48eb-9489-8650ce9c2094</t>
  </si>
  <si>
    <t>62050909-0089-4686-9ce5-12d9e7af2869</t>
  </si>
  <si>
    <t>Shattered Aeons</t>
  </si>
  <si>
    <t>The Labyrinths of Lunacy</t>
  </si>
  <si>
    <t>SHA</t>
  </si>
  <si>
    <t>LOL</t>
  </si>
  <si>
    <t>04d5f69a-a40f-49ac-914f-fa53687ea7b9</t>
  </si>
  <si>
    <t>AW</t>
  </si>
  <si>
    <t>Kerosene</t>
  </si>
  <si>
    <t>Uses (3 supplies). If Kerosene has no supplies, discard it._x000D_
η If an enemy was defeated at this location this round, exhaust Kerosene and spend 1 supply: Heal up to 2 horror from among investigators and [[Ally]] assets at your location.</t>
  </si>
  <si>
    <t>2d5a7b01-f50d-42a3-8db3-3c383cb17912</t>
  </si>
  <si>
    <t>Flamethrower</t>
  </si>
  <si>
    <t>Body. Hand x2</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</si>
  <si>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</si>
  <si>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4bdb5e96-f6c5-488a-8c78-d71183239041</t>
  </si>
  <si>
    <t>Vantage Point</t>
  </si>
  <si>
    <t>Fast. Play after a location enters play or is revealed during an investigator's turn._x000D_
Until the end of the active investigator's turn, that location gets -1 shroud. You may move 1 clue to that location from any other location.</t>
  </si>
  <si>
    <t>b4b13e0c-abd7-4a1e-93f7-0781cab068ee</t>
  </si>
  <si>
    <t>Pnakotic Manuscripts</t>
  </si>
  <si>
    <t>Mind-Expanding Ideas</t>
  </si>
  <si>
    <t>Item. Relic. Tome.</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</si>
  <si>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</si>
  <si>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6b70667e-4179-4b6e-815b-440bef3b5606</t>
  </si>
  <si>
    <t>Borrowed Time</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</si>
  <si>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</si>
  <si>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3394aa3b-c35a-49d3-b1b6-bc0bc0162ff9</t>
  </si>
  <si>
    <t>Max 1 committed per skill test._x000D_
If this test is successful, draw 1 card for each point you succeeded by, to a maximum of 5. Shuffle each weakness drawn by this effect back into your deck without resolving it.</t>
  </si>
  <si>
    <t>5e413d84-f3e8-4c40-8b83-fe1e69f73c6c</t>
  </si>
  <si>
    <t>Shards of the Void</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</si>
  <si>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</si>
  <si>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36561aa6-4bce-494e-80ec-c98b80088213</t>
  </si>
  <si>
    <t>Seal of the Seventh Sign</t>
  </si>
  <si>
    <t>Over the Threshold and Beyond</t>
  </si>
  <si>
    <t>Spell. Ritual.</t>
  </si>
  <si>
    <t>Seal (ζ). Uses (7 charges). If Seal of the Seventh Sign has no charges, or if it leaves play, remove it from the game._x000D_
Forced - After a α, β, γ, or δ token is revealed during any skill test: Remove 1 charge from Seal of the Seventh Sign.</t>
  </si>
  <si>
    <t>52209ebb-4ac1-4b38-b47e-a85fb7ff22c0</t>
  </si>
  <si>
    <t>Impromptu Barrier</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</si>
  <si>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</si>
  <si>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f981c0dc-32f1-4646-b3a2-d93d45ba37d1</t>
  </si>
  <si>
    <t>Alter Fate</t>
  </si>
  <si>
    <t>Fast. Play during any θ player window._x000D_
Choose and discard from play a non-weakness treachery that is not attached to an [[Elite]] enemy.</t>
  </si>
  <si>
    <t>9595aa3f-07ec-4d79-8d74-b8a79256e49f</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</si>
  <si>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</si>
  <si>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</si>
  <si>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72c7e19e-d6f4-4b52-881d-50a629959432</t>
  </si>
  <si>
    <t>Threads of Time</t>
  </si>
  <si>
    <t>Forced - If an investigator with the Relic of Ages in his or her hand, deck, discard pile, or play area is eliminated: Immediately advance to agenda 3b.</t>
  </si>
  <si>
    <t>Shuffle the encounter discard pile into the encounter deck.
Spawn the set-aside Formless Spawn in the Nexus of N'kai.
Place this card in the victory display. It gains Vengeance 1.</t>
  </si>
  <si>
    <t>1d947ab7-49e3-4937-82ec-65194ac53c69</t>
  </si>
  <si>
    <t>Pendulous Threads</t>
  </si>
  <si>
    <t>Shuffle the encounter discard pile into the encounter deck.
If Formless Spawn is in play, place 2 doom on the Nexus of N'kai. If Formless Spawn is in the victory display, shuffle it into the encounter deck.
Place this card in the victory display. It gains Vengeance 1.</t>
  </si>
  <si>
    <t>11348581-4801-44e1-b463-1ea2d11bd9a4</t>
  </si>
  <si>
    <t>Snapped Threads</t>
  </si>
  <si>
    <t>(-&gt;R4)</t>
  </si>
  <si>
    <t>b42714b0-c093-4cb4-a2f9-63cd2522369d</t>
  </si>
  <si>
    <t>Worlds Beyond</t>
  </si>
  <si>
    <t>Forced - When an enemy would spawn at an empty location and there are no empty locations in play: Reveal cards from the exploration deck until a location is revealed. Put that location into play and spawn that enemy there. Shuffle the exploration deck.</t>
  </si>
  <si>
    <t>Shuffle the set-aside A Pocket in Time location into the exploration deck.</t>
  </si>
  <si>
    <t>871beb2e-a160-4e9e-97a2-ca45c7e74453</t>
  </si>
  <si>
    <t>Search for the Brotherhood</t>
  </si>
  <si>
    <t>Objective - If an investigator enters A Pocket in Time, advance.</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</si>
  <si>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</si>
  <si>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c68b083c-875c-4bbe-be2d-a9d133b10936</t>
  </si>
  <si>
    <t>The Yithian Relic</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</si>
  <si>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</si>
  <si>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</si>
  <si>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4789e966-5d6b-4fe3-a3d2-e540703d96e2</t>
  </si>
  <si>
    <t>Mend the Shatter</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</si>
  <si>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</si>
  <si>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If Relic of Ages (Repossess the Past) is the version of the Relic of Ages that the investigators control, proceed to (-&gt;R5).
If the investigators control any other version of the Relic of Ages, proceed to (-&gt;R1).</t>
  </si>
  <si>
    <t>426e07e6-8729-484a-a0bc-73ca0281addd</t>
  </si>
  <si>
    <t>Paradise Lost</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</si>
  <si>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</si>
  <si>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1d817dd9-032c-441b-a49f-0efdce77d3be</t>
  </si>
  <si>
    <t>Timelock</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</si>
  <si>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</si>
  <si>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(-&gt;R3)</t>
  </si>
  <si>
    <t>9964782a-d79b-452f-8e16-20a890f9f700</t>
  </si>
  <si>
    <t>Nexus of N'kai</t>
  </si>
  <si>
    <t>Unraveling the Threads</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</si>
  <si>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</si>
  <si>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74080182-a727-4a63-98b0-42e0909e4bdc</t>
  </si>
  <si>
    <t>Yig's Mercy</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</si>
  <si>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</si>
  <si>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Hunter. Retaliate.
η: Parley. Test έ (5) to plead for your life. If a β symbol is revealed during this test, you automatically succeed. If you fail, Ichtaca attacks you. If you succeed, flip this card over and resolve its text.</t>
  </si>
  <si>
    <t>bbe64a25-336f-4deb-a46c-6dfb3909b5dd</t>
  </si>
  <si>
    <t>Another Way</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</si>
  <si>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</si>
  <si>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Alert. Hunter.
η: Parley. Test έ (5) to plead for your life. If a γ symbol is revealed during this test, you automatically succeed. If you fail, Alejandro Vela attacks you. If you succeed, flip this card over and resolve its text.</t>
  </si>
  <si>
    <t>6490e55a-3fe2-4c4d-a1c4-4a135eb67270</t>
  </si>
  <si>
    <t>Yuggoth</t>
  </si>
  <si>
    <t>η: Flip a clue on Yuggoth to its doom side. Draw 1 card.</t>
  </si>
  <si>
    <t>21e1dea3-83a0-4e12-8030-f854c05d3599</t>
  </si>
  <si>
    <t>Shores of R'lyeh</t>
  </si>
  <si>
    <t>Shores of R'lyeh gets +1 shroud for each doom on each card in Shores of R'lyeh (including itself).
Forced - After Shores of R'lyeh enters play: Place 1 doom on it.</t>
  </si>
  <si>
    <t>1d9a0644-1a4c-4458-acf8-0859124b94d7</t>
  </si>
  <si>
    <t>City of the Unseen</t>
  </si>
  <si>
    <t>Forced - After 1 or more doom is placed on a [β] enemy at City of the Unseen: Place 1 additional doom on that enemy.</t>
  </si>
  <si>
    <t>eba05542-79ba-44d4-940b-029d53705c26</t>
  </si>
  <si>
    <t>A Pocket in Time</t>
  </si>
  <si>
    <t>Extradimensional.</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</si>
  <si>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</si>
  <si>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65d2d198-22f5-442e-8470-c52b9098de7d</t>
  </si>
  <si>
    <t>Ruins of New York</t>
  </si>
  <si>
    <t>Shattered. Future. Ruins.</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</si>
  <si>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</si>
  <si>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8e0afc24-98cd-4e26-a6a8-6bd2fb920741</t>
  </si>
  <si>
    <t>Mu</t>
  </si>
  <si>
    <t>Shattered. Ancient.</t>
  </si>
  <si>
    <t>While you are at Mu, the first α, β, γ, or δ symbol you reveal during each skill test gains: "Reveal another token."</t>
  </si>
  <si>
    <t>08f10edb-be29-4429-8920-ea642aa7aece</t>
  </si>
  <si>
    <t>Atlantis</t>
  </si>
  <si>
    <t>Forced - After an ζ symbol is revealed during a skill test at any location: Place 1 doom on Atlantis. Then, if there are 3 or more doom on Atlantis, remove it from the game. Each enemy and investigator that was at Atlantis is defeated.</t>
  </si>
  <si>
    <t>f1d78a4e-87ae-40cf-a508-f3e6380f8013</t>
  </si>
  <si>
    <t>Pnakotus</t>
  </si>
  <si>
    <t>η If there are at least 3 γ tokens in the chaos bag or sealed on cards in play: Discover all of the clues on Pnakotus and draw that many cards. (Group limit once per game.)</t>
  </si>
  <si>
    <t>b8450b58-6cc4-4f93-b389-861a932b62dc</t>
  </si>
  <si>
    <t>Valusia</t>
  </si>
  <si>
    <t>η If there are at least 3 β tokens in the chaos bag or sealed on cards in play: Heal 2 damage and 2 horror. Set Valusia's shroud to 0 for the remainder of the game. (Group limit once per game.)</t>
  </si>
  <si>
    <t>8fab82bd-d9ba-456f-bffc-63645029a15a</t>
  </si>
  <si>
    <t>Plateau of Leng</t>
  </si>
  <si>
    <t>Shattered. Present-Day.</t>
  </si>
  <si>
    <t>Forced - If you reveal an δ symbol during a skill test at Plateau of Leng: Take 1 horror.</t>
  </si>
  <si>
    <t>f9b9ed93-13c5-48ed-9063-4d373a57fbde</t>
  </si>
  <si>
    <t>Formless Spawn</t>
  </si>
  <si>
    <t>From the Abyss</t>
  </si>
  <si>
    <t>Spawn - Nexus of N'kai.
Massive. Formless Spawn cannot move or be moved.
Formless Spawn gets +1 fight and +1 evade for each doom on each card in Nexus of N'kai .</t>
  </si>
  <si>
    <t>f5a87d07-b721-49e0-aa1e-af668db9a863</t>
  </si>
  <si>
    <t>Temporal Devourer</t>
  </si>
  <si>
    <t>Monster. Extradimensional.</t>
  </si>
  <si>
    <t>Spawn - Farthest [[shattered]] or [[extradimensional]] location. If there are no such locations in play, Temporal Devourer gains surge.
Hunter.
Forced - After Temporal Devourer enters a Shattered or Extradimensional location: Place 1 clue on that location .</t>
  </si>
  <si>
    <t>dd7befc2-f6ed-4a64-afcf-269050618bab</t>
  </si>
  <si>
    <t>Shattered Ages</t>
  </si>
  <si>
    <t>Revelation - Test ά (4). If you fail, place 1 clue on each location other than Nexus of N'kai.</t>
  </si>
  <si>
    <t>bf17be6b-e611-4bdc-98a6-4150e5041fa1</t>
  </si>
  <si>
    <t>Between Worlds</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</si>
  <si>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</si>
  <si>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72e4caaa-c2fc-45bd-982f-9dba075771e9</t>
  </si>
  <si>
    <t>Wracked by Time</t>
  </si>
  <si>
    <t>Revelation - Test ά (3). Each investigator at a [[shattered]] location must also perform this skill test. Each investigator who fails takes 2 damage. Each asset assigned damage by this effect that is not defeated is shuffled into its owner's deck.</t>
  </si>
  <si>
    <t>59f90626-8415-4234-961f-62d156c824fb</t>
  </si>
  <si>
    <t>Creeping Darkness</t>
  </si>
  <si>
    <t>Revelation - Attach to Nexus of N'kai. Place 1 doom on Creeping Darkness.
Formless Spawn gets +1π health.
η η: Test ά (3) or check your supplies. If you succeed, or if you have torches, Discard Creeping Shadows.</t>
  </si>
  <si>
    <t>0511e933-fe25-4020-8014-cd4c8aa23cb1</t>
  </si>
  <si>
    <t>Unleash the Timestream</t>
  </si>
  <si>
    <t>Forced - After you resolve a treachery while exploring: Shuffle that treachery back into the exploration deck instead of discarding it.</t>
  </si>
  <si>
    <t>88c8a01f-7824-4ff3-9df4-4437ec24d12e</t>
  </si>
  <si>
    <t>Turn Back Time</t>
  </si>
  <si>
    <t>α: -X . X is the number of locations with doom on them.
δ: -4. If you fail, place 1 doom on your location.</t>
  </si>
  <si>
    <t>α: -X . X is the total amount of doom on locations.
δ: -6. Place 1 doom on your location.</t>
  </si>
  <si>
    <t>24fcae1d-8f27-41b7-9b4d-f4ed826cf0e1</t>
  </si>
  <si>
    <t>Into the Ruins Once Again</t>
  </si>
  <si>
    <t>Shuffle the set-aside Chamber of Time location into the exploration deck.
Place this act in the victory display. It gains Vengeance 2.</t>
  </si>
  <si>
    <t>c802ada6-af92-4074-80db-144588d0c244</t>
  </si>
  <si>
    <t>The Chamber of Still Remains</t>
  </si>
  <si>
    <t>η: Explore. Draw the top card of the exploration deck. If it is a connecting location, put it into play and move to it.
Objective - Only investigators in the Chamber of Time may spend the requisite number of clues, as a group, to advance.</t>
  </si>
  <si>
    <t>Choose an investigator in the Chamber of Time to take control of the Relic of Ages.
Search the collection for Yig (The Forgotten Age card #296). Spawn it in the Chamber of Time.
Place this act in the victory display. It gains Vengeance 2.</t>
  </si>
  <si>
    <t>3497fd96-86dd-4b4f-af60-8cca3ecc9729</t>
  </si>
  <si>
    <t>Moment of Doom</t>
  </si>
  <si>
    <t>Relic of Ages gains: "η: Test ά or έ (4). If you succeed, flip a clue controlled by an investigator at your location to its doom side, and place it on your location. Then, deal 3 damage to Yig."
Objective - If Yig is defeated, advance.</t>
  </si>
  <si>
    <t>(-&gt;R1).</t>
  </si>
  <si>
    <t>0319b932-9c94-4643-8240-97e05e9db3a6</t>
  </si>
  <si>
    <t>AX</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</si>
  <si>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</si>
  <si>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</si>
  <si>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f555a583-ef14-428c-8382-f80a67ea873c</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</si>
  <si>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</si>
  <si>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Hope Lingers</t>
  </si>
  <si>
    <t>Advance the current act card and follow its instructions._x000D_
When you are instructed to resolve Act 2 Setup, those setup instructions can be found in the rules booklet (use the section for your Group).</t>
  </si>
  <si>
    <t>2708956f-ddda-4207-ad70-e10c9ba99d3c</t>
  </si>
  <si>
    <t>c6c3a7fb-e872-4c2a-a533-591f191c684c</t>
  </si>
  <si>
    <t>Agony and Despair</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</si>
  <si>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</si>
  <si>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Hope Fades</t>
  </si>
  <si>
    <t>Advance the current act card and follow its instructions._x000D_
When you are instructed to resolve Act 3 Setup, those setup instructions can be found in the rules booklet (use the section for your Group).</t>
  </si>
  <si>
    <t>b49fd1c7-d7a9-457c-be01-6b2dbf032b5e</t>
  </si>
  <si>
    <t>274bbc0d-1755-47ba-ab67-f2fbf3ed2a04</t>
  </si>
  <si>
    <t>The Mastermind</t>
  </si>
  <si>
    <t>Each [[distortion]] location gains:_x000D_
"η ξ4+1&amp;lt; T %2β+: &amp;lt;+@2 H &amp;lt;@6@~+ ά9 EIXODOLON. (Group limit once per game.)"_x000D_
Objective - If each investigator is defeated, advance this agenda.</t>
  </si>
  <si>
    <t>Hope is Lost</t>
  </si>
  <si>
    <t>In this timeline, the ritual is complete._x000D_
If you are playing in Epic Multiplayer Mode, move all damage from Eixodolon to another group's copy of Eixodolon._x000D_
Each investigator in this group is killed. (-&gt;R1)</t>
  </si>
  <si>
    <t>162cd2e5-78fd-49f4-bd4f-ef8b55391546</t>
  </si>
  <si>
    <t>Sealed In (Group A)</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</si>
  <si>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</si>
  <si>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Success… Or Death</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</si>
  <si>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</si>
  <si>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6853489f-f727-4bea-adef-63b7751546c3</t>
  </si>
  <si>
    <t>Watery Grave (Group B)</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</si>
  <si>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</si>
  <si>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A Slow Death</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</si>
  <si>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</si>
  <si>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500dfe08-f5ad-4659-8031-ec73ea11aa4f</t>
  </si>
  <si>
    <t>The Levers (Group C)</t>
  </si>
  <si>
    <t>Timed - Do not advance this act until you are instructed. Before the agenda advances, one investigator must activate the η ability on the Chamber of Regret. (Beware- If you pull the wrong lever, you will be killed.)</t>
  </si>
  <si>
    <t>Which Lever?</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</si>
  <si>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</si>
  <si>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86b254c4-6ac5-4e0d-a81e-d5d8c1b1501e</t>
  </si>
  <si>
    <t>Timed - Do not advance this act until you are instructed. Before the agenda advances, one investigator must activate the η ability on the Chamber of Regret. Beware- If you pull the wrong lever, you will be killed</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</si>
  <si>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</si>
  <si>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b3c6471d-3649-414e-9aa7-6d30b43c5084</t>
  </si>
  <si>
    <t>Distortions in Time (Group A)</t>
  </si>
  <si>
    <t>Timed - Do not advance this act until you are instructed. When the agenda advances, there must be at least 11 doom in play. (Beware- If the agenda advances and you do not meet this condition, each invesigator in this group will be killed.)</t>
  </si>
  <si>
    <t>Reverse Rhythm</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</si>
  <si>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</si>
  <si>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edf519c4-d5c4-4473-8d83-a3dfdae1c225</t>
  </si>
  <si>
    <t>Seeping Death (Group B)</t>
  </si>
  <si>
    <t>Timed - Do not advance this act until you are instructed. Before the agenda advances, one investigator must activate the η ability on the Chamber of Poison.</t>
  </si>
  <si>
    <t>The Pit of Poison</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</si>
  <si>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</si>
  <si>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f4f9a3bb-b647-4f6f-8450-f1625e2ade46</t>
  </si>
  <si>
    <t>The Pet (Group C)</t>
  </si>
  <si>
    <t>Timed - Do not advance this act until you are instructed. Find a way to deal with Eixodolon's Pet before the agenda advances. (Beware- If the creature is still locked away when the agenda advances, it will break free.)</t>
  </si>
  <si>
    <t>Endless Hunger</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</si>
  <si>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</si>
  <si>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fefaab53-49ea-44df-b920-7bdac3f88425</t>
  </si>
  <si>
    <t>The Escape</t>
  </si>
  <si>
    <t>Objective - At the end of the round, if Eixodolon has no remaining health, you may move any damage on him in excess of his health to another group's copy of Eixodolon. Then, advance.</t>
  </si>
  <si>
    <t>Parallel Labyrinths</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</si>
  <si>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</si>
  <si>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5919c177-00eb-4105-a07d-13b64cc4751a</t>
  </si>
  <si>
    <t>Objective - If Eixodolon has no remaining health, advance.</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</si>
  <si>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</si>
  <si>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c52ad456-85c4-4186-ba30-d97bb58b55f6</t>
  </si>
  <si>
    <t>Chamber of Secrets</t>
  </si>
  <si>
    <t>Prison. Distortion.</t>
  </si>
  <si>
    <t>Bloody Prison</t>
  </si>
  <si>
    <t>η: You pound your fists on the wall of the chamber. Nobody responds.</t>
  </si>
  <si>
    <t>71accc6d-c332-4b43-bb2b-7dce823b239f</t>
  </si>
  <si>
    <t>Mysterious Prison</t>
  </si>
  <si>
    <t>155bc3e4-bc00-4546-aba6-2331d69da40b</t>
  </si>
  <si>
    <t>Enshrouded Prison</t>
  </si>
  <si>
    <t>abcd74a9-9cd2-4a2b-bc30-5429d39a6871</t>
  </si>
  <si>
    <t>Chamber of Rain</t>
  </si>
  <si>
    <t>Distortion.</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</si>
  <si>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</si>
  <si>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62ff2676-2c68-41b2-9101-c91afde75d11</t>
  </si>
  <si>
    <t>Chamber of Sorrows</t>
  </si>
  <si>
    <t>Prison.</t>
  </si>
  <si>
    <t>η: Test ή (1) to try to break down the door to the flooding terrarium. Regardless of whether you succeed or fail, it does not budge. Remember that you tried your best.</t>
  </si>
  <si>
    <t>3ae10f16-2962-4f82-a442-8b3e0d695a29</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</si>
  <si>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</si>
  <si>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fb52a488-cc7f-449f-8f9a-76ba87819984</t>
  </si>
  <si>
    <t>Chamber of Night</t>
  </si>
  <si>
    <t>η: You call out for help as loud as you can. Nobody responds.</t>
  </si>
  <si>
    <t>1cc12b7c-5316-43f6-9ded-cb45fdddea9a</t>
  </si>
  <si>
    <t>η: Test έ (4). If you succeed, you notice strange writing inscribed along the wall; look at the revealed side of the location underneath the scenario reference card. When you are satisfied, place it back underneath the scenario reference card.</t>
  </si>
  <si>
    <t>78f85a38-3188-4a3e-b3d2-d3653562ba94</t>
  </si>
  <si>
    <t>Chamber of Regret</t>
  </si>
  <si>
    <t>No more than one investigator may be in the Chamber of Regret at a time.</t>
  </si>
  <si>
    <t>ba58c714-53ff-4d39-bea4-31d6ef8ef0d8</t>
  </si>
  <si>
    <t>Labyrinthine Halls</t>
  </si>
  <si>
    <t>Foul-smelling Path</t>
  </si>
  <si>
    <t>θ Choose and discard 2 cards from your hand: You find an old lockbox in a pile of refuse, and decide to leave something behind. At the end of the round, choose another investigator in any group. That investigator draws 2 cards. (Group limit once per game.)</t>
  </si>
  <si>
    <t>cacefbbf-36a4-4042-bfba-74287bdbc209</t>
  </si>
  <si>
    <t>Corpse-filled Path</t>
  </si>
  <si>
    <t>θ Spend 4 resources: You find the corpse of someone you think you once knew, and wish you could have saved them. At the end of the round, choose another investigator in any group. That investigator gains 4 resources. (Group limit once per game.)</t>
  </si>
  <si>
    <t>9694b3b0-914a-4c42-9948-8f7818f73f60</t>
  </si>
  <si>
    <t>Overgrown Path</t>
  </si>
  <si>
    <t>η η: You peer through an overgrown mirror and see an unfamiliar reflection. At the end of the round, choose another investigator in any group. That investigator may take 2 additional actions during his or her next turn. (Group limit once per game.)</t>
  </si>
  <si>
    <t>a75a5edc-4232-4866-847b-e33bb49af072</t>
  </si>
  <si>
    <t>Chamber of Hunger</t>
  </si>
  <si>
    <t>θ If there are no clues on Chamber of Hunger: There is something strange drawn on the glass. Take control of the set-aside Hunger Diagram.</t>
  </si>
  <si>
    <t>3fa85904-9e4d-4edb-b4d9-0b2f42fb521b</t>
  </si>
  <si>
    <t>Chamber of Decay</t>
  </si>
  <si>
    <t>θ If there are no clues on Chamber of Decay: There's a journal here with some strange scribblings. Take control of the set-aside Decay Diagram.</t>
  </si>
  <si>
    <t>ec3a83c6-789d-46e2-b80a-76eb265d6765</t>
  </si>
  <si>
    <t>Chamber of Rot</t>
  </si>
  <si>
    <t>θ If there are no clues on Chamber of Rot: There is something strange etched on the walls. Take control of the set-aside Rot Diagram.</t>
  </si>
  <si>
    <t>a6434c25-d4d1-48b9-90f3-103ad50e7bcb</t>
  </si>
  <si>
    <t>Chamber of Poison</t>
  </si>
  <si>
    <t>The ladder leading into the Chamber of Poison must be lowered. As an additional cost to enter the Chamber of Poison, investigators in the Chamber of Rot must spend 1π clues, as a group.</t>
  </si>
  <si>
    <t>91dbe868-4e64-4001-980f-6b5f287f1a0f</t>
  </si>
  <si>
    <t>78b1daa0-8ef2-4d3a-9945-dcfb34884472</t>
  </si>
  <si>
    <t>Arcane Runes</t>
  </si>
  <si>
    <t>Act 1.</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</si>
  <si>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</si>
  <si>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Deep Within the Labyrinth…</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</si>
  <si>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</si>
  <si>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182f682b-9f14-4c22-a977-c7a63ffd165c</t>
  </si>
  <si>
    <t>The Rift</t>
  </si>
  <si>
    <t>Act 1. Act 2.</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</si>
  <si>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</si>
  <si>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</si>
  <si>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03fc5d18-fd91-424f-8fbe-01d267d25a5e</t>
  </si>
  <si>
    <t>The Vent</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</si>
  <si>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</si>
  <si>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Take the cards, tokens, and notes on or underneath this card and place them on or underneath another group's copy of The Vent._x000D_
Flip this card back over.</t>
  </si>
  <si>
    <t>b6b4cd34-035a-4cc4-a45b-a00c70e18b3c</t>
  </si>
  <si>
    <t>The Dilemma</t>
  </si>
  <si>
    <t>Act 2.</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</si>
  <si>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</si>
  <si>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</si>
  <si>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a74f55de-c7e4-49de-9948-c5bc2248efa1</t>
  </si>
  <si>
    <t>The Gate</t>
  </si>
  <si>
    <t>Revelation - Attach The Gate to a [[Distortion]] location._x000D_
η Spend 1 clue: You enter the doorway. Flip this story card over and follow the instructions on its other side.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</si>
  <si>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</si>
  <si>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61fb1a4c-b8c4-492e-b62c-d0ac5a6412c6</t>
  </si>
  <si>
    <t>Encrypted Glyphs</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</si>
  <si>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</si>
  <si>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</si>
  <si>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0a109bdc-b669-4300-853c-a321d0b48929</t>
  </si>
  <si>
    <t>Eixodolon's Note</t>
  </si>
  <si>
    <t>Item. Script.</t>
  </si>
  <si>
    <t>Forced - When you are defeated: Give control of Eixolodon's Note to another investigator.</t>
  </si>
  <si>
    <t>655b63b0-7c6e-43b5-968c-3c15722b73c5</t>
  </si>
  <si>
    <t>Key of Mysteries</t>
  </si>
  <si>
    <t>Forced - When you are defeated: Place Key of Mysteries at your location._x000D_
While the Key of Mysteries is uncontrolled, it gains: η: Investigate. If you succeed, instead of discovering clues, take control of the Key of Mysteries.</t>
  </si>
  <si>
    <t>a2b55f0c-5180-44ab-bef2-12041c2659e6</t>
  </si>
  <si>
    <t>Mysterious Syringe</t>
  </si>
  <si>
    <t>Forced - When you are defeated: Give control of Mysterious Syringe to another investigator._x000D_
η: Choose an investigator at your location and remove Mysterious Syringe from the game. Remember that the chosen investigator has been injected.</t>
  </si>
  <si>
    <t>beff7428-875f-4616-9241-2c36f57a30aa</t>
  </si>
  <si>
    <t>Rot Diagram</t>
  </si>
  <si>
    <t>Forced - When you are defeated: Give control of Rot Diagram to another investigator._x000D_
While you are in the Chamber of Decay, it gains: η: Place 1 doom here. Flip any number of your clues to their doom side and place them here.</t>
  </si>
  <si>
    <t>cce2e5c7-4b6e-4d16-afaa-cf0ee40777c4</t>
  </si>
  <si>
    <t>Forced - When you are defeated: Give control of Rot Diagram to another investigator._x000D_
While you are in the Chamber of Rot, it gains: η: Investigate. If you succeed, instead of discovering clues, take control of the set-aside Mysterious Syringe.</t>
  </si>
  <si>
    <t>447e1794-13e1-448a-adee-2739317beaf9</t>
  </si>
  <si>
    <t>Hunger Diagram</t>
  </si>
  <si>
    <t>Forced - When you are defeated: Give control of Hunger Diagram to another investigator._x000D_
While you are in the Chamber of Rot, it gains: η: Investigate. If you succeed, instead of discovering clues, take control of the set-aside Mysterious Syringe.</t>
  </si>
  <si>
    <t>d25f33d2-c4cd-4299-857f-e0ac2e3a2d73</t>
  </si>
  <si>
    <t>Forced - When you are defeated: Give control of Hunger Diagram to another investigator._x000D_
While you are in the Chamber of Hunger, it gains: â€œη If Eixodolon's Pet is 'locked away,' spend 1 clue: Deal 4 damage to Eixodolon's Pet.â€</t>
  </si>
  <si>
    <t>9e268ce7-82fa-4b15-b0bc-a1f034203a44</t>
  </si>
  <si>
    <t>Decay Diagram</t>
  </si>
  <si>
    <t>Forced - When you are defeated: Give control of Decay Diagram to another investigator._x000D_
While you are in the Chamber of Hunger, it gains: η If Eixodolon's Pet is 'locked away,' spend 1 clue: Deal 4 damage to Eixodolon's Pet.</t>
  </si>
  <si>
    <t>2a04acb2-4b13-4bd7-bb65-954d817c6b47</t>
  </si>
  <si>
    <t>Forced - When you are defeated: Give control of Decay Diagram to another investigator._x000D_
While you are in the Chamber of Decay, it gains: η: Place 1 doom here. Flip any number of your clues to their doom side and place them here.</t>
  </si>
  <si>
    <t>675e2459-3ba9-4d1b-bfb2-9329599e8e85</t>
  </si>
  <si>
    <t>Eixodolon</t>
  </si>
  <si>
    <t>Your Anguish Is My Power</t>
  </si>
  <si>
    <t>Hunter. Retaliate._x000D_
Eixodolon gets +6π health and cannot be defeated by damage._x000D_
Forced - When the enemy phase begins, if there is a copy of Harvested Pain in the victory display: Ready Eixodolon.</t>
  </si>
  <si>
    <t>723de15a-c682-4880-bac6-7d9c9646026f</t>
  </si>
  <si>
    <t>Eixodolon's Pet</t>
  </si>
  <si>
    <t>You Are Not Its First Victim, Or Its Last</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</si>
  <si>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</si>
  <si>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cdd2f61c-e48e-48bb-8ad5-c0395e8192a3</t>
  </si>
  <si>
    <t>Hunter. Retaliate._x000D_
While Eixodolon's Pet is locked away, it is immune to player card effects.</t>
  </si>
  <si>
    <t>e86a6253-1c9a-4e3a-834d-3d516d6ba780</t>
  </si>
  <si>
    <t>The Jailor</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</si>
  <si>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</si>
  <si>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a0dda595-0a83-4fe6-bf4b-1b11c002ccf3</t>
  </si>
  <si>
    <t>Faceless Abductor</t>
  </si>
  <si>
    <t>Spawn - Nearest [[Prison]] location._x000D_
Hunter._x000D_
Forced - After Faceless Abductor attacks an investigator: Move that investigator to a [[Prison]] location.</t>
  </si>
  <si>
    <t>e8de7e2c-0a50-4e5b-9052-6fad81db512d</t>
  </si>
  <si>
    <t>Tortured Victim</t>
  </si>
  <si>
    <t>Humanoid. Extradimensional.</t>
  </si>
  <si>
    <t>Revelation - You must either discard a random card from your hand, or Tortured Victim makes an immediate attack against you.</t>
  </si>
  <si>
    <t>c4cbc597-a14f-418e-a29d-0ad507042021</t>
  </si>
  <si>
    <t>Mi-Go Guard</t>
  </si>
  <si>
    <t>Monster. Mi-Go.</t>
  </si>
  <si>
    <t>Prey - Most remaining health._x000D_
For each α, β, γ, or δ token revealed during an attack against Mi-Go Guard, that attack deals 1 fewer damage.</t>
  </si>
  <si>
    <t>8f6adac8-af71-4353-9d15-67e89b8fd247</t>
  </si>
  <si>
    <t>Unnatural Weariness</t>
  </si>
  <si>
    <t>Injury. Poison.</t>
  </si>
  <si>
    <t>Peril._x000D_
Revelation - Test ά (3). For each point you fail by, you must choose a different option:_x000D_
- Lose 3 resources._x000D_
- Lose 1 action._x000D_
- Discard a random card from your hand.</t>
  </si>
  <si>
    <t>3a70204f-91c5-4fff-8261-bc02e7d6ce96</t>
  </si>
  <si>
    <t>Poisonous Gas</t>
  </si>
  <si>
    <t>Trap. Poison.</t>
  </si>
  <si>
    <t>Revelation - Test ί (4). If you fail, lose 1 action (2 actions instead if you fail by 2 or more). When this skill test begins, an investigator at your location may place 1 of his or her clues on your location to reduce the difficulty of this test by 2.</t>
  </si>
  <si>
    <t>61e38ecf-feb7-4f0b-bec0-a70817bff237</t>
  </si>
  <si>
    <t>Dreadful Mechanism</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</si>
  <si>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</si>
  <si>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3f93460c-2ed9-4059-980e-38bc3563841b</t>
  </si>
  <si>
    <t>Blood and Rust</t>
  </si>
  <si>
    <t>Revelation - Test ί (4). If you fail, take 1 damage (2 damage instead if you fail by 2 or more). When this skill test begins, an investigator at your location may place 1 of his or her clues on your location to reduce the difficulty of this test by 2.</t>
  </si>
  <si>
    <t>859735ee-63a7-484c-b826-8a9cf68c64e1</t>
  </si>
  <si>
    <t>Paradox Effect</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</si>
  <si>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</si>
  <si>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6deaf02c-fdb3-46a1-bb27-9da31837d320</t>
  </si>
  <si>
    <t>644831e1-17cd-4433-820c-8001dcf2361d</t>
  </si>
  <si>
    <t>Harvested Pain</t>
  </si>
  <si>
    <t>Peril._x000D_
Revelation - If you have 3 or fewer remaining health or sanity, add Harvested Pain to the victory display. Otherwise, take 1 damage and 1 horror._x000D_
While Harvested Pain is in the victory display, Eixodolon gets +1 fight.</t>
  </si>
  <si>
    <t>Ictaca</t>
  </si>
  <si>
    <t>Scion of Yig</t>
  </si>
  <si>
    <t>Or, Is He?</t>
  </si>
  <si>
    <t>a07c684c-0e19-4938-bbf1-2a88e0e353a4</t>
  </si>
  <si>
    <t>Return to Dunwich Legacy</t>
  </si>
  <si>
    <t>RTDL</t>
  </si>
  <si>
    <t>8c777114-0122-444a-b853-827bb67f2afa</t>
  </si>
  <si>
    <t>You have two additional hand slots, which can only be used to hold [[Weapon]] assets._x000D_
While you have [[Weapon]] assets held in 2 or more hand slots, you get +1 ά.</t>
  </si>
  <si>
    <t>362acc37-0402-4bc2-bbf1-37b2e3ae12e6</t>
  </si>
  <si>
    <t>η: Fight. You get +2 ή for this attack. If you perform this attack againt an enemy engaged with another investigator, you deal +1 damage for this attack if you succeed, and no damage if you fail.</t>
  </si>
  <si>
    <t>4a5056f1-3d65-4b08-95d8-0e28b36919de</t>
  </si>
  <si>
    <t>Play only if there is a clue on your location._x000D_
Draw three cards.</t>
  </si>
  <si>
    <t>a1fea95e-7df1-4a93-9295-3b8c7d03079b</t>
  </si>
  <si>
    <t>Empowering Elixir</t>
  </si>
  <si>
    <t>You can only include this asset in your deck by upgrading it from Strange Solution (Unidentified), and only if you have "identified the solution" in your Campaign Log._x000D_
Uses (3 supplies)._x000D_
η Spend 1 supply and exhaust Strange Solution: Choose an investigator at your location to gain 2 resources and draw 1 card.</t>
  </si>
  <si>
    <t>ae54262f-7d83-4fb4-a4da-2579b365e7c9</t>
  </si>
  <si>
    <t>Choose an asset controlled by an investigator at your location. Either (choose one):_x000D_
- Place 2 ammo or supply tokens on that asset and draw 1 card._x000D_
- Double the number of ammo or supply tokens on that asset.</t>
  </si>
  <si>
    <t>be1bc76c-8781-4970-93e3-3490ca6e563c</t>
  </si>
  <si>
    <t>ίίέ</t>
  </si>
  <si>
    <t>Fast. Play when an enemy enters your location._x000D_
Immediately move to a connecting location. (The enemy still enters your previous location.)</t>
  </si>
  <si>
    <t>7acfa3d3-3b31-4b29-ac63-8c35070d8375</t>
  </si>
  <si>
    <t>Uses (3 charges)._x000D_
η Spend 1 charge: Investigate. Investigate using ά instead of έ. You get +2 ά for this test. If you succeed you discover 1 additional clue at this location. If a α, β, γ, δ, or ζ symbol is revealed during this test, after this test resolves lose all remaining actions and immediately end your turn.</t>
  </si>
  <si>
    <t>91d3766f-b81c-46fd-b7d3-cc461cff0ee1</t>
  </si>
  <si>
    <t>Uses (4 charges)._x000D_
η Spend 1 charge: Heal 2 horror from among investigators at your location.</t>
  </si>
  <si>
    <t>56009113-7758-4ebe-9eed-f36ea64edc39</t>
  </si>
  <si>
    <t>ίήή</t>
  </si>
  <si>
    <t>Fast. Play after you fail a skill test by 3 or less while attacking an enemy._x000D_
Deal this attack's damage to any enemy at your location. If the attacked enemy is engaged with another investigator, this attack deals no damage to that investigator.</t>
  </si>
  <si>
    <t>b27d9c77-b7a1-4427-a368-f148fdf51261</t>
  </si>
  <si>
    <t>Commit only to a skill test you are performing, and only if the difficulty of that test is higher than your base skill value._x000D_
Rise to the Occasion gets +X ΰ icons, where X is the difference between your base skill and this test's difficulty (to a maximum of +3 ΰ icons).</t>
  </si>
  <si>
    <t>49b96c05-175b-4727-b9d0-8bbfdc22d608</t>
  </si>
  <si>
    <t>Through the Gates</t>
  </si>
  <si>
    <t>Pact. Mystery.</t>
  </si>
  <si>
    <t>Revelation - Draw the top card of your deck. If it is not a weakness, remove that card from the game. Then, search your deck, discard pile, hand, and all play areas for each other copy of that card you own, and remove them from the game, as well.</t>
  </si>
  <si>
    <t>AY</t>
  </si>
  <si>
    <t>88718a2a-19b8-4045-86ea-7974c01b8f11</t>
  </si>
  <si>
    <t>Return to Extracurricular Activities</t>
  </si>
  <si>
    <t>7fbec8f4-d389-4249-8b5c-aa86ee49cd38</t>
  </si>
  <si>
    <t>Warren Observatory</t>
  </si>
  <si>
    <t>67150130-081e-4e9d-bf63-5b054f1dea87</t>
  </si>
  <si>
    <t>Enthralled Security Guard</t>
  </si>
  <si>
    <t>Humanoid. Abomination.</t>
  </si>
  <si>
    <t>4e1daa6b-d846-49c0-959d-226cdaa21497</t>
  </si>
  <si>
    <t>Return to The House Always Wins</t>
  </si>
  <si>
    <t>- Set the Clover Club Stage aside, out of play._x000D_
- Choose one of the two Clover Club Lounge locations at random. Put the chosen location into play along with the rest of the starting locations. Remove the other version of Clover Club Lounge from the game.</t>
  </si>
  <si>
    <t>7ab63941-b149-4aaf-98de-704e97b07070</t>
  </si>
  <si>
    <t>15d3b5bb-8c2d-426d-8ec3-9c5028ff66cc</t>
  </si>
  <si>
    <t>Clover Club Stage</t>
  </si>
  <si>
    <t>Clover Club Bar is connected to Clover Club Stage.</t>
  </si>
  <si>
    <t>80800d2d-2133-4e98-be92-52ef45bf8153</t>
  </si>
  <si>
    <t>Caught Cheating</t>
  </si>
  <si>
    <t>Illicit.</t>
  </si>
  <si>
    <t>ab0dd597-1d80-4db9-a9cc-9bbb5cf54983</t>
  </si>
  <si>
    <t>Raise the Stakes</t>
  </si>
  <si>
    <t>ceff1f22-cc40-45e6-8290-bc342b8227c4</t>
  </si>
  <si>
    <t>Return to The Miskatonic Museum</t>
  </si>
  <si>
    <t>9231feac-b813-4555-8c20-39b5d77a47d6</t>
  </si>
  <si>
    <t>Medieval Exhibit</t>
  </si>
  <si>
    <t>6c6495a9-3b5c-4700-92c8-fb799355fa4b</t>
  </si>
  <si>
    <t>The Archives</t>
  </si>
  <si>
    <t>ebb07765-76da-41fc-8da4-98d3da16ccfe</t>
  </si>
  <si>
    <t>Dark Bidding</t>
  </si>
  <si>
    <t>4bb24867-11fb-4723-abd5-da67f161f081</t>
  </si>
  <si>
    <t>Night Beyond Void</t>
  </si>
  <si>
    <t>ac9fad31-26f1-4563-bb17-dc438cc9cd2c</t>
  </si>
  <si>
    <t>Return to The Essex County Express</t>
  </si>
  <si>
    <t>- Remove Agenda 1a - "A Tear in Reality," from the game and replace it with the new Agenda 0a - "Where There's Smoke" and the new agenda 1a - "A Tear in Reality (v.II)." (When you construct the agenda deck, agenda 0a should be on top.)_x000D_
- When choosing 6 Train Car locations to put into play at random, include the 2 new Train Car locations in this encounter set, for a total of 10 possible cards._x000D_
- When choosing an Engine Car location to put into play at random, include the new Engine Car location in this encounter set, for a total of 4 possible cards._x000D_
Set the Engineer story asset aside, out of play.</t>
  </si>
  <si>
    <t>bde145c7-7917-4067-ba3f-6f30caebe18b</t>
  </si>
  <si>
    <t>Where There's Smoke</t>
  </si>
  <si>
    <t>4f42702e-b199-439c-a2ee-94335ef8a315</t>
  </si>
  <si>
    <t>The Conductor</t>
  </si>
  <si>
    <t>Beast from beyond the Gate</t>
  </si>
  <si>
    <t>ef5a7a89-35a3-44d1-897d-9920d2099093</t>
  </si>
  <si>
    <t>A Tear in Reality (v.II)</t>
  </si>
  <si>
    <t>Remove the leftmost location from the game (or place it in the victory display if it has Victory X and no clues on it). Each investigator at that location is defeated. Each enemy and asset at that location is discarded._x000D_
Discard all clues controlled by the investigators.</t>
  </si>
  <si>
    <t>c81f849a-64d5-4444-bc1a-314870e5ba56</t>
  </si>
  <si>
    <t>Engine Car is connected to the location to the left of it._x000D_
You cannot enter Engine Car unless all of the clues on the location to its left have been discovered.</t>
  </si>
  <si>
    <t>0fa20844-7237-4ff4-be80-0f31fe6accfc</t>
  </si>
  <si>
    <t>Freight Car</t>
  </si>
  <si>
    <t>Train Car is connected to the locations to the left and right of it._x000D_
You cannot enter Train Car unless all of the clues on the location to its left have been discovered.</t>
  </si>
  <si>
    <t>a152582d-bd8f-48ee-9939-7e8383067d95</t>
  </si>
  <si>
    <t>Baggage Car</t>
  </si>
  <si>
    <t>7a1102fd-f1d5-4cf5-a99a-ea75b678b08d</t>
  </si>
  <si>
    <t>Engineer</t>
  </si>
  <si>
    <t>268fed05-adc1-4adb-9576-24b91cd135d4</t>
  </si>
  <si>
    <t>Return to Blood on the Altar</t>
  </si>
  <si>
    <t>2d3c2b40-d775-419e-8e88-efdade5ee5cb</t>
  </si>
  <si>
    <t>Silent Decay</t>
  </si>
  <si>
    <t>07c26c59-f752-4300-bd1d-5b637c497f42</t>
  </si>
  <si>
    <t>Bishop's Brook</t>
  </si>
  <si>
    <t>343b7334-2bdd-49f6-90f5-6f4549dc3abf</t>
  </si>
  <si>
    <t>73664ed1-d664-4a91-8c09-8e2cac562424</t>
  </si>
  <si>
    <t>Osborn's General Store</t>
  </si>
  <si>
    <t>5197081e-569a-4093-802f-8e4f22f592d9</t>
  </si>
  <si>
    <t>c29a7228-7b52-47d8-bc05-3160f1c6445b</t>
  </si>
  <si>
    <t>d7ec503a-473a-4f3f-87dc-b76caf8454b9</t>
  </si>
  <si>
    <t>8a32ab23-999b-4c7f-ad78-e417c4f6a8cf</t>
  </si>
  <si>
    <t>Hired Gun</t>
  </si>
  <si>
    <t>Humanoid. Criminal. Syndicate.</t>
  </si>
  <si>
    <t>0fab286f-04e0-4e7f-b888-5cb1ec5d4826</t>
  </si>
  <si>
    <t>Return to Undimensioned and Unseen</t>
  </si>
  <si>
    <t>ba51ce1d-50b9-4d09-b88d-1d5c804179f5</t>
  </si>
  <si>
    <t>Charging Beast</t>
  </si>
  <si>
    <t>55628c36-70ad-4855-9e6f-4e1e04093d88</t>
  </si>
  <si>
    <t>Swelling Devourer</t>
  </si>
  <si>
    <t>7bd6e269-bfe1-463c-a216-03faa3816201</t>
  </si>
  <si>
    <t>Thrashing Spawn</t>
  </si>
  <si>
    <t>0b8e1a78-4425-4c9f-a0de-d3477381629d</t>
  </si>
  <si>
    <t>Amorphous Terror</t>
  </si>
  <si>
    <t>c49e03d3-66c3-4f2c-a949-58b7fe951ff9</t>
  </si>
  <si>
    <t>Imperceptible Creature</t>
  </si>
  <si>
    <t>ab93d222-6c67-4e91-b473-b9e0c39b61e2</t>
  </si>
  <si>
    <t>Return to Where Doom Awaits</t>
  </si>
  <si>
    <t>5e33616e-3251-498e-8b52-7765911e2d93</t>
  </si>
  <si>
    <t>Warped and Twisted</t>
  </si>
  <si>
    <t>95721a1b-fc69-4fe7-8b8c-62bff3bc0df1</t>
  </si>
  <si>
    <t>The path leading farther up the hill is masked. You cannot move into Ascending Path.</t>
  </si>
  <si>
    <t>10ad9b62-60a3-46b2-bfa7-98cd0810a68a</t>
  </si>
  <si>
    <t>Abandoned Camp</t>
  </si>
  <si>
    <t>f29036d6-eb41-433e-af3a-6f4ac14a2429</t>
  </si>
  <si>
    <t>Fathomless Lake</t>
  </si>
  <si>
    <t>4edb7393-4a73-4bc0-ab6d-4053e6feecc4</t>
  </si>
  <si>
    <t>Naomi O'Bannion</t>
  </si>
  <si>
    <t>Ruthless Tactician</t>
  </si>
  <si>
    <t>έέήή</t>
  </si>
  <si>
    <t>Ally. Criminal. Syndicate.</t>
  </si>
  <si>
    <t>23bb3a70-dfd7-494f-a295-17aa6592cffc</t>
  </si>
  <si>
    <t>Return to Lost in Time and Space</t>
  </si>
  <si>
    <t>f2657fbe-2f44-4cb7-81ff-69139a45c68f</t>
  </si>
  <si>
    <t>Breaking Through (v. II)</t>
  </si>
  <si>
    <t>The Key and the Gate (v. II)</t>
  </si>
  <si>
    <t>d0311731-da7a-4c3d-813a-db280d59fb68</t>
  </si>
  <si>
    <t>Into the Beyond (v. II)</t>
  </si>
  <si>
    <t>The Vessel Awaits</t>
  </si>
  <si>
    <t>fa3e7f58-8fd2-4a69-8e3c-c0be7a2b4fbe</t>
  </si>
  <si>
    <t>Thrall of Yog-Sothoth</t>
  </si>
  <si>
    <t>Humanoid. Monster. Abomination. Elite.</t>
  </si>
  <si>
    <t>2e2b554d-fc2d-4765-a06c-ee20fae32e28</t>
  </si>
  <si>
    <t>Realms Beyond</t>
  </si>
  <si>
    <t>All-In-One</t>
  </si>
  <si>
    <t>b2970210-868a-4163-a171-bb39efd669a4</t>
  </si>
  <si>
    <t>Indecipherable Stairs</t>
  </si>
  <si>
    <t>725c30d2-7930-4244-ac72-d776caffb9c6</t>
  </si>
  <si>
    <t>Towering Luminosity</t>
  </si>
  <si>
    <t>9b909205-76dd-4092-b818-cfe82e216271</t>
  </si>
  <si>
    <t>Unstable Vortex</t>
  </si>
  <si>
    <t>7f8eb721-f86c-49c4-8f16-539a12be2313</t>
  </si>
  <si>
    <t>Beyond the Threshold</t>
  </si>
  <si>
    <t>Haunting Recollections</t>
  </si>
  <si>
    <t>399509b0-154b-4ba5-818c-ac5464777152</t>
  </si>
  <si>
    <t>A Baleful Welcome</t>
  </si>
  <si>
    <t>5ef6ba51-1346-408d-9b1d-2533ac6d96a8</t>
  </si>
  <si>
    <t>Infinite Doorway</t>
  </si>
  <si>
    <t>61dcba54-8642-4d1e-83ed-cc1d00b119ab</t>
  </si>
  <si>
    <t>Resurgent Evils</t>
  </si>
  <si>
    <t>c8fad645-60f9-4af9-aced-624e43afee0a</t>
  </si>
  <si>
    <t>Secret Doors</t>
  </si>
  <si>
    <t>Secret Door</t>
  </si>
  <si>
    <t>7f293f19-090f-4d19-92fe-851f42b40e86</t>
  </si>
  <si>
    <t>Creeping Cold</t>
  </si>
  <si>
    <t>Inexplicable Cold</t>
  </si>
  <si>
    <t>4d7175b2-9fd6-49f0-91e2-42b7f7646417</t>
  </si>
  <si>
    <t>Oppressive Mists</t>
  </si>
  <si>
    <t>b5ed3923-db68-4d89-9b62-17aff5f9f48b</t>
  </si>
  <si>
    <t>Erratic Fear</t>
  </si>
  <si>
    <t>Violent Commands</t>
  </si>
  <si>
    <t>8b5b3023-3ec8-4b05-97fb-986d8e811e94</t>
  </si>
  <si>
    <t>Idle Hands</t>
  </si>
  <si>
    <t>d1772086-b9fa-43af-b50c-a06c276769e6</t>
  </si>
  <si>
    <t>Need for Knowledge</t>
  </si>
  <si>
    <t>29c7d134-fbc3-46bb-a04b-2873f982b4dd</t>
  </si>
  <si>
    <t>Yog Sothoth's Emissaries</t>
  </si>
  <si>
    <t>Vassal of the Lurker</t>
  </si>
  <si>
    <t>db6854fb-64c1-4fd3-86b9-470410339d1a</t>
  </si>
  <si>
    <t>Eldritch Accord</t>
  </si>
  <si>
    <t>Perform the setup as indicated in The Dunwich Legacy Campaign Guide, with the following exceptions:_x000D_
- When gathering encounter sets, also gather the new encounter sets for Return to Extracurricular Activities shown here._x000D_
(Continued on reverse side.)</t>
  </si>
  <si>
    <t>- Randomly choose between Orne Library and Warren Observatory. Put the chosen location into play, along with the rest of the starting locations. Remove the other location from the game._x000D_
- If you have completed Return to The House Always Wins, search the encounter sets for 1 copy of Enthralled Security Guard, and spawn it at the Administration Building.</t>
  </si>
  <si>
    <t>Forced - After you discover 1 or more clues at Warren Observatory: Discard 3 cards from the top of your deck for each clue just discovered.</t>
  </si>
  <si>
    <t>Hunter. Retaliate._x000D_
Forced - After Enthralled Security Guard attacks you: Discard the top 2 cards of your deck._x000D_
Forced - After Enthralled Security Guard is evaded: It is defeated.</t>
  </si>
  <si>
    <t>Perform the setup as indicated in The Dunwich Legacy Campaign Guide, with the following exceptions:_x000D_
- When gathering encounter sets, also gather the new encounter sets for Return to The House Always Win shown here._x000D_
(Continued on reverse side.)</t>
  </si>
  <si>
    <t>Forced - After Clover Club Lounge is revealed: Put the set-aside Clover Club Stage into play._x000D_
While it is Act 1, Clover Club Lounge gains: "η: Look at the top card of your deck. If it is an [[Ally]] asset, you may put it into play. Otherwise, draw it. (Limit once per round.)"</t>
  </si>
  <si>
    <t>Surge._x000D_
Revelation - Each player who has "cheated" must lose 2 resources and take 1 damage.</t>
  </si>
  <si>
    <t>Revelation - You must (choose one):_x000D_
- Remember that you have "cheated."_x000D_
- Lose 5 resources._x000D_
- Put Raise the Stakes into play in your threat area. It gains: "Each [[Criminal]] enemy at your location loses aloof. If it is Act 2 or 3, each [[Criminal]] enemy engaged with you gets +1 fight and +1 evade."</t>
  </si>
  <si>
    <t>Perform the setup as indicated in The Dunwich Legacy Campaign Guide, with the following exceptions:_x000D_
- When gathering encounter sets, also gather the new encounter sets for Return to The Miskatonic Museum shown here._x000D_
(Continued on reverse side.)</t>
  </si>
  <si>
    <t>- Before creatng the "Exhibit Deck," add the 2 new Exhibit Hall locations to the original 6 Exhibit Hall locations. Set Exhibit Hall (Restricted Hall) aside and randomly remove 2 Exhibit Hall locations from the game. Then, continue creating the Exhibit Deck as normal._x000D_
For the duration of this scenario, the following additional rule applies:_x000D_
"While an investigator is resolving the text on agenda 1b and agenda 2b, the Forced ability on the next agenda in the agenda deck is considered to be active."_x000D_
Attach this card to the scenario reference card as a reminder.</t>
  </si>
  <si>
    <t>Forced - After you fail a skill test while investigating this location: Take 1 damage.</t>
  </si>
  <si>
    <t>η η: Gain 2 clues (from the token bank). Then, if Hunting Horror is in play, place 1 resource on Shadow-spawned. Otherwise, search the encounter deck, discard pile, and the void for Hunting Horror and spawn it in the Museum Halls. Shuffle the encounter deck.</t>
  </si>
  <si>
    <t>Revelation - Attach Dark Bidding to Hunting Horror, even if it is out of play. Dark Bidding remains attached to Hunting Horror if it enters the void._x000D_
Forced - When Hunting Horror attacks an investigator: That investigator must take 1 additional damage and 1 additional horror. Heal 2 damage from Hunting Horror. Discard Dark Bidding. (Max once per attack.)</t>
  </si>
  <si>
    <t>Revelation - Place 1 resource on Shadow-spawned, even if it is out of play.</t>
  </si>
  <si>
    <t>Perform the setup as indicated in The Dunwich Legacy Campaign Guide, with the following exceptions:_x000D_
- When gathering encounter sets, also gather the new encounter sets for Return to The Essex County Express shown here._x000D_
(Continued on reverse side.)</t>
  </si>
  <si>
    <t>Spawn - Leftmost location._x000D_
Hunter. Massive._x000D_
Forced - When The Conductor is defeated: Attach it to the current agenda. After you advance the attached agenda, draw The Conductor._x000D_
Forced - When The Conductor's location leaves play: Instead of discarding The Conductor, move it one location to the right.</t>
  </si>
  <si>
    <t>η If Engineer is ready: Parley. Test ά or έ (4). If you succeed, take control of Engineer. If you already control Engineer, discover 1 clue from your location instead. Any investigator at Engineer's location may trigger this action._x000D_
Forced - When Engineer would be discarded: Instead, heal all damage and horror from it, lose control of it, and exhaust it.</t>
  </si>
  <si>
    <t>Perform the setup as indicated in The Dunwich Legacy Campaign Guide, with the following exceptions:_x000D_
- When gathering encounter sets, also gather the new encounter sets for Return to Blood on the Altar shown here._x000D_
- Set each copy of Hired Gun aside, out of play._x000D_
- Remove the original Village Commons location from the game and replace it with the new Village Commons (Silent Decay)._x000D_
(Continued on reverse side.)</t>
  </si>
  <si>
    <t>- Add the new locations to the original locations from the Blood on the Altar encounter set. Remove 1 of the 3 copies of each of these locations from the game at random. Then, choose 1 of the 6 remaining locations at random and remove it from the game as well. Put the remaining locations into play._x000D_
- When placing encounter cards underneath locations, do not include the 6 cards from the Naomi's Crew encounter set._x000D_
- Check Campaign Log. If the O'Bannion gang has a bone to pick with the investigators: Spawn one set-aside Hired Gun at one of the locations not connected to Village Commons. Shuffle the other set-aside Hired Gun into the encounter deck.</t>
  </si>
  <si>
    <t>Each investigator at Village Commons cannot take draw or resource actions._x000D_
η: Resign. "This is suicide! We're better off hiding out the night."</t>
  </si>
  <si>
    <t>Forced - After you reveal Bishop's Brook: Test ί (4). If you fail, take 2 damage._x000D_
θ If there are no clues here: Draw the encounter card underneath Bishop's Brook. (Group limit once per game.)</t>
  </si>
  <si>
    <t>Forced - After you successfully investigate Burned Ruins: Take 1 damage._x000D_
θ If there are no clues here: Draw the encounter card underneath Burned Ruins. (Group limit once per game.)</t>
  </si>
  <si>
    <t>Forced - After you reveal Osborn's General Store: Gain 2 resources._x000D_
θ If there are no clues here: Draw the encounter card underneath Osborn's General Store. (Group limit once per game.)</t>
  </si>
  <si>
    <t>Forced - After you reveal Congregational Church: Search the encounter deck and discard pile for a copy of Kidnapped! and draw it. Shuffle the encounter deck._x000D_
θ If there are no clues here: Draw the encounter card underneath Congregational Church. (Group limit once per game.)</t>
  </si>
  <si>
    <t>While you are in the House in the Reeds, you cannot play assets._x000D_
θ If there are no clues here: Draw the encounter card underneath House in the Reeds. (Group limit once per game.)</t>
  </si>
  <si>
    <t>Forced - After you discover a clue from this location: Search the encounter deck and discard pile for a copy of Servant of Many Mouths and draw it. Shuffle the encounter deck._x000D_
θ If there are no clues here: Draw the encounter card underneath Schoolhouse. (Group limit once per game.)</t>
  </si>
  <si>
    <t>Each [[Criminal]] enemy (including Hired Gun) gains: "Hunter. Prey - Most resources."_x000D_
Each copy of Hunted Down gains peril and surge.</t>
  </si>
  <si>
    <t>Perform the setup as indicated in The Dunwich Legacy Campaign Guide, with the following exceptions:_x000D_
- When gathering encounter sets, also gather the new encounter sets for Return to Undimensioned and Unseen shown here._x000D_
(Continued on reverse side.)</t>
  </si>
  <si>
    <t>- Remove 4 copies of Brood of Yog-Sothoth from the original scenario and replace them with the 4 new versions of Brood of Yog-Sothoth from the Return to Undimensioned and Unseen encounter set._x000D_
For the duration of this scenario, the following additional rule applies:_x000D_
"If a Brood of Yog-Sothoth would be put into play, it is chosen at random from among the set-aside versions of Brood of Yog-Sothoth."_x000D_
Attach this card to the scenario reference card as a reminder.</t>
  </si>
  <si>
    <t>Massive._x000D_
Brood of Yog-Sothoth gets +1 π health and cannot be damaged or attacked except using the ability on Esoteric Formula._x000D_
Forced - After Brood of Yog-Sothoth moves for the first time each round, if it is unengaged: It immediately moves again toward a random location.</t>
  </si>
  <si>
    <t>Massive._x000D_
Brood of Yog-Sothoth gets +2 π health and cannot be damaged or attacked except using the ability on Esoteric Formula.</t>
  </si>
  <si>
    <t>Massive. Retaliate._x000D_
Brood of Yog-Sothoth gets +1 π health and cannot be damaged or attacked except using the ability on Esoteric Formula.</t>
  </si>
  <si>
    <t>Massive. Retaliate._x000D_
Brood of Yog-Sothoth gets +1 π health and cannot be damaged or attacked except using the ability on Esoteric Formula._x000D_
Forced - After Brood of Yog-Sothoth enters your location, or vice versa: Test ά (3). If you fail, take 1 horror.</t>
  </si>
  <si>
    <t>Surge._x000D_
Revelation - Attach to a Brood of Yog-Sothoth enemy in play without a copy of Imperceptible Creature attached. Remove 1 clue from that enemy._x000D_
Attached enemy gains [[Elite]].</t>
  </si>
  <si>
    <t>Perform the setup as indicated in The Dunwich Legacy Campaign Guide, with the following exceptions:_x000D_
- When gathering encounter sets, also gather the new encounter sets for Return to Where Doom Awaits shown here._x000D_
- Set Naomi O'Bannion aside, out of play._x000D_
(Continued on reverse side.)</t>
  </si>
  <si>
    <t>- Replace the original Base of the Hill and Ascending Path with the new Base of the Hill (Warped and Twisted) and Ascending Path (Warped and Twisted)._x000D_
- Add the new Diverging Path and Altered Path to the original Diverging Paths and Altered Paths. Then, randomly remove 1 of each from the game. (You will remove an additional copy of each during standard setup.)_x000D_
- Check Campaign Log. If Naomi has your back: Instead of gaining clues from the token bank via the effect from Part 1 in the Campaign Guide, the lead investigator may choose an investigator to add the set-aside Naomi O'Bannion to his or her deck. This card does not count toward that investigator's deck size.</t>
  </si>
  <si>
    <t>Base of the Hill is connected to each copy of Diverging Path._x000D_
Forced - After you discover 1 or more clues from Base of the Hill: Spend those clues and put that many random set-aside Diverging Path locations into play._x000D_
η: Resign. "This is more than I signed up for!"</t>
  </si>
  <si>
    <t>Forced - After you reveal Abandoned Camp: Lose 2 resources for each action you have performed this round (including this one, if applicable).</t>
  </si>
  <si>
    <t>Forced - After you reveal Fathomless Lake: If you have 2 or more actions remaining, place 1 doom on the current agenda.</t>
  </si>
  <si>
    <t>You get +1 έ and +1 ή._x000D_
ι When an investigator at your location reveals a non-ζ chaos token during an έ or ή test, exhaust Naomi O'Bannion: Cancel that chaos token and reveal a new chaos token. For the remainder of this test, if another copy of the canceled chaos token is revealed, cancel it and reveal a new chaos token.</t>
  </si>
  <si>
    <t>Perform the setup as indicated in The Dunwich Legacy Campaign Guide, with the following exceptions:_x000D_
- When gathering encounter sets, also gather the new encounter sets for Return to Lost in Time and Space shown here._x000D_
- Set Seth Bishop (Thrall of Yog-Sothoth) aside, out of play._x000D_
(Continued on reverse side.)</t>
  </si>
  <si>
    <t>- Check Campaign Log. If the Ritual was completed: Replace Act 2a - "Into the Beyond" with the new Act 2a - "Into the Beyond (v. II)" included in this encounter set._x000D_
- Replace Agenda 3a - "Breaking Through" with the new Agenda 3a - "Breaking Through (v. II)" included in this encounter set._x000D_
- Put the single-sided Realms Beyond location into play and spawn Yog-Sothoth there.</t>
  </si>
  <si>
    <t>Revelation - Move Yog-Sothoth to The Edge of the Universe (or Another Dimension if The Edge of the Universe is not in play). Remove Realms Beyond from the game and advance to agenda 4a. Ignore the text on Realms Beyond while resolving this ability.</t>
  </si>
  <si>
    <t>Spawn the set-aside Seth Bishop (Thrall of Yog-Sothoth) enemy at The Edge of the Universe.</t>
  </si>
  <si>
    <t>Retaliate._x000D_
Forced - When Seth Bishop attacks you during the enemy phase: Either move to Another Dimension after this attack, or Seth Bishop deals +2 damage for this attack._x000D_
Forced - After Yog-Sothoth enters Seth Bishop's location (or vice versa): Seth is devoured whole. Remove Seth Bishop from the game. Heal 6 damage from Yog-Sothoth.</t>
  </si>
  <si>
    <t>Yog-Sothoth is immune to player card effects, cannot take damage, and cannot leave Realms Beyond._x000D_
As an additional cost for you to leave Realms Beyond, test ά or ί (3). If you fail, cancel the effects of the move._x000D_
Forced - When a forced effect would move an investigator or enemy to Another Dimension: Move them here instead. Cannot be canceled.</t>
  </si>
  <si>
    <t>Revelation - Put Indecipherable Stairs into play and discard the top 3 cards of your deck._x000D_
Forced - After you leave Indecipherable Stairs: You must either take 2 horror, or discard Indecipherable Stairs.</t>
  </si>
  <si>
    <t>Revelation - Put Towering Luminosity into play and either place 1 doom on it or take 2 damage._x000D_
Forced - After you fail a test while at this location: You  must either flip 1 clue on Towering Luminosity to its doom side, or discard Towering Luminosity.</t>
  </si>
  <si>
    <t>Revelation - Put Unstable Vortex into play and discard 1 copy of Tear Through Space, if able._x000D_
Forced - At the end of your turn, if you are at Unstable Vortex: You must either draw the top card of the encounter deck, or shuffle Unstable Vortex into the encounter deck.</t>
  </si>
  <si>
    <t>Revelation - For each card in your hand, if there is a copy of that card in your discard pile, take 1 horror (to a maximum of 3 horror). If you take no horror from this effect, discard the top 3 cards of your deck.</t>
  </si>
  <si>
    <t>Peril._x000D_
Revelation - Choose two of the following actions (investigate, fight, evade, move, or play). For the remainder of the round, each investigator cannot perform each chosen action. If this is not the first copy of A Baleful Welcome drawn this phase, choose three of those actions instead.</t>
  </si>
  <si>
    <t>Revelation - Attach to your location._x000D_
As an additional cost to move into or out of attached location, discard the top card of your deck. If the discarded card is a weakness, draw it. Otherwise, for each copy of the discarded card in your hand or play area, you must either take 1 horror or discard that card.</t>
  </si>
  <si>
    <t>Peril._x000D_
Revelation - You must either (choose one):_x000D_
- Draw the top 2 cards of the encounter deck._x000D_
- Place 1 doom on the current agenda. This effect can cause the current agenda to advance.</t>
  </si>
  <si>
    <t>Revelation - Attach to the location with the most investigators, and without a Secret Door attached._x000D_
Investigators cannot leave this location._x000D_
η: Test ά (3) to search for the passage or έ (3) to discern the way out. If you succeed, discard Secret Door.</t>
  </si>
  <si>
    <t>Revelation - Test ί (4). For each point you fail by, you must either choose and discard 1 card from your play area or from your hand, or take 1 damage.</t>
  </si>
  <si>
    <t>Revelation - Attach to your location. Limit 1 per location._x000D_
Forced - After an investigator at this location draws 1 or more cards, that investigator must test ά (3). If that investigator fails, he or she chooses and discards an equal number of cards._x000D_
η η: Discard Oppressive Mists.</t>
  </si>
  <si>
    <t>Revelation - Put Violent Commands into play in your threat area._x000D_
η: Deal 2 damage to an investigator at your location and discard Violent Commands._x000D_
Forced - At the end of your turn: Test ά (3). If you fail, take 1 horror.</t>
  </si>
  <si>
    <t>Revelation - Put Idle Hands into play in your threat area._x000D_
θ If Idle Hands is in your threat area, during your turn, take 2 damage and discard Idle Hands: You may take an additional action this turn._x000D_
Forced - At the end of your turn: Take 1 horror.</t>
  </si>
  <si>
    <t>Revelation - If you have no clues, Need for Knowledge gains surge. Otherwise, test έ (X), where X equals the number of clues you have (to a maximum of 5). For each point you fail by, you must either take 1 horror or place 1 of your clues on your location.</t>
  </si>
  <si>
    <t>Hunter._x000D_
Forced - At the end of the enemy phase: Each investigator at Vassal of the Lurker's location discards 1 card from the top of his or her deck.</t>
  </si>
  <si>
    <t>Peril._x000D_
Revelation - You may draw 1 card. You may choose and discard up to 2 cards from your hand. Test ά (X). If you fail, take 2 horror. X equals the number of cards in your hand when this test begins.</t>
  </si>
  <si>
    <t>c3e9e9fd-8230-4702-9fc9-9cabba506e34</t>
  </si>
  <si>
    <t>1d67372b-eadc-4b3c-b0f8-67fa6dbb3634</t>
  </si>
  <si>
    <t>AZ</t>
  </si>
  <si>
    <t>Carolyn Fern</t>
  </si>
  <si>
    <t>The Psychologist</t>
  </si>
  <si>
    <t>Medic.</t>
  </si>
  <si>
    <t>ι After one of your card effects heals horror from an investigator or [[Ally]] asset: The healed card's controller gains 1 resource._x000D_
ε effect: +1. You may heal 1 horror from an investigator or [[Ally]] asset at your location.</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</si>
  <si>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</si>
  <si>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b394f2bb-1494-4c61-866b-6f508dff1089</t>
  </si>
  <si>
    <t>Joe Diamond</t>
  </si>
  <si>
    <t>The Private Investigator</t>
  </si>
  <si>
    <t>Detective.</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</si>
  <si>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</si>
  <si>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</si>
  <si>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dda3a082-6554-4a1c-99e3-3e268f80c6e7</t>
  </si>
  <si>
    <t>Preston Fairmont</t>
  </si>
  <si>
    <t>The Millionaire</t>
  </si>
  <si>
    <t>Silver Twilight. Socialite.</t>
  </si>
  <si>
    <t>Anytime you gain 1 or more resources from a card effect, place them on Family Inheritance instead of in your resource pool._x000D_
ε effect: +0. You may spend 2 resources to automatically succeed, instead.</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</si>
  <si>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</si>
  <si>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f64d745e-76e8-4b17-81a5-9d0db3ef956b</t>
  </si>
  <si>
    <t>Diana Stanley</t>
  </si>
  <si>
    <t>The Redeemed Cultist</t>
  </si>
  <si>
    <t>Cultist. Silver Twilight.</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</si>
  <si>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</si>
  <si>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</si>
  <si>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4cafe3c1-087e-4e0e-bcc3-ada58d5e1dbb</t>
  </si>
  <si>
    <t>Rita Young</t>
  </si>
  <si>
    <t>The Athlete</t>
  </si>
  <si>
    <t>ι After you evade an enemy: Either deal 1 damage to that enemy, or move to a connecting location. (Limit once per round.)_x000D_
ε effect: +2. Until the end of the round, ignore the limit on the above ι ability.</t>
  </si>
  <si>
    <t>Deck size: 30._x000D_
Deckbuilding Options: Survivor cards (ξ) level 0-5, Neutral cards level 0-5, [[Trick]] cards level 0-3._x000D_
Deckbuilding Requirements (do not count toward deck size): "I'm done runnin'!," Hoods, 1 random basic weakness.</t>
  </si>
  <si>
    <t>bfb911bc-2214-4eff-95f5-b5b42a3d3431</t>
  </si>
  <si>
    <t>While you have 1 or more doom among cards you control, you may take an additional action during your turn, which can only be used to play [[Spell]] cards or activate [[Spell]] η abilities._x000D_
ε effect: +1. You may add 1 doom to or remove 1 doom from a card you control.</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</si>
  <si>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</si>
  <si>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cf04f2cd-fe08-477d-9c91-2c166f42673d</t>
  </si>
  <si>
    <t>Hypnotic Therapy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</si>
  <si>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</si>
  <si>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3825c109-0aa5-49d9-b49c-b25c33788242</t>
  </si>
  <si>
    <t>Rational Thought</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</si>
  <si>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</si>
  <si>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19e8a7f7-881b-45fe-9af1-14b1e5978a92</t>
  </si>
  <si>
    <t>Detective's Colt 1911s</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</si>
  <si>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</si>
  <si>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6b9f7126-ea28-4dbe-b2ee-53cca4f43487</t>
  </si>
  <si>
    <t>Unsolved Case</t>
  </si>
  <si>
    <t>Insight. Mystery.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</si>
  <si>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</si>
  <si>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ffd72944-9abf-4323-b32c-76877aa31684</t>
  </si>
  <si>
    <t>Family Inheritance</t>
  </si>
  <si>
    <t>A Windfall? Or a Burden?</t>
  </si>
  <si>
    <t>Boon.</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</si>
  <si>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</si>
  <si>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281c7fec-343f-43cf-8abe-5eb648691bfa</t>
  </si>
  <si>
    <t>Lodge "Debts"</t>
  </si>
  <si>
    <t>Remove Lodge "Debts" from the game._x000D_
Forced - When the game ends or you are eliminated, if Lodge "Debts" is still in your hand: You suffer 1 mental trauma.</t>
  </si>
  <si>
    <t>d4b63a20-a3af-45ba-b33d-31654dd194d2</t>
  </si>
  <si>
    <t>Twilight Blade</t>
  </si>
  <si>
    <t>Sanctum's Reward</t>
  </si>
  <si>
    <t>Item. Relic. Weapon.</t>
  </si>
  <si>
    <t>cb173026-e2ea-4e55-b3aa-cb386e988658</t>
  </si>
  <si>
    <t>Dark Insight</t>
  </si>
  <si>
    <t>Diana Stanley deck only._x000D_
Fast. Play when an investigator at your location draws an encounter card or a weakness._x000D_
Cancel all of that card's effects and shuffle it back into its deck. (Do not draw a new card to replace it.)</t>
  </si>
  <si>
    <t>d8ce9a2c-1943-452f-a2c9-2b0fc7e80126</t>
  </si>
  <si>
    <t>Terrible Secret</t>
  </si>
  <si>
    <t>Revelation - If there are no card beneath Diana Stanley, shuffle Terrible Secret back into your deck. Otherwise, for each card beneath Diana Stanley, you must either discard that card or take 1 horror. Cannot be canceled.</t>
  </si>
  <si>
    <t>f93044c1-8f80-4aba-97c6-f21288ee6a8c</t>
  </si>
  <si>
    <t>"I'm done runnin'!"</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</si>
  <si>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</si>
  <si>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8d7c69e4-9ff4-4658-903d-eaabd6411a5c</t>
  </si>
  <si>
    <t>Hoods</t>
  </si>
  <si>
    <t>Prey - Rita Young only._x000D_
Alert. Hunter._x000D_
Forced - After you evade Hoods: It attacks you.</t>
  </si>
  <si>
    <t>408e4162-24b4-4e93-a0f7-e8af22ca672e</t>
  </si>
  <si>
    <t>99963b23-0d40-4758-8366-06bbd43c2c5b</t>
  </si>
  <si>
    <t>43caf116-2a77-4168-a3cb-13885b676b25</t>
  </si>
  <si>
    <t>Interrogate</t>
  </si>
  <si>
    <t>Tactic. Insight.</t>
  </si>
  <si>
    <t>Parley. Choose a [[Humanoid]] enemy at your location and test ή (3). This test gets +X difficulty, where X is the chosen enemy's damage value. If you succeed, discover 1 clue at your location and 1 clue at any other location.</t>
  </si>
  <si>
    <t>e6c87818-e603-49c0-8f09-0c7506745501</t>
  </si>
  <si>
    <t>Delay the Inevitable</t>
  </si>
  <si>
    <t>Insight. Spirit. Tactic.</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</si>
  <si>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</si>
  <si>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cdb3dc5a-bf08-4d23-842c-a4b50168df70</t>
  </si>
  <si>
    <t>Steadfast</t>
  </si>
  <si>
    <t>While you have 5 or more total remaining health and sanity, Steadfast gains ά ή (while you have 10 or more total remaining health and sanity, Steadfast gains ά ά ή ή, instead).</t>
  </si>
  <si>
    <t>d3dbcdb1-4657-4ab8-b6cf-bf74def65486</t>
  </si>
  <si>
    <t>Ace of Swords</t>
  </si>
  <si>
    <t>Let Your Arrow Fly True</t>
  </si>
  <si>
    <t>Tarot</t>
  </si>
  <si>
    <t>Tarot.</t>
  </si>
  <si>
    <t>You get +1 ή._x000D_
ι When the game begins, if Ace of Swords is in your opening hand: Put it into play.</t>
  </si>
  <si>
    <t>400e76f9-d8bf-4964-b9b6-516fe76a98fd</t>
  </si>
  <si>
    <t>Fingerprint Kit</t>
  </si>
  <si>
    <t>Item. Tool</t>
  </si>
  <si>
    <t>Uses (3 supplies)._x000D_
η Exhaust Fingerprint Kit and spend 1 supply: Investigate. You get +1 έ for this investigation. If you succeed, you discover 1 additional clue at your location.</t>
  </si>
  <si>
    <t>b9ae78d7-eb00-4df5-a22f-df7badbf3922</t>
  </si>
  <si>
    <t>Connect the Dots</t>
  </si>
  <si>
    <t>Fast. Play after you discover the last clue at your location._x000D_
Discover 2 clues at a location with a lower printed shroud value than your location.</t>
  </si>
  <si>
    <t>4a7794f9-c8be-4c42-b1ef-46d7dfdd4a0a</t>
  </si>
  <si>
    <t>Curiosity</t>
  </si>
  <si>
    <t>While you have 4 or more cards in hand, Curiosity gains ά έ (while you have 7 or more cards in hand, Curiosity gains ά ά έ έ, instead).</t>
  </si>
  <si>
    <t>cb477972-7436-4bcc-81a9-1f3829ff1afb</t>
  </si>
  <si>
    <t>Death XIII</t>
  </si>
  <si>
    <t>Free from the Past</t>
  </si>
  <si>
    <t>8ed7541a-893c-47db-96df-152e8950abc5</t>
  </si>
  <si>
    <t>Well Connected</t>
  </si>
  <si>
    <t>Limit 1 per investigator._x000D_
[fast] Exhaust Well Connected: You get +1 skill value for this skill test for every 5 resources you have.</t>
  </si>
  <si>
    <t>6a2d7bfa-30e9-4cb0-ac13-60f103eca5c7</t>
  </si>
  <si>
    <t>Money Talks</t>
  </si>
  <si>
    <t>Favor. Gambit.</t>
  </si>
  <si>
    <t>Fast. Play when you initiate a skill test._x000D_
Instead of the skill type indicated for this test (ά, έ, ή, or ί), this is a resource skill test. Your base skill value for this test is equal to half the number of resources in your resource pool (rounded down).</t>
  </si>
  <si>
    <t>562dea47-be08-4c89-b1fc-2f03d3b7cf9f</t>
  </si>
  <si>
    <t>Cunning</t>
  </si>
  <si>
    <t>While you have 5 or more resources, Cunning gains έ ί (while you have 10 or more resources, Cunning gains έ έ ί ί, instead).</t>
  </si>
  <si>
    <t>5979ffd1-1971-4802-abdd-c345fc60cb9c</t>
  </si>
  <si>
    <t>The Moon XVIII</t>
  </si>
  <si>
    <t>Message from Your Inner Self</t>
  </si>
  <si>
    <t>fa4ac919-ac11-4699-91c6-ccb37d0900f4</t>
  </si>
  <si>
    <t>Deny Existence</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</si>
  <si>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</si>
  <si>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c39b5679-d3a1-467d-8051-50047cc34281</t>
  </si>
  <si>
    <t>Eldritch Inspiration</t>
  </si>
  <si>
    <t>Fast. Play when you would resolve an effect on a μ card that triggers when a α, β, γ, δ, or ζ symbol is revealed._x000D_
Either cancel that effect, or resolve it an additional time.</t>
  </si>
  <si>
    <t>7be54dfa-9595-4c17-bc29-d678e593e8c4</t>
  </si>
  <si>
    <t>Prophesy</t>
  </si>
  <si>
    <t>While there are 3 or more doom in play, Prophesy gains ΰ (while there are 6 or more doom in play, Prophesy gains ΰ ΰ, instead).</t>
  </si>
  <si>
    <t>d58e1b85-2760-4019-9951-5a43c74c7227</t>
  </si>
  <si>
    <t>Four of Cups</t>
  </si>
  <si>
    <t>Chalice of the Heart</t>
  </si>
  <si>
    <t>You get +1 ά._x000D_
ι When the game begins, if Four of Cups is in your opening hand: Put it into play.</t>
  </si>
  <si>
    <t>0046b1cf-c6d2-425d-bd02-d49686e400fa</t>
  </si>
  <si>
    <t>Track Shoes</t>
  </si>
  <si>
    <t>Item. Clothing. Footwear.</t>
  </si>
  <si>
    <t>Limit 1 [[Footwear]] per investigator._x000D_
You get +1 ί._x000D_
ι After you move, but before enemies at your new location engage you, exhaust Track Shoes: Test ί (3). If you succeed, move to a connecting location.</t>
  </si>
  <si>
    <t>4f8887d7-511b-4094-bb50-c873e4d778dc</t>
  </si>
  <si>
    <t>Act of Desperation</t>
  </si>
  <si>
    <t>Tactic. Gambit.</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</si>
  <si>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</si>
  <si>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d5b60e5a-cb31-4b98-9c40-aed4322a2347</t>
  </si>
  <si>
    <t>Able Bodied</t>
  </si>
  <si>
    <t>While you control 2 or fewer [[Item]] assets, Able Bodied gains ή ί (while you control 1 or fewer [[Item]] assets, Able Bodied gains ή ή ί ί, instead).</t>
  </si>
  <si>
    <t>f9ad6423-0640-4045-ac80-55dd103d113a</t>
  </si>
  <si>
    <t>Five of Pentacles</t>
  </si>
  <si>
    <t>From the Brink</t>
  </si>
  <si>
    <t>You get +1 health and +1 sanity._x000D_
ι When the game begins, if Five of Pentacles is in your opening hand: Put it into play.</t>
  </si>
  <si>
    <t>78c05ca7-c225-40b4-9a58-5ec8d45f8e31</t>
  </si>
  <si>
    <t>Ace of Rods</t>
  </si>
  <si>
    <t>The Fateful Step</t>
  </si>
  <si>
    <t>479a3456-8e6c-4df7-a778-dad99d0a0f9d</t>
  </si>
  <si>
    <t>The Thirteenth Vision</t>
  </si>
  <si>
    <t>Revelation - Put The 13th Vision into play in your threat area._x000D_
Investigators at your location fail ties during skill tests._x000D_
η η: Discard The 13th Vision.</t>
  </si>
  <si>
    <t>46163897-b6a8-4c6e-86ef-27c5eeb7f443</t>
  </si>
  <si>
    <t>The Tower XVI</t>
  </si>
  <si>
    <t>Circumstances Beyond Your Control</t>
  </si>
  <si>
    <t>Omen. Tarot.</t>
  </si>
  <si>
    <t>The Circle Undone</t>
  </si>
  <si>
    <t>TCU</t>
  </si>
  <si>
    <t>57e4c960-af10-44cc-9af3-e1f4db571445</t>
  </si>
  <si>
    <t>009a9055-355a-4d33-80d1-6877af906369</t>
  </si>
  <si>
    <t>bf62dc7a-2d9f-4a41-8d90-3852188df560</t>
  </si>
  <si>
    <t>295aec50-d0a1-4934-b97d-d880573323d8</t>
  </si>
  <si>
    <t>84d907e0-b23c-43e5-9c3e-d27436076a73</t>
  </si>
  <si>
    <t>8f9953c8-71d5-4e2d-96d2-4d0b2f5c9937</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</si>
  <si>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</si>
  <si>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</si>
  <si>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</si>
  <si>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</si>
  <si>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θ During your turn, remove Ace of Rods from the game: You may take an additional action this turn, during which you get +2 to each of your skills._x000D_
ι When the game begins, if Ace of Rods is in your opening hand: Put it into play.</t>
  </si>
  <si>
    <t>You cannot commit cards to skill tests while The Tower XVI is in your hand._x000D_
If The Tower XVI is drawn in your opening hand during setup (before or after taking a mulligan), you cannot replace it. It must stay in your opening hand.</t>
  </si>
  <si>
    <t>2b4c8a33-a070-4ffc-9763-9bf014ab2ea0</t>
  </si>
  <si>
    <t>Disappearance at the Twilight Estate</t>
  </si>
  <si>
    <t>Easy / Standard_x000D_
α: -3. If you fail and this is an attack or evasion attempt, resolve each haunted ability on your location.</t>
  </si>
  <si>
    <t>Hard / Expert_x000D_
α: -5. If you fail and this is an attack or evasion attempt, resolve each haunted ability on your location.</t>
  </si>
  <si>
    <t>9b434397-cb1c-4534-affb-efb27e8dbd66</t>
  </si>
  <si>
    <t>JUDGEMENT XX</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</si>
  <si>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</si>
  <si>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Your Demise</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</si>
  <si>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</si>
  <si>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baea82d4-258f-47e7-b09b-b6b041641abb</t>
  </si>
  <si>
    <t>The Disappearance</t>
  </si>
  <si>
    <t>Forced - When an investigator is eliminated: Place each of that investigator's clues on this act instead of his or her location._x000D_
Objective - Discover as many clues as you can before your inevitable demise.</t>
  </si>
  <si>
    <t>Record in your Campaign Log you are being hunted._x000D_
Flip back to Act 1a.</t>
  </si>
  <si>
    <t>ba64216c-8dfa-4aec-97d3-6b1e4720331e</t>
  </si>
  <si>
    <t>Gavriella Mizrah</t>
  </si>
  <si>
    <t>Private Security</t>
  </si>
  <si>
    <t>Veteran.</t>
  </si>
  <si>
    <t>ι After an enemy attacks you, even if that attack was canceled: Discover 1 clue at your location. (Limit once per round.)_x000D_
ε effect: +1. Heal 1 damage and 1 horror.</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</si>
  <si>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</si>
  <si>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a43df446-cc04-457f-b402-6c80e9a41f70</t>
  </si>
  <si>
    <t>Jerome Davids</t>
  </si>
  <si>
    <t>Josef's Secretary</t>
  </si>
  <si>
    <t>Assistant. Silver Twilight.</t>
  </si>
  <si>
    <t>ι When an investigator at your location draws a treachery from the encounter deck, discard cards from your hand with a total of at least 2 έ icons: Cancel that card's revelation effect. (Limit once per round.)_x000D_
ε effect: +1. Discover 1 clue at your location.</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</si>
  <si>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</si>
  <si>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6e9e0773-f7e4-43ae-8ffa-620920faf22d</t>
  </si>
  <si>
    <t>Valentino Rivas</t>
  </si>
  <si>
    <t>Wealthy Philanthropist</t>
  </si>
  <si>
    <t>θ During a skill test you are performing, spend 2 resources: Reduce the difficulty of this test by 1. (Limit once per round.)_x000D_
ε effect: +1. Gain 2 resources.</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</si>
  <si>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</si>
  <si>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dfcb02c6-c641-4983-990a-61c07ebb6d4c</t>
  </si>
  <si>
    <t>Penny White</t>
  </si>
  <si>
    <t>Josef's Housekeeper</t>
  </si>
  <si>
    <t>ι After you succeed at a skill test during a revelation effect: Discover 1 clue at your location. (Limit once per round.)_x000D_
ε effect: +1. If this is a skill test during a revelation effect, you may take an additional action during your next turn.</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</si>
  <si>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</si>
  <si>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ea36d8dc-fefc-43d2-93e5-6fe903c7ee4a</t>
  </si>
  <si>
    <t>The Witching Hour</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</si>
  <si>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</si>
  <si>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</si>
  <si>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8b6df157-2727-43c9-840f-d5db8b69f723</t>
  </si>
  <si>
    <t>TEMPERANCE XIV</t>
  </si>
  <si>
    <t>The Rite Commences</t>
  </si>
  <si>
    <t>Discard all but the last 5 cards from the encounter deck. The investigator with the most cards in his or her play area must draw the topmost [[Witch]] enemy in the encounter discard pile.</t>
  </si>
  <si>
    <t>85432ea3-4681-4263-90e4-11ece040a439</t>
  </si>
  <si>
    <t>The Night Howls</t>
  </si>
  <si>
    <t>Forced - At the end of the round: Place 1 doom on this agenda for each [[Witch]] enemy at the Witches' Circle.</t>
  </si>
  <si>
    <t>Reincarnation</t>
  </si>
  <si>
    <t>Each surviving investigator is defeated and must search the collection for a random basic [[Omen]] or [[Curse]] weakness and add it to his or her deck. Each investigator who cannot suffers 1 mental trauma instead.</t>
  </si>
  <si>
    <t>06e80e7e-f563-4923-a35c-c5b56a8dee2f</t>
  </si>
  <si>
    <t>Lost in the Woods</t>
  </si>
  <si>
    <t>Locations in front of you are connected to one another. You cannot enter locations in front of other investigators._x000D_
Objective - At the end of the round, investigators may spend the requisite number of clues, as a group, to advance.</t>
  </si>
  <si>
    <t>Deeper into the Woods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</si>
  <si>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</si>
  <si>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7eb0b4b6-4951-47f0-9a15-39b69d3df4df</t>
  </si>
  <si>
    <t>Witch Hauntings</t>
  </si>
  <si>
    <t>Locations in front of you are connected to one another. You cannot enter locations in front of other investigators._x000D_
Objective - If a single investigator spends the requisite number of clues, advance.</t>
  </si>
  <si>
    <t>Strange Melodies</t>
  </si>
  <si>
    <t>For the remainder of the scenario, investigators may now enter locations in front of other investigators.</t>
  </si>
  <si>
    <t>37ae251b-0dad-4b44-a467-5d64c1c8a78c</t>
  </si>
  <si>
    <t>Paths into Twilight</t>
  </si>
  <si>
    <t>Locations in front of you are connected to one another.</t>
  </si>
  <si>
    <t>b68b2e09-a232-4578-9826-26ee1d12b424</t>
  </si>
  <si>
    <t>Witches' Circle</t>
  </si>
  <si>
    <t>Woods. Circle.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</si>
  <si>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</si>
  <si>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93afdc93-d1d6-49be-bf47-792f4c3071f6</t>
  </si>
  <si>
    <t>A Circle Unbroken</t>
  </si>
  <si>
    <t>Locations in front of you are connected to one another._x000D_
Objective - If Anette Mason is defeated, advance._x000D_
Objective - If there are no clues on the Witches' Circle, advance.</t>
  </si>
  <si>
    <t>A Circle Undone</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</si>
  <si>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</si>
  <si>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f3071036-a8cf-4cae-b4d2-435dd7d125b8</t>
  </si>
  <si>
    <t>Anette Mason</t>
  </si>
  <si>
    <t>The High Priestess</t>
  </si>
  <si>
    <t>Humanoid. Witch. Elite.</t>
  </si>
  <si>
    <t>Retaliate._x000D_
Forced - After the enemy phase begins: Discard the top 3 cards of the encounter deck. Spawn each [[Witch]] enemy discarded by this effect at Anette Mason's location. If no [[Witch]] enemies are discarded by this effect, ready her.</t>
  </si>
  <si>
    <t>b38cbfe7-33ce-4da0-805e-ee768d55695f</t>
  </si>
  <si>
    <t>Witch-Haunted Woods</t>
  </si>
  <si>
    <t>Abandoned Mine</t>
  </si>
  <si>
    <t>You cannot investigate this location while you have between 3 and 10 resources._x000D_
θ: Choose an investigator at a different Witch-Haunted Woods. Move up to 3 of your resources to that investigator's resource pool, or vice versa. (Group limit once per round.)</t>
  </si>
  <si>
    <t>b18d6c04-3078-4f66-8d5c-b86828bfc74f</t>
  </si>
  <si>
    <t>Cairn Stones</t>
  </si>
  <si>
    <t>Forced - After any number of clues are discovered from this location: Each investigator at this location loses an equal number of resources.</t>
  </si>
  <si>
    <t>6c324a96-fa29-4be4-917f-3ada08da3c98</t>
  </si>
  <si>
    <t>The Lonely Tree</t>
  </si>
  <si>
    <t>You cannot investigate this location while you have between 3 and 5 cards in hand._x000D_
θ: You choose and discard 1 card from your hand, then an investigator at a different Witch-Haunted Woods draws 1 card, or vice versa. (Limit once per round.)</t>
  </si>
  <si>
    <t>725469f2-857d-4493-bc34-69246ac41e40</t>
  </si>
  <si>
    <t>Child's Tree House</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</si>
  <si>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</si>
  <si>
    <t>bec9dfae-3210-4788-9bb6-18ee2f9d493d</t>
  </si>
  <si>
    <t>Tainted Well</t>
  </si>
  <si>
    <t>Investigators at other Witch-Haunted Woods locations can commit 1 card to each skill test performed at this location, and vice versa.</t>
  </si>
  <si>
    <t>12db67ae-bcfb-430a-a327-fd6c187f6ea2</t>
  </si>
  <si>
    <t>Hermit's House</t>
  </si>
  <si>
    <t>Forced - After any number of clues are discovered from this location: Each investigator at this location must discard an equal number of cards at random from his or her hand.</t>
  </si>
  <si>
    <t>35362464-8cb8-4431-90df-8002f357cb7b</t>
  </si>
  <si>
    <t>Overgrown Barn</t>
  </si>
  <si>
    <t>ι When an enemy would spawn at a different Witch-Haunted Woods: Spawn it at this location instead. Then, it makes an immediate attack against each investigator at this location.</t>
  </si>
  <si>
    <t>da131e3a-b1fe-42e3-b6fd-b413266a7809</t>
  </si>
  <si>
    <t>At Death's Doorstep</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</si>
  <si>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</si>
  <si>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</si>
  <si>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f69b2d45-3917-4679-a48a-b6c32d47e874</t>
  </si>
  <si>
    <t>JUSTICE XI</t>
  </si>
  <si>
    <t>[[Silver Twilight]] enemies cannot be damaged or defeated._x000D_
Forced - When you draw a [[Monster]] enemy: Instead of spawning it, set it aside, out of play, and place 1 doom on this agenda. This effect can cause this agenda to advance.</t>
  </si>
  <si>
    <t>Pulled into the Shadows</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</si>
  <si>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</si>
  <si>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77bb8257-87a1-4d81-a4c1-4240b9fa338c</t>
  </si>
  <si>
    <t>Over the Threshold</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</si>
  <si>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</si>
  <si>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Escape, if You Can</t>
  </si>
  <si>
    <t>- If the investigators are at act 2, they are trapped inside the spectral realm. (-&gt;R3)_x000D_
- If the investigators are at act 3, they barely escape with their lives. Each investigator who has not resigned is defeated and suffers 1 physical trauma.</t>
  </si>
  <si>
    <t>bc27e822-45d7-4f1b-9e77-60cdc6dc0b1a</t>
  </si>
  <si>
    <t>Hidden Agendas</t>
  </si>
  <si>
    <t>Objective - Find information about the disappearances by discovering as many clues as you can. (Do not advance until you are instructed.) (Hint: it may be worthwhile to investigate the last known locations of the missing persons.)</t>
  </si>
  <si>
    <t>Death Approaches</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</si>
  <si>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</si>
  <si>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3828c13a-18ab-4dd5-9b3b-7347298e0c30</t>
  </si>
  <si>
    <t>The Spectral Realm</t>
  </si>
  <si>
    <t>The mist blocking your escape recedes. Reveal the Entry Hall._x000D_
Shuffle the encounter discard pile into the encounter deck.</t>
  </si>
  <si>
    <t>53513f10-8c8c-4de7-9588-854743c9ba00</t>
  </si>
  <si>
    <t>Escape the Cage</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</si>
  <si>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</si>
  <si>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Alive… for Now</t>
  </si>
  <si>
    <t>129ca894-e429-4581-8cbb-bd572ba9ad1d</t>
  </si>
  <si>
    <t>η: Resign. "I guess there is nothing to those disappearances after all."</t>
  </si>
  <si>
    <t>1ff7ca25-79c0-4c87-8493-101d6205162f</t>
  </si>
  <si>
    <t>Victorian Halls</t>
  </si>
  <si>
    <t>η: You go looking for trouble. Discard cards from the top of the encounter deck until a [[Silver Twilight]] enemy is discarded. Spawn that enemy in the Victorian Halls. Then, gain 2 clues (from the token pool). (Group limit once per game.)</t>
  </si>
  <si>
    <t>259a5244-c7c9-43d8-9c77-4676a85d28c7</t>
  </si>
  <si>
    <t>Trophy Room</t>
  </si>
  <si>
    <t>η: You spend some time schmoozing with the other guests. Either gain 2 resources, or spend 2 resources to gain 1 clue (from the token pool). (Limit once per round.)</t>
  </si>
  <si>
    <t>be515ada-a78c-4891-81fa-cf74d6ee004a</t>
  </si>
  <si>
    <t>Billiards Room</t>
  </si>
  <si>
    <t>η: Test ί (3) to compete with the other guests. If you succeed, gain 1 clue (from the token pool). (Limit once per round.)</t>
  </si>
  <si>
    <t>4074832b-b055-4b2a-9dca-c9a2e52d2bae</t>
  </si>
  <si>
    <t>Master Bedroom</t>
  </si>
  <si>
    <t>Forced - When the round ends, if there is at least 1 investigator in the Master Bedroom: Place 1 doom on the nearest [[Silver Twilight]] enemy.</t>
  </si>
  <si>
    <t>de0039c5-cce6-4f05-9c59-fc8189737913</t>
  </si>
  <si>
    <t>η Discard cards from your hand with a total of at least 3 έ icons: Parley. The guest here knows more about the Lodge than they let on. Gain 2 clues (from the token pool). (Group limit once per game.)</t>
  </si>
  <si>
    <t>aa2c8718-f180-48db-9f85-cd9a3c6bf193</t>
  </si>
  <si>
    <t>Office</t>
  </si>
  <si>
    <t>Each [[Silver Twilight]] enemy in the Office loses aloof.</t>
  </si>
  <si>
    <t>60bd4780-50d7-4c4a-b6db-2d5fa91e8916</t>
  </si>
  <si>
    <t>Spectral.</t>
  </si>
  <si>
    <t>The Entry Hall is blocked by a wall of spectral mist. You cannot enter the Entry Hall. [[Silver Twilight]] enemies cannot spawn in the Entry Hall.</t>
  </si>
  <si>
    <t>53df67ca-a8ed-48d7-9c25-b22bc945a0ef</t>
  </si>
  <si>
    <t>Haunted - Lose 1 action.</t>
  </si>
  <si>
    <t>7ccc7735-ee59-405b-a10e-720c63a2a2b2</t>
  </si>
  <si>
    <t>Haunted - Lose 2 resources. For each resource you cannot lose from this effect, take 1 horror.</t>
  </si>
  <si>
    <t>3b155317-1d7b-45f3-b8bf-ca5d8ed9aa76</t>
  </si>
  <si>
    <t>Haunted - You must either discard an asset you control or take 1 damage.</t>
  </si>
  <si>
    <t>d8e506b6-e683-4ec0-8b0c-d029324ae8dc</t>
  </si>
  <si>
    <t>Haunted - Place 1 of your clues on Master Bedroom.</t>
  </si>
  <si>
    <t>a62b0420-de03-40a9-ac89-a24fa5603823</t>
  </si>
  <si>
    <t>Haunted - Each of your cards with health takes 1 direct damage.</t>
  </si>
  <si>
    <t>a4a8c1ce-acbf-402a-a165-e6e56c176c03</t>
  </si>
  <si>
    <t>Haunted - Choose and discard a card from your hand.</t>
  </si>
  <si>
    <t>da12b973-ace4-4dbc-ae3d-4bb3b3e0cf1c</t>
  </si>
  <si>
    <t>Josef Meiger</t>
  </si>
  <si>
    <t>Lodge Host</t>
  </si>
  <si>
    <t>Humanoid. Cultist. Silver Twilight. Elite.</t>
  </si>
  <si>
    <t>Retaliate._x000D_
η If no other [[Silver Twilight]] enemy has doom on it: Parley. Test έ (4) to convince Josef that this is not your doing. If you fail, Josef Meiger attacks you. If you succeed, flip this card over and resolve its text.</t>
  </si>
  <si>
    <t>8e1aa5ad-75a5-4740-bce4-e85fccbb4292</t>
  </si>
  <si>
    <t>Josef's Plan</t>
  </si>
  <si>
    <t>Remove all doom from this card._x000D_
For the remainder of the game, doom cannot be placed on [[Silver Twilight]] enemies, and Josef Meiger gains aloof._x000D_
Flip this card back to its enemy side and disengage it from all investigators.</t>
  </si>
  <si>
    <t>f22407c7-4f91-44b6-9382-e889c4741131</t>
  </si>
  <si>
    <t>The Spectral Watcher</t>
  </si>
  <si>
    <t>You Are Its Prey</t>
  </si>
  <si>
    <t>Ancient One. Spectral. Elite.</t>
  </si>
  <si>
    <t>Alert. Hunter._x000D_
Forced - When The Spectral Watcher is defeated: Instead of discarding it, heal all damage from it, disengage it from all investigators, and exhaust it. It does not ready during the upkeep phase this round.</t>
  </si>
  <si>
    <t>3b041a9e-6978-46a6-bcef-a35f30ef7b7b</t>
  </si>
  <si>
    <t>Watcher's Grasp</t>
  </si>
  <si>
    <t>Power. Spectral.</t>
  </si>
  <si>
    <t>Revelation - Heal 3 damage from The Spectral Watcher. Ready The Spectral Watcher. It moves, engages, and attacks as if it were the enemy phase. Throughout the resolution of this effect, The Spectral Watcher gains "Prey - You."</t>
  </si>
  <si>
    <t>dec4454d-05ef-49ca-8915-39429b037eea</t>
  </si>
  <si>
    <t>Piper of Azathoth</t>
  </si>
  <si>
    <t>Prey - Least remaining sanity._x000D_
Alert. Hunter. Retaliate._x000D_
Forced - When the enemy phase ends: Piper of Azathoth attacks each investigator it is not engaged with at its location (regardless of whether it is ready or exhausted).</t>
  </si>
  <si>
    <t>f13a2462-7466-4b9d-b000-5e2d8c4af564</t>
  </si>
  <si>
    <t>Daemonic Piping</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</si>
  <si>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</si>
  <si>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343b9330-c6b0-4ad3-90b0-aef7cab1ba12</t>
  </si>
  <si>
    <t>Coven Initiate</t>
  </si>
  <si>
    <t>Humanoid. Witch.</t>
  </si>
  <si>
    <t>Revelation - Discard the top 2 cards of the encounter deck. If this effect causes the encounter deck to run out of cards, draw the topmost [[Hex]] card in the encounter discard pile.</t>
  </si>
  <si>
    <t>6348e5e1-57f3-4f44-90f0-d3593e3c43ec</t>
  </si>
  <si>
    <t>Priestess of the Coven</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</si>
  <si>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</si>
  <si>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a0ebb0e6-91c1-4839-be28-3410d18e47c0</t>
  </si>
  <si>
    <t>Diabolic Voices</t>
  </si>
  <si>
    <t>Revelation - Test ά (3). For each point you fail by, discard 1 random card from your hand. For each card you cannot discard, take 1 horror or 1 damage. This test gets +1 difficulty for each copy of Diabolic Voices in the encounter discard pile.</t>
  </si>
  <si>
    <t>e008057c-20cd-4508-bfd0-457fe32ad15f</t>
  </si>
  <si>
    <t>Wracked</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</si>
  <si>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</si>
  <si>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e3d19014-ace7-4ea4-8e05-57f33692dd9a</t>
  </si>
  <si>
    <t>Bedeviled</t>
  </si>
  <si>
    <t>Revelation - Put Bedeviled into play in your threat area._x000D_
You cannot trigger η abilities on cards you control._x000D_
η: Test ά (3). If you succeed, discard Bedeviled. If there is an exhausted [[Witch]] enemy at your location, this test is automatically successful.</t>
  </si>
  <si>
    <t>2cfe6d4e-1ded-4217-be8f-f30c4989f16f</t>
  </si>
  <si>
    <t>Lodge Neophyte</t>
  </si>
  <si>
    <t>Spawn - Any empty location._x000D_
Aloof._x000D_
Forced - After Lodge Neophyte enters play: Place 1 doom on it._x000D_
η: Parley. Test ά (2). If you succeed, remove all doom from Lodge Neophyte.</t>
  </si>
  <si>
    <t>569ae12f-4a94-49f5-8cbd-3104502c13c6</t>
  </si>
  <si>
    <t>Keeper of Secrets</t>
  </si>
  <si>
    <t>Spawn - Any empty location._x000D_
Aloof. Retaliate._x000D_
Forced - When the mythos phase ends: Place 1 doom on Keeper of Secrets._x000D_
η: Parley. Test έ (3). If you succeed, remove all doom from Keeper of Secrets.</t>
  </si>
  <si>
    <t>779ed398-8619-4fa1-bd77-8b7be2c44c75</t>
  </si>
  <si>
    <t>Mysteries of the Lodge</t>
  </si>
  <si>
    <t>Revelation - Place 1 doom on the nearest [[Cultist]] enemy. Then, until the end of the round, increase the difficulty to fight, evade, or parley with that enemy by 2. If no doom is placed by this effect, Mysteries of the Lodge gains surge.</t>
  </si>
  <si>
    <t>edbb082b-fdd8-42de-a328-fcd65398e1fc</t>
  </si>
  <si>
    <t>Evil Past</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</si>
  <si>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</si>
  <si>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c082467f-92dd-493c-a00a-026c26e133f5</t>
  </si>
  <si>
    <t>Centuries of Secrets</t>
  </si>
  <si>
    <t>Revelation - Test ά (5). For each point you fail by, discard the top card of the encounter deck. If a [[Curse]] treachery is discarded by this effect, deal 1 direct damage to your investigator and to each of your [[Ally]] assets.</t>
  </si>
  <si>
    <t>f7c74c76-84b8-4f5b-8cd8-a5e68cc0410b</t>
  </si>
  <si>
    <t>Nether Mist</t>
  </si>
  <si>
    <t>Monster. Spectral.</t>
  </si>
  <si>
    <t>Prey - Investigator at the location with the most clues._x000D_
Aloof. Hunter._x000D_
Nether Mist's location gains: "Haunted - Nether Mist attacks you."</t>
  </si>
  <si>
    <t>4ded3644-33e3-42cb-9465-65905d322cc1</t>
  </si>
  <si>
    <t>Shadow Hound</t>
  </si>
  <si>
    <t>Prey - Lowest ί._x000D_
Hunter. Retaliate._x000D_
Forced - After Shadow Hound attacks you: Resolve each haunted ability on your location.</t>
  </si>
  <si>
    <t>3f445c62-94aa-4015-a1cb-700977b6b023</t>
  </si>
  <si>
    <t>Whispers in the Dark</t>
  </si>
  <si>
    <t>Omen. Spectral.</t>
  </si>
  <si>
    <t>Revelation - Put Whispers in the Dark into play next to the agenda deck._x000D_
Each location gains: "Haunted - Take 1 horror."_x000D_
Forced - When the round ends: Discard Whispers in the Dark.</t>
  </si>
  <si>
    <t>98aa643b-46f1-48f1-9e5d-a10d6164490e</t>
  </si>
  <si>
    <t>Wraith</t>
  </si>
  <si>
    <t>Monster. Geist. Spectral.</t>
  </si>
  <si>
    <t>Hunter._x000D_
Forced - When Wraith is defeated by damage (except from a [[Spell]] or [[Relic]]): Instead of discarding it, attach it to its location. Attached location gains: "Haunted - Spawn Wraith at this location."</t>
  </si>
  <si>
    <t>bcd6e177-8bba-4551-98c5-688a6d65ea81</t>
  </si>
  <si>
    <t>Trapped Spirits</t>
  </si>
  <si>
    <t>Terror. Spectral.</t>
  </si>
  <si>
    <t>Revelation - Test ί (3). For each point you fail by, take 1 damage. If your location is haunted, as an additional cost for an investigator to commit 1 or more cards to this skill test, he or she must resolve each haunted ability on this location.</t>
  </si>
  <si>
    <t>7b980f47-dc9b-4ca5-9362-f8d967d6b0fa</t>
  </si>
  <si>
    <t>Realm of Torment</t>
  </si>
  <si>
    <t>Revelation - Put Realm of Torment into play in your threat area._x000D_
Forced - When your turn begins: Resolve each haunted ability on your location._x000D_
Forced - When your turn ends: Test ά (3). If you succeed, discard Realm of Torment.</t>
  </si>
  <si>
    <t>766e1693-b1eb-4590-954b-2e18072e18f9</t>
  </si>
  <si>
    <t>Shapes in the Mist</t>
  </si>
  <si>
    <t>Surge._x000D_
Revelation - Resolve each haunted ability on your location.</t>
  </si>
  <si>
    <t>2fc27237-5a64-4e53-9490-8e2f24a86465</t>
  </si>
  <si>
    <t>Terror in the Night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</si>
  <si>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</si>
  <si>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69fba3d3-9218-40c4-9f72-9d428de08a30</t>
  </si>
  <si>
    <t>Fate of All Fools</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</si>
  <si>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</si>
  <si>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32851c70-7805-46c9-bd17-47b70f323441</t>
  </si>
  <si>
    <t>aa824e97-55e5-4ad0-97c4-fa2ab212a6a6</t>
  </si>
  <si>
    <t>300e6ad9-dd9e-4565-b2e0-b4a16ed891ec</t>
  </si>
  <si>
    <t>f136076f-a794-4979-a739-da6c51758aad</t>
  </si>
  <si>
    <t>The Watcher</t>
  </si>
  <si>
    <t>Agents of Azathoth</t>
  </si>
  <si>
    <t>Anette's Coven</t>
  </si>
  <si>
    <t>Witchcraft</t>
  </si>
  <si>
    <t>Silver Twilight Lodge</t>
  </si>
  <si>
    <t>City of Sins</t>
  </si>
  <si>
    <t>Spectral Predators</t>
  </si>
  <si>
    <t>Realm of Death</t>
  </si>
  <si>
    <t>Inexorable Fate</t>
  </si>
  <si>
    <t>6bbb487e-76cf-4f8f-a25d-fe2b1e0593a1</t>
  </si>
  <si>
    <t>e589f209-7f5a-4d21-929c-c1dea4cdbda3</t>
  </si>
  <si>
    <t>Something Worth Fighting For</t>
  </si>
  <si>
    <t>Something Worth Fighting For may be assigned horror dealt to other investigators at your location.</t>
  </si>
  <si>
    <t>aab0789f-f556-42ef-a9b9-22687740cf52</t>
  </si>
  <si>
    <t>Crack the Case</t>
  </si>
  <si>
    <t>Fast. Play after an investigator discovers the last remaining clue at your location._x000D_
Investigators at that location gain a total of X resources, distributed as you wish. X is that location's shroud value.</t>
  </si>
  <si>
    <t>46d65f31-2a1f-440c-b466-c972b91880d9</t>
  </si>
  <si>
    <t>Intel Report</t>
  </si>
  <si>
    <t>Favor. Service.</t>
  </si>
  <si>
    <t>7375d1fa-197c-451b-9992-fd8350a77047</t>
  </si>
  <si>
    <t>Sign Magick</t>
  </si>
  <si>
    <t>Ritual. Talent.</t>
  </si>
  <si>
    <t>Fast._x000D_
You have 1 additional arcane slot, which can only be used to hold a [[Spell]] or [[Ritual]] asset.</t>
  </si>
  <si>
    <t>8a472fd7-bd16-456b-b390-37d52203e49a</t>
  </si>
  <si>
    <t>Banish</t>
  </si>
  <si>
    <t>c6b30d15-60f6-4a8e-a133-78ef64a97875</t>
  </si>
  <si>
    <t>Meat Cleaver</t>
  </si>
  <si>
    <t>ceb0189a-107b-41ce-8892-2c6cf36bc161</t>
  </si>
  <si>
    <t>.45 Thompson</t>
  </si>
  <si>
    <t>a9990ab5-25b1-40aa-9436-e24bd889bfd7</t>
  </si>
  <si>
    <t>Scroll of Secrets</t>
  </si>
  <si>
    <t>a6a7aee0-dff7-4ed1-8bc0-1283c7862276</t>
  </si>
  <si>
    <t>Tennessee Sour Mash</t>
  </si>
  <si>
    <t>4b84085b-8c31-4249-bb8e-ceda3be4f10f</t>
  </si>
  <si>
    <t>Enchanted Blade</t>
  </si>
  <si>
    <t>Hand. Arcane</t>
  </si>
  <si>
    <t>0d126534-3b25-4157-93b0-c0ff4357d3a2</t>
  </si>
  <si>
    <t>Grisly Totem</t>
  </si>
  <si>
    <t>33bfb887-f781-43f9-a8a5-4677f811ca24</t>
  </si>
  <si>
    <t>The Secret Name</t>
  </si>
  <si>
    <t>68d761f4-60ae-46cd-9f7a-824b13ee5a55</t>
  </si>
  <si>
    <t>THE HERMIT • IX</t>
  </si>
  <si>
    <t>Rats in the Walls</t>
  </si>
  <si>
    <t>If Brown Jenkin is in play, search the encounter deck and discard pile for a Swarm of Rats and spawn it in Brown Jenkin's location. If Brown Jenkin is not in play, search the encounter deck and discard pile for him and spawn it in the lead investigator's location._x000D_
Additionally, if there are 3 or 4 investigators in the game, search the encounter deck and discard pile for a Swarm of Rats and spawn it in any [[Witch House]] location.</t>
  </si>
  <si>
    <t>4e77739e-b214-4a6b-b847-2a0817d7793f</t>
  </si>
  <si>
    <t>The Familiar</t>
  </si>
  <si>
    <t>The Crone</t>
  </si>
  <si>
    <t>- If it is act 1, spawn the set-aside Nahab in Walter Gilman's Room._x000D_
- If it is act 2, spawn the set-aside Nahab in Keziah's Room._x000D_
- If it is act 3, place 1 doom on Nahab._x000D_
Shuffle both set-aside copies of Ghostly Presence into the encounter deck._x000D_
Find Brown Jenkin (even if he is out of play) and place him in Nahab's current location.</t>
  </si>
  <si>
    <t>b2ca1fb9-e670-45af-b273-deb03b848c4e</t>
  </si>
  <si>
    <t>The Witch Light</t>
  </si>
  <si>
    <t>An Awakening</t>
  </si>
  <si>
    <t>- If it is act 1 or 2, set Nahab aside, out of play, and place 4 doom on agenda 4a as it enters play._x000D_
- If it is act 3, place 1 doom on Nahab.</t>
  </si>
  <si>
    <t>53615356-f0c1-4cc2-9ba2-e1fffa146284</t>
  </si>
  <si>
    <t>Marked for Sacrifice</t>
  </si>
  <si>
    <t>A Dream in the Witch House</t>
  </si>
  <si>
    <t>8449d441-eb20-4b6c-94c5-3b9f3700d709</t>
  </si>
  <si>
    <t>Investigating the Witch House</t>
  </si>
  <si>
    <t>Specter of the Past</t>
  </si>
  <si>
    <t>af8fda52-08c1-4706-98a2-85e9eb31bf4f</t>
  </si>
  <si>
    <t>Beyond the Witch House</t>
  </si>
  <si>
    <t>A Profane Ritual</t>
  </si>
  <si>
    <t>Put the set-aside Site of the Sacrifice location into play._x000D_
- If it is agenda 1, 2, or 3, find Nahab (even if she is out of play), place 2 doom on her, and place her at the Site of the Sacrifice._x000D_
- If it is agenda 4, find Nahab (even if she is out of play) and place her at the Site of the Sacrifice. Move each doom from agenda 4a to Nahab._x000D_
Find Brown Jenkin (even if he is out of play) and place him in Nahab's current location.</t>
  </si>
  <si>
    <t>c6c424f9-f540-4369-9869-1946a55c30dd</t>
  </si>
  <si>
    <t>Stopping the Ritual</t>
  </si>
  <si>
    <t>Ritual Averted</t>
  </si>
  <si>
    <t>54164db4-ac3b-4b32-92a3-2847729fb7df</t>
  </si>
  <si>
    <t>Moldy Halls</t>
  </si>
  <si>
    <t>Witch House.</t>
  </si>
  <si>
    <t>fcb27e66-5c77-4edf-b418-e0b205add86f</t>
  </si>
  <si>
    <t>Landlord's Quarters</t>
  </si>
  <si>
    <t>Decrepit Door</t>
  </si>
  <si>
    <t>af26112b-c8d8-48e3-9e36-f6aae87f568e</t>
  </si>
  <si>
    <t>Joe Mazurewicz's Room</t>
  </si>
  <si>
    <t>240f4107-e6d9-4820-91d3-7365cc40407c</t>
  </si>
  <si>
    <t>Frank Elwood's room</t>
  </si>
  <si>
    <t>b89c14d2-c0bb-4e99-9c9d-1ba0aff7b2bd</t>
  </si>
  <si>
    <t>Walter Gilman's Room</t>
  </si>
  <si>
    <t>e9721e11-b617-4b4b-a37d-18c1e3028f9e</t>
  </si>
  <si>
    <t>Keziah's Room</t>
  </si>
  <si>
    <t>Spectral. Witch House.</t>
  </si>
  <si>
    <t>944e0e93-e42a-4eef-9d4e-9df72ec47061</t>
  </si>
  <si>
    <t>Extradimensional. Witch House.</t>
  </si>
  <si>
    <t>Unknown Places</t>
  </si>
  <si>
    <t>Earlier Tonight</t>
  </si>
  <si>
    <t>859032e6-06fd-425d-884b-bca6585af5ae</t>
  </si>
  <si>
    <t>Twilight Abyss</t>
  </si>
  <si>
    <t>Extradimensional. Otherworld.</t>
  </si>
  <si>
    <t>d96b9e82-4855-4dcc-9fed-e1bc6282a550</t>
  </si>
  <si>
    <t>City of Elder Things</t>
  </si>
  <si>
    <t>33254ae5-0821-43db-95ba-66c661c2307f</t>
  </si>
  <si>
    <t>Witch House Ruins</t>
  </si>
  <si>
    <t>2cd4a5aa-5ce5-4bc6-a9c3-99b526b566a9</t>
  </si>
  <si>
    <t>Salem Gaol, 1692</t>
  </si>
  <si>
    <t>Extradimensional. Salem.</t>
  </si>
  <si>
    <t>f10e703a-742d-4814-a62c-c1125e48ece6</t>
  </si>
  <si>
    <t>Physics Classroom</t>
  </si>
  <si>
    <t>Extradimensional. Miskatonic.</t>
  </si>
  <si>
    <t>ef4104f5-64da-45f6-9e2a-bdf9be22949d</t>
  </si>
  <si>
    <t>Court of the Great Old Ones</t>
  </si>
  <si>
    <t>A Not-Too-Distant Future</t>
  </si>
  <si>
    <t>8293e074-4c6b-4477-8630-eb47ef585150</t>
  </si>
  <si>
    <t>Site of the Sacrifice</t>
  </si>
  <si>
    <t>c63d6de9-9ae0-4cfb-a561-b0b2e58dffb7</t>
  </si>
  <si>
    <t>Strange Geometry</t>
  </si>
  <si>
    <t>553e10ea-a80c-435e-8db0-b2ddda222b60</t>
  </si>
  <si>
    <t>Meddlesome Familiar</t>
  </si>
  <si>
    <t>5bc1ba5c-2aa1-469f-abc0-977b3014866e</t>
  </si>
  <si>
    <t>Ghostly Presence</t>
  </si>
  <si>
    <t>06c8dd37-39da-4094-8e10-1b02fcc02030</t>
  </si>
  <si>
    <t>Extradimensional Visions</t>
  </si>
  <si>
    <t>95a1ad3a-5ef9-4fac-a751-cfa368756eca</t>
  </si>
  <si>
    <t>Pulled by the Stars</t>
  </si>
  <si>
    <t>5039b791-2c6c-444e-a866-fa11a6e4ed1e</t>
  </si>
  <si>
    <t>Disquieting Dreams</t>
  </si>
  <si>
    <t>254213cb-2db4-4dd5-b74e-a2dee3b8d711</t>
  </si>
  <si>
    <t>Brown Jenkin</t>
  </si>
  <si>
    <t>The Witch's Familiar</t>
  </si>
  <si>
    <t>Creature. Familiar. Elite.</t>
  </si>
  <si>
    <t>809ab85e-3f52-414a-876b-7af4a4e53749</t>
  </si>
  <si>
    <t>Nahab</t>
  </si>
  <si>
    <t>She Who Signed the Black Book</t>
  </si>
  <si>
    <t>Monster. Geist. Witch. Elite.</t>
  </si>
  <si>
    <t>9c363593-d0df-48a1-a904-9c6ebdc8281b</t>
  </si>
  <si>
    <t>The Black Book</t>
  </si>
  <si>
    <t>Signed in Blood</t>
  </si>
  <si>
    <t>Item. Tome. Relic.</t>
  </si>
  <si>
    <t>TSN</t>
  </si>
  <si>
    <t>The Wages of Sin</t>
  </si>
  <si>
    <t>For the Greater Good</t>
  </si>
  <si>
    <t>Union and Disillusion</t>
  </si>
  <si>
    <t>In the Clutches of Chaos</t>
  </si>
  <si>
    <t>Before the Black Throne</t>
  </si>
  <si>
    <t>The Dream-Eaters</t>
  </si>
  <si>
    <t>Guardians of the Abyss</t>
  </si>
  <si>
    <t>Return to the Path to Carcosa</t>
  </si>
  <si>
    <t>WOS</t>
  </si>
  <si>
    <t>FGG</t>
  </si>
  <si>
    <t>UAD</t>
  </si>
  <si>
    <t>ICC</t>
  </si>
  <si>
    <t>BBT</t>
  </si>
  <si>
    <t>TDE</t>
  </si>
  <si>
    <t>RTPTC</t>
  </si>
  <si>
    <t>GUARDIANS</t>
  </si>
  <si>
    <t>8c952b31-6bd1-429f-9c42-6f37b55cce51</t>
  </si>
  <si>
    <t>57dbad8a-4250-46ff-9173-f134f3c0c788</t>
  </si>
  <si>
    <t>Alice Luxley</t>
  </si>
  <si>
    <t>Fearless Flatfoot</t>
  </si>
  <si>
    <t>Ally. Detective. Police.</t>
  </si>
  <si>
    <t>1a663504-1aef-4631-857c-b754622ce706</t>
  </si>
  <si>
    <t>Well-Maintained</t>
  </si>
  <si>
    <t>7d69d529-8921-4ab8-94d6-9602ef6aee5a</t>
  </si>
  <si>
    <t>Mr. "Rook"</t>
  </si>
  <si>
    <t>Dealer in Secrets</t>
  </si>
  <si>
    <t>61112dca-e602-47b9-af2e-626da3374814</t>
  </si>
  <si>
    <t>Hawk-Eye Folding Camera</t>
  </si>
  <si>
    <t>9ad7df7c-2878-4171-aacc-4327851265f7</t>
  </si>
  <si>
    <t>Henry Wan</t>
  </si>
  <si>
    <t>Aspiring Actor</t>
  </si>
  <si>
    <t>8d4c471c-a087-45ab-bfb0-7fcfb86d1644</t>
  </si>
  <si>
    <t>Swift Reflexes</t>
  </si>
  <si>
    <t>Fast. Play during any investigator's turn, except during an action._x000D_
Immediately take an action as if it were your turn. This action does not count toward the number of actions you can take each turn.</t>
  </si>
  <si>
    <t>bd56131b-3caf-439c-a6ac-c36aaea643f6</t>
  </si>
  <si>
    <t>Wither</t>
  </si>
  <si>
    <t>7a495d34-c4c0-4e04-bcec-2a31d0799963</t>
  </si>
  <si>
    <t>Sixth Sense</t>
  </si>
  <si>
    <t>e723c262-3e6b-4e60-a464-377dbc29a45f</t>
  </si>
  <si>
    <t>Drawing Thin</t>
  </si>
  <si>
    <t>87c50b4e-df97-4ce2-ada6-dede98b4b284</t>
  </si>
  <si>
    <t>Belly of the Beast</t>
  </si>
  <si>
    <t>Gambit. Trick.</t>
  </si>
  <si>
    <t>Fast. Play after you successfully evade an enemy by 2 or more._x000D_
Discover 1 clue at that enemy's location.</t>
  </si>
  <si>
    <t>a263c7a7-7641-479b-bb07-926c93371e15</t>
  </si>
  <si>
    <t>c649bd6a-77f3-4ef1-8dfc-b20c0a034702</t>
  </si>
  <si>
    <t>THE HANGED MAN · XII</t>
  </si>
  <si>
    <t>Death's Descent</t>
  </si>
  <si>
    <t>ef33243d-ba84-495f-9eb8-2efc9e1a98f5</t>
  </si>
  <si>
    <t>Death's Approach</t>
  </si>
  <si>
    <t>Locations cannot be flipped over.</t>
  </si>
  <si>
    <t>Death's Embrace</t>
  </si>
  <si>
    <t>f7a92c70-67d6-413e-8e02-28503af28dfa</t>
  </si>
  <si>
    <t>In Pursuit of the Dead</t>
  </si>
  <si>
    <t>The Barrier Between</t>
  </si>
  <si>
    <t>9248442d-eacd-4813-9bb2-142b4fd7dd27</t>
  </si>
  <si>
    <t>In Pursuit of the Living</t>
  </si>
  <si>
    <t>Was it Worth It?</t>
  </si>
  <si>
    <t>3353c57b-4def-4ddb-93bc-5c58ec8be27c</t>
  </si>
  <si>
    <t>Hangman's Brook</t>
  </si>
  <si>
    <t>f4971a44-74c0-430f-9d84-374ca224ca57</t>
  </si>
  <si>
    <t>Haunted Fields</t>
  </si>
  <si>
    <t>Each [[Spectral]] enemy at Haunted Fields gets +1 horror value.</t>
  </si>
  <si>
    <t>05e49566-9511-43e5-8304-41754b33a5ca</t>
  </si>
  <si>
    <t>Abandoned Chapel</t>
  </si>
  <si>
    <t>During the mythos phase, each investigator in Abandoned Chapel gets -1 to each skill.</t>
  </si>
  <si>
    <t>e22800b9-b238-4887-8289-35cf0c978363</t>
  </si>
  <si>
    <t>The Gallows</t>
  </si>
  <si>
    <t>The Gallows gets +1 shroud for each [[Witch]] enemy in play.</t>
  </si>
  <si>
    <t>028d377a-a1ad-44ee-91f7-ee1baa5210c2</t>
  </si>
  <si>
    <t>X is the number of [[Geist]] enemies in play.</t>
  </si>
  <si>
    <t>68d6765d-2d4d-4882-be2a-9d569ef2e662</t>
  </si>
  <si>
    <t>Heretics' Graves</t>
  </si>
  <si>
    <t>d54acf40-23db-4210-bd8d-a1aa9ee84ad1</t>
  </si>
  <si>
    <t>4adf6b60-a149-458e-b677-fb9c1662d719</t>
  </si>
  <si>
    <t>Chapel Crypt</t>
  </si>
  <si>
    <t>While there are no ready enemies at Chapel Crypt, it gets -3 shroud.</t>
  </si>
  <si>
    <t>949842f1-b1f1-46da-8656-0357e77df332</t>
  </si>
  <si>
    <t>While there are no [[Hex]] treacheries among investigators' threat areas at Chapel Crypt, it gets -3 shroud.</t>
  </si>
  <si>
    <t>8b5a93f4-6782-4263-92cd-0c141e6ffb7d</t>
  </si>
  <si>
    <t>Chapel Attic</t>
  </si>
  <si>
    <t>ea209a3c-ba80-469e-9966-f01d35a550d1</t>
  </si>
  <si>
    <t>While investigating Chapel Attic, add the number of cards in your hand to your skill value for the investigation.</t>
  </si>
  <si>
    <t>11b99268-8d50-4863-9b24-7aa2f2f3f0ef</t>
  </si>
  <si>
    <t>Spectral Web</t>
  </si>
  <si>
    <t>2b3aadab-97d4-4ea9-91a5-bd40534805f9</t>
  </si>
  <si>
    <t>Heretic</t>
  </si>
  <si>
    <t>Monster. Geist. Witch. Spectral. Elite.</t>
  </si>
  <si>
    <t>b3ca52b8-7d20-4f74-a57d-0b65edd6d610</t>
  </si>
  <si>
    <t>692f82a8-3fdb-4bb0-b4e4-4cb738482978</t>
  </si>
  <si>
    <t>b1b9b253-81ec-4429-85f3-44641924844d</t>
  </si>
  <si>
    <t>2db09a66-5db7-4e52-8e91-0eed039312cb</t>
  </si>
  <si>
    <t>c2e303a2-88fa-40b4-aba3-eeb7f65f136f</t>
  </si>
  <si>
    <t>ff76e088-1395-4e10-8a43-17de4c914049</t>
  </si>
  <si>
    <t>Vengeful Witch</t>
  </si>
  <si>
    <t>1dafb518-3669-4a12-8f27-6b0a6335227f</t>
  </si>
  <si>
    <t>Malevolent Spirit</t>
  </si>
  <si>
    <t>051bcbce-880a-4a89-a41c-48e6dc451815</t>
  </si>
  <si>
    <t>Punishment</t>
  </si>
  <si>
    <t>6709f629-17f6-42bf-aa4a-f106840e8ae9</t>
  </si>
  <si>
    <t>Burdens of the Past</t>
  </si>
  <si>
    <t>Curse. Spectral.</t>
  </si>
  <si>
    <t>288969bc-3df6-431e-b04d-f0d150af3be4</t>
  </si>
  <si>
    <t>Ominous Portents</t>
  </si>
  <si>
    <t>1529b14f-ab18-4db9-841a-b0b603f1efde</t>
  </si>
  <si>
    <t>Grave-Light</t>
  </si>
  <si>
    <t>fe1d32d4-ba8e-49ae-b0a4-58b4a207c453</t>
  </si>
  <si>
    <t>Bane of the Living</t>
  </si>
  <si>
    <t>BA</t>
  </si>
  <si>
    <t>BB</t>
  </si>
  <si>
    <t>You get +1 έ._x000D_
ι After you discover a clue, exhaust Alice Luxley: Deal 1 damage to an enemy at your location.</t>
  </si>
  <si>
    <t>Fast. Play only during your turn._x000D_
Attach to an [[Item]] asset you control. Limit 1 per asset._x000D_
ι After attached asset is discarded: Return it to its owner's hand, along with each other [[Upgrade]] attachment that was attached to it.</t>
  </si>
  <si>
    <t>Uses (3 secrets)._x000D_
θ Exhaust Mr. "Rook" and spend 1 secret: Search the top 3, 6, or 9 cards of your deck for any card and draw it. If at least 1 weakness is among the searched cards, draw 1 of them, as well. Shuffle your deck.</t>
  </si>
  <si>
    <t>ι After the last clue is discovered from your location: Place 1 resource (from the token pool) on this card, as evidence. (Limit once per game at each location.)_x000D_
While Hawk-Eye Folding Camera has ..._x000D_
- ... 1 or more evidence, you get +1 ά._x000D_
- ... 2 or more evidence, you get +1 έ._x000D_
- ... 3 or more evidence, you get +1 sanity.</t>
  </si>
  <si>
    <t>η Exhaust Henry Wan: One at a time, reveal random tokens from the chaos bag until you choose to stop, or until you reveal a α, β, γ, δ, or ζ symbol._x000D_
- If you chose to stop, for each token revealed via this effect, you may either draw 1 card or gain 1 resource._x000D_
- If you revealed a α, β, γ, δ, or ζ symbol, do nothing.</t>
  </si>
  <si>
    <t>η: Fight. This attack uses ά instead of ή. If a α, β, γ, or δ symbol is revealed during this attack, the attacked enemy gets -1 fight and -1 evade for the remainder of the turn (to a minimum of 1).</t>
  </si>
  <si>
    <t>η: Investigate. Investigate using ά instead of έ. If a α, β, γ, or δ symbol is revealed during this test, you may choose a revealed location connected to your location; you are now investigating as if you were at the chosen location instead of your location (you may use either shroud value).</t>
  </si>
  <si>
    <t>ι When you initiate a skill test, exhaust Drawing Thin: Increase the difficulty of this skill test by 2. Gain 2 resources or draw 1 card.</t>
  </si>
  <si>
    <t>Easy / Standard_x000D_
α: -X. X is 1 higher than the number of copies of Unfinished Business in the victory display._x000D_
β: -3. Until the end of the round, each Heretic enemy in play gets +1 fight and +1 evade._x000D_
γ: -3. If you fail, trigger the forced ability on a copy of Unfinished Business in yout threat area as if it were the end of the round._x000D_
δ: -2. If you fail and this is an attack or evasion attempt, resolve each haunted ability on your location.</t>
  </si>
  <si>
    <t>Hard / Expert_x000D_
α: -X. X is the number of copies of Unfinished Business in the victory display. Reveal another token._x000D_
β: -4. Until the end of the rount, each Heretic enemy in play gets +1 fight and +1 evade._x000D_
γ: -4. If you fail, trigger the forced ability on a copy of Unfinished Business in your threat area as if it were the end of the round._x000D_
δ: -2. If this is an attack or evasion attempt, resolve each haunted ability on your location.</t>
  </si>
  <si>
    <t>Flip each location to its [[Spectral]] side._x000D_
Put the set-aside The Spectral Watcher enemy into play at Hangman's Brook._x000D_
Shuffle the remainder of the set-aside The Watcher encounter set into the spectral encounter deck, along with the spectral discard pile.</t>
  </si>
  <si>
    <t>Spawn 1 set-aside Heretic enemy at each of the following locations: The Gallows, Heretics' Graves, Chapel Attic, and Chapel Crypt. Add 2 π clues to each of those locations. Add 1 π clues to each other location._x000D_
Check Campaign Log. If you have 3 or more mementos listed under "Mementos Discovered:" You understand the tragic lyrics behind the witch's song. Each investigator puts into play 1 set-aside Spectral Web asset, under his or her control.</t>
  </si>
  <si>
    <t>θ: Flip your location over. (Group limit once per round at each location.)_x000D_
Clues cannot be discovered at non-[[Spectral]] locations._x000D_
Objective - Banish as many Heretics as you can. If there are 4 copies of Unfinished Business in the victory display, advance.</t>
  </si>
  <si>
    <t>In your Campaign Log, under "Mementos Discovered," record Corn Husk Doll._x000D_
(→R1)</t>
  </si>
  <si>
    <t>η: Resign. "Whose bright idea was this, anyway?"</t>
  </si>
  <si>
    <t>While investigating Heretics' Graves, add your ά value to your skill value for the investigation.</t>
  </si>
  <si>
    <t>Forced - After a [[Witch]] enemy at Heretics' Graves is defeated: Discard the top 2 cards of the standard encounter deck.</t>
  </si>
  <si>
    <t>Forced - After you draw a non-weakness card from your deck while at Chapel Attic: Place that card facedown beneath Chapel Attic, out of play._x000D_
 ι After you successfully investigate Chapel Attic: Add each card beneath it to its owner's hand.</t>
  </si>
  <si>
    <t>η Investigators at your location spend 1-3 clues, as a group: Fight. Use this ability only to attack a [[Geist]] enemy. You may choose to use your ά instead of your ή for this attack. You get +X skill value and deal +X damage for this attack, where X is the amount of clues spent to trigger this ability.</t>
  </si>
  <si>
    <t>Heretic gets +2 π health._x000D_
While Heretic is at a non-[[Spectral]] location, it gains aloof and cannot be engaged or damaged._x000D_
θ Spend 1 clue: Parley. Look at Heretic's other side (without resolving its text)._x000D_
Forced - After Heretic is defeated: Flip it over and resolve the text on its other side.</t>
  </si>
  <si>
    <t>Spawn - The Gallows or Heretics' Graves._x000D_
Alert. Hunter._x000D_
Forced - When Vengeful Witch is defeated: Deal its damage and horror to each investigator at its location, as direct damage/horror.</t>
  </si>
  <si>
    <t>Spawn - Chapel Attic or Chapel Crypt._x000D_
While Malevolent Spirit is at a [[Spectral]] location, it gains hunter and gets +1 damage value and +1 horror value._x000D_
Forced - When Malevolent Spirit is defeated by damage (except from a [[Spell]] or [[Relic]]): Instead of discarding it, heal all damage from it, exhaust it, and move it to any [[Spectral]] location, if able.</t>
  </si>
  <si>
    <t>Revelation - Put Punishment into play in your threat area._x000D_
Forced - After an enemy at any location is defeated: Take 1 damage._x000D_
η: Test ά (3). If you succeed, discard Punishment. If there is an exhausted [[Witch]] enemy at your location, this test is automatically successful.</t>
  </si>
  <si>
    <t>Revelation - If there are no copies of Unfinished Business in your threat area, Burdens of the Past gains surge. Otherwise, trigger the forced ability of each copy of Unfinished Business in your threat area as if it were the end of the round.</t>
  </si>
  <si>
    <t>Peril._x000D_
Revelation - You must either (choose one):_x000D_
- Draw the top card of the spectral encounter deck. That card gains peril, and its effects cannot be canceled._x000D_
- Test ά (3). If you fail take 2 horror.</t>
  </si>
  <si>
    <t>Revelation - If Grave-Light is drawn ..._x000D_
- ...from the standard encounter deck, shuffle it into the spectral encounter deck, and it gains surge._x000D_
- ...from the spectral encounter deck, take 2 damage and place it in the standard encounter discard pile.</t>
  </si>
  <si>
    <t>Peril._x000D_
Revelation - You must either (choose one):_x000D_
- Choose an Unfinished Business card in play, flip it to its Heretic side, and place damage on it equal to half its health._x000D_
- Discard cards from the top of the spectral encounter deck until a [[Geist]] enemy is discarded. Spawn that enemy engaged with you.</t>
  </si>
  <si>
    <t>Discover 1 clue at your location._x000D_
ι When you play Intel Report, increase its cost by 2: Change "Discover 1 clue" to "Discover 2 clues."_x000D_
ι When you play Intel Report, increase its cost by 2: Change "at your location" to "at a location up to 2 connections away."</t>
  </si>
  <si>
    <t>Evade. Use only on a non-[[Elite]] enemy. This evasion attempt uses ά instead of ί. If you succeed, move the enemy just evaded to any location in play. If you succeed and a α, β, γ, or δ symbol was revealed during this evasion attempt, that enemy does not ready during the next upkeep phase.</t>
  </si>
  <si>
    <t>η: Fight. You get +1 ή for this attack (+2 ή instead if you have 3 or fewer remaining sanity). If this attack defeats an enemy, you may heal 1 horror. As an additional cost to initiate this ability, you may take 1 horror to have this attack deal +1 damage.</t>
  </si>
  <si>
    <t>Uses (5 ammo)._x000D_
η Spend 1 ammo: Fight. You get +2 ή and deal +1 damage for this attack.</t>
  </si>
  <si>
    <t>Uses (3 secrets)._x000D_
η Exhaust Scroll of Secrets and spend 1 secret: Look at the bottom card of any investigator's deck or the encounter deck. Then, either discard that card, add it to its owner's hand, place it on the bottom of its deck, or place it on the top of its deck.</t>
  </si>
  <si>
    <t>Uses (2 supplies)._x000D_
[fast] Exhaust Tennessee Sour Mash and spend 1 supply: You get +2 ά for a skill test on a treachery card._x000D_
η Discard Tennessee Sour Mash: Fight. You get +3 ή for this attack.</t>
  </si>
  <si>
    <t>Uses (3 charges)._x000D_
η: Fight. You get +1 ή for this attack. As an additional cost to initiate this ability, you may spend 1 charge to empower the blade. If you do, you get +1 ή and deal +1 damage for this attack.</t>
  </si>
  <si>
    <t>ι After you commit a card to a skill test, exhaust Grisly Totem: That card gains another instance of one of its skill icons of your choice.</t>
  </si>
  <si>
    <t>Easy / Standard_x000D_
α: -1 (-3 instead if you are at an [[Extradimensional]] location)._x000D_
β: Reveal another chaos token. If you fail, discard the top 3 cards of the encounter deck._x000D_
γ: -2. If you fail and Nahab is at your location, she attacks you._x000D_
δ: -3. If you fail, resolve the hunter keyword on each enemy in play.</t>
  </si>
  <si>
    <t>Hard / Expert_x000D_
α: -2 (-4 instead if you are at an [[Extradimensional]] location)._x000D_
β: Reveal another chaos token. If you fail, discard the top 5 cards of the encounter deck._x000D_
γ: -3. If you fail and Nahab is in play, she attacks you (regardless of her current location)._x000D_
δ: -4. Resolve the hunter keyword on each enemy in play.</t>
  </si>
  <si>
    <t>Each non-weakness enemy gets +1 health._x000D_
ι After you defeat Brown Jenkin or Nahab: Gain 1 clue from the token bank (2 clues instead if there are 3 or more investigators in the game).</t>
  </si>
  <si>
    <t>Each non-weakness enemy gets +2 health._x000D_
ι After you defeat Brown Jenkin or Nahab: Gain 1 clue from the token bank (2 clues instead if there are 3 or more investigators in the game).</t>
  </si>
  <si>
    <t>Each non-weakness enemy gets +3 health._x000D_
ι After you defeat Brown Jenkin or Nahab: Gain 1 clue from the token bank (2 clues instead if there are 3 or more investigators in the game).</t>
  </si>
  <si>
    <t>Each non-weakness enemy gets +4 health._x000D_
ι After you defeat Brown Jenkin or Nahab: Gain 1 clue (2 clues instead if there are 3 or more investigators in the game).</t>
  </si>
  <si>
    <t>Objective - If each undefeated investigator is in Walter Gilman's Room, investigators may spend the requisite number of clues, as a group, to advance.</t>
  </si>
  <si>
    <t>Swap Walter Gilman's Room with the set-aside Keziah's Room, taking its place (all tokens and cards at the former location are now at the new location). Remove each other location in play from the game._x000D_
Choose an investigator to take control of the set-aside The Black Book asset. Shuffle both set-aside copies of Strange Geometry into the encounter deck.</t>
  </si>
  <si>
    <t>Objective - Only investigators in the Witch House Ruins may spend the requisite number of clues, as a group, to advance.</t>
  </si>
  <si>
    <t>Nahab cannot leave the Site of the Sacrifice._x000D_
Forced - When Nahab is defeated: Instead of discarding her, heal all damage from her, disengage her from all investigators, and exhaust her. She does not ready during the upkeep phase this round._x000D_
Objective - If there is no doom on Nahab, advance.</t>
  </si>
  <si>
    <t>Haunted - Lose 3 resources.</t>
  </si>
  <si>
    <t>Forced - After you reveal Landlord's Quarters: Search the encounter deck and discard pile for a Swarm of Rats and spawn it in Moldy Halls. Shuffle the encounter deck._x000D_
Haunted - Search the encounter deck and discard pile for a Swarm of Rats and spawn it in Moldy Halls. Shuffle the encounter deck.</t>
  </si>
  <si>
    <t>η: Search your deck for a [[Blessed]] or [[Item]] asset and add it to your hand. (Group limit once per game.)_x000D_
Haunted - You must either take 1 horror, or choose and discard an asset you control.</t>
  </si>
  <si>
    <t>Haunted - You must either place 1 of your clues on Frank Elwood's Room, or place 1 doom on the current agenda.</t>
  </si>
  <si>
    <t>The door to Walter Gilman's room is locked. As an additional cost to enter Walter Gilman's room, investigators in the Moldy Halls must spend 1 π clues, as a group.</t>
  </si>
  <si>
    <t>ι After you successfully investigate Keziah's Room: Instead of discovering clues, put the top card of the Unknown Places deck into play, unrevealed. Then, you may move to that location._x000D_
Haunted - Discard cards from the top of the encounter deck until a [[Hex]] card is discarded. Draw that card.</t>
  </si>
  <si>
    <t>η: You request aid from your past self. Each investigator at this location may return 1 card from his or her discard pile to his or her hand. Each investigator who does so remembers that he or she "meddled with the past." (Group limit once per game.)</t>
  </si>
  <si>
    <t>Forced - After you enter Twilight Abyss, test ή or ί (3). For each point you fail by, take 1 damage.</t>
  </si>
  <si>
    <t>ι After you reveal City of Elder Things, take 2 horror: Put the top card of the Unknown Places deck into play, unrevealed. For the remainder of the scenario, City of Elder Things is considered to be connected to that location, and vice versa.</t>
  </si>
  <si>
    <t>η: Investigate. If you succeed, instead of discovering clues, heal 2 horror. (Limit once per game.)_x000D_
Haunted - Lose 1 action.</t>
  </si>
  <si>
    <t>η: Test έ (3). If you succeed, move to any revealed location. (Limit once per game.)_x000D_
Haunted- Move to Keziah's Room.</t>
  </si>
  <si>
    <t>ι After you successfully investigate Physics Classroom by 2 or more: Discover a clue at another revealed location. (Limit once per round.)</t>
  </si>
  <si>
    <t>Forced - After you enter Court of the Great Old Ones, test ά (3). For each point you fail by, take 1 horror._x000D_
Haunted - The next action you perform this round must be an investigate action.</t>
  </si>
  <si>
    <t>η Investigators at this location spend 1 π clues, as a group: Remove 1 doom from Nahab. This action does not provoke attacks of opportunity from Nahab._x000D_
Forced - At the end of the round: Add clues to this location until it has 3 π clues on it._x000D_
Haunted - You must either place 1 doom on Nahab, or Nahab attacks you.</t>
  </si>
  <si>
    <t>Revelation - Put Strange Geometry into play and move to it._x000D_
Forced - After the investigation phase ends: Discard Strange Geometry and move each investigator and enemy here to the location with the most clues. Each investigator who moved by this effect takes 1 damage and 1 horror._x000D_
θ If Strange Geometry has no clues on it: Move to any revealed location.</t>
  </si>
  <si>
    <t>Revelation - If Brown Jenkin is not in play, search the encounter deck and discard pile for him, spawn him at your location, and take 1 damage. Otherwise, search the encounter deck and discard pile for a Swarm of Rats, spawn it engaged with you, then take 1 damage.</t>
  </si>
  <si>
    <t>Revelation - If Nahab is in play, ready her, resolve her hunter keyword, and she attacks each investigator at her location. If Nahab is at the Site of the Sacrifice, place 1 doom on her, as well. Otherwise, search the encounter deck and discard pile for Nahab and spawn her at your location.</t>
  </si>
  <si>
    <t>Revelation - Test ά (2). This test gets +1 difficulty for every 10 cards in the encounter discard pile. If you fail, discard an asset you control.</t>
  </si>
  <si>
    <t>Revelation - Put Pulled by the Stars into play in your threat area._x000D_
Forced - At the end of your turn, if you did not move at least once during your turn: Take 2 horror._x000D_
η: Test ά (3). If you succeed, discard Pulled by the Stars from play. If there is an exhausted [[Witch]] enemy at your location, this test is automatically successful.</t>
  </si>
  <si>
    <t>Revelation - Test ά (5). If you fail, put Disquieting Dreams into play in your threat area._x000D_
Forced - At the end of your turn: Discard the top card of the encounter deck._x000D_
Forced - When the encounter deck runs out of cards: Discard Disquieting Dreams and reveal the top 10 cards of your deck. Draw each weakness revealed and discard each other revealed card.</t>
  </si>
  <si>
    <t>Aloof. Hunter._x000D_
Each ready [[Creature]] enemy gets +2 fight._x000D_
Forced - When the enemy phase ends, if Brown Jenkin is ready: Each investigator at his location discards his or her hand, then draws that many cards.</t>
  </si>
  <si>
    <t>Hunter. Retaliate._x000D_
Do not remove doom from Nahab when the agenda advances._x000D_
Nahab gets +X fight, where X is the number of the current agenda._x000D_
Forced - After the enemy phase begins, if Nahab is ready: Place 1 doom on her.</t>
  </si>
  <si>
    <t>You get +1 ά and +1 έ._x000D_
ι When you play a card, exhaust The Black Book and take X horror: Reduce that card's cost by X.</t>
  </si>
  <si>
    <t>2d5e4280-e9d7-4f52-bee0-0f525bdc5a90</t>
  </si>
  <si>
    <t>2bdef0d1-34e4-4405-9fd1-d5c2daadada5</t>
  </si>
  <si>
    <t>BC</t>
  </si>
  <si>
    <t>Uses (5 ammo)._x000D_
Ammo spent from .45 Thompson is placed in your resource pool, as resources._x000D_
η Spend 1 ammo: Fight. You get +2 ή and deal +1 damage for this attack.</t>
  </si>
  <si>
    <t>b83a5a1e-0562-4856-be25-6dda9fe4fb46</t>
  </si>
  <si>
    <t>Uses (5 ammo)._x000D_
η Spend 1 ammo: Fight. You get +2 ή and deal +1 damage for this attack. If you succeed by at least X, you may spend 1 ammo to deal this attack's damage to another enemy at your location, where X is that enemy's fight value.</t>
  </si>
  <si>
    <t>f6e6bd79-7d2a-4ee8-a469-6e72ebbfa25c</t>
  </si>
  <si>
    <t>Uses (3 secrets)._x000D_
η Exhaust Scroll of Secrets and spend 1 secret: Look at the bottom 3 cards of any investigator's deck or the encounter deck. You may discard 1 of those cards. You may add 1 of those cards to its owner's hand. Place the rest of those cards on either the top or bottom of their deck, in any order.</t>
  </si>
  <si>
    <t>8c671c80-d9a1-400d-a11d-75678e3b5bd7</t>
  </si>
  <si>
    <t>Uses (4 secrets)._x000D_
η Exhaust Scroll of Secrets and spend 1 secret: Look at the top or bottom card of any investigator's deck or the encounter deck. Then, either discard that card, add it to its owner's hand, place it on the bottom of its deck, or place it on top of its deck.</t>
  </si>
  <si>
    <t>2226a4fd-80fe-484c-a0e6-c8c840197f16</t>
  </si>
  <si>
    <t>Fast. Uses (2 supplies)._x000D_
[fast] Exhaust Tennessee Sour Mash and spend 1 supply: You get +3 ά for a skill test on a treachery card._x000D_
η Discard Tennessee Sour Mash: Fight. You get +3 ή and deal +1 damage for this attack.</t>
  </si>
  <si>
    <t>4c2790b9-46b3-4a74-aa83-d36907c44fa0</t>
  </si>
  <si>
    <t>Uses (3 supplies)._x000D_
[fast] Exhaust Tennessee Sour Mash and spend 1 supply: You get +2 ά for a skill test on a treachery card._x000D_
η Discard Tennessee Sour Mash: Fight. You get +3 ή for this attack. If this attack succeeds against a non-[[Elite]] enemy, automatically evade it.</t>
  </si>
  <si>
    <t>d9fc5e84-83e4-473e-b58a-64f10dd5cbe1</t>
  </si>
  <si>
    <t>Uses (3 charges)._x000D_
η: Fight. You get +2 ή for this attack. If you succeed, you may spend 1 charge to empower the blade, dealing +1 damage for this attack. If the blade is empowered and this attack defeats an enemy, draw 1 card and heal 1 horror.</t>
  </si>
  <si>
    <t>06b78fc0-7600-424a-bded-c1aceb5add95</t>
  </si>
  <si>
    <t>Uses (4 charges)._x000D_
η: Fight. You get +2 ή for this attack. As an additional cost to use this ability, you may spend up to 2 charges to empower the blade (for each charge spent in this way, you get +1 ή and deal +1 damage for this attack).</t>
  </si>
  <si>
    <t>7ff054ba-8bea-4aca-a5e5-f60540a467ab</t>
  </si>
  <si>
    <t>Item. Charm. Cursed.</t>
  </si>
  <si>
    <t>ι After you commit a card to a skill test, exhaust Grisly Totem: That card gains another instance of one of its skill icons of your choice. If that skill test is successful, the performing investigator draws 1 card.</t>
  </si>
  <si>
    <t>7ff43b1c-b97f-45e4-9b48-d695deb4479f</t>
  </si>
  <si>
    <t>Item. Charm. Blessed.</t>
  </si>
  <si>
    <t>ι After you commit a card to a skill test, exhaust Grisly Totem: That card gains another instance of one of its skill icons of your choice. If that skill test fails, return that card to your hand.</t>
  </si>
  <si>
    <t>22e3ab3a-027d-4f4a-9a84-94e076bbc62f</t>
  </si>
  <si>
    <t>The Council's Coffer</t>
  </si>
  <si>
    <t>What’s in the Box?</t>
  </si>
  <si>
    <t>Uses (1π locks). If there are no locks on The Council's Coffer, each investigator searches his or her deck or discard pile for any card and immediately plays it at no cost. Exile The Council's Coffer. (Max once per campaign.)_x000D_
η η: Test any skill (5). If you succeed, remove 1 lock. Any investigator at your location may activate this ability._x000D_
Card design by The Council at Arkham Nights 2017.</t>
  </si>
  <si>
    <t>37bb6382-1e06-43f8-98c1-9f4c46eae6ae</t>
  </si>
  <si>
    <t>Easy / Standard_x000D_
α: -X. X is the highest number of doom on a [[Cultist]] enemy in play._x000D_
β: -2. Reveal another token._x000D_
γ: -3. If you fail, place 1 doom on the nearest [[Cultist]] enemy._x000D_
δ: -3. If you fail, move 1 doom from the nearest [[Cultist]] enemy to the current agenda.</t>
  </si>
  <si>
    <t>Hard / Expert_x000D_
α: -X. X is the total number of doom among [[Cultist]] enemies in play._x000D_
β: -2. Reveal another token._x000D_
γ: -3. If you fail, place 1 doom on each [[Cultist]] enemy in play. If there are no [[Cultist]] enemies in play, reveal another token._x000D_
δ: -3. If you fail, move all doom from the [[Cultist]] enemy with the most doom on it to the current agenda. If no [[Cultist]] enemies in play have doom on them, reveal another&amp;nbsp;token.</t>
  </si>
  <si>
    <t>c558324e-609c-4490-9b1a-e8bd88ddba00</t>
  </si>
  <si>
    <t>THE HIEROPHANT · V</t>
  </si>
  <si>
    <t>Forced - When you defeat a [[Silver Twilight]] enemy: You leave behind some evidence of the scuffle. Move 1 doom from each enemy at that location to the current agenda.</t>
  </si>
  <si>
    <t>Meeting of Minds</t>
  </si>
  <si>
    <t>Discard the top 5 cards of the encounter deck. In player order, each investigator must draw a [[Cultist]] enemy discarded in this way.</t>
  </si>
  <si>
    <t>28df5d40-3637-4ddc-a344-5a7ffd499bbe</t>
  </si>
  <si>
    <t>Ends and Means</t>
  </si>
  <si>
    <t>Each [[Silver Twilight]] enemy in a [[Sanctum]] location loses aloof._x000D_
Forced - When you defeat a [[Silver Twilight]] enemy: You leave behind some evidence of the scuffle. Move 1 doom from each enemy at that location to the current agenda.</t>
  </si>
  <si>
    <t>The Greater Good</t>
  </si>
  <si>
    <t>Revelation - Replace the act and agenda decks with The Greater Good. Spawn the set-aside Summoned Beast at the Puzzle Box's location (or any [[Sanctum]] location if the Puzzle Box is not in play) and remove the Puzzle Box from the game.</t>
  </si>
  <si>
    <t>4d17a25d-481f-4223-b994-611ad03f18c4</t>
  </si>
  <si>
    <t>Warm Welcome</t>
  </si>
  <si>
    <t>The Initiation</t>
  </si>
  <si>
    <t>If the Library is not in play, put it into play._x000D_
Spawn the set-aside Nathan Wick enemy in the Library, (Master of Initiation) side faceup. Attach the set-aside Puzzle Box story asset to him.</t>
  </si>
  <si>
    <t>39f80193-d3b1-4137-a14e-cae707519bb3</t>
  </si>
  <si>
    <t>Infiltrating the Lodge</t>
  </si>
  <si>
    <t>ι After you evade an enemy: Remove all doom from it.</t>
  </si>
  <si>
    <t>The Indoctrination</t>
  </si>
  <si>
    <t>If the Inner Sanctum is not in play, put it into play._x000D_
Spawn the set-aside Nathan Wick enemy in the Inner Sanctum, (Master of Indoctrination) side faceup. Attach the set-aside Puzzle Box story asset to him._x000D_
For the remainder of the game, the current act gains "ι After you evade an enemy: Remove all doom from it." Place this card next to the act deck as a reminder, then advance to act 2a.</t>
  </si>
  <si>
    <t>0bdfd6d5-3f5f-458a-99ae-208ae010afcb</t>
  </si>
  <si>
    <t>Obtaining the Device</t>
  </si>
  <si>
    <t>Objective - If Nathan Wick is added to the victory display by any means, choose an investigator to take control of the attached Puzzle Box, and advance.</t>
  </si>
  <si>
    <t>The Puzzle Box</t>
  </si>
  <si>
    <t>If you advanced by defeating Nathan Wick:_x000D_
You quickly pry the device from Nathan's hands and flee before you are noticed.If you advanced by evading Nathan Wick:_x000D_
You wait until Nathan is not looking, then sweep in and steal the device from the table next to him. You are long gone by the time he realizes it is missing.If you advanced by parleying with Nathan Wick:_x000D_
"All right, listen," Nathan explains quietly. "Truth is, there probably is a safer way for us to open the device. This building holds many secrets; more than you could possible know. But time is running thin, and Mr. Sanford wants it open by midnight. If you can open it before then, great. If not, well... If I were you, I wouldn't be around it when we try to force it open." He hands you the device and walks away, leaving you in silence.</t>
  </si>
  <si>
    <t>c458c425-9802-44fa-8ee0-fd42381d42af</t>
  </si>
  <si>
    <t>The Four Keys</t>
  </si>
  <si>
    <t>Objective - If investigators at the same location control the Puzzle Box, the α key, the β key, the γ key, and the δ key, advance.</t>
  </si>
  <si>
    <t>Opening the Box</t>
  </si>
  <si>
    <t>Check Campaign Log._x000D_
- If the investigators are members of the Lodge, (→R1)._x000D_
- Otherwise, (→R2).</t>
  </si>
  <si>
    <t>2cb4bbdf-869a-41a2-9e07-8f56caafbc56</t>
  </si>
  <si>
    <t>Lodge Gates</t>
  </si>
  <si>
    <t>Lodge.</t>
  </si>
  <si>
    <t>We’ve Been Expecting You</t>
  </si>
  <si>
    <t>Enemies cannot spawn at the Lodge Gates._x000D_
η: Resign. On second thought, maybe coming here was a bad idea.</t>
  </si>
  <si>
    <t>a272bb4a-f6e3-4d08-9db7-ba0c2c79a9e0</t>
  </si>
  <si>
    <t>Members Only</t>
  </si>
  <si>
    <t>941b7c4c-d30e-4ebe-b530-c4f740db0814</t>
  </si>
  <si>
    <t>The entrance to the Silver Twilight Lodge is guarded. You cannot enter the Lobby._x000D_
Lodge Gates gains: "η: Parley. The guards recognize you from the Meiger estate and let you pass. Reveal the Lobby."</t>
  </si>
  <si>
    <t>28fd06e0-798c-4be0-99c8-2484938f4acf</t>
  </si>
  <si>
    <t>Forced - After the Lobby is revealed: Place 1 random set-aside key on it.</t>
  </si>
  <si>
    <t>678f12f3-b7cb-4afe-96cb-fc5e29bcfeb9</t>
  </si>
  <si>
    <t>Lodge Cellar</t>
  </si>
  <si>
    <t>Forced - After the Lodge Cellar is revealed: Place 1 random set-aside key on it.</t>
  </si>
  <si>
    <t>29c9979d-08c7-4b46-8f4d-3882710b4dac</t>
  </si>
  <si>
    <t>The rear entrance to the Silver Twilight Lodge is hidden. You cannot enter the Lodge Cellar._x000D_
Lodge Gates gains: "η Investigators at the Lodge Gates spend 1 π clues, as a group: Reveal the Lodge Cellar."</t>
  </si>
  <si>
    <t>d31e3e02-9b3b-476e-b37f-80a80480c6bd</t>
  </si>
  <si>
    <t>Lounge</t>
  </si>
  <si>
    <t>Forced - After the Lounge is revealed: Put the set-aside Vault and Library locations into play. Put the set-aside August Lindquist asset into play in the Lounge. Place 1 random set-aside key on him.</t>
  </si>
  <si>
    <t>64ed2a25-81dd-4889-9b41-f25796cdb361</t>
  </si>
  <si>
    <t>Vault</t>
  </si>
  <si>
    <t>The door to the Vault is locked. You cannot enter the Vault unless you control the δ key.</t>
  </si>
  <si>
    <t>d1b5a0e2-82df-4b8e-b96d-67c5f446c986</t>
  </si>
  <si>
    <t>Library</t>
  </si>
  <si>
    <t>While you are investigating the Library, if you control the γ key, the Library gets -3 shroud.</t>
  </si>
  <si>
    <t>0c55379a-9551-4b0b-a26e-dee84a2f4723</t>
  </si>
  <si>
    <t>Lodge Catacombs</t>
  </si>
  <si>
    <t>Lodge. Sanctum.</t>
  </si>
  <si>
    <t>The door to the catacombs is locked. You cannot enter the Lodge Catacombs unless you control at least 1 (α/β/γ/δ) key.</t>
  </si>
  <si>
    <t>d54c32cd-45e6-4bf2-b4cf-66769783ec78</t>
  </si>
  <si>
    <t>Ceremony Room</t>
  </si>
  <si>
    <t>Sanctum Doorway</t>
  </si>
  <si>
    <t>Forced - When the round ends: Each investigator and each [[Ally]] asset in the Ceremony Room takes 1 direct horror. Cancel this effect if an investigator in the Ceremony Room controls the α key.</t>
  </si>
  <si>
    <t>9aecb0e7-3275-425b-95f8-99be1a99621d</t>
  </si>
  <si>
    <t>Holding Cells</t>
  </si>
  <si>
    <t>Forced - After Holding Cells is revealed: Search the encounter deck and discard pile for a [[Cultist]] enemy and spawn it in the Holding Cells. Shuffle the encounter deck.</t>
  </si>
  <si>
    <t>769f425e-cbbe-4f6d-97d4-85780c69730a</t>
  </si>
  <si>
    <t>Inner Sanctum</t>
  </si>
  <si>
    <t>The door to the Inner Sanctum is locked. You cannot enter the Inner Sanctum unless you control the β key.</t>
  </si>
  <si>
    <t>d060ab82-c7c4-4154-b76a-e1f881a01159</t>
  </si>
  <si>
    <t>Nathan Wick</t>
  </si>
  <si>
    <t>Master of Initiation</t>
  </si>
  <si>
    <t>Retaliate._x000D_
η: Parley. Test ά (3) to persuade Nathan to let you find another option. If you succeed, place 1 resource on Nathan Wick. Then, if there are 1 π resources on him, add him to the victory display. If you fail, Nathan Wick attacks you.</t>
  </si>
  <si>
    <t>781b618f-5555-4688-be9f-2f37e40dde5b</t>
  </si>
  <si>
    <t>Lodge Jailor</t>
  </si>
  <si>
    <t>Spawn - Any [[Sanctum]] location._x000D_
Aloof._x000D_
Forced - After Lodge Jailor enters play: Place 2 doom and 1 random set-aside key on it._x000D_
η: Parley. Test έ (3). If you succeed, either remove 1 doom from Lodge Jailor, or take control of its key.</t>
  </si>
  <si>
    <t>d8483e0d-5b23-4214-97c1-dbc4249c384a</t>
  </si>
  <si>
    <t>Cell Keeper</t>
  </si>
  <si>
    <t>Spawn - Any [[Sanctum]] location._x000D_
Alert._x000D_
Forced - After Cell Keeper enters play: Place 2 doom and 1 random set-aside key on it._x000D_
Forced - When you evade Cell Keeper by 2 or more: Take control of its key.</t>
  </si>
  <si>
    <t>91f8f06a-b8f8-4a6e-ab6b-3a42236d3d28</t>
  </si>
  <si>
    <t>Summoned Beast</t>
  </si>
  <si>
    <t>Guardian of the Trap</t>
  </si>
  <si>
    <t>Monster. Silver Twilight. Elite.</t>
  </si>
  <si>
    <t>Retaliate. Hunter._x000D_
Summoned Beast gets +1 fight, +1 evade, +1 damage, and +1 horror for every 2 doom in play._x000D_
Forced - At the start of the enemy phase: Summoned Beast defeats each [[Humanoid]] enemy at its location. Move all doom from each of those enemies to Summoned Beast._x000D_
Objective - If the Summoned Beast is defeated, (→R3).</t>
  </si>
  <si>
    <t>f4eb7915-243a-48e4-9aef-a0397687f600</t>
  </si>
  <si>
    <t>Knight of the Inner Circle</t>
  </si>
  <si>
    <t>Spawn - Any location connected to yours._x000D_
Prey - Most (α/β/γ/δ) keys controlled._x000D_
Alert. Aloof. Hunter._x000D_
Forced - After you enter Knight of the Inner Circle's location (or vice-versa): Test ί (4). If you fail, Knight of the Inner Circle engages you.</t>
  </si>
  <si>
    <t>f526eda8-9504-45d8-a710-f7b3279119fc</t>
  </si>
  <si>
    <t>Knight of the Outer Void</t>
  </si>
  <si>
    <t>Spawn - Any location connected to yours._x000D_
Aloof. Peril. Retaliate._x000D_
Revelation - After Knight of the Outer Void spawns, place either 1 or 2 doom on it._x000D_
η: Parley. Test ά or έ (4). If you succeed, take control of 1 doom on Knight of the Outer Void, and flip it to its clue side. If you fail, Knight of the Outer Void attacks you.</t>
  </si>
  <si>
    <t>093c9a1a-a87d-4cdc-8832-824be87b0f07</t>
  </si>
  <si>
    <t>Call to Order</t>
  </si>
  <si>
    <t>Revelation - Find the 2 topmost [[Cultist]] enemies in the encounter discard pile and spawn them in the empty location with the most remaining clues. If no [[Cultist]] enemies are spawned by this effect, Call to Order gains surge.</t>
  </si>
  <si>
    <t>d2c08b5e-afe7-44b3-81ab-26ec0866d3d3</t>
  </si>
  <si>
    <t>Expulsion</t>
  </si>
  <si>
    <t>Revelation - If there are no [[Cultist]] enemies in play, Expulsion gains surge. Otherwise, the nearest [[Cultist]] enemy readies, moves (one location at a time) until it reaches your location, engages you, and makes an immediate attack. Then, place each (α/β/γ/δ) key you control on that enemy.</t>
  </si>
  <si>
    <t>d0d83800-414d-4913-b66f-78b9f8dce82c</t>
  </si>
  <si>
    <t>Beneath the Lodge</t>
  </si>
  <si>
    <t>If you control at least 1 (α/β/γ/δ) key, Beneath the Lodge gains peril and its skill test gets +1 difficulty._x000D_
Revelation - Test έ (3). For each point you fail by, you must either lose 1 clue or take 1 horror.</t>
  </si>
  <si>
    <t>16a55402-d8cc-4d8a-ac73-11301f6ec9c3</t>
  </si>
  <si>
    <t>Mark of the Order</t>
  </si>
  <si>
    <t>Surge._x000D_
Revelation - Check which investigator controls each key. The investigator with..._x000D_
- ...the α key takes 1 damage._x000D_
- ...the β key takes 1 horror._x000D_
- ...the γ key discards 2 random cards from hand._x000D_
- ...the δ key loses 3 resources.</t>
  </si>
  <si>
    <t>5244c3f2-2039-4f6d-a49d-a00eb4c9b370</t>
  </si>
  <si>
    <t>August Lindquist</t>
  </si>
  <si>
    <t>Elegant and Elusive</t>
  </si>
  <si>
    <t>η Investigators at August Lindquist's location spend 2 π clues, as a group: Parley. Each investigator who spent at least 1 clue must either take 1 damage or 1 horror. Remove August Lindquist from the game and take control of his key.</t>
  </si>
  <si>
    <t>c9ff7c61-70ef-4cf3-8776-41c5f2550c7b</t>
  </si>
  <si>
    <t>Puzzle Box</t>
  </si>
  <si>
    <t>Mysterious Device</t>
  </si>
  <si>
    <t>Forced - When you are defeated: Give control of the Puzzle Box to another investigator._x000D_
η: Unlight a brazier at your location, exhaust The Spectral Watcher, or deal 5 damage to The Spectral Watcher if it is exhausted. This action does not provoke attacks of opportunity from The Spectral Watcher. (Group limit once per game.)</t>
  </si>
  <si>
    <t>5d37e9c1-1737-4b9e-8ae9-c649b30582bc</t>
  </si>
  <si>
    <t>00776fb1-44a1-4419-820d-67f52d2f9b10</t>
  </si>
  <si>
    <t>BD</t>
  </si>
  <si>
    <t>Warning Shot</t>
  </si>
  <si>
    <t>As an additional cost to play Warning Shot, spend 1 ammo from a [[Firearm]] asset you control._x000D_
Move all non-[[Elite]] enemies at your location to a connecting location. This action does not provoke attacks of opportunity.</t>
  </si>
  <si>
    <t>d5b0032a-c405-4564-a4a4-afedd20df99b</t>
  </si>
  <si>
    <t>Telescopic Sight</t>
  </si>
  <si>
    <t>ίέή</t>
  </si>
  <si>
    <t>Item. Upgrade.</t>
  </si>
  <si>
    <t>Fast. Attach to a [[Firearm]] asset you control that takes up two hand slots. Attached asset cannot be used to attack enemies engaged with you._x000D_
ι When you perform a Fight action using attached asset, if you are engaged with no enemies, exhaust Telecopic Sight: This attack can target a non-[[Elite]] enemy at a connecting location. Ignore the aloof and retaliate keywords for this attack.</t>
  </si>
  <si>
    <t>89bc2232-5465-41e0-8ed9-3fccd32eb904</t>
  </si>
  <si>
    <t>Knowledge is Power</t>
  </si>
  <si>
    <t>Fast. Play only during your turn._x000D_
Choose a [[Tome]] or [[Spell]] asset you control, or reveal a [[Tome]] or [[Spell]] asset from your hand. Resolve an η or θ ability on that asset, ignoring all costs (including its η cost, if any). Then, if that asset was in your hand, you may discard it to draw 1 card.</t>
  </si>
  <si>
    <t>95cec491-6fd7-4d2c-a0f8-e0d4e0b0ec74</t>
  </si>
  <si>
    <t>Esoteric Atlas</t>
  </si>
  <si>
    <t>Uses (4 secrets)._x000D_
η Spend 1 secret and exhaust Esoteric Atlas: Choose a revealed location that is exactly 2 connections away from your location. Move to that location.</t>
  </si>
  <si>
    <t>9d070e2e-8347-4dee-862c-3ef2cad34aed</t>
  </si>
  <si>
    <t>Investments</t>
  </si>
  <si>
    <t>Connection.</t>
  </si>
  <si>
    <t>Uses (0 supplies). Limit 10 supplies on Investments._x000D_
θ Exhaust Investments: Place 1 supply on it._x000D_
η Exhaust and discard Investments: Move all supplies from it to your resource pool, as resources.</t>
  </si>
  <si>
    <t>6eab252a-1fe5-4d43-a849-7c05882d21ba</t>
  </si>
  <si>
    <t>Decoy</t>
  </si>
  <si>
    <t>Evade. Automatically evade a non-[[Elite]] enemy at your location._x000D_
ι When you play Decoy, increase its cost by 2: Change "a non-[[Elite]] enemy" to "up to 2 non-[[Elite]] enemies."_x000D_
ι When you play Decoy, increase its cost by 2: Change "at your location" to "at a location up to 2 connections away."</t>
  </si>
  <si>
    <t>691217c3-4d2b-4657-a773-29cec6140909</t>
  </si>
  <si>
    <t>De Vermis Mysteriis</t>
  </si>
  <si>
    <t>Signs of the Black Stars</t>
  </si>
  <si>
    <t>η Exhaust De Vermis Mysteriis and place 1 doom on it: Play a [[Spell]] or [[Insight]] event from your discard pile, reducing its resource cost by 1. After that event resolves, remove it from the game.</t>
  </si>
  <si>
    <t>bcd654ff-e2ce-4096-adf3-cca425a45b05</t>
  </si>
  <si>
    <t>Guiding Spirit</t>
  </si>
  <si>
    <t>Ally. Geist.</t>
  </si>
  <si>
    <t>You get +1 έ._x000D_
Non-direct horror must be assigned to Guiding Spirit before it can be assigned to your investigator card._x000D_
Forced - After Guiding Spirit is defeated by horror: Exile it.</t>
  </si>
  <si>
    <t>2f4e9f88-1f3e-47a8-8266-f6fa88276e97</t>
  </si>
  <si>
    <t>Fortune or Fate</t>
  </si>
  <si>
    <t>Fortune. Blessed.</t>
  </si>
  <si>
    <t>Fast. Play when doom would be placed on any scenario card._x000D_
Max 1 per game._x000D_
Cancel 1 doom just placed on that card. Exile Fortune or Fate.</t>
  </si>
  <si>
    <t>1585647b-56d3-4856-bd37-76fde6b807c7</t>
  </si>
  <si>
    <t>Easy / Standard_x000D_
α: -2. If this is a skill test during a circle action, reveal another token._x000D_
β: -3. If you have no damage on you, take 1 damage. If you have no horror on you, take 1 horror._x000D_
γ: -3. If you fail, a [[Spectral]] enemy at your location attacks you (even if it is exhausted)._x000D_
δ: -3. If this is a skill test during a circle action and you fail, resolve each haunted ability on your location.</t>
  </si>
  <si>
    <t>Hard / Expert_x000D_
α: -3. If this is a skill test during a circle action, reveal another token._x000D_
β: -4. If you have no damage on you, take 1 damage. If you have no horror on you, take 1 horror._x000D_
γ: -4. If you fail, a [[Spectral]] enemy at your location attacks you (even if it is exhausted)._x000D_
δ: -4. If this is a skill test during a circle action and you fail, resolve each haunted ability on your location.</t>
  </si>
  <si>
    <t>0a42e490-8234-4f13-a2ed-3275b2d82325</t>
  </si>
  <si>
    <t>THE LOVERS · VI</t>
  </si>
  <si>
    <t>Stolen Souls</t>
  </si>
  <si>
    <t>Shuffle the encounter discard pile into the encounter deck._x000D_
Check the "Missing Persons" section of the Campaign Log. If at least 1 character was "taken by the watcher," read the following:_x000D_
Beyond the spectral mist, an awful scream resounds through the woods. It is distant, as though heard through a pane of glass, but distinct enough for you to know it is real._x000D_
For each character who was taken by the watcher, place 1 resource on The Spectral Watcher, as a stolen soul (even if The Spectral Watcher is currently out of play)._x000D_
Until the end of the scenario, The Spectral Watcher gains the following text: "For each stolen soul on The Spectral Watcher, it gets +1 fight and +1 π health." Keep this card next to the agenda deck as a reminder, and advance to agenda 2a.</t>
  </si>
  <si>
    <t>c728e562-199b-4f9e-a54e-c2ff2f7f3088</t>
  </si>
  <si>
    <t>Crossroads of Fate</t>
  </si>
  <si>
    <t>A Victor Emerges</t>
  </si>
  <si>
    <t>Each surviving investigator is defeated and suffers 1 physical trauma._x000D_
(→R5)</t>
  </si>
  <si>
    <t>b0e80ad3-fea9-4b02-a1ca-921f1da17b65</t>
  </si>
  <si>
    <t>The Unvisited Isle</t>
  </si>
  <si>
    <t>The Mist Returns</t>
  </si>
  <si>
    <t>Each investigator must randomly choose 1 of the set-aside Unvisited Isle locations, put it into play in front of him or her, and immediately move to that location (cannot be canceled). If the investigators sided with the coven, the brazier at each of those locations is already lit. Place a resource token on each of those locations to signify this._x000D_
Shuffle each of the story cards beneath the scenario reference card and deal 1 at random to each investigator until all of them have been dealt. In player order, resolve each of the dealt story cards.</t>
  </si>
  <si>
    <t>6127d4b4-147e-446d-95d1-11668ff3a8c7</t>
  </si>
  <si>
    <t>Fated Souls</t>
  </si>
  <si>
    <t>Each investigator cannot leave the location in front of him or her.</t>
  </si>
  <si>
    <t>From the Depths</t>
  </si>
  <si>
    <t>Spawn The Spectral Watcher at the Miskatonic River._x000D_
Shuffle each set-aside copy of Watcher's Grasp and Watcher's Gaze into the encounter deck, along with the encounter discard pile._x000D_
Return the location in front of each investigator to the center of the play area. (Investigators are no longer prevented from leaving their location.)_x000D_
Put the set-aside The Geist-Trap location into play. If the investigators sided with the coven, the brazier at The Geist-Trap is already lit. Place a resource token on it to signify this.</t>
  </si>
  <si>
    <t>6ebfafbe-e588-48eb-9bfc-d5f99517a92b</t>
  </si>
  <si>
    <t>Beyond the Mist (v. I)</t>
  </si>
  <si>
    <t>θ During a circle action, spend 1 clue: Reduce the difficulty of this skill test by 2._x000D_
Objective - If each Unvisited Isle location in play is revealed and the brazier on each of them is lit, advance.</t>
  </si>
  <si>
    <t>Against the Witches</t>
  </si>
  <si>
    <t>Reveal The Geist-Trap location. Move each investigator at an Unvisited Isle location to The Geist-Trap._x000D_
Check Campaign Log. If the witches' spell was cast, spawn the set-aside Anette Mason at The Geist-Trap. If the witches' spell was broken, spawn 1 set-aside Coven Initiate at The Geist-Trap (2 instead if there are 3 or 4 investigators in the game)._x000D_
Shuffle each remaining set-aside [[Witch]] enemy into the encounter deck, along with the encounter discard pile.</t>
  </si>
  <si>
    <t>efbe7666-ffae-44dd-9958-893a2ec90d4d</t>
  </si>
  <si>
    <t>Beyond the Mist (v. II)</t>
  </si>
  <si>
    <t>θ During a circle action, spend 1 clue: Reduce the difficulty of this skill test by 2._x000D_
Objective - If each Unvisited Isle location in play is revealed and the brazier on each of them is unlit, advance.</t>
  </si>
  <si>
    <t>Loyalty is Earned</t>
  </si>
  <si>
    <t>Reveal The Geist-Trap location. Move each investigator at an Unvisited Isle location to The Geist-Trap._x000D_
Remove all β tokens from the chaos bag (even if they are currently sealed on cards in play) for the remainder of the campaign.</t>
  </si>
  <si>
    <t>f0a7e46e-0754-4068-b868-a01fc790d039</t>
  </si>
  <si>
    <t>Beyond the Mist (v. III)</t>
  </si>
  <si>
    <t>True Colors</t>
  </si>
  <si>
    <t>_x000D_
Reveal The Geist-Trap location. Move each investigator at an Unvisited Isle location to The Geist-Trap._x000D_
Spawn 1 set-aside Lodge Neophyte enemy at The Geist-Trap (2 instead if there are 3 or 4 investigators in the game). Shuffle the remainder of the set-aside Silver Twilight Lodge encounter set into the encounter deck, along with the encounter discard pile._x000D_
Check Campaign Log. If Josef is alive and well, spawn the set-aside Josef Meiger enemy at The Geist-Trap. Investigators cannot parley with Josef Meiger for the remainder of the game.</t>
  </si>
  <si>
    <t>e6eb679c-e554-4acd-a1b2-f1982e7e07b5</t>
  </si>
  <si>
    <t>Beyond the Mist (v. IV)</t>
  </si>
  <si>
    <t>Against the Lodge</t>
  </si>
  <si>
    <t>Reveal The Geist-Trap location. Move each investigator at an Unvisited Isle location to The Geist-Trap._x000D_
Shuffle the set-aside Silver Twilight Lodge encounter set into the encounter deck, along with the encounter discard pile._x000D_
Check Campaign Log. If Josef is alive and well, spawn the set-aside Josef Meiger enemy at The Geist-Trap. Investigators cannot parley with Josef Meiger for the remainder of the game.</t>
  </si>
  <si>
    <t>06128107-071b-474e-9fa4-4b3ecb427fe8</t>
  </si>
  <si>
    <t>The Binding Rite</t>
  </si>
  <si>
    <t>θ During a circle action, spend 1 clue: Reduce the difficulty of this skill test by 2._x000D_
Objective - If The Spectral Watcher is defeated at The Geist-Trap while the brazier there is lit, advance.</t>
  </si>
  <si>
    <t>Disillusion</t>
  </si>
  <si>
    <t>624f440a-ecc7-47ff-9e67-8d9e33e938a0</t>
  </si>
  <si>
    <t>The Broken Rite</t>
  </si>
  <si>
    <t>θ During a circle action, spend 1 clue: Reduce the difficulty of this skill test by 2._x000D_
Objective - If The Spectral Watcher is defeated at The Geist-Trap while the brazier there is unlit, advance.</t>
  </si>
  <si>
    <t>Union</t>
  </si>
  <si>
    <t>8c5e3281-80a0-41f0-9d38-7f988383ad80</t>
  </si>
  <si>
    <t>Miskatonic River</t>
  </si>
  <si>
    <t>River.</t>
  </si>
  <si>
    <t>η: Resign. You take your rowboat back to the shore of the Miskatonic River, leaving the mysterious island behind.</t>
  </si>
  <si>
    <t>301ef491-7012-41b0-8c48-d8747541cb4a</t>
  </si>
  <si>
    <t>Forbidding Shore</t>
  </si>
  <si>
    <t>η: Circle. Test ά or έ (3) to find the brazier by the wooded trail. If you succeed, you may light or unlight the brazier._x000D_
Haunted - You must either lose 1 action or lose 2 resources.</t>
  </si>
  <si>
    <t>d4c52940-3935-4434-b9ef-42085bb8972b</t>
  </si>
  <si>
    <t>Unvisited Isle</t>
  </si>
  <si>
    <t>Standing Stones</t>
  </si>
  <si>
    <t>Spectral mist blocks the way. Check Campaign Log._x000D_
- If the investigators sided with the Lodge, you cannot enter this location unless the brazier at the Forbidding Shore is lit._x000D_
- If the investigators sided with the coven, you cannot enter this location unless the brazier at the Forbidding Shore is unlit.</t>
  </si>
  <si>
    <t>d5f6facc-cbb7-4043-9bc9-206a894d9570</t>
  </si>
  <si>
    <t>Misty Clearing</t>
  </si>
  <si>
    <t>9863cb4c-7c67-4840-8136-7361dd98069e</t>
  </si>
  <si>
    <t>Forsaken Woods</t>
  </si>
  <si>
    <t>5811057e-efb5-49c1-9219-8c4175f747ef</t>
  </si>
  <si>
    <t>Moss-Covered Steps</t>
  </si>
  <si>
    <t>0d528e4a-be44-4fb3-b1ac-a85b0c78be19</t>
  </si>
  <si>
    <t>Haunted Spring</t>
  </si>
  <si>
    <t>366502f7-2985-49ad-a6a2-495afb3a390b</t>
  </si>
  <si>
    <t>Decayed Willow</t>
  </si>
  <si>
    <t>2cf802b6-d0e0-4bb1-965a-2b61ef455515</t>
  </si>
  <si>
    <t>The Geist-Trap</t>
  </si>
  <si>
    <t>Woods. Spectral.</t>
  </si>
  <si>
    <t>The path leading to the site of the ritual is hidden by the spectral mist. You cannot enter The Geist-Trap.</t>
  </si>
  <si>
    <t>c734e8ac-f666-4427-8bb8-59442a47ad50</t>
  </si>
  <si>
    <t>Not Going Down That Easily</t>
  </si>
  <si>
    <t>Ally. Veteran.</t>
  </si>
  <si>
    <t>You get +1 ή._x000D_
ι After an enemy attacks you, even if that attack was canceled, exhaust Gavriella Mizrah: Discover 1 clue at your location.</t>
  </si>
  <si>
    <t>5303ae39-304b-40d4-a513-a669bcec20aa</t>
  </si>
  <si>
    <t>In Way Over His Head</t>
  </si>
  <si>
    <t>You get +1 έ._x000D_
ι When an investigator at your location draws a treachery from the encounter deck, exhaust Jerome Davids and discard cards from your hand with a total of at least 2 έ icons: Cancel that card's revelation effect.</t>
  </si>
  <si>
    <t>7acf3471-3b4d-4ee4-baba-0b51229a1f13</t>
  </si>
  <si>
    <t>The Nightmare is Over</t>
  </si>
  <si>
    <t>You get +1 ά._x000D_
ι After you succeed at a skill test during a revelation effect, exhaust Penny White: Discover 1 clue at your location.</t>
  </si>
  <si>
    <t>b065e1a1-9612-45e3-a4e8-65105751b892</t>
  </si>
  <si>
    <t>Took You Long Enough</t>
  </si>
  <si>
    <t>Ally. Socialite.</t>
  </si>
  <si>
    <t>You get +1 ί._x000D_
θ During a skill test you are performing, spend 2 resources and exhaust Valentino Rivas: Reduce the difficulty of this test by 1.</t>
  </si>
  <si>
    <t>e89cab8c-6f2f-40b2-aec4-ac7bd1462c6c</t>
  </si>
  <si>
    <t>Gavriella's Fate</t>
  </si>
  <si>
    <t>Check the "Missing Persons" section of the Campaign Log. If Gavriella disappeared into the mist and you are on Gavriella's trail:_x000D_
Gavriella stumbles out of the mist, her eyes bloodshot and her voice strained. "Where am I?… Who are you?"_x000D_
Take control of the set-aside Gavriella Mizrah story asset. For the remainder of this scenario, she does not take up an ally slot. Next to Gavriella Mizrah's profile, record Gavriella is alive.If Gavriella was claimed by specters:_x000D_
Flip this card to its enemy side and spawn it at your location. If you are on Gavriella's trail, it spawns exhausted and unengaged. Otherwise, it spawns engaged with you.Otherwise:_x000D_
You find Gavriella's weapon lying in the grass, decayed and broken. No other sign of her can be seen.</t>
  </si>
  <si>
    <t>caf24cd0-edec-48b7-b767-ef6f1af97b99</t>
  </si>
  <si>
    <t>Jerome's Fate</t>
  </si>
  <si>
    <t>Check the "Missing Persons" section of the Campaign Log. If Jerome disappeared into the mist and you are on Jerome's trail:_x000D_
Jerome crawls out of the mist, and you help him to his feet. "Oh god… the mist…" he whispers. "It's all connected… It's all connected…"_x000D_
Take control of the set-aside Jerome Davids story asset. For the remainder of this scenario, he does not take up an ally slot. Next to Jerome Davids's profile, record Jerome is alive.If Jerome was claimed by specters:_x000D_
Flip this card to its enemy side and spawn it at your location. If you are on Jerome's trail, it spawns exhausted and unengaged. Otherwise, it spawns engaged with you.Otherwise:_x000D_
You find a scrap of paper from Jerome's pocket notebook on the ground. It simply reads: "HELP"</t>
  </si>
  <si>
    <t>70d9976e-4cdd-4d39-a298-482d315be13f</t>
  </si>
  <si>
    <t>Penny's Fate</t>
  </si>
  <si>
    <t>Check the "Missing Persons" section of the Campaign Log. If Penny disappeared into the mist and you are on Penny's trail:_x000D_
Penny nearly runs directly into you. Her whole body shakes with panic as you hold her safe. "A-are you alive?" she cries. "Is this nightmare finally over?"_x000D_
Take control of the set-aside Penny White story asset. For the remainder of this scenario, she does not take up an ally slot. Next to Penny White's profile, record Penny is alive.If Penny was claimed by specters:_x000D_
Flip this card to its enemy side and spawn it at your location. If you are on Penny's trail, it spawns exhausted and unengaged. Otherwise, it spawns engaged with you.Otherwise:_x000D_
You find Penny's apron lying on the ground, covered in blood. There is no other sign of her.</t>
  </si>
  <si>
    <t>4270635a-1270-4d7e-a83f-f76e00becc10</t>
  </si>
  <si>
    <t>Valentino's Fate</t>
  </si>
  <si>
    <t>Check the "Missing Persons" section of the Campaign Log. If Valentino disappeared into the mist and you are on Valentino's trail:_x000D_
Valentino limps out of the mist, leaning on a nearby tree. He chuckles morbidly as he spots you. "Cavalry's finally here, eh?"_x000D_
Take control of the set-aside Valentino Rivas story asset. For the remainder of this scenario, he does not take up an ally slot. Next to Valentino Rivas's profile, record Valentino is alive.If Valentino was claimed by specters:_x000D_
Flip this card to its enemy side and spawn it at your location. If you are on Valentino's trail, it spawns exhausted and unengaged. Otherwise, it spawns engaged with you.Otherwise:_x000D_
Valentino's cane lies in the mud, cracked nearly in half. Its handle is stained with old blood.</t>
  </si>
  <si>
    <t>626b2e7c-3dee-4522-b7bf-f5ac7c6bacab</t>
  </si>
  <si>
    <t>13df574f-7ccd-470b-898c-5c50db2e60eb</t>
  </si>
  <si>
    <t>Spectral Raven</t>
  </si>
  <si>
    <t>Creature. Spectral.</t>
  </si>
  <si>
    <t>Prey - Lowest έ._x000D_
Alert. Hunter. Retaliate._x000D_
Forced - After Spectral Raven engages you: You must either resolve each haunted ability on your location, or Spectral Raven gets +2 fight and +2 evade until the end of the investigation phase.</t>
  </si>
  <si>
    <t>260173d9-6c32-4a75-8844-eca23ffcec2b</t>
  </si>
  <si>
    <t>2c683365-691b-41f5-964a-65f41cd8314b</t>
  </si>
  <si>
    <t>Psychopomp's Song</t>
  </si>
  <si>
    <t>Surge. Peril._x000D_
Revelation - Add Psychopomp's Song to any investigator's threat area._x000D_
Forced - When you would take 1 or more damage: Take 2 additional damage and discard Psychopomp's Song.</t>
  </si>
  <si>
    <t>0e75ebaa-4ace-49df-ab40-8c629d920efe</t>
  </si>
  <si>
    <t>Surge. Peril._x000D_
Revelation - Add Death Approaches to any investigator's threat area._x000D_
Forced - When you would take 1 or more horror: Take 2 additional horror and discard Death Approaches.</t>
  </si>
  <si>
    <t>4600ec24-0ac5-412b-a50e-dc0618a76276</t>
  </si>
  <si>
    <t>Marked for Death</t>
  </si>
  <si>
    <t>Revelation - Test ί (2). Increase this skill test's difficulty by 1 for each horror on you. If you fail, take 2 damage.</t>
  </si>
  <si>
    <t>0932a14c-516b-40b2-a5ed-c3096388ac35</t>
  </si>
  <si>
    <t>Watcher's Gaze</t>
  </si>
  <si>
    <t>Revelation - Each investigator tests ά (5). Each investigator who fails must resolve either the haunted ability on his or her location, or the haunted ability on The Spectral Watcher's location.</t>
  </si>
  <si>
    <t>ca03fc9b-9415-4c6a-9155-e0b17f9253c3</t>
  </si>
  <si>
    <t>a15c7f7d-9134-4c3a-bf65-c75f6530f20a</t>
  </si>
  <si>
    <t>BE</t>
  </si>
  <si>
    <t>Mk 1 Grenades</t>
  </si>
  <si>
    <t>Item. Weapon. Ranged.</t>
  </si>
  <si>
    <t>Uses (3 supplies). If Mk 1 Grenades has no supplies, discard it._x000D_
η Spend 1 supply: Fight. You get +2 ή for this attack. If this attack is successful, instead of its standard damage, this attack deals 2 damage to each enemy and each other investigator at your location (any additional damage is dealt to the attacked enemy).</t>
  </si>
  <si>
    <t>0b821253-834a-4409-9369-f8064a5fc030</t>
  </si>
  <si>
    <t>Agency Backup</t>
  </si>
  <si>
    <t>έήά</t>
  </si>
  <si>
    <t>Ally. Agency.</t>
  </si>
  <si>
    <t>Agency Backup may be assigned damage and/or horror dealt to other investigators at your location._x000D_
θ Exhaust Agency Backup and deal 1 damage to it: Deal 1 damage to an enemy at your location._x000D_
θ Exhaust Agency Backup and deal 1 horror to it: Discover 1 clue at your location.</t>
  </si>
  <si>
    <t>ff3ca836-7e98-4377-a358-d0d34bbf9b7a</t>
  </si>
  <si>
    <t>Ghastly Revelation</t>
  </si>
  <si>
    <t>Discover 3 clues at your location. Give any number of your clues to another investigator, or place any number of your clues on any location. You are defeated and suffer 1 mental trauma. This action does not provoke attacks of opportunity.</t>
  </si>
  <si>
    <t>181db218-da56-4d41-87e5-563fb65fb2b4</t>
  </si>
  <si>
    <t>Studious</t>
  </si>
  <si>
    <t>Permanent._x000D_
You begin each game with 1 additional card in your opening hand.</t>
  </si>
  <si>
    <t>82615ef6-61e4-4517-903d-d1ba8dc924de</t>
  </si>
  <si>
    <t>Small Favor</t>
  </si>
  <si>
    <t>Deal 1 damage to a non-[[Elite]] enemy at your location._x000D_
ι When you play Small Favor, increase its cost by 2: Change "Deal 1 damage" to "Deal 2 damage."_x000D_
ι When you play Small Favor, increase its cost by 2: Change "at your location" to "at a location up to 2 connections away."</t>
  </si>
  <si>
    <t>db60a14b-cd07-45ce-adf5-a3c2e10e689b</t>
  </si>
  <si>
    <t>Another Day, Another Dollar</t>
  </si>
  <si>
    <t>Permanent._x000D_
You begin each game with 2 additional resources.</t>
  </si>
  <si>
    <t>a26c588a-1d36-4103-8fdc-1701649b7c83</t>
  </si>
  <si>
    <t>Dayana Esperence</t>
  </si>
  <si>
    <t>Deals with "Devils"</t>
  </si>
  <si>
    <t>Uses (3 secrets)._x000D_
θ: Attach a non-weakness [[Spell]] event from your hand to Dayana Esperence. Limit 1 event attached to her._x000D_
The attached event may be played as if it were in your hand. It is not placed in your discard pile after it is played (it remains attached). As an additional cost to play the attached event, exhaust Dayana Esperence and spend 1 secret.</t>
  </si>
  <si>
    <t>68025ea2-341e-450f-94e5-18d9399a13c2</t>
  </si>
  <si>
    <t>Fast. Play when an encounter card or enemy attack would cause you to do one of the following (choose one): Discard cards from hand, lose resources, lose actions, take damage, or take horror._x000D_
You ignore that aspect of the effect. Then, perform the opposite of that aspect (draw cards, gain resources, gain additional actions, heal damage, or heal horror, respectively).</t>
  </si>
  <si>
    <t>ff89e0fb-3f0a-4c71-9f8f-2fc3cf3fdb5c</t>
  </si>
  <si>
    <t>Trial by Fire</t>
  </si>
  <si>
    <t>Fast. Play only during your turn._x000D_
Choose one of your skills. Until the end of your turn, set the base value of that skill to 5.</t>
  </si>
  <si>
    <t>c26d9995-fc22-4400-926f-dc49e3210432</t>
  </si>
  <si>
    <t>Either (choose one):_x000D_
- Evade. If you succeed and the enemy is non-[[Elite]], evade the enemy and move it to a connecting location._x000D_
- Evade. Use only on a non-[[Elite]] enemy at a connecting location. If you succeed, evade that enemy and switch locations with it.</t>
  </si>
  <si>
    <t>6d30fb09-a286-44e7-b504-267493c4704a</t>
  </si>
  <si>
    <t>Anna Kaslow</t>
  </si>
  <si>
    <t>Mysterious Soothsayer</t>
  </si>
  <si>
    <t>Ally. Clairvoyant.</t>
  </si>
  <si>
    <t>You have 2 additional tarot slots._x000D_
ι When the game begins, if Anna Kaslow is in your opening hand: Put her into play._x000D_
ι After Anna Kaslow enters play: Search your deck for a [[Tarot]] asset and put it into play.</t>
  </si>
  <si>
    <t>af187725-013f-47b5-8f23-36439c776663</t>
  </si>
  <si>
    <t>Easy / Standard_x000D_
α: -X. X is the total amount of doom and breaches on your location._x000D_
β: Reveal another token. If there are fewer than 3 breaches on your location, place 1 breach on your location._x000D_
γ: -2. For each point you fail by, remove 1 breach from the current act._x000D_
δ: -3. If you fail, place 1 breach on a random location.</t>
  </si>
  <si>
    <t>Hard / Expert_x000D_
α: -X. X is 1 higher than the total amount of doom and breaches on your location._x000D_
β: Reveal another token. If there are fewer than 3 breaches on your location, place 1 breach on your location._x000D_
γ: -3. For each point you fail by, remove 1 breach from the current act._x000D_
δ: -4. If you fail, place 1 breach on a random location.</t>
  </si>
  <si>
    <t>e786c226-d4d7-48ff-a80a-4775a939dd91</t>
  </si>
  <si>
    <t>THE CHARIOT · VII</t>
  </si>
  <si>
    <t>Forced - When doom would be placed on this agenda: Instead, place 1 breach on a number of different random locations equal to 1 more than the number of investigators._x000D_
Forced - When a breach would be placed on a location with 3 breaches: Instead, resolve an incursion at that location.</t>
  </si>
  <si>
    <t>The Final Incantation</t>
  </si>
  <si>
    <t>Check Campaign Log._x000D_
- If Anette Mason is possessed by evil, (→R3)._x000D_
- If Carl Sanford possesses the secrets of the universe, (→R4).</t>
  </si>
  <si>
    <t>d8c145e0-aef1-4e62-a68d-4d2cc1dd16f9</t>
  </si>
  <si>
    <t>Music of the Damned</t>
  </si>
  <si>
    <t>Dark Knowledge (v. I)</t>
  </si>
  <si>
    <t>θ Remove 3 breaches from this act: Place 1 clue on a random location._x000D_
Objective - When the investigators have collected the requisite number of clues, they must immediately spend them and advance. When this act advances, move all of the breaches on it to the next act.</t>
  </si>
  <si>
    <t>8f329d22-5e4c-4be6-9779-4f24f80159c7</t>
  </si>
  <si>
    <t>Beyond the Grave</t>
  </si>
  <si>
    <t>θ Remove 3 breaches from this act: Place 1 clue on a random location._x000D_
Objective - If Anette Mason is defeated, advance.</t>
  </si>
  <si>
    <t>The Living and the Dead</t>
  </si>
  <si>
    <t>d200f45b-a3d2-4590-8117-6608ecb996eb</t>
  </si>
  <si>
    <t>Secrets of the Universe</t>
  </si>
  <si>
    <t>Dark Knowledge (v. II)</t>
  </si>
  <si>
    <t>106a08d0-4732-4568-a864-c7c30752fe02</t>
  </si>
  <si>
    <t>New World Order</t>
  </si>
  <si>
    <t>θ Remove 3 breaches from this act: Place 1 clue on a random location._x000D_
Objective - If Carl Sanford is defeated, advance.</t>
  </si>
  <si>
    <t>Of Gods and Mortals</t>
  </si>
  <si>
    <t>5b1b97df-7bc1-42e8-aa55-c45ab8e4129d</t>
  </si>
  <si>
    <t>French Hill</t>
  </si>
  <si>
    <t>η Choose and discard a card from your hand: Move 1 breach from French Hill to the current act, +1 additional breach for each ά icon on that card.</t>
  </si>
  <si>
    <t>96e24b77-d561-4726-a36a-fdc0c8d14cea</t>
  </si>
  <si>
    <t>η: Test ά (2). For each point you succeed by, move 1 breach from French Hill to the current act.</t>
  </si>
  <si>
    <t>a98aea8f-073e-41e0-a739-78599ece71b2</t>
  </si>
  <si>
    <t>η Choose and discard a card from your hand: Move 1 breach from Rivertown to the current act, +1 additional breach for each έ icon on that card.</t>
  </si>
  <si>
    <t>4c511cf5-07d3-4c4a-94ac-f3b392d863b8</t>
  </si>
  <si>
    <t>η: Test έ (2). For each point you succeed by, move 1 breach from Rivertown to the current act.</t>
  </si>
  <si>
    <t>939cecea-c846-4ffd-bb1b-39e848b75710</t>
  </si>
  <si>
    <t>θ: Discard the top 3 cards of the encounter deck and move 1 breach from Southside to the current act. Choose a [[Power]] treachery discarded by this effect and resolve its revelation ability, if able.</t>
  </si>
  <si>
    <t>af069455-dd28-47ba-9e14-0c559695332b</t>
  </si>
  <si>
    <t>θ Choose and discard any number of cards from your hand: For each card discarded in this way, move 1 breach from Southside to the current act.</t>
  </si>
  <si>
    <t>e8f91327-fe0a-4a84-b953-2e78bef56ac0</t>
  </si>
  <si>
    <t>Uptown</t>
  </si>
  <si>
    <t>η Choose and discard a card from your hand: Move 1 breach from Uptown to the current act, +1 additional breach for each ί icon on that card.</t>
  </si>
  <si>
    <t>73b8bb44-802b-47ec-9bb8-ec31836671e7</t>
  </si>
  <si>
    <t>η: Test ί (2). For each point you succeed by, move 1 breach from Uptown to the current act.</t>
  </si>
  <si>
    <t>c2bb0fb9-fa46-4f7b-b33d-c0c0776050b8</t>
  </si>
  <si>
    <t>South Church</t>
  </si>
  <si>
    <t>η: Draw the top card of the encounter deck. Then, move all breaches from South Church to the current act._x000D_
η: Resign. You hide through the night.</t>
  </si>
  <si>
    <t>94a14d03-9193-4f51-99dc-b08f8817d33c</t>
  </si>
  <si>
    <t>η Discard an asset you control from play: Move all breaches from South Church to the current act._x000D_
η: Resign. You hide through the night.</t>
  </si>
  <si>
    <t>140e4849-4849-4cb8-9888-0d7647da8a50</t>
  </si>
  <si>
    <t>Merchant District</t>
  </si>
  <si>
    <t>η Discard the top 5, 10, or 15 cards of your deck: For every 5 cards discarded in this way, move 1 breach from Merchant District to the current act. Draw each weakness discarded in this way.</t>
  </si>
  <si>
    <t>8fc7e31e-9a02-4896-8c98-7f7202bbd4ee</t>
  </si>
  <si>
    <t>θ Spend 2 resources: Move 1 breach from Merchant District to the current act.</t>
  </si>
  <si>
    <t>57b76424-5b5f-4a7d-b256-4e057055bdf5</t>
  </si>
  <si>
    <t>Hangman's Hill</t>
  </si>
  <si>
    <t>Where It All Ends</t>
  </si>
  <si>
    <t>η: Search the encounter deck and discard pile for a [[Witch]] enemy and draw it. Then, move all breaches from Hangman's Hill to the current act. Shuffle the encounter deck.</t>
  </si>
  <si>
    <t>2cc3aacd-9eb4-4c88-92a8-f421a5477ef3</t>
  </si>
  <si>
    <t>Shrouded In Mystery</t>
  </si>
  <si>
    <t>θ Take 1 horror: Move 1 breach from Silver Twilight Lodge to the current act.</t>
  </si>
  <si>
    <t>b03f1a0d-3025-410c-861f-8524f860fc3c</t>
  </si>
  <si>
    <t>θ Take 1 damage: Move 1 breach from Hangman's Hill to the current act.</t>
  </si>
  <si>
    <t>954fe8ed-0104-4621-903f-f56ac91c961a</t>
  </si>
  <si>
    <t>η: Search the encounter deck and discard pile for a [[Silver Twilight]] enemy and draw it. Then, move all breaches from Silver Twilight Lodge to the current act. Shuffle the encounter deck.</t>
  </si>
  <si>
    <t>e69a16e5-2d20-4f88-8691-9cf21ac05fb7</t>
  </si>
  <si>
    <t>Chaos Manifest</t>
  </si>
  <si>
    <t>Revelation - Test ά (3). Place 1 breach on X different random locations, where X is the amount by which you failed.</t>
  </si>
  <si>
    <t>2e096aff-2f1f-4590-92f3-0a0766d4fde0</t>
  </si>
  <si>
    <t>Primordial Gateway</t>
  </si>
  <si>
    <t>Revelation - Attach to a random location. Place breaches on attached location until there are exactly 3 breaches on it._x000D_
Treat the attached location as if its printed text box were blank (except for [[Traits]])._x000D_
η: Test έ or ά (4) to close the gateway. If you succeed, discard Primordial Gateway.</t>
  </si>
  <si>
    <t>bb227dd9-c7cc-4b63-8479-1c16de046539</t>
  </si>
  <si>
    <t>Terror Unleashed</t>
  </si>
  <si>
    <t>Revelation - If there are no breaches on your location, place 1 breach on your location. You must take X damage or horror, divided as you wish. X is the total amount of doom and breaches on your location.</t>
  </si>
  <si>
    <t>2809f893-3aa8-468a-943a-372bef4f909b</t>
  </si>
  <si>
    <t>Lodge Enforcer</t>
  </si>
  <si>
    <t>Spawn - Most breaches (or Silver Twilight Lodge if there are no locations in play with breaches on them)._x000D_
Retaliate._x000D_
Treat Lodge Enforcer's location as if its printed text box were blank (except for [[Traits]]).</t>
  </si>
  <si>
    <t>e822c46c-76de-4827-8fd5-b84400c8b212</t>
  </si>
  <si>
    <t>Secrets of the Beyond</t>
  </si>
  <si>
    <t>Revelation - Find the [[Cultist]] enemy in play with the most doom on it. For each doom on that enemy, place 1 breach on that enemy's location. If no breaches are placed by this effect, Secrets of the Beyond gains surge.</t>
  </si>
  <si>
    <t>007690be-09a3-42ae-a691-a85543ffedb9</t>
  </si>
  <si>
    <t>Witness of Chaos</t>
  </si>
  <si>
    <t>Spawn - Fewest breaches._x000D_
Hunter._x000D_
Forced - After Witness of Chaos enters a location: Place 1 breach on that location.</t>
  </si>
  <si>
    <t>dbe9eddf-d8f7-4f76-855a-44393619cea1</t>
  </si>
  <si>
    <t>Toil and Trouble</t>
  </si>
  <si>
    <t>Peril._x000D_
Revelation - You must either (choose one):_x000D_
- Resolve the revelation ability on the topmost [[Power]] treachery in the encounter discard pile._x000D_
- Resolve an incursion at your location.</t>
  </si>
  <si>
    <t>95daca66-e3e6-4e72-a1c5-1765aea578a0</t>
  </si>
  <si>
    <t>ad1777aa-8325-4d75-b774-9bb0e0c74f9e</t>
  </si>
  <si>
    <t>BF</t>
  </si>
  <si>
    <t>Hallowed Mirror</t>
  </si>
  <si>
    <t>Item. Relic. Occult. Blessed.</t>
  </si>
  <si>
    <t>Limit 1 per deck._x000D_
Forced - After Hallowed Mirror enter play: Search your bonded cards for 3 copies of Soothing Melody. Add 1 to your hand and shuffle the other 2 into your deck. When Hallowed Mirror leaves play, find each of those copies of Soothing Melody (even if they are out of play) and remove them from the game.</t>
  </si>
  <si>
    <t>13901510-7669-4e5c-ac27-71646b359818</t>
  </si>
  <si>
    <t>Soothing Melody</t>
  </si>
  <si>
    <t>Bonded (Hallowed Mirror)._x000D_
Heal 2 damage or 2 horror (or any combination thereof) from among investigators and/or [[Ally]] assets at your location. Draw 1 card.</t>
  </si>
  <si>
    <t>4062e3ed-530d-4bfd-8f39-f5e6ad5eca5c</t>
  </si>
  <si>
    <t>Fast. Play when you are dealt damage and/or horror._x000D_
Cancel up to 2 damage and/or horror just dealt to you. Then, gain that many resources.</t>
  </si>
  <si>
    <t>747ff2e8-4f17-43f8-952c-376b8aacd09d</t>
  </si>
  <si>
    <t>Occult Lexicon</t>
  </si>
  <si>
    <t>Item. Tome. Occult.</t>
  </si>
  <si>
    <t>Limit 1 per deck._x000D_
Forced - After Occult Lexicon enters play: Search your bonded cards for 3 copies of Blood-Rite. Add 1 to your hand and shuffle the other 2 into your deck. When Occult Lexicon leaves play, find each of those copies of Blood-Rite (even if they are out of play) and remove them from the game.</t>
  </si>
  <si>
    <t>d0f4baa1-b066-47a0-a43f-9160efe57818</t>
  </si>
  <si>
    <t>Blood-Rite</t>
  </si>
  <si>
    <t>Bonded (Occult Lexicon)._x000D_
Draw 2 cards. Discard up to 2 cards from your hand. For each card thusly discarded, you may either gain 1 resource, or spend 1 resource to deal 1 damage to an enemy at your location. This action does not provoke attacks of opportunity.</t>
  </si>
  <si>
    <t>78cb916a-e28d-4505-98aa-6e42d0e4ce69</t>
  </si>
  <si>
    <t>Glimpse the Unthinkable</t>
  </si>
  <si>
    <t>έέέ</t>
  </si>
  <si>
    <t>Shuffle any number of non-weakness cards from your hand into your deck. Draw cards until you reach your maximum hand-size. Remove Glimpse the Unthinkable from the game.</t>
  </si>
  <si>
    <t>246df79c-c5b5-4be9-9167-b1603973f50e</t>
  </si>
  <si>
    <t>"You owe me one!"</t>
  </si>
  <si>
    <t>Look at another investigator's hand. You may play a non-weakness card in that investigator's hand, under your control. If you do, you and that investigator each draw 1 card.</t>
  </si>
  <si>
    <t>29b7c267-3ec5-4693-b25d-79cbb7d064f6</t>
  </si>
  <si>
    <t>Double, Double</t>
  </si>
  <si>
    <t>Exceptional._x000D_
ι After you play an event, exhaust Double, Double: Play that event again as if it were in your hand.</t>
  </si>
  <si>
    <t>6287a4d3-694e-4d93-83f1-85a8a4c73c16</t>
  </si>
  <si>
    <t>η: Fight. This attack uses ά instead of ή. You get +2 ά for this attack. If a α, β, γ, or δ symbol is revealed during this attack, the attacked enemy gets -1 fight, -1 health, and -1 evade for the remainder of the turn (to a minimum of 1).</t>
  </si>
  <si>
    <t>5c700a72-b4ec-4c7a-bfa9-dc6dc4fc6144</t>
  </si>
  <si>
    <t>η: Investigate. Investigate using ά instead of έ. You get +2 ά for this investigation. If a α, β, γ, or δ symbol is revealed during this test, you may choose a revealed location up to 2 connections away from your current location; you are now investigating as if you were at the chosen location in addition to your location (you may use either shroud value).</t>
  </si>
  <si>
    <t>21b8d017-25a0-4d2e-b4ea-52490b8f19c9</t>
  </si>
  <si>
    <t xml:space="preserve">Attach to your location or to a connecting location._x000D_
During the enemy phase, each enemy that moves does so along the shortest path toward the attached location, instead of to where it would normally move._x000D_
 Forced - While attached, at the end of the round: Discard Lure. </t>
  </si>
  <si>
    <t>8dc70ce2-7908-4e67-aaef-0932abb00d18</t>
  </si>
  <si>
    <t>Eucatastrophe</t>
  </si>
  <si>
    <t>Fast. Play when you reveal a chaos token that would reduce your skill value to 0 during a skill test (including the ζ token)._x000D_
Cancel that token and treat it as an ε token, instead.</t>
  </si>
  <si>
    <t>6febb6ad-ef14-4445-8bc7-717919cc26b8</t>
  </si>
  <si>
    <t>Easy / Standard_x000D_
α: -X. X is half of the doom on Azathoth (rounded up), to a minimum of 2._x000D_
β: Reveal another token. If you fail, search the encounter deck and discard pile for a [[Cultist]] enemy and draw it. Shuffle the encounter deck._x000D_
γ: -2. If you fail, Azathoth attacks you._x000D_
δ: -4. If your modified skill value for this test is 0, place 1 doom on Azathoth.</t>
  </si>
  <si>
    <t>Hard / Expert_x000D_
α: -X. X is the amount of doom on Azathoth, to a minimum of 2._x000D_
β: Reveal another token. If you fail, search the encounter deck and discard pile for a [[Cultist]] enemy and draw it. Shuffle the encounter deck._x000D_
γ: -3. If you fail, Azathoth attacks you._x000D_
δ: -6. If your modified skill value for this test is 0, place 1 doom on Azathoth.</t>
  </si>
  <si>
    <t>1243ebf8-6f47-466c-9202-7534c9fc1a34</t>
  </si>
  <si>
    <t>WHEEL OF FORTUNE · X</t>
  </si>
  <si>
    <t>Each location is connected to each location adjacent to it._x000D_
Do not remove doom from enemies when this agenda advances.</t>
  </si>
  <si>
    <t>Rejoice, For the End is Near!</t>
  </si>
  <si>
    <t>Each [[Cultist]] enemy commits ritual suicide. Discard each [[Cultist]] enemy in play and move all doom from them to Azathoth._x000D_
The lead investigator must search the encounter deck and discard pile for a copy of Daemonic Piping and draw it._x000D_
Endless walkways and steps of black stone are the only routes which guide you to your destination. It is an impossible maze to navigate._x000D_
Check Campaign Log. If Gilman's Journal is listed under "Mementos Discovered," you are able to find you way. Otherwise, you become hopelessly lost; each investigator must either move to the location to his or her left, or move the placement of his or her location once to the left (placing an empty space in the spot it previously occupied). A location cannot move more than once via this effect.</t>
  </si>
  <si>
    <t>cb7c6a83-05c2-4210-a1e7-9130b806ab72</t>
  </si>
  <si>
    <t>It Awaits</t>
  </si>
  <si>
    <t>Gnawing Hungrily</t>
  </si>
  <si>
    <t>Each [[Cultist]] enemy commits ritual suicide. Discard each [[Cultist]] enemy in play and move all doom from them to Azathoth._x000D_
The lead investigator must search the encounter deck and discard pile for a copy of Daemonic Piping and draw it._x000D_
In this oblivion outside time, nothing is as it should be. The mist dances and churns around you. Laughter mocks you from beyond, and out from the dark nebulae emerges a familiar wraith, a being which should be long dead._x000D_
Check Campaign Log. If Worn Crucifix is listed under "Mementos Discovered," the wraith recognizes the crucifix you stole from Walter Gilman's room and backs away slowly, slinking into the darkness beyond._x000D_
Otherwise, the wraith attacks you; each investigator must test ά (4). Each investigator who fails takes 1 damage and 1 horror.</t>
  </si>
  <si>
    <t>a1a82dd1-3db2-4ebd-b73c-b54f43e7e4a4</t>
  </si>
  <si>
    <t>The Final Countdown</t>
  </si>
  <si>
    <t>Each location is connected to each location adjacent to it._x000D_
Do not remove doom from enemies when this agenda advances. (Beware - the scenario will not end when this agenda advances, but the doom of the world will be close at hand.)</t>
  </si>
  <si>
    <t>Azathoth Stirs</t>
  </si>
  <si>
    <t>Each [[Cultist]] enemy commits ritual suicide. Discard each [[Cultist]] enemy in play and move all doom from them to Azathoth._x000D_
The lead investigator must search the encounter deck and discard pile for a copy of Daemonic Piping and draw it._x000D_
There is no longer an agenda deck, but the scenario is not over. Until the end of the scenario, doom that would be placed on the current agenda is instead placed on Azathoth, and all doom in play is considered to be on Azathoth._x000D_
You come across another circle of Azathoth's worshippers, led by a hooded, shapeless form which holds an ancient lantern high above its head. The lantern's dim grey light scarcely pierces the realm's darkness. Somehow, the phantom is familiar to you; some vague sense of kinship drives you onward._x000D_
Check Campaign Log. If Corn Husk Doll is listed under "Mementos Discovered," the creature recognizes you, as well. It peers at you curiously, and the circle of prayer is silenced; remove 1 doom from Azathoth. Otherwise, the creature barely notices you, and the circle resumes its chanting.</t>
  </si>
  <si>
    <t>c2141986-a61d-46b3-a857-aa7183990531</t>
  </si>
  <si>
    <t>The Cosmos Beckons</t>
  </si>
  <si>
    <t>η Spend X clues: Draw the top X cards of the Cosmos. Choose one to put into play using its "Cosmos -" instructions, and move to it. Shuffle the rest back into the Cosmos._x000D_
Objective - Only investigators at Hideous Palace may spend the requisite number of clues, as a group, to advance. (Beware - any investigator who is not there will be killed.)</t>
  </si>
  <si>
    <t>Palace of the Old Ones</t>
  </si>
  <si>
    <t>Remove Cosmic Ingress from the game. Shuffle each location in play other than Hideous Palace into the Cosmos. Each investigator at those locations is left behind and is killed. Each enemy at those locations is shuffled into the top 5 cards of the encounter deck._x000D_
Take the set-aside Court of the Great Old Ones and the top 2 cards of the Cosmos, and shuffle them so you cannot tell which is which. Then, put them into play along with empty space, as depicted in "Location Placement for Act 2" in the Campaign Guide._x000D_
In player order, each investigator draws the top card of the encounter deck.</t>
  </si>
  <si>
    <t>1fc155f2-323e-4418-9e4c-a970adc5d44f</t>
  </si>
  <si>
    <t>In Azathoth's Domain</t>
  </si>
  <si>
    <t>η Spend X clues: Draw the top X cards of the Cosmos. Choose one to put into play using its "Cosmos -" instructions, and move to it. Shuffle the rest back into the Cosmos._x000D_
Objective - Only investigators at Court of the Great Old Ones may spend the requisite number of clues, as a group, to advance. (Beware - any investigator who is not there will be killed.)</t>
  </si>
  <si>
    <t>Nucleaus of the Universe</t>
  </si>
  <si>
    <t>Remove Hideous Palace from the game. Shuffle each location in play other than Court of the Great Old Ones into the Cosmos. Each investigator at those locations is left behind and is killed. Each enemy at those locations is shuffled into the top 5 cards of the encounter deck._x000D_
Take the set-aside The Black Throne and the top 3 cards of the Cosmos, and shuffle them so you cannot tell which is which. Then, put them into play along with empty space, as depicted in "Location Placement for Act 3" in the Campaign Guide._x000D_
In player order, each investigator draws the top card of the encounter deck.</t>
  </si>
  <si>
    <t>98ed9247-476e-4821-91b0-962429d6cacd</t>
  </si>
  <si>
    <t>What Must Be Done</t>
  </si>
  <si>
    <t>η Spend X clues: Draw the top X cards of the Cosmos. Choose one to put into play using its "Cosmos -" instructions, and move to it. Shuffle the rest back into the Cosmos._x000D_
Objective - If the lead investigator is at The Black Throne and there are no clues on it, advance.</t>
  </si>
  <si>
    <t>The End</t>
  </si>
  <si>
    <t>Check Campaign Log._x000D_
- If at least two of the following are true, you may proceed to (→R2): You accepted your fate, Mesmirizing Flute is listed under "Mementos Discovered," and Ritual Components is listed under "Mementos Discovered."_x000D_
- If at least two of the following are true, you may proceed to (→R3): You rejected your fate, Scrap of Torn Shadow is listed under "Mementos Discovered," and Wisp of Spectral Mist is listed under "Mementos Discovered."_x000D_
- Otherwise, (→R4).</t>
  </si>
  <si>
    <t>fd8a0dd1-5c6f-423c-9bf9-8c65f9fa9532</t>
  </si>
  <si>
    <t>Cosmic Ingress</t>
  </si>
  <si>
    <t>Forced - At the end of the round: Add clues to Cosmic Ingress until it has 3 clues on it._x000D_
Each [[Void]] location gains: "η: Shuffle this location into the Cosmos, moving each investigator and enemy that was at this location to Cosmic Ingress."</t>
  </si>
  <si>
    <t>8474e4b7-2f14-4a5f-811e-32a24106eb6c</t>
  </si>
  <si>
    <t>Hideous Palace</t>
  </si>
  <si>
    <t>Cosmos</t>
  </si>
  <si>
    <t>Forced - At the end of the round: Add clues to Hideous Palace until it has 4 clues on it._x000D_
Each [[Void]] location gains: "η: Shuffle this location into the Cosmos, moving each investigator and enemy that was at this location to Hideous Palace."</t>
  </si>
  <si>
    <t>bd10b235-6a1c-4744-91ff-e2684507e0ee</t>
  </si>
  <si>
    <t>Forced - At the end of the round: Add clues to Court of the Great Old Ones until it has 6 clues on it._x000D_
Each [[Void]] location gains: "η: Shuffle this location into the Cosmos, moving each investigator and enemy that was at this location to Court of the Great Old Ones."</t>
  </si>
  <si>
    <t>a02f9ddf-b3f2-45d8-9717-4097857ac31c</t>
  </si>
  <si>
    <t>The Black Throne</t>
  </si>
  <si>
    <t>The Black Throne gets +X shroud, where X is half of the doom on Azathoth (rounded up)._x000D_
Haunted - You must either place 1 doom on Azathoth, or Azathoth attacks you.</t>
  </si>
  <si>
    <t>b728dcad-e66e-4868-a8b3-059f2c7ec47f</t>
  </si>
  <si>
    <t>Dancer's Mist</t>
  </si>
  <si>
    <t>Otherworld. Void.</t>
  </si>
  <si>
    <t>Cosmos - You must either connect to the right, or lose 2 resources and connect to an adjacent location in a direction of your choice._x000D_
ι After you move to Dancer's Mist, remove 1 resource from the scenario reference card: Move to a connecting location.</t>
  </si>
  <si>
    <t>b3f94eaf-7b7b-4c71-971e-e0f85bf4a276</t>
  </si>
  <si>
    <t>Flight into Oblivion</t>
  </si>
  <si>
    <t>Cosmos - You must either connect above, or take 2 horror and connect to the topmost revealed location in a direction of your choice._x000D_
η Remove 1 resource from the scenario reference card: Move the placement of Flight into Oblivion once upward, placing an empty space in the spot it previously occupied. (Group limit once per game.)</t>
  </si>
  <si>
    <t>0bea9f77-2890-455b-857f-a36659f40ef8</t>
  </si>
  <si>
    <t>Infinity of Darkness</t>
  </si>
  <si>
    <t>Cosmos - You must either connect below, or take 2 damage and connect to the bottommost revealed location in a direction of your choice._x000D_
η Remove 1 resource from the scenario reference card: Move the placement of Infinity of Darkness once downward, placing an empty space in the spot it previously occupied. (Group limit once per game.)</t>
  </si>
  <si>
    <t>12b495bf-d262-4462-85b3-baf8388c23fb</t>
  </si>
  <si>
    <t>Cosmic Gate</t>
  </si>
  <si>
    <t>Cosmos - Connect to any revealed location, in a direction of your choice._x000D_
Forced - After you enter Cosmic Gate: You must either spend 1 clue or take 1 horror._x000D_
η Remove 1 resource from the scenario reference card: Move any number of investigators at Cosmic Gate to any other [[Void]] location.</t>
  </si>
  <si>
    <t>f0883c1c-1ad2-46b9-bd87-1d3d5cd8f342</t>
  </si>
  <si>
    <t>Pathway into Void</t>
  </si>
  <si>
    <t>Cosmos - Connect in a direction of your choice._x000D_
Forced - After you enter Pathway into Void: You must either discard 1 card from your hand or take 1 damage._x000D_
η Remove 1 resource from the scenario reference card: Move Pathway into Void to any adjacent spot, placing an empty space in the spot it previously occupied. (Group limit once per round.)</t>
  </si>
  <si>
    <t>f82c2ee2-3061-4484-ae50-6afb13144588</t>
  </si>
  <si>
    <t>Mindless Dancer</t>
  </si>
  <si>
    <t>Spawn - Farthest empty space._x000D_
Hunter._x000D_
Mindless Dancer can enter empty space as if it were a location._x000D_
Forced - After Mindless Dancer moves to an empty space via its hunter keyword: Resolve its hunter keyword again. (Limit once per round.)</t>
  </si>
  <si>
    <t>280f5c41-3ae0-462d-9a67-e46c8cf02d62</t>
  </si>
  <si>
    <t>Ultimate Chaos</t>
  </si>
  <si>
    <t>Revelation - Test ά (4). If you fail, attach Ultimate Chaos to Azathoth. If you fail by 2 or more, take 1 damage and 1 horror. If you fail by 3 or more, Ultimate Chaos gains surge. Cannot be canceled._x000D_
If there are 3 copies of Ultimate Chaos attached to Azathoth, discard them and either place 1 doom on Azathoth, or Azathoth attacks each investigator in player order. Cannot be canceled.</t>
  </si>
  <si>
    <t>d56e90f0-5778-4f3d-8648-7736f402dbe3</t>
  </si>
  <si>
    <t>Whispered Bargain</t>
  </si>
  <si>
    <t>Peril._x000D_
Revelation - You must either (choose one): Place 1 doom on Azathoth, or Azathoth attacks you.</t>
  </si>
  <si>
    <t>d4ae91ab-d75b-4931-8315-3ab491184cc4</t>
  </si>
  <si>
    <t>The End is Nigh!</t>
  </si>
  <si>
    <t>Revelation - Test ά (1). This test gets +X difficulty, where X is the current agenda number. If there is no agenda in play, X is 4. If you fail, move each doom on each [[Cultist]] enemy in play to Azathoth (or place 1 doom on Azathoth if there are no [[Cultist]] enemies in play).</t>
  </si>
  <si>
    <t>f5245cce-527b-4ea8-9394-f8a45cea9ea1</t>
  </si>
  <si>
    <t>A World in Darkness</t>
  </si>
  <si>
    <t>Revelation - If there is no doom on Azathoth, A World in Darkness gains surge. Otherwise, for each doom on Azathoth, you must choose one:_x000D_
- Lose 1 resource._x000D_
- Choose and discard 1 card from your hand._x000D_
- Take 1 horror._x000D_
- Take 1 damage.</t>
  </si>
  <si>
    <t>ab2ec5e1-6170-410a-a5b2-767dbfa02f17</t>
  </si>
  <si>
    <t>Azathoth</t>
  </si>
  <si>
    <t>The Primal Chaos</t>
  </si>
  <si>
    <t>Azathoth is oblivious and omnipotent. It is immune to all player card effects and investigator actions, and cannot be defeated by any means._x000D_
Forced - If there is 10 or more doom on Azathoth: The Blind Idiot God rises from its throne in the ultimate void of chaos and devours the universe. (→R1)</t>
  </si>
  <si>
    <t>f40a47bc-74bb-4f4a-9b07-7e8da07421c8</t>
  </si>
  <si>
    <t>273b932b-9834-4c45-a011-b5aa667a311f</t>
  </si>
  <si>
    <t>BG</t>
  </si>
  <si>
    <t>Tommy Muldoon</t>
  </si>
  <si>
    <t>The Rookie Cop</t>
  </si>
  <si>
    <t>Police. Warden.</t>
  </si>
  <si>
    <t>ι When an asset you control is defeated: Gain X resources, where X is the total amount of damage and horror on that asset. Shuffle that asset into your deck._x000D_
ε effect: +2. You may move up to 2 damage and/or horror from Tommy Muldoon to an asset you control, or vice versa.</t>
  </si>
  <si>
    <t>Deck Size: 30._x000D_
Deckbuilding Options: Guardian cards (κ) level 0-5, Neutral cards level 0-5, Survivor cards (ξ) level 0-2._x000D_
Deckbuilding Requirements (do not count toward deck size): Becky, Rookie Mistake, 1 random basic weakness.</t>
  </si>
  <si>
    <t>860404e7-ebaa-43b4-b61b-10d0dd51c4d1</t>
  </si>
  <si>
    <t>Mandy Thompson</t>
  </si>
  <si>
    <t>The Researcher</t>
  </si>
  <si>
    <t>Assistant. Scholar.</t>
  </si>
  <si>
    <t>ι When an investigator at your location would search their deck or the encounter deck: They may either search 3 additional cards or resolve 1 additional target of the search. (Limit once per round.)_x000D_
ε effect: +0. Search the top 3 cards of your deck for a card and either draw it or commit it to this test, if able. Shuffle your deck.</t>
  </si>
  <si>
    <t>Deck Size: At deck creation, choose 30, 40, or 50._x000D_
Secondary Class Choice: At deck creation, choose Mystic (μ), Rogue (ν), or Survivor (ξ)._x000D_
Deckbuilding Options: Seeker cards (λ) level 0-5, Neutral cards level 0-5, up to 10 level 0-1 events and/or skills of your chosen secondary class._x000D_
Deckbuilding Requirements (do not count toward deck size): 1 copy of Occult Evidence (2 copies instead if your deck size is 40; 3 copies instead if your deck size is 50), Shocking Discovery, 1 random basic weakness.</t>
  </si>
  <si>
    <t>a626b8d7-8801-4922-804f-293227331e3e</t>
  </si>
  <si>
    <t>Tony Morgan</t>
  </si>
  <si>
    <t>The Bounty Hunter</t>
  </si>
  <si>
    <t>Criminal. Hunter.</t>
  </si>
  <si>
    <t>You may take an additional action during your turn, which can only be used to engage or fight an enemy with 1 or more bounties on it._x000D_
ε effect: +2. Place 1 bounty on Bounty Contracts.</t>
  </si>
  <si>
    <t>Deck Size: 30._x000D_
Secondary Class Choice: At deck creation, choose Guardian (κ), Seeker (λ), or Survivor (ξ)._x000D_
Deckbuilding Options: Rogue cards (ν) level 0-5, Neutral cards level 0-5, up to 10 level 0-1 events and/or skills of your chosen secondary class._x000D_
Deckbuilding Requirements (do not count toward deck size): Bounty Contracts, 2 copies of Tony's .38 Long Colt, Tony's Quarry, 1 random basic weakness.</t>
  </si>
  <si>
    <t>d118ed64-4e15-4877-a87d-d9d3d3c0a5a4</t>
  </si>
  <si>
    <t>Luke Robinson</t>
  </si>
  <si>
    <t>The Dreamer</t>
  </si>
  <si>
    <t>Dreamer. Drifter. Wayfarer.</t>
  </si>
  <si>
    <t>You begin the game with Gate Box in play._x000D_
You may play one event each turn as if you were at a connecting location and engaged with each enemy at that location._x000D_
ε effect: +1. Place 1 charge on Gate Box.</t>
  </si>
  <si>
    <t>Deck Size: 30._x000D_
Deckbuilding Options: Mystic cards (μ) level 0-5, Seeker cards (λ) level 0-2, Neutral cards level 0-5._x000D_
Deckbuilding Requirements (do not count toward deck size): Gate Box, Detached from Reality, 1 random basic weakness.</t>
  </si>
  <si>
    <t>58f32a33-b658-49b0-9577-9a0b7b79d494</t>
  </si>
  <si>
    <t>Patrice Hathaway</t>
  </si>
  <si>
    <t>The Violinist</t>
  </si>
  <si>
    <t>Performer. Cursed.</t>
  </si>
  <si>
    <t>Your maximum hand size is reduced by 3._x000D_
During each upkeep phase, instead of drawing 1 card, discard all non-weakness cards in your hand and draw until you have 5 cards in hand._x000D_
ε effect: +1. After this test ends, you may shuffle all but 1 card from your discard pile into your deck.</t>
  </si>
  <si>
    <t>Deck Size: 42._x000D_
Deckbuilding Options: Survivor cards (ξ) level 0-5, Mystic cards (μ) level 0-2, Neutral cards level 0-5._x000D_
Deckbuilding Requirements (do not count toward deck size): Patrice's Violin, Watcher from Another Dimension, 1 random basic weakness.</t>
  </si>
  <si>
    <t>2960ea49-9545-45d7-bc82-6052e24d25c3</t>
  </si>
  <si>
    <t>Becky</t>
  </si>
  <si>
    <t>Custom Marlin Model 1894</t>
  </si>
  <si>
    <t>Tommy Muldoon deck only. Uses (2 ammo)._x000D_
Each resource gained from Tommy Muldoon's ι ability may instead be placed on Becky, as ammo._x000D_
η Spend 1 ammo: Fight. You get +2 ή and deal +1 damage for this attack.</t>
  </si>
  <si>
    <t>29485f85-1aa8-40dd-8f9d-5e7f38c72e3e</t>
  </si>
  <si>
    <t>Rookie Mistake</t>
  </si>
  <si>
    <t>Blunder. Flaw.</t>
  </si>
  <si>
    <t>Revelation - Discard each asset you control with damage or horror on it. If no assets are discarded by this effect, shuffle Rookie Mistake back into your deck.</t>
  </si>
  <si>
    <t>07450714-dcfa-4621-939c-969f096fa767</t>
  </si>
  <si>
    <t>Occult Evidence</t>
  </si>
  <si>
    <t>Insight. Research.</t>
  </si>
  <si>
    <t>Mandy Thompson deck only._x000D_
Shuffle Occult Evidence into your deck._x000D_
ι When you search your deck and Occult Evidence is among the searched cards, reveal it: Draw it and discover 1 clue at your location. (Max one [[Research]] ability per search.)</t>
  </si>
  <si>
    <t>ccc5dc08-1e90-45bd-9836-12ae0dc1a205</t>
  </si>
  <si>
    <t>Shocking Discovery</t>
  </si>
  <si>
    <t>Blunder. Mystery.</t>
  </si>
  <si>
    <t>Revelation - Shuffle Shocking Discovery back into your deck. (If you cannot, discard it and draw the top card of the encounter deck, instead.)_x000D_
Forced - When you search your deck and this card is among the searched cards: Discard it. Cancel the search and all of its effects. Shuffle the searched deck. Draw the top card of the encounter deck.</t>
  </si>
  <si>
    <t>dfa8e930-a431-43a9-9d38-5a8363ef7cf4</t>
  </si>
  <si>
    <t>Bounty Contracts</t>
  </si>
  <si>
    <t>Job.</t>
  </si>
  <si>
    <t>Permanent. Tony Morgan deck only. Uses (6 bounties)._x000D_
ι: After an enemy enters play: Move 1-3 bounties from Bounty Contracts to that enemy, to a maximum of that enemy's health._x000D_
Forced - After you defeat an enemy with 1 or more bounties on it: Move its bounties to your resource pool, as resources.</t>
  </si>
  <si>
    <t>c269112f-a613-49d2-92d4-25eb0169823d</t>
  </si>
  <si>
    <t>Tony's .38 Long Colt</t>
  </si>
  <si>
    <t>Tony Morgan deck only. Uses (3 ammo)._x000D_
ι: After you play Tony's .38 Long Colt: Play another Tony's .38 Long Colt from your hand, at no cost._x000D_
η Spend 1 ammo: Fight.. You get +1 ή for each bounty on the attacked enemy. This attack deals +1 damage. If this attack defeats an enemy with 1 or more bounties on it, place 1 bounty on Bounty Contracts.</t>
  </si>
  <si>
    <t>6ddeb014-a79f-481b-9303-df1d6d338ae3</t>
  </si>
  <si>
    <t>Tony's Quarry</t>
  </si>
  <si>
    <t>Spawn - Location farthest from Tony Morgan._x000D_
Aloof._x000D_
Forced - After Tony's Quarry enters play: Place 1 doom on it. Then, place 1 resource on it (from the token pool), as a bounty.</t>
  </si>
  <si>
    <t>9b766310-ccb6-43e2-a84e-4215a70fd31a</t>
  </si>
  <si>
    <t>Gate Box</t>
  </si>
  <si>
    <t>Worlds within Worlds</t>
  </si>
  <si>
    <t>Luke Robinson deck only. Uses (3 charges)._x000D_
[fast] Exhaust Gate Box and spend 1 charge: Disengage from each enemy engaged with you, search your bonded cards for Dream-Gate (Wondrous Journey), put it into play, and move to it.</t>
  </si>
  <si>
    <t>3237e087-eeb0-46e7-ab9f-0dcad4fb58b9</t>
  </si>
  <si>
    <t>Detached from Reality</t>
  </si>
  <si>
    <t>Revelation - If Dream-Gate (Wondrous Journey) is already in play, flip it over. Otherwise, search your bonded cards from Dream-Gate (Pointless Reality) and put it into play. In either case, disengage from each enemy engaged with you and move to Dream-Gate.</t>
  </si>
  <si>
    <t>3330e3db-e28a-4901-a3bd-077c7aceeb7f</t>
  </si>
  <si>
    <t>Dream-Gate</t>
  </si>
  <si>
    <t>Wondrous Journey</t>
  </si>
  <si>
    <t>Dreamlands.</t>
  </si>
  <si>
    <t>Bonded (Gate Box)._x000D_
Dream-Gate is connected to each other revealed location, and vice versa. Enemies and investigators other than Luke Robinson cannot enter Dream-Gate._x000D_
Forced - At the end of the investigation phase: Set Dream-Gate aside, out of play. (If Luke Robinson is here, move him to any revealed location.)</t>
  </si>
  <si>
    <t>0a1afb30-a8bb-4531-8892-33f9a11a32fa</t>
  </si>
  <si>
    <t>Patrice's Violin</t>
  </si>
  <si>
    <t>My Muse</t>
  </si>
  <si>
    <t>ίάΰ</t>
  </si>
  <si>
    <t>Item. Instrument.</t>
  </si>
  <si>
    <t>Patrice Hathaway deck only._x000D_
[fast] Choose and discard 1 card from your hand and exhaust Patrice's Violin: Choose an investigator at your location to either gain 1 resource or draw 1 card.</t>
  </si>
  <si>
    <t>c804af95-577a-4958-a58f-cafbf11ed49b</t>
  </si>
  <si>
    <t>Watcher from Another Dimension</t>
  </si>
  <si>
    <t>Peril. Hidden. Hunter._x000D_
Revelation - Secretly add this enemy to your hand._x000D_
You may fight or evade this enemy while it is in your hand (as if it were at your location). If you succeed, discard it from your hand. If you fail, spawn it engaged with you._x000D_
Forced - When your deck runs out of cards, if this enemy is in your hand: It attacks you (from your hand).</t>
  </si>
  <si>
    <t>74136c28-22e0-4383-9f61-0d3ee0c5dc6c</t>
  </si>
  <si>
    <t>The Hungering Blade</t>
  </si>
  <si>
    <t>Calamitous Blade of Celephaïs</t>
  </si>
  <si>
    <t>Item. Weapon. Melee. Relic. Cursed.</t>
  </si>
  <si>
    <t>Limit 1 per deck. As an additional cost to put this card into play, you must search your bonded cards for 3 copies of Bloodlust and shuffle them into your deck._x000D_
η: Fight. You get +1 ή for this attack for each attached copy of Bloodlust. This attack deals +1 damage. If this attack defeats an enemy, place 1 resource on this card (from the token bank), as an offering.</t>
  </si>
  <si>
    <t>e3011174-2b79-4108-855a-ff1d2bbe8b08</t>
  </si>
  <si>
    <t>Bloodlust</t>
  </si>
  <si>
    <t>Bonded (The Hungering Blade)._x000D_
Revelation - Remove 2 offerings from The Hungering Blade to attach Bloodlust to it. If you cannot, take 1 horror and shuffle Bloodlust back into your deck._x000D_
θ While attacking with The Hungering Blade, shuffle Bloodlust into your deck: You deal +1 damage for this attack. (Max once per attack.)</t>
  </si>
  <si>
    <t>16f46f4c-ddc9-49e2-b738-add3380bc0c1</t>
  </si>
  <si>
    <t>Solemn Vow</t>
  </si>
  <si>
    <t>Myriad. Fast._x000D_
Play Solemn Vow under the control of another investigator at your location._x000D_
[fast] If the owner of Solemn Vow is at your location, exhaust Solemn Vow: Move 1 damage or horror from a card you control to a card that investigator controls.</t>
  </si>
  <si>
    <t>95248e83-22ab-425f-8f84-5a1a7f58cb1b</t>
  </si>
  <si>
    <t>Segment of Onyx</t>
  </si>
  <si>
    <t>Item. Relic. Occult.</t>
  </si>
  <si>
    <t>Myriad. Fast._x000D_
θ If you have 3 copies of Segment of Onyx in play: Set them aside, out of play. Search your bonded cards for Pendant of the Queen and put it into play.</t>
  </si>
  <si>
    <t>dc7600e3-a132-42b0-b96b-67ca0cee4aff</t>
  </si>
  <si>
    <t>Pendant of the Queen</t>
  </si>
  <si>
    <t>Of Nothing at All</t>
  </si>
  <si>
    <t>Bonded (Segment of Onyx). Uses (3 charges). If this card has no charges, set it aside, out of play, and shuffle 3 set-aside copies of Segment of Onyx into your deck._x000D_
θ Exhaust Pendant of the Queen and spend 1 charge: Choose a revealed location and select one - move to that location, discover 1 clue at that location, or automatically evade an enemy at that location.</t>
  </si>
  <si>
    <t>ea754b40-3398-4dd2-b318-7a0d61b95dd3</t>
  </si>
  <si>
    <t>Astounding Revelation</t>
  </si>
  <si>
    <t>Research.</t>
  </si>
  <si>
    <t>Myriad._x000D_
Astounding Revelation cannot be played._x000D_
ι When you search your deck and Astounding Revelation is among the searched cards, discard it: Either gain 2 resources or place 1 secret on an asset you control. (Max one [[Reserach]] ability per search.)</t>
  </si>
  <si>
    <t>4164bff4-4b45-4258-8d01-2431f97a02a1</t>
  </si>
  <si>
    <t>Crystallizer of Dreams</t>
  </si>
  <si>
    <t>As an additional cost to put this card into play, you must search your bonded cards for 1 copy of Guardian of the Crystallizer and shuffle it into your deck._x000D_
ι After you play an event: Attach it facedown to Crystallizer of Dreams instead of discarding it (to a maximum of 5 attached events). Attached events may be committed to skill tests as if they were in your hand.</t>
  </si>
  <si>
    <t>fdc478bd-9fd5-4f4a-8af1-5531118133d3</t>
  </si>
  <si>
    <t>Guardian of the Crystallizer</t>
  </si>
  <si>
    <t>Bonded (Crystallizer of Dreams). Hunter._x000D_
Prey - Investigator with a Crystallizer of Dreams only._x000D_
Guardian of the Crystallizer enters play exhausted._x000D_
Forced - If there is no Crystallizer of Dreams in play: Set Guardian of the Crystallizer aside, out of play.</t>
  </si>
  <si>
    <t>6f8724a9-7906-4b5c-9f2f-9fa18e72f678</t>
  </si>
  <si>
    <t>Easy Mark</t>
  </si>
  <si>
    <t>Myriad._x000D_
Gain 2 resources and draw 1 card._x000D_
ι After you play Easy Mark: Play another Easy Mark from your hand, at no cost.</t>
  </si>
  <si>
    <t>1c900f3b-570f-46e5-a195-3d53da3cf284</t>
  </si>
  <si>
    <t>Stargazing</t>
  </si>
  <si>
    <t>Insight. Augury.</t>
  </si>
  <si>
    <t>Max twice per game._x000D_
Play only if there are 10 or more cards in the encounter deck._x000D_
Search your bonded cards for 1 copy of The Stars Are Right and shuffle it into the top 10 cards of the encounter deck.</t>
  </si>
  <si>
    <t>a5a49067-7af2-48bd-9389-f2a45e0dded8</t>
  </si>
  <si>
    <t>The Stars Are Right</t>
  </si>
  <si>
    <t>Bonded (Stargazing)._x000D_
Revelation - Remove The Stars Are Right from the game. Choose an investigator. That investigator draws 1 card, gains 1 resource, and may take an immediate action as if it were their turn (this action does not count toward the number of actions that investigator can take each turn).</t>
  </si>
  <si>
    <t>e77df298-1af1-41d8-a394-fa83dac72cbb</t>
  </si>
  <si>
    <t>Open Gate</t>
  </si>
  <si>
    <t>Myriad. Fast._x000D_
Play only during your turn._x000D_
Attach to your location. Group limit 3 in play._x000D_
Investigators may move between any two locations with an attached Open Gate as if the locations were connected.</t>
  </si>
  <si>
    <t>ef938fdc-cd15-41d7-b3e1-484c521b6546</t>
  </si>
  <si>
    <t>Miss Doyle</t>
  </si>
  <si>
    <t>Cat General of Ulthar</t>
  </si>
  <si>
    <t>Ally. Creature. Dreamlands.</t>
  </si>
  <si>
    <t>Limit 1 per deck._x000D_
Forced - After Miss Doyle enters play: Search your bonded cards for Hope, Zeal, and Augur. Randomly choose 1 to put into play and shuffle the other 2 into your deck. When Miss Doyle leaves play, find each of those assets (even if they are out of play) and remove them from the game.</t>
  </si>
  <si>
    <t>9440540e-4099-44c4-b999-e967418b6a65</t>
  </si>
  <si>
    <t>Hope</t>
  </si>
  <si>
    <t>Bonded (Miss Doyle). Fast._x000D_
Forced - After Hope enters play: Discard Zeal and Augur._x000D_
η If Hope is ready, exhaust or discard him: Evade. Attempt to evade with a base ί value of 5. (If you discarded Hope, this test is automatically successful. Then, you may shuffle Hope into your deck to put Zeal or Augur into play from your discard pile.)</t>
  </si>
  <si>
    <t>03c6452b-0fec-4a36-a460-7cf77fae1c55</t>
  </si>
  <si>
    <t>Zeal</t>
  </si>
  <si>
    <t>Bonded (Miss Doyle). Fast._x000D_
Forced - After Zeal enters play: Discard Hope and Augur._x000D_
η If Zeal is ready, exhaust or discard her: Fight. Fight with a base ή value of 5. (If you discarded Zeal, this test is automatically successful. Then, you may shuffle Zeal into your deck to put Hope or Augur into play from your discard pile.)</t>
  </si>
  <si>
    <t>61dba09d-09af-4b1e-932e-7f6cbb9df9fa</t>
  </si>
  <si>
    <t>Augur</t>
  </si>
  <si>
    <t>Bonded (Miss Doyle). Fast._x000D_
Forced - After Augur enters play: Discard Hope and Zeal._x000D_
η If Augur is ready, exhaust or discard her: Investigate. Investigate with a base έ value of 5. (If you discarded Augur, this test is automatically successful. Then, you may shuffle Augur into your deck to put Hope or Zeal into play from your discard pile.)</t>
  </si>
  <si>
    <t>fa9de635-df0b-43cc-ba23-4fe36618c696</t>
  </si>
  <si>
    <t>Fortuitous Discovery</t>
  </si>
  <si>
    <t>Myriad._x000D_
X is the number of other copies of Fortuitous Discovery in your discard pile._x000D_
Investigate. You get +X έ for this investigation. If you succeed, discover X additional clues at your location.</t>
  </si>
  <si>
    <t>600c6b88-339f-4f10-98b3-02536aec7b92</t>
  </si>
  <si>
    <t>Self-Centered</t>
  </si>
  <si>
    <t>Multiplayer only._x000D_
Revelation - Put Self-Centered into play in your threat area._x000D_
You cannot commit cards to other investigators' skill tests or affect other investigators with player card effects (except aspects that cause damage or horror)._x000D_
ηη: Discard Self-Centered.</t>
  </si>
  <si>
    <t>1e1b819a-4bc3-4954-bea4-752fce9858bc</t>
  </si>
  <si>
    <t>Kleptomania</t>
  </si>
  <si>
    <t>Madness. Talent.</t>
  </si>
  <si>
    <t>Multiplayer only._x000D_
Revelation - Put Kleptomania into play in your play area._x000D_
η: Take control of an [[Item]] asset or 2 resources from another investigator at your location. Then, shuffle Kleptomania into your deck._x000D_
Forced - At the end of your turn: Take 1 horror.</t>
  </si>
  <si>
    <t>97a9fa53-3c9e-444e-9c21-24e52354ed6c</t>
  </si>
  <si>
    <t>Narcolepsy</t>
  </si>
  <si>
    <t>Multiplayer only._x000D_
Revelation - Put Narcolepsy into play in your threat area._x000D_
You cannot take actions, trigger abilities, or play cards._x000D_
η: "Wake up!" Discard Narcolepsy._x000D_
Forced - After you take damage or horror: Discard Narcolepsy.</t>
  </si>
  <si>
    <t>2ecb16b4-a4db-4832-8e78-d3527b8c1bd6</t>
  </si>
  <si>
    <t>Your Worst Nightmare</t>
  </si>
  <si>
    <t>Multiplayer only._x000D_
Hunter._x000D_
Prey - Bearer only._x000D_
The bearer of Your Worst Nightmare cannot attack, damage, or defeat it.</t>
  </si>
  <si>
    <t>003e29bb-e6d0-4c1c-bf00-42f4f60eca04</t>
  </si>
  <si>
    <t>Beyond the Gates of Sleep</t>
  </si>
  <si>
    <t>Easy / Standard_x000D_
α : -X. X is half the number of cards in your hand (rounded up)._x000D_
β: -X. X is the number of revealed Enchanted Woods locations._x000D_
γ: -2. If you fail and this is an attack or evasion attempt against a swarming enemy, add 1 swarm card to it.</t>
  </si>
  <si>
    <t>Hard / Expert_x000D_
α : -X. X is the number of cards in your hand._x000D_
β: -X. X is the number of revealed [[Woods]] locations._x000D_
γ: -2. If this is an attack or evasion attempt against a swarming enemy, add 1 swarm card to it.</t>
  </si>
  <si>
    <t>19db1533-dc1f-4aab-9293-ee128a21942a</t>
  </si>
  <si>
    <t>Journey through the Gates</t>
  </si>
  <si>
    <t>Forced - When doom is placed on this agenda during the mythos phase, if any investigator is at a [[Steps]] location: Place 1 additional doom on this agenda.</t>
  </si>
  <si>
    <t>Trick of the Mind</t>
  </si>
  <si>
    <t>If it is act 1, 2, or 3, read the following:_x000D_
The steps begin to twist like a snake uncoiling from its sleep. You try to keep your balance, but there is nothing for you to cling to for safety as the stairs tilt and flip._x000D_
Each surviving investigator is defeated and suffers 1 physical trauma. Each of those investigators may test ά (3) before being defeated to remember that this is all a dream. Each investigator who succeeds is defeated and suffers 1 mental trauma, instead._x000D_
If it is act 4, read the following:_x000D_
"Help! Please! Anyone!" The voice called out from the trees, far from the path. Normally, this sort of trick would not have fooled you, but the voice was too familiar to ignore. A loved one, perhaps, or someone you once failed in a time of need. It doesn't matter. It's too late now. You spin and look for the path, but it is nowhere to be found._x000D_
Record in your Campaign Log the dreamers strayed from the path. Each surviving investigator is defeated and suffers 1 mental trauma.</t>
  </si>
  <si>
    <t>c03e0c7a-2438-4076-a38a-2d0b55e09852</t>
  </si>
  <si>
    <t>Entering the Dreamlands</t>
  </si>
  <si>
    <t>Do not draw cards from the encounter deck during the mythos phase._x000D_
Objective - If an investigator enters The Cavern of Flame, immediately advance.</t>
  </si>
  <si>
    <t>Priests of the Dreamlands</t>
  </si>
  <si>
    <t>Each investigator loses all of their clues._x000D_
Put the set-aside Nasht and Kaman-Thah enemies into play in The Cavern of Flame._x000D_
Your slumber grows deeper. Add 1 α token to the chaos bag for the remainder of the campaign.</t>
  </si>
  <si>
    <t>39840699-d759-44b3-82b1-b0024b4b4541</t>
  </si>
  <si>
    <t>The Trial of Nasht and Kaman-Thah</t>
  </si>
  <si>
    <t>Do not draw cards from the encounter deck during the mythos phase._x000D_
Objective - If neither Nasht nor Kaman-Thah are in play, immediately advance.</t>
  </si>
  <si>
    <t>Beware the Road Ahead</t>
  </si>
  <si>
    <t>Each investigator loses all of their clues._x000D_
Put the set-aside Seven Hundred Steps, Base of the Steps, and The Enchanted Path locations into play._x000D_
Your slumber grows deeper. Add 1 α token to the chaos bag for the remainder of the campaign.</t>
  </si>
  <si>
    <t>423e507f-9941-4705-9fd9-efc3532672e6</t>
  </si>
  <si>
    <t>The Final Descent</t>
  </si>
  <si>
    <t>Do not draw cards from the encounter deck during the mythos phase._x000D_
Objective - If each investigator is at The Enchanted Path, immediately advance.</t>
  </si>
  <si>
    <t>Into Enchantment</t>
  </si>
  <si>
    <t>Each investigator loses all of their clues._x000D_
Your slumber grows deeper. Add 1 α token to the chaos bag for the remainder of the campaign._x000D_
Remove each [[Steps]] location from the game._x000D_
Randomly choose 6 of the set-aside Enchanted Woods locations to put into play. Remove the other copy from the game._x000D_
Shuffle all of the remaining set-aside scenario cards, except for Laboring Gug and Randolph Carter (Expert Dreamer), to form the encounter deck. (From now on, investigators draw cards from the encounter deck during each mythos phase, as normal.)</t>
  </si>
  <si>
    <t>44ae8fdc-0fac-4f5e-9c92-9c7491ddd28e</t>
  </si>
  <si>
    <t>The Path</t>
  </si>
  <si>
    <t>Forced - After the first time any investigator enters an Enchanted Woods location: Record in your Campaign Log the dreamers strayed from the path._x000D_
Objective - Only investigators at The Enchanted Path may spend the requisite number of clues, as a group, to advance.</t>
  </si>
  <si>
    <t>New Visitors</t>
  </si>
  <si>
    <t>The investigators must decide (choose one):_x000D_
- Step back and watch this surreal scene play out. (→R1)_x000D_
- Interrupt the scarred cat and handle this yourself. (→R2)</t>
  </si>
  <si>
    <t>7f19494d-b835-485e-83c4-e0633bab9074</t>
  </si>
  <si>
    <t>Seventy Steps</t>
  </si>
  <si>
    <t>Steps.</t>
  </si>
  <si>
    <t>Of Lighter Slumber</t>
  </si>
  <si>
    <t>Forced - When you leave the Seventy Steps: Take 1 horror for each card in your hand in excess of 5._x000D_
θ: Choose and discard 1 card from your hand.</t>
  </si>
  <si>
    <t>85f32a4d-7c63-4a9b-88a2-1360accdc724</t>
  </si>
  <si>
    <t>The Cavern of Flame</t>
  </si>
  <si>
    <t>Cave. Steps.</t>
  </si>
  <si>
    <t>You cannot enter The Cavern of Flame unless all of the clues on the Seventy Steps have been discovered.</t>
  </si>
  <si>
    <t>41e0c975-ed98-437d-8855-f8397975946e</t>
  </si>
  <si>
    <t>Seven Hundred Steps</t>
  </si>
  <si>
    <t>Of Deeper Slumber</t>
  </si>
  <si>
    <t>Forced - When you leave the Seven Hundred Steps: Take 1 horror for each card in your hand in excess of 3._x000D_
θ: Choose and discard 1 card from your hand.</t>
  </si>
  <si>
    <t>b0fe58f5-2862-4416-805f-2102d2ed1414</t>
  </si>
  <si>
    <t>Base of the Steps</t>
  </si>
  <si>
    <t>Steps. Woods.</t>
  </si>
  <si>
    <t>You cannot enter the Base of the Steps unless all of the clues on the Seven Hundred Steps have been discovered.</t>
  </si>
  <si>
    <t>e8feb11b-4906-4db9-b4b6-a007406803a4</t>
  </si>
  <si>
    <t>The Enchanted Path</t>
  </si>
  <si>
    <t>You cannot enter The Enchanted Path unless all of the clues on the Base of the Steps have been discovered.</t>
  </si>
  <si>
    <t>2a7a36b4-7beb-4ffa-a57a-2e65e60726ea</t>
  </si>
  <si>
    <t>Enchanted Woods</t>
  </si>
  <si>
    <t>Mystical Forest</t>
  </si>
  <si>
    <t>As an additional cost for you to leave this location, you must choose and discard 1 card from your hand for each clue on this location.</t>
  </si>
  <si>
    <t>58b6b162-8187-4687-bf9c-dc822abe43fe</t>
  </si>
  <si>
    <t>Village of Zoogs</t>
  </si>
  <si>
    <t>Forced - After a [[Zoog]] enemy with the swarming X keyword spawns at this location: Add 1 additional swarm card to it.</t>
  </si>
  <si>
    <t>8b505996-0602-403a-8795-46597186eb0f</t>
  </si>
  <si>
    <t>Great Stone Circle</t>
  </si>
  <si>
    <t>Forced - After this location is revealed: Spawn the set-aside Laboring Gug at this location.</t>
  </si>
  <si>
    <t>981cee7c-c262-4c5c-a417-631f9af54671</t>
  </si>
  <si>
    <t>Stone Trapdoor</t>
  </si>
  <si>
    <t>While you are investigating this location, it gets +1 shroud for each card in your hand.</t>
  </si>
  <si>
    <t>671f4b0f-bcb1-4b98-9ede-dc8120ff0b96</t>
  </si>
  <si>
    <t>The Moon-Tree</t>
  </si>
  <si>
    <t>Forced - After you enter this location: You must either take 2 horror or lose all of your remaining actions.</t>
  </si>
  <si>
    <t>79fd6fb7-42fa-4bba-afc5-6847d6af7c24</t>
  </si>
  <si>
    <t>Fungal Forest</t>
  </si>
  <si>
    <t>Forced - When your turn begins, if you are at this location: Reveal a random token from the chaos bag. If you reveal a α, β, γ, δ, or ζ token, take 1 damage and lose 1 action.</t>
  </si>
  <si>
    <t>219ced4d-9d3d-4aa4-afd2-c252aa93834d</t>
  </si>
  <si>
    <t>Lost Woods</t>
  </si>
  <si>
    <t>Forced - After you reveal this location: If you do not leave this location before the end of the round, place 1 doom on the current agenda.</t>
  </si>
  <si>
    <t>28d63bf9-1e9a-4f62-8abd-fcf040e95326</t>
  </si>
  <si>
    <t>Kaman-Thah</t>
  </si>
  <si>
    <t>Priest of the Dreamlands</t>
  </si>
  <si>
    <t>Aloof. Retaliate._x000D_
η: Parley. Test ά or έ (2) to prove that you are worthy to enter the Dreamlands. This test gets +1 π difficulty. If you succeed, flip Kaman-Thah over and resolve the text on his other side. If you fail, Kaman-Thah attacks each investigator at his location._x000D_
Forced - After you defeat Kaman-Thah: Flip him over and resolve the text on his other side.</t>
  </si>
  <si>
    <t>33bf8bf5-d32d-4cf9-82da-3e166025bb1f</t>
  </si>
  <si>
    <t>Nasht</t>
  </si>
  <si>
    <t>Dreamlands. Warden. Elite.</t>
  </si>
  <si>
    <t>Aloof. Retaliate._x000D_
η: Parley. Test ή or ί (2) to prove that you are worthy to enter the Dreamlands. This test gets +1 π difficulty. If you succeed, flip Nasht over and resolve the text on his other side. If you fail, Nasht attacks each investigator at his location._x000D_
Forced - After you defeat Nasht: Flip him over and resolve the text on his other side.</t>
  </si>
  <si>
    <t>d144e242-5568-475d-9c88-be040b6e0960</t>
  </si>
  <si>
    <t>Randolph Carter</t>
  </si>
  <si>
    <t>Expert Dreamer</t>
  </si>
  <si>
    <t>Ally. Dreamer.</t>
  </si>
  <si>
    <t>You get +1 ή and +1 ί._x000D_
ι After a γ symbol is revealed during a skill test at your location, exhaust Randolph Carter: Draw 2 cards.</t>
  </si>
  <si>
    <t>617b6726-816e-474d-bf0a-62676ef87bfa</t>
  </si>
  <si>
    <t>Laboring Gug</t>
  </si>
  <si>
    <t>Monster. Gug.</t>
  </si>
  <si>
    <t>Hunter._x000D_
Laboring Gug cannot enter The Enchanted Path.</t>
  </si>
  <si>
    <t>d9a89d23-506c-4212-8186-2845e5f45ce4</t>
  </si>
  <si>
    <t>Ancient Zoog</t>
  </si>
  <si>
    <t>Creature. Zoog. Elite.</t>
  </si>
  <si>
    <t>Spawn - Any Enchanted Woods location (unrevealed, if able)._x000D_
Aloof._x000D_
Forced - At the start of the enemy phase, if Ancient Zoog is ready: Add 1 swarm card to each swarming [[Zoog]] enemy in play.</t>
  </si>
  <si>
    <t>f373d406-2b86-46e0-b590-5e61470413e5</t>
  </si>
  <si>
    <t>Surge._x000D_
Revelation - Each investigator at an Enchanted Woods location tests ά (3). Each investigator who fails loses 1 action and takes 1 horror.</t>
  </si>
  <si>
    <t>697ccc8c-d21e-4e7c-9d6c-5cbac8542294</t>
  </si>
  <si>
    <t>Waking Nightmare</t>
  </si>
  <si>
    <t>Easy / Standard_x000D_
α: -1 (-3 instead if you are engaged with a [[Staff]] enemy)._x000D_
β: Reveal another chaos token. If you fail and it is agenda 2 or 3, make an infestation test._x000D_
δ: -X. X is the number of infested locations.</t>
  </si>
  <si>
    <t>Hard / Expert_x000D_
α: -2 (-4 instead if you are engaged with a [[Staff]] enemy)._x000D_
β: Reveal another chaos token. If it is agenda 2 or 3, make an infestation test._x000D_
δ: -X. X is 1 higher than the number of infested locations.</t>
  </si>
  <si>
    <t>93f1ba7c-ee75-4780-ae78-737f3b2abfff</t>
  </si>
  <si>
    <t>Halls of St. Mary's</t>
  </si>
  <si>
    <t>Unsettling Developments</t>
  </si>
  <si>
    <t>Shuffle the set-aside Spiders encounter set and each set-aside copy of Outbreak into the encounter deck, along with the encounter discard pile._x000D_
Draw the set-aside The Infestation Begins story card and resolve its text.</t>
  </si>
  <si>
    <t>4a7a8b53-2d37-4333-86b0-ab60344405f4</t>
  </si>
  <si>
    <t>The Infestation Spreads</t>
  </si>
  <si>
    <t>Forced - At the end of the mythos phase: Make an infestation test.</t>
  </si>
  <si>
    <t>Hell Breaks Loose</t>
  </si>
  <si>
    <t>Find each Suspicious Orderly enemy in play and replace it with a set-aside Corrupted Orderly enemy (it keeps its game state, all tokens, and all attachments)._x000D_
Search the encounter deck and discard pile for each copy of Suspicious Orderly and remove them from the game._x000D_
Shuffle the set-aside Agents of Atlach-Nacha encounter set, each remaining set-aside Corrupted Orderly enemy, and the encounter discard pile into the encounter deck._x000D_
Add 1 α token and 1 β token to the infestation bag.</t>
  </si>
  <si>
    <t>f8dcefad-a7cb-4e3a-8304-9378cf38d477</t>
  </si>
  <si>
    <t>Hospital of Horrors</t>
  </si>
  <si>
    <t>Forced - At the end of the mythos phase: Make an infestation test._x000D_
Each [[Spider]] enemy at an infested location gets +1 fight and +1 evade.</t>
  </si>
  <si>
    <t>Desperate Escape</t>
  </si>
  <si>
    <t>In your Campaign Log, record 8 tally marks next to "Steps of the Bridge."_x000D_
(→R4)</t>
  </si>
  <si>
    <t>9ac3113f-d10d-4813-b409-7bd2c95ab561</t>
  </si>
  <si>
    <t>Looking for Answers</t>
  </si>
  <si>
    <t>A Promising Lead</t>
  </si>
  <si>
    <t>Put the set-aside Stairwell and Basement Door locations into play._x000D_
Check the current agenda._x000D_
- If it is agenda 2 or 3, make an infestation test._x000D_
- If it is agenda 1, immediately advance to agenda 2.</t>
  </si>
  <si>
    <t>1add2f33-3864-4b2c-b2f2-87285d6117e4</t>
  </si>
  <si>
    <t>Search for the Patient</t>
  </si>
  <si>
    <t>Objective - If an investigator controls Randolph Carter, advance.</t>
  </si>
  <si>
    <t>Carter's Statement</t>
  </si>
  <si>
    <t>43dd4b55-fbe3-4030-9393-6849f32f4ee9</t>
  </si>
  <si>
    <t>Containing the Outbreak</t>
  </si>
  <si>
    <t>Each infested location gains: "η: Test ά (X) to attempt to seal the rift. X is this location's shroud. Investigators at this location may spend 1 π clues, as a group, to automatically succeed. If you succeed, replace the damage token on this location with a horror token. For the remainder of the game, this location cannot become infested."_x000D_
Objective - If there are no infested locations in play, advance.</t>
  </si>
  <si>
    <t>The Next Step</t>
  </si>
  <si>
    <t>Check Campaign Log._x000D_
- If Dr. Maheswaran joined the investigation and she was in play when the scenario ended, (→R1)._x000D_
- If Dr. Maheswaran joined the investigation and she was not in play when the scenario ended, (→R2)._x000D_
- If Dr. Maheswaran stayed with her patients , (→R3).</t>
  </si>
  <si>
    <t>28677dfe-6620-4b6b-b50f-c64158d95348</t>
  </si>
  <si>
    <t>Waiting Room</t>
  </si>
  <si>
    <t>St Mary's.</t>
  </si>
  <si>
    <t>While Waiting Room is not infested, it gains: "η: Resign. You flee the hospital, leaving your companions behind."</t>
  </si>
  <si>
    <t>01dae947-69da-4b50-a026-d0dd01957ea2</t>
  </si>
  <si>
    <t>Emergency Room</t>
  </si>
  <si>
    <t>While you are in the Emergency Room, each of your skill tests gets +1 difficulty for each card committed to it.</t>
  </si>
  <si>
    <t>036fbc7a-d0f6-4a21-ab20-58ca5d4c6022</t>
  </si>
  <si>
    <t>Experimental Therapies Ward</t>
  </si>
  <si>
    <t>ι When you investigate Experimental Therapies Ward, take 1 horror: Experimental Therapies Ward gets -2 shroud for this investigation.</t>
  </si>
  <si>
    <t>a13e6744-9f50-433c-bb4b-2080dfc468d3</t>
  </si>
  <si>
    <t>Records Office</t>
  </si>
  <si>
    <t>η η η If you are not engaged with any enemies: One at a time, take 4 basic investigate actions.</t>
  </si>
  <si>
    <t>0285ebb6-ae3a-44dd-8304-463e1307c291</t>
  </si>
  <si>
    <t>Stairwell</t>
  </si>
  <si>
    <t>ι After you enter Stairwell from a non-[[Basement]] location: Move to a [[Basement]] location. Then, test ί (4). If you fail, take 2 damage._x000D_
Forced - After Stairwell becomes infested: Make an infestation test.</t>
  </si>
  <si>
    <t>8db8d24b-acb8-4d01-aa13-bdde215a94b6</t>
  </si>
  <si>
    <t>Morgue</t>
  </si>
  <si>
    <t>St Mary's. Basement.</t>
  </si>
  <si>
    <t>Basement Door</t>
  </si>
  <si>
    <t>η: Test ά (3). If you succeed, discover 1 clue at this location. If you fail, take 1 horror._x000D_
Forced - After the last remaining clue is discovered from Morgue: Make an infestation test.</t>
  </si>
  <si>
    <t>1420b710-1e53-4d7f-9c85-40fd06aecc6d</t>
  </si>
  <si>
    <t>Operating Room</t>
  </si>
  <si>
    <t>η η: Choose an investigator at your location and test έ (4). If you succeed, heal 3 damage from that investigator. If you fail, deal 1 damage to that investigator.</t>
  </si>
  <si>
    <t>a74523c6-6037-4499-84bf-4401246e3c16</t>
  </si>
  <si>
    <t>Private Room</t>
  </si>
  <si>
    <t>η: Parley. Test ά (2). If you succeed, test έ (2). If you succeed, investigators at this location may spend 1 π clues as a group to give control of the set-aside Randolph Carter asset to an investigator at this location.</t>
  </si>
  <si>
    <t>4f315e5b-2958-4036-ae66-0b27d965024c</t>
  </si>
  <si>
    <t>The Infestation Begins...</t>
  </si>
  <si>
    <t>Place 1 damage token on the location with the most clues (the 2 locations with the most clues if there are 3 or 4 investigators in the game). For the remainder of the scenario, damage tokens on locations represent the spreading infestation. Each location with a damage token on it is an "infested" location._x000D_
Create a separate bag consisting of the following tokens: α, γ, γ, γ, γ, β, β. (If you do not have a second bag, use a cup, bowl, or other opaque container.) This is the infestation bag, and these are infestation tokens. They are not chaos tokens._x000D_
Some abilities will instruct the players to make an infestation test. An infestation test may cause the infestation to spread to other locations or endanger investigators at infested locations. To resolve an infestation test, an investigator must reveal a random infestation token from the infestation bag, and resolve the effects for that token as indicated on the other side of this card._x000D_
Flip this card over and place it next to the scenario reference card.</t>
  </si>
  <si>
    <t>Infestation Test</t>
  </si>
  <si>
    <t>Use these results only when revealing infestation tokens from the infestation bag._x000D_
α: Set this token aside. Search the encounter deck and discard pile for a [[Spider]] enemy and spawn it at the infested location nearest to any investigator._x000D_
γ: Set this token aside._x000D_
β: Set this token aside. Choose a location connected to an infested location. That location becomes infested (place a damage token on it to mark this.). Then, if there are 2 or more β tokens set aside, return all set-aside infestation tokens to the infestation bag.</t>
  </si>
  <si>
    <t>ed2a88cf-0b8e-405d-bda2-75b695904fd4</t>
  </si>
  <si>
    <t>Chained to the Waking World</t>
  </si>
  <si>
    <t>You get +1 ά and +1 έ._x000D_
ι After an δ symbol is revealed during a skill test at your location, exhaust Randolph Carter: Draw 2 cards.</t>
  </si>
  <si>
    <t>2c651b37-6007-4ff3-af6f-4a2929f3716c</t>
  </si>
  <si>
    <t>Dr. Shivani Maheswaran</t>
  </si>
  <si>
    <t>Emergency Physician</t>
  </si>
  <si>
    <t>Ally. Medic.</t>
  </si>
  <si>
    <t>θ Exhaust Dr. Shivani Maheswaran: Automatically evade an engaged Suspicious Orderly._x000D_
ι When an investigator reveals a α or β symbol on an infestation token, remove Dr. Shivani Maheswaran from the game: Cancel that token and return it to the infestation bag.</t>
  </si>
  <si>
    <t>21f0999f-1b75-48ce-a63e-58b129915975</t>
  </si>
  <si>
    <t>Suspicious Orderly</t>
  </si>
  <si>
    <t>Humanoid. Staff.</t>
  </si>
  <si>
    <t>Hunter._x000D_
Suspicious Orderly cannot attack, be attacked, or be dealt damage._x000D_
While Suspicious Orderly is engaged with you, you cannot investigate.</t>
  </si>
  <si>
    <t>9e01fd73-3281-4345-9087-8a3831017adf</t>
  </si>
  <si>
    <t>Corrupted Orderly</t>
  </si>
  <si>
    <t>Humanoid. Staff. Spider.</t>
  </si>
  <si>
    <t>Hunter._x000D_
Forced - When Corrupted Orderly is dealt 1 or more damage while at an infested location: Cancel 1 of that damage.</t>
  </si>
  <si>
    <t>f06ea8e3-84ca-4c65-924f-623d97dc6280</t>
  </si>
  <si>
    <t>Outbreak</t>
  </si>
  <si>
    <t>Revelation - Perform an infestation test. If you are at an infested location, treat each γ token you reveal as a α token instead.</t>
  </si>
  <si>
    <t>c0866625-0f2d-4223-9fea-c9ad99a30e24</t>
  </si>
  <si>
    <t>Agents of Atlach-Nacha</t>
  </si>
  <si>
    <t>Grey Weaver</t>
  </si>
  <si>
    <t>Monster. Spider.</t>
  </si>
  <si>
    <t>Prey - Lowest ί._x000D_
Hunter._x000D_
While Grey Weaver is ready, each investigator at its location cannot take move actions.</t>
  </si>
  <si>
    <t>731203b3-42bb-414b-b780-ca7205632611</t>
  </si>
  <si>
    <t>Will of the Spider-Mother</t>
  </si>
  <si>
    <t>Revelation - Test ά (3). If there is a [[Spider]] enemy at your location, you cannot commit cards to this skill test. If you fail, you cannot attack or investigate until the end of the round.</t>
  </si>
  <si>
    <t>8dcf798d-3cc6-49f1-b5be-8041be031dff</t>
  </si>
  <si>
    <t>Agents of Nyarlathotep</t>
  </si>
  <si>
    <t>The Crawling Mist</t>
  </si>
  <si>
    <t>Monster. Avatar.</t>
  </si>
  <si>
    <t>Prey - Most cards in hand._x000D_
Hunter. Massive._x000D_
Increase the difficulty for you to attack or attempt to evade The Crawling Mist by 1 for each card in your hand with an encounter card back.</t>
  </si>
  <si>
    <t>3471373e-4939-4820-aad3-4615d261e2b1</t>
  </si>
  <si>
    <t>Law of 'Ygiroth (Chaos)</t>
  </si>
  <si>
    <t>Peril. Hidden._x000D_
Revelation - Secretly add this card to your hand._x000D_
You cannot play cards or trigger abilities on player cards with an odd printed resource cost._x000D_
η Discard a player card with an even printed resource cost from your hand: Discard this card from your hand.</t>
  </si>
  <si>
    <t>618b2af7-8ee7-4a18-b409-33913a332cd0</t>
  </si>
  <si>
    <t>Law of 'Ygiroth (Discord)</t>
  </si>
  <si>
    <t>Peril. Hidden._x000D_
Revelation - Secretly add this card to your hand._x000D_
You cannot commit cards to skill tests with an odd number of total skill icons on them._x000D_
η Discard a player card with an even number of total skill icons from your hand: Discard this card from your hand.</t>
  </si>
  <si>
    <t>b1a94ce4-a4ab-49f1-be9f-3c29b2e070bc</t>
  </si>
  <si>
    <t>Law of 'Ygiroth (Pandemonium)</t>
  </si>
  <si>
    <t>Peril. Hidden._x000D_
Revelation - Secretly add this card to your hand._x000D_
You cannot play cards or commit cards to skill tests with an odd number of words in their title. (A word is any text separated by spaces.)_x000D_
η Discard a player card with an even number of words in its title from your hand: Discard this card from your hand.</t>
  </si>
  <si>
    <t>8c648668-8d19-4f1f-94f1-b368b5b2b927</t>
  </si>
  <si>
    <t>Whispers of Hypnos</t>
  </si>
  <si>
    <t>Peril._x000D_
Revelation - Choose a skill (ά, έ, ή, or ί). For the remainder of the round, each investigator gets -2 to the chosen skill. You cannot choose a skill that has already been chosen by a copy of this effect this round.</t>
  </si>
  <si>
    <t>86c1f9a1-31cf-4cd9-991c-08455112131b</t>
  </si>
  <si>
    <t>Creatures of the Underworld</t>
  </si>
  <si>
    <t>Hunting Ghast</t>
  </si>
  <si>
    <t>Humanoid. Monster. Ghast.</t>
  </si>
  <si>
    <t>Hunter._x000D_
Prey - Most damage._x000D_
Forced - After Hunting Ghast enters a location with a [[Gug]] enemy: Ready each [[Gug]] enemy at its location and deal 1 damage to Hunting Ghast.</t>
  </si>
  <si>
    <t>2c918533-8316-4f39-a1fa-4b3985361ae6</t>
  </si>
  <si>
    <t>Lumbering Gug</t>
  </si>
  <si>
    <t>Forced - After Lumbering Gug exhausts: It does not ready during the next upkeep phase.</t>
  </si>
  <si>
    <t>aacf5498-11ae-4db5-ab5f-776aba8dd70e</t>
  </si>
  <si>
    <t>Dreamer's Curse</t>
  </si>
  <si>
    <t>Revelation - Test ά (5). For each point you fail by, take 1 damage, to a maximum of 3 damage. For the purposes of counting icons committed to this skill test, έ, ή, and ί icons count as matching icons, and ά and ΰ icons count as 2 matching icons.</t>
  </si>
  <si>
    <t>772b2236-afbd-41e5-9890-06e3527855fb</t>
  </si>
  <si>
    <t>Somniphobia</t>
  </si>
  <si>
    <t>Revelation - Test ά (5). For each point you fail by, take 1 horror, to a maximum of 3 horror. For the purposes of counting icons committed to this skill test, έ, ή, and ί icons count as matching icons, and ά and ΰ icons count as 2 matching icons.</t>
  </si>
  <si>
    <t>d6249d61-f97f-4001-95c3-eb4d61bf6f48</t>
  </si>
  <si>
    <t>Deeper Slumber</t>
  </si>
  <si>
    <t>Revelation - Put Deeper Slumber into play in your threat area._x000D_
Your maximum hand size is reduced by 3 and is checked after each time you draw 1 or more cards._x000D_
ηη: Discard Deeper Slumber.</t>
  </si>
  <si>
    <t>9b5a9f67-d71a-4b7e-9a21-7e6e9cee5dd8</t>
  </si>
  <si>
    <t>Dreamlands</t>
  </si>
  <si>
    <t>Dreamlands Eclipse</t>
  </si>
  <si>
    <t>Revelation - Put Dreamlands Eclipse into play next to the agenda deck._x000D_
Forced - When you initiate an investigation: You must either take 1 horror, or your location gets +2 shroud for this investigation._x000D_
Forced - At the end of the round: Discard Dreamlands Eclipse.</t>
  </si>
  <si>
    <t>e3b020cb-ecc8-4b62-9651-8dfb92f3a6f9</t>
  </si>
  <si>
    <t>Prismatic Phenomenon</t>
  </si>
  <si>
    <t>Revelation - Put Prismatic Phenomenon into play in your threat area._x000D_
The first time you perform one of the following actions (draw, resource, or play) each round, it costs 1 additional action._x000D_
Forced - After you successfully investigate a location: Instead of discovering clues, discard Prismatic Phenomenon.</t>
  </si>
  <si>
    <t>a4949e5f-8dd4-4b1a-aedf-a13cc588da96</t>
  </si>
  <si>
    <t>Merging Realities</t>
  </si>
  <si>
    <t>Night Terrors</t>
  </si>
  <si>
    <t>Revelation - Put Night Terrors into play in your threat area._x000D_
Forced - After you fail a skill test: Reveal the top 3 cards of your deck. Draw each weakness revealed this way and remove the other cards from the game._x000D_
η If Night Terrors is in your threat area: Test ά (4). After this test ends, discard Night Terrors (even if you fail).</t>
  </si>
  <si>
    <t>bb3cdd08-e365-4a33-8d63-7fe5b764fc7c</t>
  </si>
  <si>
    <t>Glimpse of the Underworld</t>
  </si>
  <si>
    <t>Revelation - Put Glimpse of the Underworld into play in your threat area._x000D_
Forced - When you would take damage and/or horror: Take 1 additional damage or horror._x000D_
θ: Discard Glimpse of the Underworld. Then, take 1 damage and 1 horror.</t>
  </si>
  <si>
    <t>7e421c9b-09d3-4364-b578-12cf95add22b</t>
  </si>
  <si>
    <t>Threads of Reality</t>
  </si>
  <si>
    <t>Revelation - Attach to the non-permanent, non-weakness asset you control with the highest printed cost. Otherwise, Threads of Reality gains surge._x000D_
Treat attached asset as if its printed text box were blank (except for [[Traits]] and forced abilities)._x000D_
η Discard an asset you control: Discard Threads of Reality.</t>
  </si>
  <si>
    <t>8f1582a0-4686-4dfd-8b46-4f17944efdfe</t>
  </si>
  <si>
    <t>Spiders</t>
  </si>
  <si>
    <t>Spider of Leng</t>
  </si>
  <si>
    <t>Forced - When the enemy phase ends: Add 1 swarm card to each Swarm of Spiders enemy in play. If there are no Swarm of Spiders enemies in play, search the encounter deck and discard pile for a Swarm of Spiders enemy and spawn it at Spider of Leng's location with no swarm cards.</t>
  </si>
  <si>
    <t>9f74e2e9-5c16-4c0a-ab6b-a2dd7f8b1882</t>
  </si>
  <si>
    <t>Swarm of Spiders</t>
  </si>
  <si>
    <t>Creature. Spider.</t>
  </si>
  <si>
    <t>Swarming 2._x000D_
X equals the number of Swarm of Spiders enemies at this location (including swarm cards).</t>
  </si>
  <si>
    <t>8387d538-c00f-471e-b560-8b6d562e1cba</t>
  </si>
  <si>
    <t>Sickening Webs</t>
  </si>
  <si>
    <t>Revelation - Attach to your location._x000D_
Each [[Spider]] enemy at attached location gains retaliate and alert. Investigators cannot move out of attached location._x000D_
η: Test ή (3) or ί (3). If you succeed, discard Sickening Webs.</t>
  </si>
  <si>
    <t>c60cd08c-9edf-4fe5-92a0-6db650163861</t>
  </si>
  <si>
    <t>Corsairs</t>
  </si>
  <si>
    <t>Hunted by Corsairs</t>
  </si>
  <si>
    <t>Revelation - Attach Hunted by Corsairs to the current act._x000D_
Forced - When the act advances: Each investigator takes 2 damage._x000D_
Attached act gains: "η: Test έ (4) to outwit the Corsairs or ί (4) to sneak past them. If you succeed, discard Hunted by Corsairs."</t>
  </si>
  <si>
    <t>978e6e57-bb6a-4591-a9a7-dbd29ad32a99</t>
  </si>
  <si>
    <t>Corsair of Leng</t>
  </si>
  <si>
    <t>Spawn - Nearest [[City]] or [[Surface]] location._x000D_
Alert._x000D_
Forced - After Corsair of Leng attacks via its alert keyword: It gets -3 evade for the remainder of the phase.</t>
  </si>
  <si>
    <t>16a6c6ee-a522-409c-ab5b-24ea270ed93e</t>
  </si>
  <si>
    <t>Zoogs</t>
  </si>
  <si>
    <t>Furtive Zoog</t>
  </si>
  <si>
    <t>Creature. Zoog.</t>
  </si>
  <si>
    <t>Spawn - Engaged with the investigator at your location with the lowest ή._x000D_
Prey - Lowest ή._x000D_
Retaliate. Swarming 1.</t>
  </si>
  <si>
    <t>f145c66b-10dc-4c73-8bef-6e1db1b64ad1</t>
  </si>
  <si>
    <t>Stealthy Zoog</t>
  </si>
  <si>
    <t>Spawn - Engaged with the investigator at your location with the lowest ί._x000D_
Prey - Lowest ί._x000D_
Alert. Swarming 1.</t>
  </si>
  <si>
    <t>26117838-1d10-486b-9549-c84fd3c0dba3</t>
  </si>
  <si>
    <t>Inconspicuous Zoog</t>
  </si>
  <si>
    <t>Spawn - Any connecting location._x000D_
Hunter. Swarming 2._x000D_
Forced - When Inconspicuous Zoog is defeated: Cancel all excess damage and move any of its remaining swarm/host cards to a connecting location, exhausted.</t>
  </si>
  <si>
    <t>9a58c546-0f45-43f4-aaba-e96333c6ecdb</t>
  </si>
  <si>
    <t>Zoog Burrow</t>
  </si>
  <si>
    <t>Revelation - Test ί (3). For each point you fail by, add 1 swarm card to the nearest swarming [[Zoog]] enemy. If you fail and there are no such enemies in play, search the encounter deck and discard pile for a [[Zoog]] enemy, draw it, and shuffle the encounter deck.</t>
  </si>
  <si>
    <t>bc7358e4-789c-4b68-b1ca-809b2f2ccb9d</t>
  </si>
  <si>
    <t>95ab38d9-176e-451b-8d4d-e3d3c32f4d12</t>
  </si>
  <si>
    <t>5f100052-d08e-4d6e-b410-15c2bc900deb</t>
  </si>
  <si>
    <t>ba844577-1948-4067-adcd-74864f906962</t>
  </si>
  <si>
    <t>75fc0232-67a9-4507-bd1b-9b66fc0c413b</t>
  </si>
  <si>
    <t>ce3f5fac-f9cf-49e8-86db-52be4274bc8e</t>
  </si>
  <si>
    <t>d75b87c4-c7ed-4b63-a22c-26b53ce329b1</t>
  </si>
  <si>
    <t>BH</t>
  </si>
  <si>
    <t>The Eternal Slumber</t>
  </si>
  <si>
    <t>Easy / Standard_x000D_
α: -X. X is the strength of the abyss._x000D_
β: Reveal another token. If you fail and the strength of the abyss is 3 or lower, add 1 strength to the abyss._x000D_
γ: 0. For this skill test, ignore all bonuses to your skill value._x000D_
δ: -5. You may add 1 strength to the abyss to automatically succeed, instead.</t>
  </si>
  <si>
    <t>Hard / Expert_x000D_
α: -X. X is 1 more than the strength of the abyss._x000D_
β: Reveal another token. If you fail and the strength of the abyss is 5 or lower, add 1 strength to the abyss._x000D_
γ: -2. For this skill test, ignore all bonuses to your skill value._x000D_
δ: -6. You may add 1 strength to the abyss to automatically succeed, instead.</t>
  </si>
  <si>
    <t>c550a922-9c5f-4a6b-bab7-57c6726716fd</t>
  </si>
  <si>
    <t>Jessie's Request</t>
  </si>
  <si>
    <t>η Investigators spend 1 π clues, as a group: Randomly spawn one of the enemies beneath the scenario reference card.</t>
  </si>
  <si>
    <t>They're on to You</t>
  </si>
  <si>
    <t>Find each [[Brotherhood]] enemy currently in play (at a location or in an investigator's threat area). Place each of those enemies beneath the scenario reference card, out of play._x000D_
Shuffle each set-aside copy of Abyssal Revenant into the encounter deck, along with the encounter discard pile._x000D_
Add 1 strength to the abyss._x000D_
If it is act 1, advance the current act.</t>
  </si>
  <si>
    <t>316af1a0-ffac-48d7-a4b9-f6c157327d49</t>
  </si>
  <si>
    <t>Curse of the Abyss</t>
  </si>
  <si>
    <t>Forced - If the strength of the abyss is 0: Set the strength of the abyss to 1. Each investigator draws 1 card and heals 1 horror.</t>
  </si>
  <si>
    <t>The Abyss Grows…</t>
  </si>
  <si>
    <t>Shuffle the encounter discard pile into the encounter deck._x000D_
Add 1 strength to the abyss.</t>
  </si>
  <si>
    <t>0c545af9-7363-4430-b350-73f636214099</t>
  </si>
  <si>
    <t>Garden of Shadows</t>
  </si>
  <si>
    <t>Forced - If the strength of the abyss is 0 or 1: Set the strength of the abyss to 2. Each investigator either draws 1 card or heals 1 horror.</t>
  </si>
  <si>
    <t>Add 1 strength to the abyss._x000D_
Each investigator who has not resigned is defeated and is "taken by the abyss."</t>
  </si>
  <si>
    <t>d7f62f90-8f21-46fe-8e6e-80dc5ee2f074</t>
  </si>
  <si>
    <t>Curse of Endless Sleep</t>
  </si>
  <si>
    <t>Forced - After a [[Brotherhood]] enemy enters the victory display: Flip it over and resolve the text on its other side._x000D_
Objective - Find as many [[Evidence]] cards as you can and add them to the victory display before the agenda advances. (If there are 6 [[Evidence]] cards in the victory display, advance.)</t>
  </si>
  <si>
    <t>Into the Desert</t>
  </si>
  <si>
    <t>Create the exploration deck by shuffling together each of the set-aside [[Expedition]] locations. Search the encounter deck and discard pile for 1 copy each of the following treachery cards: Terror Under the Pyramids, Swarm of Locusts, Abyssal Reach, Eclipse, and Sandstorm. Shuffle those cards into the exploration deck, then shuffle the encounter discard pile into the encounter deck._x000D_
Each investigator loses each of his or her clues._x000D_
Remove all clues from each [[Cairo]] location.</t>
  </si>
  <si>
    <t>37bca18b-3e9a-4269-9909-bb14ac77525b</t>
  </si>
  <si>
    <t>Secrets in the Sand</t>
  </si>
  <si>
    <t>Clues cannot be placed on [[Cairo]] locations._x000D_
η If you are at an [[Expedition]] location: Explore. Draw the top card of the exploration deck. If it is a connecting location, put it into play and move to it.</t>
  </si>
  <si>
    <t>All for the Chosen</t>
  </si>
  <si>
    <t>Place 1 π damage tokens on each [[Cairo]] location. Until the end of the scenario, damage tokens on locations represent "dreamers" - victims who have been cursed with eternal slumber._x000D_
Put the set-aside Neith enemy into play in the Streets of Cairo.</t>
  </si>
  <si>
    <t>b8eec1aa-6855-4304-aa84-335c400fcb24</t>
  </si>
  <si>
    <t>The Hour of Judgment</t>
  </si>
  <si>
    <t>η If there is a dreamer at your location: Test ά or έ (X) to attempt to awaken a dreamer. X is the strength of the abyss. If you succeed, move a dreamer from your location to Neith, as damage._x000D_
Objective - If Neith has no remaining health, advance.</t>
  </si>
  <si>
    <t>The Harbinger's End</t>
  </si>
  <si>
    <t>The investigators must decide (choose wisely):_x000D_
-Destroy Neith once and for all.
By choosing this option, you believe those still under the curse of eternal slumber will be freed. (→R1)_x000D_
- Spare Neith and listen to what she has to say.
By choosing this option, you believe you can learn more about the one Neith refers to as Xzharah. (→R2)</t>
  </si>
  <si>
    <t>b5def4cb-4ffb-4f1c-a392-bc04f93547ef</t>
  </si>
  <si>
    <t>Streets of Cairo</t>
  </si>
  <si>
    <t>Cairo.</t>
  </si>
  <si>
    <t>Forced - After you discover 2 or more clues at Streets of Cairo during a single turn: Take 1 horror._x000D_
η If there are no clues on Streets of Cairo: Test ί (4). If you succeed, remember that you have "found a door marked with blood."</t>
  </si>
  <si>
    <t>2bf4d54f-e282-4ef1-b053-e3ede9fed974</t>
  </si>
  <si>
    <t>Cairo Bazaar</t>
  </si>
  <si>
    <t>While you are at Cairo Bazaar, reduce the cost of each [[Item]] asset you play by 1 and increase the cost of each other asset you play by 1._x000D_
η Spend 10 resources: Remember that you "bought an odd trinket."</t>
  </si>
  <si>
    <t>46f53b5c-30ec-49f6-b9a3-a985bf61d11b</t>
  </si>
  <si>
    <t>Museum of Egyptian Antiquities</t>
  </si>
  <si>
    <t>η: Test έ (5). If you succeed, remember that you have "discovered an ancient tablet."_x000D_
Forced - After you investigate Museum of Egyptian Antiquities, if you did not succeed by at least 2: Lose all remaining actions and immediately end your turn.</t>
  </si>
  <si>
    <t>f3f9f4c2-2d2a-43f4-abaf-fe22fa3fa661</t>
  </si>
  <si>
    <t>Outskirts of Cairo</t>
  </si>
  <si>
    <t>η Choose and discard 5 cards from your hand: Remember that you have "sabotaged the train."_x000D_
η If no investigator has "sabotaged the train": Resign. You take the train out of Cairo, leaving the dreamers to their unceasing nightmare.</t>
  </si>
  <si>
    <t>244db7a4-79c5-4b44-a3e1-8c367f6448fc</t>
  </si>
  <si>
    <t>Temple Courtyard</t>
  </si>
  <si>
    <t>While there are no clues remaining on Temple Courtyard, each copy of Humble Supplicant loses aloof._x000D_
η: Test ή (5). If you succeed, remember that you have "broken into a deserted temple."</t>
  </si>
  <si>
    <t>ba44ac48-e286-4f18-aac0-a06dcb16842d</t>
  </si>
  <si>
    <t>Neith</t>
  </si>
  <si>
    <t>Harbinger of the Abyss</t>
  </si>
  <si>
    <t>Humanoid. Brotherhood. Elite.</t>
  </si>
  <si>
    <t>Hunter. Retaliate_x000D_
Forced - After horror from Neith's attack defeats an investigator or [[Ally]] asset: That card is "taken by the abyss."_x000D_
Forced - When Neith is dealt any amount of damage from an attack, if there is at least 1 dreamer at her location: Remove 1 dreamer from her location and cancel 1 damage just dealt to Neith.</t>
  </si>
  <si>
    <t>eb866de6-adfd-477c-9497-4d7c018fb6fc</t>
  </si>
  <si>
    <t>Humble Supplicant</t>
  </si>
  <si>
    <t>Spawn - Any [[Cairo]] location (with a [[Brotherhood]] enemy, if able)._x000D_
Aloof._x000D_
Each [[Brotherhood]] enemy at Humble Supplicant's location cannot be attacked or damaged._x000D_
Forced - When the enemy phase ends: Move Humble Supplicant once toward the nearest [[Brotherhood]] enemy, if able.</t>
  </si>
  <si>
    <t>55a4cdfe-8f94-40db-8b56-a979a60b0bc3</t>
  </si>
  <si>
    <t>Creature from the Abyss</t>
  </si>
  <si>
    <t>Monster. Dreamlands.</t>
  </si>
  <si>
    <t>Retaliate._x000D_
X is the strength of the abyss._x000D_
Forced - After Creature from the Abyss enters play, if the strength of the abyss is 2 or lower: Add 1 strength to the abyss._x000D_
Forced - After Creature from the Abyss is defeated, if the strength of the abyss is 5 or higher: Remove 1 strength from the abyss.</t>
  </si>
  <si>
    <t>879846b9-e547-4c81-8119-ad8974e02798</t>
  </si>
  <si>
    <t>The Night's Usurper</t>
  </si>
  <si>
    <t>Easy / Standard_x000D_
α: -X. X is the strength of the abyss._x000D_
β: Reveal another token. If you fail and the strength of the abyss is 3 or lower, add 1 strength to the abyss._x000D_
γ: -1. For this skill test, ignore all bonuses to your skill value._x000D_
δ: -4. If you succeed and the strength of the abyss is 4 or more, remove 1 strength from the abyss.</t>
  </si>
  <si>
    <t>Hard / Expert_x000D_
α: -X. X is 1 more than the strength of the abyss._x000D_
β: Reveal another token. If you fail and the strength of the abyss is 5 or lower, add 1 strength to the abyss._x000D_
γ: -3. For this skill test, ignore all bonuses to your skill value._x000D_
δ: -5. If you succeed and the strength of the abyss is 4 or more, remove 1 strength from the abyss.</t>
  </si>
  <si>
    <t>74e12e40-655d-4475-b829-3d2feae1b6a5</t>
  </si>
  <si>
    <t>The Brotherhood Bides Their Time</t>
  </si>
  <si>
    <t>The Brotherhood's Revenge</t>
  </si>
  <si>
    <t>In player order, each investigator takes a random [[Brotherhood]] enemy from under the scenario reference card and spawns it engaged with him or her, until either each of the enemies under the scenario reference card have been spawned, or each investigator has spawned an enemy in this way. Spawn each enemy still remaining under the scenario reference card, one at a time, at empty locations farthest from the Expedition Camp. (Ignore all "Spawn" instructions on those enemies.)_x000D_
Shuffle the encounter discard pile into the encounter deck._x000D_
Add 1 strength to the abyss.</t>
  </si>
  <si>
    <t>53072c63-caa4-4d1b-b602-d6748c68a4f3</t>
  </si>
  <si>
    <t>Schemes in the Dark Beyond</t>
  </si>
  <si>
    <t>Investigators cannot Parley with [[Brotherhood]] enemies._x000D_
Each [[Brotherhood]] enemy cannot be flipped over._x000D_
Forced - After the 4th or 8th doom is placed on this agenda: Add 1 strength to the abyss.</t>
  </si>
  <si>
    <t>A Prophecy Fulfilled</t>
  </si>
  <si>
    <t>Each investigator is defeated._x000D_
Each defeated investigator is "taken by the abyss."_x000D_
(→R1)</t>
  </si>
  <si>
    <t>d54f38db-9a1e-4ef2-8d64-d5b6f4c0dcfc</t>
  </si>
  <si>
    <t>Search for the Gate</t>
  </si>
  <si>
    <t>Construct of the Ancients</t>
  </si>
  <si>
    <t>Shuffle the set-aside Eldritch Gate into the exploration deck.</t>
  </si>
  <si>
    <t>94a8e53e-27e1-4fa4-9e57-1271d441d187</t>
  </si>
  <si>
    <t>Into the Gate</t>
  </si>
  <si>
    <t>η: Explore. Draw the top card of the exploration deck. If it is a connecting location, put it into play and move to it._x000D_
Objective - At the end of the round, if each undefeated investigator is at the Eldritch Gate and they spend the requisite number of clues, advance.</t>
  </si>
  <si>
    <t>Delve into Dreams</t>
  </si>
  <si>
    <t>Put the set-aside A Dream Betwixt location into play, revealed location side faceup. Move each investigator there and remove all other locations from the game. Spawn the set-aside Xzharah enemy in A Dream Betwixt, enemy side faceup. Shuffle each set-aside copy of Dreaded Shantak into the encounter deck, along with the encounter discard pile._x000D_
If the Ancient Ankh asset is in play:_x000D_
Your Ankh amulet glows with a blinding light, causing Xzharah to recoil. "So, Neith has abandoned us!" Xzharah hisses._x000D_
Exhaust Xzharah and disengage him from all investigators.</t>
  </si>
  <si>
    <t>65c41f55-1d72-4052-8ea9-c5a2bcb330a5</t>
  </si>
  <si>
    <t>Objective - "We have to find a way to stop him!" If Xzharah is exhausted, an investigator at his location may choose to advance. (Limit once per phase.)</t>
  </si>
  <si>
    <t>Defeating Xzharah</t>
  </si>
  <si>
    <t>If at least three of the following requirements are met, you may proceed to (→R2). Otherwise, flip this act back to its "a" side._x000D_
- Xzharah must have no remaining health._x000D_
- Investigators must possess 3 π clues, as a group._x000D_
- The strength of the abyss must be 4 or lower._x000D_
- The investigators must have "freed the nightgaunts," "warned the denizens of Sarkomand," and "pled for help."</t>
  </si>
  <si>
    <t>766a822a-c927-4faf-b1c1-1b5cce3a8d10</t>
  </si>
  <si>
    <t>A Dream Betwixt</t>
  </si>
  <si>
    <t>Forced - If the strength of the abyss is 0: Set the strength of the abyss to 1._x000D_
ι After you successfully investigate A Dream Betwixt: Flip it over and resolve the text on its other side.</t>
  </si>
  <si>
    <t>154eac12-b7ef-406a-a3dc-a51f81cb7b20</t>
  </si>
  <si>
    <t>The Great Abyss</t>
  </si>
  <si>
    <t>Otherworld. Dreamlands.</t>
  </si>
  <si>
    <t>ι After you discover the last remaining clue from The Great Abyss: Flip it over and resolve the text on its other side.</t>
  </si>
  <si>
    <t>66a80678-c5ed-48e8-9029-df6ecb33247b</t>
  </si>
  <si>
    <t>Tunnels under Ngranek</t>
  </si>
  <si>
    <t>η: Test έ (2) to search for signs of life within these jagged tunnels. If you succeed, flip this location over and resolve the text on its other side.</t>
  </si>
  <si>
    <t>c0b5e8c9-477d-43b2-9eb8-467e08cd758a</t>
  </si>
  <si>
    <t>Stairway to Sarkomand</t>
  </si>
  <si>
    <t>η: Test ά (3) to navigate the bewildering and gravity-defying staircase. If you succeed, flip this location over and resolve the text on its other side.</t>
  </si>
  <si>
    <t>5b9fd7fb-e348-4a84-8ee0-8b5a8b413846</t>
  </si>
  <si>
    <t>Mist-Filled Caverns</t>
  </si>
  <si>
    <t>η: Test ί (4) to traverse through the mist. If you succeed, flip this location over and resolve the text on its other side.</t>
  </si>
  <si>
    <t>ee6c2283-3de1-42c3-b5a5-242cebabf330</t>
  </si>
  <si>
    <t>Xzharah</t>
  </si>
  <si>
    <t>Chosen of the Beast</t>
  </si>
  <si>
    <t>Servitor. Dreamlands. Conspirator. Elite.</t>
  </si>
  <si>
    <t>Hunter. Retaliate_x000D_
Xzharah gets +5 π health and cannot be defeated by damage._x000D_
η: Parley. Test ά or έ (X), where X is the strength of the abyss. If you succeed, flip this enemy over and resolve the text on its other side. If you fail, Xzharah attacks you.</t>
  </si>
  <si>
    <t>c640bf96-f9c8-4f45-a60a-872d992eb8f1</t>
  </si>
  <si>
    <t>Eldritch Gate</t>
  </si>
  <si>
    <t>Expedition. Desert. Ruins</t>
  </si>
  <si>
    <t>6b903f61-70aa-4436-8985-d164cace2f70</t>
  </si>
  <si>
    <t>Dreaded Shantak</t>
  </si>
  <si>
    <t>Monster. Dreamlands. Shantak.</t>
  </si>
  <si>
    <t>Hunter. Massive._x000D_
While Dreaded Shantak is ready, η and ι abilities on its location cannot be triggered.</t>
  </si>
  <si>
    <t>72d4d7b8-2eac-4de9-9dd9-4a37183a1404</t>
  </si>
  <si>
    <t>Speaker for the Dark Pharaoh</t>
  </si>
  <si>
    <t>While the strength of the abyss is 2 or lower, Speaker for the Dark Pharaoh gains hunter._x000D_
Forced - After Speaker for the Dark Pharaoh is defeated, if the strength of the abyss is 3 or higher: Each investigator at its location takes 1 damage.</t>
  </si>
  <si>
    <t>586f9776-c2f6-468b-afff-63b625902eae</t>
  </si>
  <si>
    <t>Brotherhood of the Beast</t>
  </si>
  <si>
    <t>Dr. Layla El Masri</t>
  </si>
  <si>
    <t>Hieratic Translator</t>
  </si>
  <si>
    <t>Humanoid. Cultist. Brotherhood.</t>
  </si>
  <si>
    <t>Spawn - Expedition Camp._x000D_
η As a group, investigators at Dr. Layla El Masri's location discard cards from hand with a total of at least 4 ά icons among them: Parley. Add Dr. Layla El Masri to the victory display.</t>
  </si>
  <si>
    <t>24eef006-8861-42ea-aa67-950288e1e1de</t>
  </si>
  <si>
    <t>Dr. Wentworth Moore</t>
  </si>
  <si>
    <t>Dark Supplicant</t>
  </si>
  <si>
    <t>Spawn - Museum of Egyptian Antiquities._x000D_
Dr. Wentworth Moore cannot be damaged while there is a ready [[Monster]] enemy at his location._x000D_
Forced - After Dr. Wentworth Moore enters play: Search the encounter deck and discard pile for a [[Monster]] enemy, and spawn it at his location. Shuffle the encounter deck.</t>
  </si>
  <si>
    <t>76f6e377-7192-4ed6-81a7-6c8852090f8f</t>
  </si>
  <si>
    <t>Nadia Nimr</t>
  </si>
  <si>
    <t>Priestess of the Beast</t>
  </si>
  <si>
    <t>Spawn - Temple Courtyard._x000D_
η: Parley. Test ά (7). You may take up to 3 horror to reduce the difficulty of this test by 2 for each horror taken in this way. If you succeed, add Nadia Nimr to the victory display. If you fail, Nadia Nimr attacks you.</t>
  </si>
  <si>
    <t>01a1356f-be9c-4cf2-94f8-544baa853d9f</t>
  </si>
  <si>
    <t>Farid</t>
  </si>
  <si>
    <t>Seedy Salesman</t>
  </si>
  <si>
    <t>Spawn - Cairo Bazaar._x000D_
η: Parley. Test έ (7). You may spend up to 5 resources to reduce the difficulty of this test by 1 for each resource spent in this way. If you succeed, add Farid to the victory display. If you fail, Farid attacks you.</t>
  </si>
  <si>
    <t>8728bd85-572a-4ec9-b518-6e2676f267eb</t>
  </si>
  <si>
    <t>Nassor</t>
  </si>
  <si>
    <t>Brotherhood Operative</t>
  </si>
  <si>
    <t>Spawn - Streets of Cairo._x000D_
Retaliate._x000D_
Forced - When Nassor attacks: Either add 1 strength to the abyss, or Nassor deals +1 damage and +1 horror for this attack (+2 damage and +2 horror instead if it is the enemy phase).</t>
  </si>
  <si>
    <t>9ebacd6c-7f37-4051-98ea-530141d18e30</t>
  </si>
  <si>
    <t>Professor Nathaniel Taylor</t>
  </si>
  <si>
    <t>Keeper of Antiquities</t>
  </si>
  <si>
    <t>Spawn - Outskirts of Cairo._x000D_
η As a group, investigators at Professor Nathaniel Taylor's location discard cards from hand with a total of at least 4 έ icons among them: Parley. Add Professor Nathaniel Taylor to the victory display.</t>
  </si>
  <si>
    <t>c9035367-ebae-436e-9c7d-258c7a55baed</t>
  </si>
  <si>
    <t>Sands of Egypt</t>
  </si>
  <si>
    <t>Expedition. Cairo. Desert.</t>
  </si>
  <si>
    <t>η: Parley. Test έ (2) to speak to the researchers stationed here. If you succeed, look at the top X cards of either the exploration deck or the encounter deck, where X is the amount you succeeded by. Place up to 2 of those cards on the bottom of that deck. Place the rest on top in a random order. (Group limit once per round.)</t>
  </si>
  <si>
    <t>ac578029-0943-47e4-b3ed-8575726802c7</t>
  </si>
  <si>
    <t>Nile River</t>
  </si>
  <si>
    <t>Expedition. Desert.</t>
  </si>
  <si>
    <t>Forced - After you enter Nile River: You must either take 1 horror or discard 1 card from your hand at random.</t>
  </si>
  <si>
    <t>35c1b734-a07b-48b2-8534-183323cb0a42</t>
  </si>
  <si>
    <t>Sands of Dashur</t>
  </si>
  <si>
    <t>As an additional cost for you to explore while at Sands of Dashur, you must spend 2 resources.</t>
  </si>
  <si>
    <t>520ddac8-f418-447d-949c-65e033ef3f0a</t>
  </si>
  <si>
    <t>Dunes of the Sahara</t>
  </si>
  <si>
    <t>Forced - After you enter Dunes of the Sahara: You must either take 1 damage or lose 1 action.</t>
  </si>
  <si>
    <t>7de5bf96-e674-480b-8944-631473054e2d</t>
  </si>
  <si>
    <t>Untouched Vault</t>
  </si>
  <si>
    <t>Expedition. Ruins.</t>
  </si>
  <si>
    <t>Each [[Monster]] enemy at Untouched Vault gets +2 fight and +1 damage value._x000D_
η If a [[Monster]] enemy was defeated here this round: You stare into the creature's dead eyes, and the abyss stares back at you. Remove 1 strength from the abyss. (Group limit once per game.)</t>
  </si>
  <si>
    <t>f2cd435e-4d43-4128-be45-1a0a04dfa933</t>
  </si>
  <si>
    <t>Faceless Sphinx</t>
  </si>
  <si>
    <t>Expedition. Desert. Ruins.</t>
  </si>
  <si>
    <t>X is the strength of the abyss._x000D_
η If you have at least 2 clues: You stare into the sphinx's empty face, and the abyss stares back at you. Place 2 of your clues on Faceless Sphinx and remove 1 strength from the abyss. (Group limit once per game.)</t>
  </si>
  <si>
    <t>f8882391-13f3-4e1e-9614-79bd1d12c4de</t>
  </si>
  <si>
    <t>Desert Oasis</t>
  </si>
  <si>
    <t>η: Heal 1 damage and 1 horror. (Limit once per game.)_x000D_
η η If you have no horror on you: You stare into the reflection on the water, and the abyss stares back at you. Take 3 horror and remove 1 strength from the abyss. (Group limit once per game.)</t>
  </si>
  <si>
    <t>6f4123d8-df0f-40a2-a5c2-e01c8b676444</t>
  </si>
  <si>
    <t>Sandswept Ruins</t>
  </si>
  <si>
    <t>While you are investigating Sandswept Ruins, if you have 5 or more cards in your hand, it gets +3 shroud._x000D_
η η If you have 8 or more cards in your hand: You stare into the swirling sands, and the abyss stares back at you. Discard 3 cards from your hand at random and remove 1 strength from the abyss. (Group limit once per game.)</t>
  </si>
  <si>
    <t>6f83b462-b1b7-4a89-bf88-451107cfd372</t>
  </si>
  <si>
    <t>Abyssal Revenant</t>
  </si>
  <si>
    <t>Spawn - Farthest [[Desert]] or [[Otherworld]] location._x000D_
Hunter._x000D_
Forced - When Abyssal Revenant attacks during the enemy phase: Instead of its standard damage, it deals X damage for this attack, where X is the strength of the abyss. If this attack defeats an investigator or [[Ally]] asset, that card is "taken by the abyss."</t>
  </si>
  <si>
    <t>c493e428-7118-4511-9061-443fc721553f</t>
  </si>
  <si>
    <t>Thing in the Sarcophagus</t>
  </si>
  <si>
    <t>Spawn - The location with the most clues._x000D_
While its location has no clues, Thing in the Sarcophagus gains hunter._x000D_
Forced - While Thing in the Sarcophagus is ready, when you attack it by any means except a [[Ranged]], [[Firearm]], or [[Spell]] card: It immediately attacks you.</t>
  </si>
  <si>
    <t>ced0d25b-5bb6-4d95-8d5c-ee67dccbcaad</t>
  </si>
  <si>
    <t>Eclipse</t>
  </si>
  <si>
    <t>While you are at an [[Otherworld]] location, Eclipse gains peril._x000D_
Revelation - Test ά (3). If you fail, you must either take 2 horror or choose an [[Ally]] asset at your location to be defeated and "taken by the abyss."</t>
  </si>
  <si>
    <t>06868b35-d2fd-4f77-8fac-8ea464edc3eb</t>
  </si>
  <si>
    <t>Sandstorm</t>
  </si>
  <si>
    <t>While you are at an [[Desert]] location, Sandstorm gains peril._x000D_
Revelation - Test ί (3). If you fail, you must either take 2 damage or discard an asset you control.</t>
  </si>
  <si>
    <t>1d584d46-29fc-4236-bb66-3448657afbd5</t>
  </si>
  <si>
    <t>Terror Under the Pyramids</t>
  </si>
  <si>
    <t>Revelation - Test ά (3). For each point you fail by, choose and discard 1 card from your hand. For each card you cannot discard, take 1 horror.</t>
  </si>
  <si>
    <t>47ba1874-fa8f-4ebf-a13a-6ba8443d06da</t>
  </si>
  <si>
    <t>Swarm of Locusts</t>
  </si>
  <si>
    <t>Revelation - Test ί (3). For each point you fail by, lose 1 resource. For each resource you cannot lose, take 1 damage.</t>
  </si>
  <si>
    <t>df1ce467-6df1-4f5a-ad8d-45da14b0e356</t>
  </si>
  <si>
    <t>Slumber</t>
  </si>
  <si>
    <t>Curse. Abyss.</t>
  </si>
  <si>
    <t>Revelation - Put Slumber into play in your threat area if there is no copy of it in your threat area (if there is, discard Slumber and it gains surge instead)._x000D_
Forced - When your turn begins: Test ά (2). If you fail, lose 1 action._x000D_
ι After strength is removed from the abyss: Discard Slumber.</t>
  </si>
  <si>
    <t>8f1bf2cb-5bf1-41f6-9cea-f4ad0a5faac5</t>
  </si>
  <si>
    <t>Dark Sacrifice</t>
  </si>
  <si>
    <t>Revelation - Put Dark Sacrifice into play in your threat area if there is no copy of it in your threat area (if there is, discard Dark Sacrifice and it gains surge instead)._x000D_
Forced - After strength is added to the abyss: Take 1 damage and 1 horror. If this effect defeats an [[Ally]] asset or investigator, that card is "taken by the abyss."_x000D_
ι After strength is removed from the abyss: Discard Dark Sacrifice.</t>
  </si>
  <si>
    <t>bb043564-e25b-405d-a70d-3438a4ccfa85</t>
  </si>
  <si>
    <t>The Black Wind</t>
  </si>
  <si>
    <t>Peril._x000D_
Revelation - You must either (choose one):_x000D_
- Add 1 strength to the abyss and add The Black Wind to the victory display._x000D_
- Discard The Black Wind and draw the top card of the encounter deck to replace it. You get -1 to all skills for the remainder of this round.</t>
  </si>
  <si>
    <t>f7aa7f85-2d45-4e5c-bf57-065e688acdb1</t>
  </si>
  <si>
    <t>Abyssal Reach</t>
  </si>
  <si>
    <t>Revelation - Test ά (X). X is the strength of the abyss. If you fail by: _x000D_
- exactly 1, place 1 of your clues on your location._x000D_
- exactly 2, take 1 damage and 1 horror._x000D_
- exactly 3, you cannot play cards this round._x000D_
- 4 or more, place 1 doom on the current agenda (this effect may cause the current agenda to advance).</t>
  </si>
  <si>
    <t>6deae397-9ef0-4b65-94f8-7f18ae67bb2b</t>
  </si>
  <si>
    <t>Abyssal Tribute</t>
  </si>
  <si>
    <t>John &amp; Jessie Burke</t>
  </si>
  <si>
    <t>Relentless in Pursuit</t>
  </si>
  <si>
    <t>Ally. Government.</t>
  </si>
  <si>
    <t>η Exhaust John &amp; Jessie Burke and deal them 1 damage: Choose an enemy in a connecting location. Move to that enemy's location. Then, engage that enemy and deal it 1 damage.</t>
  </si>
  <si>
    <t>57c884d2-9b48-4eaa-b226-9332f5eb1519</t>
  </si>
  <si>
    <t>Ancient Ankh</t>
  </si>
  <si>
    <t>Aegis of the Harbinger</t>
  </si>
  <si>
    <t>Uses (4 charges)._x000D_
ι When an investigator at your location would fail a test by more than 1, spend 1 charge: That investigator fails by 1, instead (even if he or she automatically failed).</t>
  </si>
  <si>
    <t>90558a35-b226-4cd9-bd3e-303a6af0053b</t>
  </si>
  <si>
    <t>Abyssal Gifts</t>
  </si>
  <si>
    <t>Khopesh of the Abyss</t>
  </si>
  <si>
    <t>Manifested Malice</t>
  </si>
  <si>
    <t>Item. Weapon. Relic. Melee.</t>
  </si>
  <si>
    <t>η: Fight. You get +3 ή and deal +1 damage for this attack._x000D_
ι After you defeat an enemy using Khopesh of the Abyss, exhaust it: Choose an enemy at another revealed location. Disengage from each other enemy engaged with you and move to the chosen enemy's location. Then, engage that enemy.</t>
  </si>
  <si>
    <t>4e61c5c5-b665-472e-a324-ee76c1e6a727</t>
  </si>
  <si>
    <t>Summoned Nightgaunt</t>
  </si>
  <si>
    <t>Gift from Nodens</t>
  </si>
  <si>
    <t>ίέΰ</t>
  </si>
  <si>
    <t>Monster. Nightgaunt. Power.</t>
  </si>
  <si>
    <t>Uses (3 whistles). If Summoned Nightgaunt has no whistles, or if it leaves play, remove it from the game._x000D_
η Spend 1 whistle and take 1 horror: Evade. Automatically evade all non-[[Nightgaunt]] enemies engaged with you and move to any revealed location.</t>
  </si>
  <si>
    <t>5065b85b-3f4f-4072-a981-abb31b1e7633</t>
  </si>
  <si>
    <t>dda6ee27-e9d1-458c-9e44-9e9c05cc0986</t>
  </si>
  <si>
    <t>BI</t>
  </si>
  <si>
    <t>Uses (6 ammo)._x000D_
η Spend 1 ammo: Fight. You deal +1 damage for this attack._x000D_
θ Spend 1 resource: Return .32 Colt to your hand.</t>
  </si>
  <si>
    <t>c21457fa-89c3-4ab6-9f8c-e185f54350c9</t>
  </si>
  <si>
    <t>Fast. Play when you activate the Fight ability on a [[Firearm]] asset._x000D_
Spend 1 additional ammo token from that asset. When you reveal chaos tokens for this attack, reveal 1 additional chaos token. Choose one to resolve and ignore the other.</t>
  </si>
  <si>
    <t>728d7391-7b94-49f6-b51a-53ae7212f992</t>
  </si>
  <si>
    <t>άάά</t>
  </si>
  <si>
    <t>For each clue you have (to a maximum of 3), either heal 2 horror from an investigator at your location or discard a [[Terror]] card at your location.</t>
  </si>
  <si>
    <t>1971a1d6-9883-4e9a-ab34-f814c9414338</t>
  </si>
  <si>
    <t>Markings of Isis</t>
  </si>
  <si>
    <t>You can only include this asset in your deck by upgrading it from Archaic Glyphs (Untranslated), and only if "you have translated the glyphs" in your Campaign Log._x000D_
Uses (3 charges)._x000D_
η Spend 1 charge: Investigate. If you succeed, you may put an asset with printed cost of X or lower into play from your hand. X is the amount you succeeded by.</t>
  </si>
  <si>
    <t>50336e12-f86f-4473-919d-c204f4282784</t>
  </si>
  <si>
    <t>θ During your turn, exhaust Stealth: Evade. The chosen enemy gets -2 evade for this evasion attempt. If you successfully evade the enemy, disengage with it but do not exhaust it. Until the end of your turn, that enemy cannot engage you.</t>
  </si>
  <si>
    <t>a830a18b-0c79-4f02-b3de-c2bd2f1083ef</t>
  </si>
  <si>
    <t>Uses (3 charges). If Suggestion has no charges, discard it._x000D_
η Exhaust Suggestion: Evade. Add your ά value to your skill value for this evasion attempt. If you do not succeed by at least 2, remove 1 charge from Suggestion.</t>
  </si>
  <si>
    <t>75269548-4a48-4fbc-b974-5449610feb34</t>
  </si>
  <si>
    <t>Uses (4 charges)._x000D_
η Exhaust Alchemical Transmutation, spend 1 charge: Test ά (0). For each point you succeed by, gain 1 resource (to a maximum of 4). If a α, β, γ, δ, or ζ symbol is revealed during this test, take 1 damage.</t>
  </si>
  <si>
    <t>fbf08f85-baf9-4db3-a18e-31750bdffe4f</t>
  </si>
  <si>
    <t>ήήά</t>
  </si>
  <si>
    <t>Fight. This attack uses ά instead of ή. You get +2 ά for this attack. If you succeed, instead of its standard damage, this attack deals 3 damage to each enemy at your location (any additional damage is dealt to the attacked enemy). If a α, β, γ, δ, or ζ token is revealed during this attack, deal 2 damage to each investigator at your location.</t>
  </si>
  <si>
    <t>675dd581-5708-485f-865a-dcd518ac7cfc</t>
  </si>
  <si>
    <t>η: Investigate. Your location gets -1 shroud for this investigation._x000D_
η Discard Lantern: Deal 1 damage to an enemy at your location (or remove Lantern from the game to deal 2 damage, instead). This action does not provoke attacks of opportunity.</t>
  </si>
  <si>
    <t>21b12cda-3b0d-4c67-b9c7-8ba7a26033f5</t>
  </si>
  <si>
    <t>η: Fight. You get +2 ή for this attack._x000D_
η Discard Gravedigger's Shovel: Discover 1 clue at your location (or remove Gravedigger's Shovel from the game to discover 2 clues, instead).</t>
  </si>
  <si>
    <t>58a1eddf-4958-4e7f-aea0-30c045452688</t>
  </si>
  <si>
    <t>Unspeakable Oath (Bloodthirst)</t>
  </si>
  <si>
    <t>Campaign Mode only. Peril. Hidden._x000D_
Revelation - Secretly add this card to your hand._x000D_
Forced - When the game ends or you are eliminated, if this card is in your hand: You earn 2 fewer experience._x000D_
ι When you deal damage to an enemy in excess of its remaining health: Discard this card from your hand.</t>
  </si>
  <si>
    <t>3a95f99d-79f5-45d3-b1e9-f1bd0159e116</t>
  </si>
  <si>
    <t>Unspeakable Oath (Curiosity)</t>
  </si>
  <si>
    <t>Campaign Mode only. Peril. Hidden._x000D_
Revelation - Secretly add this card to your hand._x000D_
Forced - When the game ends or you are eliminated, if this card is in your hand: You earn 2 fewer experience._x000D_
ι After you successfully investigate a location with no clues on it: Discard this card from your hand.</t>
  </si>
  <si>
    <t>83f6bbac-9c75-444b-b923-afed2c67532f</t>
  </si>
  <si>
    <t>Unspeakable Oath (Cowardice)</t>
  </si>
  <si>
    <t>Campaign Mode only. Peril. Hidden._x000D_
Revelation - Secretly add this card to your hand._x000D_
Forced - When the game ends or you are eliminated, if this card is in your hand: You earn 2 fewer experience._x000D_
η: Evade. Use only on an exhausted unengaged enemy at your location. If you succeed, discard this card from your hand.</t>
  </si>
  <si>
    <t>992edf59-e0ff-4e1c-bf46-656d35224f4a</t>
  </si>
  <si>
    <t>Return to Curtain Call</t>
  </si>
  <si>
    <t>Return.</t>
  </si>
  <si>
    <t>Perform the setup as indicated in The Path to Carcosa Campaign Guide, with the following exceptions:_x000D_
- When gathering encounter sets, also gather the new encounter sets for Return to Curtain Call shown here._x000D_
- Construct the act deck using all six copies of Act 2a - "The Stranger."_x000D_
(Continued on reverse side.)</t>
  </si>
  <si>
    <t>- Attach this card to Royal Emissary. It gains the following text:_x000D_
"This card cannot be detached from Royal Emissary (even if Royal Emissary leaves play)._x000D_
Forced - After Royal Emissary is added to the victory display: Place 1 resource on this card, as a warning._x000D_
For each warning on this card, Royal Emissary gets +1π health."</t>
  </si>
  <si>
    <t>ed238e6a-e591-4c98-aaa9-44ffd35f7342</t>
  </si>
  <si>
    <t>Alaran Mists</t>
  </si>
  <si>
    <t>Instead of discarding The Man in the Pallid Mask, move him to the Lobby._x000D_
Add 1 β and 1 γ token to the chaos bag._x000D_
Place 1 horror on Backstage. Until the end of the scenario, horror on locations represents the creeping mist, and each location with horror gains: "Forced - When you would leave this location: Test ά (3). If you fail, you must either cancel the effects of the move or lose all remaining actions and end your turn after completing the effects of the move."_x000D_
Keep this card next to the act deck as a reminder, and advance to act 3a.</t>
  </si>
  <si>
    <t>080cb3f3-a9dc-4938-ae4c-fdb1ee3fb56c</t>
  </si>
  <si>
    <t>Under the City</t>
  </si>
  <si>
    <t>Instead of discarding The Man in the Pallid Mask, move him to the Lobby._x000D_
Add 1 β and 1 δ token to the chaos bag._x000D_
Place 1 horror on the Balcony. Until the end of the scenario, horror on locations represents entangling overgrowth, and each location with horror gains: "Forced - After you leave this location: Test ά (4). If you fail, discard an [[Item]] or [[Ally]] asset you control (if you cannot, take 2 damage instead)."_x000D_
Keep this card next to the act deck as a reminder, and advance to act 3a.</t>
  </si>
  <si>
    <t>ee878704-4147-4543-b93c-d2b9b709115d</t>
  </si>
  <si>
    <t>Here Is My Reply</t>
  </si>
  <si>
    <t>Instead of discarding The Man in the Pallid Mask, move him to the Lobby._x000D_
Add 1 γ and 1 δ token to the chaos bag._x000D_
Place 1 horror on the Lobby. Until the end of the scenario, horror on locations represents the awful screeching of the Stranger, and each location with horror gains: "Forced - After you enter this location or end your turn at this location: Test ά (2). If you fail, take 1 horror. (Limit once per round.)"_x000D_
Keep this card next to the act deck as a reminder, and advance to act 3a.</t>
  </si>
  <si>
    <t>340ddb9a-7839-4f14-97db-7283b1a4b9cb</t>
  </si>
  <si>
    <t>Theatre Lounge</t>
  </si>
  <si>
    <t>Forced - After you reveal the Theatre Lounge: Shuffle the encounter discard pile into the encounter deck. Search the encounter deck for the 2 topmost hidden cards and secretly add both of those cards to your hand. Shuffle the encounter deck.</t>
  </si>
  <si>
    <t>773f2e48-8685-4450-84b0-05aab8cdab15</t>
  </si>
  <si>
    <t>Prop Shop</t>
  </si>
  <si>
    <t>While you are investigating Prop Shop, it gets -1 shroud for each horror on you._x000D_
Forced - After you fail a skill test while investigating the Prop Shop: Take 1 horror.</t>
  </si>
  <si>
    <t>128161fe-1d21-4a82-9c18-b633a2df44e5</t>
  </si>
  <si>
    <t>La Comtesse</t>
  </si>
  <si>
    <t>Subverter of Plans</t>
  </si>
  <si>
    <t>Humanoid. Servitor.</t>
  </si>
  <si>
    <t>Spawn - Balcony._x000D_
Hunter._x000D_
Forced - After you defeat La Comtesse: Place her in your hand, as a hidden card. While La Comtesse is in your hand, she gains: "La Comtesse counts as 4 cards instead of 1 while checking your hand size. Forced - After you discard 1 or more cards from your hand during the upkeep phase: Take 1 horror."</t>
  </si>
  <si>
    <t>9574d23f-ddf8-44c8-af73-313db9a08cc5</t>
  </si>
  <si>
    <t>Return to The Last King</t>
  </si>
  <si>
    <t>Perform the setup as indicated in The Path to Carcosa Campaign Guide, with the following exceptions:_x000D_
- When gathering encounter sets, also gather the new encounter sets for Return to The Last King shown here._x000D_
(Continued on reverse side.)</t>
  </si>
  <si>
    <t>- Remove Agenda 1a - "Fashionably Late" from the game and replace it with the new Agenda 1a - "Better Never Than Late."_x000D_
- Remove the original Dianne Devine from the game and replace it with the new version of Dianne Devine (Mercurial and Mischevious)._x000D_
- Place the 3 new "Sickening Reality" cards underneath the scenario reference card, along with the 5 original ones, for a total of 8._x000D_
- Set the Shocking Display treachery aside, out of play.</t>
  </si>
  <si>
    <t>d4c38800-b7a5-4876-97a9-fc30895daad2</t>
  </si>
  <si>
    <t>Better Never Than Late</t>
  </si>
  <si>
    <t>Guest of Honor</t>
  </si>
  <si>
    <t>Find the [[Bystander]] asset with the fewest clues on it (among [[Bystander]] assets with at least one clue). Spawn the set-aside Dianne Devine asset at that asset's location._x000D_
Shuffle Shocking Display into the encounter deck, along with the encounter discard pile.</t>
  </si>
  <si>
    <t>b1dc5c6c-acd3-4996-96f4-0d6a1c07e860</t>
  </si>
  <si>
    <t>Crazed Guest</t>
  </si>
  <si>
    <t>Humanoid. Monster. Lunatic.</t>
  </si>
  <si>
    <t>Hunter._x000D_
η: Parley. Test έ (4). If you succeed, you manage to get through to them for just a moment; automatically evade Crazed Guest. If you fail, your words fall on deaf ears.</t>
  </si>
  <si>
    <t>e7deb5b0-ea71-4bb9-9642-a86455b2b3cf</t>
  </si>
  <si>
    <t>Knows What You're Up To</t>
  </si>
  <si>
    <t>Monster. Cultist. Lunatic. Elite.</t>
  </si>
  <si>
    <t>Prey - Most clues._x000D_
Hunter._x000D_
Dianne Devine gets +3π health._x000D_
Forced - After any investigator performs a parley action: Move Dianne Devine once toward that investigator.</t>
  </si>
  <si>
    <t>4f06397a-07e8-466e-bea7-75105866723e</t>
  </si>
  <si>
    <t>Hiding an Oath Unspoken</t>
  </si>
  <si>
    <t>Cultist.</t>
  </si>
  <si>
    <t>Each investigator at Dianne Devine's location cannot discover or take control of clues._x000D_
Forced - At the beginning of the enemy phase: Find the [[Bystander]] asset with the fewest clues on it (among [[Bystander]] assets with at least one clue). Move Dianne Devine to that asset's location, if able.</t>
  </si>
  <si>
    <t>adab407b-a429-4346-bc1f-ca2c3d8d54bf</t>
  </si>
  <si>
    <t>Party Guest</t>
  </si>
  <si>
    <t>Revelation - Find the [[Bystander]] asset with the most clues on it, and put Party Guest into play at that asset's location._x000D_
Investigators cannot parley with [[Bystander]] assets at Party Guest's location._x000D_
η Spend 2 resources: Parley. Move Party Guest to a connecting location.</t>
  </si>
  <si>
    <t>1abe5d84-9016-4120-a83f-c7592c79e708</t>
  </si>
  <si>
    <t>Shocking Display</t>
  </si>
  <si>
    <t>Revelation - Randomly resolve one of the Sickening Reality cards underneath the scenario reference card. Cannot be canceled.</t>
  </si>
  <si>
    <t>231ee1da-c210-4b30-b6ea-fab37bf016df</t>
  </si>
  <si>
    <t>Return to Echoes of the Past</t>
  </si>
  <si>
    <t>Perform the setup as indicated in The Path to Carcosa Campaign Guide, with the following exceptions:_x000D_
- When gathering encounter sets, also gather the new encounter sets for Return to Echoes of the Past shown here._x000D_
- Randomly choose one [[Basement]] Historical Society location and remove it from the game, without looking at its revealed side._x000D_
(Continued on reverse side.)</t>
  </si>
  <si>
    <t>- When putting locations into play, put all 3 copies of Quiet Halls into play, along with the remaining 8 Historical Society locations. (The 3 [[basement]] locations should be placed to form a bottom row below the 3 [[ground floor]] locations.)_x000D_
- Set both Keeper of the Oath enemies aside, out of play._x000D_
For the duration of this scenario, the following additional rule applies:_x000D_
"Forced - After the investigators advance to act 2 or act 3: Spawn a set-aside Keeper of the Oath in any empty Historical Society location."_x000D_
Attach this card to the scenario reference card as a reminder.</t>
  </si>
  <si>
    <t>57b91f8f-a917-4e08-b98d-0fee50b4d17a</t>
  </si>
  <si>
    <t>Basement.</t>
  </si>
  <si>
    <t>Entry Hall is connected to Quiet Halls._x000D_
Quiet Halls is connected to each other [[Basement]] location.</t>
  </si>
  <si>
    <t>2f8afca9-39c3-47d7-b3e5-d808d7295e8b</t>
  </si>
  <si>
    <t>Dusty Archives</t>
  </si>
  <si>
    <t>3f365f4d-9dfb-4f71-a5e2-9f05f6265461</t>
  </si>
  <si>
    <t>Museum Storage</t>
  </si>
  <si>
    <t>0fcd3a8c-9791-4b7c-8f29-ab196bb68c89</t>
  </si>
  <si>
    <t>Boiler Room</t>
  </si>
  <si>
    <t>325e4ee7-b616-4be6-8480-676eb04d6b70</t>
  </si>
  <si>
    <t>Keeper of the Oath</t>
  </si>
  <si>
    <t>While the number of the current act is greater than the number of the current agenda, Keeper of the Oath gains hunter._x000D_
Forced - At the end of the enemy phase: Find each investigator whose location shares a [[Trait]] with Keeper of the Oath's location. Move 1 clue from each of those investigators to Keeper of the Oath.</t>
  </si>
  <si>
    <t>93647b3d-a617-4d81-a5ff-ec5fcc8009d6</t>
  </si>
  <si>
    <t>Return to The Unspeakable Oath</t>
  </si>
  <si>
    <t>Perform the setup as indicated in The Path to Carcosa Campaign Guide, with the following exceptions:_x000D_
- When gathering encounter sets, also gather the new encounter sets for Return to The Unspeakable Oath shown here._x000D_
(Continued on reverse side.)</t>
  </si>
  <si>
    <t>- Set the Host of Insanity enemy and the Radical Treatment treachery aside, out of play._x000D_
- When determining which version of act 2 to use, do not follow the original setup instructions. Instead, remove the original versions of act 2 from the game, and check the Campaign Log. If you have more (or equal) Conviction than Doubt, use the new Act 2 - "The Really Bad Ones" (v. III). If you have more Doubt than Conviction, use the new Act 2 - "The Really Bad Ones" (v. IV).</t>
  </si>
  <si>
    <t>02f2a6de-adc7-4d1e-bc5f-c09dda6946ef</t>
  </si>
  <si>
    <t>"The Really Bad Ones" (v. III)</t>
  </si>
  <si>
    <t>Ignore the text on the unrevealed side of [[Arkham Asylum]] locations._x000D_
Objective - Find the Patient Confinement location with Daniel Chesterfield. (You will be instructed when to advance.)</t>
  </si>
  <si>
    <t>The Tale Retold</t>
  </si>
  <si>
    <t>Spawn the set-aside Host of Insanity at Patient Confinement (Daniel's Cell). Shuffle the encounter discard pile and each enemy beneath the act deck into the encounter deck.</t>
  </si>
  <si>
    <t>4c4d5948-c18f-4ef8-9e9a-c4675e7b1e4a</t>
  </si>
  <si>
    <t>"The Really Bad Ones" (v. IV)</t>
  </si>
  <si>
    <t>Again and Again</t>
  </si>
  <si>
    <t>Choose an investigator at Patient Confinement (Daniel's Cell). Put the set-aside Daniel Chesterfield card (asset side faceup) into play under that investigator's control. Then, attach the set-aside Radical Treatment treachery to Daniel Chesterfield._x000D_
Shuffle the encounter discard pile and each enemy beneath the act deck into the encounter deck.</t>
  </si>
  <si>
    <t>7bff9aef-4520-49e7-b08f-3c866858f21f</t>
  </si>
  <si>
    <t>Host of Insanity</t>
  </si>
  <si>
    <t>Avatar. Elite.</t>
  </si>
  <si>
    <t>Massive. Hunter._x000D_
Host of Insanity gets +2π health._x000D_
η If you control Clasp of Black Onyx: Parley. You reveal the clasp to the creature. It freezes in place, whispering a garbled prayer. Automatically evade Host of Insanity.</t>
  </si>
  <si>
    <t>00f4d48d-279f-4b50-9786-f3ce2af21c75</t>
  </si>
  <si>
    <t>Radical Treatment</t>
  </si>
  <si>
    <t>Forced - At the end of the round: Daniel Chesterfield's controller takes 2 horror._x000D_
η If you are at Infirmary: Test ά or έ (6). If you succeed, detach Radical Treatment and add it to the victory display. If you control Clasp of Black Onyx, reduce the difficulty of this test by 3.</t>
  </si>
  <si>
    <t>e699fa44-127e-4841-bd59-c5e13eb47547</t>
  </si>
  <si>
    <t>Clouded Memory</t>
  </si>
  <si>
    <t>Peril._x000D_
Revelation - You must either (choose one):_x000D_
- Forget something an investigator has "remembered" from an ability on a location. (It is no longer true.)_x000D_
- Take 1 horror and Clouded Memory gains surge.</t>
  </si>
  <si>
    <t>55a9ec70-7ee3-440e-bb65-f5bd3bb0cbd8</t>
  </si>
  <si>
    <t>Return to A Phantom of Truth</t>
  </si>
  <si>
    <t>Perform the setup as indicated in The Path to Carcosa Campaign Guide, with the following exceptions:_x000D_
- When gathering encounter sets, also gather the new encounter sets for Return to A Phantom of Truth shown here._x000D_
- Randomly choose 1 of the 2 Montparnasse locations, 1 of the 2 Grand Guignol locations, 1 of the 2 Père Lachaise Cemetery locations..._x000D_
(Continued on reverse side.)</t>
  </si>
  <si>
    <t>...1 of the 2 Canal Saint-Martin locations, 1 of the 2 Notre-Dame locations, and 1 of the 2 Gardens of Luxembourg locations. Put those locations into play. Remove the other versions of those locations from the game._x000D_
- Set both copies of Figure in the Shadows aside, out of play._x000D_
For the duration of this scenario, the following additional rules apply:_x000D_
"Forced - After The Organist enters play: Shuffle both set-aside copies of Figure in the Shadows into the encounter deck, along with the encounter discard pile."_x000D_
Attach this card to the scenario reference card as a reminder.</t>
  </si>
  <si>
    <t>a029b3dd-be49-4200-bb7a-e9135f261517</t>
  </si>
  <si>
    <t>Forced - After you discover any number of clues from Montparnasse: Discard cards from your hand with that many ά icons among them. If you cannot, take 1 horror.</t>
  </si>
  <si>
    <t>b5186fd0-6adb-43be-ad2e-796edd4c2e56</t>
  </si>
  <si>
    <t>η Spend 5 resources: Either place 1 doom on the current agenda, or remove 1 doom from the current agenda. (Group limit once per game.)</t>
  </si>
  <si>
    <t>40658768-c2ba-4232-9cef-77b9a3af790b</t>
  </si>
  <si>
    <t>Forced - After an enemy moves into Père Lachaise Cemetery: It gets +1 horror value for the remainder of the round.</t>
  </si>
  <si>
    <t>510420f2-b898-4467-a629-53afd946afab</t>
  </si>
  <si>
    <t>While you are at Canal Saint-Martin, you must use your ή in place of your ί, and vice versa.</t>
  </si>
  <si>
    <t>a5b23b78-76ae-44d6-af03-b85e049c42a8</t>
  </si>
  <si>
    <t>Each enemy at Notre-Dame gets +1 fight and -1 evade._x000D_
ι After you successfully evade an enemy at Notre-Dame by 3 or more during your turn: You may take an additional action this turn. (Group limit once per round.)</t>
  </si>
  <si>
    <t>db11be44-746d-4519-8fa9-4379b3d6d64d</t>
  </si>
  <si>
    <t>Forced - After you enter Gardens of Luxembourg, if there is at least 1 [[Byakhee]] enemy in play: Reveal a random token from the chaos bag. If you reveal a α, β, γ, δ, or ζ symbol, each [[Byakhee]] enemy in play readies and moves to Gardens of Luxembourg.</t>
  </si>
  <si>
    <t>ba4ba157-edcd-44b7-837c-ad24791198bc</t>
  </si>
  <si>
    <t>Figure in the Shadows</t>
  </si>
  <si>
    <t>Revelation - Check Campaign Log._x000D_
- If you have more (or equal) Doubt than Conviction, move The Organist 1 location away from the nearest investigator (to a location with no investigators, if possible)._x000D_
- If you have more Conviction than Doubt, resolve The Organist's hunter keyword.</t>
  </si>
  <si>
    <t>248211c0-ccc3-483b-be2b-f8ab7dbf4aab</t>
  </si>
  <si>
    <t>Return to The Pallid Mask</t>
  </si>
  <si>
    <t>Perform the setup as indicated in The Path to Carcosa Campaign Guide, with the following exceptions:_x000D_
- When gathering encounter sets, also gather the new encounter set for Return to The Pallid Mask shown here._x000D_
- When building the Catacombs deck, first set aside the Tomb of Shadows and the Blocked Passage, as normal. _x000D_
- Next, add the 4 new Catacombs locations included in this encounter set with the remaining Catacombs locations, and determine your starting location, as normal._x000D_
(Continued on reverse side.)</t>
  </si>
  <si>
    <t>- Next, randomly choose 4 Catacombs locations and remove them from the game, without looking at them._x000D_
- Build the remainder of the Catacombs deck as normal._x000D_
For the duration of this scenario, the following additional rules apply:_x000D_
"For the purposes of Corpse Dweller's spawn ability, The Man in the Pallid Mask does not count as a [[Humanoid]] enemy._x000D_
While it is act 2, The Man in the Pallid Mask cannot leave the Tomb of Shadows."_x000D_
Attach this card to the scenario reference card as a reminder.</t>
  </si>
  <si>
    <t>a8346d67-56f5-4e01-b6c6-05b3d94af71b</t>
  </si>
  <si>
    <t>2e578c6b-6f8c-4bdb-a354-2d5cb006dbae</t>
  </si>
  <si>
    <t>Mound of Bones</t>
  </si>
  <si>
    <t>701f9dc7-e50f-41f7-a8b0-3419326eba09</t>
  </si>
  <si>
    <t>Research Site</t>
  </si>
  <si>
    <t>99ad3268-dc50-4b4f-95d8-57c27cf5fbae</t>
  </si>
  <si>
    <t>Sea of Skulls</t>
  </si>
  <si>
    <t>2f8567af-14d2-41cc-8eed-8ade21a30dc7</t>
  </si>
  <si>
    <t>Malformed Skeleton</t>
  </si>
  <si>
    <t>Hunter._x000D_
Forced - When Malformed Skeleton would resolve its hunter keyword: If there are no investigators within 2 locations of Malformed Skeleton, instead of resolving its hunter keyword, move it to the Catacombs location nearest to an investigator._x000D_
Forced - When Malformed Skeleton attacks you: It deals either its damage or its horror, instead of both.</t>
  </si>
  <si>
    <t>5f4a731f-7586-4e59-af24-f6d1a72027aa</t>
  </si>
  <si>
    <t>Return to Black Stars Rise</t>
  </si>
  <si>
    <t>Perform the setup as indicated in The Path to Carcosa Campaign Guide, with the following exceptions:_x000D_
- When gathering encounter sets, also gather the new encounter sets for Return to Black Stars Rise shown here._x000D_
(Continued on reverse side.)</t>
  </si>
  <si>
    <t>- Sort each copy of Cloister and Knight's Hall into two piles, based on the encounter set icon on their reverse side. One pile should consist of the original versions of Cloister and Knight's Hall, the other should consist of the new versions included in this encounter set. Flip each pile over so only the Black Stars Rise encounter set icon is showing. Randomize the two piles so you cannot tell which is which. Choose one pile at random to remove from the game and one pile at random to use throughout this scenario's setup.</t>
  </si>
  <si>
    <t>f454e1fe-8169-4909-9c83-31ba37773e63</t>
  </si>
  <si>
    <t>η If there are no clues on Cloister: Parley. Test ά or έ (4). If you succeed, remember that you have "found the tower key."</t>
  </si>
  <si>
    <t>76a049da-5d39-419e-b38a-ed64382f1a9a</t>
  </si>
  <si>
    <t>η If there are no clues on Knight's Hall: Test ή or ί (3). If you succeed, remember that you have "found a guide."</t>
  </si>
  <si>
    <t>3da8ecad-349a-499a-aadf-35f7979760bc</t>
  </si>
  <si>
    <t>Hastur's Gaze</t>
  </si>
  <si>
    <t>Peril. Hidden._x000D_
Revelation - Secretly add Hastur's Gaze to your hand._x000D_
Forced - After 1 or more doom is placed on the "c" agenda: Take 2 horror and discard Hastur's Gaze from your hand.</t>
  </si>
  <si>
    <t>8fc30854-8538-4485-aeb8-6348527e3cfd</t>
  </si>
  <si>
    <t>Hastur's Grasp</t>
  </si>
  <si>
    <t>Peril. Hidden._x000D_
Revelation - Secretly add Hastur's Grasp to your hand._x000D_
Forced - After 1 or more doom is placed on the "a" agenda: Take 2 damage and discard Hastur's Grasp from your hand.</t>
  </si>
  <si>
    <t>f4acc208-4c76-44f7-acaf-fb94a6ccb409</t>
  </si>
  <si>
    <t>Return to Dim Carcosa</t>
  </si>
  <si>
    <t>Perform the setup as indicated in The Path to Carcosa Campaign Guide, with the following exceptions:_x000D_
- When gathering encounter sets, also gather the new encounter sets for Return to Dim Carcosa shown here._x000D_
(Continued on reverse side.)</t>
  </si>
  <si>
    <t>- Remove the original Palace of the King location from the game and replace it with the new Palace of the King (Hastur's Domain). Proceed with location setup as normal._x000D_
- Set the following new locations aside, out of play: Recesses of Your Own Mind, The Throne Room, and Stage of the Ward Theatre._x000D_
For the duration of this scenario, the following additional rules apply:_x000D_
"Hastur's health cannot be reduced to less than 2π unless any investigator 'knows the secret.'"_x000D_
Attach this card to the scenario reference card as a reminder.</t>
  </si>
  <si>
    <t>38782f64-766a-4790-ba9f-41bc23e70b70</t>
  </si>
  <si>
    <t>Hastur’s Domain</t>
  </si>
  <si>
    <t>Palace of the King cannot be flipped over while Hastur has more than 2π remaining health.</t>
  </si>
  <si>
    <t>0060fdb9-d8d0-4ee5-ac53-f031c5af1229</t>
  </si>
  <si>
    <t>Recesses of Your Own Mind</t>
  </si>
  <si>
    <t>???.</t>
  </si>
  <si>
    <t>While you are in the Recesses of Your Own Mind, set the base value of your ά to 0._x000D_
Each investigator at Recesses of Your Own Mind is considered to be at a different copy of Recesses of Your Own Mind for the purposes of player card effects and committing cards to each other's skill tests.</t>
  </si>
  <si>
    <t>33476df1-b91b-4113-b850-bd6be388b9df</t>
  </si>
  <si>
    <t>The Throne Room</t>
  </si>
  <si>
    <t>Hastur cannot leave The Throne Room._x000D_
Hastur cannot be exhausted._x000D_
Hastur cannot make attacks of opportunity.</t>
  </si>
  <si>
    <t>9218c964-2ee4-4851-8e67-fc66c9ec9d7e</t>
  </si>
  <si>
    <t>Stage of the Ward Theatre</t>
  </si>
  <si>
    <t>While Hastur is moving, if there is an investigator at Stage of the Ward Theatre, Hastur's location is considered to be connected to Stage of the Ward Theatre._x000D_
While you are at Stage of the Ward Theatre, you cannot attack Hastur.</t>
  </si>
  <si>
    <t>69f8a2a8-6d13-469e-a1e6-e7fe5d67b1e3</t>
  </si>
  <si>
    <t>High Priest of Hastur</t>
  </si>
  <si>
    <t>Spawn - Palace of the King._x000D_
Prey - Most cards in hand._x000D_
Hunter._x000D_
Forced - When High Priest of Hastur attacks you, if you have a copy of Possession in your hand: Reveal it. The high priest welcomes you into the grand company of the King. You are eliminated and driven insane.</t>
  </si>
  <si>
    <t>d0d21e8a-6b3d-4d64-8348-f04d7578da6d</t>
  </si>
  <si>
    <t>Delusory Evils</t>
  </si>
  <si>
    <t>Peril. Hidden._x000D_
Revelation - You must either secretly add Delusory Evils to your hand, or place 1 doom on the current agenda and discard Delusory Evils (this effect may cause the current agenda to advance)._x000D_
Forced - When you would succeed at a skill test by 3 or more: You automatically fail, instead. Discard Delusory Evils from your hand.</t>
  </si>
  <si>
    <t>e976fc08-49cb-4acb-9e06-e23ab0509495</t>
  </si>
  <si>
    <t>Decaying Reality</t>
  </si>
  <si>
    <t>Bleeding Walls</t>
  </si>
  <si>
    <t>Revelation - Test ά (X). X is the shroud value of your location. If you fail, lose 1 action and take 1 horror.</t>
  </si>
  <si>
    <t>587caf33-f9e6-4a11-a93a-d484c7f989f6</t>
  </si>
  <si>
    <t>Fragile Thoughts</t>
  </si>
  <si>
    <t>Revelation - Discard events from your hand with a total printed resource cost of at least X, where X is the shroud value of your location. If no cards are discarded by this effect, Fragile Thoughts gains surge.</t>
  </si>
  <si>
    <t>f591f043-247d-400d-b946-2e0d36d6c324</t>
  </si>
  <si>
    <t>Maggot Swarm</t>
  </si>
  <si>
    <t>Maggot Swarm's location gets +2 shroud._x000D_
While Maggot Swarm is at a location with no clues, it gains hunter.</t>
  </si>
  <si>
    <t>0af88fd1-b8f4-4369-949e-e45e52f45c66</t>
  </si>
  <si>
    <t>Hastur's Envoys</t>
  </si>
  <si>
    <t>Preying Byakhee</t>
  </si>
  <si>
    <t>Prey - Lowest remaining sanity only._x000D_
Hunter._x000D_
While engaged with an investigator with remaining sanity 4 or fewer, swap Preying Byakhee's fight and evade values.</t>
  </si>
  <si>
    <t>03659f75-41b7-401f-8f90-b5f706c8a7a2</t>
  </si>
  <si>
    <t>The Sign of Hastur</t>
  </si>
  <si>
    <t>Peril._x000D_
Revelation - Attach The Sign of Hastur to either the current agenda or the current act._x000D_
Limit 1 per agenda/act. _x000D_
Forced - Each time an investigator takes 1 or more horror: He or she takes 1 additional horror.</t>
  </si>
  <si>
    <t>a03995c7-7994-4221-a4c7-5af0844a4007</t>
  </si>
  <si>
    <t>Maddening Delusions</t>
  </si>
  <si>
    <t>Visions in Your Mind (Horrors)</t>
  </si>
  <si>
    <t>Peril. Hidden._x000D_
Revelation - Secretly add this card to your hand._x000D_
Forced - When your turn ends, if you did not perform at least 1 play action during your turn: Discard this card from your hand and take 1 direct damage and 1 direct horror.</t>
  </si>
  <si>
    <t>7c12a4da-e103-4890-9575-aa26dfefdbed</t>
  </si>
  <si>
    <t>Visions in Your Mind (Failure)</t>
  </si>
  <si>
    <t>Peril. Hidden._x000D_
Revelation - Secretly add this card to your hand._x000D_
Forced - When your turn ends, if you did not perform at least 1 resource action during your turn: Discard this card from your hand and take 1 direct damage and 1 direct horror.</t>
  </si>
  <si>
    <t>af4d8b75-5694-4522-85ea-75627ccaebc4</t>
  </si>
  <si>
    <t>Visions in Your Mind (Death)</t>
  </si>
  <si>
    <t>Peril. Hidden._x000D_
Revelation - Secretly add this card to your hand._x000D_
Forced - When your turn ends, if you did not perform at least 1 move action during your turn: Discard this card from your hand and take 1 direct damage and 1 direct horror.</t>
  </si>
  <si>
    <t>6ee148c1-1e3a-4573-b541-4e08b7abffd8</t>
  </si>
  <si>
    <t>Visions in Your Mind (Hatred)</t>
  </si>
  <si>
    <t>Peril. Hidden._x000D_
Revelation - Secretly add this card to your hand._x000D_
Forced - When your turn ends, if you did not perform at least 1 draw action during your turn: Discard this card from your hand and take 1 direct damage and 1 direct horror.</t>
  </si>
  <si>
    <t>2a950237-eb1b-4e23-ad24-16034a4995fb</t>
  </si>
  <si>
    <t>Surge._x000D_
Revelation - If you have 1 or more hidden cards in your hand, take 1 horror.</t>
  </si>
  <si>
    <t>65f1f975-fa0d-4d72-96f1-10ecb85190db</t>
  </si>
  <si>
    <t>Neurotic Fear</t>
  </si>
  <si>
    <t>Voice of Tru'nembra</t>
  </si>
  <si>
    <t>Peril._x000D_
Revelation - Test ά (3). For each point you fail by, you must choose a different option: _x000D_
- Lose 2 resources._x000D_
- Take 1 horror._x000D_
- Get -2 to the next skill test you perform this round.</t>
  </si>
  <si>
    <t>86f38641-df06-40c8-8853-638fea005595</t>
  </si>
  <si>
    <t>Melancholy</t>
  </si>
  <si>
    <t>Revelation - Put Melancholy into play in your threat area._x000D_
Increase the resource cost of each card in your hand by 1._x000D_
Forced - At the end of your turn: Test ά (3). If you succeed, discard Melancholy.</t>
  </si>
  <si>
    <t>cf3e3ece-6aa7-43d1-bb9b-372ba6c1901e</t>
  </si>
  <si>
    <t>Painful Reflection</t>
  </si>
  <si>
    <t>Revelation - Put Painful Reflection into play in your threat area._x000D_
Forced - When you play an event: Reveal a random token from the chaos bag. If it is a α, β, γ, δ, or ζ token, cancel that event, take 1 horror, and discard Painful Reflection.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</si>
</sst>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9"/>
      <color theme="1"/>
      <name val="Calibri Arkham"/>
    </font>
    <font>
      <sz val="9"/>
      <color theme="0"/>
      <name val="Calibri Arkham"/>
    </font>
    <font>
      <sz val="9"/>
      <color theme="1"/>
      <name val="Courier New"/>
      <family val="3"/>
    </font>
    <font>
      <sz val="8"/>
      <name val="Calibri"/>
      <family val="2"/>
      <scheme val="minor"/>
    </font>
    <font>
      <sz val="11"/>
      <color rgb="FF000000"/>
      <name val="Calibri"/>
      <family val="2"/>
      <scheme val="minor"/>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6">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6" fillId="0" borderId="0" xfId="0" applyFont="1" applyAlignment="1">
      <alignment horizontal="left" vertical="top"/>
    </xf>
    <xf numFmtId="0" fontId="16" fillId="0" borderId="0" xfId="0" applyFont="1" applyAlignment="1">
      <alignment horizontal="left" vertical="top" wrapText="1"/>
    </xf>
    <xf numFmtId="0" fontId="16" fillId="0" borderId="0" xfId="0" applyNumberFormat="1" applyFont="1" applyAlignment="1">
      <alignment horizontal="left" vertical="top" wrapText="1"/>
    </xf>
    <xf numFmtId="0" fontId="16" fillId="9" borderId="2" xfId="0" applyNumberFormat="1" applyFont="1" applyFill="1" applyBorder="1" applyAlignment="1">
      <alignment horizontal="left" vertical="top" wrapText="1"/>
    </xf>
    <xf numFmtId="0" fontId="16" fillId="4" borderId="2" xfId="0" applyNumberFormat="1" applyFont="1" applyFill="1" applyBorder="1" applyAlignment="1">
      <alignment horizontal="left" vertical="top" wrapText="1"/>
    </xf>
    <xf numFmtId="0" fontId="16" fillId="10" borderId="2" xfId="0" applyNumberFormat="1" applyFont="1" applyFill="1" applyBorder="1" applyAlignment="1">
      <alignment horizontal="left" vertical="top" wrapText="1"/>
    </xf>
    <xf numFmtId="0" fontId="16" fillId="8" borderId="2" xfId="0" applyFont="1" applyFill="1" applyBorder="1" applyAlignment="1">
      <alignment horizontal="left" vertical="top" wrapText="1"/>
    </xf>
    <xf numFmtId="0" fontId="16" fillId="5" borderId="2" xfId="0" applyFont="1" applyFill="1" applyBorder="1" applyAlignment="1">
      <alignment horizontal="left" vertical="top" wrapText="1"/>
    </xf>
    <xf numFmtId="0" fontId="16" fillId="7" borderId="2" xfId="0" applyFont="1" applyFill="1" applyBorder="1" applyAlignment="1">
      <alignment horizontal="left" vertical="top" wrapText="1"/>
    </xf>
    <xf numFmtId="0" fontId="17" fillId="13" borderId="2" xfId="0" applyNumberFormat="1" applyFont="1" applyFill="1" applyBorder="1" applyAlignment="1">
      <alignment horizontal="left" vertical="top" wrapText="1"/>
    </xf>
    <xf numFmtId="0" fontId="17" fillId="14" borderId="2" xfId="0" applyNumberFormat="1" applyFont="1" applyFill="1" applyBorder="1" applyAlignment="1">
      <alignment horizontal="left" vertical="top" wrapText="1"/>
    </xf>
    <xf numFmtId="0" fontId="16" fillId="6" borderId="2" xfId="0" applyNumberFormat="1" applyFont="1" applyFill="1" applyBorder="1" applyAlignment="1">
      <alignment horizontal="left" vertical="top" wrapText="1"/>
    </xf>
    <xf numFmtId="0" fontId="16"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6" fillId="0" borderId="0" xfId="0" applyNumberFormat="1" applyFont="1" applyFill="1" applyAlignment="1">
      <alignment horizontal="left" vertical="top" wrapText="1"/>
    </xf>
    <xf numFmtId="11" fontId="16" fillId="0" borderId="0" xfId="0" applyNumberFormat="1" applyFont="1" applyAlignment="1">
      <alignment horizontal="left" vertical="top"/>
    </xf>
    <xf numFmtId="0" fontId="16" fillId="0" borderId="0" xfId="0" applyNumberFormat="1" applyFont="1" applyFill="1" applyAlignment="1">
      <alignment horizontal="left" vertical="top" wrapText="1"/>
    </xf>
    <xf numFmtId="0" fontId="16" fillId="0" borderId="0" xfId="0" applyFont="1" applyFill="1" applyAlignment="1">
      <alignment horizontal="left" vertical="top" wrapText="1"/>
    </xf>
    <xf numFmtId="0" fontId="16" fillId="0" borderId="0" xfId="0" quotePrefix="1" applyFont="1" applyAlignment="1">
      <alignment horizontal="left" vertical="top" wrapText="1"/>
    </xf>
    <xf numFmtId="0" fontId="16" fillId="9" borderId="2" xfId="0" applyFont="1" applyFill="1" applyBorder="1" applyAlignment="1">
      <alignment horizontal="left" vertical="top" wrapText="1"/>
    </xf>
    <xf numFmtId="0" fontId="16" fillId="4" borderId="2" xfId="0" applyFont="1" applyFill="1" applyBorder="1" applyAlignment="1">
      <alignment horizontal="left" vertical="top" wrapText="1"/>
    </xf>
    <xf numFmtId="0" fontId="16" fillId="10" borderId="2" xfId="0" applyFont="1" applyFill="1" applyBorder="1" applyAlignment="1">
      <alignment horizontal="left" vertical="top" wrapText="1"/>
    </xf>
    <xf numFmtId="0" fontId="17" fillId="13" borderId="2" xfId="0" applyFont="1" applyFill="1" applyBorder="1" applyAlignment="1">
      <alignment horizontal="left" vertical="top" wrapText="1"/>
    </xf>
    <xf numFmtId="0" fontId="17" fillId="14"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1" fillId="0" borderId="0" xfId="0" applyFont="1" applyAlignment="1">
      <alignment wrapText="1"/>
    </xf>
    <xf numFmtId="11" fontId="16" fillId="0" borderId="0" xfId="0" applyNumberFormat="1" applyFont="1" applyAlignment="1">
      <alignment horizontal="left" vertical="top" wrapText="1"/>
    </xf>
    <xf numFmtId="0" fontId="1" fillId="16" borderId="0" xfId="0" applyFont="1" applyFill="1"/>
    <xf numFmtId="49" fontId="1" fillId="16" borderId="0" xfId="0" applyNumberFormat="1" applyFont="1" applyFill="1"/>
    <xf numFmtId="0" fontId="1" fillId="17" borderId="0" xfId="0" applyFont="1" applyFill="1" applyAlignment="1">
      <alignment horizontal="left" vertical="top"/>
    </xf>
    <xf numFmtId="0" fontId="18" fillId="0" borderId="0" xfId="0" applyFont="1" applyAlignment="1">
      <alignment horizontal="left" vertical="top" wrapText="1"/>
    </xf>
    <xf numFmtId="0" fontId="18" fillId="0" borderId="0" xfId="0" applyFont="1" applyAlignment="1">
      <alignment horizontal="left" vertical="top"/>
    </xf>
    <xf numFmtId="11" fontId="18" fillId="0" borderId="0" xfId="0" applyNumberFormat="1" applyFont="1" applyAlignment="1">
      <alignment horizontal="left" vertical="top"/>
    </xf>
    <xf numFmtId="11" fontId="18" fillId="0" borderId="0" xfId="0" applyNumberFormat="1" applyFont="1" applyAlignment="1">
      <alignment horizontal="left" vertical="top" wrapText="1"/>
    </xf>
    <xf numFmtId="0" fontId="15" fillId="0" borderId="0" xfId="0" applyFont="1" applyAlignment="1">
      <alignment horizontal="left" vertical="top" wrapText="1"/>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cellXfs>
  <cellStyles count="1">
    <cellStyle name="Standard" xfId="0" builtinId="0"/>
  </cellStyles>
  <dxfs count="335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A40"/>
  <sheetViews>
    <sheetView showGridLines="0" showZeros="0" zoomScaleNormal="100" workbookViewId="0">
      <pane xSplit="5" ySplit="2" topLeftCell="F15" activePane="bottomRight" state="frozen"/>
      <selection activeCell="B1" sqref="B1"/>
      <selection pane="topRight" activeCell="F1" sqref="F1"/>
      <selection pane="bottomLeft" activeCell="B3" sqref="B3"/>
      <selection pane="bottomRight" activeCell="A45" sqref="A45"/>
    </sheetView>
  </sheetViews>
  <sheetFormatPr baseColWidth="10"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92" t="s">
        <v>175</v>
      </c>
      <c r="H1" s="193"/>
      <c r="I1" s="193"/>
      <c r="J1" s="194"/>
      <c r="K1" s="150"/>
      <c r="L1" s="150"/>
      <c r="M1" s="151"/>
      <c r="N1" s="195" t="s">
        <v>4</v>
      </c>
      <c r="O1" s="195"/>
      <c r="P1" s="195"/>
      <c r="Q1" s="195"/>
      <c r="R1" s="195"/>
      <c r="S1" s="195"/>
      <c r="T1" s="195"/>
      <c r="U1" s="11"/>
      <c r="V1" s="195" t="s">
        <v>225</v>
      </c>
      <c r="W1" s="195"/>
      <c r="X1" s="195"/>
      <c r="Y1" s="195"/>
      <c r="Z1" s="195"/>
      <c r="AA1" s="195"/>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2"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row r="28" spans="1:27">
      <c r="A28" s="4" t="s">
        <v>5088</v>
      </c>
      <c r="B28" s="4" t="s">
        <v>5090</v>
      </c>
      <c r="C28" s="6" t="s">
        <v>174</v>
      </c>
      <c r="E28" s="4" t="s">
        <v>5092</v>
      </c>
      <c r="G28" s="13">
        <f>SUMIF('Card Data'!$A:$A,$A28,'Card Data'!$E:$E)</f>
        <v>60</v>
      </c>
      <c r="H28" s="13">
        <f>SUMIFS('Card Data'!$E:$E,'Card Data'!$A:$A,$A28,'Card Data'!$K:$K,"&lt;&gt;",'Card Data'!$J:$J,"&lt;&gt;Investigator")-SUMIFS('Card Data'!$E:$E,'Card Data'!$A:$A,$A28,'Card Data'!$K:$K,"&lt;&gt;",'Card Data'!$J:$J,"Mini")</f>
        <v>60</v>
      </c>
      <c r="I28" s="13">
        <f>SUMIFS('Card Data'!$E:$E,'Card Data'!$A:$A,$A28,'Card Data'!$K:$K,"",'Card Data'!$J:$J,"&lt;&gt;Campaign")+SUMIFS('Card Data'!$E:$E,'Card Data'!$A:$A,$A28,'Card Data'!$K:$K,"Mythos")-J28</f>
        <v>36</v>
      </c>
      <c r="J28" s="13">
        <f>SUMIFS('Card Data'!$E:$E,'Card Data'!$J:$J,J$2,'Card Data'!$A:$A,$A28,'Card Data'!$AD:$AD,"&lt;&gt;*Side Quest.*")</f>
        <v>3</v>
      </c>
      <c r="K28" s="13">
        <f>COUNTIFS('Card Data'!$J:$J,K$2,'Card Data'!$A:$A,$A28,'Card Data'!$AD:$AD,"&lt;&gt;*Side Quest.*")</f>
        <v>9</v>
      </c>
      <c r="L28" s="13">
        <f>COUNTIFS('Card Data'!$J:$J,L$2,'Card Data'!$A:$A,$A28,'Card Data'!$AD:$AD,"&lt;&gt;*Side Quest.*")</f>
        <v>2</v>
      </c>
      <c r="M28" s="15"/>
      <c r="N28" s="13">
        <f>COUNTIFS('Card Data'!$J:$J,N$2,'Card Data'!$A:$A,$A28)</f>
        <v>0</v>
      </c>
      <c r="O28" s="13">
        <f>COUNTIFS('Card Data'!$J:$J,O$2,'Card Data'!$A:$A,$A28)</f>
        <v>7</v>
      </c>
      <c r="P28" s="13">
        <f>COUNTIFS('Card Data'!$J:$J,P$2,'Card Data'!$A:$A,$A28)</f>
        <v>3</v>
      </c>
      <c r="Q28" s="13">
        <f>COUNTIFS('Card Data'!$J:$J,Q$2,'Card Data'!$A:$A,$A28)</f>
        <v>1</v>
      </c>
      <c r="R28" s="13">
        <f>COUNTIFS('Card Data'!$J:$J,R$2,'Card Data'!$A:$A,$A28)</f>
        <v>4</v>
      </c>
      <c r="S28" s="13">
        <f>COUNTIFS('Card Data'!$J:$J,S$2,'Card Data'!$A:$A,$A28)</f>
        <v>11</v>
      </c>
      <c r="T28" s="13">
        <f>COUNTIFS('Card Data'!$J:$J,T$2,'Card Data'!$A:$A,$A28)</f>
        <v>4</v>
      </c>
      <c r="U28" s="15"/>
      <c r="V28" s="13">
        <f>COUNTIFS('Card Data'!$K:$K,V$2,'Card Data'!$A:$A,$A28)</f>
        <v>2</v>
      </c>
      <c r="W28" s="13">
        <f>COUNTIFS('Card Data'!$K:$K,W$2,'Card Data'!$A:$A,$A28)</f>
        <v>2</v>
      </c>
      <c r="X28" s="13">
        <f>COUNTIFS('Card Data'!$K:$K,X$2,'Card Data'!$A:$A,$A28)</f>
        <v>2</v>
      </c>
      <c r="Y28" s="13">
        <f>COUNTIFS('Card Data'!$K:$K,Y$2,'Card Data'!$A:$A,$A28)</f>
        <v>2</v>
      </c>
      <c r="Z28" s="13">
        <f>COUNTIFS('Card Data'!$K:$K,Z$2,'Card Data'!$A:$A,$A28)</f>
        <v>2</v>
      </c>
      <c r="AA28" s="13">
        <f>COUNTIFS('Card Data'!$K:$K,AA$2,'Card Data'!$A:$A,$A28)</f>
        <v>1</v>
      </c>
    </row>
    <row r="29" spans="1:27">
      <c r="A29" s="184" t="s">
        <v>5089</v>
      </c>
      <c r="B29" s="184" t="s">
        <v>5091</v>
      </c>
      <c r="C29" s="185" t="s">
        <v>174</v>
      </c>
      <c r="D29" s="184"/>
      <c r="E29" s="184" t="s">
        <v>5093</v>
      </c>
      <c r="G29" s="13">
        <f>SUMIF('Card Data'!$A:$A,$A29,'Card Data'!$E:$E)</f>
        <v>80</v>
      </c>
      <c r="H29" s="13">
        <f>SUMIFS('Card Data'!$E:$E,'Card Data'!$A:$A,$A29,'Card Data'!$K:$K,"&lt;&gt;",'Card Data'!$J:$J,"&lt;&gt;Investigator")-SUMIFS('Card Data'!$E:$E,'Card Data'!$A:$A,$A29,'Card Data'!$K:$K,"&lt;&gt;",'Card Data'!$J:$J,"Mini")</f>
        <v>80</v>
      </c>
      <c r="I29" s="13">
        <f>SUMIFS('Card Data'!$E:$E,'Card Data'!$A:$A,$A29,'Card Data'!$K:$K,"",'Card Data'!$J:$J,"&lt;&gt;Campaign")+SUMIFS('Card Data'!$E:$E,'Card Data'!$A:$A,$A29,'Card Data'!$K:$K,"Mythos")-J29</f>
        <v>66</v>
      </c>
      <c r="J29" s="13">
        <f>SUMIFS('Card Data'!$E:$E,'Card Data'!$J:$J,J$2,'Card Data'!$A:$A,$A29,'Card Data'!$AD:$AD,"&lt;&gt;*Side Quest.*")</f>
        <v>5</v>
      </c>
      <c r="K29" s="13">
        <f>COUNTIFS('Card Data'!$J:$J,K$2,'Card Data'!$A:$A,$A29,'Card Data'!$AD:$AD,"&lt;&gt;*Side Quest.*")</f>
        <v>9</v>
      </c>
      <c r="L29" s="13">
        <f>COUNTIFS('Card Data'!$J:$J,L$2,'Card Data'!$A:$A,$A29,'Card Data'!$AD:$AD,"&lt;&gt;*Side Quest.*")</f>
        <v>1</v>
      </c>
      <c r="M29" s="15"/>
      <c r="N29" s="13">
        <f>COUNTIFS('Card Data'!$J:$J,N$2,'Card Data'!$A:$A,$A29)</f>
        <v>0</v>
      </c>
      <c r="O29" s="13">
        <f>COUNTIFS('Card Data'!$J:$J,O$2,'Card Data'!$A:$A,$A29)</f>
        <v>9</v>
      </c>
      <c r="P29" s="13">
        <f>COUNTIFS('Card Data'!$J:$J,P$2,'Card Data'!$A:$A,$A29)</f>
        <v>0</v>
      </c>
      <c r="Q29" s="13">
        <f>COUNTIFS('Card Data'!$J:$J,Q$2,'Card Data'!$A:$A,$A29)</f>
        <v>0</v>
      </c>
      <c r="R29" s="13">
        <f>COUNTIFS('Card Data'!$J:$J,R$2,'Card Data'!$A:$A,$A29)</f>
        <v>7</v>
      </c>
      <c r="S29" s="13">
        <f>COUNTIFS('Card Data'!$J:$J,S$2,'Card Data'!$A:$A,$A29)</f>
        <v>17</v>
      </c>
      <c r="T29" s="13">
        <f>COUNTIFS('Card Data'!$J:$J,T$2,'Card Data'!$A:$A,$A29)</f>
        <v>7</v>
      </c>
      <c r="U29" s="15"/>
      <c r="V29" s="13">
        <f>COUNTIFS('Card Data'!$K:$K,V$2,'Card Data'!$A:$A,$A29)</f>
        <v>0</v>
      </c>
      <c r="W29" s="13">
        <f>COUNTIFS('Card Data'!$K:$K,W$2,'Card Data'!$A:$A,$A29)</f>
        <v>0</v>
      </c>
      <c r="X29" s="13">
        <f>COUNTIFS('Card Data'!$K:$K,X$2,'Card Data'!$A:$A,$A29)</f>
        <v>0</v>
      </c>
      <c r="Y29" s="13">
        <f>COUNTIFS('Card Data'!$K:$K,Y$2,'Card Data'!$A:$A,$A29)</f>
        <v>0</v>
      </c>
      <c r="Z29" s="13">
        <f>COUNTIFS('Card Data'!$K:$K,Z$2,'Card Data'!$A:$A,$A29)</f>
        <v>0</v>
      </c>
      <c r="AA29" s="13">
        <f>COUNTIFS('Card Data'!$K:$K,AA$2,'Card Data'!$A:$A,$A29)</f>
        <v>9</v>
      </c>
    </row>
    <row r="30" spans="1:27">
      <c r="A30" s="166" t="s">
        <v>5461</v>
      </c>
      <c r="B30" s="166" t="s">
        <v>5462</v>
      </c>
      <c r="C30" s="167" t="s">
        <v>174</v>
      </c>
      <c r="D30" s="166"/>
      <c r="E30" s="166" t="s">
        <v>5463</v>
      </c>
      <c r="G30" s="13">
        <f>SUMIF('Card Data'!$A:$A,$A30,'Card Data'!$E:$E)</f>
        <v>105</v>
      </c>
      <c r="H30" s="13">
        <f>SUMIFS('Card Data'!$E:$E,'Card Data'!$A:$A,$A30,'Card Data'!$K:$K,"&lt;&gt;",'Card Data'!$J:$J,"&lt;&gt;Investigator")-SUMIFS('Card Data'!$E:$E,'Card Data'!$A:$A,$A30,'Card Data'!$K:$K,"&lt;&gt;",'Card Data'!$J:$J,"Mini")</f>
        <v>105</v>
      </c>
      <c r="I30" s="13">
        <f>SUMIFS('Card Data'!$E:$E,'Card Data'!$A:$A,$A30,'Card Data'!$K:$K,"",'Card Data'!$J:$J,"&lt;&gt;Campaign")+SUMIFS('Card Data'!$E:$E,'Card Data'!$A:$A,$A30,'Card Data'!$K:$K,"Mythos")-J30</f>
        <v>78</v>
      </c>
      <c r="J30" s="13">
        <f>SUMIFS('Card Data'!$E:$E,'Card Data'!$J:$J,J$2,'Card Data'!$A:$A,$A30,'Card Data'!$AD:$AD,"&lt;&gt;*Side Quest.*")</f>
        <v>3</v>
      </c>
      <c r="K30" s="13">
        <f>COUNTIFS('Card Data'!$J:$J,K$2,'Card Data'!$A:$A,$A30,'Card Data'!$AD:$AD,"&lt;&gt;*Side Quest.*")</f>
        <v>1</v>
      </c>
      <c r="L30" s="13">
        <f>COUNTIFS('Card Data'!$J:$J,L$2,'Card Data'!$A:$A,$A30,'Card Data'!$AD:$AD,"&lt;&gt;*Side Quest.*")</f>
        <v>8</v>
      </c>
      <c r="M30" s="15"/>
      <c r="N30" s="13">
        <f>COUNTIFS('Card Data'!$J:$J,N$2,'Card Data'!$A:$A,$A30)</f>
        <v>0</v>
      </c>
      <c r="O30" s="13">
        <f>COUNTIFS('Card Data'!$J:$J,O$2,'Card Data'!$A:$A,$A30)</f>
        <v>7</v>
      </c>
      <c r="P30" s="13">
        <f>COUNTIFS('Card Data'!$J:$J,P$2,'Card Data'!$A:$A,$A30)</f>
        <v>4</v>
      </c>
      <c r="Q30" s="13">
        <f>COUNTIFS('Card Data'!$J:$J,Q$2,'Card Data'!$A:$A,$A30)</f>
        <v>1</v>
      </c>
      <c r="R30" s="13">
        <f>COUNTIFS('Card Data'!$J:$J,R$2,'Card Data'!$A:$A,$A30)</f>
        <v>9</v>
      </c>
      <c r="S30" s="13">
        <f>COUNTIFS('Card Data'!$J:$J,S$2,'Card Data'!$A:$A,$A30)</f>
        <v>23</v>
      </c>
      <c r="T30" s="13">
        <f>COUNTIFS('Card Data'!$J:$J,T$2,'Card Data'!$A:$A,$A30)</f>
        <v>17</v>
      </c>
      <c r="U30" s="15"/>
      <c r="V30" s="13">
        <f>COUNTIFS('Card Data'!$K:$K,V$2,'Card Data'!$A:$A,$A30)</f>
        <v>2</v>
      </c>
      <c r="W30" s="13">
        <f>COUNTIFS('Card Data'!$K:$K,W$2,'Card Data'!$A:$A,$A30)</f>
        <v>2</v>
      </c>
      <c r="X30" s="13">
        <f>COUNTIFS('Card Data'!$K:$K,X$2,'Card Data'!$A:$A,$A30)</f>
        <v>2</v>
      </c>
      <c r="Y30" s="13">
        <f>COUNTIFS('Card Data'!$K:$K,Y$2,'Card Data'!$A:$A,$A30)</f>
        <v>2</v>
      </c>
      <c r="Z30" s="13">
        <f>COUNTIFS('Card Data'!$K:$K,Z$2,'Card Data'!$A:$A,$A30)</f>
        <v>2</v>
      </c>
      <c r="AA30" s="13">
        <f>COUNTIFS('Card Data'!$K:$K,AA$2,'Card Data'!$A:$A,$A30)</f>
        <v>3</v>
      </c>
    </row>
    <row r="31" spans="1:27">
      <c r="A31" s="186" t="s">
        <v>5693</v>
      </c>
      <c r="B31" s="39" t="s">
        <v>5847</v>
      </c>
      <c r="C31" s="138" t="s">
        <v>174</v>
      </c>
      <c r="D31" s="39"/>
      <c r="E31" s="39" t="s">
        <v>5848</v>
      </c>
      <c r="G31" s="13">
        <f>SUMIF('Card Data'!$A:$A,$A31,'Card Data'!$E:$E)</f>
        <v>168</v>
      </c>
      <c r="H31" s="13">
        <f>SUMIFS('Card Data'!$E:$E,'Card Data'!$A:$A,$A31,'Card Data'!$K:$K,"&lt;&gt;",'Card Data'!$J:$J,"&lt;&gt;Investigator")-SUMIFS('Card Data'!$E:$E,'Card Data'!$A:$A,$A31,'Card Data'!$K:$K,"&lt;&gt;",'Card Data'!$J:$J,"Mini")</f>
        <v>148</v>
      </c>
      <c r="I31" s="13">
        <f>SUMIFS('Card Data'!$E:$E,'Card Data'!$A:$A,$A31,'Card Data'!$K:$K,"",'Card Data'!$J:$J,"&lt;&gt;Campaign")+SUMIFS('Card Data'!$E:$E,'Card Data'!$A:$A,$A31,'Card Data'!$K:$K,"Mythos")-J31</f>
        <v>86</v>
      </c>
      <c r="J31" s="13">
        <f>SUMIFS('Card Data'!$E:$E,'Card Data'!$J:$J,J$2,'Card Data'!$A:$A,$A31,'Card Data'!$AD:$AD,"&lt;&gt;*Side Quest.*")</f>
        <v>5</v>
      </c>
      <c r="K31" s="13">
        <f>COUNTIFS('Card Data'!$J:$J,K$2,'Card Data'!$A:$A,$A31,'Card Data'!$AD:$AD,"&lt;&gt;*Side Quest.*")</f>
        <v>8</v>
      </c>
      <c r="L31" s="13">
        <f>COUNTIFS('Card Data'!$J:$J,L$2,'Card Data'!$A:$A,$A31,'Card Data'!$AD:$AD,"&lt;&gt;*Side Quest.*")</f>
        <v>3</v>
      </c>
      <c r="M31" s="15"/>
      <c r="N31" s="13">
        <f>COUNTIFS('Card Data'!$J:$J,N$2,'Card Data'!$A:$A,$A31)</f>
        <v>10</v>
      </c>
      <c r="O31" s="13">
        <f>COUNTIFS('Card Data'!$J:$J,O$2,'Card Data'!$A:$A,$A31)</f>
        <v>15</v>
      </c>
      <c r="P31" s="13">
        <f>COUNTIFS('Card Data'!$J:$J,P$2,'Card Data'!$A:$A,$A31)</f>
        <v>13</v>
      </c>
      <c r="Q31" s="13">
        <f>COUNTIFS('Card Data'!$J:$J,Q$2,'Card Data'!$A:$A,$A31)</f>
        <v>4</v>
      </c>
      <c r="R31" s="13">
        <f>COUNTIFS('Card Data'!$J:$J,R$2,'Card Data'!$A:$A,$A31)</f>
        <v>12</v>
      </c>
      <c r="S31" s="13">
        <f>COUNTIFS('Card Data'!$J:$J,S$2,'Card Data'!$A:$A,$A31)</f>
        <v>22</v>
      </c>
      <c r="T31" s="13">
        <f>COUNTIFS('Card Data'!$J:$J,T$2,'Card Data'!$A:$A,$A31)</f>
        <v>17</v>
      </c>
      <c r="U31" s="15"/>
      <c r="V31" s="13">
        <f>COUNTIFS('Card Data'!$K:$K,V$2,'Card Data'!$A:$A,$A31)</f>
        <v>6</v>
      </c>
      <c r="W31" s="13">
        <f>COUNTIFS('Card Data'!$K:$K,W$2,'Card Data'!$A:$A,$A31)</f>
        <v>6</v>
      </c>
      <c r="X31" s="13">
        <f>COUNTIFS('Card Data'!$K:$K,X$2,'Card Data'!$A:$A,$A31)</f>
        <v>6</v>
      </c>
      <c r="Y31" s="13">
        <f>COUNTIFS('Card Data'!$K:$K,Y$2,'Card Data'!$A:$A,$A31)</f>
        <v>8</v>
      </c>
      <c r="Z31" s="13">
        <f>COUNTIFS('Card Data'!$K:$K,Z$2,'Card Data'!$A:$A,$A31)</f>
        <v>6</v>
      </c>
      <c r="AA31" s="13">
        <f>COUNTIFS('Card Data'!$K:$K,AA$2,'Card Data'!$A:$A,$A31)</f>
        <v>23</v>
      </c>
    </row>
    <row r="32" spans="1:27">
      <c r="A32" s="4" t="s">
        <v>6116</v>
      </c>
      <c r="B32" s="4" t="s">
        <v>6146</v>
      </c>
      <c r="C32" s="6" t="s">
        <v>174</v>
      </c>
      <c r="E32" s="4" t="s">
        <v>6233</v>
      </c>
    </row>
    <row r="33" spans="1:5">
      <c r="A33" s="4" t="s">
        <v>6250</v>
      </c>
      <c r="B33" s="4" t="s">
        <v>6234</v>
      </c>
      <c r="C33" s="6" t="s">
        <v>174</v>
      </c>
      <c r="E33" s="4" t="s">
        <v>6242</v>
      </c>
    </row>
    <row r="34" spans="1:5">
      <c r="A34" s="4" t="s">
        <v>6412</v>
      </c>
      <c r="B34" s="4" t="s">
        <v>6235</v>
      </c>
      <c r="C34" s="6" t="s">
        <v>174</v>
      </c>
      <c r="E34" s="4" t="s">
        <v>6243</v>
      </c>
    </row>
    <row r="35" spans="1:5">
      <c r="A35" s="4" t="s">
        <v>6552</v>
      </c>
      <c r="B35" s="4" t="s">
        <v>6236</v>
      </c>
      <c r="C35" s="6" t="s">
        <v>174</v>
      </c>
      <c r="E35" s="4" t="s">
        <v>6244</v>
      </c>
    </row>
    <row r="36" spans="1:5">
      <c r="A36" s="4" t="s">
        <v>6701</v>
      </c>
      <c r="B36" s="4" t="s">
        <v>6237</v>
      </c>
      <c r="C36" s="6" t="s">
        <v>174</v>
      </c>
      <c r="E36" s="4" t="s">
        <v>6245</v>
      </c>
    </row>
    <row r="37" spans="1:5">
      <c r="A37" s="4" t="s">
        <v>6823</v>
      </c>
      <c r="B37" s="4" t="s">
        <v>6238</v>
      </c>
      <c r="C37" s="6" t="s">
        <v>174</v>
      </c>
      <c r="E37" s="4" t="s">
        <v>6246</v>
      </c>
    </row>
    <row r="38" spans="1:5">
      <c r="A38" s="4" t="s">
        <v>6939</v>
      </c>
      <c r="B38" s="39" t="s">
        <v>6239</v>
      </c>
      <c r="C38" s="138" t="s">
        <v>174</v>
      </c>
      <c r="D38" s="39"/>
      <c r="E38" s="39" t="s">
        <v>6247</v>
      </c>
    </row>
    <row r="39" spans="1:5">
      <c r="A39" s="4" t="s">
        <v>7362</v>
      </c>
      <c r="B39" s="184" t="s">
        <v>6240</v>
      </c>
      <c r="C39" s="185" t="s">
        <v>174</v>
      </c>
      <c r="D39" s="184"/>
      <c r="E39" s="184" t="s">
        <v>6249</v>
      </c>
    </row>
    <row r="40" spans="1:5">
      <c r="A40" s="4" t="s">
        <v>7589</v>
      </c>
      <c r="B40" s="166" t="s">
        <v>6241</v>
      </c>
      <c r="C40" s="167" t="s">
        <v>174</v>
      </c>
      <c r="D40" s="166"/>
      <c r="E40" s="166" t="s">
        <v>6248</v>
      </c>
    </row>
  </sheetData>
  <mergeCells count="3">
    <mergeCell ref="G1:J1"/>
    <mergeCell ref="N1:T1"/>
    <mergeCell ref="V1:AA1"/>
  </mergeCells>
  <phoneticPr fontId="19" type="noConversion"/>
  <conditionalFormatting sqref="V2">
    <cfRule type="cellIs" dxfId="3352" priority="29" operator="equal">
      <formula>"Fellowship"</formula>
    </cfRule>
    <cfRule type="cellIs" dxfId="3351" priority="30" operator="equal">
      <formula>"Neutral"</formula>
    </cfRule>
    <cfRule type="cellIs" dxfId="3350" priority="31" operator="equal">
      <formula>"Baggins"</formula>
    </cfRule>
    <cfRule type="cellIs" dxfId="3349" priority="32" operator="equal">
      <formula>"Lore"</formula>
    </cfRule>
    <cfRule type="cellIs" dxfId="3348" priority="33" operator="equal">
      <formula>"Spirit"</formula>
    </cfRule>
    <cfRule type="cellIs" dxfId="3347" priority="34" operator="equal">
      <formula>"Tactics"</formula>
    </cfRule>
    <cfRule type="cellIs" dxfId="3346" priority="35" operator="equal">
      <formula>"Leadership"</formula>
    </cfRule>
  </conditionalFormatting>
  <conditionalFormatting sqref="W2">
    <cfRule type="cellIs" dxfId="3345" priority="22" operator="equal">
      <formula>"Fellowship"</formula>
    </cfRule>
    <cfRule type="cellIs" dxfId="3344" priority="23" operator="equal">
      <formula>"Neutral"</formula>
    </cfRule>
    <cfRule type="cellIs" dxfId="3343" priority="24" operator="equal">
      <formula>"Baggins"</formula>
    </cfRule>
    <cfRule type="cellIs" dxfId="3342" priority="25" operator="equal">
      <formula>"Lore"</formula>
    </cfRule>
    <cfRule type="cellIs" dxfId="3341" priority="26" operator="equal">
      <formula>"Spirit"</formula>
    </cfRule>
    <cfRule type="cellIs" dxfId="3340" priority="27" operator="equal">
      <formula>"Tactics"</formula>
    </cfRule>
    <cfRule type="cellIs" dxfId="3339" priority="28" operator="equal">
      <formula>"Leadership"</formula>
    </cfRule>
  </conditionalFormatting>
  <conditionalFormatting sqref="X2">
    <cfRule type="cellIs" dxfId="3338" priority="15" operator="equal">
      <formula>"Fellowship"</formula>
    </cfRule>
    <cfRule type="cellIs" dxfId="3337" priority="16" operator="equal">
      <formula>"Neutral"</formula>
    </cfRule>
    <cfRule type="cellIs" dxfId="3336" priority="17" operator="equal">
      <formula>"Baggins"</formula>
    </cfRule>
    <cfRule type="cellIs" dxfId="3335" priority="18" operator="equal">
      <formula>"Lore"</formula>
    </cfRule>
    <cfRule type="cellIs" dxfId="3334" priority="19" operator="equal">
      <formula>"Spirit"</formula>
    </cfRule>
    <cfRule type="cellIs" dxfId="3333" priority="20" operator="equal">
      <formula>"Tactics"</formula>
    </cfRule>
    <cfRule type="cellIs" dxfId="3332" priority="21" operator="equal">
      <formula>"Leadership"</formula>
    </cfRule>
  </conditionalFormatting>
  <conditionalFormatting sqref="Y2:Z2">
    <cfRule type="cellIs" dxfId="3331" priority="8" operator="equal">
      <formula>"Fellowship"</formula>
    </cfRule>
    <cfRule type="cellIs" dxfId="3330" priority="9" operator="equal">
      <formula>"Neutral"</formula>
    </cfRule>
    <cfRule type="cellIs" dxfId="3329" priority="10" operator="equal">
      <formula>"Baggins"</formula>
    </cfRule>
    <cfRule type="cellIs" dxfId="3328" priority="11" operator="equal">
      <formula>"Lore"</formula>
    </cfRule>
    <cfRule type="cellIs" dxfId="3327" priority="12" operator="equal">
      <formula>"Spirit"</formula>
    </cfRule>
    <cfRule type="cellIs" dxfId="3326" priority="13" operator="equal">
      <formula>"Tactics"</formula>
    </cfRule>
    <cfRule type="cellIs" dxfId="3325" priority="14" operator="equal">
      <formula>"Leadership"</formula>
    </cfRule>
  </conditionalFormatting>
  <conditionalFormatting sqref="AA2">
    <cfRule type="cellIs" dxfId="3324" priority="1" operator="equal">
      <formula>"Fellowship"</formula>
    </cfRule>
    <cfRule type="cellIs" dxfId="3323" priority="2" operator="equal">
      <formula>"Neutral"</formula>
    </cfRule>
    <cfRule type="cellIs" dxfId="3322" priority="3" operator="equal">
      <formula>"Baggins"</formula>
    </cfRule>
    <cfRule type="cellIs" dxfId="3321" priority="4" operator="equal">
      <formula>"Lore"</formula>
    </cfRule>
    <cfRule type="cellIs" dxfId="3320" priority="5" operator="equal">
      <formula>"Spirit"</formula>
    </cfRule>
    <cfRule type="cellIs" dxfId="3319" priority="6" operator="equal">
      <formula>"Tactics"</formula>
    </cfRule>
    <cfRule type="cellIs" dxfId="331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U2122"/>
  <sheetViews>
    <sheetView tabSelected="1" zoomScale="85" zoomScaleNormal="85" workbookViewId="0">
      <pane xSplit="7" ySplit="1" topLeftCell="H2095" activePane="bottomRight" state="frozen"/>
      <selection activeCell="E1" sqref="E1"/>
      <selection pane="topRight" activeCell="F1" sqref="F1"/>
      <selection pane="bottomLeft" activeCell="E2" sqref="E2"/>
      <selection pane="bottomRight" activeCell="A2122" sqref="A2122"/>
    </sheetView>
  </sheetViews>
  <sheetFormatPr baseColWidth="10"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9"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9"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9"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row r="1332" spans="1:59" s="171" customFormat="1" ht="15" customHeight="1">
      <c r="A1332" s="153" t="s">
        <v>5088</v>
      </c>
      <c r="B1332" s="154" t="s">
        <v>5094</v>
      </c>
      <c r="C1332" s="154" t="s">
        <v>5095</v>
      </c>
      <c r="D1332" s="170">
        <v>304</v>
      </c>
      <c r="E1332" s="171">
        <v>2</v>
      </c>
      <c r="F1332" s="154"/>
      <c r="G1332" s="171" t="s">
        <v>5096</v>
      </c>
      <c r="J1332" s="171" t="s">
        <v>257</v>
      </c>
      <c r="K1332" s="171" t="s">
        <v>198</v>
      </c>
      <c r="L1332" s="171">
        <v>1</v>
      </c>
      <c r="N1332" s="170">
        <v>3</v>
      </c>
      <c r="O1332" s="156">
        <v>1</v>
      </c>
      <c r="P1332" s="157"/>
      <c r="Q1332" s="158"/>
      <c r="R1332" s="159"/>
      <c r="S1332" s="160"/>
      <c r="T1332" s="161"/>
      <c r="U1332" s="156"/>
      <c r="V1332" s="162"/>
      <c r="W1332" s="163"/>
      <c r="X1332" s="164"/>
      <c r="Y1332" s="159"/>
      <c r="Z1332" s="161"/>
      <c r="AA1332" s="165"/>
      <c r="AB1332" s="171" t="s">
        <v>204</v>
      </c>
      <c r="AD1332" s="171" t="s">
        <v>265</v>
      </c>
      <c r="AE1332" s="170"/>
      <c r="AF1332" s="171" t="s">
        <v>5097</v>
      </c>
      <c r="AQ1332" s="156"/>
      <c r="AR1332" s="157"/>
      <c r="AS1332" s="158"/>
      <c r="AT1332" s="159"/>
      <c r="AU1332" s="161"/>
      <c r="AV1332" s="156"/>
      <c r="AW1332" s="162"/>
      <c r="AX1332" s="163"/>
      <c r="AY1332" s="164"/>
      <c r="AZ1332" s="159"/>
      <c r="BA1332" s="161"/>
      <c r="BB1332" s="165"/>
      <c r="BF1332" s="170"/>
    </row>
    <row r="1333" spans="1:59" s="154" customFormat="1" ht="15" customHeight="1">
      <c r="A1333" s="153" t="s">
        <v>5088</v>
      </c>
      <c r="B1333" s="154" t="s">
        <v>5098</v>
      </c>
      <c r="C1333" s="154" t="s">
        <v>5095</v>
      </c>
      <c r="D1333" s="170">
        <v>305</v>
      </c>
      <c r="E1333" s="154">
        <v>2</v>
      </c>
      <c r="G1333" s="154" t="s">
        <v>5099</v>
      </c>
      <c r="J1333" s="171" t="s">
        <v>257</v>
      </c>
      <c r="K1333" s="154" t="s">
        <v>198</v>
      </c>
      <c r="L1333" s="154">
        <v>5</v>
      </c>
      <c r="N1333" s="155">
        <v>4</v>
      </c>
      <c r="O1333" s="156"/>
      <c r="P1333" s="157"/>
      <c r="Q1333" s="158">
        <v>2</v>
      </c>
      <c r="R1333" s="159"/>
      <c r="S1333" s="160">
        <v>1</v>
      </c>
      <c r="T1333" s="161"/>
      <c r="U1333" s="156"/>
      <c r="V1333" s="162"/>
      <c r="W1333" s="163"/>
      <c r="X1333" s="164"/>
      <c r="Y1333" s="159"/>
      <c r="Z1333" s="161"/>
      <c r="AA1333" s="165"/>
      <c r="AB1333" s="154" t="s">
        <v>1342</v>
      </c>
      <c r="AC1333" s="154" t="s">
        <v>5100</v>
      </c>
      <c r="AD1333" s="154" t="s">
        <v>259</v>
      </c>
      <c r="AE1333" s="155"/>
      <c r="AF1333" s="154" t="s">
        <v>5101</v>
      </c>
      <c r="AL1333" s="171"/>
      <c r="AO1333" s="155"/>
      <c r="AP1333" s="155"/>
      <c r="AQ1333" s="156"/>
      <c r="AR1333" s="157"/>
      <c r="AS1333" s="158"/>
      <c r="AT1333" s="159"/>
      <c r="AU1333" s="161"/>
      <c r="AV1333" s="156"/>
      <c r="AW1333" s="162"/>
      <c r="AX1333" s="163"/>
      <c r="AY1333" s="164"/>
      <c r="AZ1333" s="159"/>
      <c r="BA1333" s="161"/>
      <c r="BB1333" s="165"/>
      <c r="BE1333" s="155"/>
    </row>
    <row r="1334" spans="1:59" s="154" customFormat="1" ht="15" customHeight="1">
      <c r="A1334" s="153" t="s">
        <v>5088</v>
      </c>
      <c r="B1334" s="153" t="s">
        <v>5102</v>
      </c>
      <c r="C1334" s="154" t="s">
        <v>5095</v>
      </c>
      <c r="D1334" s="170">
        <v>306</v>
      </c>
      <c r="E1334" s="154">
        <v>2</v>
      </c>
      <c r="G1334" s="154" t="s">
        <v>5103</v>
      </c>
      <c r="J1334" s="171" t="s">
        <v>27</v>
      </c>
      <c r="K1334" s="154" t="s">
        <v>199</v>
      </c>
      <c r="L1334" s="154">
        <v>0</v>
      </c>
      <c r="N1334" s="155">
        <v>1</v>
      </c>
      <c r="O1334" s="156"/>
      <c r="P1334" s="157">
        <v>1</v>
      </c>
      <c r="Q1334" s="158"/>
      <c r="R1334" s="159">
        <v>1</v>
      </c>
      <c r="S1334" s="160"/>
      <c r="T1334" s="161"/>
      <c r="U1334" s="156"/>
      <c r="V1334" s="162"/>
      <c r="W1334" s="163"/>
      <c r="X1334" s="164"/>
      <c r="Y1334" s="159"/>
      <c r="Z1334" s="161"/>
      <c r="AA1334" s="165"/>
      <c r="AB1334" s="154" t="s">
        <v>1089</v>
      </c>
      <c r="AD1334" s="154" t="s">
        <v>340</v>
      </c>
      <c r="AE1334" s="155"/>
      <c r="AF1334" s="154" t="s">
        <v>5104</v>
      </c>
      <c r="AL1334" s="171"/>
      <c r="AO1334" s="155"/>
      <c r="AP1334" s="155"/>
      <c r="AQ1334" s="156"/>
      <c r="AR1334" s="157"/>
      <c r="AS1334" s="158"/>
      <c r="AT1334" s="159"/>
      <c r="AU1334" s="161"/>
      <c r="AV1334" s="156"/>
      <c r="AW1334" s="162"/>
      <c r="AX1334" s="163"/>
      <c r="AY1334" s="164"/>
      <c r="AZ1334" s="159"/>
      <c r="BA1334" s="161"/>
      <c r="BB1334" s="165"/>
      <c r="BE1334" s="155"/>
    </row>
    <row r="1335" spans="1:59" s="154" customFormat="1" ht="15" customHeight="1">
      <c r="A1335" s="153" t="s">
        <v>5088</v>
      </c>
      <c r="B1335" s="153" t="s">
        <v>5105</v>
      </c>
      <c r="C1335" s="154" t="s">
        <v>5095</v>
      </c>
      <c r="D1335" s="170">
        <v>307</v>
      </c>
      <c r="E1335" s="154">
        <v>2</v>
      </c>
      <c r="G1335" s="154" t="s">
        <v>5106</v>
      </c>
      <c r="H1335" s="154" t="s">
        <v>5107</v>
      </c>
      <c r="I1335" s="154" t="s">
        <v>223</v>
      </c>
      <c r="J1335" s="171" t="s">
        <v>257</v>
      </c>
      <c r="K1335" s="154" t="s">
        <v>199</v>
      </c>
      <c r="L1335" s="154">
        <v>5</v>
      </c>
      <c r="N1335" s="155">
        <v>5</v>
      </c>
      <c r="O1335" s="156"/>
      <c r="P1335" s="157">
        <v>1</v>
      </c>
      <c r="Q1335" s="158"/>
      <c r="R1335" s="159"/>
      <c r="S1335" s="160">
        <v>1</v>
      </c>
      <c r="T1335" s="161"/>
      <c r="U1335" s="156"/>
      <c r="V1335" s="162"/>
      <c r="W1335" s="163"/>
      <c r="X1335" s="164"/>
      <c r="Y1335" s="159"/>
      <c r="Z1335" s="161"/>
      <c r="AA1335" s="165"/>
      <c r="AB1335" s="154" t="s">
        <v>1178</v>
      </c>
      <c r="AC1335" s="154" t="s">
        <v>258</v>
      </c>
      <c r="AD1335" s="154" t="s">
        <v>5108</v>
      </c>
      <c r="AE1335" s="155"/>
      <c r="AF1335" s="154" t="s">
        <v>5109</v>
      </c>
      <c r="AL1335" s="171"/>
      <c r="AO1335" s="155"/>
      <c r="AP1335" s="155"/>
      <c r="AQ1335" s="156"/>
      <c r="AR1335" s="157"/>
      <c r="AS1335" s="158"/>
      <c r="AT1335" s="159"/>
      <c r="AU1335" s="161"/>
      <c r="AV1335" s="156"/>
      <c r="AW1335" s="162"/>
      <c r="AX1335" s="163"/>
      <c r="AY1335" s="164"/>
      <c r="AZ1335" s="159"/>
      <c r="BA1335" s="161"/>
      <c r="BB1335" s="165"/>
      <c r="BE1335" s="155"/>
    </row>
    <row r="1336" spans="1:59" s="154" customFormat="1" ht="15" customHeight="1">
      <c r="A1336" s="153" t="s">
        <v>5088</v>
      </c>
      <c r="B1336" s="153" t="s">
        <v>5110</v>
      </c>
      <c r="C1336" s="154" t="s">
        <v>5095</v>
      </c>
      <c r="D1336" s="170">
        <v>308</v>
      </c>
      <c r="E1336" s="154">
        <v>2</v>
      </c>
      <c r="G1336" s="154" t="s">
        <v>5111</v>
      </c>
      <c r="J1336" s="154" t="s">
        <v>257</v>
      </c>
      <c r="K1336" s="154" t="s">
        <v>201</v>
      </c>
      <c r="L1336" s="154">
        <v>3</v>
      </c>
      <c r="N1336" s="154">
        <v>1</v>
      </c>
      <c r="O1336" s="156">
        <v>1</v>
      </c>
      <c r="P1336" s="157"/>
      <c r="Q1336" s="158"/>
      <c r="R1336" s="159">
        <v>1</v>
      </c>
      <c r="S1336" s="160"/>
      <c r="T1336" s="161"/>
      <c r="U1336" s="156"/>
      <c r="V1336" s="162"/>
      <c r="W1336" s="163"/>
      <c r="X1336" s="164"/>
      <c r="Y1336" s="159"/>
      <c r="Z1336" s="161"/>
      <c r="AA1336" s="165"/>
      <c r="AB1336" s="154" t="s">
        <v>1085</v>
      </c>
      <c r="AC1336" s="154" t="s">
        <v>378</v>
      </c>
      <c r="AD1336" s="154" t="s">
        <v>2567</v>
      </c>
      <c r="AF1336" s="154" t="s">
        <v>5112</v>
      </c>
      <c r="AO1336" s="155"/>
      <c r="AQ1336" s="156"/>
      <c r="AR1336" s="157"/>
      <c r="AS1336" s="158"/>
      <c r="AT1336" s="159"/>
      <c r="AU1336" s="161"/>
      <c r="AV1336" s="156"/>
      <c r="AW1336" s="162"/>
      <c r="AX1336" s="163"/>
      <c r="AY1336" s="164"/>
      <c r="AZ1336" s="159"/>
      <c r="BA1336" s="161"/>
      <c r="BB1336" s="165"/>
      <c r="BE1336" s="155"/>
    </row>
    <row r="1337" spans="1:59" s="154" customFormat="1" ht="15" customHeight="1">
      <c r="A1337" s="153" t="s">
        <v>5088</v>
      </c>
      <c r="B1337" s="169" t="s">
        <v>5113</v>
      </c>
      <c r="C1337" s="154" t="s">
        <v>5095</v>
      </c>
      <c r="D1337" s="170">
        <v>309</v>
      </c>
      <c r="E1337" s="154">
        <v>2</v>
      </c>
      <c r="G1337" s="154" t="s">
        <v>1560</v>
      </c>
      <c r="J1337" s="154" t="s">
        <v>312</v>
      </c>
      <c r="K1337" s="154" t="s">
        <v>201</v>
      </c>
      <c r="L1337" s="154">
        <v>5</v>
      </c>
      <c r="O1337" s="156"/>
      <c r="P1337" s="157"/>
      <c r="Q1337" s="158"/>
      <c r="R1337" s="159"/>
      <c r="S1337" s="160">
        <v>2</v>
      </c>
      <c r="T1337" s="161"/>
      <c r="U1337" s="156"/>
      <c r="V1337" s="162"/>
      <c r="W1337" s="163"/>
      <c r="X1337" s="164"/>
      <c r="Y1337" s="159"/>
      <c r="Z1337" s="161"/>
      <c r="AA1337" s="165"/>
      <c r="AB1337" s="154" t="s">
        <v>1082</v>
      </c>
      <c r="AD1337" s="154" t="s">
        <v>372</v>
      </c>
      <c r="AF1337" s="154" t="s">
        <v>5114</v>
      </c>
      <c r="AO1337" s="155"/>
      <c r="AQ1337" s="156"/>
      <c r="AR1337" s="157"/>
      <c r="AS1337" s="158"/>
      <c r="AT1337" s="159"/>
      <c r="AU1337" s="161"/>
      <c r="AV1337" s="156"/>
      <c r="AW1337" s="162"/>
      <c r="AX1337" s="163"/>
      <c r="AY1337" s="164"/>
      <c r="AZ1337" s="159"/>
      <c r="BA1337" s="161"/>
      <c r="BB1337" s="165"/>
      <c r="BE1337" s="155"/>
    </row>
    <row r="1338" spans="1:59" s="154" customFormat="1" ht="15" customHeight="1">
      <c r="A1338" s="153" t="s">
        <v>5088</v>
      </c>
      <c r="B1338" s="169" t="s">
        <v>5115</v>
      </c>
      <c r="C1338" s="154" t="s">
        <v>5095</v>
      </c>
      <c r="D1338" s="170">
        <v>310</v>
      </c>
      <c r="E1338" s="154">
        <v>2</v>
      </c>
      <c r="G1338" s="154" t="s">
        <v>5116</v>
      </c>
      <c r="J1338" s="154" t="s">
        <v>257</v>
      </c>
      <c r="K1338" s="154" t="s">
        <v>200</v>
      </c>
      <c r="L1338" s="154">
        <v>3</v>
      </c>
      <c r="N1338" s="154">
        <v>3</v>
      </c>
      <c r="O1338" s="156">
        <v>1</v>
      </c>
      <c r="P1338" s="157"/>
      <c r="Q1338" s="158">
        <v>1</v>
      </c>
      <c r="R1338" s="159"/>
      <c r="S1338" s="160"/>
      <c r="T1338" s="161"/>
      <c r="U1338" s="156"/>
      <c r="V1338" s="162"/>
      <c r="W1338" s="163"/>
      <c r="X1338" s="164"/>
      <c r="Y1338" s="159"/>
      <c r="Z1338" s="161"/>
      <c r="AA1338" s="165"/>
      <c r="AB1338" s="154" t="s">
        <v>1083</v>
      </c>
      <c r="AC1338" s="154" t="s">
        <v>378</v>
      </c>
      <c r="AD1338" s="154" t="s">
        <v>279</v>
      </c>
      <c r="AF1338" s="154" t="s">
        <v>5117</v>
      </c>
      <c r="AO1338" s="155"/>
      <c r="AQ1338" s="156"/>
      <c r="AR1338" s="157"/>
      <c r="AS1338" s="158"/>
      <c r="AT1338" s="159"/>
      <c r="AU1338" s="161"/>
      <c r="AV1338" s="156"/>
      <c r="AW1338" s="162"/>
      <c r="AX1338" s="163"/>
      <c r="AY1338" s="164"/>
      <c r="AZ1338" s="159"/>
      <c r="BA1338" s="161"/>
      <c r="BB1338" s="165"/>
      <c r="BE1338" s="155"/>
    </row>
    <row r="1339" spans="1:59" s="154" customFormat="1" ht="15" customHeight="1">
      <c r="A1339" s="153" t="s">
        <v>5088</v>
      </c>
      <c r="B1339" s="153" t="s">
        <v>5118</v>
      </c>
      <c r="C1339" s="154" t="s">
        <v>5095</v>
      </c>
      <c r="D1339" s="170">
        <v>311</v>
      </c>
      <c r="E1339" s="154">
        <v>2</v>
      </c>
      <c r="G1339" s="154" t="s">
        <v>5119</v>
      </c>
      <c r="H1339" s="154" t="s">
        <v>5120</v>
      </c>
      <c r="I1339" s="154" t="s">
        <v>223</v>
      </c>
      <c r="J1339" s="154" t="s">
        <v>257</v>
      </c>
      <c r="K1339" s="154" t="s">
        <v>200</v>
      </c>
      <c r="L1339" s="154">
        <v>5</v>
      </c>
      <c r="N1339" s="154">
        <v>4</v>
      </c>
      <c r="O1339" s="156">
        <v>1</v>
      </c>
      <c r="P1339" s="157"/>
      <c r="Q1339" s="158"/>
      <c r="R1339" s="159"/>
      <c r="S1339" s="160">
        <v>1</v>
      </c>
      <c r="T1339" s="161"/>
      <c r="U1339" s="156"/>
      <c r="V1339" s="162"/>
      <c r="W1339" s="163"/>
      <c r="X1339" s="164"/>
      <c r="Y1339" s="159"/>
      <c r="Z1339" s="161"/>
      <c r="AA1339" s="165"/>
      <c r="AB1339" s="154" t="s">
        <v>1086</v>
      </c>
      <c r="AC1339" s="154" t="s">
        <v>378</v>
      </c>
      <c r="AD1339" s="154" t="s">
        <v>5121</v>
      </c>
      <c r="AF1339" s="154" t="s">
        <v>5122</v>
      </c>
      <c r="AO1339" s="155"/>
      <c r="AQ1339" s="156"/>
      <c r="AR1339" s="157"/>
      <c r="AS1339" s="158"/>
      <c r="AT1339" s="159"/>
      <c r="AU1339" s="161"/>
      <c r="AV1339" s="156"/>
      <c r="AW1339" s="162"/>
      <c r="AX1339" s="163"/>
      <c r="AY1339" s="164"/>
      <c r="AZ1339" s="159"/>
      <c r="BA1339" s="161"/>
      <c r="BB1339" s="165"/>
      <c r="BE1339" s="155"/>
    </row>
    <row r="1340" spans="1:59" s="154" customFormat="1" ht="15" customHeight="1">
      <c r="A1340" s="153" t="s">
        <v>5088</v>
      </c>
      <c r="B1340" s="153" t="s">
        <v>5123</v>
      </c>
      <c r="C1340" s="154" t="s">
        <v>5095</v>
      </c>
      <c r="D1340" s="170">
        <v>312</v>
      </c>
      <c r="E1340" s="154">
        <v>2</v>
      </c>
      <c r="G1340" s="154" t="s">
        <v>5124</v>
      </c>
      <c r="J1340" s="154" t="s">
        <v>27</v>
      </c>
      <c r="K1340" s="154" t="s">
        <v>202</v>
      </c>
      <c r="L1340" s="154">
        <v>0</v>
      </c>
      <c r="N1340" s="172">
        <v>1</v>
      </c>
      <c r="O1340" s="156"/>
      <c r="P1340" s="157"/>
      <c r="Q1340" s="158"/>
      <c r="R1340" s="159"/>
      <c r="S1340" s="160"/>
      <c r="T1340" s="161"/>
      <c r="U1340" s="156"/>
      <c r="V1340" s="162"/>
      <c r="W1340" s="163"/>
      <c r="X1340" s="164"/>
      <c r="Y1340" s="159"/>
      <c r="Z1340" s="161"/>
      <c r="AA1340" s="165"/>
      <c r="AD1340" s="154" t="s">
        <v>3912</v>
      </c>
      <c r="AF1340" s="154" t="s">
        <v>5125</v>
      </c>
      <c r="AO1340" s="155"/>
      <c r="AQ1340" s="156"/>
      <c r="AR1340" s="157"/>
      <c r="AS1340" s="158"/>
      <c r="AT1340" s="159"/>
      <c r="AU1340" s="161"/>
      <c r="AV1340" s="156"/>
      <c r="AW1340" s="162"/>
      <c r="AX1340" s="163"/>
      <c r="AY1340" s="164"/>
      <c r="AZ1340" s="159"/>
      <c r="BA1340" s="161"/>
      <c r="BB1340" s="165"/>
      <c r="BE1340" s="155"/>
    </row>
    <row r="1341" spans="1:59" s="154" customFormat="1" ht="15" customHeight="1">
      <c r="A1341" s="153" t="s">
        <v>5088</v>
      </c>
      <c r="B1341" s="153" t="s">
        <v>5126</v>
      </c>
      <c r="C1341" s="154" t="s">
        <v>5095</v>
      </c>
      <c r="D1341" s="170">
        <v>313</v>
      </c>
      <c r="E1341" s="154">
        <v>2</v>
      </c>
      <c r="G1341" s="154" t="s">
        <v>5127</v>
      </c>
      <c r="J1341" s="154" t="s">
        <v>27</v>
      </c>
      <c r="K1341" s="154" t="s">
        <v>202</v>
      </c>
      <c r="L1341" s="154">
        <v>3</v>
      </c>
      <c r="N1341" s="154">
        <v>1</v>
      </c>
      <c r="O1341" s="156"/>
      <c r="P1341" s="157"/>
      <c r="Q1341" s="158"/>
      <c r="R1341" s="159"/>
      <c r="S1341" s="160">
        <v>1</v>
      </c>
      <c r="T1341" s="161"/>
      <c r="U1341" s="156"/>
      <c r="V1341" s="162"/>
      <c r="W1341" s="163"/>
      <c r="X1341" s="164"/>
      <c r="Y1341" s="159"/>
      <c r="Z1341" s="161"/>
      <c r="AA1341" s="165"/>
      <c r="AB1341" s="154" t="s">
        <v>208</v>
      </c>
      <c r="AD1341" s="154" t="s">
        <v>4099</v>
      </c>
      <c r="AF1341" s="154" t="s">
        <v>5128</v>
      </c>
      <c r="AO1341" s="155"/>
      <c r="AQ1341" s="156"/>
      <c r="AR1341" s="157"/>
      <c r="AS1341" s="158"/>
      <c r="AT1341" s="159"/>
      <c r="AU1341" s="161"/>
      <c r="AV1341" s="156"/>
      <c r="AW1341" s="162"/>
      <c r="AX1341" s="163"/>
      <c r="AY1341" s="164"/>
      <c r="AZ1341" s="159"/>
      <c r="BA1341" s="161"/>
      <c r="BB1341" s="165"/>
      <c r="BE1341" s="155"/>
    </row>
    <row r="1342" spans="1:59" s="154" customFormat="1" ht="15" customHeight="1">
      <c r="A1342" s="153" t="s">
        <v>5088</v>
      </c>
      <c r="B1342" s="153" t="s">
        <v>5129</v>
      </c>
      <c r="C1342" s="154" t="s">
        <v>5095</v>
      </c>
      <c r="D1342" s="170">
        <v>314</v>
      </c>
      <c r="E1342" s="154">
        <v>1</v>
      </c>
      <c r="F1342" s="154" t="s">
        <v>5090</v>
      </c>
      <c r="G1342" s="154" t="s">
        <v>5090</v>
      </c>
      <c r="J1342" s="154" t="s">
        <v>618</v>
      </c>
      <c r="K1342" s="154" t="s">
        <v>2426</v>
      </c>
      <c r="O1342" s="156"/>
      <c r="P1342" s="157"/>
      <c r="Q1342" s="158"/>
      <c r="R1342" s="159"/>
      <c r="S1342" s="160"/>
      <c r="T1342" s="161"/>
      <c r="U1342" s="156"/>
      <c r="V1342" s="162"/>
      <c r="W1342" s="163"/>
      <c r="X1342" s="164"/>
      <c r="Y1342" s="159"/>
      <c r="Z1342" s="161"/>
      <c r="AA1342" s="165"/>
      <c r="AF1342" s="154" t="s">
        <v>5130</v>
      </c>
      <c r="AI1342" s="154" t="s">
        <v>5090</v>
      </c>
      <c r="AL1342" s="154" t="s">
        <v>618</v>
      </c>
      <c r="AM1342" s="154" t="s">
        <v>2426</v>
      </c>
      <c r="AO1342" s="155"/>
      <c r="AQ1342" s="156"/>
      <c r="AR1342" s="157"/>
      <c r="AS1342" s="158"/>
      <c r="AT1342" s="159"/>
      <c r="AU1342" s="161"/>
      <c r="AV1342" s="156"/>
      <c r="AW1342" s="162"/>
      <c r="AX1342" s="163"/>
      <c r="AY1342" s="164"/>
      <c r="AZ1342" s="159"/>
      <c r="BA1342" s="161"/>
      <c r="BB1342" s="165"/>
      <c r="BE1342" s="155"/>
      <c r="BG1342" s="154" t="s">
        <v>5131</v>
      </c>
    </row>
    <row r="1343" spans="1:59" s="154" customFormat="1" ht="15" customHeight="1">
      <c r="A1343" s="153" t="s">
        <v>5088</v>
      </c>
      <c r="B1343" s="153" t="s">
        <v>5132</v>
      </c>
      <c r="C1343" s="154" t="s">
        <v>5095</v>
      </c>
      <c r="D1343" s="170">
        <v>315</v>
      </c>
      <c r="E1343" s="154">
        <v>1</v>
      </c>
      <c r="F1343" s="154" t="s">
        <v>5090</v>
      </c>
      <c r="G1343" s="154" t="s">
        <v>5133</v>
      </c>
      <c r="J1343" s="154" t="s">
        <v>619</v>
      </c>
      <c r="K1343" s="154" t="s">
        <v>2426</v>
      </c>
      <c r="O1343" s="156"/>
      <c r="P1343" s="157"/>
      <c r="Q1343" s="158"/>
      <c r="R1343" s="159"/>
      <c r="S1343" s="160"/>
      <c r="T1343" s="161"/>
      <c r="U1343" s="156"/>
      <c r="V1343" s="162"/>
      <c r="W1343" s="163"/>
      <c r="X1343" s="164"/>
      <c r="Y1343" s="159"/>
      <c r="Z1343" s="161">
        <v>6</v>
      </c>
      <c r="AA1343" s="165"/>
      <c r="AF1343" s="154" t="s">
        <v>5134</v>
      </c>
      <c r="AI1343" s="154" t="s">
        <v>5133</v>
      </c>
      <c r="AL1343" s="154" t="s">
        <v>619</v>
      </c>
      <c r="AM1343" s="154" t="s">
        <v>2426</v>
      </c>
      <c r="AO1343" s="155"/>
      <c r="AQ1343" s="156"/>
      <c r="AR1343" s="157"/>
      <c r="AS1343" s="158"/>
      <c r="AT1343" s="159"/>
      <c r="AU1343" s="161"/>
      <c r="AV1343" s="156"/>
      <c r="AW1343" s="162"/>
      <c r="AX1343" s="163"/>
      <c r="AY1343" s="164"/>
      <c r="AZ1343" s="159"/>
      <c r="BA1343" s="161"/>
      <c r="BB1343" s="165"/>
      <c r="BE1343" s="155"/>
      <c r="BG1343" s="154" t="s">
        <v>5135</v>
      </c>
    </row>
    <row r="1344" spans="1:59" s="154" customFormat="1" ht="15" customHeight="1">
      <c r="A1344" s="153" t="s">
        <v>5088</v>
      </c>
      <c r="B1344" s="153" t="s">
        <v>5136</v>
      </c>
      <c r="C1344" s="154" t="s">
        <v>5095</v>
      </c>
      <c r="D1344" s="170">
        <v>316</v>
      </c>
      <c r="E1344" s="154">
        <v>1</v>
      </c>
      <c r="F1344" s="154" t="s">
        <v>5090</v>
      </c>
      <c r="G1344" s="154" t="s">
        <v>5137</v>
      </c>
      <c r="J1344" s="154" t="s">
        <v>619</v>
      </c>
      <c r="K1344" s="154" t="s">
        <v>2426</v>
      </c>
      <c r="O1344" s="156"/>
      <c r="P1344" s="157"/>
      <c r="Q1344" s="158"/>
      <c r="R1344" s="159"/>
      <c r="S1344" s="160"/>
      <c r="T1344" s="161"/>
      <c r="U1344" s="156"/>
      <c r="V1344" s="162"/>
      <c r="W1344" s="163"/>
      <c r="X1344" s="164"/>
      <c r="Y1344" s="159"/>
      <c r="Z1344" s="161">
        <v>7</v>
      </c>
      <c r="AA1344" s="165"/>
      <c r="AF1344" s="154" t="s">
        <v>5134</v>
      </c>
      <c r="AI1344" s="154" t="s">
        <v>5137</v>
      </c>
      <c r="AL1344" s="154" t="s">
        <v>619</v>
      </c>
      <c r="AM1344" s="154" t="s">
        <v>2426</v>
      </c>
      <c r="AO1344" s="155"/>
      <c r="AQ1344" s="156"/>
      <c r="AR1344" s="157"/>
      <c r="AS1344" s="158"/>
      <c r="AT1344" s="159"/>
      <c r="AU1344" s="161"/>
      <c r="AV1344" s="156"/>
      <c r="AW1344" s="162"/>
      <c r="AX1344" s="163"/>
      <c r="AY1344" s="164"/>
      <c r="AZ1344" s="159"/>
      <c r="BA1344" s="161"/>
      <c r="BB1344" s="165"/>
      <c r="BE1344" s="155"/>
      <c r="BG1344" s="154" t="s">
        <v>5138</v>
      </c>
    </row>
    <row r="1345" spans="1:59" s="154" customFormat="1" ht="15" customHeight="1">
      <c r="A1345" s="153" t="s">
        <v>5088</v>
      </c>
      <c r="B1345" s="153" t="s">
        <v>5139</v>
      </c>
      <c r="C1345" s="154" t="s">
        <v>5095</v>
      </c>
      <c r="D1345" s="170">
        <v>317</v>
      </c>
      <c r="E1345" s="154">
        <v>1</v>
      </c>
      <c r="F1345" s="154" t="s">
        <v>5090</v>
      </c>
      <c r="G1345" s="154" t="s">
        <v>5140</v>
      </c>
      <c r="J1345" s="154" t="s">
        <v>619</v>
      </c>
      <c r="K1345" s="154" t="s">
        <v>2426</v>
      </c>
      <c r="O1345" s="156"/>
      <c r="P1345" s="157"/>
      <c r="Q1345" s="158"/>
      <c r="R1345" s="159"/>
      <c r="S1345" s="160"/>
      <c r="T1345" s="161"/>
      <c r="U1345" s="156"/>
      <c r="V1345" s="162"/>
      <c r="W1345" s="163"/>
      <c r="X1345" s="164"/>
      <c r="Y1345" s="159"/>
      <c r="Z1345" s="161">
        <v>12</v>
      </c>
      <c r="AA1345" s="165"/>
      <c r="AF1345" s="154" t="s">
        <v>5134</v>
      </c>
      <c r="AI1345" s="154" t="s">
        <v>5140</v>
      </c>
      <c r="AL1345" s="154" t="s">
        <v>619</v>
      </c>
      <c r="AM1345" s="154" t="s">
        <v>2426</v>
      </c>
      <c r="AO1345" s="155"/>
      <c r="AQ1345" s="156"/>
      <c r="AR1345" s="157"/>
      <c r="AS1345" s="158"/>
      <c r="AT1345" s="159"/>
      <c r="AU1345" s="161"/>
      <c r="AV1345" s="156"/>
      <c r="AW1345" s="162"/>
      <c r="AX1345" s="163"/>
      <c r="AY1345" s="164"/>
      <c r="AZ1345" s="159"/>
      <c r="BA1345" s="161"/>
      <c r="BB1345" s="165"/>
      <c r="BE1345" s="155"/>
      <c r="BG1345" s="154" t="s">
        <v>5141</v>
      </c>
    </row>
    <row r="1346" spans="1:59" s="154" customFormat="1" ht="15" customHeight="1">
      <c r="A1346" s="153" t="s">
        <v>5088</v>
      </c>
      <c r="B1346" s="153" t="s">
        <v>5142</v>
      </c>
      <c r="C1346" s="154" t="s">
        <v>5095</v>
      </c>
      <c r="D1346" s="170">
        <v>318</v>
      </c>
      <c r="E1346" s="154">
        <v>1</v>
      </c>
      <c r="F1346" s="154" t="s">
        <v>5090</v>
      </c>
      <c r="G1346" s="154" t="s">
        <v>5143</v>
      </c>
      <c r="J1346" s="154" t="s">
        <v>621</v>
      </c>
      <c r="K1346" s="154" t="s">
        <v>2426</v>
      </c>
      <c r="O1346" s="156"/>
      <c r="P1346" s="157"/>
      <c r="Q1346" s="158"/>
      <c r="R1346" s="159"/>
      <c r="S1346" s="160"/>
      <c r="T1346" s="161"/>
      <c r="U1346" s="156"/>
      <c r="V1346" s="162"/>
      <c r="W1346" s="163"/>
      <c r="X1346" s="164"/>
      <c r="Y1346" s="159" t="s">
        <v>1111</v>
      </c>
      <c r="Z1346" s="161"/>
      <c r="AA1346" s="165"/>
      <c r="AF1346" s="154" t="s">
        <v>5144</v>
      </c>
      <c r="AI1346" s="154" t="s">
        <v>5143</v>
      </c>
      <c r="AL1346" s="154" t="s">
        <v>621</v>
      </c>
      <c r="AM1346" s="154" t="s">
        <v>2426</v>
      </c>
      <c r="AO1346" s="155"/>
      <c r="AQ1346" s="156"/>
      <c r="AR1346" s="157"/>
      <c r="AS1346" s="158"/>
      <c r="AT1346" s="159"/>
      <c r="AU1346" s="161"/>
      <c r="AV1346" s="156"/>
      <c r="AW1346" s="162"/>
      <c r="AX1346" s="163"/>
      <c r="AY1346" s="164"/>
      <c r="AZ1346" s="159"/>
      <c r="BA1346" s="161"/>
      <c r="BB1346" s="165"/>
      <c r="BG1346" s="154" t="s">
        <v>5145</v>
      </c>
    </row>
    <row r="1347" spans="1:59" s="154" customFormat="1" ht="15" customHeight="1">
      <c r="A1347" s="153" t="s">
        <v>5088</v>
      </c>
      <c r="B1347" s="153" t="s">
        <v>5146</v>
      </c>
      <c r="C1347" s="154" t="s">
        <v>5095</v>
      </c>
      <c r="D1347" s="170">
        <v>319</v>
      </c>
      <c r="E1347" s="154">
        <v>1</v>
      </c>
      <c r="F1347" s="154" t="s">
        <v>5090</v>
      </c>
      <c r="G1347" s="154" t="s">
        <v>5147</v>
      </c>
      <c r="J1347" s="154" t="s">
        <v>621</v>
      </c>
      <c r="K1347" s="171" t="s">
        <v>2426</v>
      </c>
      <c r="O1347" s="156"/>
      <c r="P1347" s="157"/>
      <c r="Q1347" s="158"/>
      <c r="R1347" s="159"/>
      <c r="S1347" s="160"/>
      <c r="T1347" s="161"/>
      <c r="U1347" s="156"/>
      <c r="V1347" s="162"/>
      <c r="W1347" s="163"/>
      <c r="X1347" s="164"/>
      <c r="Y1347" s="159">
        <v>0</v>
      </c>
      <c r="Z1347" s="161"/>
      <c r="AA1347" s="165"/>
      <c r="AF1347" s="154" t="s">
        <v>5148</v>
      </c>
      <c r="AI1347" s="154" t="s">
        <v>5147</v>
      </c>
      <c r="AL1347" s="154" t="s">
        <v>621</v>
      </c>
      <c r="AM1347" s="171" t="s">
        <v>2426</v>
      </c>
      <c r="AO1347" s="155"/>
      <c r="AQ1347" s="156"/>
      <c r="AR1347" s="157"/>
      <c r="AS1347" s="158"/>
      <c r="AT1347" s="159"/>
      <c r="AU1347" s="161"/>
      <c r="AV1347" s="156"/>
      <c r="AW1347" s="162"/>
      <c r="AX1347" s="163"/>
      <c r="AY1347" s="164"/>
      <c r="AZ1347" s="159"/>
      <c r="BA1347" s="161"/>
      <c r="BB1347" s="165"/>
      <c r="BG1347" s="154" t="s">
        <v>5149</v>
      </c>
    </row>
    <row r="1348" spans="1:59" s="154" customFormat="1" ht="15" customHeight="1">
      <c r="A1348" s="153" t="s">
        <v>5088</v>
      </c>
      <c r="B1348" s="153" t="s">
        <v>5150</v>
      </c>
      <c r="C1348" s="154" t="s">
        <v>5095</v>
      </c>
      <c r="D1348" s="170">
        <v>320</v>
      </c>
      <c r="E1348" s="154">
        <v>1</v>
      </c>
      <c r="F1348" s="154" t="s">
        <v>5090</v>
      </c>
      <c r="G1348" s="154" t="s">
        <v>5151</v>
      </c>
      <c r="J1348" s="154" t="s">
        <v>621</v>
      </c>
      <c r="K1348" s="171" t="s">
        <v>2426</v>
      </c>
      <c r="O1348" s="156"/>
      <c r="P1348" s="157"/>
      <c r="Q1348" s="158"/>
      <c r="R1348" s="159"/>
      <c r="S1348" s="160"/>
      <c r="T1348" s="161"/>
      <c r="U1348" s="156"/>
      <c r="V1348" s="162"/>
      <c r="W1348" s="163"/>
      <c r="X1348" s="164"/>
      <c r="Y1348" s="159">
        <v>0</v>
      </c>
      <c r="Z1348" s="161"/>
      <c r="AA1348" s="165"/>
      <c r="AF1348" s="154" t="s">
        <v>5152</v>
      </c>
      <c r="AI1348" s="154" t="s">
        <v>5151</v>
      </c>
      <c r="AL1348" s="154" t="s">
        <v>621</v>
      </c>
      <c r="AM1348" s="154" t="s">
        <v>2426</v>
      </c>
      <c r="AO1348" s="155"/>
      <c r="AQ1348" s="156"/>
      <c r="AR1348" s="157"/>
      <c r="AS1348" s="158"/>
      <c r="AT1348" s="159"/>
      <c r="AU1348" s="161"/>
      <c r="AV1348" s="156"/>
      <c r="AW1348" s="162"/>
      <c r="AX1348" s="163"/>
      <c r="AY1348" s="164"/>
      <c r="AZ1348" s="159"/>
      <c r="BA1348" s="161"/>
      <c r="BB1348" s="165"/>
      <c r="BE1348" s="155"/>
      <c r="BG1348" s="154" t="s">
        <v>5153</v>
      </c>
    </row>
    <row r="1349" spans="1:59" s="154" customFormat="1" ht="15" customHeight="1">
      <c r="A1349" s="153" t="s">
        <v>5088</v>
      </c>
      <c r="B1349" s="169" t="s">
        <v>5154</v>
      </c>
      <c r="C1349" s="154" t="s">
        <v>5095</v>
      </c>
      <c r="D1349" s="170">
        <v>321</v>
      </c>
      <c r="E1349" s="154">
        <v>1</v>
      </c>
      <c r="F1349" s="154" t="s">
        <v>5090</v>
      </c>
      <c r="G1349" s="154" t="s">
        <v>5155</v>
      </c>
      <c r="J1349" s="154" t="s">
        <v>621</v>
      </c>
      <c r="K1349" s="171" t="s">
        <v>2426</v>
      </c>
      <c r="O1349" s="156"/>
      <c r="P1349" s="157"/>
      <c r="Q1349" s="158"/>
      <c r="R1349" s="159"/>
      <c r="S1349" s="160"/>
      <c r="T1349" s="161"/>
      <c r="U1349" s="156"/>
      <c r="V1349" s="162"/>
      <c r="W1349" s="163"/>
      <c r="X1349" s="164"/>
      <c r="Y1349" s="159">
        <v>0</v>
      </c>
      <c r="Z1349" s="161"/>
      <c r="AA1349" s="165"/>
      <c r="AF1349" s="154" t="s">
        <v>5156</v>
      </c>
      <c r="AI1349" s="154" t="s">
        <v>5155</v>
      </c>
      <c r="AL1349" s="154" t="s">
        <v>621</v>
      </c>
      <c r="AM1349" s="154" t="s">
        <v>2426</v>
      </c>
      <c r="AO1349" s="155"/>
      <c r="AQ1349" s="156"/>
      <c r="AR1349" s="157"/>
      <c r="AS1349" s="158"/>
      <c r="AT1349" s="159"/>
      <c r="AU1349" s="161"/>
      <c r="AV1349" s="156"/>
      <c r="AW1349" s="162"/>
      <c r="AX1349" s="163"/>
      <c r="AY1349" s="164"/>
      <c r="AZ1349" s="159"/>
      <c r="BA1349" s="161"/>
      <c r="BB1349" s="165"/>
      <c r="BE1349" s="155"/>
      <c r="BG1349" s="154" t="s">
        <v>5157</v>
      </c>
    </row>
    <row r="1350" spans="1:59" s="154" customFormat="1" ht="15" customHeight="1">
      <c r="A1350" s="153" t="s">
        <v>5088</v>
      </c>
      <c r="B1350" s="153" t="s">
        <v>5158</v>
      </c>
      <c r="C1350" s="154" t="s">
        <v>5095</v>
      </c>
      <c r="D1350" s="170">
        <v>322</v>
      </c>
      <c r="E1350" s="154">
        <v>1</v>
      </c>
      <c r="F1350" s="154" t="s">
        <v>5090</v>
      </c>
      <c r="G1350" s="154" t="s">
        <v>5159</v>
      </c>
      <c r="J1350" s="154" t="s">
        <v>621</v>
      </c>
      <c r="K1350" s="154" t="s">
        <v>2426</v>
      </c>
      <c r="O1350" s="156"/>
      <c r="P1350" s="157"/>
      <c r="Q1350" s="158"/>
      <c r="R1350" s="159"/>
      <c r="S1350" s="160"/>
      <c r="T1350" s="161"/>
      <c r="U1350" s="156"/>
      <c r="V1350" s="162"/>
      <c r="W1350" s="163"/>
      <c r="X1350" s="164"/>
      <c r="Y1350" s="159">
        <v>0</v>
      </c>
      <c r="Z1350" s="161"/>
      <c r="AA1350" s="165"/>
      <c r="AF1350" s="154" t="s">
        <v>5160</v>
      </c>
      <c r="AI1350" s="154" t="s">
        <v>5159</v>
      </c>
      <c r="AL1350" s="154" t="s">
        <v>621</v>
      </c>
      <c r="AM1350" s="154" t="s">
        <v>2426</v>
      </c>
      <c r="AO1350" s="155"/>
      <c r="AQ1350" s="156"/>
      <c r="AR1350" s="157"/>
      <c r="AS1350" s="158"/>
      <c r="AT1350" s="159"/>
      <c r="AU1350" s="161"/>
      <c r="AV1350" s="156"/>
      <c r="AW1350" s="162"/>
      <c r="AX1350" s="163"/>
      <c r="AY1350" s="164"/>
      <c r="AZ1350" s="159"/>
      <c r="BA1350" s="161"/>
      <c r="BB1350" s="165"/>
      <c r="BE1350" s="155"/>
      <c r="BG1350" s="154" t="s">
        <v>4556</v>
      </c>
    </row>
    <row r="1351" spans="1:59" s="154" customFormat="1" ht="15" customHeight="1">
      <c r="A1351" s="153" t="s">
        <v>5088</v>
      </c>
      <c r="B1351" s="153" t="s">
        <v>5161</v>
      </c>
      <c r="C1351" s="154" t="s">
        <v>5095</v>
      </c>
      <c r="D1351" s="170">
        <v>323</v>
      </c>
      <c r="E1351" s="154">
        <v>1</v>
      </c>
      <c r="F1351" s="154" t="s">
        <v>5090</v>
      </c>
      <c r="G1351" s="154" t="s">
        <v>5162</v>
      </c>
      <c r="J1351" s="154" t="s">
        <v>621</v>
      </c>
      <c r="K1351" s="154" t="s">
        <v>2426</v>
      </c>
      <c r="O1351" s="156"/>
      <c r="P1351" s="157"/>
      <c r="Q1351" s="158"/>
      <c r="R1351" s="159"/>
      <c r="S1351" s="160"/>
      <c r="T1351" s="161"/>
      <c r="U1351" s="156"/>
      <c r="V1351" s="162"/>
      <c r="W1351" s="163"/>
      <c r="X1351" s="164"/>
      <c r="Y1351" s="159">
        <v>0</v>
      </c>
      <c r="Z1351" s="161"/>
      <c r="AA1351" s="165"/>
      <c r="AF1351" s="154" t="s">
        <v>5163</v>
      </c>
      <c r="AI1351" s="154" t="s">
        <v>5162</v>
      </c>
      <c r="AL1351" s="154" t="s">
        <v>621</v>
      </c>
      <c r="AM1351" s="154" t="s">
        <v>2426</v>
      </c>
      <c r="AP1351" s="155"/>
      <c r="AQ1351" s="156"/>
      <c r="AR1351" s="157"/>
      <c r="AS1351" s="158"/>
      <c r="AT1351" s="159"/>
      <c r="AU1351" s="161"/>
      <c r="AV1351" s="156"/>
      <c r="AW1351" s="162"/>
      <c r="AX1351" s="163"/>
      <c r="AY1351" s="164"/>
      <c r="AZ1351" s="159"/>
      <c r="BA1351" s="161"/>
      <c r="BB1351" s="165"/>
      <c r="BF1351" s="155"/>
      <c r="BG1351" s="154" t="s">
        <v>5164</v>
      </c>
    </row>
    <row r="1352" spans="1:59" s="154" customFormat="1" ht="15" customHeight="1">
      <c r="A1352" s="153" t="s">
        <v>5088</v>
      </c>
      <c r="B1352" s="153" t="s">
        <v>5165</v>
      </c>
      <c r="C1352" s="154" t="s">
        <v>5095</v>
      </c>
      <c r="D1352" s="170">
        <v>324</v>
      </c>
      <c r="E1352" s="154">
        <v>1</v>
      </c>
      <c r="F1352" s="154" t="s">
        <v>5090</v>
      </c>
      <c r="G1352" s="154" t="s">
        <v>5166</v>
      </c>
      <c r="J1352" s="154" t="s">
        <v>31</v>
      </c>
      <c r="K1352" s="154" t="s">
        <v>2426</v>
      </c>
      <c r="N1352" s="155"/>
      <c r="O1352" s="156"/>
      <c r="P1352" s="157"/>
      <c r="Q1352" s="158"/>
      <c r="R1352" s="159"/>
      <c r="S1352" s="160"/>
      <c r="T1352" s="161"/>
      <c r="U1352" s="156"/>
      <c r="V1352" s="162"/>
      <c r="W1352" s="163"/>
      <c r="X1352" s="164"/>
      <c r="Y1352" s="159"/>
      <c r="Z1352" s="161"/>
      <c r="AA1352" s="165"/>
      <c r="AD1352" s="154" t="s">
        <v>3960</v>
      </c>
      <c r="AE1352" s="155"/>
      <c r="AI1352" s="154" t="s">
        <v>5166</v>
      </c>
      <c r="AJ1352" s="154" t="s">
        <v>5167</v>
      </c>
      <c r="AL1352" s="154" t="s">
        <v>31</v>
      </c>
      <c r="AM1352" s="154" t="s">
        <v>2426</v>
      </c>
      <c r="AP1352" s="155"/>
      <c r="AQ1352" s="156"/>
      <c r="AR1352" s="157"/>
      <c r="AS1352" s="158"/>
      <c r="AT1352" s="159"/>
      <c r="AU1352" s="161"/>
      <c r="AV1352" s="156"/>
      <c r="AW1352" s="162"/>
      <c r="AX1352" s="163"/>
      <c r="AY1352" s="164"/>
      <c r="AZ1352" s="159" t="s">
        <v>1073</v>
      </c>
      <c r="BA1352" s="161"/>
      <c r="BB1352" s="165"/>
      <c r="BE1352" s="154" t="s">
        <v>3960</v>
      </c>
      <c r="BF1352" s="155"/>
      <c r="BG1352" s="154" t="s">
        <v>5168</v>
      </c>
    </row>
    <row r="1353" spans="1:59" s="154" customFormat="1" ht="15" customHeight="1">
      <c r="A1353" s="153" t="s">
        <v>5088</v>
      </c>
      <c r="B1353" s="153" t="s">
        <v>5169</v>
      </c>
      <c r="C1353" s="154" t="s">
        <v>5095</v>
      </c>
      <c r="D1353" s="170">
        <v>325</v>
      </c>
      <c r="E1353" s="154">
        <v>1</v>
      </c>
      <c r="F1353" s="154" t="s">
        <v>5090</v>
      </c>
      <c r="G1353" s="154" t="s">
        <v>5458</v>
      </c>
      <c r="H1353" s="154" t="s">
        <v>5459</v>
      </c>
      <c r="I1353" s="154" t="s">
        <v>223</v>
      </c>
      <c r="J1353" s="154" t="s">
        <v>29</v>
      </c>
      <c r="K1353" s="154" t="s">
        <v>2426</v>
      </c>
      <c r="N1353" s="155"/>
      <c r="O1353" s="156"/>
      <c r="P1353" s="157"/>
      <c r="Q1353" s="158">
        <v>4</v>
      </c>
      <c r="R1353" s="159">
        <v>4</v>
      </c>
      <c r="S1353" s="160"/>
      <c r="T1353" s="161" t="s">
        <v>2025</v>
      </c>
      <c r="U1353" s="156"/>
      <c r="V1353" s="162">
        <v>2</v>
      </c>
      <c r="W1353" s="163">
        <v>1</v>
      </c>
      <c r="X1353" s="164"/>
      <c r="Y1353" s="159"/>
      <c r="Z1353" s="161"/>
      <c r="AA1353" s="165">
        <v>2</v>
      </c>
      <c r="AD1353" s="154" t="s">
        <v>3982</v>
      </c>
      <c r="AE1353" s="155"/>
      <c r="AF1353" s="154" t="s">
        <v>5172</v>
      </c>
      <c r="AI1353" s="154" t="s">
        <v>5170</v>
      </c>
      <c r="AL1353" s="154" t="s">
        <v>2702</v>
      </c>
      <c r="AM1353" s="154" t="s">
        <v>2426</v>
      </c>
      <c r="AP1353" s="155"/>
      <c r="AQ1353" s="156"/>
      <c r="AR1353" s="157"/>
      <c r="AS1353" s="158"/>
      <c r="AT1353" s="159"/>
      <c r="AU1353" s="161"/>
      <c r="AV1353" s="156"/>
      <c r="AW1353" s="162"/>
      <c r="AX1353" s="163"/>
      <c r="AY1353" s="164"/>
      <c r="AZ1353" s="159"/>
      <c r="BA1353" s="161"/>
      <c r="BB1353" s="165"/>
      <c r="BF1353" s="155"/>
      <c r="BG1353" s="154" t="s">
        <v>5171</v>
      </c>
    </row>
    <row r="1354" spans="1:59" s="154" customFormat="1" ht="15" customHeight="1">
      <c r="A1354" s="153" t="s">
        <v>5088</v>
      </c>
      <c r="B1354" s="153" t="s">
        <v>5173</v>
      </c>
      <c r="C1354" s="154" t="s">
        <v>5095</v>
      </c>
      <c r="D1354" s="170">
        <v>326</v>
      </c>
      <c r="E1354" s="154">
        <v>1</v>
      </c>
      <c r="F1354" s="154" t="s">
        <v>5090</v>
      </c>
      <c r="G1354" s="154" t="s">
        <v>3952</v>
      </c>
      <c r="H1354" s="154" t="s">
        <v>5460</v>
      </c>
      <c r="I1354" s="154" t="s">
        <v>223</v>
      </c>
      <c r="J1354" s="154" t="s">
        <v>29</v>
      </c>
      <c r="K1354" s="154" t="s">
        <v>2426</v>
      </c>
      <c r="N1354" s="155"/>
      <c r="O1354" s="156"/>
      <c r="P1354" s="157"/>
      <c r="Q1354" s="158">
        <v>6</v>
      </c>
      <c r="R1354" s="159">
        <v>3</v>
      </c>
      <c r="S1354" s="160"/>
      <c r="T1354" s="161" t="s">
        <v>4883</v>
      </c>
      <c r="U1354" s="156"/>
      <c r="V1354" s="162">
        <v>1</v>
      </c>
      <c r="W1354" s="163">
        <v>2</v>
      </c>
      <c r="X1354" s="164"/>
      <c r="Y1354" s="159"/>
      <c r="Z1354" s="161"/>
      <c r="AA1354" s="165">
        <v>2</v>
      </c>
      <c r="AD1354" s="154" t="s">
        <v>1135</v>
      </c>
      <c r="AE1354" s="155"/>
      <c r="AF1354" s="154" t="s">
        <v>5176</v>
      </c>
      <c r="AI1354" s="154" t="s">
        <v>5174</v>
      </c>
      <c r="AL1354" s="154" t="s">
        <v>2702</v>
      </c>
      <c r="AM1354" s="154" t="s">
        <v>2426</v>
      </c>
      <c r="AP1354" s="155"/>
      <c r="AQ1354" s="156"/>
      <c r="AR1354" s="157"/>
      <c r="AS1354" s="158"/>
      <c r="AT1354" s="159"/>
      <c r="AU1354" s="161"/>
      <c r="AV1354" s="156"/>
      <c r="AW1354" s="162"/>
      <c r="AX1354" s="163"/>
      <c r="AY1354" s="164"/>
      <c r="AZ1354" s="159"/>
      <c r="BA1354" s="161"/>
      <c r="BB1354" s="165"/>
      <c r="BF1354" s="155"/>
      <c r="BG1354" s="154" t="s">
        <v>5175</v>
      </c>
    </row>
    <row r="1355" spans="1:59" s="154" customFormat="1" ht="15" customHeight="1">
      <c r="A1355" s="153" t="s">
        <v>5088</v>
      </c>
      <c r="B1355" s="169" t="s">
        <v>5177</v>
      </c>
      <c r="C1355" s="154" t="s">
        <v>5095</v>
      </c>
      <c r="D1355" s="170">
        <v>327</v>
      </c>
      <c r="E1355" s="154">
        <v>1</v>
      </c>
      <c r="F1355" s="154" t="s">
        <v>5090</v>
      </c>
      <c r="G1355" s="154" t="s">
        <v>5178</v>
      </c>
      <c r="J1355" s="154" t="s">
        <v>31</v>
      </c>
      <c r="K1355" s="154" t="s">
        <v>2426</v>
      </c>
      <c r="N1355" s="155"/>
      <c r="O1355" s="156"/>
      <c r="P1355" s="157"/>
      <c r="Q1355" s="158"/>
      <c r="R1355" s="159"/>
      <c r="S1355" s="160"/>
      <c r="T1355" s="161"/>
      <c r="U1355" s="156"/>
      <c r="V1355" s="162"/>
      <c r="W1355" s="163"/>
      <c r="X1355" s="164"/>
      <c r="Y1355" s="159"/>
      <c r="Z1355" s="161"/>
      <c r="AA1355" s="165"/>
      <c r="AD1355" s="154" t="s">
        <v>2466</v>
      </c>
      <c r="AE1355" s="155"/>
      <c r="AI1355" s="154" t="s">
        <v>5178</v>
      </c>
      <c r="AL1355" s="154" t="s">
        <v>31</v>
      </c>
      <c r="AM1355" s="154" t="s">
        <v>2426</v>
      </c>
      <c r="AP1355" s="155"/>
      <c r="AQ1355" s="156"/>
      <c r="AR1355" s="157"/>
      <c r="AS1355" s="158"/>
      <c r="AT1355" s="159"/>
      <c r="AU1355" s="161"/>
      <c r="AV1355" s="156"/>
      <c r="AW1355" s="162"/>
      <c r="AX1355" s="163"/>
      <c r="AY1355" s="164">
        <v>2</v>
      </c>
      <c r="AZ1355" s="159" t="s">
        <v>1112</v>
      </c>
      <c r="BA1355" s="161"/>
      <c r="BB1355" s="165"/>
      <c r="BE1355" s="154" t="s">
        <v>2466</v>
      </c>
      <c r="BF1355" s="155"/>
      <c r="BG1355" s="154" t="s">
        <v>5179</v>
      </c>
    </row>
    <row r="1356" spans="1:59" s="154" customFormat="1" ht="15" customHeight="1">
      <c r="A1356" s="153" t="s">
        <v>5088</v>
      </c>
      <c r="B1356" s="153" t="s">
        <v>5180</v>
      </c>
      <c r="C1356" s="154" t="s">
        <v>5095</v>
      </c>
      <c r="D1356" s="170">
        <v>328</v>
      </c>
      <c r="E1356" s="154">
        <v>1</v>
      </c>
      <c r="F1356" s="154" t="s">
        <v>5090</v>
      </c>
      <c r="G1356" s="154" t="s">
        <v>5181</v>
      </c>
      <c r="J1356" s="154" t="s">
        <v>31</v>
      </c>
      <c r="K1356" s="154" t="s">
        <v>2426</v>
      </c>
      <c r="N1356" s="155"/>
      <c r="O1356" s="156"/>
      <c r="P1356" s="157"/>
      <c r="Q1356" s="158"/>
      <c r="R1356" s="159"/>
      <c r="S1356" s="160"/>
      <c r="T1356" s="161"/>
      <c r="U1356" s="156"/>
      <c r="V1356" s="162"/>
      <c r="W1356" s="163"/>
      <c r="X1356" s="164"/>
      <c r="Y1356" s="159"/>
      <c r="Z1356" s="161"/>
      <c r="AA1356" s="165"/>
      <c r="AD1356" s="154" t="s">
        <v>2466</v>
      </c>
      <c r="AE1356" s="155"/>
      <c r="AI1356" s="154" t="s">
        <v>5181</v>
      </c>
      <c r="AL1356" s="154" t="s">
        <v>31</v>
      </c>
      <c r="AM1356" s="154" t="s">
        <v>2426</v>
      </c>
      <c r="AP1356" s="155"/>
      <c r="AQ1356" s="156"/>
      <c r="AR1356" s="157"/>
      <c r="AS1356" s="158"/>
      <c r="AT1356" s="159"/>
      <c r="AU1356" s="161"/>
      <c r="AV1356" s="156"/>
      <c r="AW1356" s="162"/>
      <c r="AX1356" s="163"/>
      <c r="AY1356" s="164">
        <v>1</v>
      </c>
      <c r="AZ1356" s="159" t="s">
        <v>1111</v>
      </c>
      <c r="BA1356" s="161"/>
      <c r="BB1356" s="165"/>
      <c r="BE1356" s="154" t="s">
        <v>2466</v>
      </c>
      <c r="BF1356" s="155"/>
      <c r="BG1356" s="154" t="s">
        <v>5182</v>
      </c>
    </row>
    <row r="1357" spans="1:59" s="154" customFormat="1" ht="15" customHeight="1">
      <c r="A1357" s="153" t="s">
        <v>5088</v>
      </c>
      <c r="B1357" s="153" t="s">
        <v>5183</v>
      </c>
      <c r="C1357" s="154" t="s">
        <v>5095</v>
      </c>
      <c r="D1357" s="170">
        <v>329</v>
      </c>
      <c r="E1357" s="154">
        <v>1</v>
      </c>
      <c r="F1357" s="154" t="s">
        <v>5090</v>
      </c>
      <c r="G1357" s="154" t="s">
        <v>5184</v>
      </c>
      <c r="J1357" s="154" t="s">
        <v>31</v>
      </c>
      <c r="K1357" s="154" t="s">
        <v>2426</v>
      </c>
      <c r="N1357" s="155"/>
      <c r="O1357" s="156"/>
      <c r="P1357" s="157"/>
      <c r="Q1357" s="158"/>
      <c r="R1357" s="159"/>
      <c r="S1357" s="160"/>
      <c r="T1357" s="161"/>
      <c r="U1357" s="156"/>
      <c r="V1357" s="162"/>
      <c r="W1357" s="163"/>
      <c r="X1357" s="164"/>
      <c r="Y1357" s="159"/>
      <c r="Z1357" s="161"/>
      <c r="AA1357" s="165"/>
      <c r="AD1357" s="154" t="s">
        <v>2466</v>
      </c>
      <c r="AE1357" s="155"/>
      <c r="AI1357" s="153" t="s">
        <v>5184</v>
      </c>
      <c r="AL1357" s="154" t="s">
        <v>31</v>
      </c>
      <c r="AM1357" s="154" t="s">
        <v>2426</v>
      </c>
      <c r="AP1357" s="155"/>
      <c r="AQ1357" s="156"/>
      <c r="AR1357" s="157"/>
      <c r="AS1357" s="158"/>
      <c r="AT1357" s="159"/>
      <c r="AU1357" s="161"/>
      <c r="AV1357" s="156"/>
      <c r="AW1357" s="162"/>
      <c r="AX1357" s="163"/>
      <c r="AY1357" s="164">
        <v>4</v>
      </c>
      <c r="AZ1357" s="159" t="s">
        <v>1073</v>
      </c>
      <c r="BA1357" s="161"/>
      <c r="BB1357" s="165"/>
      <c r="BE1357" s="154" t="s">
        <v>2466</v>
      </c>
      <c r="BF1357" s="155"/>
      <c r="BG1357" s="154" t="s">
        <v>5185</v>
      </c>
    </row>
    <row r="1358" spans="1:59" s="154" customFormat="1" ht="15" customHeight="1">
      <c r="A1358" s="153" t="s">
        <v>5088</v>
      </c>
      <c r="B1358" s="153" t="s">
        <v>5186</v>
      </c>
      <c r="C1358" s="154" t="s">
        <v>5095</v>
      </c>
      <c r="D1358" s="170">
        <v>330</v>
      </c>
      <c r="E1358" s="154">
        <v>1</v>
      </c>
      <c r="F1358" s="154" t="s">
        <v>5090</v>
      </c>
      <c r="G1358" s="154" t="s">
        <v>5187</v>
      </c>
      <c r="J1358" s="154" t="s">
        <v>31</v>
      </c>
      <c r="K1358" s="154" t="s">
        <v>2426</v>
      </c>
      <c r="N1358" s="155"/>
      <c r="O1358" s="156"/>
      <c r="P1358" s="157"/>
      <c r="Q1358" s="158"/>
      <c r="R1358" s="159"/>
      <c r="S1358" s="160"/>
      <c r="T1358" s="161"/>
      <c r="U1358" s="156"/>
      <c r="V1358" s="162"/>
      <c r="W1358" s="163"/>
      <c r="X1358" s="164"/>
      <c r="Y1358" s="159"/>
      <c r="Z1358" s="161"/>
      <c r="AA1358" s="165"/>
      <c r="AD1358" s="154" t="s">
        <v>5188</v>
      </c>
      <c r="AE1358" s="155"/>
      <c r="AI1358" s="154" t="s">
        <v>5187</v>
      </c>
      <c r="AL1358" s="154" t="s">
        <v>31</v>
      </c>
      <c r="AM1358" s="154" t="s">
        <v>2426</v>
      </c>
      <c r="AP1358" s="155"/>
      <c r="AQ1358" s="156"/>
      <c r="AR1358" s="157"/>
      <c r="AS1358" s="158"/>
      <c r="AT1358" s="159"/>
      <c r="AU1358" s="161"/>
      <c r="AV1358" s="156"/>
      <c r="AW1358" s="162"/>
      <c r="AX1358" s="163"/>
      <c r="AY1358" s="164">
        <v>5</v>
      </c>
      <c r="AZ1358" s="159" t="s">
        <v>1073</v>
      </c>
      <c r="BA1358" s="161"/>
      <c r="BB1358" s="165">
        <v>1</v>
      </c>
      <c r="BE1358" s="154" t="s">
        <v>5188</v>
      </c>
      <c r="BF1358" s="155"/>
      <c r="BG1358" s="154" t="s">
        <v>5189</v>
      </c>
    </row>
    <row r="1359" spans="1:59" s="154" customFormat="1" ht="15" customHeight="1">
      <c r="A1359" s="153" t="s">
        <v>5088</v>
      </c>
      <c r="B1359" s="153" t="s">
        <v>5190</v>
      </c>
      <c r="C1359" s="154" t="s">
        <v>5095</v>
      </c>
      <c r="D1359" s="170">
        <v>331</v>
      </c>
      <c r="E1359" s="154">
        <v>1</v>
      </c>
      <c r="F1359" s="154" t="s">
        <v>5090</v>
      </c>
      <c r="G1359" s="154" t="s">
        <v>5191</v>
      </c>
      <c r="J1359" s="154" t="s">
        <v>31</v>
      </c>
      <c r="K1359" s="154" t="s">
        <v>2426</v>
      </c>
      <c r="N1359" s="155"/>
      <c r="O1359" s="156"/>
      <c r="P1359" s="157"/>
      <c r="Q1359" s="158"/>
      <c r="R1359" s="159"/>
      <c r="S1359" s="160"/>
      <c r="T1359" s="161"/>
      <c r="U1359" s="156"/>
      <c r="V1359" s="162"/>
      <c r="W1359" s="163"/>
      <c r="X1359" s="164"/>
      <c r="Y1359" s="159"/>
      <c r="Z1359" s="161"/>
      <c r="AA1359" s="165"/>
      <c r="AD1359" s="154" t="s">
        <v>5192</v>
      </c>
      <c r="AE1359" s="155"/>
      <c r="AI1359" s="154" t="s">
        <v>5191</v>
      </c>
      <c r="AL1359" s="154" t="s">
        <v>31</v>
      </c>
      <c r="AM1359" s="154" t="s">
        <v>2426</v>
      </c>
      <c r="AP1359" s="155"/>
      <c r="AQ1359" s="156"/>
      <c r="AR1359" s="157"/>
      <c r="AS1359" s="158"/>
      <c r="AT1359" s="159"/>
      <c r="AU1359" s="161"/>
      <c r="AV1359" s="156"/>
      <c r="AW1359" s="162"/>
      <c r="AX1359" s="163"/>
      <c r="AY1359" s="164">
        <v>1</v>
      </c>
      <c r="AZ1359" s="159" t="s">
        <v>1112</v>
      </c>
      <c r="BA1359" s="161"/>
      <c r="BB1359" s="165"/>
      <c r="BE1359" s="154" t="s">
        <v>5192</v>
      </c>
      <c r="BF1359" s="155"/>
      <c r="BG1359" s="154" t="s">
        <v>5193</v>
      </c>
    </row>
    <row r="1360" spans="1:59" s="154" customFormat="1" ht="15" customHeight="1">
      <c r="A1360" s="153" t="s">
        <v>5088</v>
      </c>
      <c r="B1360" s="153" t="s">
        <v>5194</v>
      </c>
      <c r="C1360" s="154" t="s">
        <v>5095</v>
      </c>
      <c r="D1360" s="170">
        <v>332</v>
      </c>
      <c r="E1360" s="154">
        <v>1</v>
      </c>
      <c r="F1360" s="154" t="s">
        <v>5090</v>
      </c>
      <c r="G1360" s="154" t="s">
        <v>5195</v>
      </c>
      <c r="J1360" s="154" t="s">
        <v>31</v>
      </c>
      <c r="K1360" s="154" t="s">
        <v>2426</v>
      </c>
      <c r="N1360" s="155"/>
      <c r="O1360" s="156"/>
      <c r="P1360" s="157"/>
      <c r="Q1360" s="158"/>
      <c r="R1360" s="159"/>
      <c r="S1360" s="160"/>
      <c r="T1360" s="161"/>
      <c r="U1360" s="156"/>
      <c r="V1360" s="162"/>
      <c r="W1360" s="163"/>
      <c r="X1360" s="164"/>
      <c r="Y1360" s="159"/>
      <c r="Z1360" s="161"/>
      <c r="AA1360" s="165"/>
      <c r="AD1360" s="154" t="s">
        <v>5196</v>
      </c>
      <c r="AE1360" s="155"/>
      <c r="AI1360" s="154" t="s">
        <v>5195</v>
      </c>
      <c r="AL1360" s="154" t="s">
        <v>31</v>
      </c>
      <c r="AM1360" s="154" t="s">
        <v>2426</v>
      </c>
      <c r="AP1360" s="155"/>
      <c r="AQ1360" s="156"/>
      <c r="AR1360" s="157"/>
      <c r="AS1360" s="158"/>
      <c r="AT1360" s="159"/>
      <c r="AU1360" s="161"/>
      <c r="AV1360" s="156"/>
      <c r="AW1360" s="162"/>
      <c r="AX1360" s="163"/>
      <c r="AY1360" s="164">
        <v>1</v>
      </c>
      <c r="AZ1360" s="159" t="s">
        <v>4883</v>
      </c>
      <c r="BA1360" s="161"/>
      <c r="BB1360" s="165">
        <v>1</v>
      </c>
      <c r="BE1360" s="154" t="s">
        <v>5196</v>
      </c>
      <c r="BF1360" s="155"/>
      <c r="BG1360" s="154" t="s">
        <v>5197</v>
      </c>
    </row>
    <row r="1361" spans="1:59" s="154" customFormat="1" ht="15" customHeight="1">
      <c r="A1361" s="153" t="s">
        <v>5088</v>
      </c>
      <c r="B1361" s="153" t="s">
        <v>5198</v>
      </c>
      <c r="C1361" s="154" t="s">
        <v>5095</v>
      </c>
      <c r="D1361" s="170">
        <v>333</v>
      </c>
      <c r="E1361" s="154">
        <v>1</v>
      </c>
      <c r="F1361" s="154" t="s">
        <v>5090</v>
      </c>
      <c r="G1361" s="154" t="s">
        <v>5199</v>
      </c>
      <c r="J1361" s="154" t="s">
        <v>31</v>
      </c>
      <c r="K1361" s="154" t="s">
        <v>2426</v>
      </c>
      <c r="N1361" s="155"/>
      <c r="O1361" s="156"/>
      <c r="P1361" s="157"/>
      <c r="Q1361" s="158"/>
      <c r="R1361" s="159"/>
      <c r="S1361" s="160"/>
      <c r="T1361" s="161"/>
      <c r="U1361" s="156"/>
      <c r="V1361" s="162"/>
      <c r="W1361" s="163"/>
      <c r="X1361" s="164"/>
      <c r="Y1361" s="159"/>
      <c r="Z1361" s="161"/>
      <c r="AA1361" s="165"/>
      <c r="AD1361" s="154" t="s">
        <v>5196</v>
      </c>
      <c r="AI1361" s="154" t="s">
        <v>5199</v>
      </c>
      <c r="AL1361" s="154" t="s">
        <v>31</v>
      </c>
      <c r="AM1361" s="154" t="s">
        <v>2426</v>
      </c>
      <c r="AP1361" s="155"/>
      <c r="AQ1361" s="156"/>
      <c r="AR1361" s="157"/>
      <c r="AS1361" s="158"/>
      <c r="AT1361" s="159"/>
      <c r="AU1361" s="161"/>
      <c r="AV1361" s="156"/>
      <c r="AW1361" s="162"/>
      <c r="AX1361" s="163"/>
      <c r="AY1361" s="164">
        <v>3</v>
      </c>
      <c r="AZ1361" s="159" t="s">
        <v>1111</v>
      </c>
      <c r="BA1361" s="161"/>
      <c r="BB1361" s="165"/>
      <c r="BE1361" s="154" t="s">
        <v>5196</v>
      </c>
      <c r="BF1361" s="155"/>
      <c r="BG1361" s="154" t="s">
        <v>5200</v>
      </c>
    </row>
    <row r="1362" spans="1:59" s="154" customFormat="1" ht="15" customHeight="1">
      <c r="A1362" s="153" t="s">
        <v>5088</v>
      </c>
      <c r="B1362" s="169" t="s">
        <v>5201</v>
      </c>
      <c r="C1362" s="154" t="s">
        <v>5095</v>
      </c>
      <c r="D1362" s="170">
        <v>334</v>
      </c>
      <c r="E1362" s="154">
        <v>1</v>
      </c>
      <c r="F1362" s="154" t="s">
        <v>5090</v>
      </c>
      <c r="G1362" s="154" t="s">
        <v>5202</v>
      </c>
      <c r="J1362" s="154" t="s">
        <v>31</v>
      </c>
      <c r="K1362" s="154" t="s">
        <v>2426</v>
      </c>
      <c r="N1362" s="155"/>
      <c r="O1362" s="156"/>
      <c r="P1362" s="157"/>
      <c r="Q1362" s="158"/>
      <c r="R1362" s="159"/>
      <c r="S1362" s="160"/>
      <c r="T1362" s="161"/>
      <c r="U1362" s="156"/>
      <c r="V1362" s="162"/>
      <c r="W1362" s="163"/>
      <c r="X1362" s="164"/>
      <c r="Y1362" s="159"/>
      <c r="Z1362" s="161"/>
      <c r="AA1362" s="165"/>
      <c r="AD1362" s="154" t="s">
        <v>5196</v>
      </c>
      <c r="AE1362" s="155"/>
      <c r="AI1362" s="154" t="s">
        <v>5202</v>
      </c>
      <c r="AL1362" s="154" t="s">
        <v>31</v>
      </c>
      <c r="AM1362" s="154" t="s">
        <v>2426</v>
      </c>
      <c r="AP1362" s="155"/>
      <c r="AQ1362" s="156"/>
      <c r="AR1362" s="157"/>
      <c r="AS1362" s="158"/>
      <c r="AT1362" s="159"/>
      <c r="AU1362" s="161"/>
      <c r="AV1362" s="156"/>
      <c r="AW1362" s="162"/>
      <c r="AX1362" s="163"/>
      <c r="AY1362" s="164">
        <v>2</v>
      </c>
      <c r="AZ1362" s="159" t="s">
        <v>1112</v>
      </c>
      <c r="BA1362" s="161"/>
      <c r="BB1362" s="165">
        <v>1</v>
      </c>
      <c r="BE1362" s="154" t="s">
        <v>5196</v>
      </c>
      <c r="BF1362" s="155"/>
      <c r="BG1362" s="154" t="s">
        <v>5203</v>
      </c>
    </row>
    <row r="1363" spans="1:59" s="154" customFormat="1" ht="15" customHeight="1">
      <c r="A1363" s="153" t="s">
        <v>5088</v>
      </c>
      <c r="B1363" s="153" t="s">
        <v>5204</v>
      </c>
      <c r="C1363" s="154" t="s">
        <v>5095</v>
      </c>
      <c r="D1363" s="170">
        <v>335</v>
      </c>
      <c r="E1363" s="154">
        <v>1</v>
      </c>
      <c r="F1363" s="154" t="s">
        <v>5090</v>
      </c>
      <c r="G1363" s="154" t="s">
        <v>5205</v>
      </c>
      <c r="J1363" s="154" t="s">
        <v>31</v>
      </c>
      <c r="K1363" s="154" t="s">
        <v>2426</v>
      </c>
      <c r="N1363" s="155"/>
      <c r="O1363" s="156"/>
      <c r="P1363" s="157"/>
      <c r="Q1363" s="158"/>
      <c r="R1363" s="159"/>
      <c r="S1363" s="160"/>
      <c r="T1363" s="161"/>
      <c r="U1363" s="156"/>
      <c r="V1363" s="162"/>
      <c r="W1363" s="163"/>
      <c r="X1363" s="164"/>
      <c r="Y1363" s="159"/>
      <c r="Z1363" s="161"/>
      <c r="AA1363" s="165"/>
      <c r="AD1363" s="154" t="s">
        <v>5196</v>
      </c>
      <c r="AE1363" s="155"/>
      <c r="AI1363" s="154" t="s">
        <v>5205</v>
      </c>
      <c r="AL1363" s="154" t="s">
        <v>31</v>
      </c>
      <c r="AM1363" s="154" t="s">
        <v>2426</v>
      </c>
      <c r="AP1363" s="155"/>
      <c r="AQ1363" s="156"/>
      <c r="AR1363" s="157"/>
      <c r="AS1363" s="158"/>
      <c r="AT1363" s="159"/>
      <c r="AU1363" s="161"/>
      <c r="AV1363" s="156"/>
      <c r="AW1363" s="162"/>
      <c r="AX1363" s="163"/>
      <c r="AY1363" s="164">
        <v>4</v>
      </c>
      <c r="AZ1363" s="159" t="s">
        <v>1111</v>
      </c>
      <c r="BA1363" s="161"/>
      <c r="BB1363" s="165">
        <v>1</v>
      </c>
      <c r="BE1363" s="154" t="s">
        <v>5196</v>
      </c>
      <c r="BF1363" s="155"/>
      <c r="BG1363" s="154" t="s">
        <v>5206</v>
      </c>
    </row>
    <row r="1364" spans="1:59" s="154" customFormat="1" ht="15" customHeight="1">
      <c r="A1364" s="153" t="s">
        <v>5088</v>
      </c>
      <c r="B1364" s="169" t="s">
        <v>5207</v>
      </c>
      <c r="C1364" s="154" t="s">
        <v>5095</v>
      </c>
      <c r="D1364" s="170">
        <v>336</v>
      </c>
      <c r="E1364" s="154">
        <v>1</v>
      </c>
      <c r="F1364" s="154" t="s">
        <v>5090</v>
      </c>
      <c r="G1364" s="154" t="s">
        <v>5208</v>
      </c>
      <c r="J1364" s="154" t="s">
        <v>31</v>
      </c>
      <c r="K1364" s="154" t="s">
        <v>2426</v>
      </c>
      <c r="N1364" s="155"/>
      <c r="O1364" s="156"/>
      <c r="P1364" s="157"/>
      <c r="Q1364" s="158"/>
      <c r="R1364" s="159"/>
      <c r="S1364" s="160"/>
      <c r="T1364" s="161"/>
      <c r="U1364" s="156"/>
      <c r="V1364" s="162"/>
      <c r="W1364" s="163"/>
      <c r="X1364" s="164"/>
      <c r="Y1364" s="159"/>
      <c r="Z1364" s="161"/>
      <c r="AA1364" s="165"/>
      <c r="AD1364" s="154" t="s">
        <v>5209</v>
      </c>
      <c r="AE1364" s="155"/>
      <c r="AI1364" s="154" t="s">
        <v>5208</v>
      </c>
      <c r="AL1364" s="154" t="s">
        <v>31</v>
      </c>
      <c r="AM1364" s="154" t="s">
        <v>2426</v>
      </c>
      <c r="AP1364" s="155"/>
      <c r="AQ1364" s="156"/>
      <c r="AR1364" s="157"/>
      <c r="AS1364" s="158"/>
      <c r="AT1364" s="159"/>
      <c r="AU1364" s="161"/>
      <c r="AV1364" s="156"/>
      <c r="AW1364" s="162"/>
      <c r="AX1364" s="163"/>
      <c r="AY1364" s="164">
        <v>3</v>
      </c>
      <c r="AZ1364" s="159" t="s">
        <v>1073</v>
      </c>
      <c r="BA1364" s="161"/>
      <c r="BB1364" s="165"/>
      <c r="BE1364" s="154" t="s">
        <v>5209</v>
      </c>
      <c r="BF1364" s="155"/>
      <c r="BG1364" s="154" t="s">
        <v>5210</v>
      </c>
    </row>
    <row r="1365" spans="1:59" s="154" customFormat="1" ht="15" customHeight="1">
      <c r="A1365" s="153" t="s">
        <v>5088</v>
      </c>
      <c r="B1365" s="153" t="s">
        <v>5211</v>
      </c>
      <c r="C1365" s="154" t="s">
        <v>5095</v>
      </c>
      <c r="D1365" s="170">
        <v>337</v>
      </c>
      <c r="E1365" s="154">
        <v>1</v>
      </c>
      <c r="F1365" s="154" t="s">
        <v>5090</v>
      </c>
      <c r="G1365" s="154" t="s">
        <v>5212</v>
      </c>
      <c r="H1365" s="154" t="s">
        <v>5213</v>
      </c>
      <c r="J1365" s="154" t="s">
        <v>29</v>
      </c>
      <c r="K1365" s="154" t="s">
        <v>2426</v>
      </c>
      <c r="N1365" s="155"/>
      <c r="O1365" s="156"/>
      <c r="P1365" s="157"/>
      <c r="Q1365" s="158">
        <v>2</v>
      </c>
      <c r="R1365" s="159">
        <v>2</v>
      </c>
      <c r="S1365" s="160"/>
      <c r="T1365" s="161">
        <v>10</v>
      </c>
      <c r="U1365" s="156"/>
      <c r="V1365" s="162">
        <v>3</v>
      </c>
      <c r="W1365" s="163">
        <v>3</v>
      </c>
      <c r="X1365" s="164"/>
      <c r="Y1365" s="159"/>
      <c r="Z1365" s="161"/>
      <c r="AA1365" s="165">
        <v>2</v>
      </c>
      <c r="AD1365" s="154" t="s">
        <v>1691</v>
      </c>
      <c r="AE1365" s="155"/>
      <c r="AF1365" s="154" t="s">
        <v>5214</v>
      </c>
      <c r="AP1365" s="155"/>
      <c r="AQ1365" s="156"/>
      <c r="AR1365" s="157"/>
      <c r="AS1365" s="158"/>
      <c r="AT1365" s="159"/>
      <c r="AU1365" s="161"/>
      <c r="AV1365" s="156"/>
      <c r="AW1365" s="162"/>
      <c r="AX1365" s="163"/>
      <c r="AY1365" s="164"/>
      <c r="AZ1365" s="159"/>
      <c r="BA1365" s="161"/>
      <c r="BB1365" s="165"/>
      <c r="BF1365" s="155"/>
    </row>
    <row r="1366" spans="1:59" s="154" customFormat="1" ht="15" customHeight="1">
      <c r="A1366" s="153" t="s">
        <v>5088</v>
      </c>
      <c r="B1366" s="153" t="s">
        <v>5215</v>
      </c>
      <c r="C1366" s="154" t="s">
        <v>5095</v>
      </c>
      <c r="D1366" s="170">
        <v>338</v>
      </c>
      <c r="E1366" s="154">
        <v>2</v>
      </c>
      <c r="F1366" s="154" t="s">
        <v>5090</v>
      </c>
      <c r="G1366" s="154" t="s">
        <v>5216</v>
      </c>
      <c r="J1366" s="154" t="s">
        <v>29</v>
      </c>
      <c r="K1366" s="154" t="s">
        <v>2426</v>
      </c>
      <c r="N1366" s="155"/>
      <c r="O1366" s="156"/>
      <c r="P1366" s="157"/>
      <c r="Q1366" s="158">
        <v>4</v>
      </c>
      <c r="R1366" s="159">
        <v>4</v>
      </c>
      <c r="S1366" s="160"/>
      <c r="T1366" s="161">
        <v>5</v>
      </c>
      <c r="U1366" s="156"/>
      <c r="V1366" s="162">
        <v>1</v>
      </c>
      <c r="W1366" s="163">
        <v>1</v>
      </c>
      <c r="X1366" s="164"/>
      <c r="Y1366" s="159"/>
      <c r="Z1366" s="161"/>
      <c r="AA1366" s="165"/>
      <c r="AD1366" s="154" t="s">
        <v>5217</v>
      </c>
      <c r="AE1366" s="155"/>
      <c r="AF1366" s="154" t="s">
        <v>5218</v>
      </c>
      <c r="AP1366" s="155"/>
      <c r="AQ1366" s="156"/>
      <c r="AR1366" s="157"/>
      <c r="AS1366" s="158"/>
      <c r="AT1366" s="159"/>
      <c r="AU1366" s="161"/>
      <c r="AV1366" s="156"/>
      <c r="AW1366" s="162"/>
      <c r="AX1366" s="163"/>
      <c r="AY1366" s="164"/>
      <c r="AZ1366" s="159"/>
      <c r="BA1366" s="161"/>
      <c r="BB1366" s="165"/>
      <c r="BF1366" s="155"/>
    </row>
    <row r="1367" spans="1:59" s="154" customFormat="1" ht="15" customHeight="1">
      <c r="A1367" s="153" t="s">
        <v>5088</v>
      </c>
      <c r="B1367" s="153" t="s">
        <v>5219</v>
      </c>
      <c r="C1367" s="154" t="s">
        <v>5095</v>
      </c>
      <c r="D1367" s="170">
        <v>339</v>
      </c>
      <c r="E1367" s="154">
        <v>2</v>
      </c>
      <c r="F1367" s="154" t="s">
        <v>5090</v>
      </c>
      <c r="G1367" s="154" t="s">
        <v>5220</v>
      </c>
      <c r="J1367" s="154" t="s">
        <v>28</v>
      </c>
      <c r="K1367" s="154" t="s">
        <v>2426</v>
      </c>
      <c r="N1367" s="155"/>
      <c r="O1367" s="156"/>
      <c r="P1367" s="157"/>
      <c r="Q1367" s="158"/>
      <c r="R1367" s="159"/>
      <c r="S1367" s="160"/>
      <c r="T1367" s="161"/>
      <c r="U1367" s="156"/>
      <c r="V1367" s="162"/>
      <c r="W1367" s="163"/>
      <c r="X1367" s="164"/>
      <c r="Y1367" s="159"/>
      <c r="Z1367" s="161"/>
      <c r="AA1367" s="165"/>
      <c r="AD1367" s="154" t="s">
        <v>486</v>
      </c>
      <c r="AE1367" s="155"/>
      <c r="AF1367" s="154" t="s">
        <v>5221</v>
      </c>
      <c r="AP1367" s="155"/>
      <c r="AQ1367" s="156"/>
      <c r="AR1367" s="157"/>
      <c r="AS1367" s="158"/>
      <c r="AT1367" s="159"/>
      <c r="AU1367" s="161"/>
      <c r="AV1367" s="156"/>
      <c r="AW1367" s="162"/>
      <c r="AX1367" s="163"/>
      <c r="AY1367" s="164"/>
      <c r="AZ1367" s="159"/>
      <c r="BA1367" s="161"/>
      <c r="BB1367" s="165"/>
      <c r="BF1367" s="155"/>
    </row>
    <row r="1368" spans="1:59" s="154" customFormat="1" ht="15" customHeight="1">
      <c r="A1368" s="153" t="s">
        <v>5088</v>
      </c>
      <c r="B1368" s="153" t="s">
        <v>5222</v>
      </c>
      <c r="C1368" s="154" t="s">
        <v>5095</v>
      </c>
      <c r="D1368" s="170">
        <v>340</v>
      </c>
      <c r="E1368" s="154">
        <v>2</v>
      </c>
      <c r="F1368" s="154" t="s">
        <v>5090</v>
      </c>
      <c r="G1368" s="154" t="s">
        <v>5223</v>
      </c>
      <c r="J1368" s="154" t="s">
        <v>28</v>
      </c>
      <c r="K1368" s="154" t="s">
        <v>2426</v>
      </c>
      <c r="N1368" s="155"/>
      <c r="O1368" s="156"/>
      <c r="P1368" s="157"/>
      <c r="Q1368" s="158"/>
      <c r="R1368" s="159"/>
      <c r="S1368" s="160"/>
      <c r="T1368" s="161"/>
      <c r="U1368" s="156"/>
      <c r="V1368" s="162"/>
      <c r="W1368" s="163"/>
      <c r="X1368" s="164"/>
      <c r="Y1368" s="159"/>
      <c r="Z1368" s="161"/>
      <c r="AA1368" s="165"/>
      <c r="AD1368" s="154" t="s">
        <v>486</v>
      </c>
      <c r="AE1368" s="155"/>
      <c r="AF1368" s="154" t="s">
        <v>5224</v>
      </c>
      <c r="AP1368" s="155"/>
      <c r="AQ1368" s="156"/>
      <c r="AR1368" s="157"/>
      <c r="AS1368" s="158"/>
      <c r="AT1368" s="159"/>
      <c r="AU1368" s="161"/>
      <c r="AV1368" s="156"/>
      <c r="AW1368" s="162"/>
      <c r="AX1368" s="163"/>
      <c r="AY1368" s="164"/>
      <c r="AZ1368" s="159"/>
      <c r="BA1368" s="161"/>
      <c r="BB1368" s="165"/>
      <c r="BF1368" s="155"/>
    </row>
    <row r="1369" spans="1:59" s="154" customFormat="1" ht="15" customHeight="1">
      <c r="A1369" s="153" t="s">
        <v>5088</v>
      </c>
      <c r="B1369" s="153" t="s">
        <v>5225</v>
      </c>
      <c r="C1369" s="154" t="s">
        <v>5095</v>
      </c>
      <c r="D1369" s="155">
        <v>341</v>
      </c>
      <c r="E1369" s="154">
        <v>3</v>
      </c>
      <c r="F1369" s="154" t="s">
        <v>5090</v>
      </c>
      <c r="G1369" s="154" t="s">
        <v>5226</v>
      </c>
      <c r="J1369" s="154" t="s">
        <v>28</v>
      </c>
      <c r="K1369" s="154" t="s">
        <v>2426</v>
      </c>
      <c r="N1369" s="155"/>
      <c r="O1369" s="156"/>
      <c r="P1369" s="157"/>
      <c r="Q1369" s="158"/>
      <c r="R1369" s="159"/>
      <c r="S1369" s="160"/>
      <c r="T1369" s="161"/>
      <c r="U1369" s="156"/>
      <c r="V1369" s="162"/>
      <c r="W1369" s="163"/>
      <c r="X1369" s="164"/>
      <c r="Y1369" s="159"/>
      <c r="Z1369" s="161"/>
      <c r="AA1369" s="165"/>
      <c r="AD1369" s="154" t="s">
        <v>486</v>
      </c>
      <c r="AE1369" s="155"/>
      <c r="AF1369" s="154" t="s">
        <v>5227</v>
      </c>
      <c r="AP1369" s="155"/>
      <c r="AQ1369" s="156"/>
      <c r="AR1369" s="157"/>
      <c r="AS1369" s="158"/>
      <c r="AT1369" s="159"/>
      <c r="AU1369" s="161"/>
      <c r="AV1369" s="156"/>
      <c r="AW1369" s="162"/>
      <c r="AX1369" s="163"/>
      <c r="AY1369" s="164"/>
      <c r="AZ1369" s="159"/>
      <c r="BA1369" s="161"/>
      <c r="BB1369" s="165"/>
      <c r="BF1369" s="155"/>
    </row>
    <row r="1370" spans="1:59" s="154" customFormat="1" ht="15" customHeight="1">
      <c r="A1370" s="153" t="s">
        <v>5088</v>
      </c>
      <c r="B1370" s="153" t="s">
        <v>5228</v>
      </c>
      <c r="C1370" s="154" t="s">
        <v>5095</v>
      </c>
      <c r="D1370" s="155">
        <v>342</v>
      </c>
      <c r="E1370" s="154">
        <v>2</v>
      </c>
      <c r="F1370" s="154" t="s">
        <v>5090</v>
      </c>
      <c r="G1370" s="154" t="s">
        <v>5229</v>
      </c>
      <c r="J1370" s="154" t="s">
        <v>28</v>
      </c>
      <c r="K1370" s="154" t="s">
        <v>2426</v>
      </c>
      <c r="N1370" s="155"/>
      <c r="O1370" s="156"/>
      <c r="P1370" s="157"/>
      <c r="Q1370" s="158"/>
      <c r="R1370" s="159"/>
      <c r="S1370" s="160"/>
      <c r="T1370" s="161"/>
      <c r="U1370" s="156"/>
      <c r="V1370" s="162"/>
      <c r="W1370" s="163"/>
      <c r="X1370" s="164"/>
      <c r="Y1370" s="159"/>
      <c r="Z1370" s="161"/>
      <c r="AA1370" s="165"/>
      <c r="AD1370" s="154" t="s">
        <v>479</v>
      </c>
      <c r="AE1370" s="155"/>
      <c r="AF1370" s="154" t="s">
        <v>5230</v>
      </c>
      <c r="AP1370" s="155"/>
      <c r="AQ1370" s="156"/>
      <c r="AR1370" s="157"/>
      <c r="AS1370" s="158"/>
      <c r="AT1370" s="159"/>
      <c r="AU1370" s="161"/>
      <c r="AV1370" s="156"/>
      <c r="AW1370" s="162"/>
      <c r="AX1370" s="163"/>
      <c r="AY1370" s="164"/>
      <c r="AZ1370" s="159"/>
      <c r="BA1370" s="161"/>
      <c r="BB1370" s="165"/>
      <c r="BF1370" s="155"/>
    </row>
    <row r="1371" spans="1:59" s="154" customFormat="1" ht="15" customHeight="1">
      <c r="A1371" s="153" t="s">
        <v>5088</v>
      </c>
      <c r="B1371" s="183" t="s">
        <v>5231</v>
      </c>
      <c r="C1371" s="154" t="s">
        <v>5095</v>
      </c>
      <c r="D1371" s="155">
        <v>343</v>
      </c>
      <c r="E1371" s="154">
        <v>1</v>
      </c>
      <c r="F1371" s="154" t="s">
        <v>5090</v>
      </c>
      <c r="G1371" s="154" t="s">
        <v>3978</v>
      </c>
      <c r="H1371" s="154" t="s">
        <v>5232</v>
      </c>
      <c r="J1371" s="154" t="s">
        <v>257</v>
      </c>
      <c r="K1371" s="154" t="s">
        <v>26</v>
      </c>
      <c r="N1371" s="155">
        <v>2</v>
      </c>
      <c r="O1371" s="156"/>
      <c r="P1371" s="157"/>
      <c r="Q1371" s="158"/>
      <c r="R1371" s="159"/>
      <c r="S1371" s="160">
        <v>3</v>
      </c>
      <c r="T1371" s="161"/>
      <c r="U1371" s="156"/>
      <c r="V1371" s="162"/>
      <c r="W1371" s="163"/>
      <c r="X1371" s="164"/>
      <c r="Y1371" s="159"/>
      <c r="Z1371" s="161"/>
      <c r="AA1371" s="165"/>
      <c r="AB1371" s="154" t="s">
        <v>1996</v>
      </c>
      <c r="AD1371" s="154" t="s">
        <v>276</v>
      </c>
      <c r="AE1371" s="155"/>
      <c r="AF1371" s="154" t="s">
        <v>5233</v>
      </c>
      <c r="AP1371" s="155"/>
      <c r="AQ1371" s="156"/>
      <c r="AR1371" s="157"/>
      <c r="AS1371" s="158"/>
      <c r="AT1371" s="159"/>
      <c r="AU1371" s="161"/>
      <c r="AV1371" s="156"/>
      <c r="AW1371" s="162"/>
      <c r="AX1371" s="163"/>
      <c r="AY1371" s="164"/>
      <c r="AZ1371" s="159"/>
      <c r="BA1371" s="161"/>
      <c r="BB1371" s="165"/>
      <c r="BF1371" s="155"/>
    </row>
    <row r="1372" spans="1:59" s="154" customFormat="1" ht="15" customHeight="1">
      <c r="A1372" s="153" t="s">
        <v>5088</v>
      </c>
      <c r="B1372" s="154" t="s">
        <v>5234</v>
      </c>
      <c r="C1372" s="154" t="s">
        <v>5095</v>
      </c>
      <c r="D1372" s="155">
        <v>344</v>
      </c>
      <c r="E1372" s="154">
        <v>1</v>
      </c>
      <c r="F1372" s="154" t="s">
        <v>5235</v>
      </c>
      <c r="G1372" s="154" t="s">
        <v>5235</v>
      </c>
      <c r="J1372" s="154" t="s">
        <v>618</v>
      </c>
      <c r="K1372" s="154" t="s">
        <v>2426</v>
      </c>
      <c r="N1372" s="155"/>
      <c r="O1372" s="156"/>
      <c r="P1372" s="157"/>
      <c r="Q1372" s="158"/>
      <c r="R1372" s="159"/>
      <c r="S1372" s="160"/>
      <c r="T1372" s="161"/>
      <c r="U1372" s="156"/>
      <c r="V1372" s="162"/>
      <c r="W1372" s="163"/>
      <c r="X1372" s="164"/>
      <c r="Y1372" s="159"/>
      <c r="Z1372" s="161"/>
      <c r="AA1372" s="165"/>
      <c r="AE1372" s="155"/>
      <c r="AF1372" s="154" t="s">
        <v>5236</v>
      </c>
      <c r="AI1372" s="154" t="s">
        <v>5235</v>
      </c>
      <c r="AL1372" s="154" t="s">
        <v>618</v>
      </c>
      <c r="AM1372" s="154" t="s">
        <v>2426</v>
      </c>
      <c r="AP1372" s="155"/>
      <c r="AQ1372" s="156"/>
      <c r="AR1372" s="157"/>
      <c r="AS1372" s="158"/>
      <c r="AT1372" s="159"/>
      <c r="AU1372" s="161"/>
      <c r="AV1372" s="156"/>
      <c r="AW1372" s="162"/>
      <c r="AX1372" s="163"/>
      <c r="AY1372" s="164"/>
      <c r="AZ1372" s="159"/>
      <c r="BA1372" s="161"/>
      <c r="BB1372" s="165"/>
      <c r="BF1372" s="155"/>
      <c r="BG1372" s="154" t="s">
        <v>5237</v>
      </c>
    </row>
    <row r="1373" spans="1:59" s="154" customFormat="1" ht="15" customHeight="1">
      <c r="A1373" s="153" t="s">
        <v>5088</v>
      </c>
      <c r="B1373" s="154" t="s">
        <v>5238</v>
      </c>
      <c r="C1373" s="154" t="s">
        <v>5095</v>
      </c>
      <c r="D1373" s="155">
        <v>345</v>
      </c>
      <c r="E1373" s="154">
        <v>1</v>
      </c>
      <c r="F1373" s="154" t="s">
        <v>5235</v>
      </c>
      <c r="G1373" s="154" t="s">
        <v>5239</v>
      </c>
      <c r="J1373" s="154" t="s">
        <v>621</v>
      </c>
      <c r="K1373" s="154" t="s">
        <v>2426</v>
      </c>
      <c r="N1373" s="155"/>
      <c r="O1373" s="156"/>
      <c r="P1373" s="157"/>
      <c r="Q1373" s="158"/>
      <c r="R1373" s="159"/>
      <c r="S1373" s="160"/>
      <c r="T1373" s="161"/>
      <c r="U1373" s="156"/>
      <c r="V1373" s="162"/>
      <c r="W1373" s="163"/>
      <c r="X1373" s="164"/>
      <c r="Y1373" s="159" t="s">
        <v>1112</v>
      </c>
      <c r="Z1373" s="161"/>
      <c r="AA1373" s="165"/>
      <c r="AE1373" s="155"/>
      <c r="AF1373" s="154" t="s">
        <v>3936</v>
      </c>
      <c r="AI1373" s="154" t="s">
        <v>5239</v>
      </c>
      <c r="AJ1373" s="171"/>
      <c r="AL1373" s="154" t="s">
        <v>621</v>
      </c>
      <c r="AM1373" s="154" t="s">
        <v>2426</v>
      </c>
      <c r="AP1373" s="155"/>
      <c r="AQ1373" s="156"/>
      <c r="AR1373" s="157"/>
      <c r="AS1373" s="158"/>
      <c r="AT1373" s="159"/>
      <c r="AU1373" s="161"/>
      <c r="AV1373" s="156"/>
      <c r="AW1373" s="162"/>
      <c r="AX1373" s="163"/>
      <c r="AY1373" s="164"/>
      <c r="AZ1373" s="159"/>
      <c r="BA1373" s="161"/>
      <c r="BB1373" s="165"/>
      <c r="BF1373" s="155"/>
      <c r="BG1373" s="154" t="s">
        <v>5240</v>
      </c>
    </row>
    <row r="1374" spans="1:59" s="154" customFormat="1" ht="15" customHeight="1">
      <c r="A1374" s="153" t="s">
        <v>5088</v>
      </c>
      <c r="B1374" s="154" t="s">
        <v>5241</v>
      </c>
      <c r="C1374" s="154" t="s">
        <v>5095</v>
      </c>
      <c r="D1374" s="155">
        <v>346</v>
      </c>
      <c r="E1374" s="154">
        <v>1</v>
      </c>
      <c r="F1374" s="154" t="s">
        <v>5235</v>
      </c>
      <c r="G1374" s="154" t="s">
        <v>5242</v>
      </c>
      <c r="J1374" s="154" t="s">
        <v>621</v>
      </c>
      <c r="K1374" s="154" t="s">
        <v>2426</v>
      </c>
      <c r="N1374" s="155"/>
      <c r="O1374" s="156"/>
      <c r="P1374" s="157"/>
      <c r="Q1374" s="158"/>
      <c r="R1374" s="159"/>
      <c r="S1374" s="160"/>
      <c r="T1374" s="161"/>
      <c r="U1374" s="156"/>
      <c r="V1374" s="162"/>
      <c r="W1374" s="163"/>
      <c r="X1374" s="164"/>
      <c r="Y1374" s="159" t="s">
        <v>1111</v>
      </c>
      <c r="Z1374" s="161"/>
      <c r="AA1374" s="165"/>
      <c r="AE1374" s="155"/>
      <c r="AF1374" s="154" t="s">
        <v>5243</v>
      </c>
      <c r="AI1374" s="154" t="s">
        <v>5242</v>
      </c>
      <c r="AL1374" s="154" t="s">
        <v>621</v>
      </c>
      <c r="AM1374" s="154" t="s">
        <v>2426</v>
      </c>
      <c r="AP1374" s="155"/>
      <c r="AQ1374" s="156"/>
      <c r="AR1374" s="157"/>
      <c r="AS1374" s="158"/>
      <c r="AT1374" s="159"/>
      <c r="AU1374" s="161"/>
      <c r="AV1374" s="156"/>
      <c r="AW1374" s="162"/>
      <c r="AX1374" s="163"/>
      <c r="AY1374" s="164"/>
      <c r="AZ1374" s="159"/>
      <c r="BA1374" s="161"/>
      <c r="BB1374" s="165"/>
      <c r="BF1374" s="155"/>
      <c r="BG1374" s="154" t="s">
        <v>5244</v>
      </c>
    </row>
    <row r="1375" spans="1:59" s="154" customFormat="1" ht="15" customHeight="1">
      <c r="A1375" s="153" t="s">
        <v>5088</v>
      </c>
      <c r="B1375" s="153" t="s">
        <v>5245</v>
      </c>
      <c r="C1375" s="154" t="s">
        <v>5095</v>
      </c>
      <c r="D1375" s="155">
        <v>347</v>
      </c>
      <c r="E1375" s="154">
        <v>1</v>
      </c>
      <c r="F1375" s="154" t="s">
        <v>5235</v>
      </c>
      <c r="G1375" s="154" t="s">
        <v>5246</v>
      </c>
      <c r="J1375" s="154" t="s">
        <v>621</v>
      </c>
      <c r="K1375" s="154" t="s">
        <v>2426</v>
      </c>
      <c r="N1375" s="155"/>
      <c r="O1375" s="156"/>
      <c r="P1375" s="157"/>
      <c r="Q1375" s="158"/>
      <c r="R1375" s="159"/>
      <c r="S1375" s="160"/>
      <c r="T1375" s="161"/>
      <c r="U1375" s="156"/>
      <c r="V1375" s="162"/>
      <c r="W1375" s="163"/>
      <c r="X1375" s="164"/>
      <c r="Y1375" s="159">
        <v>0</v>
      </c>
      <c r="Z1375" s="161"/>
      <c r="AA1375" s="165"/>
      <c r="AE1375" s="155"/>
      <c r="AF1375" s="154" t="s">
        <v>5247</v>
      </c>
      <c r="AI1375" s="154" t="s">
        <v>5246</v>
      </c>
      <c r="AL1375" s="154" t="s">
        <v>621</v>
      </c>
      <c r="AM1375" s="154" t="s">
        <v>2426</v>
      </c>
      <c r="AP1375" s="155"/>
      <c r="AQ1375" s="156"/>
      <c r="AR1375" s="157"/>
      <c r="AS1375" s="158"/>
      <c r="AT1375" s="159"/>
      <c r="AU1375" s="161"/>
      <c r="AV1375" s="156"/>
      <c r="AW1375" s="162"/>
      <c r="AX1375" s="163"/>
      <c r="AY1375" s="164"/>
      <c r="AZ1375" s="159"/>
      <c r="BA1375" s="161"/>
      <c r="BB1375" s="165"/>
      <c r="BF1375" s="155"/>
      <c r="BG1375" s="154" t="s">
        <v>5248</v>
      </c>
    </row>
    <row r="1376" spans="1:59" s="154" customFormat="1" ht="15" customHeight="1">
      <c r="A1376" s="168" t="s">
        <v>5089</v>
      </c>
      <c r="B1376" s="153" t="s">
        <v>5249</v>
      </c>
      <c r="C1376" s="154" t="s">
        <v>5250</v>
      </c>
      <c r="D1376" s="155">
        <v>1</v>
      </c>
      <c r="E1376" s="154">
        <v>1</v>
      </c>
      <c r="F1376" s="154" t="s">
        <v>5091</v>
      </c>
      <c r="G1376" s="154" t="s">
        <v>5091</v>
      </c>
      <c r="J1376" s="154" t="s">
        <v>618</v>
      </c>
      <c r="K1376" s="154" t="s">
        <v>2426</v>
      </c>
      <c r="N1376" s="155"/>
      <c r="O1376" s="156"/>
      <c r="P1376" s="157"/>
      <c r="Q1376" s="158"/>
      <c r="R1376" s="159"/>
      <c r="S1376" s="160"/>
      <c r="T1376" s="161"/>
      <c r="U1376" s="156"/>
      <c r="V1376" s="162"/>
      <c r="W1376" s="163"/>
      <c r="X1376" s="164"/>
      <c r="Y1376" s="159"/>
      <c r="Z1376" s="161"/>
      <c r="AA1376" s="165"/>
      <c r="AE1376" s="155"/>
      <c r="AF1376" s="154" t="s">
        <v>5251</v>
      </c>
      <c r="AI1376" s="154" t="s">
        <v>5091</v>
      </c>
      <c r="AL1376" s="154" t="s">
        <v>618</v>
      </c>
      <c r="AM1376" s="154" t="s">
        <v>2426</v>
      </c>
      <c r="AP1376" s="155"/>
      <c r="AQ1376" s="156"/>
      <c r="AR1376" s="157"/>
      <c r="AS1376" s="158"/>
      <c r="AT1376" s="159"/>
      <c r="AU1376" s="161"/>
      <c r="AV1376" s="156"/>
      <c r="AW1376" s="162"/>
      <c r="AX1376" s="163"/>
      <c r="AY1376" s="164"/>
      <c r="AZ1376" s="159"/>
      <c r="BA1376" s="161"/>
      <c r="BB1376" s="165"/>
      <c r="BF1376" s="155"/>
      <c r="BG1376" s="154" t="s">
        <v>5252</v>
      </c>
    </row>
    <row r="1377" spans="1:59" s="154" customFormat="1" ht="15" customHeight="1">
      <c r="A1377" s="168" t="s">
        <v>5089</v>
      </c>
      <c r="B1377" s="153" t="s">
        <v>5253</v>
      </c>
      <c r="C1377" s="154" t="s">
        <v>5250</v>
      </c>
      <c r="D1377" s="155">
        <v>2</v>
      </c>
      <c r="E1377" s="154">
        <v>1</v>
      </c>
      <c r="F1377" s="154" t="s">
        <v>5091</v>
      </c>
      <c r="G1377" s="154" t="s">
        <v>2646</v>
      </c>
      <c r="J1377" s="154" t="s">
        <v>619</v>
      </c>
      <c r="K1377" s="154" t="s">
        <v>2426</v>
      </c>
      <c r="L1377" s="154">
        <v>1</v>
      </c>
      <c r="N1377" s="155"/>
      <c r="O1377" s="156"/>
      <c r="P1377" s="157"/>
      <c r="Q1377" s="158"/>
      <c r="R1377" s="159"/>
      <c r="S1377" s="160"/>
      <c r="T1377" s="161"/>
      <c r="U1377" s="156"/>
      <c r="V1377" s="162"/>
      <c r="W1377" s="163"/>
      <c r="X1377" s="164"/>
      <c r="Y1377" s="159"/>
      <c r="Z1377" s="161">
        <v>6</v>
      </c>
      <c r="AA1377" s="165"/>
      <c r="AE1377" s="155"/>
      <c r="AF1377" s="154" t="s">
        <v>5254</v>
      </c>
      <c r="AI1377" s="154" t="s">
        <v>5255</v>
      </c>
      <c r="AL1377" s="154" t="s">
        <v>619</v>
      </c>
      <c r="AM1377" s="154" t="s">
        <v>2426</v>
      </c>
      <c r="AN1377" s="154">
        <v>1</v>
      </c>
      <c r="AP1377" s="155"/>
      <c r="AQ1377" s="156"/>
      <c r="AR1377" s="157"/>
      <c r="AS1377" s="158"/>
      <c r="AT1377" s="159"/>
      <c r="AU1377" s="161"/>
      <c r="AV1377" s="156"/>
      <c r="AW1377" s="162"/>
      <c r="AX1377" s="163"/>
      <c r="AY1377" s="164"/>
      <c r="AZ1377" s="159"/>
      <c r="BA1377" s="161"/>
      <c r="BB1377" s="165"/>
      <c r="BF1377" s="155"/>
      <c r="BG1377" s="154" t="s">
        <v>5256</v>
      </c>
    </row>
    <row r="1378" spans="1:59" s="154" customFormat="1" ht="15" customHeight="1">
      <c r="A1378" s="168" t="s">
        <v>5089</v>
      </c>
      <c r="B1378" s="23" t="s">
        <v>5257</v>
      </c>
      <c r="C1378" s="154" t="s">
        <v>5250</v>
      </c>
      <c r="D1378" s="155">
        <v>3</v>
      </c>
      <c r="E1378" s="154">
        <v>1</v>
      </c>
      <c r="F1378" s="154" t="s">
        <v>5091</v>
      </c>
      <c r="G1378" s="154" t="s">
        <v>2646</v>
      </c>
      <c r="J1378" s="154" t="s">
        <v>619</v>
      </c>
      <c r="K1378" s="154" t="s">
        <v>2426</v>
      </c>
      <c r="L1378" s="154">
        <v>1</v>
      </c>
      <c r="N1378" s="155"/>
      <c r="O1378" s="156"/>
      <c r="P1378" s="157"/>
      <c r="Q1378" s="158"/>
      <c r="R1378" s="159"/>
      <c r="S1378" s="160"/>
      <c r="T1378" s="161"/>
      <c r="U1378" s="156"/>
      <c r="V1378" s="162"/>
      <c r="W1378" s="163"/>
      <c r="X1378" s="164"/>
      <c r="Y1378" s="159"/>
      <c r="Z1378" s="161">
        <v>6</v>
      </c>
      <c r="AA1378" s="165"/>
      <c r="AE1378" s="155"/>
      <c r="AI1378" s="154" t="s">
        <v>5255</v>
      </c>
      <c r="AL1378" s="154" t="s">
        <v>619</v>
      </c>
      <c r="AM1378" s="154" t="s">
        <v>2426</v>
      </c>
      <c r="AN1378" s="154">
        <v>1</v>
      </c>
      <c r="AP1378" s="155"/>
      <c r="AQ1378" s="156"/>
      <c r="AR1378" s="157"/>
      <c r="AS1378" s="158"/>
      <c r="AT1378" s="159"/>
      <c r="AU1378" s="161"/>
      <c r="AV1378" s="156"/>
      <c r="AW1378" s="162"/>
      <c r="AX1378" s="163"/>
      <c r="AY1378" s="164"/>
      <c r="AZ1378" s="159"/>
      <c r="BA1378" s="161"/>
      <c r="BB1378" s="165"/>
      <c r="BF1378" s="155"/>
      <c r="BG1378" s="154" t="s">
        <v>5256</v>
      </c>
    </row>
    <row r="1379" spans="1:59" s="154" customFormat="1" ht="15" customHeight="1">
      <c r="A1379" s="168" t="s">
        <v>5089</v>
      </c>
      <c r="B1379" s="23" t="s">
        <v>5258</v>
      </c>
      <c r="C1379" s="154" t="s">
        <v>5250</v>
      </c>
      <c r="D1379" s="155">
        <v>4</v>
      </c>
      <c r="E1379" s="154">
        <v>1</v>
      </c>
      <c r="F1379" s="154" t="s">
        <v>5091</v>
      </c>
      <c r="G1379" s="154" t="s">
        <v>5259</v>
      </c>
      <c r="J1379" s="154" t="s">
        <v>619</v>
      </c>
      <c r="K1379" s="154" t="s">
        <v>2426</v>
      </c>
      <c r="L1379" s="154">
        <v>2</v>
      </c>
      <c r="N1379" s="155"/>
      <c r="O1379" s="156"/>
      <c r="P1379" s="157"/>
      <c r="Q1379" s="158"/>
      <c r="R1379" s="159"/>
      <c r="S1379" s="160"/>
      <c r="T1379" s="161"/>
      <c r="U1379" s="156"/>
      <c r="V1379" s="162"/>
      <c r="W1379" s="163"/>
      <c r="X1379" s="164"/>
      <c r="Y1379" s="159"/>
      <c r="Z1379" s="161">
        <v>7</v>
      </c>
      <c r="AA1379" s="165"/>
      <c r="AE1379" s="155"/>
      <c r="AF1379" s="154" t="s">
        <v>5260</v>
      </c>
      <c r="AI1379" s="154" t="s">
        <v>5261</v>
      </c>
      <c r="AL1379" s="154" t="s">
        <v>619</v>
      </c>
      <c r="AM1379" s="154" t="s">
        <v>2426</v>
      </c>
      <c r="AN1379" s="154">
        <v>2</v>
      </c>
      <c r="AP1379" s="155"/>
      <c r="AQ1379" s="156"/>
      <c r="AR1379" s="157"/>
      <c r="AS1379" s="158"/>
      <c r="AT1379" s="159"/>
      <c r="AU1379" s="161"/>
      <c r="AV1379" s="156"/>
      <c r="AW1379" s="162"/>
      <c r="AX1379" s="163"/>
      <c r="AY1379" s="164"/>
      <c r="AZ1379" s="159"/>
      <c r="BA1379" s="161"/>
      <c r="BB1379" s="165"/>
      <c r="BF1379" s="155"/>
      <c r="BG1379" s="154" t="s">
        <v>5262</v>
      </c>
    </row>
    <row r="1380" spans="1:59" s="154" customFormat="1" ht="15" customHeight="1">
      <c r="A1380" s="168" t="s">
        <v>5089</v>
      </c>
      <c r="B1380" s="23" t="s">
        <v>5263</v>
      </c>
      <c r="C1380" s="154" t="s">
        <v>5250</v>
      </c>
      <c r="D1380" s="155">
        <v>5</v>
      </c>
      <c r="E1380" s="154">
        <v>1</v>
      </c>
      <c r="F1380" s="154" t="s">
        <v>5091</v>
      </c>
      <c r="G1380" s="154" t="s">
        <v>5259</v>
      </c>
      <c r="J1380" s="154" t="s">
        <v>619</v>
      </c>
      <c r="K1380" s="154" t="s">
        <v>2426</v>
      </c>
      <c r="L1380" s="154">
        <v>2</v>
      </c>
      <c r="N1380" s="155"/>
      <c r="O1380" s="156"/>
      <c r="P1380" s="157"/>
      <c r="Q1380" s="158"/>
      <c r="R1380" s="159"/>
      <c r="S1380" s="160"/>
      <c r="T1380" s="161"/>
      <c r="U1380" s="156"/>
      <c r="V1380" s="162"/>
      <c r="W1380" s="163"/>
      <c r="X1380" s="164"/>
      <c r="Y1380" s="159"/>
      <c r="Z1380" s="161">
        <v>7</v>
      </c>
      <c r="AA1380" s="165"/>
      <c r="AE1380" s="155"/>
      <c r="AI1380" s="154" t="s">
        <v>5261</v>
      </c>
      <c r="AL1380" s="154" t="s">
        <v>619</v>
      </c>
      <c r="AM1380" s="154" t="s">
        <v>2426</v>
      </c>
      <c r="AN1380" s="154">
        <v>2</v>
      </c>
      <c r="AP1380" s="155"/>
      <c r="AQ1380" s="156"/>
      <c r="AR1380" s="157"/>
      <c r="AS1380" s="158"/>
      <c r="AT1380" s="159"/>
      <c r="AU1380" s="161"/>
      <c r="AV1380" s="156"/>
      <c r="AW1380" s="162"/>
      <c r="AX1380" s="163"/>
      <c r="AY1380" s="164"/>
      <c r="AZ1380" s="159"/>
      <c r="BA1380" s="161"/>
      <c r="BB1380" s="165"/>
      <c r="BF1380" s="155"/>
      <c r="BG1380" s="154" t="s">
        <v>5262</v>
      </c>
    </row>
    <row r="1381" spans="1:59" s="154" customFormat="1" ht="15" customHeight="1">
      <c r="A1381" s="168" t="s">
        <v>5089</v>
      </c>
      <c r="B1381" s="23" t="s">
        <v>5264</v>
      </c>
      <c r="C1381" s="154" t="s">
        <v>5250</v>
      </c>
      <c r="D1381" s="155">
        <v>6</v>
      </c>
      <c r="E1381" s="154">
        <v>1</v>
      </c>
      <c r="F1381" s="154" t="s">
        <v>5091</v>
      </c>
      <c r="G1381" s="154" t="s">
        <v>5265</v>
      </c>
      <c r="J1381" s="154" t="s">
        <v>619</v>
      </c>
      <c r="K1381" s="154" t="s">
        <v>2426</v>
      </c>
      <c r="L1381" s="154">
        <v>3</v>
      </c>
      <c r="N1381" s="155"/>
      <c r="O1381" s="156"/>
      <c r="P1381" s="157"/>
      <c r="Q1381" s="158"/>
      <c r="R1381" s="159"/>
      <c r="S1381" s="160"/>
      <c r="T1381" s="161"/>
      <c r="U1381" s="156"/>
      <c r="V1381" s="162"/>
      <c r="W1381" s="163"/>
      <c r="X1381" s="164"/>
      <c r="Y1381" s="159"/>
      <c r="Z1381" s="161">
        <v>7</v>
      </c>
      <c r="AA1381" s="165"/>
      <c r="AE1381" s="155"/>
      <c r="AF1381" s="154" t="s">
        <v>5266</v>
      </c>
      <c r="AI1381" s="154" t="s">
        <v>5267</v>
      </c>
      <c r="AL1381" s="154" t="s">
        <v>619</v>
      </c>
      <c r="AM1381" s="154" t="s">
        <v>2426</v>
      </c>
      <c r="AN1381" s="154">
        <v>3</v>
      </c>
      <c r="AP1381" s="155"/>
      <c r="AQ1381" s="156"/>
      <c r="AR1381" s="157"/>
      <c r="AS1381" s="158"/>
      <c r="AT1381" s="159"/>
      <c r="AU1381" s="161"/>
      <c r="AV1381" s="156"/>
      <c r="AW1381" s="162"/>
      <c r="AX1381" s="163"/>
      <c r="AY1381" s="164"/>
      <c r="AZ1381" s="159"/>
      <c r="BA1381" s="161"/>
      <c r="BB1381" s="165"/>
      <c r="BF1381" s="155"/>
      <c r="BG1381" s="154" t="s">
        <v>5268</v>
      </c>
    </row>
    <row r="1382" spans="1:59" s="154" customFormat="1" ht="15" customHeight="1">
      <c r="A1382" s="168" t="s">
        <v>5089</v>
      </c>
      <c r="B1382" s="23" t="s">
        <v>5269</v>
      </c>
      <c r="C1382" s="154" t="s">
        <v>5250</v>
      </c>
      <c r="D1382" s="155">
        <v>7</v>
      </c>
      <c r="E1382" s="154">
        <v>1</v>
      </c>
      <c r="F1382" s="154" t="s">
        <v>5091</v>
      </c>
      <c r="G1382" s="154" t="s">
        <v>5270</v>
      </c>
      <c r="J1382" s="154" t="s">
        <v>621</v>
      </c>
      <c r="K1382" s="154" t="s">
        <v>2426</v>
      </c>
      <c r="L1382" s="154">
        <v>1</v>
      </c>
      <c r="N1382" s="155"/>
      <c r="O1382" s="156"/>
      <c r="P1382" s="157"/>
      <c r="Q1382" s="158"/>
      <c r="R1382" s="159"/>
      <c r="S1382" s="160"/>
      <c r="T1382" s="161"/>
      <c r="U1382" s="156"/>
      <c r="V1382" s="162"/>
      <c r="W1382" s="163"/>
      <c r="X1382" s="164"/>
      <c r="Y1382" s="159" t="s">
        <v>1111</v>
      </c>
      <c r="Z1382" s="161"/>
      <c r="AA1382" s="165"/>
      <c r="AE1382" s="155"/>
      <c r="AF1382" s="154" t="s">
        <v>5271</v>
      </c>
      <c r="AI1382" s="154" t="s">
        <v>5272</v>
      </c>
      <c r="AL1382" s="154" t="s">
        <v>621</v>
      </c>
      <c r="AM1382" s="154" t="s">
        <v>2426</v>
      </c>
      <c r="AN1382" s="154">
        <v>1</v>
      </c>
      <c r="AP1382" s="155"/>
      <c r="AQ1382" s="156"/>
      <c r="AR1382" s="157"/>
      <c r="AS1382" s="158"/>
      <c r="AT1382" s="159"/>
      <c r="AU1382" s="161"/>
      <c r="AV1382" s="156"/>
      <c r="AW1382" s="162"/>
      <c r="AX1382" s="163"/>
      <c r="AY1382" s="164"/>
      <c r="AZ1382" s="159"/>
      <c r="BA1382" s="161"/>
      <c r="BB1382" s="165"/>
      <c r="BF1382" s="155"/>
      <c r="BG1382" s="154" t="s">
        <v>5273</v>
      </c>
    </row>
    <row r="1383" spans="1:59" s="154" customFormat="1" ht="15" customHeight="1">
      <c r="A1383" s="168" t="s">
        <v>5089</v>
      </c>
      <c r="B1383" s="23" t="s">
        <v>5274</v>
      </c>
      <c r="C1383" s="154" t="s">
        <v>5250</v>
      </c>
      <c r="D1383" s="155">
        <v>8</v>
      </c>
      <c r="E1383" s="154">
        <v>1</v>
      </c>
      <c r="F1383" s="154" t="s">
        <v>5091</v>
      </c>
      <c r="G1383" s="154" t="s">
        <v>5275</v>
      </c>
      <c r="J1383" s="154" t="s">
        <v>621</v>
      </c>
      <c r="K1383" s="154" t="s">
        <v>2426</v>
      </c>
      <c r="L1383" s="154">
        <v>1</v>
      </c>
      <c r="N1383" s="155"/>
      <c r="O1383" s="156"/>
      <c r="P1383" s="157"/>
      <c r="Q1383" s="158"/>
      <c r="R1383" s="159"/>
      <c r="S1383" s="160"/>
      <c r="T1383" s="161"/>
      <c r="U1383" s="156"/>
      <c r="V1383" s="162"/>
      <c r="W1383" s="163"/>
      <c r="X1383" s="164"/>
      <c r="Y1383" s="159" t="s">
        <v>1111</v>
      </c>
      <c r="Z1383" s="161"/>
      <c r="AA1383" s="165"/>
      <c r="AE1383" s="155"/>
      <c r="AF1383" s="154" t="s">
        <v>5276</v>
      </c>
      <c r="AI1383" s="154" t="s">
        <v>5277</v>
      </c>
      <c r="AL1383" s="154" t="s">
        <v>621</v>
      </c>
      <c r="AM1383" s="154" t="s">
        <v>2426</v>
      </c>
      <c r="AN1383" s="154">
        <v>1</v>
      </c>
      <c r="AP1383" s="155"/>
      <c r="AQ1383" s="156"/>
      <c r="AR1383" s="157"/>
      <c r="AS1383" s="158"/>
      <c r="AT1383" s="159"/>
      <c r="AU1383" s="161"/>
      <c r="AV1383" s="156"/>
      <c r="AW1383" s="162"/>
      <c r="AX1383" s="163"/>
      <c r="AY1383" s="164"/>
      <c r="AZ1383" s="159"/>
      <c r="BA1383" s="161"/>
      <c r="BB1383" s="165"/>
      <c r="BF1383" s="155"/>
      <c r="BG1383" s="154" t="s">
        <v>5278</v>
      </c>
    </row>
    <row r="1384" spans="1:59" s="154" customFormat="1" ht="15" customHeight="1">
      <c r="A1384" s="168" t="s">
        <v>5089</v>
      </c>
      <c r="B1384" s="23" t="s">
        <v>5279</v>
      </c>
      <c r="C1384" s="154" t="s">
        <v>5250</v>
      </c>
      <c r="D1384" s="155">
        <v>9</v>
      </c>
      <c r="E1384" s="154">
        <v>1</v>
      </c>
      <c r="F1384" s="154" t="s">
        <v>5091</v>
      </c>
      <c r="G1384" s="154" t="s">
        <v>5280</v>
      </c>
      <c r="J1384" s="154" t="s">
        <v>621</v>
      </c>
      <c r="K1384" s="154" t="s">
        <v>2426</v>
      </c>
      <c r="L1384" s="154">
        <v>1</v>
      </c>
      <c r="N1384" s="155"/>
      <c r="O1384" s="156"/>
      <c r="P1384" s="157"/>
      <c r="Q1384" s="158"/>
      <c r="R1384" s="159"/>
      <c r="S1384" s="160"/>
      <c r="T1384" s="161"/>
      <c r="U1384" s="156"/>
      <c r="V1384" s="162"/>
      <c r="W1384" s="163"/>
      <c r="X1384" s="164"/>
      <c r="Y1384" s="159" t="s">
        <v>38</v>
      </c>
      <c r="Z1384" s="161"/>
      <c r="AA1384" s="165"/>
      <c r="AE1384" s="155"/>
      <c r="AF1384" s="154" t="s">
        <v>5281</v>
      </c>
      <c r="AI1384" s="154" t="s">
        <v>5282</v>
      </c>
      <c r="AL1384" s="154" t="s">
        <v>621</v>
      </c>
      <c r="AM1384" s="154" t="s">
        <v>2426</v>
      </c>
      <c r="AN1384" s="154">
        <v>1</v>
      </c>
      <c r="AP1384" s="155"/>
      <c r="AQ1384" s="156"/>
      <c r="AR1384" s="157"/>
      <c r="AS1384" s="158"/>
      <c r="AT1384" s="159"/>
      <c r="AU1384" s="161"/>
      <c r="AV1384" s="156"/>
      <c r="AW1384" s="162"/>
      <c r="AX1384" s="163"/>
      <c r="AY1384" s="164"/>
      <c r="AZ1384" s="159"/>
      <c r="BA1384" s="161"/>
      <c r="BB1384" s="165"/>
      <c r="BF1384" s="155"/>
      <c r="BG1384" s="154" t="s">
        <v>5283</v>
      </c>
    </row>
    <row r="1385" spans="1:59" s="154" customFormat="1" ht="15" customHeight="1">
      <c r="A1385" s="168" t="s">
        <v>5089</v>
      </c>
      <c r="B1385" s="23" t="s">
        <v>5284</v>
      </c>
      <c r="C1385" s="154" t="s">
        <v>5250</v>
      </c>
      <c r="D1385" s="155">
        <v>10</v>
      </c>
      <c r="E1385" s="154">
        <v>1</v>
      </c>
      <c r="F1385" s="154" t="s">
        <v>5091</v>
      </c>
      <c r="G1385" s="154" t="s">
        <v>5280</v>
      </c>
      <c r="J1385" s="154" t="s">
        <v>621</v>
      </c>
      <c r="K1385" s="154" t="s">
        <v>2426</v>
      </c>
      <c r="L1385" s="154">
        <v>1</v>
      </c>
      <c r="N1385" s="155"/>
      <c r="O1385" s="156"/>
      <c r="P1385" s="157"/>
      <c r="Q1385" s="158"/>
      <c r="R1385" s="159"/>
      <c r="S1385" s="160"/>
      <c r="T1385" s="161"/>
      <c r="U1385" s="156"/>
      <c r="V1385" s="162"/>
      <c r="W1385" s="163"/>
      <c r="X1385" s="164"/>
      <c r="Y1385" s="159" t="s">
        <v>38</v>
      </c>
      <c r="Z1385" s="161"/>
      <c r="AA1385" s="165"/>
      <c r="AE1385" s="155"/>
      <c r="AF1385" s="154" t="s">
        <v>5285</v>
      </c>
      <c r="AI1385" s="154" t="s">
        <v>5282</v>
      </c>
      <c r="AL1385" s="154" t="s">
        <v>621</v>
      </c>
      <c r="AM1385" s="154" t="s">
        <v>2426</v>
      </c>
      <c r="AN1385" s="154">
        <v>1</v>
      </c>
      <c r="AP1385" s="155"/>
      <c r="AQ1385" s="156"/>
      <c r="AR1385" s="157"/>
      <c r="AS1385" s="158"/>
      <c r="AT1385" s="159"/>
      <c r="AU1385" s="161"/>
      <c r="AV1385" s="156"/>
      <c r="AW1385" s="162"/>
      <c r="AX1385" s="163"/>
      <c r="AY1385" s="164"/>
      <c r="AZ1385" s="159"/>
      <c r="BA1385" s="161"/>
      <c r="BB1385" s="165"/>
      <c r="BF1385" s="155"/>
      <c r="BG1385" s="154" t="s">
        <v>5286</v>
      </c>
    </row>
    <row r="1386" spans="1:59" s="154" customFormat="1" ht="15" customHeight="1">
      <c r="A1386" s="168" t="s">
        <v>5089</v>
      </c>
      <c r="B1386" s="23" t="s">
        <v>5287</v>
      </c>
      <c r="C1386" s="154" t="s">
        <v>5250</v>
      </c>
      <c r="D1386" s="155">
        <v>11</v>
      </c>
      <c r="E1386" s="154">
        <v>1</v>
      </c>
      <c r="F1386" s="154" t="s">
        <v>5091</v>
      </c>
      <c r="G1386" s="154" t="s">
        <v>5288</v>
      </c>
      <c r="J1386" s="154" t="s">
        <v>621</v>
      </c>
      <c r="K1386" s="154" t="s">
        <v>2426</v>
      </c>
      <c r="L1386" s="154">
        <v>2</v>
      </c>
      <c r="N1386" s="155"/>
      <c r="O1386" s="156"/>
      <c r="P1386" s="157"/>
      <c r="Q1386" s="158"/>
      <c r="R1386" s="159"/>
      <c r="S1386" s="160"/>
      <c r="T1386" s="161"/>
      <c r="U1386" s="156"/>
      <c r="V1386" s="162"/>
      <c r="W1386" s="163"/>
      <c r="X1386" s="164"/>
      <c r="Y1386" s="159">
        <v>0</v>
      </c>
      <c r="Z1386" s="161"/>
      <c r="AA1386" s="165"/>
      <c r="AE1386" s="155"/>
      <c r="AF1386" s="154" t="s">
        <v>5289</v>
      </c>
      <c r="AI1386" s="154" t="s">
        <v>5290</v>
      </c>
      <c r="AL1386" s="154" t="s">
        <v>621</v>
      </c>
      <c r="AM1386" s="154" t="s">
        <v>2426</v>
      </c>
      <c r="AN1386" s="154">
        <v>2</v>
      </c>
      <c r="AP1386" s="155"/>
      <c r="AQ1386" s="156"/>
      <c r="AR1386" s="157"/>
      <c r="AS1386" s="158"/>
      <c r="AT1386" s="159"/>
      <c r="AU1386" s="161"/>
      <c r="AV1386" s="156"/>
      <c r="AW1386" s="162"/>
      <c r="AX1386" s="163"/>
      <c r="AY1386" s="164"/>
      <c r="AZ1386" s="159"/>
      <c r="BA1386" s="161"/>
      <c r="BB1386" s="165"/>
      <c r="BF1386" s="155"/>
      <c r="BG1386" s="154" t="s">
        <v>5291</v>
      </c>
    </row>
    <row r="1387" spans="1:59" s="154" customFormat="1" ht="15" customHeight="1">
      <c r="A1387" s="168" t="s">
        <v>5089</v>
      </c>
      <c r="B1387" s="23" t="s">
        <v>5292</v>
      </c>
      <c r="C1387" s="154" t="s">
        <v>5250</v>
      </c>
      <c r="D1387" s="155">
        <v>12</v>
      </c>
      <c r="E1387" s="154">
        <v>1</v>
      </c>
      <c r="F1387" s="154" t="s">
        <v>5091</v>
      </c>
      <c r="G1387" s="154" t="s">
        <v>5293</v>
      </c>
      <c r="J1387" s="154" t="s">
        <v>621</v>
      </c>
      <c r="K1387" s="154" t="s">
        <v>2426</v>
      </c>
      <c r="L1387" s="154">
        <v>2</v>
      </c>
      <c r="N1387" s="155"/>
      <c r="O1387" s="156"/>
      <c r="P1387" s="157"/>
      <c r="Q1387" s="158"/>
      <c r="R1387" s="159"/>
      <c r="S1387" s="160"/>
      <c r="T1387" s="161"/>
      <c r="U1387" s="156"/>
      <c r="V1387" s="162"/>
      <c r="W1387" s="163"/>
      <c r="X1387" s="164"/>
      <c r="Y1387" s="159">
        <v>0</v>
      </c>
      <c r="Z1387" s="161"/>
      <c r="AA1387" s="165"/>
      <c r="AE1387" s="155"/>
      <c r="AF1387" s="154" t="s">
        <v>5294</v>
      </c>
      <c r="AI1387" s="154" t="s">
        <v>5295</v>
      </c>
      <c r="AL1387" s="154" t="s">
        <v>621</v>
      </c>
      <c r="AM1387" s="154" t="s">
        <v>2426</v>
      </c>
      <c r="AN1387" s="154">
        <v>2</v>
      </c>
      <c r="AP1387" s="155"/>
      <c r="AQ1387" s="156"/>
      <c r="AR1387" s="157"/>
      <c r="AS1387" s="158"/>
      <c r="AT1387" s="159"/>
      <c r="AU1387" s="161"/>
      <c r="AV1387" s="156"/>
      <c r="AW1387" s="162"/>
      <c r="AX1387" s="163"/>
      <c r="AY1387" s="164"/>
      <c r="AZ1387" s="159"/>
      <c r="BA1387" s="161"/>
      <c r="BB1387" s="165"/>
      <c r="BF1387" s="155"/>
      <c r="BG1387" s="154" t="s">
        <v>5296</v>
      </c>
    </row>
    <row r="1388" spans="1:59" s="154" customFormat="1" ht="15" customHeight="1">
      <c r="A1388" s="168" t="s">
        <v>5089</v>
      </c>
      <c r="B1388" s="23" t="s">
        <v>5297</v>
      </c>
      <c r="C1388" s="154" t="s">
        <v>5250</v>
      </c>
      <c r="D1388" s="155">
        <v>13</v>
      </c>
      <c r="E1388" s="154">
        <v>1</v>
      </c>
      <c r="F1388" s="154" t="s">
        <v>5091</v>
      </c>
      <c r="G1388" s="154" t="s">
        <v>5298</v>
      </c>
      <c r="J1388" s="154" t="s">
        <v>621</v>
      </c>
      <c r="K1388" s="154" t="s">
        <v>2426</v>
      </c>
      <c r="L1388" s="154">
        <v>2</v>
      </c>
      <c r="N1388" s="155"/>
      <c r="O1388" s="156"/>
      <c r="P1388" s="157"/>
      <c r="Q1388" s="158"/>
      <c r="R1388" s="159"/>
      <c r="S1388" s="160"/>
      <c r="T1388" s="161"/>
      <c r="U1388" s="156"/>
      <c r="V1388" s="162"/>
      <c r="W1388" s="163"/>
      <c r="X1388" s="164"/>
      <c r="Y1388" s="159">
        <v>0</v>
      </c>
      <c r="Z1388" s="161"/>
      <c r="AA1388" s="165"/>
      <c r="AE1388" s="155"/>
      <c r="AF1388" s="154" t="s">
        <v>5299</v>
      </c>
      <c r="AI1388" s="154" t="s">
        <v>5300</v>
      </c>
      <c r="AL1388" s="154" t="s">
        <v>621</v>
      </c>
      <c r="AM1388" s="154" t="s">
        <v>2426</v>
      </c>
      <c r="AN1388" s="154">
        <v>2</v>
      </c>
      <c r="AP1388" s="155"/>
      <c r="AQ1388" s="156"/>
      <c r="AR1388" s="157"/>
      <c r="AS1388" s="158"/>
      <c r="AT1388" s="159"/>
      <c r="AU1388" s="161"/>
      <c r="AV1388" s="156"/>
      <c r="AW1388" s="162"/>
      <c r="AX1388" s="163"/>
      <c r="AY1388" s="164"/>
      <c r="AZ1388" s="159"/>
      <c r="BA1388" s="161"/>
      <c r="BB1388" s="165"/>
      <c r="BF1388" s="155"/>
      <c r="BG1388" s="154" t="s">
        <v>5301</v>
      </c>
    </row>
    <row r="1389" spans="1:59" s="154" customFormat="1" ht="15" customHeight="1">
      <c r="A1389" s="168" t="s">
        <v>5089</v>
      </c>
      <c r="B1389" s="23" t="s">
        <v>5302</v>
      </c>
      <c r="C1389" s="154" t="s">
        <v>5250</v>
      </c>
      <c r="D1389" s="155">
        <v>14</v>
      </c>
      <c r="E1389" s="154">
        <v>1</v>
      </c>
      <c r="F1389" s="154" t="s">
        <v>5091</v>
      </c>
      <c r="G1389" s="154" t="s">
        <v>5303</v>
      </c>
      <c r="J1389" s="154" t="s">
        <v>621</v>
      </c>
      <c r="K1389" s="154" t="s">
        <v>2426</v>
      </c>
      <c r="L1389" s="154">
        <v>3</v>
      </c>
      <c r="N1389" s="155"/>
      <c r="O1389" s="156"/>
      <c r="P1389" s="157"/>
      <c r="Q1389" s="158"/>
      <c r="R1389" s="159"/>
      <c r="S1389" s="160"/>
      <c r="T1389" s="161"/>
      <c r="U1389" s="156"/>
      <c r="V1389" s="162"/>
      <c r="W1389" s="163"/>
      <c r="X1389" s="164"/>
      <c r="Y1389" s="159">
        <v>0</v>
      </c>
      <c r="Z1389" s="161"/>
      <c r="AA1389" s="165"/>
      <c r="AE1389" s="155"/>
      <c r="AF1389" s="154" t="s">
        <v>5304</v>
      </c>
      <c r="AI1389" s="154" t="s">
        <v>5305</v>
      </c>
      <c r="AL1389" s="154" t="s">
        <v>621</v>
      </c>
      <c r="AM1389" s="154" t="s">
        <v>2426</v>
      </c>
      <c r="AN1389" s="154">
        <v>3</v>
      </c>
      <c r="AP1389" s="155"/>
      <c r="AQ1389" s="156"/>
      <c r="AR1389" s="157"/>
      <c r="AS1389" s="158"/>
      <c r="AT1389" s="159"/>
      <c r="AU1389" s="161"/>
      <c r="AV1389" s="156"/>
      <c r="AW1389" s="162"/>
      <c r="AX1389" s="163"/>
      <c r="AY1389" s="164"/>
      <c r="AZ1389" s="159"/>
      <c r="BA1389" s="161"/>
      <c r="BB1389" s="165"/>
      <c r="BF1389" s="155"/>
      <c r="BG1389" s="154" t="s">
        <v>5306</v>
      </c>
    </row>
    <row r="1390" spans="1:59" s="154" customFormat="1" ht="15" customHeight="1">
      <c r="A1390" s="168" t="s">
        <v>5089</v>
      </c>
      <c r="B1390" s="23" t="s">
        <v>5307</v>
      </c>
      <c r="C1390" s="154" t="s">
        <v>5250</v>
      </c>
      <c r="D1390" s="155">
        <v>15</v>
      </c>
      <c r="E1390" s="154">
        <v>1</v>
      </c>
      <c r="F1390" s="154" t="s">
        <v>5091</v>
      </c>
      <c r="G1390" s="154" t="s">
        <v>5303</v>
      </c>
      <c r="J1390" s="154" t="s">
        <v>621</v>
      </c>
      <c r="K1390" s="154" t="s">
        <v>2426</v>
      </c>
      <c r="L1390" s="154">
        <v>3</v>
      </c>
      <c r="N1390" s="155"/>
      <c r="O1390" s="156"/>
      <c r="P1390" s="157"/>
      <c r="Q1390" s="158"/>
      <c r="R1390" s="159"/>
      <c r="S1390" s="160"/>
      <c r="T1390" s="161"/>
      <c r="U1390" s="156"/>
      <c r="V1390" s="162"/>
      <c r="W1390" s="163"/>
      <c r="X1390" s="164"/>
      <c r="Y1390" s="159">
        <v>0</v>
      </c>
      <c r="Z1390" s="161"/>
      <c r="AA1390" s="165"/>
      <c r="AE1390" s="155"/>
      <c r="AF1390" s="154" t="s">
        <v>5308</v>
      </c>
      <c r="AI1390" s="154" t="s">
        <v>5305</v>
      </c>
      <c r="AL1390" s="154" t="s">
        <v>621</v>
      </c>
      <c r="AM1390" s="154" t="s">
        <v>2426</v>
      </c>
      <c r="AN1390" s="154">
        <v>3</v>
      </c>
      <c r="AP1390" s="155"/>
      <c r="AQ1390" s="156"/>
      <c r="AR1390" s="157"/>
      <c r="AS1390" s="158"/>
      <c r="AT1390" s="159"/>
      <c r="AU1390" s="161"/>
      <c r="AV1390" s="156"/>
      <c r="AW1390" s="162"/>
      <c r="AX1390" s="163"/>
      <c r="AY1390" s="164"/>
      <c r="AZ1390" s="159"/>
      <c r="BA1390" s="161"/>
      <c r="BB1390" s="165"/>
      <c r="BF1390" s="155"/>
      <c r="BG1390" s="154" t="s">
        <v>5309</v>
      </c>
    </row>
    <row r="1391" spans="1:59" s="154" customFormat="1" ht="15" customHeight="1">
      <c r="A1391" s="168" t="s">
        <v>5089</v>
      </c>
      <c r="B1391" s="23" t="s">
        <v>5310</v>
      </c>
      <c r="C1391" s="154" t="s">
        <v>5250</v>
      </c>
      <c r="D1391" s="155">
        <v>16</v>
      </c>
      <c r="E1391" s="154">
        <v>1</v>
      </c>
      <c r="F1391" s="154" t="s">
        <v>5091</v>
      </c>
      <c r="G1391" s="154" t="s">
        <v>5311</v>
      </c>
      <c r="J1391" s="154" t="s">
        <v>31</v>
      </c>
      <c r="K1391" s="154" t="s">
        <v>2426</v>
      </c>
      <c r="N1391" s="155"/>
      <c r="O1391" s="156"/>
      <c r="P1391" s="157"/>
      <c r="Q1391" s="158"/>
      <c r="R1391" s="159"/>
      <c r="S1391" s="160"/>
      <c r="T1391" s="161"/>
      <c r="U1391" s="156"/>
      <c r="V1391" s="162"/>
      <c r="W1391" s="163"/>
      <c r="X1391" s="164"/>
      <c r="Y1391" s="159"/>
      <c r="Z1391" s="161"/>
      <c r="AA1391" s="165"/>
      <c r="AD1391" s="154" t="s">
        <v>5312</v>
      </c>
      <c r="AE1391" s="155"/>
      <c r="AI1391" s="154" t="s">
        <v>5311</v>
      </c>
      <c r="AJ1391" s="154" t="s">
        <v>5313</v>
      </c>
      <c r="AL1391" s="154" t="s">
        <v>31</v>
      </c>
      <c r="AM1391" s="154" t="s">
        <v>2426</v>
      </c>
      <c r="AP1391" s="155"/>
      <c r="AQ1391" s="156"/>
      <c r="AR1391" s="157"/>
      <c r="AS1391" s="158"/>
      <c r="AT1391" s="159"/>
      <c r="AU1391" s="161"/>
      <c r="AV1391" s="156"/>
      <c r="AW1391" s="162"/>
      <c r="AX1391" s="163"/>
      <c r="AY1391" s="164">
        <v>3</v>
      </c>
      <c r="AZ1391" s="159" t="s">
        <v>1112</v>
      </c>
      <c r="BA1391" s="161"/>
      <c r="BB1391" s="165"/>
      <c r="BE1391" s="154" t="s">
        <v>5312</v>
      </c>
      <c r="BF1391" s="155"/>
      <c r="BG1391" s="154" t="s">
        <v>5314</v>
      </c>
    </row>
    <row r="1392" spans="1:59" s="154" customFormat="1" ht="15" customHeight="1">
      <c r="A1392" s="168" t="s">
        <v>5089</v>
      </c>
      <c r="B1392" s="23" t="s">
        <v>5315</v>
      </c>
      <c r="C1392" s="154" t="s">
        <v>5250</v>
      </c>
      <c r="D1392" s="155">
        <v>17</v>
      </c>
      <c r="E1392" s="154">
        <v>1</v>
      </c>
      <c r="F1392" s="154" t="s">
        <v>5091</v>
      </c>
      <c r="G1392" s="154" t="s">
        <v>5311</v>
      </c>
      <c r="J1392" s="154" t="s">
        <v>31</v>
      </c>
      <c r="K1392" s="154" t="s">
        <v>2426</v>
      </c>
      <c r="N1392" s="155"/>
      <c r="O1392" s="156"/>
      <c r="P1392" s="157"/>
      <c r="Q1392" s="158"/>
      <c r="R1392" s="159"/>
      <c r="S1392" s="160"/>
      <c r="T1392" s="161"/>
      <c r="U1392" s="156"/>
      <c r="V1392" s="162"/>
      <c r="W1392" s="163"/>
      <c r="X1392" s="164"/>
      <c r="Y1392" s="159"/>
      <c r="Z1392" s="161"/>
      <c r="AA1392" s="165"/>
      <c r="AD1392" s="154" t="s">
        <v>5312</v>
      </c>
      <c r="AE1392" s="155"/>
      <c r="AI1392" s="154" t="s">
        <v>5311</v>
      </c>
      <c r="AJ1392" s="154" t="s">
        <v>5316</v>
      </c>
      <c r="AL1392" s="154" t="s">
        <v>31</v>
      </c>
      <c r="AM1392" s="154" t="s">
        <v>2426</v>
      </c>
      <c r="AP1392" s="155"/>
      <c r="AQ1392" s="156"/>
      <c r="AR1392" s="157"/>
      <c r="AS1392" s="158"/>
      <c r="AT1392" s="159"/>
      <c r="AU1392" s="161"/>
      <c r="AV1392" s="156"/>
      <c r="AW1392" s="162"/>
      <c r="AX1392" s="163"/>
      <c r="AY1392" s="164">
        <v>3</v>
      </c>
      <c r="AZ1392" s="159" t="s">
        <v>1112</v>
      </c>
      <c r="BA1392" s="161"/>
      <c r="BB1392" s="165"/>
      <c r="BE1392" s="154" t="s">
        <v>5312</v>
      </c>
      <c r="BF1392" s="155"/>
      <c r="BG1392" s="154" t="s">
        <v>5314</v>
      </c>
    </row>
    <row r="1393" spans="1:59" s="154" customFormat="1" ht="15" customHeight="1">
      <c r="A1393" s="168" t="s">
        <v>5089</v>
      </c>
      <c r="B1393" s="23" t="s">
        <v>5317</v>
      </c>
      <c r="C1393" s="154" t="s">
        <v>5250</v>
      </c>
      <c r="D1393" s="155">
        <v>18</v>
      </c>
      <c r="E1393" s="154">
        <v>1</v>
      </c>
      <c r="F1393" s="154" t="s">
        <v>5091</v>
      </c>
      <c r="G1393" s="154" t="s">
        <v>5311</v>
      </c>
      <c r="J1393" s="154" t="s">
        <v>31</v>
      </c>
      <c r="K1393" s="154" t="s">
        <v>2426</v>
      </c>
      <c r="N1393" s="155"/>
      <c r="O1393" s="156"/>
      <c r="P1393" s="157"/>
      <c r="Q1393" s="158"/>
      <c r="R1393" s="159"/>
      <c r="S1393" s="160"/>
      <c r="T1393" s="161"/>
      <c r="U1393" s="156"/>
      <c r="V1393" s="162"/>
      <c r="W1393" s="163"/>
      <c r="X1393" s="164"/>
      <c r="Y1393" s="159"/>
      <c r="Z1393" s="161"/>
      <c r="AA1393" s="165"/>
      <c r="AD1393" s="154" t="s">
        <v>5312</v>
      </c>
      <c r="AE1393" s="155"/>
      <c r="AI1393" s="154" t="s">
        <v>5311</v>
      </c>
      <c r="AJ1393" s="154" t="s">
        <v>5318</v>
      </c>
      <c r="AL1393" s="154" t="s">
        <v>31</v>
      </c>
      <c r="AM1393" s="154" t="s">
        <v>2426</v>
      </c>
      <c r="AP1393" s="155"/>
      <c r="AQ1393" s="156"/>
      <c r="AR1393" s="157"/>
      <c r="AS1393" s="158"/>
      <c r="AT1393" s="159"/>
      <c r="AU1393" s="161"/>
      <c r="AV1393" s="156"/>
      <c r="AW1393" s="162"/>
      <c r="AX1393" s="163"/>
      <c r="AY1393" s="164">
        <v>3</v>
      </c>
      <c r="AZ1393" s="159" t="s">
        <v>1112</v>
      </c>
      <c r="BA1393" s="161"/>
      <c r="BB1393" s="165"/>
      <c r="BE1393" s="154" t="s">
        <v>5312</v>
      </c>
      <c r="BF1393" s="155"/>
      <c r="BG1393" s="154" t="s">
        <v>5314</v>
      </c>
    </row>
    <row r="1394" spans="1:59" s="154" customFormat="1" ht="15" customHeight="1">
      <c r="A1394" s="168" t="s">
        <v>5089</v>
      </c>
      <c r="B1394" s="23" t="s">
        <v>5319</v>
      </c>
      <c r="C1394" s="154" t="s">
        <v>5250</v>
      </c>
      <c r="D1394" s="155">
        <v>19</v>
      </c>
      <c r="E1394" s="154">
        <v>1</v>
      </c>
      <c r="F1394" s="154" t="s">
        <v>5091</v>
      </c>
      <c r="G1394" s="154" t="s">
        <v>5320</v>
      </c>
      <c r="J1394" s="154" t="s">
        <v>31</v>
      </c>
      <c r="K1394" s="154" t="s">
        <v>2426</v>
      </c>
      <c r="N1394" s="155"/>
      <c r="O1394" s="156"/>
      <c r="P1394" s="157"/>
      <c r="Q1394" s="158"/>
      <c r="R1394" s="159"/>
      <c r="S1394" s="160"/>
      <c r="T1394" s="161"/>
      <c r="U1394" s="156"/>
      <c r="V1394" s="162"/>
      <c r="W1394" s="163"/>
      <c r="X1394" s="164"/>
      <c r="Y1394" s="159"/>
      <c r="Z1394" s="161"/>
      <c r="AA1394" s="165"/>
      <c r="AD1394" s="154" t="s">
        <v>5321</v>
      </c>
      <c r="AE1394" s="155"/>
      <c r="AI1394" s="154" t="s">
        <v>5320</v>
      </c>
      <c r="AL1394" s="154" t="s">
        <v>31</v>
      </c>
      <c r="AM1394" s="154" t="s">
        <v>2426</v>
      </c>
      <c r="AP1394" s="155"/>
      <c r="AQ1394" s="156"/>
      <c r="AR1394" s="157"/>
      <c r="AS1394" s="158"/>
      <c r="AT1394" s="159"/>
      <c r="AU1394" s="161"/>
      <c r="AV1394" s="156"/>
      <c r="AW1394" s="162"/>
      <c r="AX1394" s="163"/>
      <c r="AY1394" s="164">
        <v>1</v>
      </c>
      <c r="AZ1394" s="159" t="s">
        <v>1073</v>
      </c>
      <c r="BA1394" s="161"/>
      <c r="BB1394" s="165"/>
      <c r="BE1394" s="154" t="s">
        <v>5321</v>
      </c>
      <c r="BF1394" s="155"/>
      <c r="BG1394" s="154" t="s">
        <v>5322</v>
      </c>
    </row>
    <row r="1395" spans="1:59" s="154" customFormat="1" ht="15" customHeight="1">
      <c r="A1395" s="168" t="s">
        <v>5089</v>
      </c>
      <c r="B1395" s="23" t="s">
        <v>5323</v>
      </c>
      <c r="C1395" s="154" t="s">
        <v>5250</v>
      </c>
      <c r="D1395" s="155">
        <v>20</v>
      </c>
      <c r="E1395" s="154">
        <v>1</v>
      </c>
      <c r="F1395" s="154" t="s">
        <v>5091</v>
      </c>
      <c r="G1395" s="154" t="s">
        <v>5324</v>
      </c>
      <c r="J1395" s="154" t="s">
        <v>31</v>
      </c>
      <c r="K1395" s="154" t="s">
        <v>2426</v>
      </c>
      <c r="N1395" s="155"/>
      <c r="O1395" s="156"/>
      <c r="P1395" s="157"/>
      <c r="Q1395" s="158"/>
      <c r="R1395" s="159"/>
      <c r="S1395" s="160"/>
      <c r="T1395" s="161"/>
      <c r="U1395" s="156"/>
      <c r="V1395" s="162"/>
      <c r="W1395" s="163"/>
      <c r="X1395" s="164"/>
      <c r="Y1395" s="159"/>
      <c r="Z1395" s="161"/>
      <c r="AA1395" s="165"/>
      <c r="AD1395" s="154" t="s">
        <v>5325</v>
      </c>
      <c r="AE1395" s="155"/>
      <c r="AI1395" s="154" t="s">
        <v>5324</v>
      </c>
      <c r="AL1395" s="154" t="s">
        <v>31</v>
      </c>
      <c r="AM1395" s="154" t="s">
        <v>2426</v>
      </c>
      <c r="AP1395" s="155"/>
      <c r="AQ1395" s="156"/>
      <c r="AR1395" s="157"/>
      <c r="AS1395" s="158"/>
      <c r="AT1395" s="159"/>
      <c r="AU1395" s="161"/>
      <c r="AV1395" s="156"/>
      <c r="AW1395" s="162"/>
      <c r="AX1395" s="163"/>
      <c r="AY1395" s="164">
        <v>2</v>
      </c>
      <c r="AZ1395" s="159" t="s">
        <v>1073</v>
      </c>
      <c r="BA1395" s="161"/>
      <c r="BB1395" s="165"/>
      <c r="BE1395" s="154" t="s">
        <v>5325</v>
      </c>
      <c r="BF1395" s="155"/>
      <c r="BG1395" s="154" t="s">
        <v>5326</v>
      </c>
    </row>
    <row r="1396" spans="1:59" s="154" customFormat="1" ht="15" customHeight="1">
      <c r="A1396" s="168" t="s">
        <v>5089</v>
      </c>
      <c r="B1396" s="23" t="s">
        <v>5327</v>
      </c>
      <c r="C1396" s="154" t="s">
        <v>5250</v>
      </c>
      <c r="D1396" s="155">
        <v>21</v>
      </c>
      <c r="E1396" s="154">
        <v>1</v>
      </c>
      <c r="F1396" s="154" t="s">
        <v>5091</v>
      </c>
      <c r="G1396" s="154" t="s">
        <v>5324</v>
      </c>
      <c r="J1396" s="154" t="s">
        <v>31</v>
      </c>
      <c r="K1396" s="154" t="s">
        <v>2426</v>
      </c>
      <c r="N1396" s="155"/>
      <c r="O1396" s="156"/>
      <c r="P1396" s="157"/>
      <c r="Q1396" s="158"/>
      <c r="R1396" s="159"/>
      <c r="S1396" s="160"/>
      <c r="T1396" s="161"/>
      <c r="U1396" s="156"/>
      <c r="V1396" s="162"/>
      <c r="W1396" s="163"/>
      <c r="X1396" s="164"/>
      <c r="Y1396" s="159"/>
      <c r="Z1396" s="161"/>
      <c r="AA1396" s="165"/>
      <c r="AD1396" s="154" t="s">
        <v>5325</v>
      </c>
      <c r="AE1396" s="155"/>
      <c r="AI1396" s="154" t="s">
        <v>5324</v>
      </c>
      <c r="AL1396" s="154" t="s">
        <v>31</v>
      </c>
      <c r="AM1396" s="154" t="s">
        <v>2426</v>
      </c>
      <c r="AP1396" s="155"/>
      <c r="AQ1396" s="156"/>
      <c r="AR1396" s="157"/>
      <c r="AS1396" s="158"/>
      <c r="AT1396" s="159"/>
      <c r="AU1396" s="161"/>
      <c r="AV1396" s="156"/>
      <c r="AW1396" s="162"/>
      <c r="AX1396" s="163"/>
      <c r="AY1396" s="164">
        <v>2</v>
      </c>
      <c r="AZ1396" s="159" t="s">
        <v>1073</v>
      </c>
      <c r="BA1396" s="161"/>
      <c r="BB1396" s="165"/>
      <c r="BE1396" s="154" t="s">
        <v>5325</v>
      </c>
      <c r="BF1396" s="155"/>
      <c r="BG1396" s="154" t="s">
        <v>5328</v>
      </c>
    </row>
    <row r="1397" spans="1:59" s="154" customFormat="1" ht="15" customHeight="1">
      <c r="A1397" s="168" t="s">
        <v>5089</v>
      </c>
      <c r="B1397" s="23" t="s">
        <v>5329</v>
      </c>
      <c r="C1397" s="154" t="s">
        <v>5250</v>
      </c>
      <c r="D1397" s="155">
        <v>22</v>
      </c>
      <c r="E1397" s="154">
        <v>1</v>
      </c>
      <c r="F1397" s="154" t="s">
        <v>5091</v>
      </c>
      <c r="G1397" s="154" t="s">
        <v>5330</v>
      </c>
      <c r="J1397" s="154" t="s">
        <v>31</v>
      </c>
      <c r="K1397" s="154" t="s">
        <v>2426</v>
      </c>
      <c r="N1397" s="155"/>
      <c r="O1397" s="156"/>
      <c r="P1397" s="157"/>
      <c r="Q1397" s="158"/>
      <c r="R1397" s="159"/>
      <c r="S1397" s="160"/>
      <c r="T1397" s="161"/>
      <c r="U1397" s="156"/>
      <c r="V1397" s="162"/>
      <c r="W1397" s="163"/>
      <c r="X1397" s="164"/>
      <c r="Y1397" s="159"/>
      <c r="Z1397" s="161"/>
      <c r="AA1397" s="165"/>
      <c r="AD1397" s="154" t="s">
        <v>5325</v>
      </c>
      <c r="AE1397" s="155"/>
      <c r="AI1397" s="154" t="s">
        <v>5330</v>
      </c>
      <c r="AL1397" s="154" t="s">
        <v>31</v>
      </c>
      <c r="AM1397" s="154" t="s">
        <v>2426</v>
      </c>
      <c r="AP1397" s="155"/>
      <c r="AQ1397" s="156"/>
      <c r="AR1397" s="157"/>
      <c r="AS1397" s="158"/>
      <c r="AT1397" s="159"/>
      <c r="AU1397" s="161"/>
      <c r="AV1397" s="156"/>
      <c r="AW1397" s="162"/>
      <c r="AX1397" s="163"/>
      <c r="AY1397" s="164">
        <v>3</v>
      </c>
      <c r="AZ1397" s="159" t="s">
        <v>1111</v>
      </c>
      <c r="BA1397" s="161"/>
      <c r="BB1397" s="165"/>
      <c r="BE1397" s="154" t="s">
        <v>5325</v>
      </c>
      <c r="BF1397" s="155"/>
      <c r="BG1397" s="154" t="s">
        <v>5331</v>
      </c>
    </row>
    <row r="1398" spans="1:59" s="154" customFormat="1" ht="15" customHeight="1">
      <c r="A1398" s="168" t="s">
        <v>5089</v>
      </c>
      <c r="B1398" s="23" t="s">
        <v>5332</v>
      </c>
      <c r="C1398" s="154" t="s">
        <v>5250</v>
      </c>
      <c r="D1398" s="155">
        <v>23</v>
      </c>
      <c r="E1398" s="154">
        <v>1</v>
      </c>
      <c r="F1398" s="154" t="s">
        <v>5091</v>
      </c>
      <c r="G1398" s="154" t="s">
        <v>5330</v>
      </c>
      <c r="J1398" s="154" t="s">
        <v>31</v>
      </c>
      <c r="K1398" s="154" t="s">
        <v>2426</v>
      </c>
      <c r="N1398" s="155"/>
      <c r="O1398" s="156"/>
      <c r="P1398" s="157"/>
      <c r="Q1398" s="158"/>
      <c r="R1398" s="159"/>
      <c r="S1398" s="160"/>
      <c r="T1398" s="161"/>
      <c r="U1398" s="156"/>
      <c r="V1398" s="162"/>
      <c r="W1398" s="163"/>
      <c r="X1398" s="164"/>
      <c r="Y1398" s="159"/>
      <c r="Z1398" s="161"/>
      <c r="AA1398" s="165"/>
      <c r="AD1398" s="154" t="s">
        <v>5325</v>
      </c>
      <c r="AE1398" s="155"/>
      <c r="AI1398" s="154" t="s">
        <v>5330</v>
      </c>
      <c r="AL1398" s="154" t="s">
        <v>31</v>
      </c>
      <c r="AM1398" s="154" t="s">
        <v>2426</v>
      </c>
      <c r="AP1398" s="155"/>
      <c r="AQ1398" s="156"/>
      <c r="AR1398" s="157"/>
      <c r="AS1398" s="158"/>
      <c r="AT1398" s="159"/>
      <c r="AU1398" s="161"/>
      <c r="AV1398" s="156"/>
      <c r="AW1398" s="162"/>
      <c r="AX1398" s="163"/>
      <c r="AY1398" s="164">
        <v>3</v>
      </c>
      <c r="AZ1398" s="159" t="s">
        <v>1111</v>
      </c>
      <c r="BA1398" s="161"/>
      <c r="BB1398" s="165"/>
      <c r="BE1398" s="154" t="s">
        <v>5325</v>
      </c>
      <c r="BF1398" s="155"/>
      <c r="BG1398" s="154" t="s">
        <v>5333</v>
      </c>
    </row>
    <row r="1399" spans="1:59" s="154" customFormat="1" ht="15" customHeight="1">
      <c r="A1399" s="168" t="s">
        <v>5089</v>
      </c>
      <c r="B1399" s="23" t="s">
        <v>5334</v>
      </c>
      <c r="C1399" s="154" t="s">
        <v>5250</v>
      </c>
      <c r="D1399" s="155">
        <v>24</v>
      </c>
      <c r="E1399" s="154">
        <v>1</v>
      </c>
      <c r="F1399" s="154" t="s">
        <v>5091</v>
      </c>
      <c r="G1399" s="154" t="s">
        <v>5335</v>
      </c>
      <c r="J1399" s="154" t="s">
        <v>31</v>
      </c>
      <c r="K1399" s="154" t="s">
        <v>2426</v>
      </c>
      <c r="N1399" s="155"/>
      <c r="O1399" s="156"/>
      <c r="P1399" s="157"/>
      <c r="Q1399" s="158"/>
      <c r="R1399" s="159"/>
      <c r="S1399" s="160"/>
      <c r="T1399" s="161"/>
      <c r="U1399" s="156"/>
      <c r="V1399" s="162"/>
      <c r="W1399" s="163"/>
      <c r="X1399" s="164"/>
      <c r="Y1399" s="159"/>
      <c r="Z1399" s="161"/>
      <c r="AA1399" s="165"/>
      <c r="AD1399" s="154" t="s">
        <v>5321</v>
      </c>
      <c r="AE1399" s="155"/>
      <c r="AI1399" s="154" t="s">
        <v>5335</v>
      </c>
      <c r="AL1399" s="154" t="s">
        <v>31</v>
      </c>
      <c r="AM1399" s="154" t="s">
        <v>2426</v>
      </c>
      <c r="AP1399" s="155"/>
      <c r="AQ1399" s="156"/>
      <c r="AR1399" s="157"/>
      <c r="AS1399" s="158"/>
      <c r="AT1399" s="159"/>
      <c r="AU1399" s="161"/>
      <c r="AV1399" s="156"/>
      <c r="AW1399" s="162"/>
      <c r="AX1399" s="163"/>
      <c r="AY1399" s="164">
        <v>1</v>
      </c>
      <c r="AZ1399" s="159" t="s">
        <v>1073</v>
      </c>
      <c r="BA1399" s="161"/>
      <c r="BB1399" s="165"/>
      <c r="BE1399" s="154" t="s">
        <v>5321</v>
      </c>
      <c r="BF1399" s="155"/>
      <c r="BG1399" s="154" t="s">
        <v>5336</v>
      </c>
    </row>
    <row r="1400" spans="1:59" s="154" customFormat="1" ht="15" customHeight="1">
      <c r="A1400" s="168" t="s">
        <v>5089</v>
      </c>
      <c r="B1400" s="23" t="s">
        <v>5337</v>
      </c>
      <c r="C1400" s="154" t="s">
        <v>5250</v>
      </c>
      <c r="D1400" s="155">
        <v>25</v>
      </c>
      <c r="E1400" s="154">
        <v>1</v>
      </c>
      <c r="F1400" s="154" t="s">
        <v>5091</v>
      </c>
      <c r="G1400" s="154" t="s">
        <v>5338</v>
      </c>
      <c r="J1400" s="154" t="s">
        <v>31</v>
      </c>
      <c r="K1400" s="154" t="s">
        <v>2426</v>
      </c>
      <c r="N1400" s="155"/>
      <c r="O1400" s="156"/>
      <c r="P1400" s="157"/>
      <c r="Q1400" s="158"/>
      <c r="R1400" s="159"/>
      <c r="S1400" s="160"/>
      <c r="T1400" s="161"/>
      <c r="U1400" s="156"/>
      <c r="V1400" s="162"/>
      <c r="W1400" s="163"/>
      <c r="X1400" s="164"/>
      <c r="Y1400" s="159"/>
      <c r="Z1400" s="161"/>
      <c r="AA1400" s="165"/>
      <c r="AE1400" s="155"/>
      <c r="AI1400" s="154" t="s">
        <v>5338</v>
      </c>
      <c r="AJ1400" s="154" t="s">
        <v>5339</v>
      </c>
      <c r="AL1400" s="154" t="s">
        <v>31</v>
      </c>
      <c r="AM1400" s="154" t="s">
        <v>2426</v>
      </c>
      <c r="AP1400" s="155"/>
      <c r="AQ1400" s="156"/>
      <c r="AR1400" s="157"/>
      <c r="AS1400" s="158"/>
      <c r="AT1400" s="159"/>
      <c r="AU1400" s="161"/>
      <c r="AV1400" s="156"/>
      <c r="AW1400" s="162"/>
      <c r="AX1400" s="163"/>
      <c r="AY1400" s="164">
        <v>2</v>
      </c>
      <c r="AZ1400" s="159">
        <v>1</v>
      </c>
      <c r="BA1400" s="161"/>
      <c r="BB1400" s="165"/>
      <c r="BF1400" s="155"/>
      <c r="BG1400" s="154" t="s">
        <v>5340</v>
      </c>
    </row>
    <row r="1401" spans="1:59" s="154" customFormat="1" ht="15" customHeight="1">
      <c r="A1401" s="168" t="s">
        <v>5089</v>
      </c>
      <c r="B1401" s="23" t="s">
        <v>5341</v>
      </c>
      <c r="C1401" s="154" t="s">
        <v>5250</v>
      </c>
      <c r="D1401" s="155">
        <v>26</v>
      </c>
      <c r="E1401" s="154">
        <v>1</v>
      </c>
      <c r="F1401" s="154" t="s">
        <v>5091</v>
      </c>
      <c r="G1401" s="154" t="s">
        <v>5338</v>
      </c>
      <c r="J1401" s="154" t="s">
        <v>31</v>
      </c>
      <c r="K1401" s="154" t="s">
        <v>2426</v>
      </c>
      <c r="N1401" s="155"/>
      <c r="O1401" s="156"/>
      <c r="P1401" s="157"/>
      <c r="Q1401" s="158"/>
      <c r="R1401" s="159"/>
      <c r="S1401" s="160"/>
      <c r="T1401" s="161"/>
      <c r="U1401" s="156"/>
      <c r="V1401" s="162"/>
      <c r="W1401" s="163"/>
      <c r="X1401" s="164"/>
      <c r="Y1401" s="159"/>
      <c r="Z1401" s="161"/>
      <c r="AA1401" s="165"/>
      <c r="AE1401" s="155"/>
      <c r="AI1401" s="154" t="s">
        <v>5338</v>
      </c>
      <c r="AJ1401" s="154" t="s">
        <v>5342</v>
      </c>
      <c r="AL1401" s="154" t="s">
        <v>31</v>
      </c>
      <c r="AM1401" s="154" t="s">
        <v>2426</v>
      </c>
      <c r="AP1401" s="155"/>
      <c r="AQ1401" s="156"/>
      <c r="AR1401" s="157"/>
      <c r="AS1401" s="158"/>
      <c r="AT1401" s="159"/>
      <c r="AU1401" s="161"/>
      <c r="AV1401" s="156"/>
      <c r="AW1401" s="162"/>
      <c r="AX1401" s="163"/>
      <c r="AY1401" s="164">
        <v>2</v>
      </c>
      <c r="AZ1401" s="159">
        <v>1</v>
      </c>
      <c r="BA1401" s="161"/>
      <c r="BB1401" s="165"/>
      <c r="BF1401" s="155"/>
      <c r="BG1401" s="154" t="s">
        <v>5343</v>
      </c>
    </row>
    <row r="1402" spans="1:59" s="154" customFormat="1" ht="15" customHeight="1">
      <c r="A1402" s="168" t="s">
        <v>5089</v>
      </c>
      <c r="B1402" s="23" t="s">
        <v>5344</v>
      </c>
      <c r="C1402" s="154" t="s">
        <v>5250</v>
      </c>
      <c r="D1402" s="155">
        <v>27</v>
      </c>
      <c r="E1402" s="154">
        <v>1</v>
      </c>
      <c r="F1402" s="154" t="s">
        <v>5091</v>
      </c>
      <c r="G1402" s="154" t="s">
        <v>5338</v>
      </c>
      <c r="J1402" s="154" t="s">
        <v>31</v>
      </c>
      <c r="K1402" s="154" t="s">
        <v>2426</v>
      </c>
      <c r="N1402" s="155"/>
      <c r="O1402" s="156"/>
      <c r="P1402" s="157"/>
      <c r="Q1402" s="158"/>
      <c r="R1402" s="159"/>
      <c r="S1402" s="160"/>
      <c r="T1402" s="161"/>
      <c r="U1402" s="156"/>
      <c r="V1402" s="162"/>
      <c r="W1402" s="163"/>
      <c r="X1402" s="164"/>
      <c r="Y1402" s="159"/>
      <c r="Z1402" s="161"/>
      <c r="AA1402" s="165"/>
      <c r="AE1402" s="155"/>
      <c r="AI1402" s="154" t="s">
        <v>5338</v>
      </c>
      <c r="AJ1402" s="154" t="s">
        <v>5345</v>
      </c>
      <c r="AL1402" s="154" t="s">
        <v>31</v>
      </c>
      <c r="AM1402" s="154" t="s">
        <v>2426</v>
      </c>
      <c r="AP1402" s="155"/>
      <c r="AQ1402" s="156"/>
      <c r="AR1402" s="157"/>
      <c r="AS1402" s="158"/>
      <c r="AT1402" s="159"/>
      <c r="AU1402" s="161"/>
      <c r="AV1402" s="156"/>
      <c r="AW1402" s="162"/>
      <c r="AX1402" s="163"/>
      <c r="AY1402" s="164">
        <v>2</v>
      </c>
      <c r="AZ1402" s="159">
        <v>1</v>
      </c>
      <c r="BA1402" s="161"/>
      <c r="BB1402" s="165"/>
      <c r="BF1402" s="155"/>
      <c r="BG1402" s="154" t="s">
        <v>5346</v>
      </c>
    </row>
    <row r="1403" spans="1:59" s="154" customFormat="1" ht="15" customHeight="1">
      <c r="A1403" s="168" t="s">
        <v>5089</v>
      </c>
      <c r="B1403" s="23" t="s">
        <v>5347</v>
      </c>
      <c r="C1403" s="154" t="s">
        <v>5250</v>
      </c>
      <c r="D1403" s="155">
        <v>28</v>
      </c>
      <c r="E1403" s="154">
        <v>1</v>
      </c>
      <c r="F1403" s="154" t="s">
        <v>5091</v>
      </c>
      <c r="G1403" s="154" t="s">
        <v>5348</v>
      </c>
      <c r="J1403" s="154" t="s">
        <v>31</v>
      </c>
      <c r="K1403" s="154" t="s">
        <v>2426</v>
      </c>
      <c r="N1403" s="155"/>
      <c r="O1403" s="156"/>
      <c r="P1403" s="157"/>
      <c r="Q1403" s="158"/>
      <c r="R1403" s="159"/>
      <c r="S1403" s="160"/>
      <c r="T1403" s="161"/>
      <c r="U1403" s="156"/>
      <c r="V1403" s="162"/>
      <c r="W1403" s="163"/>
      <c r="X1403" s="164"/>
      <c r="Y1403" s="159"/>
      <c r="Z1403" s="161"/>
      <c r="AA1403" s="165"/>
      <c r="AD1403" s="154" t="s">
        <v>5321</v>
      </c>
      <c r="AE1403" s="155"/>
      <c r="AI1403" s="154" t="s">
        <v>5348</v>
      </c>
      <c r="AL1403" s="154" t="s">
        <v>31</v>
      </c>
      <c r="AM1403" s="154" t="s">
        <v>2426</v>
      </c>
      <c r="AP1403" s="155"/>
      <c r="AQ1403" s="156"/>
      <c r="AR1403" s="157"/>
      <c r="AS1403" s="158"/>
      <c r="AT1403" s="159"/>
      <c r="AU1403" s="161"/>
      <c r="AV1403" s="156"/>
      <c r="AW1403" s="162"/>
      <c r="AX1403" s="163"/>
      <c r="AY1403" s="164">
        <v>3</v>
      </c>
      <c r="AZ1403" s="159" t="s">
        <v>1073</v>
      </c>
      <c r="BA1403" s="161"/>
      <c r="BB1403" s="165"/>
      <c r="BE1403" s="154" t="s">
        <v>5321</v>
      </c>
      <c r="BF1403" s="155"/>
      <c r="BG1403" s="154" t="s">
        <v>5349</v>
      </c>
    </row>
    <row r="1404" spans="1:59" s="154" customFormat="1" ht="15" customHeight="1">
      <c r="A1404" s="168" t="s">
        <v>5089</v>
      </c>
      <c r="B1404" s="23" t="s">
        <v>5350</v>
      </c>
      <c r="C1404" s="154" t="s">
        <v>5250</v>
      </c>
      <c r="D1404" s="155">
        <v>29</v>
      </c>
      <c r="E1404" s="154">
        <v>1</v>
      </c>
      <c r="F1404" s="154" t="s">
        <v>5091</v>
      </c>
      <c r="G1404" s="154" t="s">
        <v>5351</v>
      </c>
      <c r="J1404" s="154" t="s">
        <v>31</v>
      </c>
      <c r="K1404" s="154" t="s">
        <v>2426</v>
      </c>
      <c r="N1404" s="155"/>
      <c r="O1404" s="156"/>
      <c r="P1404" s="157"/>
      <c r="Q1404" s="158"/>
      <c r="R1404" s="159"/>
      <c r="S1404" s="160"/>
      <c r="T1404" s="161"/>
      <c r="U1404" s="156"/>
      <c r="V1404" s="162"/>
      <c r="W1404" s="163"/>
      <c r="X1404" s="164"/>
      <c r="Y1404" s="159"/>
      <c r="Z1404" s="161"/>
      <c r="AA1404" s="165"/>
      <c r="AD1404" s="154" t="s">
        <v>5321</v>
      </c>
      <c r="AE1404" s="155"/>
      <c r="AI1404" s="154" t="s">
        <v>5351</v>
      </c>
      <c r="AL1404" s="154" t="s">
        <v>31</v>
      </c>
      <c r="AM1404" s="154" t="s">
        <v>2426</v>
      </c>
      <c r="AP1404" s="155"/>
      <c r="AQ1404" s="156"/>
      <c r="AR1404" s="157"/>
      <c r="AS1404" s="158"/>
      <c r="AT1404" s="159"/>
      <c r="AU1404" s="161"/>
      <c r="AV1404" s="156"/>
      <c r="AW1404" s="162"/>
      <c r="AX1404" s="163"/>
      <c r="AY1404" s="164">
        <v>2</v>
      </c>
      <c r="AZ1404" s="159" t="s">
        <v>1073</v>
      </c>
      <c r="BA1404" s="161"/>
      <c r="BB1404" s="165"/>
      <c r="BE1404" s="154" t="s">
        <v>5321</v>
      </c>
      <c r="BF1404" s="155"/>
      <c r="BG1404" s="154" t="s">
        <v>5352</v>
      </c>
    </row>
    <row r="1405" spans="1:59" s="154" customFormat="1" ht="15" customHeight="1">
      <c r="A1405" s="168" t="s">
        <v>5089</v>
      </c>
      <c r="B1405" s="23" t="s">
        <v>5353</v>
      </c>
      <c r="C1405" s="154" t="s">
        <v>5250</v>
      </c>
      <c r="D1405" s="155">
        <v>30</v>
      </c>
      <c r="E1405" s="154">
        <v>1</v>
      </c>
      <c r="F1405" s="154" t="s">
        <v>5091</v>
      </c>
      <c r="G1405" s="154" t="s">
        <v>5354</v>
      </c>
      <c r="J1405" s="154" t="s">
        <v>31</v>
      </c>
      <c r="K1405" s="154" t="s">
        <v>2426</v>
      </c>
      <c r="N1405" s="155"/>
      <c r="O1405" s="156"/>
      <c r="P1405" s="157"/>
      <c r="Q1405" s="158"/>
      <c r="R1405" s="159"/>
      <c r="S1405" s="160"/>
      <c r="T1405" s="161"/>
      <c r="U1405" s="156"/>
      <c r="V1405" s="162"/>
      <c r="W1405" s="163"/>
      <c r="X1405" s="164"/>
      <c r="Y1405" s="159"/>
      <c r="Z1405" s="161"/>
      <c r="AA1405" s="165"/>
      <c r="AD1405" s="154" t="s">
        <v>5321</v>
      </c>
      <c r="AE1405" s="155"/>
      <c r="AI1405" s="154" t="s">
        <v>5354</v>
      </c>
      <c r="AL1405" s="154" t="s">
        <v>31</v>
      </c>
      <c r="AM1405" s="154" t="s">
        <v>2426</v>
      </c>
      <c r="AP1405" s="155"/>
      <c r="AQ1405" s="156"/>
      <c r="AR1405" s="157"/>
      <c r="AS1405" s="158"/>
      <c r="AT1405" s="159"/>
      <c r="AU1405" s="161"/>
      <c r="AV1405" s="156"/>
      <c r="AW1405" s="162"/>
      <c r="AX1405" s="163"/>
      <c r="AY1405" s="164">
        <v>3</v>
      </c>
      <c r="AZ1405" s="159" t="s">
        <v>1073</v>
      </c>
      <c r="BA1405" s="161"/>
      <c r="BB1405" s="165"/>
      <c r="BE1405" s="154" t="s">
        <v>5321</v>
      </c>
      <c r="BF1405" s="155"/>
      <c r="BG1405" s="154" t="s">
        <v>5355</v>
      </c>
    </row>
    <row r="1406" spans="1:59" s="154" customFormat="1" ht="15" customHeight="1">
      <c r="A1406" s="168" t="s">
        <v>5089</v>
      </c>
      <c r="B1406" s="23" t="s">
        <v>5356</v>
      </c>
      <c r="C1406" s="154" t="s">
        <v>5250</v>
      </c>
      <c r="D1406" s="155">
        <v>31</v>
      </c>
      <c r="E1406" s="154">
        <v>1</v>
      </c>
      <c r="F1406" s="154" t="s">
        <v>5091</v>
      </c>
      <c r="G1406" s="154" t="s">
        <v>5357</v>
      </c>
      <c r="J1406" s="154" t="s">
        <v>31</v>
      </c>
      <c r="K1406" s="154" t="s">
        <v>2426</v>
      </c>
      <c r="N1406" s="155"/>
      <c r="O1406" s="156"/>
      <c r="P1406" s="157"/>
      <c r="Q1406" s="158"/>
      <c r="R1406" s="159"/>
      <c r="S1406" s="160"/>
      <c r="T1406" s="161"/>
      <c r="U1406" s="156"/>
      <c r="V1406" s="162"/>
      <c r="W1406" s="163"/>
      <c r="X1406" s="164"/>
      <c r="Y1406" s="159"/>
      <c r="Z1406" s="161"/>
      <c r="AA1406" s="165"/>
      <c r="AE1406" s="155"/>
      <c r="AI1406" s="154" t="s">
        <v>5357</v>
      </c>
      <c r="AL1406" s="154" t="s">
        <v>31</v>
      </c>
      <c r="AM1406" s="154" t="s">
        <v>2426</v>
      </c>
      <c r="AP1406" s="155"/>
      <c r="AQ1406" s="156"/>
      <c r="AR1406" s="157"/>
      <c r="AS1406" s="158"/>
      <c r="AT1406" s="159"/>
      <c r="AU1406" s="161"/>
      <c r="AV1406" s="156"/>
      <c r="AW1406" s="162"/>
      <c r="AX1406" s="163"/>
      <c r="AY1406" s="164">
        <v>4</v>
      </c>
      <c r="AZ1406" s="159">
        <v>0</v>
      </c>
      <c r="BA1406" s="161"/>
      <c r="BB1406" s="165"/>
      <c r="BF1406" s="155"/>
      <c r="BG1406" s="154" t="s">
        <v>5358</v>
      </c>
    </row>
    <row r="1407" spans="1:59" s="154" customFormat="1" ht="15" customHeight="1">
      <c r="A1407" s="168" t="s">
        <v>5089</v>
      </c>
      <c r="B1407" s="23" t="s">
        <v>5359</v>
      </c>
      <c r="C1407" s="154" t="s">
        <v>5250</v>
      </c>
      <c r="D1407" s="155">
        <v>32</v>
      </c>
      <c r="E1407" s="154">
        <v>1</v>
      </c>
      <c r="F1407" s="154" t="s">
        <v>5091</v>
      </c>
      <c r="G1407" s="154" t="s">
        <v>4652</v>
      </c>
      <c r="J1407" s="154" t="s">
        <v>31</v>
      </c>
      <c r="K1407" s="154" t="s">
        <v>2426</v>
      </c>
      <c r="N1407" s="155"/>
      <c r="O1407" s="156"/>
      <c r="P1407" s="157"/>
      <c r="Q1407" s="158"/>
      <c r="R1407" s="159"/>
      <c r="S1407" s="160"/>
      <c r="T1407" s="161"/>
      <c r="U1407" s="156"/>
      <c r="V1407" s="162"/>
      <c r="W1407" s="163"/>
      <c r="X1407" s="164"/>
      <c r="Y1407" s="159"/>
      <c r="Z1407" s="161"/>
      <c r="AA1407" s="165"/>
      <c r="AD1407" s="154" t="s">
        <v>5321</v>
      </c>
      <c r="AE1407" s="155"/>
      <c r="AI1407" s="154" t="s">
        <v>4652</v>
      </c>
      <c r="AL1407" s="154" t="s">
        <v>31</v>
      </c>
      <c r="AM1407" s="154" t="s">
        <v>2426</v>
      </c>
      <c r="AP1407" s="155"/>
      <c r="AQ1407" s="156"/>
      <c r="AR1407" s="157"/>
      <c r="AS1407" s="158"/>
      <c r="AT1407" s="159"/>
      <c r="AU1407" s="161"/>
      <c r="AV1407" s="156"/>
      <c r="AW1407" s="162"/>
      <c r="AX1407" s="163"/>
      <c r="AY1407" s="164">
        <v>3</v>
      </c>
      <c r="AZ1407" s="159" t="s">
        <v>1111</v>
      </c>
      <c r="BA1407" s="161"/>
      <c r="BB1407" s="165"/>
      <c r="BE1407" s="154" t="s">
        <v>5321</v>
      </c>
      <c r="BF1407" s="155"/>
    </row>
    <row r="1408" spans="1:59" s="154" customFormat="1" ht="15" customHeight="1">
      <c r="A1408" s="168" t="s">
        <v>5089</v>
      </c>
      <c r="B1408" s="23" t="s">
        <v>5360</v>
      </c>
      <c r="C1408" s="154" t="s">
        <v>5250</v>
      </c>
      <c r="D1408" s="155">
        <v>33</v>
      </c>
      <c r="E1408" s="154">
        <v>1</v>
      </c>
      <c r="F1408" s="154" t="s">
        <v>5091</v>
      </c>
      <c r="G1408" s="154" t="s">
        <v>5361</v>
      </c>
      <c r="J1408" s="154" t="s">
        <v>2702</v>
      </c>
      <c r="K1408" s="154" t="s">
        <v>2426</v>
      </c>
      <c r="N1408" s="155"/>
      <c r="O1408" s="156"/>
      <c r="P1408" s="157"/>
      <c r="Q1408" s="158"/>
      <c r="R1408" s="159"/>
      <c r="S1408" s="160"/>
      <c r="T1408" s="161"/>
      <c r="U1408" s="156"/>
      <c r="V1408" s="162"/>
      <c r="W1408" s="163"/>
      <c r="X1408" s="164"/>
      <c r="Y1408" s="159"/>
      <c r="Z1408" s="161"/>
      <c r="AA1408" s="165"/>
      <c r="AD1408" s="154" t="s">
        <v>5362</v>
      </c>
      <c r="AE1408" s="155"/>
      <c r="AF1408" s="154" t="s">
        <v>5363</v>
      </c>
      <c r="AI1408" s="154" t="s">
        <v>5364</v>
      </c>
      <c r="AL1408" s="154" t="s">
        <v>2702</v>
      </c>
      <c r="AM1408" s="154" t="s">
        <v>2426</v>
      </c>
      <c r="AP1408" s="155"/>
      <c r="AQ1408" s="156"/>
      <c r="AR1408" s="157"/>
      <c r="AS1408" s="158"/>
      <c r="AT1408" s="159"/>
      <c r="AU1408" s="161"/>
      <c r="AV1408" s="156"/>
      <c r="AW1408" s="162"/>
      <c r="AX1408" s="163"/>
      <c r="AY1408" s="164"/>
      <c r="AZ1408" s="159"/>
      <c r="BA1408" s="161"/>
      <c r="BB1408" s="165"/>
      <c r="BE1408" s="154" t="s">
        <v>5362</v>
      </c>
      <c r="BF1408" s="155"/>
      <c r="BG1408" s="154" t="s">
        <v>5365</v>
      </c>
    </row>
    <row r="1409" spans="1:59" s="154" customFormat="1" ht="15" customHeight="1">
      <c r="A1409" s="168" t="s">
        <v>5089</v>
      </c>
      <c r="B1409" s="23" t="s">
        <v>5366</v>
      </c>
      <c r="C1409" s="154" t="s">
        <v>5250</v>
      </c>
      <c r="D1409" s="155">
        <v>34</v>
      </c>
      <c r="E1409" s="154">
        <v>1</v>
      </c>
      <c r="F1409" s="154" t="s">
        <v>5091</v>
      </c>
      <c r="G1409" s="154" t="s">
        <v>5367</v>
      </c>
      <c r="J1409" s="154" t="s">
        <v>2702</v>
      </c>
      <c r="K1409" s="154" t="s">
        <v>2426</v>
      </c>
      <c r="N1409" s="155"/>
      <c r="O1409" s="156"/>
      <c r="P1409" s="157"/>
      <c r="Q1409" s="158"/>
      <c r="R1409" s="159"/>
      <c r="S1409" s="160"/>
      <c r="T1409" s="161"/>
      <c r="U1409" s="156"/>
      <c r="V1409" s="162"/>
      <c r="W1409" s="163"/>
      <c r="X1409" s="164"/>
      <c r="Y1409" s="159"/>
      <c r="Z1409" s="161"/>
      <c r="AA1409" s="165"/>
      <c r="AD1409" s="154" t="s">
        <v>5368</v>
      </c>
      <c r="AE1409" s="155"/>
      <c r="AF1409" s="154" t="s">
        <v>5369</v>
      </c>
      <c r="AI1409" s="154" t="s">
        <v>5364</v>
      </c>
      <c r="AL1409" s="154" t="s">
        <v>2702</v>
      </c>
      <c r="AM1409" s="154" t="s">
        <v>2426</v>
      </c>
      <c r="AP1409" s="155"/>
      <c r="AQ1409" s="156"/>
      <c r="AR1409" s="157"/>
      <c r="AS1409" s="158"/>
      <c r="AT1409" s="159"/>
      <c r="AU1409" s="161"/>
      <c r="AV1409" s="156"/>
      <c r="AW1409" s="162"/>
      <c r="AX1409" s="163"/>
      <c r="AY1409" s="164"/>
      <c r="AZ1409" s="159"/>
      <c r="BA1409" s="161"/>
      <c r="BB1409" s="165"/>
      <c r="BE1409" s="154" t="s">
        <v>5368</v>
      </c>
      <c r="BF1409" s="155"/>
      <c r="BG1409" s="154" t="s">
        <v>5370</v>
      </c>
    </row>
    <row r="1410" spans="1:59" s="154" customFormat="1" ht="15" customHeight="1">
      <c r="A1410" s="168" t="s">
        <v>5089</v>
      </c>
      <c r="B1410" s="23" t="s">
        <v>5371</v>
      </c>
      <c r="C1410" s="154" t="s">
        <v>5250</v>
      </c>
      <c r="D1410" s="155">
        <v>35</v>
      </c>
      <c r="E1410" s="154">
        <v>1</v>
      </c>
      <c r="F1410" s="154" t="s">
        <v>5091</v>
      </c>
      <c r="G1410" s="154" t="s">
        <v>5372</v>
      </c>
      <c r="J1410" s="154" t="s">
        <v>2702</v>
      </c>
      <c r="K1410" s="154" t="s">
        <v>2426</v>
      </c>
      <c r="N1410" s="155"/>
      <c r="O1410" s="156"/>
      <c r="P1410" s="157"/>
      <c r="Q1410" s="158"/>
      <c r="R1410" s="159"/>
      <c r="S1410" s="160"/>
      <c r="T1410" s="161"/>
      <c r="U1410" s="156"/>
      <c r="V1410" s="162"/>
      <c r="W1410" s="163"/>
      <c r="X1410" s="164"/>
      <c r="Y1410" s="159"/>
      <c r="Z1410" s="161"/>
      <c r="AA1410" s="165"/>
      <c r="AD1410" s="154" t="s">
        <v>5368</v>
      </c>
      <c r="AE1410" s="155"/>
      <c r="AF1410" s="154" t="s">
        <v>5373</v>
      </c>
      <c r="AI1410" s="154" t="s">
        <v>5364</v>
      </c>
      <c r="AL1410" s="154" t="s">
        <v>2702</v>
      </c>
      <c r="AM1410" s="154" t="s">
        <v>2426</v>
      </c>
      <c r="AP1410" s="155"/>
      <c r="AQ1410" s="156"/>
      <c r="AR1410" s="157"/>
      <c r="AS1410" s="158"/>
      <c r="AT1410" s="159"/>
      <c r="AU1410" s="161"/>
      <c r="AV1410" s="156"/>
      <c r="AW1410" s="162"/>
      <c r="AX1410" s="163"/>
      <c r="AY1410" s="164"/>
      <c r="AZ1410" s="159"/>
      <c r="BA1410" s="161"/>
      <c r="BB1410" s="165"/>
      <c r="BE1410" s="154" t="s">
        <v>5368</v>
      </c>
      <c r="BF1410" s="155"/>
      <c r="BG1410" s="154" t="s">
        <v>5374</v>
      </c>
    </row>
    <row r="1411" spans="1:59" s="154" customFormat="1" ht="15" customHeight="1">
      <c r="A1411" s="168" t="s">
        <v>5089</v>
      </c>
      <c r="B1411" s="23" t="s">
        <v>5375</v>
      </c>
      <c r="C1411" s="154" t="s">
        <v>5250</v>
      </c>
      <c r="D1411" s="155">
        <v>36</v>
      </c>
      <c r="E1411" s="154">
        <v>1</v>
      </c>
      <c r="F1411" s="154" t="s">
        <v>5091</v>
      </c>
      <c r="G1411" s="154" t="s">
        <v>5376</v>
      </c>
      <c r="J1411" s="154" t="s">
        <v>2702</v>
      </c>
      <c r="K1411" s="154" t="s">
        <v>2426</v>
      </c>
      <c r="N1411" s="155"/>
      <c r="O1411" s="156"/>
      <c r="P1411" s="157"/>
      <c r="Q1411" s="158"/>
      <c r="R1411" s="159"/>
      <c r="S1411" s="160"/>
      <c r="T1411" s="161"/>
      <c r="U1411" s="156"/>
      <c r="V1411" s="162"/>
      <c r="W1411" s="163"/>
      <c r="X1411" s="164"/>
      <c r="Y1411" s="159"/>
      <c r="Z1411" s="161"/>
      <c r="AA1411" s="165"/>
      <c r="AD1411" s="154" t="s">
        <v>5377</v>
      </c>
      <c r="AE1411" s="155"/>
      <c r="AF1411" s="154" t="s">
        <v>5378</v>
      </c>
      <c r="AI1411" s="154" t="s">
        <v>5364</v>
      </c>
      <c r="AL1411" s="154" t="s">
        <v>2702</v>
      </c>
      <c r="AM1411" s="154" t="s">
        <v>2426</v>
      </c>
      <c r="AP1411" s="155"/>
      <c r="AQ1411" s="156"/>
      <c r="AR1411" s="157"/>
      <c r="AS1411" s="158"/>
      <c r="AT1411" s="159"/>
      <c r="AU1411" s="161"/>
      <c r="AV1411" s="156"/>
      <c r="AW1411" s="162"/>
      <c r="AX1411" s="163"/>
      <c r="AY1411" s="164"/>
      <c r="AZ1411" s="159"/>
      <c r="BA1411" s="161"/>
      <c r="BB1411" s="165"/>
      <c r="BE1411" s="154" t="s">
        <v>5377</v>
      </c>
      <c r="BF1411" s="155"/>
      <c r="BG1411" s="154" t="s">
        <v>5379</v>
      </c>
    </row>
    <row r="1412" spans="1:59" s="154" customFormat="1" ht="15" customHeight="1">
      <c r="A1412" s="168" t="s">
        <v>5089</v>
      </c>
      <c r="B1412" s="23" t="s">
        <v>5380</v>
      </c>
      <c r="C1412" s="154" t="s">
        <v>5250</v>
      </c>
      <c r="D1412" s="155">
        <v>37</v>
      </c>
      <c r="E1412" s="154">
        <v>1</v>
      </c>
      <c r="F1412" s="154" t="s">
        <v>5091</v>
      </c>
      <c r="G1412" s="154" t="s">
        <v>5381</v>
      </c>
      <c r="J1412" s="154" t="s">
        <v>2702</v>
      </c>
      <c r="K1412" s="154" t="s">
        <v>2426</v>
      </c>
      <c r="N1412" s="155"/>
      <c r="O1412" s="156"/>
      <c r="P1412" s="157"/>
      <c r="Q1412" s="158"/>
      <c r="R1412" s="159"/>
      <c r="S1412" s="160"/>
      <c r="T1412" s="161"/>
      <c r="U1412" s="156"/>
      <c r="V1412" s="162"/>
      <c r="W1412" s="163"/>
      <c r="X1412" s="164"/>
      <c r="Y1412" s="159"/>
      <c r="Z1412" s="161"/>
      <c r="AA1412" s="165"/>
      <c r="AD1412" s="154" t="s">
        <v>5377</v>
      </c>
      <c r="AE1412" s="155"/>
      <c r="AF1412" s="154" t="s">
        <v>5382</v>
      </c>
      <c r="AI1412" s="154" t="s">
        <v>5364</v>
      </c>
      <c r="AL1412" s="154" t="s">
        <v>2702</v>
      </c>
      <c r="AM1412" s="154" t="s">
        <v>2426</v>
      </c>
      <c r="AP1412" s="155"/>
      <c r="AQ1412" s="156"/>
      <c r="AR1412" s="157"/>
      <c r="AS1412" s="158"/>
      <c r="AT1412" s="159"/>
      <c r="AU1412" s="161"/>
      <c r="AV1412" s="156"/>
      <c r="AW1412" s="162"/>
      <c r="AX1412" s="163"/>
      <c r="AY1412" s="164"/>
      <c r="AZ1412" s="159"/>
      <c r="BA1412" s="161"/>
      <c r="BB1412" s="165"/>
      <c r="BE1412" s="154" t="s">
        <v>5377</v>
      </c>
      <c r="BF1412" s="155"/>
      <c r="BG1412" s="154" t="s">
        <v>5383</v>
      </c>
    </row>
    <row r="1413" spans="1:59" s="154" customFormat="1" ht="15" customHeight="1">
      <c r="A1413" s="168" t="s">
        <v>5089</v>
      </c>
      <c r="B1413" s="23" t="s">
        <v>5384</v>
      </c>
      <c r="C1413" s="154" t="s">
        <v>5250</v>
      </c>
      <c r="D1413" s="155">
        <v>38</v>
      </c>
      <c r="E1413" s="154">
        <v>1</v>
      </c>
      <c r="F1413" s="154" t="s">
        <v>5091</v>
      </c>
      <c r="G1413" s="154" t="s">
        <v>5385</v>
      </c>
      <c r="J1413" s="154" t="s">
        <v>2702</v>
      </c>
      <c r="K1413" s="154" t="s">
        <v>2426</v>
      </c>
      <c r="N1413" s="155"/>
      <c r="O1413" s="156"/>
      <c r="P1413" s="157"/>
      <c r="Q1413" s="158"/>
      <c r="R1413" s="159"/>
      <c r="S1413" s="160"/>
      <c r="T1413" s="161"/>
      <c r="U1413" s="156"/>
      <c r="V1413" s="162"/>
      <c r="W1413" s="163"/>
      <c r="X1413" s="164"/>
      <c r="Y1413" s="159"/>
      <c r="Z1413" s="161"/>
      <c r="AA1413" s="165"/>
      <c r="AD1413" s="154" t="s">
        <v>5377</v>
      </c>
      <c r="AE1413" s="155"/>
      <c r="AF1413" s="154" t="s">
        <v>5386</v>
      </c>
      <c r="AI1413" s="154" t="s">
        <v>5364</v>
      </c>
      <c r="AL1413" s="154" t="s">
        <v>2702</v>
      </c>
      <c r="AM1413" s="154" t="s">
        <v>2426</v>
      </c>
      <c r="AP1413" s="155"/>
      <c r="AQ1413" s="156"/>
      <c r="AR1413" s="157"/>
      <c r="AS1413" s="158"/>
      <c r="AT1413" s="159"/>
      <c r="AU1413" s="161"/>
      <c r="AV1413" s="156"/>
      <c r="AW1413" s="162"/>
      <c r="AX1413" s="163"/>
      <c r="AY1413" s="164"/>
      <c r="AZ1413" s="159"/>
      <c r="BA1413" s="161"/>
      <c r="BB1413" s="165"/>
      <c r="BE1413" s="154" t="s">
        <v>5377</v>
      </c>
      <c r="BF1413" s="155"/>
      <c r="BG1413" s="154" t="s">
        <v>5387</v>
      </c>
    </row>
    <row r="1414" spans="1:59" s="154" customFormat="1" ht="15" customHeight="1">
      <c r="A1414" s="168" t="s">
        <v>5089</v>
      </c>
      <c r="B1414" s="23" t="s">
        <v>5388</v>
      </c>
      <c r="C1414" s="154" t="s">
        <v>5250</v>
      </c>
      <c r="D1414" s="155">
        <v>39</v>
      </c>
      <c r="E1414" s="154">
        <v>1</v>
      </c>
      <c r="F1414" s="154" t="s">
        <v>5091</v>
      </c>
      <c r="G1414" s="154" t="s">
        <v>5389</v>
      </c>
      <c r="J1414" s="154" t="s">
        <v>257</v>
      </c>
      <c r="K1414" s="154" t="s">
        <v>26</v>
      </c>
      <c r="N1414" s="155"/>
      <c r="O1414" s="156"/>
      <c r="P1414" s="157"/>
      <c r="Q1414" s="158"/>
      <c r="R1414" s="159"/>
      <c r="S1414" s="160"/>
      <c r="T1414" s="161"/>
      <c r="U1414" s="156"/>
      <c r="V1414" s="162"/>
      <c r="W1414" s="163"/>
      <c r="X1414" s="164"/>
      <c r="Y1414" s="159"/>
      <c r="Z1414" s="161"/>
      <c r="AA1414" s="165"/>
      <c r="AD1414" s="154" t="s">
        <v>5390</v>
      </c>
      <c r="AE1414" s="155"/>
      <c r="AF1414" s="154" t="s">
        <v>5391</v>
      </c>
      <c r="AP1414" s="155"/>
      <c r="AQ1414" s="156"/>
      <c r="AR1414" s="157"/>
      <c r="AS1414" s="158"/>
      <c r="AT1414" s="159"/>
      <c r="AU1414" s="161"/>
      <c r="AV1414" s="156"/>
      <c r="AW1414" s="162"/>
      <c r="AX1414" s="163"/>
      <c r="AY1414" s="164"/>
      <c r="AZ1414" s="159"/>
      <c r="BA1414" s="161"/>
      <c r="BB1414" s="165"/>
      <c r="BF1414" s="155"/>
    </row>
    <row r="1415" spans="1:59" s="154" customFormat="1" ht="15" customHeight="1">
      <c r="A1415" s="168" t="s">
        <v>5089</v>
      </c>
      <c r="B1415" s="23" t="s">
        <v>5392</v>
      </c>
      <c r="C1415" s="154" t="s">
        <v>5250</v>
      </c>
      <c r="D1415" s="155">
        <v>40</v>
      </c>
      <c r="E1415" s="154">
        <v>1</v>
      </c>
      <c r="F1415" s="154" t="s">
        <v>5091</v>
      </c>
      <c r="G1415" s="154" t="s">
        <v>5393</v>
      </c>
      <c r="J1415" s="154" t="s">
        <v>257</v>
      </c>
      <c r="K1415" s="154" t="s">
        <v>26</v>
      </c>
      <c r="N1415" s="155"/>
      <c r="O1415" s="156"/>
      <c r="P1415" s="157"/>
      <c r="Q1415" s="158"/>
      <c r="R1415" s="159"/>
      <c r="S1415" s="160"/>
      <c r="T1415" s="161"/>
      <c r="U1415" s="156"/>
      <c r="V1415" s="162"/>
      <c r="W1415" s="163"/>
      <c r="X1415" s="164"/>
      <c r="Y1415" s="159"/>
      <c r="Z1415" s="161"/>
      <c r="AA1415" s="165"/>
      <c r="AD1415" s="154" t="s">
        <v>2021</v>
      </c>
      <c r="AE1415" s="155"/>
      <c r="AF1415" s="154" t="s">
        <v>5394</v>
      </c>
      <c r="AP1415" s="155"/>
      <c r="AQ1415" s="156"/>
      <c r="AR1415" s="157"/>
      <c r="AS1415" s="158"/>
      <c r="AT1415" s="159"/>
      <c r="AU1415" s="161"/>
      <c r="AV1415" s="156"/>
      <c r="AW1415" s="162"/>
      <c r="AX1415" s="163"/>
      <c r="AY1415" s="164"/>
      <c r="AZ1415" s="159"/>
      <c r="BA1415" s="161"/>
      <c r="BB1415" s="165"/>
      <c r="BF1415" s="155"/>
    </row>
    <row r="1416" spans="1:59" s="154" customFormat="1" ht="15" customHeight="1">
      <c r="A1416" s="168" t="s">
        <v>5089</v>
      </c>
      <c r="B1416" s="23" t="s">
        <v>5395</v>
      </c>
      <c r="C1416" s="154" t="s">
        <v>5250</v>
      </c>
      <c r="D1416" s="155">
        <v>41</v>
      </c>
      <c r="E1416" s="154">
        <v>1</v>
      </c>
      <c r="F1416" s="154" t="s">
        <v>5091</v>
      </c>
      <c r="G1416" s="154" t="s">
        <v>5396</v>
      </c>
      <c r="J1416" s="154" t="s">
        <v>257</v>
      </c>
      <c r="K1416" s="154" t="s">
        <v>26</v>
      </c>
      <c r="N1416" s="155"/>
      <c r="O1416" s="156"/>
      <c r="P1416" s="157"/>
      <c r="Q1416" s="158"/>
      <c r="R1416" s="159"/>
      <c r="S1416" s="160"/>
      <c r="T1416" s="161"/>
      <c r="U1416" s="156"/>
      <c r="V1416" s="162"/>
      <c r="W1416" s="163"/>
      <c r="X1416" s="164"/>
      <c r="Y1416" s="159"/>
      <c r="Z1416" s="161"/>
      <c r="AA1416" s="165"/>
      <c r="AD1416" s="154" t="s">
        <v>265</v>
      </c>
      <c r="AE1416" s="155"/>
      <c r="AF1416" s="154" t="s">
        <v>5397</v>
      </c>
      <c r="AP1416" s="155"/>
      <c r="AQ1416" s="156"/>
      <c r="AR1416" s="157"/>
      <c r="AS1416" s="158"/>
      <c r="AT1416" s="159"/>
      <c r="AU1416" s="161"/>
      <c r="AV1416" s="156"/>
      <c r="AW1416" s="162"/>
      <c r="AX1416" s="163"/>
      <c r="AY1416" s="164"/>
      <c r="AZ1416" s="159"/>
      <c r="BA1416" s="161"/>
      <c r="BB1416" s="165"/>
      <c r="BF1416" s="155"/>
    </row>
    <row r="1417" spans="1:59" s="154" customFormat="1" ht="15" customHeight="1">
      <c r="A1417" s="168" t="s">
        <v>5089</v>
      </c>
      <c r="B1417" s="23" t="s">
        <v>5398</v>
      </c>
      <c r="C1417" s="154" t="s">
        <v>5250</v>
      </c>
      <c r="D1417" s="155">
        <v>42</v>
      </c>
      <c r="E1417" s="154">
        <v>1</v>
      </c>
      <c r="F1417" s="154" t="s">
        <v>5091</v>
      </c>
      <c r="G1417" s="154" t="s">
        <v>5399</v>
      </c>
      <c r="J1417" s="154" t="s">
        <v>257</v>
      </c>
      <c r="K1417" s="154" t="s">
        <v>26</v>
      </c>
      <c r="N1417" s="155"/>
      <c r="O1417" s="156"/>
      <c r="P1417" s="157"/>
      <c r="Q1417" s="158"/>
      <c r="R1417" s="159"/>
      <c r="S1417" s="160"/>
      <c r="T1417" s="161"/>
      <c r="U1417" s="156"/>
      <c r="V1417" s="162"/>
      <c r="W1417" s="163"/>
      <c r="X1417" s="164"/>
      <c r="Y1417" s="159"/>
      <c r="Z1417" s="161"/>
      <c r="AA1417" s="165"/>
      <c r="AD1417" s="154" t="s">
        <v>5390</v>
      </c>
      <c r="AE1417" s="155"/>
      <c r="AF1417" s="154" t="s">
        <v>5400</v>
      </c>
      <c r="AP1417" s="155"/>
      <c r="AQ1417" s="156"/>
      <c r="AR1417" s="157"/>
      <c r="AS1417" s="158"/>
      <c r="AT1417" s="159"/>
      <c r="AU1417" s="161"/>
      <c r="AV1417" s="156"/>
      <c r="AW1417" s="162"/>
      <c r="AX1417" s="163"/>
      <c r="AY1417" s="164"/>
      <c r="AZ1417" s="159"/>
      <c r="BA1417" s="161"/>
      <c r="BB1417" s="165"/>
      <c r="BF1417" s="155"/>
    </row>
    <row r="1418" spans="1:59" s="154" customFormat="1" ht="15" customHeight="1">
      <c r="A1418" s="168" t="s">
        <v>5089</v>
      </c>
      <c r="B1418" s="23" t="s">
        <v>5401</v>
      </c>
      <c r="C1418" s="154" t="s">
        <v>5250</v>
      </c>
      <c r="D1418" s="155">
        <v>43</v>
      </c>
      <c r="E1418" s="154">
        <v>1</v>
      </c>
      <c r="F1418" s="154" t="s">
        <v>5091</v>
      </c>
      <c r="G1418" s="154" t="s">
        <v>5399</v>
      </c>
      <c r="J1418" s="154" t="s">
        <v>257</v>
      </c>
      <c r="K1418" s="154" t="s">
        <v>26</v>
      </c>
      <c r="N1418" s="155"/>
      <c r="O1418" s="156"/>
      <c r="P1418" s="157"/>
      <c r="Q1418" s="158"/>
      <c r="R1418" s="159"/>
      <c r="S1418" s="160"/>
      <c r="T1418" s="161"/>
      <c r="U1418" s="156"/>
      <c r="V1418" s="162"/>
      <c r="W1418" s="163"/>
      <c r="X1418" s="164"/>
      <c r="Y1418" s="159"/>
      <c r="Z1418" s="161"/>
      <c r="AA1418" s="165"/>
      <c r="AD1418" s="154" t="s">
        <v>5390</v>
      </c>
      <c r="AE1418" s="155"/>
      <c r="AF1418" s="154" t="s">
        <v>5402</v>
      </c>
      <c r="AP1418" s="155"/>
      <c r="AQ1418" s="156"/>
      <c r="AR1418" s="157"/>
      <c r="AS1418" s="158"/>
      <c r="AT1418" s="159"/>
      <c r="AU1418" s="161"/>
      <c r="AV1418" s="156"/>
      <c r="AW1418" s="162"/>
      <c r="AX1418" s="163"/>
      <c r="AY1418" s="164"/>
      <c r="AZ1418" s="159"/>
      <c r="BA1418" s="161"/>
      <c r="BB1418" s="165"/>
      <c r="BF1418" s="155"/>
    </row>
    <row r="1419" spans="1:59" s="154" customFormat="1" ht="15" customHeight="1">
      <c r="A1419" s="168" t="s">
        <v>5089</v>
      </c>
      <c r="B1419" s="30" t="s">
        <v>5403</v>
      </c>
      <c r="C1419" s="154" t="s">
        <v>5250</v>
      </c>
      <c r="D1419" s="155">
        <v>44</v>
      </c>
      <c r="E1419" s="154">
        <v>1</v>
      </c>
      <c r="F1419" s="154" t="s">
        <v>5091</v>
      </c>
      <c r="G1419" s="154" t="s">
        <v>5404</v>
      </c>
      <c r="J1419" s="154" t="s">
        <v>257</v>
      </c>
      <c r="K1419" s="154" t="s">
        <v>26</v>
      </c>
      <c r="N1419" s="155"/>
      <c r="O1419" s="156"/>
      <c r="P1419" s="157"/>
      <c r="Q1419" s="158"/>
      <c r="R1419" s="159"/>
      <c r="S1419" s="160"/>
      <c r="T1419" s="161"/>
      <c r="U1419" s="156"/>
      <c r="V1419" s="162"/>
      <c r="W1419" s="163"/>
      <c r="X1419" s="164"/>
      <c r="Y1419" s="159"/>
      <c r="Z1419" s="161"/>
      <c r="AA1419" s="165"/>
      <c r="AD1419" s="154" t="s">
        <v>5390</v>
      </c>
      <c r="AE1419" s="155"/>
      <c r="AF1419" s="154" t="s">
        <v>5405</v>
      </c>
      <c r="AP1419" s="155"/>
      <c r="AQ1419" s="156"/>
      <c r="AR1419" s="157"/>
      <c r="AS1419" s="158"/>
      <c r="AT1419" s="159"/>
      <c r="AU1419" s="161"/>
      <c r="AV1419" s="156"/>
      <c r="AW1419" s="162"/>
      <c r="AX1419" s="163"/>
      <c r="AY1419" s="164"/>
      <c r="AZ1419" s="159"/>
      <c r="BA1419" s="161"/>
      <c r="BB1419" s="165"/>
      <c r="BF1419" s="155"/>
    </row>
    <row r="1420" spans="1:59" s="154" customFormat="1" ht="15" customHeight="1">
      <c r="A1420" s="168" t="s">
        <v>5089</v>
      </c>
      <c r="B1420" s="23" t="s">
        <v>5406</v>
      </c>
      <c r="C1420" s="154" t="s">
        <v>5250</v>
      </c>
      <c r="D1420" s="155">
        <v>45</v>
      </c>
      <c r="E1420" s="154">
        <v>1</v>
      </c>
      <c r="F1420" s="154" t="s">
        <v>5091</v>
      </c>
      <c r="G1420" s="154" t="s">
        <v>5404</v>
      </c>
      <c r="J1420" s="154" t="s">
        <v>257</v>
      </c>
      <c r="K1420" s="154" t="s">
        <v>26</v>
      </c>
      <c r="N1420" s="155"/>
      <c r="O1420" s="156"/>
      <c r="P1420" s="157"/>
      <c r="Q1420" s="158"/>
      <c r="R1420" s="159"/>
      <c r="S1420" s="160"/>
      <c r="T1420" s="161"/>
      <c r="U1420" s="156"/>
      <c r="V1420" s="162"/>
      <c r="W1420" s="163"/>
      <c r="X1420" s="164"/>
      <c r="Y1420" s="159"/>
      <c r="Z1420" s="161"/>
      <c r="AA1420" s="165"/>
      <c r="AD1420" s="154" t="s">
        <v>5390</v>
      </c>
      <c r="AE1420" s="155"/>
      <c r="AF1420" s="154" t="s">
        <v>5407</v>
      </c>
      <c r="AP1420" s="155"/>
      <c r="AQ1420" s="156"/>
      <c r="AR1420" s="157"/>
      <c r="AS1420" s="158"/>
      <c r="AT1420" s="159"/>
      <c r="AU1420" s="161"/>
      <c r="AV1420" s="156"/>
      <c r="AW1420" s="162"/>
      <c r="AX1420" s="163"/>
      <c r="AY1420" s="164"/>
      <c r="AZ1420" s="159"/>
      <c r="BA1420" s="161"/>
      <c r="BB1420" s="165"/>
      <c r="BF1420" s="155"/>
    </row>
    <row r="1421" spans="1:59" s="154" customFormat="1" ht="15" customHeight="1">
      <c r="A1421" s="168" t="s">
        <v>5089</v>
      </c>
      <c r="B1421" s="23" t="s">
        <v>5408</v>
      </c>
      <c r="C1421" s="154" t="s">
        <v>5250</v>
      </c>
      <c r="D1421" s="155">
        <v>46</v>
      </c>
      <c r="E1421" s="154">
        <v>1</v>
      </c>
      <c r="F1421" s="154" t="s">
        <v>5091</v>
      </c>
      <c r="G1421" s="154" t="s">
        <v>5409</v>
      </c>
      <c r="J1421" s="154" t="s">
        <v>257</v>
      </c>
      <c r="K1421" s="154" t="s">
        <v>26</v>
      </c>
      <c r="N1421" s="155"/>
      <c r="O1421" s="156"/>
      <c r="P1421" s="157"/>
      <c r="Q1421" s="158"/>
      <c r="R1421" s="159"/>
      <c r="S1421" s="160"/>
      <c r="T1421" s="161"/>
      <c r="U1421" s="156"/>
      <c r="V1421" s="162"/>
      <c r="W1421" s="163"/>
      <c r="X1421" s="164"/>
      <c r="Y1421" s="159"/>
      <c r="Z1421" s="161"/>
      <c r="AA1421" s="165"/>
      <c r="AD1421" s="154" t="s">
        <v>5390</v>
      </c>
      <c r="AE1421" s="155"/>
      <c r="AF1421" s="154" t="s">
        <v>5410</v>
      </c>
      <c r="AP1421" s="155"/>
      <c r="AQ1421" s="156"/>
      <c r="AR1421" s="157"/>
      <c r="AS1421" s="158"/>
      <c r="AT1421" s="159"/>
      <c r="AU1421" s="161"/>
      <c r="AV1421" s="156"/>
      <c r="AW1421" s="162"/>
      <c r="AX1421" s="163"/>
      <c r="AY1421" s="164"/>
      <c r="AZ1421" s="159"/>
      <c r="BA1421" s="161"/>
      <c r="BB1421" s="165"/>
      <c r="BF1421" s="155"/>
    </row>
    <row r="1422" spans="1:59" ht="15" customHeight="1">
      <c r="A1422" s="168" t="s">
        <v>5089</v>
      </c>
      <c r="B1422" s="23" t="s">
        <v>5411</v>
      </c>
      <c r="C1422" s="154" t="s">
        <v>5250</v>
      </c>
      <c r="D1422" s="24">
        <v>47</v>
      </c>
      <c r="E1422" s="23">
        <v>1</v>
      </c>
      <c r="F1422" s="154" t="s">
        <v>5091</v>
      </c>
      <c r="G1422" s="28" t="s">
        <v>5409</v>
      </c>
      <c r="J1422" s="23" t="s">
        <v>257</v>
      </c>
      <c r="K1422" s="28" t="s">
        <v>26</v>
      </c>
      <c r="N1422" s="147"/>
      <c r="O1422" s="118"/>
      <c r="P1422" s="119"/>
      <c r="Q1422" s="120"/>
      <c r="R1422" s="29"/>
      <c r="S1422" s="135"/>
      <c r="T1422" s="122"/>
      <c r="U1422" s="118"/>
      <c r="V1422" s="123"/>
      <c r="W1422" s="124"/>
      <c r="X1422" s="125"/>
      <c r="Y1422" s="29"/>
      <c r="Z1422" s="122"/>
      <c r="AA1422" s="126"/>
      <c r="AB1422" s="148"/>
      <c r="AD1422" s="23" t="s">
        <v>5390</v>
      </c>
      <c r="AF1422" s="23" t="s">
        <v>5412</v>
      </c>
      <c r="AI1422" s="28"/>
      <c r="AM1422" s="28"/>
      <c r="AP1422" s="24"/>
      <c r="AQ1422" s="118"/>
      <c r="AR1422" s="119"/>
      <c r="AS1422" s="120"/>
      <c r="AT1422" s="29"/>
      <c r="AU1422" s="122"/>
      <c r="AV1422" s="118"/>
      <c r="AW1422" s="123"/>
      <c r="AX1422" s="124"/>
      <c r="AY1422" s="125"/>
      <c r="AZ1422" s="29"/>
      <c r="BA1422" s="122"/>
      <c r="BB1422" s="126"/>
    </row>
    <row r="1423" spans="1:59" ht="15" customHeight="1">
      <c r="A1423" s="168" t="s">
        <v>5089</v>
      </c>
      <c r="B1423" s="30" t="s">
        <v>5413</v>
      </c>
      <c r="C1423" s="154" t="s">
        <v>5250</v>
      </c>
      <c r="D1423" s="24">
        <v>48</v>
      </c>
      <c r="E1423" s="23">
        <v>1</v>
      </c>
      <c r="F1423" s="154" t="s">
        <v>5091</v>
      </c>
      <c r="G1423" s="23" t="s">
        <v>5414</v>
      </c>
      <c r="H1423" s="23" t="s">
        <v>5415</v>
      </c>
      <c r="I1423" s="23" t="s">
        <v>223</v>
      </c>
      <c r="J1423" s="23" t="s">
        <v>29</v>
      </c>
      <c r="K1423" s="23" t="s">
        <v>2426</v>
      </c>
      <c r="N1423" s="147"/>
      <c r="O1423" s="118"/>
      <c r="P1423" s="119"/>
      <c r="Q1423" s="120">
        <v>2</v>
      </c>
      <c r="R1423" s="29">
        <v>3</v>
      </c>
      <c r="S1423" s="135"/>
      <c r="T1423" s="122">
        <v>6</v>
      </c>
      <c r="U1423" s="118"/>
      <c r="V1423" s="123">
        <v>2</v>
      </c>
      <c r="W1423" s="124">
        <v>2</v>
      </c>
      <c r="X1423" s="125"/>
      <c r="Y1423" s="29"/>
      <c r="Z1423" s="122"/>
      <c r="AA1423" s="126">
        <v>3</v>
      </c>
      <c r="AB1423" s="148"/>
      <c r="AD1423" s="23" t="s">
        <v>1156</v>
      </c>
      <c r="AF1423" s="23" t="s">
        <v>5416</v>
      </c>
      <c r="AP1423" s="24"/>
      <c r="AQ1423" s="118"/>
      <c r="AR1423" s="119"/>
      <c r="AS1423" s="120"/>
      <c r="AT1423" s="29"/>
      <c r="AU1423" s="122"/>
      <c r="AV1423" s="118"/>
      <c r="AW1423" s="123"/>
      <c r="AX1423" s="124"/>
      <c r="AY1423" s="125"/>
      <c r="AZ1423" s="29"/>
      <c r="BA1423" s="122"/>
      <c r="BB1423" s="126"/>
    </row>
    <row r="1424" spans="1:59" ht="15" customHeight="1">
      <c r="A1424" s="168" t="s">
        <v>5089</v>
      </c>
      <c r="B1424" s="23" t="s">
        <v>5417</v>
      </c>
      <c r="C1424" s="154" t="s">
        <v>5250</v>
      </c>
      <c r="D1424" s="24">
        <v>49</v>
      </c>
      <c r="E1424" s="23">
        <v>1</v>
      </c>
      <c r="F1424" s="154" t="s">
        <v>5091</v>
      </c>
      <c r="G1424" s="23" t="s">
        <v>5418</v>
      </c>
      <c r="H1424" s="23" t="s">
        <v>5419</v>
      </c>
      <c r="I1424" s="23" t="s">
        <v>223</v>
      </c>
      <c r="J1424" s="23" t="s">
        <v>29</v>
      </c>
      <c r="K1424" s="23" t="s">
        <v>2426</v>
      </c>
      <c r="N1424" s="147"/>
      <c r="O1424" s="118"/>
      <c r="P1424" s="119"/>
      <c r="Q1424" s="120">
        <v>4</v>
      </c>
      <c r="R1424" s="29">
        <v>4</v>
      </c>
      <c r="S1424" s="135"/>
      <c r="T1424" s="122" t="s">
        <v>4883</v>
      </c>
      <c r="U1424" s="118"/>
      <c r="V1424" s="123">
        <v>2</v>
      </c>
      <c r="W1424" s="124">
        <v>1</v>
      </c>
      <c r="X1424" s="125"/>
      <c r="Y1424" s="29"/>
      <c r="Z1424" s="122"/>
      <c r="AA1424" s="126">
        <v>2</v>
      </c>
      <c r="AB1424" s="148"/>
      <c r="AD1424" s="23" t="s">
        <v>1794</v>
      </c>
      <c r="AF1424" s="23" t="s">
        <v>5420</v>
      </c>
      <c r="AP1424" s="24"/>
      <c r="AQ1424" s="118"/>
      <c r="AR1424" s="119"/>
      <c r="AS1424" s="120"/>
      <c r="AT1424" s="29"/>
      <c r="AU1424" s="122"/>
      <c r="AV1424" s="118"/>
      <c r="AW1424" s="123"/>
      <c r="AX1424" s="124"/>
      <c r="AY1424" s="125"/>
      <c r="AZ1424" s="29"/>
      <c r="BA1424" s="122"/>
      <c r="BB1424" s="126"/>
    </row>
    <row r="1425" spans="1:58" ht="15" customHeight="1">
      <c r="A1425" s="168" t="s">
        <v>5089</v>
      </c>
      <c r="B1425" s="23" t="s">
        <v>5421</v>
      </c>
      <c r="C1425" s="154" t="s">
        <v>5250</v>
      </c>
      <c r="D1425" s="24">
        <v>50</v>
      </c>
      <c r="E1425" s="23">
        <v>1</v>
      </c>
      <c r="F1425" s="154" t="s">
        <v>5091</v>
      </c>
      <c r="G1425" s="23" t="s">
        <v>5418</v>
      </c>
      <c r="H1425" s="23" t="s">
        <v>5419</v>
      </c>
      <c r="I1425" s="23" t="s">
        <v>223</v>
      </c>
      <c r="J1425" s="23" t="s">
        <v>29</v>
      </c>
      <c r="K1425" s="23" t="s">
        <v>2426</v>
      </c>
      <c r="N1425" s="147"/>
      <c r="O1425" s="118"/>
      <c r="P1425" s="119"/>
      <c r="Q1425" s="120">
        <v>4</v>
      </c>
      <c r="R1425" s="29">
        <v>4</v>
      </c>
      <c r="S1425" s="135"/>
      <c r="T1425" s="122" t="s">
        <v>4883</v>
      </c>
      <c r="U1425" s="118"/>
      <c r="V1425" s="123">
        <v>2</v>
      </c>
      <c r="W1425" s="124">
        <v>1</v>
      </c>
      <c r="X1425" s="125"/>
      <c r="Y1425" s="29"/>
      <c r="Z1425" s="122"/>
      <c r="AA1425" s="126">
        <v>2</v>
      </c>
      <c r="AB1425" s="148"/>
      <c r="AD1425" s="23" t="s">
        <v>1794</v>
      </c>
      <c r="AF1425" s="23" t="s">
        <v>5422</v>
      </c>
      <c r="AP1425" s="24"/>
      <c r="AQ1425" s="118"/>
      <c r="AR1425" s="119"/>
      <c r="AS1425" s="120"/>
      <c r="AT1425" s="29"/>
      <c r="AU1425" s="122"/>
      <c r="AV1425" s="118"/>
      <c r="AW1425" s="123"/>
      <c r="AX1425" s="124"/>
      <c r="AY1425" s="125"/>
      <c r="AZ1425" s="29"/>
      <c r="BA1425" s="122"/>
      <c r="BB1425" s="126"/>
    </row>
    <row r="1426" spans="1:58" ht="15" customHeight="1">
      <c r="A1426" s="168" t="s">
        <v>5089</v>
      </c>
      <c r="B1426" s="23" t="s">
        <v>5423</v>
      </c>
      <c r="C1426" s="154" t="s">
        <v>5250</v>
      </c>
      <c r="D1426" s="24">
        <v>51</v>
      </c>
      <c r="E1426" s="23">
        <v>1</v>
      </c>
      <c r="F1426" s="154" t="s">
        <v>5091</v>
      </c>
      <c r="G1426" s="23" t="s">
        <v>5424</v>
      </c>
      <c r="I1426" s="23" t="s">
        <v>223</v>
      </c>
      <c r="J1426" s="23" t="s">
        <v>29</v>
      </c>
      <c r="K1426" s="23" t="s">
        <v>2426</v>
      </c>
      <c r="N1426" s="147"/>
      <c r="O1426" s="118"/>
      <c r="P1426" s="119"/>
      <c r="Q1426" s="120">
        <v>3</v>
      </c>
      <c r="R1426" s="29">
        <v>3</v>
      </c>
      <c r="S1426" s="135"/>
      <c r="T1426" s="122">
        <v>12</v>
      </c>
      <c r="U1426" s="118"/>
      <c r="V1426" s="123">
        <v>2</v>
      </c>
      <c r="W1426" s="124"/>
      <c r="X1426" s="125"/>
      <c r="Y1426" s="29"/>
      <c r="Z1426" s="122"/>
      <c r="AA1426" s="126">
        <v>5</v>
      </c>
      <c r="AB1426" s="148"/>
      <c r="AD1426" s="23" t="s">
        <v>1794</v>
      </c>
      <c r="AF1426" s="23" t="s">
        <v>5425</v>
      </c>
      <c r="AP1426" s="24"/>
      <c r="AQ1426" s="118"/>
      <c r="AR1426" s="119"/>
      <c r="AS1426" s="120"/>
      <c r="AT1426" s="29"/>
      <c r="AU1426" s="122"/>
      <c r="AV1426" s="118"/>
      <c r="AW1426" s="123"/>
      <c r="AX1426" s="124"/>
      <c r="AY1426" s="125"/>
      <c r="AZ1426" s="29"/>
      <c r="BA1426" s="122"/>
      <c r="BB1426" s="126"/>
    </row>
    <row r="1427" spans="1:58" s="154" customFormat="1" ht="15" customHeight="1">
      <c r="A1427" s="168" t="s">
        <v>5089</v>
      </c>
      <c r="B1427" s="23" t="s">
        <v>5426</v>
      </c>
      <c r="C1427" s="154" t="s">
        <v>5250</v>
      </c>
      <c r="D1427" s="155">
        <v>52</v>
      </c>
      <c r="E1427" s="154">
        <v>2</v>
      </c>
      <c r="F1427" s="154" t="s">
        <v>5091</v>
      </c>
      <c r="G1427" s="171" t="s">
        <v>5427</v>
      </c>
      <c r="J1427" s="154" t="s">
        <v>29</v>
      </c>
      <c r="K1427" s="171" t="s">
        <v>2426</v>
      </c>
      <c r="N1427" s="155"/>
      <c r="O1427" s="156"/>
      <c r="P1427" s="157"/>
      <c r="Q1427" s="158">
        <v>4</v>
      </c>
      <c r="R1427" s="159">
        <v>3</v>
      </c>
      <c r="S1427" s="160"/>
      <c r="T1427" s="161">
        <v>4</v>
      </c>
      <c r="U1427" s="156"/>
      <c r="V1427" s="162">
        <v>1</v>
      </c>
      <c r="W1427" s="163">
        <v>2</v>
      </c>
      <c r="X1427" s="164"/>
      <c r="Y1427" s="159"/>
      <c r="Z1427" s="161"/>
      <c r="AA1427" s="165"/>
      <c r="AD1427" s="154" t="s">
        <v>488</v>
      </c>
      <c r="AE1427" s="155"/>
      <c r="AF1427" s="154" t="s">
        <v>5428</v>
      </c>
      <c r="AI1427" s="171"/>
      <c r="AM1427" s="171"/>
      <c r="AP1427" s="155"/>
      <c r="AQ1427" s="156"/>
      <c r="AR1427" s="157"/>
      <c r="AS1427" s="158"/>
      <c r="AT1427" s="159"/>
      <c r="AU1427" s="161"/>
      <c r="AV1427" s="156"/>
      <c r="AW1427" s="162"/>
      <c r="AX1427" s="163"/>
      <c r="AY1427" s="164"/>
      <c r="AZ1427" s="159"/>
      <c r="BA1427" s="161"/>
      <c r="BB1427" s="165"/>
      <c r="BF1427" s="155"/>
    </row>
    <row r="1428" spans="1:58" s="154" customFormat="1" ht="15" customHeight="1">
      <c r="A1428" s="168" t="s">
        <v>5089</v>
      </c>
      <c r="B1428" s="23" t="s">
        <v>5429</v>
      </c>
      <c r="C1428" s="154" t="s">
        <v>5250</v>
      </c>
      <c r="D1428" s="155">
        <v>53</v>
      </c>
      <c r="E1428" s="154">
        <v>3</v>
      </c>
      <c r="F1428" s="154" t="s">
        <v>5091</v>
      </c>
      <c r="G1428" s="154" t="s">
        <v>5430</v>
      </c>
      <c r="J1428" s="154" t="s">
        <v>29</v>
      </c>
      <c r="K1428" s="154" t="s">
        <v>2426</v>
      </c>
      <c r="N1428" s="155"/>
      <c r="O1428" s="156"/>
      <c r="P1428" s="157"/>
      <c r="Q1428" s="158">
        <v>2</v>
      </c>
      <c r="R1428" s="159">
        <v>2</v>
      </c>
      <c r="S1428" s="160"/>
      <c r="T1428" s="161">
        <v>2</v>
      </c>
      <c r="U1428" s="156"/>
      <c r="V1428" s="162">
        <v>1</v>
      </c>
      <c r="W1428" s="163">
        <v>1</v>
      </c>
      <c r="X1428" s="164"/>
      <c r="Y1428" s="159"/>
      <c r="Z1428" s="161"/>
      <c r="AA1428" s="165"/>
      <c r="AD1428" s="154" t="s">
        <v>5431</v>
      </c>
      <c r="AE1428" s="155"/>
      <c r="AF1428" s="154" t="s">
        <v>5432</v>
      </c>
      <c r="AP1428" s="155"/>
      <c r="AQ1428" s="156"/>
      <c r="AR1428" s="157"/>
      <c r="AS1428" s="158"/>
      <c r="AT1428" s="159"/>
      <c r="AU1428" s="161"/>
      <c r="AV1428" s="156"/>
      <c r="AW1428" s="162"/>
      <c r="AX1428" s="163"/>
      <c r="AY1428" s="164"/>
      <c r="AZ1428" s="159"/>
      <c r="BA1428" s="161"/>
      <c r="BB1428" s="165"/>
      <c r="BF1428" s="155"/>
    </row>
    <row r="1429" spans="1:58" s="154" customFormat="1" ht="15" customHeight="1">
      <c r="A1429" s="168" t="s">
        <v>5089</v>
      </c>
      <c r="B1429" s="23" t="s">
        <v>5433</v>
      </c>
      <c r="C1429" s="154" t="s">
        <v>5250</v>
      </c>
      <c r="D1429" s="155">
        <v>54</v>
      </c>
      <c r="E1429" s="154">
        <v>3</v>
      </c>
      <c r="F1429" s="154" t="s">
        <v>5091</v>
      </c>
      <c r="G1429" s="154" t="s">
        <v>5434</v>
      </c>
      <c r="J1429" s="154" t="s">
        <v>29</v>
      </c>
      <c r="K1429" s="154" t="s">
        <v>2426</v>
      </c>
      <c r="N1429" s="155"/>
      <c r="O1429" s="156"/>
      <c r="P1429" s="157"/>
      <c r="Q1429" s="158">
        <v>3</v>
      </c>
      <c r="R1429" s="159">
        <v>1</v>
      </c>
      <c r="S1429" s="160"/>
      <c r="T1429" s="161">
        <v>3</v>
      </c>
      <c r="U1429" s="156"/>
      <c r="V1429" s="162">
        <v>1</v>
      </c>
      <c r="W1429" s="163">
        <v>1</v>
      </c>
      <c r="X1429" s="164"/>
      <c r="Y1429" s="159"/>
      <c r="Z1429" s="161"/>
      <c r="AA1429" s="165"/>
      <c r="AD1429" s="154" t="s">
        <v>5435</v>
      </c>
      <c r="AE1429" s="155"/>
      <c r="AF1429" s="154" t="s">
        <v>5436</v>
      </c>
      <c r="AP1429" s="155"/>
      <c r="AQ1429" s="156"/>
      <c r="AR1429" s="157"/>
      <c r="AS1429" s="158"/>
      <c r="AT1429" s="159"/>
      <c r="AU1429" s="161"/>
      <c r="AV1429" s="156"/>
      <c r="AW1429" s="162"/>
      <c r="AX1429" s="163"/>
      <c r="AY1429" s="164"/>
      <c r="AZ1429" s="159"/>
      <c r="BA1429" s="161"/>
      <c r="BB1429" s="165"/>
      <c r="BF1429" s="155"/>
    </row>
    <row r="1430" spans="1:58" s="154" customFormat="1" ht="15" customHeight="1">
      <c r="A1430" s="168" t="s">
        <v>5089</v>
      </c>
      <c r="B1430" s="23" t="s">
        <v>5437</v>
      </c>
      <c r="C1430" s="154" t="s">
        <v>5250</v>
      </c>
      <c r="D1430" s="155">
        <v>55</v>
      </c>
      <c r="E1430" s="154">
        <v>3</v>
      </c>
      <c r="F1430" s="154" t="s">
        <v>5091</v>
      </c>
      <c r="G1430" s="154" t="s">
        <v>5438</v>
      </c>
      <c r="J1430" s="154" t="s">
        <v>28</v>
      </c>
      <c r="K1430" s="154" t="s">
        <v>2426</v>
      </c>
      <c r="N1430" s="155"/>
      <c r="O1430" s="156"/>
      <c r="P1430" s="157"/>
      <c r="Q1430" s="158"/>
      <c r="R1430" s="159"/>
      <c r="S1430" s="160"/>
      <c r="T1430" s="161"/>
      <c r="U1430" s="156"/>
      <c r="V1430" s="162"/>
      <c r="W1430" s="163"/>
      <c r="X1430" s="164"/>
      <c r="Y1430" s="159"/>
      <c r="Z1430" s="161"/>
      <c r="AA1430" s="165"/>
      <c r="AD1430" s="154" t="s">
        <v>5439</v>
      </c>
      <c r="AE1430" s="155"/>
      <c r="AF1430" s="154" t="s">
        <v>5440</v>
      </c>
      <c r="AP1430" s="155"/>
      <c r="AQ1430" s="156"/>
      <c r="AR1430" s="157"/>
      <c r="AS1430" s="158"/>
      <c r="AT1430" s="159"/>
      <c r="AU1430" s="161"/>
      <c r="AV1430" s="156"/>
      <c r="AW1430" s="162"/>
      <c r="AX1430" s="163"/>
      <c r="AY1430" s="164"/>
      <c r="AZ1430" s="159"/>
      <c r="BA1430" s="161"/>
      <c r="BB1430" s="165"/>
      <c r="BF1430" s="155"/>
    </row>
    <row r="1431" spans="1:58" s="154" customFormat="1" ht="15" customHeight="1">
      <c r="A1431" s="168" t="s">
        <v>5089</v>
      </c>
      <c r="B1431" s="23" t="s">
        <v>5441</v>
      </c>
      <c r="C1431" s="154" t="s">
        <v>5250</v>
      </c>
      <c r="D1431" s="155">
        <v>56</v>
      </c>
      <c r="E1431" s="154">
        <v>3</v>
      </c>
      <c r="F1431" s="154" t="s">
        <v>5091</v>
      </c>
      <c r="G1431" s="154" t="s">
        <v>5442</v>
      </c>
      <c r="J1431" s="154" t="s">
        <v>28</v>
      </c>
      <c r="K1431" s="154" t="s">
        <v>2426</v>
      </c>
      <c r="N1431" s="155"/>
      <c r="O1431" s="156"/>
      <c r="P1431" s="157"/>
      <c r="Q1431" s="158"/>
      <c r="R1431" s="159"/>
      <c r="S1431" s="160"/>
      <c r="T1431" s="161"/>
      <c r="U1431" s="156"/>
      <c r="V1431" s="162"/>
      <c r="W1431" s="163"/>
      <c r="X1431" s="164"/>
      <c r="Y1431" s="159"/>
      <c r="Z1431" s="161"/>
      <c r="AA1431" s="165"/>
      <c r="AD1431" s="154" t="s">
        <v>5443</v>
      </c>
      <c r="AE1431" s="155"/>
      <c r="AF1431" s="154" t="s">
        <v>5444</v>
      </c>
      <c r="AP1431" s="155"/>
      <c r="AQ1431" s="156"/>
      <c r="AR1431" s="157"/>
      <c r="AS1431" s="158"/>
      <c r="AT1431" s="159"/>
      <c r="AU1431" s="161"/>
      <c r="AV1431" s="156"/>
      <c r="AW1431" s="162"/>
      <c r="AX1431" s="163"/>
      <c r="AY1431" s="164"/>
      <c r="AZ1431" s="159"/>
      <c r="BA1431" s="161"/>
      <c r="BB1431" s="165"/>
      <c r="BF1431" s="155"/>
    </row>
    <row r="1432" spans="1:58" s="154" customFormat="1" ht="15" customHeight="1">
      <c r="A1432" s="168" t="s">
        <v>5089</v>
      </c>
      <c r="B1432" s="23" t="s">
        <v>5445</v>
      </c>
      <c r="C1432" s="154" t="s">
        <v>5250</v>
      </c>
      <c r="D1432" s="155">
        <v>57</v>
      </c>
      <c r="E1432" s="154">
        <v>3</v>
      </c>
      <c r="F1432" s="154" t="s">
        <v>5091</v>
      </c>
      <c r="G1432" s="154" t="s">
        <v>5446</v>
      </c>
      <c r="J1432" s="154" t="s">
        <v>28</v>
      </c>
      <c r="K1432" s="171" t="s">
        <v>2426</v>
      </c>
      <c r="N1432" s="155"/>
      <c r="O1432" s="156"/>
      <c r="P1432" s="157"/>
      <c r="Q1432" s="158"/>
      <c r="R1432" s="159"/>
      <c r="S1432" s="160"/>
      <c r="T1432" s="161"/>
      <c r="U1432" s="156"/>
      <c r="V1432" s="162"/>
      <c r="W1432" s="163"/>
      <c r="X1432" s="164"/>
      <c r="Y1432" s="159"/>
      <c r="Z1432" s="161"/>
      <c r="AA1432" s="165"/>
      <c r="AD1432" s="154" t="s">
        <v>1025</v>
      </c>
      <c r="AE1432" s="155"/>
      <c r="AF1432" s="154" t="s">
        <v>5447</v>
      </c>
      <c r="AP1432" s="155"/>
      <c r="AQ1432" s="156"/>
      <c r="AR1432" s="157"/>
      <c r="AS1432" s="158"/>
      <c r="AT1432" s="159"/>
      <c r="AU1432" s="161"/>
      <c r="AV1432" s="156"/>
      <c r="AW1432" s="162"/>
      <c r="AX1432" s="163"/>
      <c r="AY1432" s="164"/>
      <c r="AZ1432" s="159"/>
      <c r="BA1432" s="161"/>
      <c r="BB1432" s="165"/>
      <c r="BF1432" s="155"/>
    </row>
    <row r="1433" spans="1:58" s="154" customFormat="1" ht="15" customHeight="1">
      <c r="A1433" s="168" t="s">
        <v>5089</v>
      </c>
      <c r="B1433" s="23" t="s">
        <v>5448</v>
      </c>
      <c r="C1433" s="154" t="s">
        <v>5250</v>
      </c>
      <c r="D1433" s="155">
        <v>58</v>
      </c>
      <c r="E1433" s="154">
        <v>3</v>
      </c>
      <c r="F1433" s="154" t="s">
        <v>5091</v>
      </c>
      <c r="G1433" s="154" t="s">
        <v>5449</v>
      </c>
      <c r="J1433" s="154" t="s">
        <v>28</v>
      </c>
      <c r="K1433" s="171" t="s">
        <v>2426</v>
      </c>
      <c r="N1433" s="155"/>
      <c r="O1433" s="156"/>
      <c r="P1433" s="157"/>
      <c r="Q1433" s="158"/>
      <c r="R1433" s="159"/>
      <c r="S1433" s="160"/>
      <c r="T1433" s="161"/>
      <c r="U1433" s="156"/>
      <c r="V1433" s="162"/>
      <c r="W1433" s="163"/>
      <c r="X1433" s="164"/>
      <c r="Y1433" s="159"/>
      <c r="Z1433" s="161"/>
      <c r="AA1433" s="165"/>
      <c r="AD1433" s="154" t="s">
        <v>1025</v>
      </c>
      <c r="AE1433" s="155"/>
      <c r="AF1433" s="154" t="s">
        <v>5450</v>
      </c>
      <c r="AP1433" s="155"/>
      <c r="AQ1433" s="156"/>
      <c r="AR1433" s="157"/>
      <c r="AS1433" s="158"/>
      <c r="AT1433" s="159"/>
      <c r="AU1433" s="161"/>
      <c r="AV1433" s="156"/>
      <c r="AW1433" s="162"/>
      <c r="AX1433" s="163"/>
      <c r="AY1433" s="164"/>
      <c r="AZ1433" s="159"/>
      <c r="BA1433" s="161"/>
      <c r="BB1433" s="165"/>
      <c r="BF1433" s="155"/>
    </row>
    <row r="1434" spans="1:58" s="154" customFormat="1" ht="15" customHeight="1">
      <c r="A1434" s="168" t="s">
        <v>5089</v>
      </c>
      <c r="B1434" s="23" t="s">
        <v>5451</v>
      </c>
      <c r="C1434" s="154" t="s">
        <v>5250</v>
      </c>
      <c r="D1434" s="155">
        <v>59</v>
      </c>
      <c r="E1434" s="154">
        <v>3</v>
      </c>
      <c r="F1434" s="154" t="s">
        <v>5091</v>
      </c>
      <c r="G1434" s="154" t="s">
        <v>5452</v>
      </c>
      <c r="J1434" s="154" t="s">
        <v>28</v>
      </c>
      <c r="K1434" s="154" t="s">
        <v>2426</v>
      </c>
      <c r="N1434" s="155"/>
      <c r="O1434" s="156"/>
      <c r="P1434" s="157"/>
      <c r="Q1434" s="158"/>
      <c r="R1434" s="159"/>
      <c r="S1434" s="160"/>
      <c r="T1434" s="161"/>
      <c r="U1434" s="156"/>
      <c r="V1434" s="162"/>
      <c r="W1434" s="163"/>
      <c r="X1434" s="164"/>
      <c r="Y1434" s="159"/>
      <c r="Z1434" s="161"/>
      <c r="AA1434" s="165"/>
      <c r="AD1434" s="154" t="s">
        <v>479</v>
      </c>
      <c r="AE1434" s="155"/>
      <c r="AF1434" s="154" t="s">
        <v>5453</v>
      </c>
      <c r="AP1434" s="155"/>
      <c r="AQ1434" s="156"/>
      <c r="AR1434" s="157"/>
      <c r="AS1434" s="158"/>
      <c r="AT1434" s="159"/>
      <c r="AU1434" s="161"/>
      <c r="AV1434" s="156"/>
      <c r="AW1434" s="162"/>
      <c r="AX1434" s="163"/>
      <c r="AY1434" s="164"/>
      <c r="AZ1434" s="159"/>
      <c r="BA1434" s="161"/>
      <c r="BB1434" s="165"/>
      <c r="BF1434" s="155"/>
    </row>
    <row r="1435" spans="1:58" s="154" customFormat="1" ht="15" customHeight="1">
      <c r="A1435" s="168" t="s">
        <v>5089</v>
      </c>
      <c r="B1435" s="23" t="s">
        <v>5454</v>
      </c>
      <c r="C1435" s="154" t="s">
        <v>5250</v>
      </c>
      <c r="D1435" s="155">
        <v>60</v>
      </c>
      <c r="E1435" s="154">
        <v>3</v>
      </c>
      <c r="F1435" s="154" t="s">
        <v>5091</v>
      </c>
      <c r="G1435" s="154" t="s">
        <v>5452</v>
      </c>
      <c r="J1435" s="154" t="s">
        <v>28</v>
      </c>
      <c r="K1435" s="154" t="s">
        <v>2426</v>
      </c>
      <c r="N1435" s="155"/>
      <c r="O1435" s="156"/>
      <c r="P1435" s="157"/>
      <c r="Q1435" s="158"/>
      <c r="R1435" s="159"/>
      <c r="S1435" s="160"/>
      <c r="T1435" s="161"/>
      <c r="U1435" s="156"/>
      <c r="V1435" s="162"/>
      <c r="W1435" s="163"/>
      <c r="X1435" s="164"/>
      <c r="Y1435" s="159"/>
      <c r="Z1435" s="161"/>
      <c r="AA1435" s="165"/>
      <c r="AD1435" s="154" t="s">
        <v>479</v>
      </c>
      <c r="AE1435" s="155"/>
      <c r="AF1435" s="154" t="s">
        <v>635</v>
      </c>
      <c r="AP1435" s="155"/>
      <c r="AQ1435" s="156"/>
      <c r="AR1435" s="157"/>
      <c r="AS1435" s="158"/>
      <c r="AT1435" s="159"/>
      <c r="AU1435" s="161"/>
      <c r="AV1435" s="156"/>
      <c r="AW1435" s="162"/>
      <c r="AX1435" s="163"/>
      <c r="AY1435" s="164"/>
      <c r="AZ1435" s="159"/>
      <c r="BA1435" s="161"/>
      <c r="BB1435" s="165"/>
      <c r="BF1435" s="155"/>
    </row>
    <row r="1436" spans="1:58" s="154" customFormat="1" ht="15" customHeight="1">
      <c r="A1436" s="168" t="s">
        <v>5089</v>
      </c>
      <c r="B1436" s="23" t="s">
        <v>5455</v>
      </c>
      <c r="C1436" s="154" t="s">
        <v>5250</v>
      </c>
      <c r="D1436" s="155">
        <v>61</v>
      </c>
      <c r="E1436" s="154">
        <v>3</v>
      </c>
      <c r="F1436" s="154" t="s">
        <v>5091</v>
      </c>
      <c r="G1436" s="154" t="s">
        <v>5456</v>
      </c>
      <c r="J1436" s="154" t="s">
        <v>28</v>
      </c>
      <c r="K1436" s="154" t="s">
        <v>2426</v>
      </c>
      <c r="N1436" s="155"/>
      <c r="O1436" s="156"/>
      <c r="P1436" s="157"/>
      <c r="Q1436" s="158"/>
      <c r="R1436" s="159"/>
      <c r="S1436" s="160"/>
      <c r="T1436" s="161"/>
      <c r="U1436" s="156"/>
      <c r="V1436" s="162"/>
      <c r="W1436" s="163"/>
      <c r="X1436" s="164"/>
      <c r="Y1436" s="159"/>
      <c r="Z1436" s="161"/>
      <c r="AA1436" s="165"/>
      <c r="AD1436" s="154" t="s">
        <v>486</v>
      </c>
      <c r="AE1436" s="155"/>
      <c r="AF1436" s="154" t="s">
        <v>5457</v>
      </c>
      <c r="AP1436" s="155"/>
      <c r="AQ1436" s="156"/>
      <c r="AR1436" s="157"/>
      <c r="AS1436" s="158"/>
      <c r="AT1436" s="159"/>
      <c r="AU1436" s="161"/>
      <c r="AV1436" s="156"/>
      <c r="AW1436" s="162"/>
      <c r="AX1436" s="163"/>
      <c r="AY1436" s="164"/>
      <c r="AZ1436" s="159"/>
      <c r="BA1436" s="161"/>
      <c r="BB1436" s="165"/>
      <c r="BF1436" s="155"/>
    </row>
    <row r="1437" spans="1:58" s="171" customFormat="1" ht="15" customHeight="1">
      <c r="A1437" s="153" t="s">
        <v>5461</v>
      </c>
      <c r="B1437" s="154" t="s">
        <v>5464</v>
      </c>
      <c r="C1437" s="154" t="s">
        <v>5491</v>
      </c>
      <c r="D1437" s="170">
        <v>1</v>
      </c>
      <c r="E1437" s="171">
        <v>2</v>
      </c>
      <c r="F1437" s="154"/>
      <c r="G1437" s="171" t="s">
        <v>1812</v>
      </c>
      <c r="J1437" s="171" t="s">
        <v>257</v>
      </c>
      <c r="K1437" s="171" t="s">
        <v>198</v>
      </c>
      <c r="L1437" s="171">
        <v>2</v>
      </c>
      <c r="N1437" s="170">
        <v>2</v>
      </c>
      <c r="O1437" s="156">
        <v>1</v>
      </c>
      <c r="P1437" s="157"/>
      <c r="Q1437" s="158">
        <v>1</v>
      </c>
      <c r="R1437" s="159"/>
      <c r="S1437" s="160"/>
      <c r="T1437" s="161"/>
      <c r="U1437" s="156"/>
      <c r="V1437" s="162"/>
      <c r="W1437" s="163"/>
      <c r="X1437" s="164"/>
      <c r="Y1437" s="159"/>
      <c r="Z1437" s="161"/>
      <c r="AA1437" s="165"/>
      <c r="AB1437" s="171" t="s">
        <v>1083</v>
      </c>
      <c r="AC1437" s="171" t="s">
        <v>393</v>
      </c>
      <c r="AD1437" s="171" t="s">
        <v>265</v>
      </c>
      <c r="AE1437" s="170"/>
      <c r="AF1437" s="171" t="s">
        <v>5465</v>
      </c>
      <c r="AQ1437" s="156"/>
      <c r="AR1437" s="157"/>
      <c r="AS1437" s="158"/>
      <c r="AT1437" s="159"/>
      <c r="AU1437" s="161"/>
      <c r="AV1437" s="156"/>
      <c r="AW1437" s="162"/>
      <c r="AX1437" s="163"/>
      <c r="AY1437" s="164"/>
      <c r="AZ1437" s="159"/>
      <c r="BA1437" s="161"/>
      <c r="BB1437" s="165"/>
      <c r="BF1437" s="170"/>
    </row>
    <row r="1438" spans="1:58" s="154" customFormat="1" ht="15" customHeight="1">
      <c r="A1438" s="153" t="s">
        <v>5461</v>
      </c>
      <c r="B1438" s="154" t="s">
        <v>5466</v>
      </c>
      <c r="C1438" s="154" t="s">
        <v>5491</v>
      </c>
      <c r="D1438" s="170">
        <v>2</v>
      </c>
      <c r="E1438" s="154">
        <v>2</v>
      </c>
      <c r="G1438" s="154" t="s">
        <v>1380</v>
      </c>
      <c r="J1438" s="171" t="s">
        <v>257</v>
      </c>
      <c r="K1438" s="154" t="s">
        <v>198</v>
      </c>
      <c r="L1438" s="154">
        <v>2</v>
      </c>
      <c r="N1438" s="155">
        <v>2</v>
      </c>
      <c r="O1438" s="156"/>
      <c r="P1438" s="157"/>
      <c r="Q1438" s="158">
        <v>1</v>
      </c>
      <c r="R1438" s="159">
        <v>1</v>
      </c>
      <c r="S1438" s="160"/>
      <c r="T1438" s="161"/>
      <c r="U1438" s="156"/>
      <c r="V1438" s="162"/>
      <c r="W1438" s="163"/>
      <c r="X1438" s="164"/>
      <c r="Y1438" s="159"/>
      <c r="Z1438" s="161"/>
      <c r="AA1438" s="165"/>
      <c r="AB1438" s="154" t="s">
        <v>1087</v>
      </c>
      <c r="AC1438" s="154" t="s">
        <v>258</v>
      </c>
      <c r="AD1438" s="154" t="s">
        <v>298</v>
      </c>
      <c r="AE1438" s="155"/>
      <c r="AF1438" s="154" t="s">
        <v>5467</v>
      </c>
      <c r="AL1438" s="171"/>
      <c r="AO1438" s="155"/>
      <c r="AP1438" s="155"/>
      <c r="AQ1438" s="156"/>
      <c r="AR1438" s="157"/>
      <c r="AS1438" s="158"/>
      <c r="AT1438" s="159"/>
      <c r="AU1438" s="161"/>
      <c r="AV1438" s="156"/>
      <c r="AW1438" s="162"/>
      <c r="AX1438" s="163"/>
      <c r="AY1438" s="164"/>
      <c r="AZ1438" s="159"/>
      <c r="BA1438" s="161"/>
      <c r="BB1438" s="165"/>
      <c r="BE1438" s="155"/>
    </row>
    <row r="1439" spans="1:58" s="154" customFormat="1" ht="15" customHeight="1">
      <c r="A1439" s="153" t="s">
        <v>5461</v>
      </c>
      <c r="B1439" s="153" t="s">
        <v>5468</v>
      </c>
      <c r="C1439" s="154" t="s">
        <v>5491</v>
      </c>
      <c r="D1439" s="170">
        <v>3</v>
      </c>
      <c r="E1439" s="154">
        <v>2</v>
      </c>
      <c r="G1439" s="154" t="s">
        <v>1987</v>
      </c>
      <c r="J1439" s="171" t="s">
        <v>27</v>
      </c>
      <c r="K1439" s="154" t="s">
        <v>199</v>
      </c>
      <c r="L1439" s="154">
        <v>2</v>
      </c>
      <c r="N1439" s="155">
        <v>0</v>
      </c>
      <c r="O1439" s="156">
        <v>1</v>
      </c>
      <c r="P1439" s="157">
        <v>1</v>
      </c>
      <c r="Q1439" s="158"/>
      <c r="R1439" s="159"/>
      <c r="S1439" s="160"/>
      <c r="T1439" s="161"/>
      <c r="U1439" s="156"/>
      <c r="V1439" s="162"/>
      <c r="W1439" s="163"/>
      <c r="X1439" s="164"/>
      <c r="Y1439" s="159"/>
      <c r="Z1439" s="161"/>
      <c r="AA1439" s="165"/>
      <c r="AB1439" s="154" t="s">
        <v>1092</v>
      </c>
      <c r="AD1439" s="154" t="s">
        <v>340</v>
      </c>
      <c r="AE1439" s="155"/>
      <c r="AF1439" s="154" t="s">
        <v>5469</v>
      </c>
      <c r="AL1439" s="171"/>
      <c r="AO1439" s="155"/>
      <c r="AP1439" s="155"/>
      <c r="AQ1439" s="156"/>
      <c r="AR1439" s="157"/>
      <c r="AS1439" s="158"/>
      <c r="AT1439" s="159"/>
      <c r="AU1439" s="161"/>
      <c r="AV1439" s="156"/>
      <c r="AW1439" s="162"/>
      <c r="AX1439" s="163"/>
      <c r="AY1439" s="164"/>
      <c r="AZ1439" s="159"/>
      <c r="BA1439" s="161"/>
      <c r="BB1439" s="165"/>
      <c r="BE1439" s="155"/>
    </row>
    <row r="1440" spans="1:58" s="154" customFormat="1" ht="15" customHeight="1">
      <c r="A1440" s="153" t="s">
        <v>5461</v>
      </c>
      <c r="B1440" s="153" t="s">
        <v>5470</v>
      </c>
      <c r="C1440" s="154" t="s">
        <v>5491</v>
      </c>
      <c r="D1440" s="170">
        <v>4</v>
      </c>
      <c r="E1440" s="154">
        <v>2</v>
      </c>
      <c r="G1440" s="154" t="s">
        <v>1396</v>
      </c>
      <c r="H1440" s="154" t="s">
        <v>5471</v>
      </c>
      <c r="J1440" s="171" t="s">
        <v>257</v>
      </c>
      <c r="K1440" s="154" t="s">
        <v>199</v>
      </c>
      <c r="L1440" s="154">
        <v>4</v>
      </c>
      <c r="N1440" s="155">
        <v>1</v>
      </c>
      <c r="O1440" s="156"/>
      <c r="P1440" s="157">
        <v>2</v>
      </c>
      <c r="Q1440" s="158"/>
      <c r="R1440" s="159"/>
      <c r="S1440" s="160"/>
      <c r="T1440" s="161"/>
      <c r="U1440" s="156"/>
      <c r="V1440" s="162"/>
      <c r="W1440" s="163"/>
      <c r="X1440" s="164"/>
      <c r="Y1440" s="159"/>
      <c r="Z1440" s="161"/>
      <c r="AA1440" s="165"/>
      <c r="AB1440" s="154" t="s">
        <v>1084</v>
      </c>
      <c r="AD1440" s="154" t="s">
        <v>1398</v>
      </c>
      <c r="AE1440" s="155"/>
      <c r="AF1440" s="154" t="s">
        <v>5472</v>
      </c>
      <c r="AL1440" s="171"/>
      <c r="AO1440" s="155"/>
      <c r="AP1440" s="155"/>
      <c r="AQ1440" s="156"/>
      <c r="AR1440" s="157"/>
      <c r="AS1440" s="158"/>
      <c r="AT1440" s="159"/>
      <c r="AU1440" s="161"/>
      <c r="AV1440" s="156"/>
      <c r="AW1440" s="162"/>
      <c r="AX1440" s="163"/>
      <c r="AY1440" s="164"/>
      <c r="AZ1440" s="159"/>
      <c r="BA1440" s="161"/>
      <c r="BB1440" s="165"/>
      <c r="BE1440" s="155"/>
    </row>
    <row r="1441" spans="1:59" s="154" customFormat="1" ht="15" customHeight="1">
      <c r="A1441" s="153" t="s">
        <v>5461</v>
      </c>
      <c r="B1441" s="153" t="s">
        <v>5473</v>
      </c>
      <c r="C1441" s="154" t="s">
        <v>5491</v>
      </c>
      <c r="D1441" s="170">
        <v>5</v>
      </c>
      <c r="E1441" s="154">
        <v>2</v>
      </c>
      <c r="G1441" s="154" t="s">
        <v>1730</v>
      </c>
      <c r="J1441" s="154" t="s">
        <v>27</v>
      </c>
      <c r="K1441" s="154" t="s">
        <v>201</v>
      </c>
      <c r="L1441" s="154">
        <v>2</v>
      </c>
      <c r="N1441" s="154">
        <v>3</v>
      </c>
      <c r="O1441" s="156">
        <v>1</v>
      </c>
      <c r="P1441" s="157">
        <v>2</v>
      </c>
      <c r="Q1441" s="158"/>
      <c r="R1441" s="159"/>
      <c r="S1441" s="160"/>
      <c r="T1441" s="161"/>
      <c r="U1441" s="156"/>
      <c r="V1441" s="162"/>
      <c r="W1441" s="163"/>
      <c r="X1441" s="164"/>
      <c r="Y1441" s="159"/>
      <c r="Z1441" s="161"/>
      <c r="AA1441" s="165"/>
      <c r="AB1441" s="154" t="s">
        <v>2399</v>
      </c>
      <c r="AD1441" s="154" t="s">
        <v>1731</v>
      </c>
      <c r="AF1441" s="154" t="s">
        <v>5474</v>
      </c>
      <c r="AO1441" s="155"/>
      <c r="AQ1441" s="156"/>
      <c r="AR1441" s="157"/>
      <c r="AS1441" s="158"/>
      <c r="AT1441" s="159"/>
      <c r="AU1441" s="161"/>
      <c r="AV1441" s="156"/>
      <c r="AW1441" s="162"/>
      <c r="AX1441" s="163"/>
      <c r="AY1441" s="164"/>
      <c r="AZ1441" s="159"/>
      <c r="BA1441" s="161"/>
      <c r="BB1441" s="165"/>
      <c r="BE1441" s="155"/>
    </row>
    <row r="1442" spans="1:59" s="154" customFormat="1" ht="15" customHeight="1">
      <c r="A1442" s="153" t="s">
        <v>5461</v>
      </c>
      <c r="B1442" s="169" t="s">
        <v>5475</v>
      </c>
      <c r="C1442" s="154" t="s">
        <v>5491</v>
      </c>
      <c r="D1442" s="170">
        <v>6</v>
      </c>
      <c r="E1442" s="154">
        <v>2</v>
      </c>
      <c r="G1442" s="154" t="s">
        <v>1411</v>
      </c>
      <c r="J1442" s="154" t="s">
        <v>27</v>
      </c>
      <c r="K1442" s="154" t="s">
        <v>201</v>
      </c>
      <c r="L1442" s="154">
        <v>2</v>
      </c>
      <c r="N1442" s="154">
        <v>0</v>
      </c>
      <c r="O1442" s="156"/>
      <c r="P1442" s="157">
        <v>1</v>
      </c>
      <c r="Q1442" s="158"/>
      <c r="R1442" s="159">
        <v>2</v>
      </c>
      <c r="S1442" s="160"/>
      <c r="T1442" s="161"/>
      <c r="U1442" s="156"/>
      <c r="V1442" s="162"/>
      <c r="W1442" s="163"/>
      <c r="X1442" s="164"/>
      <c r="Y1442" s="159"/>
      <c r="Z1442" s="161"/>
      <c r="AA1442" s="165"/>
      <c r="AB1442" s="154" t="s">
        <v>5476</v>
      </c>
      <c r="AD1442" s="154" t="s">
        <v>1412</v>
      </c>
      <c r="AF1442" s="154" t="s">
        <v>5477</v>
      </c>
      <c r="AO1442" s="155"/>
      <c r="AQ1442" s="156"/>
      <c r="AR1442" s="157"/>
      <c r="AS1442" s="158"/>
      <c r="AT1442" s="159"/>
      <c r="AU1442" s="161"/>
      <c r="AV1442" s="156"/>
      <c r="AW1442" s="162"/>
      <c r="AX1442" s="163"/>
      <c r="AY1442" s="164"/>
      <c r="AZ1442" s="159"/>
      <c r="BA1442" s="161"/>
      <c r="BB1442" s="165"/>
      <c r="BE1442" s="155"/>
    </row>
    <row r="1443" spans="1:59" s="154" customFormat="1" ht="15" customHeight="1">
      <c r="A1443" s="153" t="s">
        <v>5461</v>
      </c>
      <c r="B1443" s="169" t="s">
        <v>5478</v>
      </c>
      <c r="C1443" s="154" t="s">
        <v>5491</v>
      </c>
      <c r="D1443" s="170">
        <v>7</v>
      </c>
      <c r="E1443" s="154">
        <v>2</v>
      </c>
      <c r="G1443" s="154" t="s">
        <v>1421</v>
      </c>
      <c r="J1443" s="154" t="s">
        <v>257</v>
      </c>
      <c r="K1443" s="154" t="s">
        <v>200</v>
      </c>
      <c r="L1443" s="154">
        <v>2</v>
      </c>
      <c r="N1443" s="154">
        <v>4</v>
      </c>
      <c r="O1443" s="156"/>
      <c r="P1443" s="157">
        <v>1</v>
      </c>
      <c r="Q1443" s="158"/>
      <c r="R1443" s="159"/>
      <c r="S1443" s="160"/>
      <c r="T1443" s="161"/>
      <c r="U1443" s="156"/>
      <c r="V1443" s="162"/>
      <c r="W1443" s="163"/>
      <c r="X1443" s="164"/>
      <c r="Y1443" s="159"/>
      <c r="Z1443" s="161"/>
      <c r="AA1443" s="165"/>
      <c r="AB1443" s="154" t="s">
        <v>205</v>
      </c>
      <c r="AC1443" s="154" t="s">
        <v>378</v>
      </c>
      <c r="AD1443" s="154" t="s">
        <v>279</v>
      </c>
      <c r="AF1443" s="154" t="s">
        <v>5479</v>
      </c>
      <c r="AO1443" s="155"/>
      <c r="AQ1443" s="156"/>
      <c r="AR1443" s="157"/>
      <c r="AS1443" s="158"/>
      <c r="AT1443" s="159"/>
      <c r="AU1443" s="161"/>
      <c r="AV1443" s="156"/>
      <c r="AW1443" s="162"/>
      <c r="AX1443" s="163"/>
      <c r="AY1443" s="164"/>
      <c r="AZ1443" s="159"/>
      <c r="BA1443" s="161"/>
      <c r="BB1443" s="165"/>
      <c r="BE1443" s="155"/>
    </row>
    <row r="1444" spans="1:59" s="154" customFormat="1" ht="15" customHeight="1">
      <c r="A1444" s="153" t="s">
        <v>5461</v>
      </c>
      <c r="B1444" s="153" t="s">
        <v>5480</v>
      </c>
      <c r="C1444" s="154" t="s">
        <v>5491</v>
      </c>
      <c r="D1444" s="170">
        <v>8</v>
      </c>
      <c r="E1444" s="154">
        <v>2</v>
      </c>
      <c r="G1444" s="154" t="s">
        <v>1427</v>
      </c>
      <c r="J1444" s="154" t="s">
        <v>257</v>
      </c>
      <c r="K1444" s="154" t="s">
        <v>200</v>
      </c>
      <c r="L1444" s="154">
        <v>3</v>
      </c>
      <c r="N1444" s="154">
        <v>2</v>
      </c>
      <c r="O1444" s="156">
        <v>2</v>
      </c>
      <c r="P1444" s="157"/>
      <c r="Q1444" s="158"/>
      <c r="R1444" s="159"/>
      <c r="S1444" s="160"/>
      <c r="T1444" s="161"/>
      <c r="U1444" s="156"/>
      <c r="V1444" s="162"/>
      <c r="W1444" s="163"/>
      <c r="X1444" s="164"/>
      <c r="Y1444" s="159"/>
      <c r="Z1444" s="161"/>
      <c r="AA1444" s="165"/>
      <c r="AB1444" s="154" t="s">
        <v>1094</v>
      </c>
      <c r="AC1444" s="154" t="s">
        <v>378</v>
      </c>
      <c r="AD1444" s="154" t="s">
        <v>279</v>
      </c>
      <c r="AF1444" s="154" t="s">
        <v>5481</v>
      </c>
      <c r="AO1444" s="155"/>
      <c r="AQ1444" s="156"/>
      <c r="AR1444" s="157"/>
      <c r="AS1444" s="158"/>
      <c r="AT1444" s="159"/>
      <c r="AU1444" s="161"/>
      <c r="AV1444" s="156"/>
      <c r="AW1444" s="162"/>
      <c r="AX1444" s="163"/>
      <c r="AY1444" s="164"/>
      <c r="AZ1444" s="159"/>
      <c r="BA1444" s="161"/>
      <c r="BB1444" s="165"/>
      <c r="BE1444" s="155"/>
    </row>
    <row r="1445" spans="1:59" s="154" customFormat="1" ht="15" customHeight="1">
      <c r="A1445" s="153" t="s">
        <v>5461</v>
      </c>
      <c r="B1445" s="153" t="s">
        <v>5482</v>
      </c>
      <c r="C1445" s="154" t="s">
        <v>5491</v>
      </c>
      <c r="D1445" s="170">
        <v>9</v>
      </c>
      <c r="E1445" s="154">
        <v>2</v>
      </c>
      <c r="G1445" s="154" t="s">
        <v>1738</v>
      </c>
      <c r="J1445" s="154" t="s">
        <v>27</v>
      </c>
      <c r="K1445" s="154" t="s">
        <v>202</v>
      </c>
      <c r="L1445" s="154">
        <v>2</v>
      </c>
      <c r="N1445" s="172">
        <v>2</v>
      </c>
      <c r="O1445" s="156"/>
      <c r="P1445" s="157"/>
      <c r="Q1445" s="158">
        <v>2</v>
      </c>
      <c r="R1445" s="159">
        <v>1</v>
      </c>
      <c r="S1445" s="160"/>
      <c r="T1445" s="161"/>
      <c r="U1445" s="156"/>
      <c r="V1445" s="162"/>
      <c r="W1445" s="163"/>
      <c r="X1445" s="164"/>
      <c r="Y1445" s="159"/>
      <c r="Z1445" s="161"/>
      <c r="AA1445" s="165"/>
      <c r="AB1445" s="154" t="s">
        <v>5483</v>
      </c>
      <c r="AD1445" s="154" t="s">
        <v>372</v>
      </c>
      <c r="AF1445" s="154" t="s">
        <v>5484</v>
      </c>
      <c r="AO1445" s="155"/>
      <c r="AQ1445" s="156"/>
      <c r="AR1445" s="157"/>
      <c r="AS1445" s="158"/>
      <c r="AT1445" s="159"/>
      <c r="AU1445" s="161"/>
      <c r="AV1445" s="156"/>
      <c r="AW1445" s="162"/>
      <c r="AX1445" s="163"/>
      <c r="AY1445" s="164"/>
      <c r="AZ1445" s="159"/>
      <c r="BA1445" s="161"/>
      <c r="BB1445" s="165"/>
      <c r="BE1445" s="155"/>
    </row>
    <row r="1446" spans="1:59" s="154" customFormat="1" ht="15" customHeight="1">
      <c r="A1446" s="153" t="s">
        <v>5461</v>
      </c>
      <c r="B1446" s="153" t="s">
        <v>5485</v>
      </c>
      <c r="C1446" s="154" t="s">
        <v>5491</v>
      </c>
      <c r="D1446" s="170">
        <v>10</v>
      </c>
      <c r="E1446" s="154">
        <v>2</v>
      </c>
      <c r="G1446" s="154" t="s">
        <v>1995</v>
      </c>
      <c r="J1446" s="154" t="s">
        <v>312</v>
      </c>
      <c r="K1446" s="154" t="s">
        <v>202</v>
      </c>
      <c r="L1446" s="154">
        <v>3</v>
      </c>
      <c r="N1446" s="154">
        <v>1</v>
      </c>
      <c r="O1446" s="156"/>
      <c r="P1446" s="157"/>
      <c r="Q1446" s="158"/>
      <c r="R1446" s="159"/>
      <c r="S1446" s="160">
        <v>2</v>
      </c>
      <c r="T1446" s="161"/>
      <c r="U1446" s="156"/>
      <c r="V1446" s="162"/>
      <c r="W1446" s="163"/>
      <c r="X1446" s="164"/>
      <c r="Y1446" s="159"/>
      <c r="Z1446" s="161"/>
      <c r="AA1446" s="165"/>
      <c r="AB1446" s="154" t="s">
        <v>1082</v>
      </c>
      <c r="AC1446" s="154" t="s">
        <v>275</v>
      </c>
      <c r="AD1446" s="154" t="s">
        <v>412</v>
      </c>
      <c r="AF1446" s="154" t="s">
        <v>5486</v>
      </c>
      <c r="AO1446" s="155"/>
      <c r="AQ1446" s="156"/>
      <c r="AR1446" s="157"/>
      <c r="AS1446" s="158"/>
      <c r="AT1446" s="159"/>
      <c r="AU1446" s="161"/>
      <c r="AV1446" s="156"/>
      <c r="AW1446" s="162"/>
      <c r="AX1446" s="163"/>
      <c r="AY1446" s="164"/>
      <c r="AZ1446" s="159"/>
      <c r="BA1446" s="161"/>
      <c r="BB1446" s="165"/>
      <c r="BE1446" s="155"/>
    </row>
    <row r="1447" spans="1:59" s="154" customFormat="1" ht="15" customHeight="1">
      <c r="A1447" s="153" t="s">
        <v>5461</v>
      </c>
      <c r="B1447" s="153" t="s">
        <v>5487</v>
      </c>
      <c r="C1447" s="154" t="s">
        <v>5491</v>
      </c>
      <c r="D1447" s="170">
        <v>11</v>
      </c>
      <c r="E1447" s="154">
        <v>2</v>
      </c>
      <c r="G1447" s="154" t="s">
        <v>5488</v>
      </c>
      <c r="J1447" s="154" t="s">
        <v>28</v>
      </c>
      <c r="K1447" s="154" t="s">
        <v>26</v>
      </c>
      <c r="M1447" s="154" t="s">
        <v>691</v>
      </c>
      <c r="O1447" s="156"/>
      <c r="P1447" s="157"/>
      <c r="Q1447" s="158"/>
      <c r="R1447" s="159"/>
      <c r="S1447" s="160"/>
      <c r="T1447" s="161"/>
      <c r="U1447" s="156"/>
      <c r="V1447" s="162"/>
      <c r="W1447" s="163"/>
      <c r="X1447" s="164"/>
      <c r="Y1447" s="159"/>
      <c r="Z1447" s="161"/>
      <c r="AA1447" s="165"/>
      <c r="AD1447" s="154" t="s">
        <v>5489</v>
      </c>
      <c r="AF1447" s="154" t="s">
        <v>5490</v>
      </c>
      <c r="AO1447" s="155"/>
      <c r="AQ1447" s="156"/>
      <c r="AR1447" s="157"/>
      <c r="AS1447" s="158"/>
      <c r="AT1447" s="159"/>
      <c r="AU1447" s="161"/>
      <c r="AV1447" s="156"/>
      <c r="AW1447" s="162"/>
      <c r="AX1447" s="163"/>
      <c r="AY1447" s="164"/>
      <c r="AZ1447" s="159"/>
      <c r="BA1447" s="161"/>
      <c r="BB1447" s="165"/>
      <c r="BE1447" s="155"/>
    </row>
    <row r="1448" spans="1:59" s="171" customFormat="1" ht="15" customHeight="1">
      <c r="A1448" s="153" t="s">
        <v>5461</v>
      </c>
      <c r="B1448" s="154" t="s">
        <v>5492</v>
      </c>
      <c r="C1448" s="154" t="s">
        <v>5491</v>
      </c>
      <c r="D1448" s="170">
        <v>12</v>
      </c>
      <c r="E1448" s="171">
        <v>1</v>
      </c>
      <c r="F1448" s="171" t="s">
        <v>5493</v>
      </c>
      <c r="G1448" s="171" t="s">
        <v>5493</v>
      </c>
      <c r="J1448" s="171" t="s">
        <v>618</v>
      </c>
      <c r="K1448" s="171" t="s">
        <v>2426</v>
      </c>
      <c r="N1448" s="170"/>
      <c r="O1448" s="156"/>
      <c r="P1448" s="157"/>
      <c r="Q1448" s="158"/>
      <c r="R1448" s="159"/>
      <c r="S1448" s="160"/>
      <c r="T1448" s="161"/>
      <c r="U1448" s="156"/>
      <c r="V1448" s="162"/>
      <c r="W1448" s="163"/>
      <c r="X1448" s="164"/>
      <c r="Y1448" s="159"/>
      <c r="Z1448" s="161"/>
      <c r="AA1448" s="165"/>
      <c r="AE1448" s="170"/>
      <c r="AF1448" s="171" t="s">
        <v>5632</v>
      </c>
      <c r="AI1448" s="171" t="s">
        <v>5493</v>
      </c>
      <c r="AL1448" s="171" t="s">
        <v>618</v>
      </c>
      <c r="AM1448" s="171" t="s">
        <v>2426</v>
      </c>
      <c r="AQ1448" s="156"/>
      <c r="AR1448" s="157"/>
      <c r="AS1448" s="158"/>
      <c r="AT1448" s="159"/>
      <c r="AU1448" s="161"/>
      <c r="AV1448" s="156"/>
      <c r="AW1448" s="162"/>
      <c r="AX1448" s="163"/>
      <c r="AY1448" s="164"/>
      <c r="AZ1448" s="159"/>
      <c r="BA1448" s="161"/>
      <c r="BB1448" s="165"/>
      <c r="BF1448" s="170"/>
      <c r="BG1448" s="171" t="s">
        <v>5633</v>
      </c>
    </row>
    <row r="1449" spans="1:59" s="154" customFormat="1" ht="15" customHeight="1">
      <c r="A1449" s="153" t="s">
        <v>5461</v>
      </c>
      <c r="B1449" s="154" t="s">
        <v>5494</v>
      </c>
      <c r="C1449" s="154" t="s">
        <v>5491</v>
      </c>
      <c r="D1449" s="170">
        <v>13</v>
      </c>
      <c r="E1449" s="154">
        <v>1</v>
      </c>
      <c r="F1449" s="171" t="s">
        <v>5493</v>
      </c>
      <c r="G1449" s="154" t="s">
        <v>5495</v>
      </c>
      <c r="J1449" s="171" t="s">
        <v>31</v>
      </c>
      <c r="K1449" s="154" t="s">
        <v>2426</v>
      </c>
      <c r="N1449" s="155"/>
      <c r="O1449" s="156"/>
      <c r="P1449" s="157"/>
      <c r="Q1449" s="158"/>
      <c r="R1449" s="159"/>
      <c r="S1449" s="160"/>
      <c r="T1449" s="161"/>
      <c r="U1449" s="156"/>
      <c r="V1449" s="162"/>
      <c r="W1449" s="163"/>
      <c r="X1449" s="164"/>
      <c r="Y1449" s="159"/>
      <c r="Z1449" s="161"/>
      <c r="AA1449" s="165"/>
      <c r="AD1449" s="154" t="s">
        <v>242</v>
      </c>
      <c r="AE1449" s="155"/>
      <c r="AI1449" s="154" t="s">
        <v>5495</v>
      </c>
      <c r="AL1449" s="171" t="s">
        <v>31</v>
      </c>
      <c r="AM1449" s="154" t="s">
        <v>2426</v>
      </c>
      <c r="AO1449" s="155"/>
      <c r="AP1449" s="155"/>
      <c r="AQ1449" s="156"/>
      <c r="AR1449" s="157"/>
      <c r="AS1449" s="158"/>
      <c r="AT1449" s="159"/>
      <c r="AU1449" s="161"/>
      <c r="AV1449" s="156"/>
      <c r="AW1449" s="162"/>
      <c r="AX1449" s="163"/>
      <c r="AY1449" s="164">
        <v>4</v>
      </c>
      <c r="AZ1449" s="159" t="s">
        <v>1073</v>
      </c>
      <c r="BA1449" s="161"/>
      <c r="BB1449" s="165"/>
      <c r="BE1449" s="155" t="s">
        <v>242</v>
      </c>
      <c r="BG1449" s="154" t="s">
        <v>5634</v>
      </c>
    </row>
    <row r="1450" spans="1:59" s="154" customFormat="1" ht="15" customHeight="1">
      <c r="A1450" s="153" t="s">
        <v>5461</v>
      </c>
      <c r="B1450" s="153" t="s">
        <v>5496</v>
      </c>
      <c r="C1450" s="154" t="s">
        <v>5491</v>
      </c>
      <c r="D1450" s="170">
        <v>14</v>
      </c>
      <c r="E1450" s="154">
        <v>2</v>
      </c>
      <c r="F1450" s="171" t="s">
        <v>5493</v>
      </c>
      <c r="G1450" s="154" t="s">
        <v>5497</v>
      </c>
      <c r="J1450" s="171" t="s">
        <v>29</v>
      </c>
      <c r="K1450" s="154" t="s">
        <v>2426</v>
      </c>
      <c r="N1450" s="155"/>
      <c r="O1450" s="156"/>
      <c r="P1450" s="157"/>
      <c r="Q1450" s="158">
        <v>2</v>
      </c>
      <c r="R1450" s="159">
        <v>4</v>
      </c>
      <c r="S1450" s="160"/>
      <c r="T1450" s="161">
        <v>3</v>
      </c>
      <c r="U1450" s="156"/>
      <c r="V1450" s="162">
        <v>1</v>
      </c>
      <c r="W1450" s="163"/>
      <c r="X1450" s="164"/>
      <c r="Y1450" s="159"/>
      <c r="Z1450" s="161"/>
      <c r="AA1450" s="165"/>
      <c r="AD1450" s="154" t="s">
        <v>5498</v>
      </c>
      <c r="AE1450" s="155"/>
      <c r="AF1450" s="154" t="s">
        <v>5635</v>
      </c>
      <c r="AL1450" s="171"/>
      <c r="AO1450" s="155"/>
      <c r="AP1450" s="155"/>
      <c r="AQ1450" s="156"/>
      <c r="AR1450" s="157"/>
      <c r="AS1450" s="158"/>
      <c r="AT1450" s="159"/>
      <c r="AU1450" s="161"/>
      <c r="AV1450" s="156"/>
      <c r="AW1450" s="162"/>
      <c r="AX1450" s="163"/>
      <c r="AY1450" s="164"/>
      <c r="AZ1450" s="159"/>
      <c r="BA1450" s="161"/>
      <c r="BB1450" s="165"/>
      <c r="BE1450" s="155"/>
    </row>
    <row r="1451" spans="1:59" s="154" customFormat="1" ht="15" customHeight="1">
      <c r="A1451" s="153" t="s">
        <v>5461</v>
      </c>
      <c r="B1451" s="153" t="s">
        <v>5499</v>
      </c>
      <c r="C1451" s="154" t="s">
        <v>5491</v>
      </c>
      <c r="D1451" s="170">
        <v>15</v>
      </c>
      <c r="E1451" s="154">
        <v>1</v>
      </c>
      <c r="F1451" s="154" t="s">
        <v>5500</v>
      </c>
      <c r="G1451" s="154" t="s">
        <v>5500</v>
      </c>
      <c r="J1451" s="171" t="s">
        <v>618</v>
      </c>
      <c r="K1451" s="154" t="s">
        <v>2426</v>
      </c>
      <c r="N1451" s="155"/>
      <c r="O1451" s="156"/>
      <c r="P1451" s="157"/>
      <c r="Q1451" s="158"/>
      <c r="R1451" s="159"/>
      <c r="S1451" s="160"/>
      <c r="T1451" s="161"/>
      <c r="U1451" s="156"/>
      <c r="V1451" s="162"/>
      <c r="W1451" s="163"/>
      <c r="X1451" s="164"/>
      <c r="Y1451" s="159"/>
      <c r="Z1451" s="161"/>
      <c r="AA1451" s="165"/>
      <c r="AE1451" s="155"/>
      <c r="AF1451" s="154" t="s">
        <v>5636</v>
      </c>
      <c r="AI1451" s="154" t="s">
        <v>5500</v>
      </c>
      <c r="AL1451" s="171" t="s">
        <v>618</v>
      </c>
      <c r="AM1451" s="154" t="s">
        <v>2426</v>
      </c>
      <c r="AO1451" s="155"/>
      <c r="AP1451" s="155"/>
      <c r="AQ1451" s="156"/>
      <c r="AR1451" s="157"/>
      <c r="AS1451" s="158"/>
      <c r="AT1451" s="159"/>
      <c r="AU1451" s="161"/>
      <c r="AV1451" s="156"/>
      <c r="AW1451" s="162"/>
      <c r="AX1451" s="163"/>
      <c r="AY1451" s="164"/>
      <c r="AZ1451" s="159"/>
      <c r="BA1451" s="161"/>
      <c r="BB1451" s="165"/>
      <c r="BE1451" s="155"/>
      <c r="BG1451" s="154" t="s">
        <v>5501</v>
      </c>
    </row>
    <row r="1452" spans="1:59" s="154" customFormat="1" ht="15" customHeight="1">
      <c r="A1452" s="153" t="s">
        <v>5461</v>
      </c>
      <c r="B1452" s="153" t="s">
        <v>5502</v>
      </c>
      <c r="C1452" s="154" t="s">
        <v>5491</v>
      </c>
      <c r="D1452" s="170">
        <v>16</v>
      </c>
      <c r="E1452" s="154">
        <v>1</v>
      </c>
      <c r="F1452" s="154" t="s">
        <v>5500</v>
      </c>
      <c r="G1452" s="154" t="s">
        <v>1571</v>
      </c>
      <c r="J1452" s="154" t="s">
        <v>31</v>
      </c>
      <c r="K1452" s="154" t="s">
        <v>2426</v>
      </c>
      <c r="O1452" s="156"/>
      <c r="P1452" s="157"/>
      <c r="Q1452" s="158"/>
      <c r="R1452" s="159"/>
      <c r="S1452" s="160"/>
      <c r="T1452" s="161"/>
      <c r="U1452" s="156"/>
      <c r="V1452" s="162"/>
      <c r="W1452" s="163"/>
      <c r="X1452" s="164"/>
      <c r="Y1452" s="159"/>
      <c r="Z1452" s="161"/>
      <c r="AA1452" s="165"/>
      <c r="AD1452" s="154" t="s">
        <v>1572</v>
      </c>
      <c r="AI1452" s="154" t="s">
        <v>1571</v>
      </c>
      <c r="AL1452" s="154" t="s">
        <v>31</v>
      </c>
      <c r="AM1452" s="154" t="s">
        <v>2426</v>
      </c>
      <c r="AO1452" s="155"/>
      <c r="AQ1452" s="156"/>
      <c r="AR1452" s="157"/>
      <c r="AS1452" s="158"/>
      <c r="AT1452" s="159"/>
      <c r="AU1452" s="161"/>
      <c r="AV1452" s="156"/>
      <c r="AW1452" s="162"/>
      <c r="AX1452" s="163"/>
      <c r="AY1452" s="164">
        <v>4</v>
      </c>
      <c r="AZ1452" s="159">
        <v>0</v>
      </c>
      <c r="BA1452" s="161"/>
      <c r="BB1452" s="165"/>
      <c r="BE1452" s="155" t="s">
        <v>1572</v>
      </c>
      <c r="BG1452" s="154" t="s">
        <v>5637</v>
      </c>
    </row>
    <row r="1453" spans="1:59" s="154" customFormat="1" ht="15" customHeight="1">
      <c r="A1453" s="153" t="s">
        <v>5461</v>
      </c>
      <c r="B1453" s="169" t="s">
        <v>5503</v>
      </c>
      <c r="C1453" s="154" t="s">
        <v>5491</v>
      </c>
      <c r="D1453" s="170">
        <v>17</v>
      </c>
      <c r="E1453" s="154">
        <v>1</v>
      </c>
      <c r="F1453" s="154" t="s">
        <v>5500</v>
      </c>
      <c r="G1453" s="154" t="s">
        <v>5504</v>
      </c>
      <c r="J1453" s="154" t="s">
        <v>31</v>
      </c>
      <c r="K1453" s="154" t="s">
        <v>2426</v>
      </c>
      <c r="O1453" s="156"/>
      <c r="P1453" s="157"/>
      <c r="Q1453" s="158"/>
      <c r="R1453" s="159"/>
      <c r="S1453" s="160"/>
      <c r="T1453" s="161"/>
      <c r="U1453" s="156"/>
      <c r="V1453" s="162"/>
      <c r="W1453" s="163"/>
      <c r="X1453" s="164"/>
      <c r="Y1453" s="159"/>
      <c r="Z1453" s="161"/>
      <c r="AA1453" s="165"/>
      <c r="AD1453" s="154" t="s">
        <v>1572</v>
      </c>
      <c r="AI1453" s="154" t="s">
        <v>5504</v>
      </c>
      <c r="AL1453" s="154" t="s">
        <v>31</v>
      </c>
      <c r="AM1453" s="154" t="s">
        <v>2426</v>
      </c>
      <c r="AO1453" s="155"/>
      <c r="AQ1453" s="156"/>
      <c r="AR1453" s="157"/>
      <c r="AS1453" s="158"/>
      <c r="AT1453" s="159"/>
      <c r="AU1453" s="161"/>
      <c r="AV1453" s="156"/>
      <c r="AW1453" s="162"/>
      <c r="AX1453" s="163"/>
      <c r="AY1453" s="164">
        <v>1</v>
      </c>
      <c r="AZ1453" s="159">
        <v>0</v>
      </c>
      <c r="BA1453" s="161"/>
      <c r="BB1453" s="165"/>
      <c r="BE1453" s="155" t="s">
        <v>1572</v>
      </c>
      <c r="BG1453" s="154" t="s">
        <v>5505</v>
      </c>
    </row>
    <row r="1454" spans="1:59" s="154" customFormat="1" ht="15" customHeight="1">
      <c r="A1454" s="153" t="s">
        <v>5461</v>
      </c>
      <c r="B1454" s="169" t="s">
        <v>5506</v>
      </c>
      <c r="C1454" s="154" t="s">
        <v>5491</v>
      </c>
      <c r="D1454" s="170">
        <v>18</v>
      </c>
      <c r="E1454" s="154">
        <v>2</v>
      </c>
      <c r="F1454" s="154" t="s">
        <v>5500</v>
      </c>
      <c r="G1454" s="154" t="s">
        <v>5507</v>
      </c>
      <c r="J1454" s="154" t="s">
        <v>28</v>
      </c>
      <c r="K1454" s="154" t="s">
        <v>2426</v>
      </c>
      <c r="O1454" s="156"/>
      <c r="P1454" s="157"/>
      <c r="Q1454" s="158"/>
      <c r="R1454" s="159"/>
      <c r="S1454" s="160"/>
      <c r="T1454" s="161"/>
      <c r="U1454" s="156"/>
      <c r="V1454" s="162"/>
      <c r="W1454" s="163"/>
      <c r="X1454" s="164"/>
      <c r="Y1454" s="159"/>
      <c r="Z1454" s="161"/>
      <c r="AA1454" s="165"/>
      <c r="AD1454" s="154" t="s">
        <v>5508</v>
      </c>
      <c r="AF1454" s="154" t="s">
        <v>5638</v>
      </c>
      <c r="AO1454" s="155"/>
      <c r="AQ1454" s="156"/>
      <c r="AR1454" s="157"/>
      <c r="AS1454" s="158"/>
      <c r="AT1454" s="159"/>
      <c r="AU1454" s="161"/>
      <c r="AV1454" s="156"/>
      <c r="AW1454" s="162"/>
      <c r="AX1454" s="163"/>
      <c r="AY1454" s="164"/>
      <c r="AZ1454" s="159"/>
      <c r="BA1454" s="161"/>
      <c r="BB1454" s="165"/>
      <c r="BE1454" s="155"/>
    </row>
    <row r="1455" spans="1:59" s="154" customFormat="1" ht="15" customHeight="1">
      <c r="A1455" s="153" t="s">
        <v>5461</v>
      </c>
      <c r="B1455" s="153" t="s">
        <v>5509</v>
      </c>
      <c r="C1455" s="154" t="s">
        <v>5491</v>
      </c>
      <c r="D1455" s="170">
        <v>19</v>
      </c>
      <c r="E1455" s="154">
        <v>2</v>
      </c>
      <c r="F1455" s="154" t="s">
        <v>5500</v>
      </c>
      <c r="G1455" s="154" t="s">
        <v>5510</v>
      </c>
      <c r="J1455" s="154" t="s">
        <v>28</v>
      </c>
      <c r="K1455" s="154" t="s">
        <v>2426</v>
      </c>
      <c r="O1455" s="156"/>
      <c r="P1455" s="157"/>
      <c r="Q1455" s="158"/>
      <c r="R1455" s="159"/>
      <c r="S1455" s="160"/>
      <c r="T1455" s="161"/>
      <c r="U1455" s="156"/>
      <c r="V1455" s="162"/>
      <c r="W1455" s="163"/>
      <c r="X1455" s="164"/>
      <c r="Y1455" s="159"/>
      <c r="Z1455" s="161"/>
      <c r="AA1455" s="165"/>
      <c r="AD1455" s="154" t="s">
        <v>5508</v>
      </c>
      <c r="AF1455" s="154" t="s">
        <v>5639</v>
      </c>
      <c r="AO1455" s="155"/>
      <c r="AQ1455" s="156"/>
      <c r="AR1455" s="157"/>
      <c r="AS1455" s="158"/>
      <c r="AT1455" s="159"/>
      <c r="AU1455" s="161"/>
      <c r="AV1455" s="156"/>
      <c r="AW1455" s="162"/>
      <c r="AX1455" s="163"/>
      <c r="AY1455" s="164"/>
      <c r="AZ1455" s="159"/>
      <c r="BA1455" s="161"/>
      <c r="BB1455" s="165"/>
      <c r="BE1455" s="155"/>
    </row>
    <row r="1456" spans="1:59" s="154" customFormat="1" ht="15" customHeight="1">
      <c r="A1456" s="153" t="s">
        <v>5461</v>
      </c>
      <c r="B1456" s="153" t="s">
        <v>5511</v>
      </c>
      <c r="C1456" s="154" t="s">
        <v>5491</v>
      </c>
      <c r="D1456" s="170">
        <v>20</v>
      </c>
      <c r="E1456" s="154">
        <v>1</v>
      </c>
      <c r="F1456" s="154" t="s">
        <v>5512</v>
      </c>
      <c r="G1456" s="154" t="s">
        <v>5512</v>
      </c>
      <c r="J1456" s="154" t="s">
        <v>618</v>
      </c>
      <c r="K1456" s="154" t="s">
        <v>2426</v>
      </c>
      <c r="N1456" s="172"/>
      <c r="O1456" s="156"/>
      <c r="P1456" s="157"/>
      <c r="Q1456" s="158"/>
      <c r="R1456" s="159"/>
      <c r="S1456" s="160"/>
      <c r="T1456" s="161"/>
      <c r="U1456" s="156"/>
      <c r="V1456" s="162"/>
      <c r="W1456" s="163"/>
      <c r="X1456" s="164"/>
      <c r="Y1456" s="159"/>
      <c r="Z1456" s="161"/>
      <c r="AA1456" s="165"/>
      <c r="AF1456" s="154" t="s">
        <v>5640</v>
      </c>
      <c r="AI1456" s="154" t="s">
        <v>5512</v>
      </c>
      <c r="AL1456" s="154" t="s">
        <v>618</v>
      </c>
      <c r="AM1456" s="154" t="s">
        <v>2426</v>
      </c>
      <c r="AO1456" s="155"/>
      <c r="AQ1456" s="156"/>
      <c r="AR1456" s="157"/>
      <c r="AS1456" s="158"/>
      <c r="AT1456" s="159"/>
      <c r="AU1456" s="161"/>
      <c r="AV1456" s="156"/>
      <c r="AW1456" s="162"/>
      <c r="AX1456" s="163"/>
      <c r="AY1456" s="164"/>
      <c r="AZ1456" s="159"/>
      <c r="BA1456" s="161"/>
      <c r="BB1456" s="165"/>
      <c r="BE1456" s="155"/>
      <c r="BG1456" s="154" t="s">
        <v>5641</v>
      </c>
    </row>
    <row r="1457" spans="1:59" s="154" customFormat="1" ht="15" customHeight="1">
      <c r="A1457" s="153" t="s">
        <v>5461</v>
      </c>
      <c r="B1457" s="153" t="s">
        <v>5513</v>
      </c>
      <c r="C1457" s="154" t="s">
        <v>5491</v>
      </c>
      <c r="D1457" s="170">
        <v>21</v>
      </c>
      <c r="E1457" s="154">
        <v>1</v>
      </c>
      <c r="F1457" s="154" t="s">
        <v>5512</v>
      </c>
      <c r="G1457" s="154" t="s">
        <v>1770</v>
      </c>
      <c r="J1457" s="154" t="s">
        <v>31</v>
      </c>
      <c r="K1457" s="154" t="s">
        <v>2426</v>
      </c>
      <c r="O1457" s="156"/>
      <c r="P1457" s="157"/>
      <c r="Q1457" s="158"/>
      <c r="R1457" s="159"/>
      <c r="S1457" s="160"/>
      <c r="T1457" s="161"/>
      <c r="U1457" s="156"/>
      <c r="V1457" s="162"/>
      <c r="W1457" s="163"/>
      <c r="X1457" s="164"/>
      <c r="Y1457" s="159"/>
      <c r="Z1457" s="161"/>
      <c r="AA1457" s="165"/>
      <c r="AD1457" s="154" t="s">
        <v>1772</v>
      </c>
      <c r="AI1457" s="154" t="s">
        <v>1770</v>
      </c>
      <c r="AJ1457" s="154" t="s">
        <v>5514</v>
      </c>
      <c r="AL1457" s="154" t="s">
        <v>31</v>
      </c>
      <c r="AM1457" s="154" t="s">
        <v>2426</v>
      </c>
      <c r="AO1457" s="155"/>
      <c r="AQ1457" s="156"/>
      <c r="AR1457" s="157"/>
      <c r="AS1457" s="158"/>
      <c r="AT1457" s="159"/>
      <c r="AU1457" s="161"/>
      <c r="AV1457" s="156"/>
      <c r="AW1457" s="162"/>
      <c r="AX1457" s="163"/>
      <c r="AY1457" s="164">
        <v>3</v>
      </c>
      <c r="AZ1457" s="159" t="s">
        <v>1073</v>
      </c>
      <c r="BA1457" s="161"/>
      <c r="BB1457" s="165">
        <v>1</v>
      </c>
      <c r="BE1457" s="155" t="s">
        <v>1772</v>
      </c>
      <c r="BG1457" s="154" t="s">
        <v>5642</v>
      </c>
    </row>
    <row r="1458" spans="1:59" s="154" customFormat="1" ht="15" customHeight="1">
      <c r="A1458" s="153" t="s">
        <v>5461</v>
      </c>
      <c r="B1458" s="153" t="s">
        <v>5515</v>
      </c>
      <c r="C1458" s="154" t="s">
        <v>5491</v>
      </c>
      <c r="D1458" s="170">
        <v>22</v>
      </c>
      <c r="E1458" s="154">
        <v>1</v>
      </c>
      <c r="F1458" s="154" t="s">
        <v>5512</v>
      </c>
      <c r="G1458" s="154" t="s">
        <v>1770</v>
      </c>
      <c r="J1458" s="154" t="s">
        <v>31</v>
      </c>
      <c r="K1458" s="154" t="s">
        <v>2426</v>
      </c>
      <c r="O1458" s="156"/>
      <c r="P1458" s="157"/>
      <c r="Q1458" s="158"/>
      <c r="R1458" s="159"/>
      <c r="S1458" s="160"/>
      <c r="T1458" s="161"/>
      <c r="U1458" s="156"/>
      <c r="V1458" s="162"/>
      <c r="W1458" s="163"/>
      <c r="X1458" s="164"/>
      <c r="Y1458" s="159"/>
      <c r="Z1458" s="161"/>
      <c r="AA1458" s="165"/>
      <c r="AD1458" s="154" t="s">
        <v>1772</v>
      </c>
      <c r="AI1458" s="154" t="s">
        <v>1770</v>
      </c>
      <c r="AJ1458" s="154" t="s">
        <v>5516</v>
      </c>
      <c r="AL1458" s="154" t="s">
        <v>31</v>
      </c>
      <c r="AM1458" s="154" t="s">
        <v>2426</v>
      </c>
      <c r="AO1458" s="155"/>
      <c r="AQ1458" s="156"/>
      <c r="AR1458" s="157"/>
      <c r="AS1458" s="158"/>
      <c r="AT1458" s="159"/>
      <c r="AU1458" s="161"/>
      <c r="AV1458" s="156"/>
      <c r="AW1458" s="162"/>
      <c r="AX1458" s="163"/>
      <c r="AY1458" s="164">
        <v>5</v>
      </c>
      <c r="AZ1458" s="159">
        <v>0</v>
      </c>
      <c r="BA1458" s="161"/>
      <c r="BB1458" s="165"/>
      <c r="BE1458" s="155" t="s">
        <v>1772</v>
      </c>
      <c r="BG1458" s="154" t="s">
        <v>5643</v>
      </c>
    </row>
    <row r="1459" spans="1:59" s="154" customFormat="1" ht="15" customHeight="1">
      <c r="A1459" s="153" t="s">
        <v>5461</v>
      </c>
      <c r="B1459" s="153" t="s">
        <v>5517</v>
      </c>
      <c r="C1459" s="154" t="s">
        <v>5491</v>
      </c>
      <c r="D1459" s="170">
        <v>23</v>
      </c>
      <c r="E1459" s="154">
        <v>2</v>
      </c>
      <c r="F1459" s="154" t="s">
        <v>5512</v>
      </c>
      <c r="G1459" s="154" t="s">
        <v>5518</v>
      </c>
      <c r="J1459" s="154" t="s">
        <v>28</v>
      </c>
      <c r="K1459" s="154" t="s">
        <v>2426</v>
      </c>
      <c r="O1459" s="156"/>
      <c r="P1459" s="157"/>
      <c r="Q1459" s="158"/>
      <c r="R1459" s="159"/>
      <c r="S1459" s="160"/>
      <c r="T1459" s="161"/>
      <c r="U1459" s="156"/>
      <c r="V1459" s="162"/>
      <c r="W1459" s="163"/>
      <c r="X1459" s="164"/>
      <c r="Y1459" s="159"/>
      <c r="Z1459" s="161"/>
      <c r="AA1459" s="165"/>
      <c r="AD1459" s="154" t="s">
        <v>1663</v>
      </c>
      <c r="AF1459" s="154" t="s">
        <v>5644</v>
      </c>
      <c r="AO1459" s="155"/>
      <c r="AQ1459" s="156"/>
      <c r="AR1459" s="157"/>
      <c r="AS1459" s="158"/>
      <c r="AT1459" s="159"/>
      <c r="AU1459" s="161"/>
      <c r="AV1459" s="156"/>
      <c r="AW1459" s="162"/>
      <c r="AX1459" s="163"/>
      <c r="AY1459" s="164"/>
      <c r="AZ1459" s="159"/>
      <c r="BA1459" s="161"/>
      <c r="BB1459" s="165"/>
      <c r="BE1459" s="155"/>
    </row>
    <row r="1460" spans="1:59" s="154" customFormat="1" ht="15" customHeight="1">
      <c r="A1460" s="153" t="s">
        <v>5461</v>
      </c>
      <c r="B1460" s="153" t="s">
        <v>5519</v>
      </c>
      <c r="C1460" s="154" t="s">
        <v>5491</v>
      </c>
      <c r="D1460" s="170">
        <v>24</v>
      </c>
      <c r="E1460" s="154">
        <v>2</v>
      </c>
      <c r="F1460" s="154" t="s">
        <v>5512</v>
      </c>
      <c r="G1460" s="154" t="s">
        <v>5520</v>
      </c>
      <c r="J1460" s="154" t="s">
        <v>28</v>
      </c>
      <c r="K1460" s="154" t="s">
        <v>2426</v>
      </c>
      <c r="O1460" s="156"/>
      <c r="P1460" s="157"/>
      <c r="Q1460" s="158"/>
      <c r="R1460" s="159"/>
      <c r="S1460" s="160"/>
      <c r="T1460" s="161"/>
      <c r="U1460" s="156"/>
      <c r="V1460" s="162"/>
      <c r="W1460" s="163"/>
      <c r="X1460" s="164"/>
      <c r="Y1460" s="159"/>
      <c r="Z1460" s="161"/>
      <c r="AA1460" s="165">
        <v>0</v>
      </c>
      <c r="AD1460" s="154" t="s">
        <v>1663</v>
      </c>
      <c r="AF1460" s="154" t="s">
        <v>5645</v>
      </c>
      <c r="AO1460" s="155"/>
      <c r="AQ1460" s="156"/>
      <c r="AR1460" s="157"/>
      <c r="AS1460" s="158"/>
      <c r="AT1460" s="159"/>
      <c r="AU1460" s="161"/>
      <c r="AV1460" s="156"/>
      <c r="AW1460" s="162"/>
      <c r="AX1460" s="163"/>
      <c r="AY1460" s="164"/>
      <c r="AZ1460" s="159"/>
      <c r="BA1460" s="161"/>
      <c r="BB1460" s="165"/>
      <c r="BE1460" s="155"/>
    </row>
    <row r="1461" spans="1:59" s="154" customFormat="1" ht="15" customHeight="1">
      <c r="A1461" s="153" t="s">
        <v>5461</v>
      </c>
      <c r="B1461" s="153" t="s">
        <v>5521</v>
      </c>
      <c r="C1461" s="154" t="s">
        <v>5491</v>
      </c>
      <c r="D1461" s="170">
        <v>25</v>
      </c>
      <c r="E1461" s="154">
        <v>1</v>
      </c>
      <c r="F1461" s="154" t="s">
        <v>5522</v>
      </c>
      <c r="G1461" s="154" t="s">
        <v>5522</v>
      </c>
      <c r="J1461" s="154" t="s">
        <v>618</v>
      </c>
      <c r="K1461" s="154" t="s">
        <v>2426</v>
      </c>
      <c r="O1461" s="156"/>
      <c r="P1461" s="157"/>
      <c r="Q1461" s="158"/>
      <c r="R1461" s="159"/>
      <c r="S1461" s="160"/>
      <c r="T1461" s="161"/>
      <c r="U1461" s="156"/>
      <c r="V1461" s="162"/>
      <c r="W1461" s="163"/>
      <c r="X1461" s="164"/>
      <c r="Y1461" s="159"/>
      <c r="Z1461" s="161"/>
      <c r="AA1461" s="165"/>
      <c r="AF1461" s="154" t="s">
        <v>5646</v>
      </c>
      <c r="AI1461" s="154" t="s">
        <v>5522</v>
      </c>
      <c r="AL1461" s="154" t="s">
        <v>618</v>
      </c>
      <c r="AM1461" s="154" t="s">
        <v>2426</v>
      </c>
      <c r="AO1461" s="155"/>
      <c r="AQ1461" s="156"/>
      <c r="AR1461" s="157"/>
      <c r="AS1461" s="158"/>
      <c r="AT1461" s="159"/>
      <c r="AU1461" s="161"/>
      <c r="AV1461" s="156"/>
      <c r="AW1461" s="162"/>
      <c r="AX1461" s="163"/>
      <c r="AY1461" s="164"/>
      <c r="AZ1461" s="159"/>
      <c r="BA1461" s="161"/>
      <c r="BB1461" s="165"/>
      <c r="BE1461" s="155"/>
      <c r="BG1461" s="154" t="s">
        <v>5523</v>
      </c>
    </row>
    <row r="1462" spans="1:59" s="154" customFormat="1" ht="15" customHeight="1">
      <c r="A1462" s="153" t="s">
        <v>5461</v>
      </c>
      <c r="B1462" s="153" t="s">
        <v>5524</v>
      </c>
      <c r="C1462" s="154" t="s">
        <v>5491</v>
      </c>
      <c r="D1462" s="170">
        <v>26</v>
      </c>
      <c r="E1462" s="154">
        <v>1</v>
      </c>
      <c r="F1462" s="154" t="s">
        <v>5522</v>
      </c>
      <c r="G1462" s="154" t="s">
        <v>5525</v>
      </c>
      <c r="J1462" s="154" t="s">
        <v>619</v>
      </c>
      <c r="K1462" s="154" t="s">
        <v>2426</v>
      </c>
      <c r="L1462" s="154">
        <v>0</v>
      </c>
      <c r="O1462" s="156"/>
      <c r="P1462" s="157"/>
      <c r="Q1462" s="158"/>
      <c r="R1462" s="159"/>
      <c r="S1462" s="160"/>
      <c r="T1462" s="161"/>
      <c r="U1462" s="156"/>
      <c r="V1462" s="162"/>
      <c r="W1462" s="163"/>
      <c r="X1462" s="164"/>
      <c r="Y1462" s="159"/>
      <c r="Z1462" s="161">
        <v>2</v>
      </c>
      <c r="AA1462" s="165"/>
      <c r="AO1462" s="155"/>
      <c r="AQ1462" s="156"/>
      <c r="AR1462" s="157"/>
      <c r="AS1462" s="158"/>
      <c r="AT1462" s="159"/>
      <c r="AU1462" s="161"/>
      <c r="AV1462" s="156"/>
      <c r="AW1462" s="162"/>
      <c r="AX1462" s="163"/>
      <c r="AY1462" s="164"/>
      <c r="AZ1462" s="159"/>
      <c r="BA1462" s="161"/>
      <c r="BB1462" s="165"/>
    </row>
    <row r="1463" spans="1:59" s="154" customFormat="1" ht="15" customHeight="1">
      <c r="A1463" s="153" t="s">
        <v>5461</v>
      </c>
      <c r="B1463" s="153" t="s">
        <v>5526</v>
      </c>
      <c r="C1463" s="154" t="s">
        <v>5491</v>
      </c>
      <c r="D1463" s="170">
        <v>26</v>
      </c>
      <c r="E1463" s="154">
        <v>1</v>
      </c>
      <c r="F1463" s="154" t="s">
        <v>5522</v>
      </c>
      <c r="G1463" s="154" t="s">
        <v>5527</v>
      </c>
      <c r="H1463" s="154" t="s">
        <v>5528</v>
      </c>
      <c r="I1463" s="154" t="s">
        <v>223</v>
      </c>
      <c r="J1463" s="154" t="s">
        <v>29</v>
      </c>
      <c r="K1463" s="171" t="s">
        <v>2426</v>
      </c>
      <c r="O1463" s="156"/>
      <c r="P1463" s="157"/>
      <c r="Q1463" s="158">
        <v>3</v>
      </c>
      <c r="R1463" s="159">
        <v>3</v>
      </c>
      <c r="S1463" s="160"/>
      <c r="T1463" s="161">
        <v>4</v>
      </c>
      <c r="U1463" s="156"/>
      <c r="V1463" s="162">
        <v>2</v>
      </c>
      <c r="W1463" s="163">
        <v>1</v>
      </c>
      <c r="X1463" s="164"/>
      <c r="Y1463" s="159"/>
      <c r="Z1463" s="161"/>
      <c r="AA1463" s="165"/>
      <c r="AD1463" s="154" t="s">
        <v>1794</v>
      </c>
      <c r="AF1463" s="154" t="s">
        <v>5647</v>
      </c>
      <c r="AM1463" s="171"/>
      <c r="AO1463" s="155"/>
      <c r="AQ1463" s="156"/>
      <c r="AR1463" s="157"/>
      <c r="AS1463" s="158"/>
      <c r="AT1463" s="159"/>
      <c r="AU1463" s="161"/>
      <c r="AV1463" s="156"/>
      <c r="AW1463" s="162"/>
      <c r="AX1463" s="163"/>
      <c r="AY1463" s="164"/>
      <c r="AZ1463" s="159"/>
      <c r="BA1463" s="161"/>
      <c r="BB1463" s="165"/>
    </row>
    <row r="1464" spans="1:59" s="154" customFormat="1" ht="15" customHeight="1">
      <c r="A1464" s="153" t="s">
        <v>5461</v>
      </c>
      <c r="B1464" s="153" t="s">
        <v>5529</v>
      </c>
      <c r="C1464" s="154" t="s">
        <v>5491</v>
      </c>
      <c r="D1464" s="170">
        <v>27</v>
      </c>
      <c r="E1464" s="154">
        <v>1</v>
      </c>
      <c r="F1464" s="154" t="s">
        <v>5522</v>
      </c>
      <c r="G1464" s="154" t="s">
        <v>5530</v>
      </c>
      <c r="J1464" s="154" t="s">
        <v>619</v>
      </c>
      <c r="K1464" s="171" t="s">
        <v>2426</v>
      </c>
      <c r="L1464" s="154">
        <v>1</v>
      </c>
      <c r="O1464" s="156"/>
      <c r="P1464" s="157"/>
      <c r="Q1464" s="158"/>
      <c r="R1464" s="159"/>
      <c r="S1464" s="160"/>
      <c r="T1464" s="161"/>
      <c r="U1464" s="156"/>
      <c r="V1464" s="162"/>
      <c r="W1464" s="163"/>
      <c r="X1464" s="164"/>
      <c r="Y1464" s="159"/>
      <c r="Z1464" s="161">
        <v>2</v>
      </c>
      <c r="AA1464" s="165"/>
      <c r="AI1464" s="154" t="s">
        <v>1875</v>
      </c>
      <c r="AL1464" s="154" t="s">
        <v>619</v>
      </c>
      <c r="AM1464" s="154" t="s">
        <v>2426</v>
      </c>
      <c r="AN1464" s="154">
        <v>1</v>
      </c>
      <c r="AO1464" s="155"/>
      <c r="AQ1464" s="156"/>
      <c r="AR1464" s="157"/>
      <c r="AS1464" s="158"/>
      <c r="AT1464" s="159"/>
      <c r="AU1464" s="161"/>
      <c r="AV1464" s="156"/>
      <c r="AW1464" s="162"/>
      <c r="AX1464" s="163"/>
      <c r="AY1464" s="164"/>
      <c r="AZ1464" s="159"/>
      <c r="BA1464" s="161"/>
      <c r="BB1464" s="165"/>
      <c r="BE1464" s="155"/>
      <c r="BG1464" s="154" t="s">
        <v>5531</v>
      </c>
    </row>
    <row r="1465" spans="1:59" s="154" customFormat="1" ht="15" customHeight="1">
      <c r="A1465" s="153" t="s">
        <v>5461</v>
      </c>
      <c r="B1465" s="169" t="s">
        <v>5532</v>
      </c>
      <c r="C1465" s="154" t="s">
        <v>5491</v>
      </c>
      <c r="D1465" s="170">
        <v>28</v>
      </c>
      <c r="E1465" s="154">
        <v>1</v>
      </c>
      <c r="F1465" s="154" t="s">
        <v>5522</v>
      </c>
      <c r="G1465" s="154" t="s">
        <v>1829</v>
      </c>
      <c r="J1465" s="154" t="s">
        <v>31</v>
      </c>
      <c r="K1465" s="171" t="s">
        <v>2426</v>
      </c>
      <c r="O1465" s="156"/>
      <c r="P1465" s="157"/>
      <c r="Q1465" s="158"/>
      <c r="R1465" s="159"/>
      <c r="S1465" s="160"/>
      <c r="T1465" s="161"/>
      <c r="U1465" s="156"/>
      <c r="V1465" s="162"/>
      <c r="W1465" s="163"/>
      <c r="X1465" s="164"/>
      <c r="Y1465" s="159"/>
      <c r="Z1465" s="161"/>
      <c r="AA1465" s="165"/>
      <c r="AD1465" s="154" t="s">
        <v>1828</v>
      </c>
      <c r="AI1465" s="154" t="s">
        <v>1829</v>
      </c>
      <c r="AL1465" s="154" t="s">
        <v>31</v>
      </c>
      <c r="AM1465" s="154" t="s">
        <v>2426</v>
      </c>
      <c r="AO1465" s="155"/>
      <c r="AQ1465" s="156"/>
      <c r="AR1465" s="157"/>
      <c r="AS1465" s="158"/>
      <c r="AT1465" s="159"/>
      <c r="AU1465" s="161"/>
      <c r="AV1465" s="156"/>
      <c r="AW1465" s="162"/>
      <c r="AX1465" s="163"/>
      <c r="AY1465" s="164">
        <v>3</v>
      </c>
      <c r="AZ1465" s="159" t="s">
        <v>1111</v>
      </c>
      <c r="BA1465" s="161"/>
      <c r="BB1465" s="165">
        <v>1</v>
      </c>
      <c r="BE1465" s="155" t="s">
        <v>1828</v>
      </c>
      <c r="BG1465" s="154" t="s">
        <v>5533</v>
      </c>
    </row>
    <row r="1466" spans="1:59" s="154" customFormat="1" ht="15" customHeight="1">
      <c r="A1466" s="153" t="s">
        <v>5461</v>
      </c>
      <c r="B1466" s="153" t="s">
        <v>5534</v>
      </c>
      <c r="C1466" s="154" t="s">
        <v>5491</v>
      </c>
      <c r="D1466" s="170">
        <v>29</v>
      </c>
      <c r="E1466" s="154">
        <v>1</v>
      </c>
      <c r="F1466" s="154" t="s">
        <v>5522</v>
      </c>
      <c r="G1466" s="154" t="s">
        <v>5535</v>
      </c>
      <c r="J1466" s="154" t="s">
        <v>31</v>
      </c>
      <c r="K1466" s="154" t="s">
        <v>2426</v>
      </c>
      <c r="O1466" s="156"/>
      <c r="P1466" s="157"/>
      <c r="Q1466" s="158"/>
      <c r="R1466" s="159"/>
      <c r="S1466" s="160"/>
      <c r="T1466" s="161"/>
      <c r="U1466" s="156"/>
      <c r="V1466" s="162"/>
      <c r="W1466" s="163"/>
      <c r="X1466" s="164"/>
      <c r="Y1466" s="159"/>
      <c r="Z1466" s="161"/>
      <c r="AA1466" s="165"/>
      <c r="AD1466" s="154" t="s">
        <v>1828</v>
      </c>
      <c r="AI1466" s="154" t="s">
        <v>1827</v>
      </c>
      <c r="AL1466" s="154" t="s">
        <v>31</v>
      </c>
      <c r="AM1466" s="154" t="s">
        <v>2426</v>
      </c>
      <c r="AO1466" s="155"/>
      <c r="AQ1466" s="156"/>
      <c r="AR1466" s="157"/>
      <c r="AS1466" s="158"/>
      <c r="AT1466" s="159"/>
      <c r="AU1466" s="161"/>
      <c r="AV1466" s="156"/>
      <c r="AW1466" s="162"/>
      <c r="AX1466" s="163"/>
      <c r="AY1466" s="164">
        <v>1</v>
      </c>
      <c r="AZ1466" s="159" t="s">
        <v>1111</v>
      </c>
      <c r="BA1466" s="161"/>
      <c r="BB1466" s="165"/>
      <c r="BE1466" s="155" t="s">
        <v>1828</v>
      </c>
      <c r="BG1466" s="154" t="s">
        <v>5536</v>
      </c>
    </row>
    <row r="1467" spans="1:59" s="154" customFormat="1" ht="15" customHeight="1">
      <c r="A1467" s="153" t="s">
        <v>5461</v>
      </c>
      <c r="B1467" s="153" t="s">
        <v>5537</v>
      </c>
      <c r="C1467" s="154" t="s">
        <v>5491</v>
      </c>
      <c r="D1467" s="170">
        <v>30</v>
      </c>
      <c r="E1467" s="154">
        <v>1</v>
      </c>
      <c r="F1467" s="154" t="s">
        <v>5522</v>
      </c>
      <c r="G1467" s="154" t="s">
        <v>5538</v>
      </c>
      <c r="J1467" s="154" t="s">
        <v>31</v>
      </c>
      <c r="K1467" s="154" t="s">
        <v>2426</v>
      </c>
      <c r="O1467" s="156"/>
      <c r="P1467" s="157"/>
      <c r="Q1467" s="158"/>
      <c r="R1467" s="159"/>
      <c r="S1467" s="160"/>
      <c r="T1467" s="161"/>
      <c r="U1467" s="156"/>
      <c r="V1467" s="162"/>
      <c r="W1467" s="163"/>
      <c r="X1467" s="164"/>
      <c r="Y1467" s="159"/>
      <c r="Z1467" s="161"/>
      <c r="AA1467" s="165"/>
      <c r="AD1467" s="154" t="s">
        <v>1828</v>
      </c>
      <c r="AI1467" s="154" t="s">
        <v>1827</v>
      </c>
      <c r="AL1467" s="154" t="s">
        <v>31</v>
      </c>
      <c r="AM1467" s="154" t="s">
        <v>2426</v>
      </c>
      <c r="AP1467" s="155"/>
      <c r="AQ1467" s="156"/>
      <c r="AR1467" s="157"/>
      <c r="AS1467" s="158"/>
      <c r="AT1467" s="159"/>
      <c r="AU1467" s="161"/>
      <c r="AV1467" s="156"/>
      <c r="AW1467" s="162"/>
      <c r="AX1467" s="163"/>
      <c r="AY1467" s="164">
        <v>3</v>
      </c>
      <c r="AZ1467" s="159">
        <v>3</v>
      </c>
      <c r="BA1467" s="161"/>
      <c r="BB1467" s="165"/>
      <c r="BE1467" s="154" t="s">
        <v>1828</v>
      </c>
      <c r="BF1467" s="155"/>
      <c r="BG1467" s="154" t="s">
        <v>5536</v>
      </c>
    </row>
    <row r="1468" spans="1:59" s="154" customFormat="1" ht="15" customHeight="1">
      <c r="A1468" s="153" t="s">
        <v>5461</v>
      </c>
      <c r="B1468" s="153" t="s">
        <v>5539</v>
      </c>
      <c r="C1468" s="154" t="s">
        <v>5491</v>
      </c>
      <c r="D1468" s="170">
        <v>31</v>
      </c>
      <c r="E1468" s="154">
        <v>1</v>
      </c>
      <c r="F1468" s="154" t="s">
        <v>5522</v>
      </c>
      <c r="G1468" s="154" t="s">
        <v>5540</v>
      </c>
      <c r="J1468" s="154" t="s">
        <v>257</v>
      </c>
      <c r="K1468" s="154" t="s">
        <v>26</v>
      </c>
      <c r="N1468" s="155"/>
      <c r="O1468" s="156"/>
      <c r="P1468" s="157"/>
      <c r="Q1468" s="158"/>
      <c r="R1468" s="159"/>
      <c r="S1468" s="160"/>
      <c r="T1468" s="161">
        <v>2</v>
      </c>
      <c r="U1468" s="156">
        <v>2</v>
      </c>
      <c r="V1468" s="162"/>
      <c r="W1468" s="163"/>
      <c r="X1468" s="164"/>
      <c r="Y1468" s="159"/>
      <c r="Z1468" s="161"/>
      <c r="AA1468" s="165"/>
      <c r="AD1468" s="154" t="s">
        <v>1833</v>
      </c>
      <c r="AE1468" s="155"/>
      <c r="AF1468" s="154" t="s">
        <v>5648</v>
      </c>
      <c r="AP1468" s="155"/>
      <c r="AQ1468" s="156"/>
      <c r="AR1468" s="157"/>
      <c r="AS1468" s="158"/>
      <c r="AT1468" s="159"/>
      <c r="AU1468" s="161"/>
      <c r="AV1468" s="156"/>
      <c r="AW1468" s="162"/>
      <c r="AX1468" s="163"/>
      <c r="AY1468" s="164"/>
      <c r="AZ1468" s="159"/>
      <c r="BA1468" s="161"/>
      <c r="BB1468" s="165"/>
      <c r="BF1468" s="155"/>
    </row>
    <row r="1469" spans="1:59" s="154" customFormat="1" ht="15" customHeight="1">
      <c r="A1469" s="153" t="s">
        <v>5461</v>
      </c>
      <c r="B1469" s="153" t="s">
        <v>5541</v>
      </c>
      <c r="C1469" s="154" t="s">
        <v>5491</v>
      </c>
      <c r="D1469" s="170">
        <v>32</v>
      </c>
      <c r="E1469" s="154">
        <v>1</v>
      </c>
      <c r="F1469" s="154" t="s">
        <v>5542</v>
      </c>
      <c r="G1469" s="154" t="s">
        <v>5542</v>
      </c>
      <c r="J1469" s="154" t="s">
        <v>618</v>
      </c>
      <c r="K1469" s="154" t="s">
        <v>2426</v>
      </c>
      <c r="N1469" s="155"/>
      <c r="O1469" s="156"/>
      <c r="P1469" s="157"/>
      <c r="Q1469" s="158"/>
      <c r="R1469" s="159"/>
      <c r="S1469" s="160"/>
      <c r="T1469" s="161"/>
      <c r="U1469" s="156"/>
      <c r="V1469" s="162"/>
      <c r="W1469" s="163"/>
      <c r="X1469" s="164"/>
      <c r="Y1469" s="159"/>
      <c r="Z1469" s="161"/>
      <c r="AA1469" s="165"/>
      <c r="AE1469" s="155"/>
      <c r="AF1469" s="154" t="s">
        <v>5649</v>
      </c>
      <c r="AI1469" s="154" t="s">
        <v>5542</v>
      </c>
      <c r="AL1469" s="154" t="s">
        <v>618</v>
      </c>
      <c r="AM1469" s="154" t="s">
        <v>2426</v>
      </c>
      <c r="AP1469" s="155"/>
      <c r="AQ1469" s="156"/>
      <c r="AR1469" s="157"/>
      <c r="AS1469" s="158"/>
      <c r="AT1469" s="159"/>
      <c r="AU1469" s="161"/>
      <c r="AV1469" s="156"/>
      <c r="AW1469" s="162"/>
      <c r="AX1469" s="163"/>
      <c r="AY1469" s="164"/>
      <c r="AZ1469" s="159"/>
      <c r="BA1469" s="161"/>
      <c r="BB1469" s="165"/>
      <c r="BF1469" s="155"/>
      <c r="BG1469" s="154" t="s">
        <v>5650</v>
      </c>
    </row>
    <row r="1470" spans="1:59" s="154" customFormat="1" ht="15" customHeight="1">
      <c r="A1470" s="153" t="s">
        <v>5461</v>
      </c>
      <c r="B1470" s="153" t="s">
        <v>5543</v>
      </c>
      <c r="C1470" s="154" t="s">
        <v>5491</v>
      </c>
      <c r="D1470" s="170">
        <v>33</v>
      </c>
      <c r="E1470" s="154">
        <v>1</v>
      </c>
      <c r="F1470" s="154" t="s">
        <v>5542</v>
      </c>
      <c r="G1470" s="154" t="s">
        <v>2009</v>
      </c>
      <c r="J1470" s="154" t="s">
        <v>31</v>
      </c>
      <c r="K1470" s="154" t="s">
        <v>2426</v>
      </c>
      <c r="N1470" s="155"/>
      <c r="O1470" s="156"/>
      <c r="P1470" s="157"/>
      <c r="Q1470" s="158"/>
      <c r="R1470" s="159"/>
      <c r="S1470" s="160"/>
      <c r="T1470" s="161"/>
      <c r="U1470" s="156"/>
      <c r="V1470" s="162"/>
      <c r="W1470" s="163"/>
      <c r="X1470" s="164"/>
      <c r="Y1470" s="159"/>
      <c r="Z1470" s="161"/>
      <c r="AA1470" s="165"/>
      <c r="AD1470" s="154" t="s">
        <v>2010</v>
      </c>
      <c r="AE1470" s="155"/>
      <c r="AI1470" s="154" t="s">
        <v>2009</v>
      </c>
      <c r="AJ1470" s="154" t="s">
        <v>5544</v>
      </c>
      <c r="AL1470" s="154" t="s">
        <v>31</v>
      </c>
      <c r="AM1470" s="154" t="s">
        <v>2426</v>
      </c>
      <c r="AP1470" s="155"/>
      <c r="AQ1470" s="156"/>
      <c r="AR1470" s="157"/>
      <c r="AS1470" s="158"/>
      <c r="AT1470" s="159"/>
      <c r="AU1470" s="161"/>
      <c r="AV1470" s="156"/>
      <c r="AW1470" s="162"/>
      <c r="AX1470" s="163"/>
      <c r="AY1470" s="164">
        <v>3</v>
      </c>
      <c r="AZ1470" s="159">
        <v>0</v>
      </c>
      <c r="BA1470" s="161"/>
      <c r="BB1470" s="165"/>
      <c r="BE1470" s="154" t="s">
        <v>2010</v>
      </c>
      <c r="BF1470" s="155"/>
      <c r="BG1470" s="154" t="s">
        <v>5651</v>
      </c>
    </row>
    <row r="1471" spans="1:59" s="154" customFormat="1" ht="15" customHeight="1">
      <c r="A1471" s="153" t="s">
        <v>5461</v>
      </c>
      <c r="B1471" s="169" t="s">
        <v>5545</v>
      </c>
      <c r="C1471" s="154" t="s">
        <v>5491</v>
      </c>
      <c r="D1471" s="170">
        <v>34</v>
      </c>
      <c r="E1471" s="154">
        <v>1</v>
      </c>
      <c r="F1471" s="154" t="s">
        <v>5542</v>
      </c>
      <c r="G1471" s="154" t="s">
        <v>5546</v>
      </c>
      <c r="J1471" s="154" t="s">
        <v>31</v>
      </c>
      <c r="K1471" s="154" t="s">
        <v>2426</v>
      </c>
      <c r="N1471" s="155"/>
      <c r="O1471" s="156"/>
      <c r="P1471" s="157"/>
      <c r="Q1471" s="158"/>
      <c r="R1471" s="159"/>
      <c r="S1471" s="160"/>
      <c r="T1471" s="161"/>
      <c r="U1471" s="156"/>
      <c r="V1471" s="162"/>
      <c r="W1471" s="163"/>
      <c r="X1471" s="164"/>
      <c r="Y1471" s="159"/>
      <c r="Z1471" s="161"/>
      <c r="AA1471" s="165"/>
      <c r="AD1471" s="154" t="s">
        <v>2013</v>
      </c>
      <c r="AE1471" s="155"/>
      <c r="AI1471" s="154" t="s">
        <v>5546</v>
      </c>
      <c r="AL1471" s="154" t="s">
        <v>31</v>
      </c>
      <c r="AM1471" s="154" t="s">
        <v>2426</v>
      </c>
      <c r="AP1471" s="155"/>
      <c r="AQ1471" s="156"/>
      <c r="AR1471" s="157"/>
      <c r="AS1471" s="158"/>
      <c r="AT1471" s="159"/>
      <c r="AU1471" s="161"/>
      <c r="AV1471" s="156"/>
      <c r="AW1471" s="162"/>
      <c r="AX1471" s="163"/>
      <c r="AY1471" s="164">
        <v>3</v>
      </c>
      <c r="AZ1471" s="159">
        <v>2</v>
      </c>
      <c r="BA1471" s="161"/>
      <c r="BB1471" s="165"/>
      <c r="BE1471" s="154" t="s">
        <v>2013</v>
      </c>
      <c r="BF1471" s="155"/>
      <c r="BG1471" s="154" t="s">
        <v>5652</v>
      </c>
    </row>
    <row r="1472" spans="1:59" s="154" customFormat="1" ht="15" customHeight="1">
      <c r="A1472" s="153" t="s">
        <v>5461</v>
      </c>
      <c r="B1472" s="153" t="s">
        <v>5547</v>
      </c>
      <c r="C1472" s="154" t="s">
        <v>5491</v>
      </c>
      <c r="D1472" s="170">
        <v>35</v>
      </c>
      <c r="E1472" s="154">
        <v>1</v>
      </c>
      <c r="F1472" s="154" t="s">
        <v>5542</v>
      </c>
      <c r="G1472" s="154" t="s">
        <v>2014</v>
      </c>
      <c r="J1472" s="154" t="s">
        <v>31</v>
      </c>
      <c r="K1472" s="154" t="s">
        <v>2426</v>
      </c>
      <c r="N1472" s="155"/>
      <c r="O1472" s="156"/>
      <c r="P1472" s="157"/>
      <c r="Q1472" s="158"/>
      <c r="R1472" s="159"/>
      <c r="S1472" s="160"/>
      <c r="T1472" s="161"/>
      <c r="U1472" s="156"/>
      <c r="V1472" s="162"/>
      <c r="W1472" s="163"/>
      <c r="X1472" s="164"/>
      <c r="Y1472" s="159"/>
      <c r="Z1472" s="161"/>
      <c r="AA1472" s="165"/>
      <c r="AD1472" s="154" t="s">
        <v>2013</v>
      </c>
      <c r="AE1472" s="155"/>
      <c r="AI1472" s="154" t="s">
        <v>2014</v>
      </c>
      <c r="AL1472" s="154" t="s">
        <v>31</v>
      </c>
      <c r="AM1472" s="154" t="s">
        <v>2426</v>
      </c>
      <c r="AP1472" s="155"/>
      <c r="AQ1472" s="156"/>
      <c r="AR1472" s="157"/>
      <c r="AS1472" s="158"/>
      <c r="AT1472" s="159"/>
      <c r="AU1472" s="161"/>
      <c r="AV1472" s="156"/>
      <c r="AW1472" s="162"/>
      <c r="AX1472" s="163"/>
      <c r="AY1472" s="164">
        <v>2</v>
      </c>
      <c r="AZ1472" s="159">
        <v>3</v>
      </c>
      <c r="BA1472" s="161"/>
      <c r="BB1472" s="165"/>
      <c r="BE1472" s="154" t="s">
        <v>2013</v>
      </c>
      <c r="BF1472" s="155"/>
      <c r="BG1472" s="154" t="s">
        <v>5653</v>
      </c>
    </row>
    <row r="1473" spans="1:59" s="154" customFormat="1" ht="15" customHeight="1">
      <c r="A1473" s="153" t="s">
        <v>5461</v>
      </c>
      <c r="B1473" s="153" t="s">
        <v>5548</v>
      </c>
      <c r="C1473" s="154" t="s">
        <v>5491</v>
      </c>
      <c r="D1473" s="170">
        <v>36</v>
      </c>
      <c r="E1473" s="154">
        <v>1</v>
      </c>
      <c r="F1473" s="154" t="s">
        <v>5542</v>
      </c>
      <c r="G1473" s="154" t="s">
        <v>5549</v>
      </c>
      <c r="J1473" s="154" t="s">
        <v>31</v>
      </c>
      <c r="K1473" s="154" t="s">
        <v>2426</v>
      </c>
      <c r="N1473" s="155"/>
      <c r="O1473" s="156"/>
      <c r="P1473" s="157"/>
      <c r="Q1473" s="158"/>
      <c r="R1473" s="159"/>
      <c r="S1473" s="160"/>
      <c r="T1473" s="161"/>
      <c r="U1473" s="156"/>
      <c r="V1473" s="162"/>
      <c r="W1473" s="163"/>
      <c r="X1473" s="164"/>
      <c r="Y1473" s="159"/>
      <c r="Z1473" s="161"/>
      <c r="AA1473" s="165"/>
      <c r="AD1473" s="154" t="s">
        <v>2013</v>
      </c>
      <c r="AE1473" s="155"/>
      <c r="AI1473" s="153" t="s">
        <v>5549</v>
      </c>
      <c r="AL1473" s="154" t="s">
        <v>31</v>
      </c>
      <c r="AM1473" s="154" t="s">
        <v>2426</v>
      </c>
      <c r="AP1473" s="155"/>
      <c r="AQ1473" s="156"/>
      <c r="AR1473" s="157"/>
      <c r="AS1473" s="158"/>
      <c r="AT1473" s="159"/>
      <c r="AU1473" s="161"/>
      <c r="AV1473" s="156"/>
      <c r="AW1473" s="162"/>
      <c r="AX1473" s="163"/>
      <c r="AY1473" s="164">
        <v>3</v>
      </c>
      <c r="AZ1473" s="159" t="s">
        <v>1073</v>
      </c>
      <c r="BA1473" s="161"/>
      <c r="BB1473" s="165"/>
      <c r="BE1473" s="154" t="s">
        <v>2013</v>
      </c>
      <c r="BF1473" s="155"/>
      <c r="BG1473" s="154" t="s">
        <v>5654</v>
      </c>
    </row>
    <row r="1474" spans="1:59" s="154" customFormat="1" ht="15" customHeight="1">
      <c r="A1474" s="153" t="s">
        <v>5461</v>
      </c>
      <c r="B1474" s="169" t="s">
        <v>5550</v>
      </c>
      <c r="C1474" s="154" t="s">
        <v>5491</v>
      </c>
      <c r="D1474" s="170">
        <v>37</v>
      </c>
      <c r="E1474" s="154">
        <v>1</v>
      </c>
      <c r="F1474" s="154" t="s">
        <v>5542</v>
      </c>
      <c r="G1474" s="154" t="s">
        <v>2016</v>
      </c>
      <c r="J1474" s="154" t="s">
        <v>31</v>
      </c>
      <c r="K1474" s="154" t="s">
        <v>2426</v>
      </c>
      <c r="N1474" s="155"/>
      <c r="O1474" s="156"/>
      <c r="P1474" s="157"/>
      <c r="Q1474" s="158"/>
      <c r="R1474" s="159"/>
      <c r="S1474" s="160"/>
      <c r="T1474" s="161"/>
      <c r="U1474" s="156"/>
      <c r="V1474" s="162"/>
      <c r="W1474" s="163"/>
      <c r="X1474" s="164"/>
      <c r="Y1474" s="159"/>
      <c r="Z1474" s="161"/>
      <c r="AA1474" s="165"/>
      <c r="AD1474" s="154" t="s">
        <v>2013</v>
      </c>
      <c r="AE1474" s="155"/>
      <c r="AI1474" s="154" t="s">
        <v>2016</v>
      </c>
      <c r="AL1474" s="154" t="s">
        <v>31</v>
      </c>
      <c r="AM1474" s="154" t="s">
        <v>2426</v>
      </c>
      <c r="AP1474" s="155"/>
      <c r="AQ1474" s="156"/>
      <c r="AR1474" s="157"/>
      <c r="AS1474" s="158"/>
      <c r="AT1474" s="159"/>
      <c r="AU1474" s="161"/>
      <c r="AV1474" s="156"/>
      <c r="AW1474" s="162"/>
      <c r="AX1474" s="163"/>
      <c r="AY1474" s="164">
        <v>1</v>
      </c>
      <c r="AZ1474" s="159" t="s">
        <v>1073</v>
      </c>
      <c r="BA1474" s="161"/>
      <c r="BB1474" s="165"/>
      <c r="BE1474" s="154" t="s">
        <v>2013</v>
      </c>
      <c r="BF1474" s="155"/>
      <c r="BG1474" s="154" t="s">
        <v>5655</v>
      </c>
    </row>
    <row r="1475" spans="1:59" s="154" customFormat="1" ht="15" customHeight="1">
      <c r="A1475" s="153" t="s">
        <v>5461</v>
      </c>
      <c r="B1475" s="153" t="s">
        <v>5551</v>
      </c>
      <c r="C1475" s="154" t="s">
        <v>5491</v>
      </c>
      <c r="D1475" s="170">
        <v>38</v>
      </c>
      <c r="E1475" s="154">
        <v>1</v>
      </c>
      <c r="F1475" s="154" t="s">
        <v>5542</v>
      </c>
      <c r="G1475" s="154" t="s">
        <v>2017</v>
      </c>
      <c r="J1475" s="154" t="s">
        <v>31</v>
      </c>
      <c r="K1475" s="154" t="s">
        <v>2426</v>
      </c>
      <c r="N1475" s="155"/>
      <c r="O1475" s="156"/>
      <c r="P1475" s="157"/>
      <c r="Q1475" s="158"/>
      <c r="R1475" s="159"/>
      <c r="S1475" s="160"/>
      <c r="T1475" s="161"/>
      <c r="U1475" s="156"/>
      <c r="V1475" s="162"/>
      <c r="W1475" s="163"/>
      <c r="X1475" s="164"/>
      <c r="Y1475" s="159"/>
      <c r="Z1475" s="161"/>
      <c r="AA1475" s="165"/>
      <c r="AD1475" s="154" t="s">
        <v>2013</v>
      </c>
      <c r="AE1475" s="155"/>
      <c r="AI1475" s="154" t="s">
        <v>2017</v>
      </c>
      <c r="AL1475" s="154" t="s">
        <v>31</v>
      </c>
      <c r="AM1475" s="154" t="s">
        <v>2426</v>
      </c>
      <c r="AP1475" s="155"/>
      <c r="AQ1475" s="156"/>
      <c r="AR1475" s="157"/>
      <c r="AS1475" s="158"/>
      <c r="AT1475" s="159"/>
      <c r="AU1475" s="161"/>
      <c r="AV1475" s="156"/>
      <c r="AW1475" s="162"/>
      <c r="AX1475" s="163"/>
      <c r="AY1475" s="164">
        <v>2</v>
      </c>
      <c r="AZ1475" s="159" t="s">
        <v>1073</v>
      </c>
      <c r="BA1475" s="161"/>
      <c r="BB1475" s="165"/>
      <c r="BE1475" s="154" t="s">
        <v>2013</v>
      </c>
      <c r="BF1475" s="155"/>
      <c r="BG1475" s="154" t="s">
        <v>5656</v>
      </c>
    </row>
    <row r="1476" spans="1:59" s="154" customFormat="1" ht="15" customHeight="1">
      <c r="A1476" s="153" t="s">
        <v>5461</v>
      </c>
      <c r="B1476" s="153" t="s">
        <v>5552</v>
      </c>
      <c r="C1476" s="154" t="s">
        <v>5491</v>
      </c>
      <c r="D1476" s="170">
        <v>39</v>
      </c>
      <c r="E1476" s="154">
        <v>1</v>
      </c>
      <c r="F1476" s="154" t="s">
        <v>5542</v>
      </c>
      <c r="G1476" s="154" t="s">
        <v>2018</v>
      </c>
      <c r="J1476" s="154" t="s">
        <v>31</v>
      </c>
      <c r="K1476" s="154" t="s">
        <v>2426</v>
      </c>
      <c r="N1476" s="155"/>
      <c r="O1476" s="156"/>
      <c r="P1476" s="157"/>
      <c r="Q1476" s="158"/>
      <c r="R1476" s="159"/>
      <c r="S1476" s="160"/>
      <c r="T1476" s="161"/>
      <c r="U1476" s="156"/>
      <c r="V1476" s="162"/>
      <c r="W1476" s="163"/>
      <c r="X1476" s="164"/>
      <c r="Y1476" s="159"/>
      <c r="Z1476" s="161"/>
      <c r="AA1476" s="165"/>
      <c r="AD1476" s="154" t="s">
        <v>2013</v>
      </c>
      <c r="AE1476" s="155"/>
      <c r="AI1476" s="154" t="s">
        <v>2018</v>
      </c>
      <c r="AL1476" s="154" t="s">
        <v>31</v>
      </c>
      <c r="AM1476" s="154" t="s">
        <v>2426</v>
      </c>
      <c r="AP1476" s="155"/>
      <c r="AQ1476" s="156"/>
      <c r="AR1476" s="157"/>
      <c r="AS1476" s="158"/>
      <c r="AT1476" s="159"/>
      <c r="AU1476" s="161"/>
      <c r="AV1476" s="156"/>
      <c r="AW1476" s="162"/>
      <c r="AX1476" s="163"/>
      <c r="AY1476" s="164">
        <v>4</v>
      </c>
      <c r="AZ1476" s="159">
        <v>1</v>
      </c>
      <c r="BA1476" s="161"/>
      <c r="BB1476" s="165"/>
      <c r="BE1476" s="154" t="s">
        <v>2013</v>
      </c>
      <c r="BF1476" s="155"/>
      <c r="BG1476" s="154" t="s">
        <v>5657</v>
      </c>
    </row>
    <row r="1477" spans="1:59" s="154" customFormat="1" ht="15" customHeight="1">
      <c r="A1477" s="153" t="s">
        <v>5461</v>
      </c>
      <c r="B1477" s="153" t="s">
        <v>5553</v>
      </c>
      <c r="C1477" s="154" t="s">
        <v>5491</v>
      </c>
      <c r="D1477" s="170">
        <v>40</v>
      </c>
      <c r="E1477" s="154">
        <v>2</v>
      </c>
      <c r="F1477" s="154" t="s">
        <v>5542</v>
      </c>
      <c r="G1477" s="154" t="s">
        <v>5554</v>
      </c>
      <c r="J1477" s="154" t="s">
        <v>29</v>
      </c>
      <c r="K1477" s="154" t="s">
        <v>2426</v>
      </c>
      <c r="N1477" s="155"/>
      <c r="O1477" s="156"/>
      <c r="P1477" s="157"/>
      <c r="Q1477" s="158">
        <v>3</v>
      </c>
      <c r="R1477" s="159">
        <v>1</v>
      </c>
      <c r="S1477" s="160"/>
      <c r="T1477" s="161">
        <v>4</v>
      </c>
      <c r="U1477" s="156"/>
      <c r="V1477" s="162">
        <v>1</v>
      </c>
      <c r="W1477" s="163">
        <v>1</v>
      </c>
      <c r="X1477" s="164"/>
      <c r="Y1477" s="159"/>
      <c r="Z1477" s="161"/>
      <c r="AA1477" s="165"/>
      <c r="AD1477" s="154" t="s">
        <v>5555</v>
      </c>
      <c r="AF1477" s="154" t="s">
        <v>5658</v>
      </c>
      <c r="AP1477" s="155"/>
      <c r="AQ1477" s="156"/>
      <c r="AR1477" s="157"/>
      <c r="AS1477" s="158"/>
      <c r="AT1477" s="159"/>
      <c r="AU1477" s="161"/>
      <c r="AV1477" s="156"/>
      <c r="AW1477" s="162"/>
      <c r="AX1477" s="163"/>
      <c r="AY1477" s="164"/>
      <c r="AZ1477" s="159"/>
      <c r="BA1477" s="161"/>
      <c r="BB1477" s="165"/>
      <c r="BF1477" s="155"/>
    </row>
    <row r="1478" spans="1:59" s="154" customFormat="1" ht="15" customHeight="1">
      <c r="A1478" s="153" t="s">
        <v>5461</v>
      </c>
      <c r="B1478" s="169" t="s">
        <v>5556</v>
      </c>
      <c r="C1478" s="154" t="s">
        <v>5491</v>
      </c>
      <c r="D1478" s="170">
        <v>41</v>
      </c>
      <c r="E1478" s="154">
        <v>1</v>
      </c>
      <c r="F1478" s="154" t="s">
        <v>5557</v>
      </c>
      <c r="G1478" s="154" t="s">
        <v>5557</v>
      </c>
      <c r="J1478" s="154" t="s">
        <v>618</v>
      </c>
      <c r="K1478" s="154" t="s">
        <v>2426</v>
      </c>
      <c r="N1478" s="155"/>
      <c r="O1478" s="156"/>
      <c r="P1478" s="157"/>
      <c r="Q1478" s="158"/>
      <c r="R1478" s="159"/>
      <c r="S1478" s="160"/>
      <c r="T1478" s="161"/>
      <c r="U1478" s="156"/>
      <c r="V1478" s="162"/>
      <c r="W1478" s="163"/>
      <c r="X1478" s="164"/>
      <c r="Y1478" s="159"/>
      <c r="Z1478" s="161"/>
      <c r="AA1478" s="165"/>
      <c r="AE1478" s="155"/>
      <c r="AF1478" s="154" t="s">
        <v>5659</v>
      </c>
      <c r="AI1478" s="154" t="s">
        <v>5557</v>
      </c>
      <c r="AL1478" s="154" t="s">
        <v>618</v>
      </c>
      <c r="AM1478" s="154" t="s">
        <v>2426</v>
      </c>
      <c r="AP1478" s="155"/>
      <c r="AQ1478" s="156"/>
      <c r="AR1478" s="157"/>
      <c r="AS1478" s="158"/>
      <c r="AT1478" s="159"/>
      <c r="AU1478" s="161"/>
      <c r="AV1478" s="156"/>
      <c r="AW1478" s="162"/>
      <c r="AX1478" s="163"/>
      <c r="AY1478" s="164"/>
      <c r="AZ1478" s="159"/>
      <c r="BA1478" s="161"/>
      <c r="BB1478" s="165"/>
      <c r="BF1478" s="155"/>
      <c r="BG1478" s="154" t="s">
        <v>5660</v>
      </c>
    </row>
    <row r="1479" spans="1:59" s="154" customFormat="1" ht="15" customHeight="1">
      <c r="A1479" s="153" t="s">
        <v>5461</v>
      </c>
      <c r="B1479" s="153" t="s">
        <v>5558</v>
      </c>
      <c r="C1479" s="154" t="s">
        <v>5491</v>
      </c>
      <c r="D1479" s="170">
        <v>42</v>
      </c>
      <c r="E1479" s="154">
        <v>1</v>
      </c>
      <c r="F1479" s="154" t="s">
        <v>5557</v>
      </c>
      <c r="G1479" s="154" t="s">
        <v>2170</v>
      </c>
      <c r="H1479" s="154" t="s">
        <v>5559</v>
      </c>
      <c r="J1479" s="154" t="s">
        <v>29</v>
      </c>
      <c r="K1479" s="154" t="s">
        <v>2426</v>
      </c>
      <c r="N1479" s="155"/>
      <c r="O1479" s="156"/>
      <c r="P1479" s="157"/>
      <c r="Q1479" s="158">
        <v>5</v>
      </c>
      <c r="R1479" s="159">
        <v>4</v>
      </c>
      <c r="S1479" s="160"/>
      <c r="T1479" s="161">
        <v>1</v>
      </c>
      <c r="U1479" s="156"/>
      <c r="V1479" s="162">
        <v>2</v>
      </c>
      <c r="W1479" s="163">
        <v>1</v>
      </c>
      <c r="X1479" s="164"/>
      <c r="Y1479" s="159"/>
      <c r="Z1479" s="161"/>
      <c r="AA1479" s="165">
        <v>1</v>
      </c>
      <c r="AD1479" s="154" t="s">
        <v>1691</v>
      </c>
      <c r="AE1479" s="155"/>
      <c r="AF1479" s="154" t="s">
        <v>5661</v>
      </c>
      <c r="AP1479" s="155"/>
      <c r="AQ1479" s="156"/>
      <c r="AR1479" s="157"/>
      <c r="AS1479" s="158"/>
      <c r="AT1479" s="159"/>
      <c r="AU1479" s="161"/>
      <c r="AV1479" s="156"/>
      <c r="AW1479" s="162"/>
      <c r="AX1479" s="163"/>
      <c r="AY1479" s="164"/>
      <c r="AZ1479" s="159"/>
      <c r="BA1479" s="161"/>
      <c r="BB1479" s="165"/>
      <c r="BF1479" s="155"/>
    </row>
    <row r="1480" spans="1:59" s="154" customFormat="1" ht="15" customHeight="1">
      <c r="A1480" s="153" t="s">
        <v>5461</v>
      </c>
      <c r="B1480" s="169" t="s">
        <v>5560</v>
      </c>
      <c r="C1480" s="154" t="s">
        <v>5491</v>
      </c>
      <c r="D1480" s="170">
        <v>43</v>
      </c>
      <c r="E1480" s="154">
        <v>1</v>
      </c>
      <c r="F1480" s="154" t="s">
        <v>5557</v>
      </c>
      <c r="G1480" s="154" t="s">
        <v>2170</v>
      </c>
      <c r="H1480" s="154" t="s">
        <v>5561</v>
      </c>
      <c r="J1480" s="154" t="s">
        <v>29</v>
      </c>
      <c r="K1480" s="154" t="s">
        <v>2426</v>
      </c>
      <c r="N1480" s="155"/>
      <c r="O1480" s="156"/>
      <c r="P1480" s="157"/>
      <c r="Q1480" s="158">
        <v>6</v>
      </c>
      <c r="R1480" s="159">
        <v>2</v>
      </c>
      <c r="S1480" s="160"/>
      <c r="T1480" s="161">
        <v>2</v>
      </c>
      <c r="U1480" s="156"/>
      <c r="V1480" s="162">
        <v>1</v>
      </c>
      <c r="W1480" s="163">
        <v>2</v>
      </c>
      <c r="X1480" s="164"/>
      <c r="Y1480" s="159"/>
      <c r="Z1480" s="161"/>
      <c r="AA1480" s="165">
        <v>1</v>
      </c>
      <c r="AD1480" s="154" t="s">
        <v>1691</v>
      </c>
      <c r="AE1480" s="155"/>
      <c r="AF1480" s="154" t="s">
        <v>5662</v>
      </c>
      <c r="AP1480" s="155"/>
      <c r="AQ1480" s="156"/>
      <c r="AR1480" s="157"/>
      <c r="AS1480" s="158"/>
      <c r="AT1480" s="159"/>
      <c r="AU1480" s="161"/>
      <c r="AV1480" s="156"/>
      <c r="AW1480" s="162"/>
      <c r="AX1480" s="163"/>
      <c r="AY1480" s="164"/>
      <c r="AZ1480" s="159"/>
      <c r="BA1480" s="161"/>
      <c r="BB1480" s="165"/>
      <c r="BF1480" s="155"/>
    </row>
    <row r="1481" spans="1:59" s="154" customFormat="1" ht="15" customHeight="1">
      <c r="A1481" s="153" t="s">
        <v>5461</v>
      </c>
      <c r="B1481" s="153" t="s">
        <v>5562</v>
      </c>
      <c r="C1481" s="154" t="s">
        <v>5491</v>
      </c>
      <c r="D1481" s="170">
        <v>44</v>
      </c>
      <c r="E1481" s="154">
        <v>1</v>
      </c>
      <c r="F1481" s="154" t="s">
        <v>5557</v>
      </c>
      <c r="G1481" s="154" t="s">
        <v>2170</v>
      </c>
      <c r="H1481" s="154" t="s">
        <v>5563</v>
      </c>
      <c r="J1481" s="154" t="s">
        <v>29</v>
      </c>
      <c r="K1481" s="154" t="s">
        <v>2426</v>
      </c>
      <c r="N1481" s="155"/>
      <c r="O1481" s="156"/>
      <c r="P1481" s="157"/>
      <c r="Q1481" s="158">
        <v>7</v>
      </c>
      <c r="R1481" s="159">
        <v>3</v>
      </c>
      <c r="S1481" s="160"/>
      <c r="T1481" s="161">
        <v>1</v>
      </c>
      <c r="U1481" s="156"/>
      <c r="V1481" s="162">
        <v>2</v>
      </c>
      <c r="W1481" s="163">
        <v>1</v>
      </c>
      <c r="X1481" s="164"/>
      <c r="Y1481" s="159"/>
      <c r="Z1481" s="161"/>
      <c r="AA1481" s="165">
        <v>1</v>
      </c>
      <c r="AD1481" s="154" t="s">
        <v>1691</v>
      </c>
      <c r="AE1481" s="155"/>
      <c r="AF1481" s="154" t="s">
        <v>5663</v>
      </c>
      <c r="AP1481" s="155"/>
      <c r="AQ1481" s="156"/>
      <c r="AR1481" s="157"/>
      <c r="AS1481" s="158"/>
      <c r="AT1481" s="159"/>
      <c r="AU1481" s="161"/>
      <c r="AV1481" s="156"/>
      <c r="AW1481" s="162"/>
      <c r="AX1481" s="163"/>
      <c r="AY1481" s="164"/>
      <c r="AZ1481" s="159"/>
      <c r="BA1481" s="161"/>
      <c r="BB1481" s="165"/>
      <c r="BF1481" s="155"/>
    </row>
    <row r="1482" spans="1:59" s="154" customFormat="1" ht="15" customHeight="1">
      <c r="A1482" s="153" t="s">
        <v>5461</v>
      </c>
      <c r="B1482" s="153" t="s">
        <v>5564</v>
      </c>
      <c r="C1482" s="154" t="s">
        <v>5491</v>
      </c>
      <c r="D1482" s="170">
        <v>45</v>
      </c>
      <c r="E1482" s="154">
        <v>1</v>
      </c>
      <c r="F1482" s="154" t="s">
        <v>5557</v>
      </c>
      <c r="G1482" s="154" t="s">
        <v>2170</v>
      </c>
      <c r="H1482" s="154" t="s">
        <v>5565</v>
      </c>
      <c r="J1482" s="154" t="s">
        <v>29</v>
      </c>
      <c r="K1482" s="154" t="s">
        <v>2426</v>
      </c>
      <c r="N1482" s="155"/>
      <c r="O1482" s="156"/>
      <c r="P1482" s="157"/>
      <c r="Q1482" s="158">
        <v>6</v>
      </c>
      <c r="R1482" s="159">
        <v>3</v>
      </c>
      <c r="S1482" s="160"/>
      <c r="T1482" s="161">
        <v>1</v>
      </c>
      <c r="U1482" s="156"/>
      <c r="V1482" s="162">
        <v>1</v>
      </c>
      <c r="W1482" s="163">
        <v>2</v>
      </c>
      <c r="X1482" s="164"/>
      <c r="Y1482" s="159"/>
      <c r="Z1482" s="161"/>
      <c r="AA1482" s="165">
        <v>1</v>
      </c>
      <c r="AD1482" s="154" t="s">
        <v>1691</v>
      </c>
      <c r="AE1482" s="155"/>
      <c r="AF1482" s="154" t="s">
        <v>5664</v>
      </c>
      <c r="AP1482" s="155"/>
      <c r="AQ1482" s="156"/>
      <c r="AR1482" s="157"/>
      <c r="AS1482" s="158"/>
      <c r="AT1482" s="159"/>
      <c r="AU1482" s="161"/>
      <c r="AV1482" s="156"/>
      <c r="AW1482" s="162"/>
      <c r="AX1482" s="163"/>
      <c r="AY1482" s="164"/>
      <c r="AZ1482" s="159"/>
      <c r="BA1482" s="161"/>
      <c r="BB1482" s="165"/>
      <c r="BF1482" s="155"/>
    </row>
    <row r="1483" spans="1:59" s="154" customFormat="1" ht="15" customHeight="1">
      <c r="A1483" s="153" t="s">
        <v>5461</v>
      </c>
      <c r="B1483" s="153" t="s">
        <v>5566</v>
      </c>
      <c r="C1483" s="154" t="s">
        <v>5491</v>
      </c>
      <c r="D1483" s="170">
        <v>46</v>
      </c>
      <c r="E1483" s="154">
        <v>2</v>
      </c>
      <c r="F1483" s="154" t="s">
        <v>5557</v>
      </c>
      <c r="G1483" s="154" t="s">
        <v>5567</v>
      </c>
      <c r="J1483" s="154" t="s">
        <v>28</v>
      </c>
      <c r="K1483" s="154" t="s">
        <v>2426</v>
      </c>
      <c r="N1483" s="155"/>
      <c r="O1483" s="156"/>
      <c r="P1483" s="157"/>
      <c r="Q1483" s="158"/>
      <c r="R1483" s="159"/>
      <c r="S1483" s="160"/>
      <c r="T1483" s="161"/>
      <c r="U1483" s="156"/>
      <c r="V1483" s="162"/>
      <c r="W1483" s="163"/>
      <c r="X1483" s="164"/>
      <c r="Y1483" s="159"/>
      <c r="Z1483" s="161"/>
      <c r="AA1483" s="165"/>
      <c r="AD1483" s="154" t="s">
        <v>1663</v>
      </c>
      <c r="AE1483" s="155"/>
      <c r="AF1483" s="154" t="s">
        <v>5665</v>
      </c>
      <c r="AP1483" s="155"/>
      <c r="AQ1483" s="156"/>
      <c r="AR1483" s="157"/>
      <c r="AS1483" s="158"/>
      <c r="AT1483" s="159"/>
      <c r="AU1483" s="161"/>
      <c r="AV1483" s="156"/>
      <c r="AW1483" s="162"/>
      <c r="AX1483" s="163"/>
      <c r="AY1483" s="164"/>
      <c r="AZ1483" s="159"/>
      <c r="BA1483" s="161"/>
      <c r="BB1483" s="165"/>
      <c r="BF1483" s="155"/>
    </row>
    <row r="1484" spans="1:59" s="154" customFormat="1" ht="15" customHeight="1">
      <c r="A1484" s="153" t="s">
        <v>5461</v>
      </c>
      <c r="B1484" s="153" t="s">
        <v>5568</v>
      </c>
      <c r="C1484" s="154" t="s">
        <v>5491</v>
      </c>
      <c r="D1484" s="170">
        <v>47</v>
      </c>
      <c r="E1484" s="154">
        <v>1</v>
      </c>
      <c r="F1484" s="154" t="s">
        <v>5569</v>
      </c>
      <c r="G1484" s="154" t="s">
        <v>5569</v>
      </c>
      <c r="J1484" s="154" t="s">
        <v>618</v>
      </c>
      <c r="K1484" s="154" t="s">
        <v>2426</v>
      </c>
      <c r="N1484" s="155"/>
      <c r="O1484" s="156"/>
      <c r="P1484" s="157"/>
      <c r="Q1484" s="158"/>
      <c r="R1484" s="159"/>
      <c r="S1484" s="160"/>
      <c r="T1484" s="161"/>
      <c r="U1484" s="156"/>
      <c r="V1484" s="162"/>
      <c r="W1484" s="163"/>
      <c r="X1484" s="164"/>
      <c r="Y1484" s="159"/>
      <c r="Z1484" s="161"/>
      <c r="AA1484" s="165"/>
      <c r="AE1484" s="155"/>
      <c r="AF1484" s="154" t="s">
        <v>5666</v>
      </c>
      <c r="AI1484" s="154" t="s">
        <v>5569</v>
      </c>
      <c r="AL1484" s="154" t="s">
        <v>618</v>
      </c>
      <c r="AM1484" s="154" t="s">
        <v>2426</v>
      </c>
      <c r="AP1484" s="155"/>
      <c r="AQ1484" s="156"/>
      <c r="AR1484" s="157"/>
      <c r="AS1484" s="158"/>
      <c r="AT1484" s="159"/>
      <c r="AU1484" s="161"/>
      <c r="AV1484" s="156"/>
      <c r="AW1484" s="162"/>
      <c r="AX1484" s="163"/>
      <c r="AY1484" s="164"/>
      <c r="AZ1484" s="159"/>
      <c r="BA1484" s="161"/>
      <c r="BB1484" s="165"/>
      <c r="BF1484" s="155"/>
      <c r="BG1484" s="154" t="s">
        <v>5667</v>
      </c>
    </row>
    <row r="1485" spans="1:59" s="154" customFormat="1" ht="15" customHeight="1">
      <c r="A1485" s="153" t="s">
        <v>5461</v>
      </c>
      <c r="B1485" s="169" t="s">
        <v>5570</v>
      </c>
      <c r="C1485" s="154" t="s">
        <v>5491</v>
      </c>
      <c r="D1485" s="155">
        <v>48</v>
      </c>
      <c r="E1485" s="154">
        <v>1</v>
      </c>
      <c r="F1485" s="154" t="s">
        <v>5569</v>
      </c>
      <c r="G1485" s="154" t="s">
        <v>2274</v>
      </c>
      <c r="J1485" s="154" t="s">
        <v>31</v>
      </c>
      <c r="K1485" s="154" t="s">
        <v>2426</v>
      </c>
      <c r="N1485" s="155"/>
      <c r="O1485" s="156"/>
      <c r="P1485" s="157"/>
      <c r="Q1485" s="158"/>
      <c r="R1485" s="159"/>
      <c r="S1485" s="160"/>
      <c r="T1485" s="161"/>
      <c r="U1485" s="156"/>
      <c r="V1485" s="162"/>
      <c r="W1485" s="163"/>
      <c r="X1485" s="164"/>
      <c r="Y1485" s="159"/>
      <c r="Z1485" s="161"/>
      <c r="AA1485" s="165"/>
      <c r="AD1485" s="154" t="s">
        <v>2340</v>
      </c>
      <c r="AE1485" s="155"/>
      <c r="AI1485" s="154" t="s">
        <v>2274</v>
      </c>
      <c r="AJ1485" s="154" t="s">
        <v>5571</v>
      </c>
      <c r="AL1485" s="154" t="s">
        <v>31</v>
      </c>
      <c r="AM1485" s="154" t="s">
        <v>2426</v>
      </c>
      <c r="AP1485" s="155"/>
      <c r="AQ1485" s="156"/>
      <c r="AR1485" s="157"/>
      <c r="AS1485" s="158"/>
      <c r="AT1485" s="159"/>
      <c r="AU1485" s="161"/>
      <c r="AV1485" s="156"/>
      <c r="AW1485" s="162"/>
      <c r="AX1485" s="163"/>
      <c r="AY1485" s="164">
        <v>4</v>
      </c>
      <c r="AZ1485" s="159">
        <v>3</v>
      </c>
      <c r="BA1485" s="161"/>
      <c r="BB1485" s="165"/>
      <c r="BE1485" s="154" t="s">
        <v>2340</v>
      </c>
      <c r="BF1485" s="155"/>
      <c r="BG1485" s="154" t="s">
        <v>5668</v>
      </c>
    </row>
    <row r="1486" spans="1:59" s="154" customFormat="1" ht="15" customHeight="1">
      <c r="A1486" s="153" t="s">
        <v>5461</v>
      </c>
      <c r="B1486" s="153" t="s">
        <v>5572</v>
      </c>
      <c r="C1486" s="154" t="s">
        <v>5491</v>
      </c>
      <c r="D1486" s="155">
        <v>49</v>
      </c>
      <c r="E1486" s="154">
        <v>1</v>
      </c>
      <c r="F1486" s="154" t="s">
        <v>5569</v>
      </c>
      <c r="G1486" s="154" t="s">
        <v>2276</v>
      </c>
      <c r="J1486" s="154" t="s">
        <v>31</v>
      </c>
      <c r="K1486" s="154" t="s">
        <v>2426</v>
      </c>
      <c r="N1486" s="155"/>
      <c r="O1486" s="156"/>
      <c r="P1486" s="157"/>
      <c r="Q1486" s="158"/>
      <c r="R1486" s="159"/>
      <c r="S1486" s="160"/>
      <c r="T1486" s="161"/>
      <c r="U1486" s="156"/>
      <c r="V1486" s="162"/>
      <c r="W1486" s="163"/>
      <c r="X1486" s="164"/>
      <c r="Y1486" s="159"/>
      <c r="Z1486" s="161"/>
      <c r="AA1486" s="165"/>
      <c r="AD1486" s="154" t="s">
        <v>2340</v>
      </c>
      <c r="AE1486" s="155"/>
      <c r="AI1486" s="154" t="s">
        <v>2276</v>
      </c>
      <c r="AJ1486" s="154" t="s">
        <v>5571</v>
      </c>
      <c r="AL1486" s="154" t="s">
        <v>31</v>
      </c>
      <c r="AM1486" s="154" t="s">
        <v>2426</v>
      </c>
      <c r="AP1486" s="155"/>
      <c r="AQ1486" s="156"/>
      <c r="AR1486" s="157"/>
      <c r="AS1486" s="158"/>
      <c r="AT1486" s="159"/>
      <c r="AU1486" s="161"/>
      <c r="AV1486" s="156"/>
      <c r="AW1486" s="162"/>
      <c r="AX1486" s="163"/>
      <c r="AY1486" s="164">
        <v>4</v>
      </c>
      <c r="AZ1486" s="159">
        <v>3</v>
      </c>
      <c r="BA1486" s="161"/>
      <c r="BB1486" s="165"/>
      <c r="BE1486" s="154" t="s">
        <v>2340</v>
      </c>
      <c r="BF1486" s="155"/>
      <c r="BG1486" s="154" t="s">
        <v>5573</v>
      </c>
    </row>
    <row r="1487" spans="1:59" s="154" customFormat="1" ht="15" customHeight="1">
      <c r="A1487" s="153" t="s">
        <v>5461</v>
      </c>
      <c r="B1487" s="183" t="s">
        <v>5574</v>
      </c>
      <c r="C1487" s="154" t="s">
        <v>5491</v>
      </c>
      <c r="D1487" s="155">
        <v>50</v>
      </c>
      <c r="E1487" s="154">
        <v>1</v>
      </c>
      <c r="F1487" s="154" t="s">
        <v>5569</v>
      </c>
      <c r="G1487" s="154" t="s">
        <v>5575</v>
      </c>
      <c r="J1487" s="154" t="s">
        <v>31</v>
      </c>
      <c r="K1487" s="154" t="s">
        <v>2426</v>
      </c>
      <c r="N1487" s="155"/>
      <c r="O1487" s="156"/>
      <c r="P1487" s="157"/>
      <c r="Q1487" s="158"/>
      <c r="R1487" s="159"/>
      <c r="S1487" s="160"/>
      <c r="T1487" s="161"/>
      <c r="U1487" s="156"/>
      <c r="V1487" s="162"/>
      <c r="W1487" s="163"/>
      <c r="X1487" s="164"/>
      <c r="Y1487" s="159"/>
      <c r="Z1487" s="161"/>
      <c r="AA1487" s="165"/>
      <c r="AD1487" s="154" t="s">
        <v>2344</v>
      </c>
      <c r="AE1487" s="155"/>
      <c r="AI1487" s="154" t="s">
        <v>2307</v>
      </c>
      <c r="AL1487" s="154" t="s">
        <v>31</v>
      </c>
      <c r="AM1487" s="154" t="s">
        <v>2426</v>
      </c>
      <c r="AP1487" s="155"/>
      <c r="AQ1487" s="156"/>
      <c r="AR1487" s="157"/>
      <c r="AS1487" s="158"/>
      <c r="AT1487" s="159"/>
      <c r="AU1487" s="161"/>
      <c r="AV1487" s="156"/>
      <c r="AW1487" s="162"/>
      <c r="AX1487" s="163"/>
      <c r="AY1487" s="164">
        <v>2</v>
      </c>
      <c r="AZ1487" s="159" t="s">
        <v>1073</v>
      </c>
      <c r="BA1487" s="161"/>
      <c r="BB1487" s="165"/>
      <c r="BE1487" s="154" t="s">
        <v>2344</v>
      </c>
      <c r="BF1487" s="155"/>
      <c r="BG1487" s="154" t="s">
        <v>5669</v>
      </c>
    </row>
    <row r="1488" spans="1:59" s="154" customFormat="1" ht="15" customHeight="1">
      <c r="A1488" s="153" t="s">
        <v>5461</v>
      </c>
      <c r="B1488" s="154" t="s">
        <v>5576</v>
      </c>
      <c r="C1488" s="154" t="s">
        <v>5491</v>
      </c>
      <c r="D1488" s="155">
        <v>51</v>
      </c>
      <c r="E1488" s="154">
        <v>1</v>
      </c>
      <c r="F1488" s="154" t="s">
        <v>5569</v>
      </c>
      <c r="G1488" s="154" t="s">
        <v>5577</v>
      </c>
      <c r="J1488" s="154" t="s">
        <v>31</v>
      </c>
      <c r="K1488" s="154" t="s">
        <v>2426</v>
      </c>
      <c r="N1488" s="155"/>
      <c r="O1488" s="156"/>
      <c r="P1488" s="157"/>
      <c r="Q1488" s="158"/>
      <c r="R1488" s="159"/>
      <c r="S1488" s="160"/>
      <c r="T1488" s="161"/>
      <c r="U1488" s="156"/>
      <c r="V1488" s="162"/>
      <c r="W1488" s="163"/>
      <c r="X1488" s="164"/>
      <c r="Y1488" s="159"/>
      <c r="Z1488" s="161"/>
      <c r="AA1488" s="165"/>
      <c r="AD1488" s="154" t="s">
        <v>2348</v>
      </c>
      <c r="AE1488" s="155"/>
      <c r="AI1488" s="154" t="s">
        <v>2308</v>
      </c>
      <c r="AL1488" s="154" t="s">
        <v>31</v>
      </c>
      <c r="AM1488" s="154" t="s">
        <v>2426</v>
      </c>
      <c r="AP1488" s="155"/>
      <c r="AQ1488" s="156"/>
      <c r="AR1488" s="157"/>
      <c r="AS1488" s="158"/>
      <c r="AT1488" s="159"/>
      <c r="AU1488" s="161"/>
      <c r="AV1488" s="156"/>
      <c r="AW1488" s="162"/>
      <c r="AX1488" s="163"/>
      <c r="AY1488" s="164">
        <v>4</v>
      </c>
      <c r="AZ1488" s="159" t="s">
        <v>1073</v>
      </c>
      <c r="BA1488" s="161"/>
      <c r="BB1488" s="165"/>
      <c r="BE1488" s="154" t="s">
        <v>2348</v>
      </c>
      <c r="BF1488" s="155"/>
      <c r="BG1488" s="154" t="s">
        <v>5670</v>
      </c>
    </row>
    <row r="1489" spans="1:59" s="154" customFormat="1" ht="15" customHeight="1">
      <c r="A1489" s="153" t="s">
        <v>5461</v>
      </c>
      <c r="B1489" s="154" t="s">
        <v>5578</v>
      </c>
      <c r="C1489" s="154" t="s">
        <v>5491</v>
      </c>
      <c r="D1489" s="155">
        <v>52</v>
      </c>
      <c r="E1489" s="154">
        <v>1</v>
      </c>
      <c r="F1489" s="154" t="s">
        <v>5569</v>
      </c>
      <c r="G1489" s="154" t="s">
        <v>5579</v>
      </c>
      <c r="H1489" s="154" t="s">
        <v>5580</v>
      </c>
      <c r="I1489" s="154" t="s">
        <v>223</v>
      </c>
      <c r="J1489" s="154" t="s">
        <v>257</v>
      </c>
      <c r="K1489" s="154" t="s">
        <v>26</v>
      </c>
      <c r="N1489" s="155">
        <v>5</v>
      </c>
      <c r="O1489" s="156"/>
      <c r="P1489" s="157">
        <v>2</v>
      </c>
      <c r="Q1489" s="158">
        <v>2</v>
      </c>
      <c r="R1489" s="159"/>
      <c r="S1489" s="160"/>
      <c r="T1489" s="161">
        <v>3</v>
      </c>
      <c r="U1489" s="156">
        <v>3</v>
      </c>
      <c r="V1489" s="162"/>
      <c r="W1489" s="163"/>
      <c r="X1489" s="164"/>
      <c r="Y1489" s="159"/>
      <c r="Z1489" s="161"/>
      <c r="AA1489" s="165"/>
      <c r="AB1489" s="154" t="s">
        <v>5581</v>
      </c>
      <c r="AC1489" s="154" t="s">
        <v>25</v>
      </c>
      <c r="AD1489" s="154" t="s">
        <v>5582</v>
      </c>
      <c r="AE1489" s="155"/>
      <c r="AF1489" s="154" t="s">
        <v>5671</v>
      </c>
      <c r="AJ1489" s="171"/>
      <c r="AP1489" s="155"/>
      <c r="AQ1489" s="156"/>
      <c r="AR1489" s="157"/>
      <c r="AS1489" s="158"/>
      <c r="AT1489" s="159"/>
      <c r="AU1489" s="161"/>
      <c r="AV1489" s="156"/>
      <c r="AW1489" s="162"/>
      <c r="AX1489" s="163"/>
      <c r="AY1489" s="164"/>
      <c r="AZ1489" s="159"/>
      <c r="BA1489" s="161"/>
      <c r="BB1489" s="165"/>
      <c r="BF1489" s="155"/>
    </row>
    <row r="1490" spans="1:59" s="154" customFormat="1" ht="15" customHeight="1">
      <c r="A1490" s="153" t="s">
        <v>5461</v>
      </c>
      <c r="B1490" s="154" t="s">
        <v>5583</v>
      </c>
      <c r="C1490" s="154" t="s">
        <v>5491</v>
      </c>
      <c r="D1490" s="155">
        <v>53</v>
      </c>
      <c r="E1490" s="154">
        <v>1</v>
      </c>
      <c r="F1490" s="154" t="s">
        <v>5584</v>
      </c>
      <c r="G1490" s="154" t="s">
        <v>5584</v>
      </c>
      <c r="J1490" s="154" t="s">
        <v>618</v>
      </c>
      <c r="K1490" s="154" t="s">
        <v>2426</v>
      </c>
      <c r="N1490" s="155"/>
      <c r="O1490" s="156"/>
      <c r="P1490" s="157"/>
      <c r="Q1490" s="158"/>
      <c r="R1490" s="159"/>
      <c r="S1490" s="160"/>
      <c r="T1490" s="161"/>
      <c r="U1490" s="156"/>
      <c r="V1490" s="162"/>
      <c r="W1490" s="163"/>
      <c r="X1490" s="164"/>
      <c r="Y1490" s="159"/>
      <c r="Z1490" s="161"/>
      <c r="AA1490" s="165"/>
      <c r="AE1490" s="155"/>
      <c r="AF1490" s="154" t="s">
        <v>5672</v>
      </c>
      <c r="AI1490" s="154" t="s">
        <v>5584</v>
      </c>
      <c r="AL1490" s="154" t="s">
        <v>618</v>
      </c>
      <c r="AM1490" s="154" t="s">
        <v>2426</v>
      </c>
      <c r="AP1490" s="155"/>
      <c r="AQ1490" s="156"/>
      <c r="AR1490" s="157"/>
      <c r="AS1490" s="158"/>
      <c r="AT1490" s="159"/>
      <c r="AU1490" s="161"/>
      <c r="AV1490" s="156"/>
      <c r="AW1490" s="162"/>
      <c r="AX1490" s="163"/>
      <c r="AY1490" s="164"/>
      <c r="AZ1490" s="159"/>
      <c r="BA1490" s="161"/>
      <c r="BB1490" s="165"/>
      <c r="BF1490" s="155"/>
      <c r="BG1490" s="154" t="s">
        <v>5673</v>
      </c>
    </row>
    <row r="1491" spans="1:59" s="154" customFormat="1" ht="15" customHeight="1">
      <c r="A1491" s="153" t="s">
        <v>5461</v>
      </c>
      <c r="B1491" s="153" t="s">
        <v>5585</v>
      </c>
      <c r="C1491" s="154" t="s">
        <v>5491</v>
      </c>
      <c r="D1491" s="155">
        <v>54</v>
      </c>
      <c r="E1491" s="154">
        <v>1</v>
      </c>
      <c r="F1491" s="154" t="s">
        <v>5584</v>
      </c>
      <c r="G1491" s="154" t="s">
        <v>5586</v>
      </c>
      <c r="J1491" s="154" t="s">
        <v>619</v>
      </c>
      <c r="K1491" s="154" t="s">
        <v>2426</v>
      </c>
      <c r="L1491" s="154">
        <v>3</v>
      </c>
      <c r="N1491" s="155"/>
      <c r="O1491" s="156"/>
      <c r="P1491" s="157"/>
      <c r="Q1491" s="158"/>
      <c r="R1491" s="159"/>
      <c r="S1491" s="160"/>
      <c r="T1491" s="161"/>
      <c r="U1491" s="156"/>
      <c r="V1491" s="162"/>
      <c r="W1491" s="163"/>
      <c r="X1491" s="164"/>
      <c r="Y1491" s="159"/>
      <c r="Z1491" s="161">
        <v>6</v>
      </c>
      <c r="AA1491" s="165"/>
      <c r="AE1491" s="155"/>
      <c r="AF1491" s="154" t="s">
        <v>2430</v>
      </c>
      <c r="AI1491" s="154" t="s">
        <v>5587</v>
      </c>
      <c r="AL1491" s="154" t="s">
        <v>619</v>
      </c>
      <c r="AM1491" s="154" t="s">
        <v>2426</v>
      </c>
      <c r="AN1491" s="154">
        <v>3</v>
      </c>
      <c r="AP1491" s="155"/>
      <c r="AQ1491" s="156"/>
      <c r="AR1491" s="157"/>
      <c r="AS1491" s="158"/>
      <c r="AT1491" s="159"/>
      <c r="AU1491" s="161"/>
      <c r="AV1491" s="156"/>
      <c r="AW1491" s="162"/>
      <c r="AX1491" s="163"/>
      <c r="AY1491" s="164"/>
      <c r="AZ1491" s="159"/>
      <c r="BA1491" s="161"/>
      <c r="BB1491" s="165"/>
      <c r="BF1491" s="155"/>
      <c r="BG1491" s="154" t="s">
        <v>5674</v>
      </c>
    </row>
    <row r="1492" spans="1:59" s="154" customFormat="1" ht="15" customHeight="1">
      <c r="A1492" s="153" t="s">
        <v>5461</v>
      </c>
      <c r="B1492" s="153" t="s">
        <v>5588</v>
      </c>
      <c r="C1492" s="154" t="s">
        <v>5491</v>
      </c>
      <c r="D1492" s="155">
        <v>55</v>
      </c>
      <c r="E1492" s="154">
        <v>1</v>
      </c>
      <c r="F1492" s="154" t="s">
        <v>5584</v>
      </c>
      <c r="G1492" s="154" t="s">
        <v>5589</v>
      </c>
      <c r="J1492" s="154" t="s">
        <v>621</v>
      </c>
      <c r="K1492" s="154" t="s">
        <v>2426</v>
      </c>
      <c r="L1492" s="154">
        <v>2</v>
      </c>
      <c r="N1492" s="155"/>
      <c r="O1492" s="156"/>
      <c r="P1492" s="157"/>
      <c r="Q1492" s="158"/>
      <c r="R1492" s="159"/>
      <c r="S1492" s="160"/>
      <c r="T1492" s="161"/>
      <c r="U1492" s="156"/>
      <c r="V1492" s="162"/>
      <c r="W1492" s="163"/>
      <c r="X1492" s="164"/>
      <c r="Y1492" s="159" t="s">
        <v>38</v>
      </c>
      <c r="Z1492" s="161"/>
      <c r="AA1492" s="165"/>
      <c r="AE1492" s="155"/>
      <c r="AF1492" s="154" t="s">
        <v>2453</v>
      </c>
      <c r="AI1492" s="154" t="s">
        <v>5590</v>
      </c>
      <c r="AL1492" s="154" t="s">
        <v>621</v>
      </c>
      <c r="AM1492" s="154" t="s">
        <v>2426</v>
      </c>
      <c r="AN1492" s="154">
        <v>2</v>
      </c>
      <c r="AP1492" s="155"/>
      <c r="AQ1492" s="156"/>
      <c r="AR1492" s="157"/>
      <c r="AS1492" s="158"/>
      <c r="AT1492" s="159"/>
      <c r="AU1492" s="161"/>
      <c r="AV1492" s="156"/>
      <c r="AW1492" s="162"/>
      <c r="AX1492" s="163"/>
      <c r="AY1492" s="164"/>
      <c r="AZ1492" s="159"/>
      <c r="BA1492" s="161"/>
      <c r="BB1492" s="165"/>
      <c r="BF1492" s="155"/>
      <c r="BG1492" s="154" t="s">
        <v>5675</v>
      </c>
    </row>
    <row r="1493" spans="1:59" s="154" customFormat="1" ht="15" customHeight="1">
      <c r="A1493" s="153" t="s">
        <v>5461</v>
      </c>
      <c r="B1493" s="153" t="s">
        <v>5591</v>
      </c>
      <c r="C1493" s="154" t="s">
        <v>5491</v>
      </c>
      <c r="D1493" s="155">
        <v>56</v>
      </c>
      <c r="E1493" s="154">
        <v>1</v>
      </c>
      <c r="F1493" s="154" t="s">
        <v>5584</v>
      </c>
      <c r="G1493" s="154" t="s">
        <v>2296</v>
      </c>
      <c r="H1493" s="154" t="s">
        <v>5592</v>
      </c>
      <c r="I1493" s="154" t="s">
        <v>223</v>
      </c>
      <c r="J1493" s="154" t="s">
        <v>29</v>
      </c>
      <c r="K1493" s="154" t="s">
        <v>2426</v>
      </c>
      <c r="N1493" s="155"/>
      <c r="O1493" s="156"/>
      <c r="P1493" s="157"/>
      <c r="Q1493" s="158">
        <v>5</v>
      </c>
      <c r="R1493" s="159">
        <v>5</v>
      </c>
      <c r="S1493" s="160"/>
      <c r="T1493" s="161" t="s">
        <v>4883</v>
      </c>
      <c r="U1493" s="156"/>
      <c r="V1493" s="162">
        <v>1</v>
      </c>
      <c r="W1493" s="163">
        <v>1</v>
      </c>
      <c r="X1493" s="164"/>
      <c r="Y1493" s="159"/>
      <c r="Z1493" s="161"/>
      <c r="AA1493" s="165">
        <v>2</v>
      </c>
      <c r="AD1493" s="154" t="s">
        <v>5593</v>
      </c>
      <c r="AE1493" s="155"/>
      <c r="AF1493" s="154" t="s">
        <v>5676</v>
      </c>
      <c r="AP1493" s="155"/>
      <c r="AQ1493" s="156"/>
      <c r="AR1493" s="157"/>
      <c r="AS1493" s="158"/>
      <c r="AT1493" s="159"/>
      <c r="AU1493" s="161"/>
      <c r="AV1493" s="156"/>
      <c r="AW1493" s="162"/>
      <c r="AX1493" s="163"/>
      <c r="AY1493" s="164"/>
      <c r="AZ1493" s="159"/>
      <c r="BA1493" s="161"/>
      <c r="BB1493" s="165"/>
      <c r="BF1493" s="155"/>
    </row>
    <row r="1494" spans="1:59" s="154" customFormat="1" ht="15" customHeight="1">
      <c r="A1494" s="153" t="s">
        <v>5461</v>
      </c>
      <c r="B1494" s="23" t="s">
        <v>5594</v>
      </c>
      <c r="C1494" s="154" t="s">
        <v>5491</v>
      </c>
      <c r="D1494" s="155">
        <v>57</v>
      </c>
      <c r="E1494" s="154">
        <v>1</v>
      </c>
      <c r="F1494" s="154" t="s">
        <v>5584</v>
      </c>
      <c r="G1494" s="154" t="s">
        <v>5595</v>
      </c>
      <c r="H1494" s="154" t="s">
        <v>5596</v>
      </c>
      <c r="J1494" s="154" t="s">
        <v>31</v>
      </c>
      <c r="K1494" s="154" t="s">
        <v>2426</v>
      </c>
      <c r="N1494" s="155"/>
      <c r="O1494" s="156"/>
      <c r="P1494" s="157"/>
      <c r="Q1494" s="158"/>
      <c r="R1494" s="159"/>
      <c r="S1494" s="160"/>
      <c r="T1494" s="161"/>
      <c r="U1494" s="156"/>
      <c r="V1494" s="162"/>
      <c r="W1494" s="163"/>
      <c r="X1494" s="164">
        <v>9</v>
      </c>
      <c r="Y1494" s="159">
        <v>0</v>
      </c>
      <c r="Z1494" s="161"/>
      <c r="AA1494" s="165"/>
      <c r="AD1494" s="154" t="s">
        <v>2466</v>
      </c>
      <c r="AE1494" s="155"/>
      <c r="AF1494" s="154" t="s">
        <v>5677</v>
      </c>
      <c r="AP1494" s="155"/>
      <c r="AQ1494" s="156"/>
      <c r="AR1494" s="157"/>
      <c r="AS1494" s="158"/>
      <c r="AT1494" s="159"/>
      <c r="AU1494" s="161"/>
      <c r="AV1494" s="156"/>
      <c r="AW1494" s="162"/>
      <c r="AX1494" s="163"/>
      <c r="AY1494" s="164"/>
      <c r="AZ1494" s="159"/>
      <c r="BA1494" s="161"/>
      <c r="BB1494" s="165"/>
      <c r="BF1494" s="155"/>
    </row>
    <row r="1495" spans="1:59" s="154" customFormat="1" ht="15" customHeight="1">
      <c r="A1495" s="153" t="s">
        <v>5461</v>
      </c>
      <c r="B1495" s="23" t="s">
        <v>5597</v>
      </c>
      <c r="C1495" s="154" t="s">
        <v>5491</v>
      </c>
      <c r="D1495" s="155">
        <v>58</v>
      </c>
      <c r="E1495" s="154">
        <v>1</v>
      </c>
      <c r="F1495" s="154" t="s">
        <v>5584</v>
      </c>
      <c r="G1495" s="154" t="s">
        <v>5598</v>
      </c>
      <c r="J1495" s="154" t="s">
        <v>31</v>
      </c>
      <c r="K1495" s="154" t="s">
        <v>2426</v>
      </c>
      <c r="N1495" s="155"/>
      <c r="O1495" s="156"/>
      <c r="P1495" s="157"/>
      <c r="Q1495" s="158"/>
      <c r="R1495" s="159"/>
      <c r="S1495" s="160"/>
      <c r="T1495" s="161"/>
      <c r="U1495" s="156"/>
      <c r="V1495" s="162"/>
      <c r="W1495" s="163"/>
      <c r="X1495" s="164">
        <v>3</v>
      </c>
      <c r="Y1495" s="159">
        <v>1</v>
      </c>
      <c r="Z1495" s="161"/>
      <c r="AA1495" s="165"/>
      <c r="AD1495" s="154" t="s">
        <v>2482</v>
      </c>
      <c r="AE1495" s="155"/>
      <c r="AF1495" s="154" t="s">
        <v>5678</v>
      </c>
      <c r="AP1495" s="155"/>
      <c r="AQ1495" s="156"/>
      <c r="AR1495" s="157"/>
      <c r="AS1495" s="158"/>
      <c r="AT1495" s="159"/>
      <c r="AU1495" s="161"/>
      <c r="AV1495" s="156"/>
      <c r="AW1495" s="162"/>
      <c r="AX1495" s="163"/>
      <c r="AY1495" s="164"/>
      <c r="AZ1495" s="159"/>
      <c r="BA1495" s="161"/>
      <c r="BB1495" s="165"/>
      <c r="BF1495" s="155"/>
    </row>
    <row r="1496" spans="1:59" s="154" customFormat="1" ht="15" customHeight="1">
      <c r="A1496" s="153" t="s">
        <v>5461</v>
      </c>
      <c r="B1496" s="23" t="s">
        <v>5599</v>
      </c>
      <c r="C1496" s="154" t="s">
        <v>5491</v>
      </c>
      <c r="D1496" s="155">
        <v>59</v>
      </c>
      <c r="E1496" s="154">
        <v>1</v>
      </c>
      <c r="F1496" s="154" t="s">
        <v>5584</v>
      </c>
      <c r="G1496" s="154" t="s">
        <v>5600</v>
      </c>
      <c r="J1496" s="154" t="s">
        <v>31</v>
      </c>
      <c r="K1496" s="154" t="s">
        <v>2426</v>
      </c>
      <c r="N1496" s="155"/>
      <c r="O1496" s="156"/>
      <c r="P1496" s="157"/>
      <c r="Q1496" s="158"/>
      <c r="R1496" s="159"/>
      <c r="S1496" s="160"/>
      <c r="T1496" s="161"/>
      <c r="U1496" s="156"/>
      <c r="V1496" s="162"/>
      <c r="W1496" s="163"/>
      <c r="X1496" s="164">
        <v>3</v>
      </c>
      <c r="Y1496" s="159">
        <v>4</v>
      </c>
      <c r="Z1496" s="161"/>
      <c r="AA1496" s="165"/>
      <c r="AD1496" s="154" t="s">
        <v>2482</v>
      </c>
      <c r="AE1496" s="155"/>
      <c r="AF1496" s="154" t="s">
        <v>5679</v>
      </c>
      <c r="AP1496" s="155"/>
      <c r="AQ1496" s="156"/>
      <c r="AR1496" s="157"/>
      <c r="AS1496" s="158"/>
      <c r="AT1496" s="159"/>
      <c r="AU1496" s="161"/>
      <c r="AV1496" s="156"/>
      <c r="AW1496" s="162"/>
      <c r="AX1496" s="163"/>
      <c r="AY1496" s="164"/>
      <c r="AZ1496" s="159"/>
      <c r="BA1496" s="161"/>
      <c r="BB1496" s="165"/>
      <c r="BF1496" s="155"/>
    </row>
    <row r="1497" spans="1:59" s="154" customFormat="1" ht="15" customHeight="1">
      <c r="A1497" s="153" t="s">
        <v>5461</v>
      </c>
      <c r="B1497" s="23" t="s">
        <v>5601</v>
      </c>
      <c r="C1497" s="154" t="s">
        <v>5491</v>
      </c>
      <c r="D1497" s="155">
        <v>60</v>
      </c>
      <c r="E1497" s="154">
        <v>1</v>
      </c>
      <c r="F1497" s="154" t="s">
        <v>5584</v>
      </c>
      <c r="G1497" s="154" t="s">
        <v>5602</v>
      </c>
      <c r="J1497" s="154" t="s">
        <v>31</v>
      </c>
      <c r="K1497" s="154" t="s">
        <v>2426</v>
      </c>
      <c r="N1497" s="155"/>
      <c r="O1497" s="156"/>
      <c r="P1497" s="157"/>
      <c r="Q1497" s="158"/>
      <c r="R1497" s="159"/>
      <c r="S1497" s="160"/>
      <c r="T1497" s="161"/>
      <c r="U1497" s="156"/>
      <c r="V1497" s="162"/>
      <c r="W1497" s="163"/>
      <c r="X1497" s="164">
        <v>3</v>
      </c>
      <c r="Y1497" s="159" t="s">
        <v>1073</v>
      </c>
      <c r="Z1497" s="161"/>
      <c r="AA1497" s="165"/>
      <c r="AD1497" s="154" t="s">
        <v>2482</v>
      </c>
      <c r="AE1497" s="155"/>
      <c r="AF1497" s="154" t="s">
        <v>5680</v>
      </c>
      <c r="AP1497" s="155"/>
      <c r="AQ1497" s="156"/>
      <c r="AR1497" s="157"/>
      <c r="AS1497" s="158"/>
      <c r="AT1497" s="159"/>
      <c r="AU1497" s="161"/>
      <c r="AV1497" s="156"/>
      <c r="AW1497" s="162"/>
      <c r="AX1497" s="163"/>
      <c r="AY1497" s="164"/>
      <c r="AZ1497" s="159"/>
      <c r="BA1497" s="161"/>
      <c r="BB1497" s="165"/>
      <c r="BF1497" s="155"/>
    </row>
    <row r="1498" spans="1:59" s="154" customFormat="1" ht="15" customHeight="1">
      <c r="A1498" s="153" t="s">
        <v>5461</v>
      </c>
      <c r="B1498" s="23" t="s">
        <v>5603</v>
      </c>
      <c r="C1498" s="154" t="s">
        <v>5491</v>
      </c>
      <c r="D1498" s="155">
        <v>61</v>
      </c>
      <c r="E1498" s="154">
        <v>2</v>
      </c>
      <c r="F1498" s="154" t="s">
        <v>5604</v>
      </c>
      <c r="G1498" s="154" t="s">
        <v>5605</v>
      </c>
      <c r="J1498" s="154" t="s">
        <v>28</v>
      </c>
      <c r="K1498" s="154" t="s">
        <v>2426</v>
      </c>
      <c r="N1498" s="155"/>
      <c r="O1498" s="156"/>
      <c r="P1498" s="157"/>
      <c r="Q1498" s="158"/>
      <c r="R1498" s="159"/>
      <c r="S1498" s="160"/>
      <c r="T1498" s="161"/>
      <c r="U1498" s="156"/>
      <c r="V1498" s="162"/>
      <c r="W1498" s="163"/>
      <c r="X1498" s="164"/>
      <c r="Y1498" s="159"/>
      <c r="Z1498" s="161"/>
      <c r="AA1498" s="165"/>
      <c r="AD1498" s="154" t="s">
        <v>486</v>
      </c>
      <c r="AE1498" s="155"/>
      <c r="AF1498" s="154" t="s">
        <v>5681</v>
      </c>
      <c r="AP1498" s="155"/>
      <c r="AQ1498" s="156"/>
      <c r="AR1498" s="157"/>
      <c r="AS1498" s="158"/>
      <c r="AT1498" s="159"/>
      <c r="AU1498" s="161"/>
      <c r="AV1498" s="156"/>
      <c r="AW1498" s="162"/>
      <c r="AX1498" s="163"/>
      <c r="AY1498" s="164"/>
      <c r="AZ1498" s="159"/>
      <c r="BA1498" s="161"/>
      <c r="BB1498" s="165"/>
      <c r="BF1498" s="155"/>
    </row>
    <row r="1499" spans="1:59" s="154" customFormat="1" ht="15" customHeight="1">
      <c r="A1499" s="153" t="s">
        <v>5461</v>
      </c>
      <c r="B1499" s="23" t="s">
        <v>5606</v>
      </c>
      <c r="C1499" s="154" t="s">
        <v>5491</v>
      </c>
      <c r="D1499" s="155">
        <v>62</v>
      </c>
      <c r="E1499" s="154">
        <v>2</v>
      </c>
      <c r="F1499" s="154" t="s">
        <v>5604</v>
      </c>
      <c r="G1499" s="154" t="s">
        <v>5607</v>
      </c>
      <c r="J1499" s="154" t="s">
        <v>28</v>
      </c>
      <c r="K1499" s="154" t="s">
        <v>2426</v>
      </c>
      <c r="N1499" s="155"/>
      <c r="O1499" s="156"/>
      <c r="P1499" s="157"/>
      <c r="Q1499" s="158"/>
      <c r="R1499" s="159"/>
      <c r="S1499" s="160"/>
      <c r="T1499" s="161"/>
      <c r="U1499" s="156"/>
      <c r="V1499" s="162"/>
      <c r="W1499" s="163"/>
      <c r="X1499" s="164"/>
      <c r="Y1499" s="159"/>
      <c r="Z1499" s="161"/>
      <c r="AA1499" s="165"/>
      <c r="AD1499" s="154" t="s">
        <v>486</v>
      </c>
      <c r="AE1499" s="155"/>
      <c r="AF1499" s="154" t="s">
        <v>5682</v>
      </c>
      <c r="AP1499" s="155"/>
      <c r="AQ1499" s="156"/>
      <c r="AR1499" s="157"/>
      <c r="AS1499" s="158"/>
      <c r="AT1499" s="159"/>
      <c r="AU1499" s="161"/>
      <c r="AV1499" s="156"/>
      <c r="AW1499" s="162"/>
      <c r="AX1499" s="163"/>
      <c r="AY1499" s="164"/>
      <c r="AZ1499" s="159"/>
      <c r="BA1499" s="161"/>
      <c r="BB1499" s="165"/>
      <c r="BF1499" s="155"/>
    </row>
    <row r="1500" spans="1:59" s="154" customFormat="1" ht="15" customHeight="1">
      <c r="A1500" s="153" t="s">
        <v>5461</v>
      </c>
      <c r="B1500" s="23" t="s">
        <v>5608</v>
      </c>
      <c r="C1500" s="154" t="s">
        <v>5491</v>
      </c>
      <c r="D1500" s="155">
        <v>63</v>
      </c>
      <c r="E1500" s="154">
        <v>2</v>
      </c>
      <c r="F1500" s="154" t="s">
        <v>5604</v>
      </c>
      <c r="G1500" s="154" t="s">
        <v>5609</v>
      </c>
      <c r="J1500" s="154" t="s">
        <v>28</v>
      </c>
      <c r="K1500" s="154" t="s">
        <v>2426</v>
      </c>
      <c r="N1500" s="155"/>
      <c r="O1500" s="156"/>
      <c r="P1500" s="157"/>
      <c r="Q1500" s="158"/>
      <c r="R1500" s="159"/>
      <c r="S1500" s="160"/>
      <c r="T1500" s="161"/>
      <c r="U1500" s="156"/>
      <c r="V1500" s="162"/>
      <c r="W1500" s="163"/>
      <c r="X1500" s="164"/>
      <c r="Y1500" s="159"/>
      <c r="Z1500" s="161"/>
      <c r="AA1500" s="165"/>
      <c r="AD1500" s="154" t="s">
        <v>486</v>
      </c>
      <c r="AE1500" s="155"/>
      <c r="AF1500" s="154" t="s">
        <v>5683</v>
      </c>
      <c r="AP1500" s="155"/>
      <c r="AQ1500" s="156"/>
      <c r="AR1500" s="157"/>
      <c r="AS1500" s="158"/>
      <c r="AT1500" s="159"/>
      <c r="AU1500" s="161"/>
      <c r="AV1500" s="156"/>
      <c r="AW1500" s="162"/>
      <c r="AX1500" s="163"/>
      <c r="AY1500" s="164"/>
      <c r="AZ1500" s="159"/>
      <c r="BA1500" s="161"/>
      <c r="BB1500" s="165"/>
      <c r="BF1500" s="155"/>
    </row>
    <row r="1501" spans="1:59" s="154" customFormat="1" ht="15" customHeight="1">
      <c r="A1501" s="153" t="s">
        <v>5461</v>
      </c>
      <c r="B1501" s="23" t="s">
        <v>5610</v>
      </c>
      <c r="C1501" s="154" t="s">
        <v>5491</v>
      </c>
      <c r="D1501" s="155">
        <v>64</v>
      </c>
      <c r="E1501" s="154">
        <v>3</v>
      </c>
      <c r="F1501" s="154" t="s">
        <v>5611</v>
      </c>
      <c r="G1501" s="154" t="s">
        <v>5611</v>
      </c>
      <c r="J1501" s="154" t="s">
        <v>28</v>
      </c>
      <c r="K1501" s="154" t="s">
        <v>2426</v>
      </c>
      <c r="N1501" s="155"/>
      <c r="O1501" s="156"/>
      <c r="P1501" s="157"/>
      <c r="Q1501" s="158"/>
      <c r="R1501" s="159"/>
      <c r="S1501" s="160"/>
      <c r="T1501" s="161"/>
      <c r="U1501" s="156"/>
      <c r="V1501" s="162"/>
      <c r="W1501" s="163"/>
      <c r="X1501" s="164"/>
      <c r="Y1501" s="159"/>
      <c r="Z1501" s="161"/>
      <c r="AA1501" s="165"/>
      <c r="AD1501" s="154" t="s">
        <v>492</v>
      </c>
      <c r="AE1501" s="155"/>
      <c r="AF1501" s="154" t="s">
        <v>5684</v>
      </c>
      <c r="AP1501" s="155"/>
      <c r="AQ1501" s="156"/>
      <c r="AR1501" s="157"/>
      <c r="AS1501" s="158"/>
      <c r="AT1501" s="159"/>
      <c r="AU1501" s="161"/>
      <c r="AV1501" s="156"/>
      <c r="AW1501" s="162"/>
      <c r="AX1501" s="163"/>
      <c r="AY1501" s="164"/>
      <c r="AZ1501" s="159"/>
      <c r="BA1501" s="161"/>
      <c r="BB1501" s="165"/>
      <c r="BF1501" s="155"/>
    </row>
    <row r="1502" spans="1:59" s="154" customFormat="1" ht="15" customHeight="1">
      <c r="A1502" s="153" t="s">
        <v>5461</v>
      </c>
      <c r="B1502" s="23" t="s">
        <v>5612</v>
      </c>
      <c r="C1502" s="154" t="s">
        <v>5491</v>
      </c>
      <c r="D1502" s="155">
        <v>65</v>
      </c>
      <c r="E1502" s="154">
        <v>2</v>
      </c>
      <c r="F1502" s="154" t="s">
        <v>5613</v>
      </c>
      <c r="G1502" s="154" t="s">
        <v>5614</v>
      </c>
      <c r="J1502" s="154" t="s">
        <v>28</v>
      </c>
      <c r="K1502" s="154" t="s">
        <v>2426</v>
      </c>
      <c r="N1502" s="155"/>
      <c r="O1502" s="156"/>
      <c r="P1502" s="157"/>
      <c r="Q1502" s="158"/>
      <c r="R1502" s="159"/>
      <c r="S1502" s="160"/>
      <c r="T1502" s="161"/>
      <c r="U1502" s="156"/>
      <c r="V1502" s="162"/>
      <c r="W1502" s="163"/>
      <c r="X1502" s="164"/>
      <c r="Y1502" s="159"/>
      <c r="Z1502" s="161"/>
      <c r="AA1502" s="165"/>
      <c r="AD1502" s="154" t="s">
        <v>834</v>
      </c>
      <c r="AE1502" s="155"/>
      <c r="AF1502" s="154" t="s">
        <v>5685</v>
      </c>
      <c r="AP1502" s="155"/>
      <c r="AQ1502" s="156"/>
      <c r="AR1502" s="157"/>
      <c r="AS1502" s="158"/>
      <c r="AT1502" s="159"/>
      <c r="AU1502" s="161"/>
      <c r="AV1502" s="156"/>
      <c r="AW1502" s="162"/>
      <c r="AX1502" s="163"/>
      <c r="AY1502" s="164"/>
      <c r="AZ1502" s="159"/>
      <c r="BA1502" s="161"/>
      <c r="BB1502" s="165"/>
      <c r="BF1502" s="155"/>
    </row>
    <row r="1503" spans="1:59" s="154" customFormat="1" ht="15" customHeight="1">
      <c r="A1503" s="153" t="s">
        <v>5461</v>
      </c>
      <c r="B1503" s="23" t="s">
        <v>5615</v>
      </c>
      <c r="C1503" s="154" t="s">
        <v>5491</v>
      </c>
      <c r="D1503" s="155">
        <v>66</v>
      </c>
      <c r="E1503" s="154">
        <v>2</v>
      </c>
      <c r="F1503" s="154" t="s">
        <v>5616</v>
      </c>
      <c r="G1503" s="154" t="s">
        <v>5617</v>
      </c>
      <c r="J1503" s="154" t="s">
        <v>28</v>
      </c>
      <c r="K1503" s="154" t="s">
        <v>2426</v>
      </c>
      <c r="N1503" s="155"/>
      <c r="O1503" s="156"/>
      <c r="P1503" s="157"/>
      <c r="Q1503" s="158"/>
      <c r="R1503" s="159"/>
      <c r="S1503" s="160"/>
      <c r="T1503" s="161"/>
      <c r="U1503" s="156"/>
      <c r="V1503" s="162"/>
      <c r="W1503" s="163"/>
      <c r="X1503" s="164"/>
      <c r="Y1503" s="159"/>
      <c r="Z1503" s="161"/>
      <c r="AA1503" s="165"/>
      <c r="AD1503" s="154" t="s">
        <v>479</v>
      </c>
      <c r="AE1503" s="155"/>
      <c r="AF1503" s="154" t="s">
        <v>5686</v>
      </c>
      <c r="AP1503" s="155"/>
      <c r="AQ1503" s="156"/>
      <c r="AR1503" s="157"/>
      <c r="AS1503" s="158"/>
      <c r="AT1503" s="159"/>
      <c r="AU1503" s="161"/>
      <c r="AV1503" s="156"/>
      <c r="AW1503" s="162"/>
      <c r="AX1503" s="163"/>
      <c r="AY1503" s="164"/>
      <c r="AZ1503" s="159"/>
      <c r="BA1503" s="161"/>
      <c r="BB1503" s="165"/>
      <c r="BF1503" s="155"/>
    </row>
    <row r="1504" spans="1:59" s="154" customFormat="1" ht="15" customHeight="1">
      <c r="A1504" s="153" t="s">
        <v>5461</v>
      </c>
      <c r="B1504" s="23" t="s">
        <v>5618</v>
      </c>
      <c r="C1504" s="154" t="s">
        <v>5491</v>
      </c>
      <c r="D1504" s="155">
        <v>67</v>
      </c>
      <c r="E1504" s="154">
        <v>2</v>
      </c>
      <c r="F1504" s="154" t="s">
        <v>5616</v>
      </c>
      <c r="G1504" s="154" t="s">
        <v>5619</v>
      </c>
      <c r="J1504" s="154" t="s">
        <v>28</v>
      </c>
      <c r="K1504" s="154" t="s">
        <v>2426</v>
      </c>
      <c r="N1504" s="155"/>
      <c r="O1504" s="156"/>
      <c r="P1504" s="157"/>
      <c r="Q1504" s="158"/>
      <c r="R1504" s="159"/>
      <c r="S1504" s="160"/>
      <c r="T1504" s="161"/>
      <c r="U1504" s="156"/>
      <c r="V1504" s="162"/>
      <c r="W1504" s="163"/>
      <c r="X1504" s="164"/>
      <c r="Y1504" s="159"/>
      <c r="Z1504" s="161"/>
      <c r="AA1504" s="165"/>
      <c r="AD1504" s="154" t="s">
        <v>479</v>
      </c>
      <c r="AE1504" s="155"/>
      <c r="AF1504" s="154" t="s">
        <v>5687</v>
      </c>
      <c r="AP1504" s="155"/>
      <c r="AQ1504" s="156"/>
      <c r="AR1504" s="157"/>
      <c r="AS1504" s="158"/>
      <c r="AT1504" s="159"/>
      <c r="AU1504" s="161"/>
      <c r="AV1504" s="156"/>
      <c r="AW1504" s="162"/>
      <c r="AX1504" s="163"/>
      <c r="AY1504" s="164"/>
      <c r="AZ1504" s="159"/>
      <c r="BA1504" s="161"/>
      <c r="BB1504" s="165"/>
      <c r="BF1504" s="155"/>
    </row>
    <row r="1505" spans="1:59" s="154" customFormat="1" ht="15" customHeight="1">
      <c r="A1505" s="153" t="s">
        <v>5461</v>
      </c>
      <c r="B1505" s="23" t="s">
        <v>5620</v>
      </c>
      <c r="C1505" s="154" t="s">
        <v>5491</v>
      </c>
      <c r="D1505" s="155">
        <v>68</v>
      </c>
      <c r="E1505" s="154">
        <v>2</v>
      </c>
      <c r="F1505" s="154" t="s">
        <v>5621</v>
      </c>
      <c r="G1505" s="154" t="s">
        <v>5622</v>
      </c>
      <c r="J1505" s="154" t="s">
        <v>28</v>
      </c>
      <c r="K1505" s="154" t="s">
        <v>2426</v>
      </c>
      <c r="N1505" s="155"/>
      <c r="O1505" s="156"/>
      <c r="P1505" s="157"/>
      <c r="Q1505" s="158"/>
      <c r="R1505" s="159"/>
      <c r="S1505" s="160"/>
      <c r="T1505" s="161"/>
      <c r="U1505" s="156"/>
      <c r="V1505" s="162"/>
      <c r="W1505" s="163"/>
      <c r="X1505" s="164"/>
      <c r="Y1505" s="159"/>
      <c r="Z1505" s="161"/>
      <c r="AA1505" s="165"/>
      <c r="AD1505" s="154" t="s">
        <v>481</v>
      </c>
      <c r="AE1505" s="155"/>
      <c r="AF1505" s="154" t="s">
        <v>5688</v>
      </c>
      <c r="AP1505" s="155"/>
      <c r="AQ1505" s="156"/>
      <c r="AR1505" s="157"/>
      <c r="AS1505" s="158"/>
      <c r="AT1505" s="159"/>
      <c r="AU1505" s="161"/>
      <c r="AV1505" s="156"/>
      <c r="AW1505" s="162"/>
      <c r="AX1505" s="163"/>
      <c r="AY1505" s="164"/>
      <c r="AZ1505" s="159"/>
      <c r="BA1505" s="161"/>
      <c r="BB1505" s="165"/>
      <c r="BF1505" s="155"/>
    </row>
    <row r="1506" spans="1:59" s="154" customFormat="1" ht="15" customHeight="1">
      <c r="A1506" s="153" t="s">
        <v>5461</v>
      </c>
      <c r="B1506" s="23" t="s">
        <v>5623</v>
      </c>
      <c r="C1506" s="154" t="s">
        <v>5491</v>
      </c>
      <c r="D1506" s="155">
        <v>69</v>
      </c>
      <c r="E1506" s="154">
        <v>2</v>
      </c>
      <c r="F1506" s="154" t="s">
        <v>5621</v>
      </c>
      <c r="G1506" s="154" t="s">
        <v>5624</v>
      </c>
      <c r="J1506" s="154" t="s">
        <v>28</v>
      </c>
      <c r="K1506" s="154" t="s">
        <v>2426</v>
      </c>
      <c r="N1506" s="155"/>
      <c r="O1506" s="156"/>
      <c r="P1506" s="157"/>
      <c r="Q1506" s="158"/>
      <c r="R1506" s="159"/>
      <c r="S1506" s="160"/>
      <c r="T1506" s="161"/>
      <c r="U1506" s="156"/>
      <c r="V1506" s="162"/>
      <c r="W1506" s="163"/>
      <c r="X1506" s="164"/>
      <c r="Y1506" s="159"/>
      <c r="Z1506" s="161"/>
      <c r="AA1506" s="165"/>
      <c r="AD1506" s="154" t="s">
        <v>481</v>
      </c>
      <c r="AE1506" s="155"/>
      <c r="AF1506" s="154" t="s">
        <v>5689</v>
      </c>
      <c r="AP1506" s="155"/>
      <c r="AQ1506" s="156"/>
      <c r="AR1506" s="157"/>
      <c r="AS1506" s="158"/>
      <c r="AT1506" s="159"/>
      <c r="AU1506" s="161"/>
      <c r="AV1506" s="156"/>
      <c r="AW1506" s="162"/>
      <c r="AX1506" s="163"/>
      <c r="AY1506" s="164"/>
      <c r="AZ1506" s="159"/>
      <c r="BA1506" s="161"/>
      <c r="BB1506" s="165"/>
      <c r="BF1506" s="155"/>
    </row>
    <row r="1507" spans="1:59" s="154" customFormat="1" ht="15" customHeight="1">
      <c r="A1507" s="153" t="s">
        <v>5461</v>
      </c>
      <c r="B1507" s="23" t="s">
        <v>5625</v>
      </c>
      <c r="C1507" s="154" t="s">
        <v>5491</v>
      </c>
      <c r="D1507" s="155">
        <v>70</v>
      </c>
      <c r="E1507" s="154">
        <v>3</v>
      </c>
      <c r="F1507" s="154" t="s">
        <v>5621</v>
      </c>
      <c r="G1507" s="154" t="s">
        <v>5626</v>
      </c>
      <c r="J1507" s="154" t="s">
        <v>28</v>
      </c>
      <c r="K1507" s="154" t="s">
        <v>2426</v>
      </c>
      <c r="N1507" s="155"/>
      <c r="O1507" s="156"/>
      <c r="P1507" s="157"/>
      <c r="Q1507" s="158"/>
      <c r="R1507" s="159"/>
      <c r="S1507" s="160"/>
      <c r="T1507" s="161"/>
      <c r="U1507" s="156"/>
      <c r="V1507" s="162"/>
      <c r="W1507" s="163"/>
      <c r="X1507" s="164"/>
      <c r="Y1507" s="159"/>
      <c r="Z1507" s="161"/>
      <c r="AA1507" s="165"/>
      <c r="AD1507" s="154" t="s">
        <v>481</v>
      </c>
      <c r="AE1507" s="155"/>
      <c r="AF1507" s="154" t="s">
        <v>5690</v>
      </c>
      <c r="AP1507" s="155"/>
      <c r="AQ1507" s="156"/>
      <c r="AR1507" s="157"/>
      <c r="AS1507" s="158"/>
      <c r="AT1507" s="159"/>
      <c r="AU1507" s="161"/>
      <c r="AV1507" s="156"/>
      <c r="AW1507" s="162"/>
      <c r="AX1507" s="163"/>
      <c r="AY1507" s="164"/>
      <c r="AZ1507" s="159"/>
      <c r="BA1507" s="161"/>
      <c r="BB1507" s="165"/>
      <c r="BF1507" s="155"/>
    </row>
    <row r="1508" spans="1:59" s="154" customFormat="1" ht="15" customHeight="1">
      <c r="A1508" s="153" t="s">
        <v>5461</v>
      </c>
      <c r="B1508" s="23" t="s">
        <v>5627</v>
      </c>
      <c r="C1508" s="154" t="s">
        <v>5491</v>
      </c>
      <c r="D1508" s="155">
        <v>71</v>
      </c>
      <c r="E1508" s="154">
        <v>2</v>
      </c>
      <c r="F1508" s="154" t="s">
        <v>5628</v>
      </c>
      <c r="G1508" s="154" t="s">
        <v>5629</v>
      </c>
      <c r="J1508" s="154" t="s">
        <v>29</v>
      </c>
      <c r="K1508" s="154" t="s">
        <v>2426</v>
      </c>
      <c r="N1508" s="155"/>
      <c r="O1508" s="156"/>
      <c r="P1508" s="157"/>
      <c r="Q1508" s="158">
        <v>3</v>
      </c>
      <c r="R1508" s="159">
        <v>2</v>
      </c>
      <c r="S1508" s="160"/>
      <c r="T1508" s="161">
        <v>4</v>
      </c>
      <c r="U1508" s="156"/>
      <c r="V1508" s="162">
        <v>1</v>
      </c>
      <c r="W1508" s="163">
        <v>1</v>
      </c>
      <c r="X1508" s="164"/>
      <c r="Y1508" s="159"/>
      <c r="Z1508" s="161"/>
      <c r="AA1508" s="165">
        <v>1</v>
      </c>
      <c r="AD1508" s="154" t="s">
        <v>1691</v>
      </c>
      <c r="AE1508" s="155"/>
      <c r="AF1508" s="154" t="s">
        <v>5691</v>
      </c>
      <c r="AP1508" s="155"/>
      <c r="AQ1508" s="156"/>
      <c r="AR1508" s="157"/>
      <c r="AS1508" s="158"/>
      <c r="AT1508" s="159"/>
      <c r="AU1508" s="161"/>
      <c r="AV1508" s="156"/>
      <c r="AW1508" s="162"/>
      <c r="AX1508" s="163"/>
      <c r="AY1508" s="164"/>
      <c r="AZ1508" s="159"/>
      <c r="BA1508" s="161"/>
      <c r="BB1508" s="165"/>
      <c r="BF1508" s="155"/>
    </row>
    <row r="1509" spans="1:59" s="154" customFormat="1" ht="15" customHeight="1">
      <c r="A1509" s="153" t="s">
        <v>5461</v>
      </c>
      <c r="B1509" s="23" t="s">
        <v>5630</v>
      </c>
      <c r="C1509" s="154" t="s">
        <v>5491</v>
      </c>
      <c r="D1509" s="155">
        <v>72</v>
      </c>
      <c r="E1509" s="154">
        <v>2</v>
      </c>
      <c r="F1509" s="154" t="s">
        <v>5628</v>
      </c>
      <c r="G1509" s="154" t="s">
        <v>5631</v>
      </c>
      <c r="J1509" s="154" t="s">
        <v>28</v>
      </c>
      <c r="K1509" s="154" t="s">
        <v>2426</v>
      </c>
      <c r="N1509" s="155"/>
      <c r="O1509" s="156"/>
      <c r="P1509" s="157"/>
      <c r="Q1509" s="158"/>
      <c r="R1509" s="159"/>
      <c r="S1509" s="160"/>
      <c r="T1509" s="161"/>
      <c r="U1509" s="156"/>
      <c r="V1509" s="162"/>
      <c r="W1509" s="163"/>
      <c r="X1509" s="164"/>
      <c r="Y1509" s="159"/>
      <c r="Z1509" s="161"/>
      <c r="AA1509" s="165"/>
      <c r="AD1509" s="154" t="s">
        <v>845</v>
      </c>
      <c r="AE1509" s="155"/>
      <c r="AF1509" s="154" t="s">
        <v>5692</v>
      </c>
      <c r="AP1509" s="155"/>
      <c r="AQ1509" s="156"/>
      <c r="AR1509" s="157"/>
      <c r="AS1509" s="158"/>
      <c r="AT1509" s="159"/>
      <c r="AU1509" s="161"/>
      <c r="AV1509" s="156"/>
      <c r="AW1509" s="162"/>
      <c r="AX1509" s="163"/>
      <c r="AY1509" s="164"/>
      <c r="AZ1509" s="159"/>
      <c r="BA1509" s="161"/>
      <c r="BB1509" s="165"/>
      <c r="BF1509" s="155"/>
    </row>
    <row r="1510" spans="1:59" s="171" customFormat="1" ht="15" customHeight="1">
      <c r="A1510" s="153" t="s">
        <v>5693</v>
      </c>
      <c r="B1510" s="154" t="s">
        <v>5694</v>
      </c>
      <c r="C1510" s="154" t="s">
        <v>5695</v>
      </c>
      <c r="D1510" s="170">
        <v>1</v>
      </c>
      <c r="E1510" s="171">
        <v>1</v>
      </c>
      <c r="G1510" s="171" t="s">
        <v>5696</v>
      </c>
      <c r="H1510" s="171" t="s">
        <v>5697</v>
      </c>
      <c r="I1510" s="171" t="s">
        <v>223</v>
      </c>
      <c r="J1510" s="171" t="s">
        <v>203</v>
      </c>
      <c r="K1510" s="171" t="s">
        <v>198</v>
      </c>
      <c r="N1510" s="170"/>
      <c r="O1510" s="156">
        <v>3</v>
      </c>
      <c r="P1510" s="157">
        <v>4</v>
      </c>
      <c r="Q1510" s="158">
        <v>2</v>
      </c>
      <c r="R1510" s="159">
        <v>2</v>
      </c>
      <c r="S1510" s="160"/>
      <c r="T1510" s="161">
        <v>6</v>
      </c>
      <c r="U1510" s="156">
        <v>9</v>
      </c>
      <c r="V1510" s="162"/>
      <c r="W1510" s="163"/>
      <c r="X1510" s="164"/>
      <c r="Y1510" s="159"/>
      <c r="Z1510" s="161"/>
      <c r="AA1510" s="165"/>
      <c r="AD1510" s="171" t="s">
        <v>5698</v>
      </c>
      <c r="AE1510" s="170"/>
      <c r="AF1510" s="171" t="s">
        <v>5699</v>
      </c>
      <c r="AI1510" s="171" t="s">
        <v>5696</v>
      </c>
      <c r="AJ1510" s="171" t="s">
        <v>5697</v>
      </c>
      <c r="AK1510" s="171" t="s">
        <v>223</v>
      </c>
      <c r="AL1510" s="171" t="s">
        <v>203</v>
      </c>
      <c r="AM1510" s="171" t="s">
        <v>198</v>
      </c>
      <c r="AQ1510" s="156"/>
      <c r="AR1510" s="157"/>
      <c r="AS1510" s="158"/>
      <c r="AT1510" s="159"/>
      <c r="AU1510" s="161"/>
      <c r="AV1510" s="156"/>
      <c r="AW1510" s="162"/>
      <c r="AX1510" s="163"/>
      <c r="AY1510" s="164"/>
      <c r="AZ1510" s="159"/>
      <c r="BA1510" s="161"/>
      <c r="BB1510" s="165"/>
      <c r="BE1510" s="171" t="s">
        <v>5698</v>
      </c>
      <c r="BF1510" s="170"/>
      <c r="BG1510" s="171" t="s">
        <v>5700</v>
      </c>
    </row>
    <row r="1511" spans="1:59" s="154" customFormat="1" ht="15" customHeight="1">
      <c r="A1511" s="153" t="s">
        <v>5693</v>
      </c>
      <c r="B1511" s="154" t="s">
        <v>5701</v>
      </c>
      <c r="C1511" s="154" t="s">
        <v>5695</v>
      </c>
      <c r="D1511" s="170">
        <v>2</v>
      </c>
      <c r="E1511" s="154">
        <v>1</v>
      </c>
      <c r="F1511" s="171"/>
      <c r="G1511" s="154" t="s">
        <v>5702</v>
      </c>
      <c r="H1511" s="154" t="s">
        <v>5703</v>
      </c>
      <c r="I1511" s="154" t="s">
        <v>223</v>
      </c>
      <c r="J1511" s="171" t="s">
        <v>203</v>
      </c>
      <c r="K1511" s="154" t="s">
        <v>199</v>
      </c>
      <c r="N1511" s="155"/>
      <c r="O1511" s="156">
        <v>2</v>
      </c>
      <c r="P1511" s="157">
        <v>4</v>
      </c>
      <c r="Q1511" s="158">
        <v>4</v>
      </c>
      <c r="R1511" s="159">
        <v>2</v>
      </c>
      <c r="S1511" s="160"/>
      <c r="T1511" s="161">
        <v>8</v>
      </c>
      <c r="U1511" s="156">
        <v>6</v>
      </c>
      <c r="V1511" s="162"/>
      <c r="W1511" s="163"/>
      <c r="X1511" s="164"/>
      <c r="Y1511" s="159"/>
      <c r="Z1511" s="161"/>
      <c r="AA1511" s="165"/>
      <c r="AD1511" s="154" t="s">
        <v>5704</v>
      </c>
      <c r="AE1511" s="155"/>
      <c r="AF1511" s="154" t="s">
        <v>5705</v>
      </c>
      <c r="AI1511" s="154" t="s">
        <v>5702</v>
      </c>
      <c r="AJ1511" s="154" t="s">
        <v>5703</v>
      </c>
      <c r="AK1511" s="154" t="s">
        <v>223</v>
      </c>
      <c r="AL1511" s="171" t="s">
        <v>203</v>
      </c>
      <c r="AM1511" s="154" t="s">
        <v>199</v>
      </c>
      <c r="AO1511" s="155"/>
      <c r="AP1511" s="155"/>
      <c r="AQ1511" s="156"/>
      <c r="AR1511" s="157"/>
      <c r="AS1511" s="158"/>
      <c r="AT1511" s="159"/>
      <c r="AU1511" s="161"/>
      <c r="AV1511" s="156"/>
      <c r="AW1511" s="162"/>
      <c r="AX1511" s="163"/>
      <c r="AY1511" s="164"/>
      <c r="AZ1511" s="159"/>
      <c r="BA1511" s="161"/>
      <c r="BB1511" s="165"/>
      <c r="BE1511" s="155" t="s">
        <v>5704</v>
      </c>
      <c r="BG1511" s="154" t="s">
        <v>5706</v>
      </c>
    </row>
    <row r="1512" spans="1:59" s="154" customFormat="1" ht="15" customHeight="1">
      <c r="A1512" s="153" t="s">
        <v>5693</v>
      </c>
      <c r="B1512" s="153" t="s">
        <v>5707</v>
      </c>
      <c r="C1512" s="154" t="s">
        <v>5695</v>
      </c>
      <c r="D1512" s="170">
        <v>3</v>
      </c>
      <c r="E1512" s="154">
        <v>1</v>
      </c>
      <c r="F1512" s="171"/>
      <c r="G1512" s="154" t="s">
        <v>5708</v>
      </c>
      <c r="H1512" s="154" t="s">
        <v>5709</v>
      </c>
      <c r="I1512" s="154" t="s">
        <v>223</v>
      </c>
      <c r="J1512" s="171" t="s">
        <v>203</v>
      </c>
      <c r="K1512" s="154" t="s">
        <v>201</v>
      </c>
      <c r="N1512" s="155"/>
      <c r="O1512" s="156">
        <v>1</v>
      </c>
      <c r="P1512" s="157">
        <v>1</v>
      </c>
      <c r="Q1512" s="158">
        <v>1</v>
      </c>
      <c r="R1512" s="159">
        <v>1</v>
      </c>
      <c r="S1512" s="160"/>
      <c r="T1512" s="161">
        <v>7</v>
      </c>
      <c r="U1512" s="156">
        <v>7</v>
      </c>
      <c r="V1512" s="162"/>
      <c r="W1512" s="163"/>
      <c r="X1512" s="164"/>
      <c r="Y1512" s="159"/>
      <c r="Z1512" s="161"/>
      <c r="AA1512" s="165"/>
      <c r="AD1512" s="154" t="s">
        <v>5710</v>
      </c>
      <c r="AE1512" s="155"/>
      <c r="AF1512" s="154" t="s">
        <v>5711</v>
      </c>
      <c r="AI1512" s="154" t="s">
        <v>5708</v>
      </c>
      <c r="AJ1512" s="154" t="s">
        <v>5709</v>
      </c>
      <c r="AK1512" s="154" t="s">
        <v>223</v>
      </c>
      <c r="AL1512" s="171" t="s">
        <v>203</v>
      </c>
      <c r="AM1512" s="154" t="s">
        <v>201</v>
      </c>
      <c r="AO1512" s="155"/>
      <c r="AP1512" s="155"/>
      <c r="AQ1512" s="156"/>
      <c r="AR1512" s="157"/>
      <c r="AS1512" s="158"/>
      <c r="AT1512" s="159"/>
      <c r="AU1512" s="161"/>
      <c r="AV1512" s="156"/>
      <c r="AW1512" s="162"/>
      <c r="AX1512" s="163"/>
      <c r="AY1512" s="164"/>
      <c r="AZ1512" s="159"/>
      <c r="BA1512" s="161"/>
      <c r="BB1512" s="165"/>
      <c r="BE1512" s="155" t="s">
        <v>5710</v>
      </c>
      <c r="BG1512" s="154" t="s">
        <v>5712</v>
      </c>
    </row>
    <row r="1513" spans="1:59" s="154" customFormat="1" ht="15" customHeight="1">
      <c r="A1513" s="153" t="s">
        <v>5693</v>
      </c>
      <c r="B1513" s="153" t="s">
        <v>5713</v>
      </c>
      <c r="C1513" s="154" t="s">
        <v>5695</v>
      </c>
      <c r="D1513" s="170">
        <v>4</v>
      </c>
      <c r="E1513" s="154">
        <v>1</v>
      </c>
      <c r="G1513" s="154" t="s">
        <v>5714</v>
      </c>
      <c r="H1513" s="154" t="s">
        <v>5715</v>
      </c>
      <c r="I1513" s="154" t="s">
        <v>223</v>
      </c>
      <c r="J1513" s="171" t="s">
        <v>203</v>
      </c>
      <c r="K1513" s="154" t="s">
        <v>200</v>
      </c>
      <c r="N1513" s="155"/>
      <c r="O1513" s="156">
        <v>1</v>
      </c>
      <c r="P1513" s="157">
        <v>3</v>
      </c>
      <c r="Q1513" s="158">
        <v>3</v>
      </c>
      <c r="R1513" s="159">
        <v>3</v>
      </c>
      <c r="S1513" s="160"/>
      <c r="T1513" s="161">
        <v>7</v>
      </c>
      <c r="U1513" s="156">
        <v>7</v>
      </c>
      <c r="V1513" s="162"/>
      <c r="W1513" s="163"/>
      <c r="X1513" s="164"/>
      <c r="Y1513" s="159"/>
      <c r="Z1513" s="161"/>
      <c r="AA1513" s="165"/>
      <c r="AD1513" s="154" t="s">
        <v>5716</v>
      </c>
      <c r="AE1513" s="155"/>
      <c r="AF1513" s="154" t="s">
        <v>5717</v>
      </c>
      <c r="AI1513" s="154" t="s">
        <v>5714</v>
      </c>
      <c r="AJ1513" s="154" t="s">
        <v>5715</v>
      </c>
      <c r="AK1513" s="154" t="s">
        <v>223</v>
      </c>
      <c r="AL1513" s="171" t="s">
        <v>203</v>
      </c>
      <c r="AM1513" s="154" t="s">
        <v>200</v>
      </c>
      <c r="AO1513" s="155"/>
      <c r="AP1513" s="155"/>
      <c r="AQ1513" s="156"/>
      <c r="AR1513" s="157"/>
      <c r="AS1513" s="158"/>
      <c r="AT1513" s="159"/>
      <c r="AU1513" s="161"/>
      <c r="AV1513" s="156"/>
      <c r="AW1513" s="162"/>
      <c r="AX1513" s="163"/>
      <c r="AY1513" s="164"/>
      <c r="AZ1513" s="159"/>
      <c r="BA1513" s="161"/>
      <c r="BB1513" s="165"/>
      <c r="BE1513" s="155" t="s">
        <v>5716</v>
      </c>
      <c r="BG1513" s="154" t="s">
        <v>5718</v>
      </c>
    </row>
    <row r="1514" spans="1:59" s="154" customFormat="1" ht="15" customHeight="1">
      <c r="A1514" s="153" t="s">
        <v>5693</v>
      </c>
      <c r="B1514" s="153" t="s">
        <v>5719</v>
      </c>
      <c r="C1514" s="154" t="s">
        <v>5695</v>
      </c>
      <c r="D1514" s="170">
        <v>5</v>
      </c>
      <c r="E1514" s="154">
        <v>1</v>
      </c>
      <c r="G1514" s="154" t="s">
        <v>5720</v>
      </c>
      <c r="H1514" s="154" t="s">
        <v>5721</v>
      </c>
      <c r="I1514" s="154" t="s">
        <v>223</v>
      </c>
      <c r="J1514" s="154" t="s">
        <v>203</v>
      </c>
      <c r="K1514" s="154" t="s">
        <v>202</v>
      </c>
      <c r="O1514" s="156">
        <v>3</v>
      </c>
      <c r="P1514" s="157">
        <v>2</v>
      </c>
      <c r="Q1514" s="158">
        <v>3</v>
      </c>
      <c r="R1514" s="159">
        <v>5</v>
      </c>
      <c r="S1514" s="160"/>
      <c r="T1514" s="161">
        <v>9</v>
      </c>
      <c r="U1514" s="156">
        <v>5</v>
      </c>
      <c r="V1514" s="162"/>
      <c r="W1514" s="163"/>
      <c r="X1514" s="164"/>
      <c r="Y1514" s="159"/>
      <c r="Z1514" s="161"/>
      <c r="AA1514" s="165"/>
      <c r="AD1514" s="154" t="s">
        <v>242</v>
      </c>
      <c r="AF1514" s="154" t="s">
        <v>5722</v>
      </c>
      <c r="AI1514" s="154" t="s">
        <v>5720</v>
      </c>
      <c r="AJ1514" s="154" t="s">
        <v>5721</v>
      </c>
      <c r="AK1514" s="154" t="s">
        <v>223</v>
      </c>
      <c r="AL1514" s="154" t="s">
        <v>203</v>
      </c>
      <c r="AM1514" s="154" t="s">
        <v>202</v>
      </c>
      <c r="AO1514" s="155"/>
      <c r="AQ1514" s="156"/>
      <c r="AR1514" s="157"/>
      <c r="AS1514" s="158"/>
      <c r="AT1514" s="159"/>
      <c r="AU1514" s="161"/>
      <c r="AV1514" s="156"/>
      <c r="AW1514" s="162"/>
      <c r="AX1514" s="163"/>
      <c r="AY1514" s="164"/>
      <c r="AZ1514" s="159"/>
      <c r="BA1514" s="161"/>
      <c r="BB1514" s="165"/>
      <c r="BE1514" s="155" t="s">
        <v>242</v>
      </c>
      <c r="BG1514" s="154" t="s">
        <v>5723</v>
      </c>
    </row>
    <row r="1515" spans="1:59" s="154" customFormat="1" ht="15" customHeight="1">
      <c r="A1515" s="153" t="s">
        <v>5693</v>
      </c>
      <c r="B1515" s="169" t="s">
        <v>5724</v>
      </c>
      <c r="C1515" s="154" t="s">
        <v>5695</v>
      </c>
      <c r="D1515" s="170">
        <v>6</v>
      </c>
      <c r="E1515" s="154">
        <v>1</v>
      </c>
      <c r="G1515" s="154" t="s">
        <v>1114</v>
      </c>
      <c r="H1515" s="154" t="s">
        <v>1115</v>
      </c>
      <c r="I1515" s="154" t="s">
        <v>223</v>
      </c>
      <c r="J1515" s="154" t="s">
        <v>203</v>
      </c>
      <c r="K1515" s="154" t="s">
        <v>200</v>
      </c>
      <c r="O1515" s="156">
        <v>4</v>
      </c>
      <c r="P1515" s="157">
        <v>4</v>
      </c>
      <c r="Q1515" s="158">
        <v>1</v>
      </c>
      <c r="R1515" s="159">
        <v>3</v>
      </c>
      <c r="S1515" s="160"/>
      <c r="T1515" s="161">
        <v>6</v>
      </c>
      <c r="U1515" s="156">
        <v>8</v>
      </c>
      <c r="V1515" s="162"/>
      <c r="W1515" s="163"/>
      <c r="X1515" s="164"/>
      <c r="Y1515" s="159"/>
      <c r="Z1515" s="161"/>
      <c r="AA1515" s="165"/>
      <c r="AD1515" s="154" t="s">
        <v>1116</v>
      </c>
      <c r="AF1515" s="154" t="s">
        <v>5725</v>
      </c>
      <c r="AI1515" s="154" t="s">
        <v>1114</v>
      </c>
      <c r="AJ1515" s="154" t="s">
        <v>1115</v>
      </c>
      <c r="AK1515" s="154" t="s">
        <v>223</v>
      </c>
      <c r="AL1515" s="154" t="s">
        <v>203</v>
      </c>
      <c r="AM1515" s="154" t="s">
        <v>200</v>
      </c>
      <c r="AO1515" s="155"/>
      <c r="AQ1515" s="156"/>
      <c r="AR1515" s="157"/>
      <c r="AS1515" s="158"/>
      <c r="AT1515" s="159"/>
      <c r="AU1515" s="161"/>
      <c r="AV1515" s="156"/>
      <c r="AW1515" s="162"/>
      <c r="AX1515" s="163"/>
      <c r="AY1515" s="164"/>
      <c r="AZ1515" s="159"/>
      <c r="BA1515" s="161"/>
      <c r="BB1515" s="165"/>
      <c r="BE1515" s="155" t="s">
        <v>1116</v>
      </c>
      <c r="BG1515" s="154" t="s">
        <v>5726</v>
      </c>
    </row>
    <row r="1516" spans="1:59" s="154" customFormat="1" ht="15" customHeight="1">
      <c r="A1516" s="153" t="s">
        <v>5693</v>
      </c>
      <c r="B1516" s="169" t="s">
        <v>5727</v>
      </c>
      <c r="C1516" s="154" t="s">
        <v>5695</v>
      </c>
      <c r="D1516" s="170">
        <v>7</v>
      </c>
      <c r="E1516" s="154">
        <v>1</v>
      </c>
      <c r="G1516" s="154" t="s">
        <v>5728</v>
      </c>
      <c r="J1516" s="154" t="s">
        <v>257</v>
      </c>
      <c r="K1516" s="154" t="s">
        <v>26</v>
      </c>
      <c r="N1516" s="154">
        <v>2</v>
      </c>
      <c r="O1516" s="156">
        <v>1</v>
      </c>
      <c r="P1516" s="157">
        <v>1</v>
      </c>
      <c r="Q1516" s="158"/>
      <c r="R1516" s="159"/>
      <c r="S1516" s="160">
        <v>1</v>
      </c>
      <c r="T1516" s="161"/>
      <c r="U1516" s="156"/>
      <c r="V1516" s="162"/>
      <c r="W1516" s="163"/>
      <c r="X1516" s="164"/>
      <c r="Y1516" s="159"/>
      <c r="Z1516" s="161"/>
      <c r="AA1516" s="165"/>
      <c r="AB1516" s="154" t="s">
        <v>1079</v>
      </c>
      <c r="AD1516" s="154" t="s">
        <v>289</v>
      </c>
      <c r="AF1516" s="154" t="s">
        <v>5729</v>
      </c>
      <c r="AO1516" s="155"/>
      <c r="AQ1516" s="156"/>
      <c r="AR1516" s="157"/>
      <c r="AS1516" s="158"/>
      <c r="AT1516" s="159"/>
      <c r="AU1516" s="161"/>
      <c r="AV1516" s="156"/>
      <c r="AW1516" s="162"/>
      <c r="AX1516" s="163"/>
      <c r="AY1516" s="164"/>
      <c r="AZ1516" s="159"/>
      <c r="BA1516" s="161"/>
      <c r="BB1516" s="165"/>
      <c r="BE1516" s="155"/>
    </row>
    <row r="1517" spans="1:59" s="154" customFormat="1" ht="15" customHeight="1">
      <c r="A1517" s="153" t="s">
        <v>5693</v>
      </c>
      <c r="B1517" s="153" t="s">
        <v>5730</v>
      </c>
      <c r="C1517" s="154" t="s">
        <v>5695</v>
      </c>
      <c r="D1517" s="170">
        <v>8</v>
      </c>
      <c r="E1517" s="154">
        <v>1</v>
      </c>
      <c r="G1517" s="154" t="s">
        <v>5731</v>
      </c>
      <c r="J1517" s="154" t="s">
        <v>28</v>
      </c>
      <c r="K1517" s="154" t="s">
        <v>26</v>
      </c>
      <c r="M1517" s="154" t="s">
        <v>648</v>
      </c>
      <c r="O1517" s="156"/>
      <c r="P1517" s="157"/>
      <c r="Q1517" s="158"/>
      <c r="R1517" s="159"/>
      <c r="S1517" s="160"/>
      <c r="T1517" s="161"/>
      <c r="U1517" s="156"/>
      <c r="V1517" s="162"/>
      <c r="W1517" s="163"/>
      <c r="X1517" s="164"/>
      <c r="Y1517" s="159"/>
      <c r="Z1517" s="161"/>
      <c r="AA1517" s="165"/>
      <c r="AD1517" s="154" t="s">
        <v>1449</v>
      </c>
      <c r="AF1517" s="154" t="s">
        <v>5732</v>
      </c>
      <c r="AO1517" s="155"/>
      <c r="AQ1517" s="156"/>
      <c r="AR1517" s="157"/>
      <c r="AS1517" s="158"/>
      <c r="AT1517" s="159"/>
      <c r="AU1517" s="161"/>
      <c r="AV1517" s="156"/>
      <c r="AW1517" s="162"/>
      <c r="AX1517" s="163"/>
      <c r="AY1517" s="164"/>
      <c r="AZ1517" s="159"/>
      <c r="BA1517" s="161"/>
      <c r="BB1517" s="165"/>
      <c r="BE1517" s="155"/>
    </row>
    <row r="1518" spans="1:59" s="154" customFormat="1" ht="15" customHeight="1">
      <c r="A1518" s="153" t="s">
        <v>5693</v>
      </c>
      <c r="B1518" s="153" t="s">
        <v>5733</v>
      </c>
      <c r="C1518" s="154" t="s">
        <v>5695</v>
      </c>
      <c r="D1518" s="170">
        <v>9</v>
      </c>
      <c r="E1518" s="154">
        <v>1</v>
      </c>
      <c r="G1518" s="154" t="s">
        <v>5734</v>
      </c>
      <c r="J1518" s="154" t="s">
        <v>257</v>
      </c>
      <c r="K1518" s="154" t="s">
        <v>26</v>
      </c>
      <c r="N1518" s="172">
        <v>4</v>
      </c>
      <c r="O1518" s="156"/>
      <c r="P1518" s="157">
        <v>1</v>
      </c>
      <c r="Q1518" s="158">
        <v>1</v>
      </c>
      <c r="R1518" s="159"/>
      <c r="S1518" s="160">
        <v>1</v>
      </c>
      <c r="T1518" s="161"/>
      <c r="U1518" s="156"/>
      <c r="V1518" s="162"/>
      <c r="W1518" s="163"/>
      <c r="X1518" s="164"/>
      <c r="Y1518" s="159"/>
      <c r="Z1518" s="161"/>
      <c r="AA1518" s="165"/>
      <c r="AB1518" s="154" t="s">
        <v>4712</v>
      </c>
      <c r="AC1518" s="154" t="s">
        <v>322</v>
      </c>
      <c r="AD1518" s="154" t="s">
        <v>259</v>
      </c>
      <c r="AF1518" s="154" t="s">
        <v>5735</v>
      </c>
      <c r="AO1518" s="155"/>
      <c r="AQ1518" s="156"/>
      <c r="AR1518" s="157"/>
      <c r="AS1518" s="158"/>
      <c r="AT1518" s="159"/>
      <c r="AU1518" s="161"/>
      <c r="AV1518" s="156"/>
      <c r="AW1518" s="162"/>
      <c r="AX1518" s="163"/>
      <c r="AY1518" s="164"/>
      <c r="AZ1518" s="159"/>
      <c r="BA1518" s="161"/>
      <c r="BB1518" s="165"/>
      <c r="BE1518" s="155"/>
    </row>
    <row r="1519" spans="1:59" s="154" customFormat="1" ht="15" customHeight="1">
      <c r="A1519" s="153" t="s">
        <v>5693</v>
      </c>
      <c r="B1519" s="153" t="s">
        <v>5736</v>
      </c>
      <c r="C1519" s="154" t="s">
        <v>5695</v>
      </c>
      <c r="D1519" s="170">
        <v>10</v>
      </c>
      <c r="E1519" s="154">
        <v>1</v>
      </c>
      <c r="G1519" s="154" t="s">
        <v>5737</v>
      </c>
      <c r="J1519" s="154" t="s">
        <v>27</v>
      </c>
      <c r="K1519" s="154" t="s">
        <v>26</v>
      </c>
      <c r="M1519" s="154" t="s">
        <v>648</v>
      </c>
      <c r="N1519" s="154">
        <v>4</v>
      </c>
      <c r="O1519" s="156"/>
      <c r="P1519" s="157"/>
      <c r="Q1519" s="158"/>
      <c r="R1519" s="159"/>
      <c r="S1519" s="160"/>
      <c r="T1519" s="161"/>
      <c r="U1519" s="156"/>
      <c r="V1519" s="162"/>
      <c r="W1519" s="163"/>
      <c r="X1519" s="164"/>
      <c r="Y1519" s="159"/>
      <c r="Z1519" s="161"/>
      <c r="AA1519" s="165"/>
      <c r="AD1519" s="154" t="s">
        <v>5738</v>
      </c>
      <c r="AF1519" s="154" t="s">
        <v>5739</v>
      </c>
      <c r="AO1519" s="155"/>
      <c r="AQ1519" s="156"/>
      <c r="AR1519" s="157"/>
      <c r="AS1519" s="158"/>
      <c r="AT1519" s="159"/>
      <c r="AU1519" s="161"/>
      <c r="AV1519" s="156"/>
      <c r="AW1519" s="162"/>
      <c r="AX1519" s="163"/>
      <c r="AY1519" s="164"/>
      <c r="AZ1519" s="159"/>
      <c r="BA1519" s="161"/>
      <c r="BB1519" s="165"/>
      <c r="BE1519" s="155"/>
    </row>
    <row r="1520" spans="1:59" s="154" customFormat="1" ht="15" customHeight="1">
      <c r="A1520" s="153" t="s">
        <v>5693</v>
      </c>
      <c r="B1520" s="153" t="s">
        <v>5740</v>
      </c>
      <c r="C1520" s="154" t="s">
        <v>5695</v>
      </c>
      <c r="D1520" s="170">
        <v>11</v>
      </c>
      <c r="E1520" s="154">
        <v>1</v>
      </c>
      <c r="G1520" s="154" t="s">
        <v>5741</v>
      </c>
      <c r="H1520" s="154" t="s">
        <v>5742</v>
      </c>
      <c r="I1520" s="154" t="s">
        <v>223</v>
      </c>
      <c r="J1520" s="154" t="s">
        <v>257</v>
      </c>
      <c r="K1520" s="154" t="s">
        <v>26</v>
      </c>
      <c r="O1520" s="156"/>
      <c r="P1520" s="157"/>
      <c r="Q1520" s="158"/>
      <c r="R1520" s="159"/>
      <c r="S1520" s="160"/>
      <c r="T1520" s="161"/>
      <c r="U1520" s="156"/>
      <c r="V1520" s="162"/>
      <c r="W1520" s="163"/>
      <c r="X1520" s="164"/>
      <c r="Y1520" s="159"/>
      <c r="Z1520" s="161"/>
      <c r="AA1520" s="165"/>
      <c r="AD1520" s="154" t="s">
        <v>5743</v>
      </c>
      <c r="AF1520" s="154" t="s">
        <v>5744</v>
      </c>
      <c r="AO1520" s="155"/>
      <c r="AQ1520" s="156"/>
      <c r="AR1520" s="157"/>
      <c r="AS1520" s="158"/>
      <c r="AT1520" s="159"/>
      <c r="AU1520" s="161"/>
      <c r="AV1520" s="156"/>
      <c r="AW1520" s="162"/>
      <c r="AX1520" s="163"/>
      <c r="AY1520" s="164"/>
      <c r="AZ1520" s="159"/>
      <c r="BA1520" s="161"/>
      <c r="BB1520" s="165"/>
      <c r="BE1520" s="155"/>
    </row>
    <row r="1521" spans="1:58" s="154" customFormat="1" ht="15" customHeight="1">
      <c r="A1521" s="153" t="s">
        <v>5693</v>
      </c>
      <c r="B1521" s="153" t="s">
        <v>5745</v>
      </c>
      <c r="C1521" s="154" t="s">
        <v>5695</v>
      </c>
      <c r="D1521" s="170">
        <v>12</v>
      </c>
      <c r="E1521" s="154">
        <v>1</v>
      </c>
      <c r="G1521" s="154" t="s">
        <v>5746</v>
      </c>
      <c r="J1521" s="154" t="s">
        <v>27</v>
      </c>
      <c r="K1521" s="154" t="s">
        <v>26</v>
      </c>
      <c r="M1521" s="154" t="s">
        <v>648</v>
      </c>
      <c r="N1521" s="154">
        <v>10</v>
      </c>
      <c r="O1521" s="156"/>
      <c r="P1521" s="157"/>
      <c r="Q1521" s="158"/>
      <c r="R1521" s="159"/>
      <c r="S1521" s="160"/>
      <c r="T1521" s="161"/>
      <c r="U1521" s="156"/>
      <c r="V1521" s="162"/>
      <c r="W1521" s="163"/>
      <c r="X1521" s="164"/>
      <c r="Y1521" s="159"/>
      <c r="Z1521" s="161"/>
      <c r="AA1521" s="165"/>
      <c r="AD1521" s="154" t="s">
        <v>845</v>
      </c>
      <c r="AF1521" s="154" t="s">
        <v>5747</v>
      </c>
      <c r="AO1521" s="155"/>
      <c r="AQ1521" s="156"/>
      <c r="AR1521" s="157"/>
      <c r="AS1521" s="158"/>
      <c r="AT1521" s="159"/>
      <c r="AU1521" s="161"/>
      <c r="AV1521" s="156"/>
      <c r="AW1521" s="162"/>
      <c r="AX1521" s="163"/>
      <c r="AY1521" s="164"/>
      <c r="AZ1521" s="159"/>
      <c r="BA1521" s="161"/>
      <c r="BB1521" s="165"/>
      <c r="BE1521" s="155"/>
    </row>
    <row r="1522" spans="1:58" s="154" customFormat="1" ht="15" customHeight="1">
      <c r="A1522" s="153" t="s">
        <v>5693</v>
      </c>
      <c r="B1522" s="153" t="s">
        <v>5748</v>
      </c>
      <c r="C1522" s="154" t="s">
        <v>5695</v>
      </c>
      <c r="D1522" s="170">
        <v>13</v>
      </c>
      <c r="E1522" s="154">
        <v>1</v>
      </c>
      <c r="G1522" s="154" t="s">
        <v>5749</v>
      </c>
      <c r="H1522" s="154" t="s">
        <v>5750</v>
      </c>
      <c r="I1522" s="154" t="s">
        <v>223</v>
      </c>
      <c r="J1522" s="154" t="s">
        <v>257</v>
      </c>
      <c r="K1522" s="154" t="s">
        <v>26</v>
      </c>
      <c r="N1522" s="154">
        <v>3</v>
      </c>
      <c r="O1522" s="156">
        <v>1</v>
      </c>
      <c r="P1522" s="157"/>
      <c r="Q1522" s="158">
        <v>1</v>
      </c>
      <c r="R1522" s="159"/>
      <c r="S1522" s="160">
        <v>1</v>
      </c>
      <c r="T1522" s="161"/>
      <c r="U1522" s="156"/>
      <c r="V1522" s="162"/>
      <c r="W1522" s="163"/>
      <c r="X1522" s="164"/>
      <c r="Y1522" s="159"/>
      <c r="Z1522" s="161"/>
      <c r="AA1522" s="165"/>
      <c r="AB1522" s="154" t="s">
        <v>1081</v>
      </c>
      <c r="AC1522" s="154" t="s">
        <v>258</v>
      </c>
      <c r="AD1522" s="154" t="s">
        <v>5751</v>
      </c>
      <c r="AF1522" s="154" t="s">
        <v>5855</v>
      </c>
      <c r="AO1522" s="155"/>
      <c r="AQ1522" s="156"/>
      <c r="AR1522" s="157"/>
      <c r="AS1522" s="158"/>
      <c r="AT1522" s="159"/>
      <c r="AU1522" s="161"/>
      <c r="AV1522" s="156"/>
      <c r="AW1522" s="162"/>
      <c r="AX1522" s="163"/>
      <c r="AY1522" s="164"/>
      <c r="AZ1522" s="159"/>
      <c r="BA1522" s="161"/>
      <c r="BB1522" s="165"/>
      <c r="BE1522" s="155"/>
    </row>
    <row r="1523" spans="1:58" s="154" customFormat="1" ht="15" customHeight="1">
      <c r="A1523" s="153" t="s">
        <v>5693</v>
      </c>
      <c r="B1523" s="153" t="s">
        <v>5752</v>
      </c>
      <c r="C1523" s="154" t="s">
        <v>5695</v>
      </c>
      <c r="D1523" s="170">
        <v>14</v>
      </c>
      <c r="E1523" s="154">
        <v>1</v>
      </c>
      <c r="G1523" s="154" t="s">
        <v>5753</v>
      </c>
      <c r="J1523" s="154" t="s">
        <v>27</v>
      </c>
      <c r="K1523" s="154" t="s">
        <v>26</v>
      </c>
      <c r="N1523" s="154">
        <v>2</v>
      </c>
      <c r="O1523" s="156"/>
      <c r="P1523" s="157"/>
      <c r="Q1523" s="158"/>
      <c r="R1523" s="159"/>
      <c r="S1523" s="160"/>
      <c r="T1523" s="161"/>
      <c r="U1523" s="156"/>
      <c r="V1523" s="162"/>
      <c r="W1523" s="163"/>
      <c r="X1523" s="164"/>
      <c r="Y1523" s="159"/>
      <c r="Z1523" s="161"/>
      <c r="AA1523" s="165"/>
      <c r="AD1523" s="154" t="s">
        <v>340</v>
      </c>
      <c r="AF1523" s="154" t="s">
        <v>5754</v>
      </c>
      <c r="AO1523" s="155"/>
      <c r="AQ1523" s="156"/>
      <c r="AR1523" s="157"/>
      <c r="AS1523" s="158"/>
      <c r="AT1523" s="159"/>
      <c r="AU1523" s="161"/>
      <c r="AV1523" s="156"/>
      <c r="AW1523" s="162"/>
      <c r="AX1523" s="163"/>
      <c r="AY1523" s="164"/>
      <c r="AZ1523" s="159"/>
      <c r="BA1523" s="161"/>
      <c r="BB1523" s="165"/>
      <c r="BE1523" s="155"/>
    </row>
    <row r="1524" spans="1:58" s="154" customFormat="1" ht="15" customHeight="1">
      <c r="A1524" s="153" t="s">
        <v>5693</v>
      </c>
      <c r="B1524" s="153" t="s">
        <v>5755</v>
      </c>
      <c r="C1524" s="154" t="s">
        <v>5695</v>
      </c>
      <c r="D1524" s="170">
        <v>15</v>
      </c>
      <c r="E1524" s="154">
        <v>1</v>
      </c>
      <c r="G1524" s="154" t="s">
        <v>5756</v>
      </c>
      <c r="J1524" s="154" t="s">
        <v>28</v>
      </c>
      <c r="K1524" s="154" t="s">
        <v>26</v>
      </c>
      <c r="M1524" s="154" t="s">
        <v>648</v>
      </c>
      <c r="O1524" s="156"/>
      <c r="P1524" s="157"/>
      <c r="Q1524" s="158"/>
      <c r="R1524" s="159"/>
      <c r="S1524" s="160"/>
      <c r="T1524" s="161"/>
      <c r="U1524" s="156"/>
      <c r="V1524" s="162"/>
      <c r="W1524" s="163"/>
      <c r="X1524" s="164"/>
      <c r="Y1524" s="159"/>
      <c r="Z1524" s="161"/>
      <c r="AA1524" s="165"/>
      <c r="AD1524" s="154" t="s">
        <v>284</v>
      </c>
      <c r="AF1524" s="154" t="s">
        <v>5757</v>
      </c>
      <c r="AO1524" s="155"/>
      <c r="AQ1524" s="156"/>
      <c r="AR1524" s="157"/>
      <c r="AS1524" s="158"/>
      <c r="AT1524" s="159"/>
      <c r="AU1524" s="161"/>
      <c r="AV1524" s="156"/>
      <c r="AW1524" s="162"/>
      <c r="AX1524" s="163"/>
      <c r="AY1524" s="164"/>
      <c r="AZ1524" s="159"/>
      <c r="BA1524" s="161"/>
      <c r="BB1524" s="165"/>
    </row>
    <row r="1525" spans="1:58" s="154" customFormat="1" ht="15" customHeight="1">
      <c r="A1525" s="153" t="s">
        <v>5693</v>
      </c>
      <c r="B1525" s="153" t="s">
        <v>5758</v>
      </c>
      <c r="C1525" s="154" t="s">
        <v>5695</v>
      </c>
      <c r="D1525" s="170">
        <v>16</v>
      </c>
      <c r="E1525" s="154">
        <v>1</v>
      </c>
      <c r="G1525" s="154" t="s">
        <v>5759</v>
      </c>
      <c r="J1525" s="154" t="s">
        <v>27</v>
      </c>
      <c r="K1525" s="171" t="s">
        <v>26</v>
      </c>
      <c r="N1525" s="154">
        <v>0</v>
      </c>
      <c r="O1525" s="156"/>
      <c r="P1525" s="157"/>
      <c r="Q1525" s="158">
        <v>1</v>
      </c>
      <c r="R1525" s="159">
        <v>1</v>
      </c>
      <c r="S1525" s="160">
        <v>1</v>
      </c>
      <c r="T1525" s="161"/>
      <c r="U1525" s="156"/>
      <c r="V1525" s="162"/>
      <c r="W1525" s="163"/>
      <c r="X1525" s="164"/>
      <c r="Y1525" s="159"/>
      <c r="Z1525" s="161"/>
      <c r="AA1525" s="165"/>
      <c r="AB1525" s="154" t="s">
        <v>1078</v>
      </c>
      <c r="AD1525" s="154" t="s">
        <v>1805</v>
      </c>
      <c r="AF1525" s="154" t="s">
        <v>5760</v>
      </c>
      <c r="AM1525" s="171"/>
      <c r="AO1525" s="155"/>
      <c r="AQ1525" s="156"/>
      <c r="AR1525" s="157"/>
      <c r="AS1525" s="158"/>
      <c r="AT1525" s="159"/>
      <c r="AU1525" s="161"/>
      <c r="AV1525" s="156"/>
      <c r="AW1525" s="162"/>
      <c r="AX1525" s="163"/>
      <c r="AY1525" s="164"/>
      <c r="AZ1525" s="159"/>
      <c r="BA1525" s="161"/>
      <c r="BB1525" s="165"/>
    </row>
    <row r="1526" spans="1:58" s="154" customFormat="1" ht="15" customHeight="1">
      <c r="A1526" s="153" t="s">
        <v>5693</v>
      </c>
      <c r="B1526" s="153" t="s">
        <v>5761</v>
      </c>
      <c r="C1526" s="154" t="s">
        <v>5695</v>
      </c>
      <c r="D1526" s="170">
        <v>17</v>
      </c>
      <c r="E1526" s="154">
        <v>1</v>
      </c>
      <c r="G1526" s="154" t="s">
        <v>5762</v>
      </c>
      <c r="J1526" s="154" t="s">
        <v>29</v>
      </c>
      <c r="K1526" s="171" t="s">
        <v>26</v>
      </c>
      <c r="M1526" s="154" t="s">
        <v>648</v>
      </c>
      <c r="O1526" s="156"/>
      <c r="P1526" s="157"/>
      <c r="Q1526" s="158">
        <v>3</v>
      </c>
      <c r="R1526" s="159">
        <v>3</v>
      </c>
      <c r="S1526" s="160"/>
      <c r="T1526" s="161">
        <v>3</v>
      </c>
      <c r="U1526" s="156"/>
      <c r="V1526" s="162">
        <v>1</v>
      </c>
      <c r="W1526" s="163">
        <v>1</v>
      </c>
      <c r="X1526" s="164"/>
      <c r="Y1526" s="159"/>
      <c r="Z1526" s="161"/>
      <c r="AA1526" s="165"/>
      <c r="AD1526" s="154" t="s">
        <v>467</v>
      </c>
      <c r="AF1526" s="154" t="s">
        <v>5763</v>
      </c>
      <c r="AO1526" s="155"/>
      <c r="AQ1526" s="156"/>
      <c r="AR1526" s="157"/>
      <c r="AS1526" s="158"/>
      <c r="AT1526" s="159"/>
      <c r="AU1526" s="161"/>
      <c r="AV1526" s="156"/>
      <c r="AW1526" s="162"/>
      <c r="AX1526" s="163"/>
      <c r="AY1526" s="164"/>
      <c r="AZ1526" s="159"/>
      <c r="BA1526" s="161"/>
      <c r="BB1526" s="165"/>
      <c r="BE1526" s="155"/>
    </row>
    <row r="1527" spans="1:58" s="154" customFormat="1" ht="15" customHeight="1">
      <c r="A1527" s="153" t="s">
        <v>5693</v>
      </c>
      <c r="B1527" s="169" t="s">
        <v>5764</v>
      </c>
      <c r="C1527" s="154" t="s">
        <v>5695</v>
      </c>
      <c r="D1527" s="170">
        <v>18</v>
      </c>
      <c r="E1527" s="154">
        <v>1</v>
      </c>
      <c r="G1527" s="154" t="s">
        <v>1118</v>
      </c>
      <c r="J1527" s="154" t="s">
        <v>27</v>
      </c>
      <c r="K1527" s="171" t="s">
        <v>26</v>
      </c>
      <c r="N1527" s="154">
        <v>3</v>
      </c>
      <c r="O1527" s="156"/>
      <c r="P1527" s="157"/>
      <c r="Q1527" s="158"/>
      <c r="R1527" s="159"/>
      <c r="S1527" s="160">
        <v>2</v>
      </c>
      <c r="T1527" s="161"/>
      <c r="U1527" s="156"/>
      <c r="V1527" s="162"/>
      <c r="W1527" s="163"/>
      <c r="X1527" s="164"/>
      <c r="Y1527" s="159"/>
      <c r="Z1527" s="161"/>
      <c r="AA1527" s="165"/>
      <c r="AB1527" s="154" t="s">
        <v>1082</v>
      </c>
      <c r="AD1527" s="154" t="s">
        <v>1119</v>
      </c>
      <c r="AF1527" s="154" t="s">
        <v>1120</v>
      </c>
      <c r="AO1527" s="155"/>
      <c r="AQ1527" s="156"/>
      <c r="AR1527" s="157"/>
      <c r="AS1527" s="158"/>
      <c r="AT1527" s="159"/>
      <c r="AU1527" s="161"/>
      <c r="AV1527" s="156"/>
      <c r="AW1527" s="162"/>
      <c r="AX1527" s="163"/>
      <c r="AY1527" s="164"/>
      <c r="AZ1527" s="159"/>
      <c r="BA1527" s="161"/>
      <c r="BB1527" s="165"/>
      <c r="BE1527" s="155"/>
    </row>
    <row r="1528" spans="1:58" s="154" customFormat="1" ht="15" customHeight="1">
      <c r="A1528" s="153" t="s">
        <v>5693</v>
      </c>
      <c r="B1528" s="153" t="s">
        <v>5765</v>
      </c>
      <c r="C1528" s="154" t="s">
        <v>5695</v>
      </c>
      <c r="D1528" s="170">
        <v>19</v>
      </c>
      <c r="E1528" s="154">
        <v>1</v>
      </c>
      <c r="G1528" s="154" t="s">
        <v>1121</v>
      </c>
      <c r="H1528" s="154" t="s">
        <v>1122</v>
      </c>
      <c r="I1528" s="154" t="s">
        <v>223</v>
      </c>
      <c r="J1528" s="154" t="s">
        <v>257</v>
      </c>
      <c r="K1528" s="154" t="s">
        <v>26</v>
      </c>
      <c r="M1528" s="154" t="s">
        <v>648</v>
      </c>
      <c r="O1528" s="156"/>
      <c r="P1528" s="157"/>
      <c r="Q1528" s="158"/>
      <c r="R1528" s="159"/>
      <c r="S1528" s="160"/>
      <c r="T1528" s="161"/>
      <c r="U1528" s="156"/>
      <c r="V1528" s="162"/>
      <c r="W1528" s="163"/>
      <c r="X1528" s="164"/>
      <c r="Y1528" s="159"/>
      <c r="Z1528" s="161"/>
      <c r="AA1528" s="165"/>
      <c r="AC1528" s="154" t="s">
        <v>25</v>
      </c>
      <c r="AD1528" s="154" t="s">
        <v>1123</v>
      </c>
      <c r="AF1528" s="154" t="s">
        <v>5856</v>
      </c>
      <c r="AO1528" s="155"/>
      <c r="AQ1528" s="156"/>
      <c r="AR1528" s="157"/>
      <c r="AS1528" s="158"/>
      <c r="AT1528" s="159"/>
      <c r="AU1528" s="161"/>
      <c r="AV1528" s="156"/>
      <c r="AW1528" s="162"/>
      <c r="AX1528" s="163"/>
      <c r="AY1528" s="164"/>
      <c r="AZ1528" s="159"/>
      <c r="BA1528" s="161"/>
      <c r="BB1528" s="165"/>
      <c r="BE1528" s="155"/>
    </row>
    <row r="1529" spans="1:58" s="154" customFormat="1" ht="15" customHeight="1">
      <c r="A1529" s="153" t="s">
        <v>5693</v>
      </c>
      <c r="B1529" s="153" t="s">
        <v>5766</v>
      </c>
      <c r="C1529" s="154" t="s">
        <v>5695</v>
      </c>
      <c r="D1529" s="170">
        <v>20</v>
      </c>
      <c r="E1529" s="154">
        <v>2</v>
      </c>
      <c r="G1529" s="154" t="s">
        <v>5767</v>
      </c>
      <c r="J1529" s="154" t="s">
        <v>27</v>
      </c>
      <c r="K1529" s="154" t="s">
        <v>198</v>
      </c>
      <c r="L1529" s="154">
        <v>0</v>
      </c>
      <c r="N1529" s="154">
        <v>2</v>
      </c>
      <c r="O1529" s="156"/>
      <c r="P1529" s="157">
        <v>1</v>
      </c>
      <c r="Q1529" s="158">
        <v>1</v>
      </c>
      <c r="R1529" s="159"/>
      <c r="S1529" s="160"/>
      <c r="T1529" s="161"/>
      <c r="U1529" s="156"/>
      <c r="V1529" s="162"/>
      <c r="W1529" s="163"/>
      <c r="X1529" s="164"/>
      <c r="Y1529" s="159"/>
      <c r="Z1529" s="161"/>
      <c r="AA1529" s="165"/>
      <c r="AB1529" s="154" t="s">
        <v>1091</v>
      </c>
      <c r="AD1529" s="154" t="s">
        <v>5768</v>
      </c>
      <c r="AF1529" s="154" t="s">
        <v>5769</v>
      </c>
      <c r="AP1529" s="155"/>
      <c r="AQ1529" s="156"/>
      <c r="AR1529" s="157"/>
      <c r="AS1529" s="158"/>
      <c r="AT1529" s="159"/>
      <c r="AU1529" s="161"/>
      <c r="AV1529" s="156"/>
      <c r="AW1529" s="162"/>
      <c r="AX1529" s="163"/>
      <c r="AY1529" s="164"/>
      <c r="AZ1529" s="159"/>
      <c r="BA1529" s="161"/>
      <c r="BB1529" s="165"/>
      <c r="BF1529" s="155"/>
    </row>
    <row r="1530" spans="1:58" s="154" customFormat="1" ht="15" customHeight="1">
      <c r="A1530" s="153" t="s">
        <v>5693</v>
      </c>
      <c r="B1530" s="153" t="s">
        <v>5770</v>
      </c>
      <c r="C1530" s="154" t="s">
        <v>5695</v>
      </c>
      <c r="D1530" s="170">
        <v>21</v>
      </c>
      <c r="E1530" s="154">
        <v>2</v>
      </c>
      <c r="G1530" s="154" t="s">
        <v>5771</v>
      </c>
      <c r="J1530" s="154" t="s">
        <v>27</v>
      </c>
      <c r="K1530" s="154" t="s">
        <v>198</v>
      </c>
      <c r="L1530" s="154">
        <v>0</v>
      </c>
      <c r="N1530" s="155">
        <v>2</v>
      </c>
      <c r="O1530" s="156"/>
      <c r="P1530" s="157"/>
      <c r="Q1530" s="158">
        <v>1</v>
      </c>
      <c r="R1530" s="159">
        <v>1</v>
      </c>
      <c r="S1530" s="160"/>
      <c r="T1530" s="161"/>
      <c r="U1530" s="156"/>
      <c r="V1530" s="162"/>
      <c r="W1530" s="163"/>
      <c r="X1530" s="164"/>
      <c r="Y1530" s="159"/>
      <c r="Z1530" s="161"/>
      <c r="AA1530" s="165"/>
      <c r="AB1530" s="154" t="s">
        <v>1087</v>
      </c>
      <c r="AD1530" s="154" t="s">
        <v>5772</v>
      </c>
      <c r="AE1530" s="155"/>
      <c r="AF1530" s="154" t="s">
        <v>5773</v>
      </c>
      <c r="AP1530" s="155"/>
      <c r="AQ1530" s="156"/>
      <c r="AR1530" s="157"/>
      <c r="AS1530" s="158"/>
      <c r="AT1530" s="159"/>
      <c r="AU1530" s="161"/>
      <c r="AV1530" s="156"/>
      <c r="AW1530" s="162"/>
      <c r="AX1530" s="163"/>
      <c r="AY1530" s="164"/>
      <c r="AZ1530" s="159"/>
      <c r="BA1530" s="161"/>
      <c r="BB1530" s="165"/>
      <c r="BF1530" s="155"/>
    </row>
    <row r="1531" spans="1:58" s="154" customFormat="1" ht="15" customHeight="1">
      <c r="A1531" s="153" t="s">
        <v>5693</v>
      </c>
      <c r="B1531" s="153" t="s">
        <v>5774</v>
      </c>
      <c r="C1531" s="154" t="s">
        <v>5695</v>
      </c>
      <c r="D1531" s="170">
        <v>22</v>
      </c>
      <c r="E1531" s="154">
        <v>2</v>
      </c>
      <c r="G1531" s="154" t="s">
        <v>5775</v>
      </c>
      <c r="J1531" s="154" t="s">
        <v>312</v>
      </c>
      <c r="K1531" s="154" t="s">
        <v>198</v>
      </c>
      <c r="L1531" s="154">
        <v>0</v>
      </c>
      <c r="N1531" s="155"/>
      <c r="O1531" s="156">
        <v>1</v>
      </c>
      <c r="P1531" s="157"/>
      <c r="Q1531" s="158">
        <v>1</v>
      </c>
      <c r="R1531" s="159"/>
      <c r="S1531" s="160"/>
      <c r="T1531" s="161"/>
      <c r="U1531" s="156"/>
      <c r="V1531" s="162"/>
      <c r="W1531" s="163"/>
      <c r="X1531" s="164"/>
      <c r="Y1531" s="159"/>
      <c r="Z1531" s="161"/>
      <c r="AA1531" s="165"/>
      <c r="AB1531" s="154" t="s">
        <v>1083</v>
      </c>
      <c r="AD1531" s="154" t="s">
        <v>412</v>
      </c>
      <c r="AE1531" s="155"/>
      <c r="AF1531" s="154" t="s">
        <v>5776</v>
      </c>
      <c r="AP1531" s="155"/>
      <c r="AQ1531" s="156"/>
      <c r="AR1531" s="157"/>
      <c r="AS1531" s="158"/>
      <c r="AT1531" s="159"/>
      <c r="AU1531" s="161"/>
      <c r="AV1531" s="156"/>
      <c r="AW1531" s="162"/>
      <c r="AX1531" s="163"/>
      <c r="AY1531" s="164"/>
      <c r="AZ1531" s="159"/>
      <c r="BA1531" s="161"/>
      <c r="BB1531" s="165"/>
      <c r="BF1531" s="155"/>
    </row>
    <row r="1532" spans="1:58" s="154" customFormat="1" ht="15" customHeight="1">
      <c r="A1532" s="153" t="s">
        <v>5693</v>
      </c>
      <c r="B1532" s="153" t="s">
        <v>5777</v>
      </c>
      <c r="C1532" s="154" t="s">
        <v>5695</v>
      </c>
      <c r="D1532" s="170">
        <v>23</v>
      </c>
      <c r="E1532" s="154">
        <v>2</v>
      </c>
      <c r="G1532" s="154" t="s">
        <v>5778</v>
      </c>
      <c r="H1532" s="154" t="s">
        <v>5779</v>
      </c>
      <c r="J1532" s="154" t="s">
        <v>257</v>
      </c>
      <c r="K1532" s="154" t="s">
        <v>198</v>
      </c>
      <c r="L1532" s="154">
        <v>1</v>
      </c>
      <c r="N1532" s="155">
        <v>3</v>
      </c>
      <c r="O1532" s="156"/>
      <c r="P1532" s="157"/>
      <c r="Q1532" s="158"/>
      <c r="R1532" s="159"/>
      <c r="S1532" s="160"/>
      <c r="T1532" s="161"/>
      <c r="U1532" s="156"/>
      <c r="V1532" s="162"/>
      <c r="W1532" s="163"/>
      <c r="X1532" s="164"/>
      <c r="Y1532" s="159"/>
      <c r="Z1532" s="161"/>
      <c r="AA1532" s="165"/>
      <c r="AC1532" s="154" t="s">
        <v>5780</v>
      </c>
      <c r="AD1532" s="154" t="s">
        <v>5781</v>
      </c>
      <c r="AE1532" s="155"/>
      <c r="AF1532" s="154" t="s">
        <v>5782</v>
      </c>
      <c r="AP1532" s="155"/>
      <c r="AQ1532" s="156"/>
      <c r="AR1532" s="157"/>
      <c r="AS1532" s="158"/>
      <c r="AT1532" s="159"/>
      <c r="AU1532" s="161"/>
      <c r="AV1532" s="156"/>
      <c r="AW1532" s="162"/>
      <c r="AX1532" s="163"/>
      <c r="AY1532" s="164"/>
      <c r="AZ1532" s="159"/>
      <c r="BA1532" s="161"/>
      <c r="BB1532" s="165"/>
      <c r="BF1532" s="155"/>
    </row>
    <row r="1533" spans="1:58" s="154" customFormat="1" ht="15" customHeight="1">
      <c r="A1533" s="153" t="s">
        <v>5693</v>
      </c>
      <c r="B1533" s="169" t="s">
        <v>5783</v>
      </c>
      <c r="C1533" s="154" t="s">
        <v>5695</v>
      </c>
      <c r="D1533" s="170">
        <v>24</v>
      </c>
      <c r="E1533" s="154">
        <v>2</v>
      </c>
      <c r="G1533" s="154" t="s">
        <v>5784</v>
      </c>
      <c r="J1533" s="154" t="s">
        <v>257</v>
      </c>
      <c r="K1533" s="154" t="s">
        <v>199</v>
      </c>
      <c r="L1533" s="154">
        <v>0</v>
      </c>
      <c r="N1533" s="155">
        <v>4</v>
      </c>
      <c r="O1533" s="156"/>
      <c r="P1533" s="157">
        <v>1</v>
      </c>
      <c r="Q1533" s="158"/>
      <c r="R1533" s="159"/>
      <c r="S1533" s="160"/>
      <c r="T1533" s="161"/>
      <c r="U1533" s="156"/>
      <c r="V1533" s="162"/>
      <c r="W1533" s="163"/>
      <c r="X1533" s="164"/>
      <c r="Y1533" s="159"/>
      <c r="Z1533" s="161"/>
      <c r="AA1533" s="165"/>
      <c r="AB1533" s="154" t="s">
        <v>205</v>
      </c>
      <c r="AC1533" s="154" t="s">
        <v>258</v>
      </c>
      <c r="AD1533" s="154" t="s">
        <v>5785</v>
      </c>
      <c r="AE1533" s="155"/>
      <c r="AF1533" s="154" t="s">
        <v>5786</v>
      </c>
      <c r="AP1533" s="155"/>
      <c r="AQ1533" s="156"/>
      <c r="AR1533" s="157"/>
      <c r="AS1533" s="158"/>
      <c r="AT1533" s="159"/>
      <c r="AU1533" s="161"/>
      <c r="AV1533" s="156"/>
      <c r="AW1533" s="162"/>
      <c r="AX1533" s="163"/>
      <c r="AY1533" s="164"/>
      <c r="AZ1533" s="159"/>
      <c r="BA1533" s="161"/>
      <c r="BB1533" s="165"/>
      <c r="BF1533" s="155"/>
    </row>
    <row r="1534" spans="1:58" s="154" customFormat="1" ht="15" customHeight="1">
      <c r="A1534" s="153" t="s">
        <v>5693</v>
      </c>
      <c r="B1534" s="153" t="s">
        <v>5787</v>
      </c>
      <c r="C1534" s="154" t="s">
        <v>5695</v>
      </c>
      <c r="D1534" s="170">
        <v>25</v>
      </c>
      <c r="E1534" s="154">
        <v>2</v>
      </c>
      <c r="G1534" s="154" t="s">
        <v>5788</v>
      </c>
      <c r="J1534" s="154" t="s">
        <v>27</v>
      </c>
      <c r="K1534" s="154" t="s">
        <v>199</v>
      </c>
      <c r="L1534" s="154">
        <v>0</v>
      </c>
      <c r="N1534" s="155">
        <v>4</v>
      </c>
      <c r="O1534" s="156"/>
      <c r="P1534" s="157">
        <v>2</v>
      </c>
      <c r="Q1534" s="158"/>
      <c r="R1534" s="159"/>
      <c r="S1534" s="160"/>
      <c r="T1534" s="161"/>
      <c r="U1534" s="156"/>
      <c r="V1534" s="162"/>
      <c r="W1534" s="163"/>
      <c r="X1534" s="164"/>
      <c r="Y1534" s="159"/>
      <c r="Z1534" s="161"/>
      <c r="AA1534" s="165"/>
      <c r="AB1534" s="154" t="s">
        <v>1084</v>
      </c>
      <c r="AD1534" s="154" t="s">
        <v>340</v>
      </c>
      <c r="AE1534" s="155"/>
      <c r="AF1534" s="154" t="s">
        <v>5789</v>
      </c>
      <c r="AP1534" s="155"/>
      <c r="AQ1534" s="156"/>
      <c r="AR1534" s="157"/>
      <c r="AS1534" s="158"/>
      <c r="AT1534" s="159"/>
      <c r="AU1534" s="161"/>
      <c r="AV1534" s="156"/>
      <c r="AW1534" s="162"/>
      <c r="AX1534" s="163"/>
      <c r="AY1534" s="164"/>
      <c r="AZ1534" s="159"/>
      <c r="BA1534" s="161"/>
      <c r="BB1534" s="165"/>
      <c r="BF1534" s="155"/>
    </row>
    <row r="1535" spans="1:58" s="154" customFormat="1" ht="15" customHeight="1">
      <c r="A1535" s="153" t="s">
        <v>5693</v>
      </c>
      <c r="B1535" s="153" t="s">
        <v>5790</v>
      </c>
      <c r="C1535" s="154" t="s">
        <v>5695</v>
      </c>
      <c r="D1535" s="170">
        <v>26</v>
      </c>
      <c r="E1535" s="154">
        <v>2</v>
      </c>
      <c r="G1535" s="154" t="s">
        <v>5791</v>
      </c>
      <c r="J1535" s="154" t="s">
        <v>312</v>
      </c>
      <c r="K1535" s="154" t="s">
        <v>199</v>
      </c>
      <c r="L1535" s="154">
        <v>0</v>
      </c>
      <c r="N1535" s="155"/>
      <c r="O1535" s="156">
        <v>1</v>
      </c>
      <c r="P1535" s="157">
        <v>1</v>
      </c>
      <c r="Q1535" s="158"/>
      <c r="R1535" s="159"/>
      <c r="S1535" s="160"/>
      <c r="T1535" s="161"/>
      <c r="U1535" s="156"/>
      <c r="V1535" s="162"/>
      <c r="W1535" s="163"/>
      <c r="X1535" s="164"/>
      <c r="Y1535" s="159"/>
      <c r="Z1535" s="161"/>
      <c r="AA1535" s="165"/>
      <c r="AB1535" s="154" t="s">
        <v>1092</v>
      </c>
      <c r="AD1535" s="154" t="s">
        <v>412</v>
      </c>
      <c r="AE1535" s="155"/>
      <c r="AF1535" s="154" t="s">
        <v>5792</v>
      </c>
      <c r="AI1535" s="153"/>
      <c r="AP1535" s="155"/>
      <c r="AQ1535" s="156"/>
      <c r="AR1535" s="157"/>
      <c r="AS1535" s="158"/>
      <c r="AT1535" s="159"/>
      <c r="AU1535" s="161"/>
      <c r="AV1535" s="156"/>
      <c r="AW1535" s="162"/>
      <c r="AX1535" s="163"/>
      <c r="AY1535" s="164"/>
      <c r="AZ1535" s="159"/>
      <c r="BA1535" s="161"/>
      <c r="BB1535" s="165"/>
      <c r="BF1535" s="155"/>
    </row>
    <row r="1536" spans="1:58" s="154" customFormat="1" ht="15" customHeight="1">
      <c r="A1536" s="153" t="s">
        <v>5693</v>
      </c>
      <c r="B1536" s="169" t="s">
        <v>5793</v>
      </c>
      <c r="C1536" s="154" t="s">
        <v>5695</v>
      </c>
      <c r="D1536" s="170">
        <v>27</v>
      </c>
      <c r="E1536" s="154">
        <v>2</v>
      </c>
      <c r="G1536" s="154" t="s">
        <v>5794</v>
      </c>
      <c r="H1536" s="154" t="s">
        <v>5795</v>
      </c>
      <c r="J1536" s="154" t="s">
        <v>257</v>
      </c>
      <c r="K1536" s="154" t="s">
        <v>199</v>
      </c>
      <c r="L1536" s="154">
        <v>1</v>
      </c>
      <c r="N1536" s="155">
        <v>3</v>
      </c>
      <c r="O1536" s="156"/>
      <c r="P1536" s="157"/>
      <c r="Q1536" s="158"/>
      <c r="R1536" s="159"/>
      <c r="S1536" s="160"/>
      <c r="T1536" s="161"/>
      <c r="U1536" s="156"/>
      <c r="V1536" s="162"/>
      <c r="W1536" s="163"/>
      <c r="X1536" s="164"/>
      <c r="Y1536" s="159"/>
      <c r="Z1536" s="161"/>
      <c r="AA1536" s="165"/>
      <c r="AC1536" s="154" t="s">
        <v>5780</v>
      </c>
      <c r="AD1536" s="154" t="s">
        <v>5781</v>
      </c>
      <c r="AE1536" s="155"/>
      <c r="AF1536" s="154" t="s">
        <v>5857</v>
      </c>
      <c r="AP1536" s="155"/>
      <c r="AQ1536" s="156"/>
      <c r="AR1536" s="157"/>
      <c r="AS1536" s="158"/>
      <c r="AT1536" s="159"/>
      <c r="AU1536" s="161"/>
      <c r="AV1536" s="156"/>
      <c r="AW1536" s="162"/>
      <c r="AX1536" s="163"/>
      <c r="AY1536" s="164"/>
      <c r="AZ1536" s="159"/>
      <c r="BA1536" s="161"/>
      <c r="BB1536" s="165"/>
      <c r="BF1536" s="155"/>
    </row>
    <row r="1537" spans="1:59" s="154" customFormat="1" ht="15" customHeight="1">
      <c r="A1537" s="153" t="s">
        <v>5693</v>
      </c>
      <c r="B1537" s="153" t="s">
        <v>5796</v>
      </c>
      <c r="C1537" s="154" t="s">
        <v>5695</v>
      </c>
      <c r="D1537" s="170">
        <v>28</v>
      </c>
      <c r="E1537" s="154">
        <v>2</v>
      </c>
      <c r="G1537" s="154" t="s">
        <v>5797</v>
      </c>
      <c r="J1537" s="154" t="s">
        <v>257</v>
      </c>
      <c r="K1537" s="154" t="s">
        <v>201</v>
      </c>
      <c r="L1537" s="154">
        <v>0</v>
      </c>
      <c r="N1537" s="155">
        <v>2</v>
      </c>
      <c r="O1537" s="156"/>
      <c r="P1537" s="157"/>
      <c r="Q1537" s="158"/>
      <c r="R1537" s="159"/>
      <c r="S1537" s="160"/>
      <c r="T1537" s="161"/>
      <c r="U1537" s="156"/>
      <c r="V1537" s="162"/>
      <c r="W1537" s="163"/>
      <c r="X1537" s="164"/>
      <c r="Y1537" s="159"/>
      <c r="Z1537" s="161"/>
      <c r="AA1537" s="165"/>
      <c r="AD1537" s="154" t="s">
        <v>2195</v>
      </c>
      <c r="AE1537" s="155"/>
      <c r="AF1537" s="154" t="s">
        <v>5798</v>
      </c>
      <c r="AP1537" s="155"/>
      <c r="AQ1537" s="156"/>
      <c r="AR1537" s="157"/>
      <c r="AS1537" s="158"/>
      <c r="AT1537" s="159"/>
      <c r="AU1537" s="161"/>
      <c r="AV1537" s="156"/>
      <c r="AW1537" s="162"/>
      <c r="AX1537" s="163"/>
      <c r="AY1537" s="164"/>
      <c r="AZ1537" s="159"/>
      <c r="BA1537" s="161"/>
      <c r="BB1537" s="165"/>
      <c r="BF1537" s="155"/>
    </row>
    <row r="1538" spans="1:59" s="154" customFormat="1" ht="15" customHeight="1">
      <c r="A1538" s="153" t="s">
        <v>5693</v>
      </c>
      <c r="B1538" s="153" t="s">
        <v>5799</v>
      </c>
      <c r="C1538" s="154" t="s">
        <v>5695</v>
      </c>
      <c r="D1538" s="170">
        <v>29</v>
      </c>
      <c r="E1538" s="154">
        <v>2</v>
      </c>
      <c r="G1538" s="154" t="s">
        <v>5800</v>
      </c>
      <c r="J1538" s="154" t="s">
        <v>27</v>
      </c>
      <c r="K1538" s="154" t="s">
        <v>201</v>
      </c>
      <c r="L1538" s="154">
        <v>0</v>
      </c>
      <c r="N1538" s="155">
        <v>0</v>
      </c>
      <c r="O1538" s="156"/>
      <c r="P1538" s="157"/>
      <c r="Q1538" s="158"/>
      <c r="R1538" s="159"/>
      <c r="S1538" s="160"/>
      <c r="T1538" s="161"/>
      <c r="U1538" s="156"/>
      <c r="V1538" s="162"/>
      <c r="W1538" s="163"/>
      <c r="X1538" s="164"/>
      <c r="Y1538" s="159"/>
      <c r="Z1538" s="161"/>
      <c r="AA1538" s="165"/>
      <c r="AD1538" s="154" t="s">
        <v>5801</v>
      </c>
      <c r="AE1538" s="155"/>
      <c r="AF1538" s="154" t="s">
        <v>5802</v>
      </c>
      <c r="AP1538" s="155"/>
      <c r="AQ1538" s="156"/>
      <c r="AR1538" s="157"/>
      <c r="AS1538" s="158"/>
      <c r="AT1538" s="159"/>
      <c r="AU1538" s="161"/>
      <c r="AV1538" s="156"/>
      <c r="AW1538" s="162"/>
      <c r="AX1538" s="163"/>
      <c r="AY1538" s="164"/>
      <c r="AZ1538" s="159"/>
      <c r="BA1538" s="161"/>
      <c r="BB1538" s="165"/>
      <c r="BF1538" s="155"/>
    </row>
    <row r="1539" spans="1:59" s="154" customFormat="1" ht="15" customHeight="1">
      <c r="A1539" s="153" t="s">
        <v>5693</v>
      </c>
      <c r="B1539" s="153" t="s">
        <v>5803</v>
      </c>
      <c r="C1539" s="154" t="s">
        <v>5695</v>
      </c>
      <c r="D1539" s="170">
        <v>30</v>
      </c>
      <c r="E1539" s="154">
        <v>2</v>
      </c>
      <c r="G1539" s="154" t="s">
        <v>5804</v>
      </c>
      <c r="J1539" s="154" t="s">
        <v>27</v>
      </c>
      <c r="K1539" s="154" t="s">
        <v>201</v>
      </c>
      <c r="L1539" s="154">
        <v>0</v>
      </c>
      <c r="N1539" s="155"/>
      <c r="O1539" s="156"/>
      <c r="P1539" s="157">
        <v>1</v>
      </c>
      <c r="Q1539" s="158"/>
      <c r="R1539" s="159">
        <v>1</v>
      </c>
      <c r="S1539" s="160"/>
      <c r="T1539" s="161"/>
      <c r="U1539" s="156"/>
      <c r="V1539" s="162"/>
      <c r="W1539" s="163"/>
      <c r="X1539" s="164"/>
      <c r="Y1539" s="159"/>
      <c r="Z1539" s="161"/>
      <c r="AA1539" s="165"/>
      <c r="AB1539" s="154" t="s">
        <v>1089</v>
      </c>
      <c r="AD1539" s="154" t="s">
        <v>412</v>
      </c>
      <c r="AF1539" s="154" t="s">
        <v>5805</v>
      </c>
      <c r="AP1539" s="155"/>
      <c r="AQ1539" s="156"/>
      <c r="AR1539" s="157"/>
      <c r="AS1539" s="158"/>
      <c r="AT1539" s="159"/>
      <c r="AU1539" s="161"/>
      <c r="AV1539" s="156"/>
      <c r="AW1539" s="162"/>
      <c r="AX1539" s="163"/>
      <c r="AY1539" s="164"/>
      <c r="AZ1539" s="159"/>
      <c r="BA1539" s="161"/>
      <c r="BB1539" s="165"/>
      <c r="BF1539" s="155"/>
    </row>
    <row r="1540" spans="1:59" s="154" customFormat="1" ht="15" customHeight="1">
      <c r="A1540" s="153" t="s">
        <v>5693</v>
      </c>
      <c r="B1540" s="169" t="s">
        <v>5806</v>
      </c>
      <c r="C1540" s="154" t="s">
        <v>5695</v>
      </c>
      <c r="D1540" s="170">
        <v>31</v>
      </c>
      <c r="E1540" s="154">
        <v>2</v>
      </c>
      <c r="G1540" s="154" t="s">
        <v>5807</v>
      </c>
      <c r="H1540" s="154" t="s">
        <v>5808</v>
      </c>
      <c r="J1540" s="154" t="s">
        <v>257</v>
      </c>
      <c r="K1540" s="154" t="s">
        <v>201</v>
      </c>
      <c r="L1540" s="154">
        <v>1</v>
      </c>
      <c r="N1540" s="155">
        <v>3</v>
      </c>
      <c r="O1540" s="156"/>
      <c r="P1540" s="157"/>
      <c r="Q1540" s="158"/>
      <c r="R1540" s="159"/>
      <c r="S1540" s="160"/>
      <c r="T1540" s="161"/>
      <c r="U1540" s="156"/>
      <c r="V1540" s="162"/>
      <c r="W1540" s="163"/>
      <c r="X1540" s="164"/>
      <c r="Y1540" s="159"/>
      <c r="Z1540" s="161"/>
      <c r="AA1540" s="165"/>
      <c r="AC1540" s="154" t="s">
        <v>5780</v>
      </c>
      <c r="AD1540" s="154" t="s">
        <v>5781</v>
      </c>
      <c r="AE1540" s="155"/>
      <c r="AF1540" s="154" t="s">
        <v>5858</v>
      </c>
      <c r="AP1540" s="155"/>
      <c r="AQ1540" s="156"/>
      <c r="AR1540" s="157"/>
      <c r="AS1540" s="158"/>
      <c r="AT1540" s="159"/>
      <c r="AU1540" s="161"/>
      <c r="AV1540" s="156"/>
      <c r="AW1540" s="162"/>
      <c r="AX1540" s="163"/>
      <c r="AY1540" s="164"/>
      <c r="AZ1540" s="159"/>
      <c r="BA1540" s="161"/>
      <c r="BB1540" s="165"/>
      <c r="BF1540" s="155"/>
    </row>
    <row r="1541" spans="1:59" s="154" customFormat="1" ht="15" customHeight="1">
      <c r="A1541" s="153" t="s">
        <v>5693</v>
      </c>
      <c r="B1541" s="153" t="s">
        <v>5809</v>
      </c>
      <c r="C1541" s="154" t="s">
        <v>5695</v>
      </c>
      <c r="D1541" s="170">
        <v>32</v>
      </c>
      <c r="E1541" s="154">
        <v>2</v>
      </c>
      <c r="G1541" s="154" t="s">
        <v>5810</v>
      </c>
      <c r="J1541" s="154" t="s">
        <v>27</v>
      </c>
      <c r="K1541" s="154" t="s">
        <v>200</v>
      </c>
      <c r="L1541" s="154">
        <v>0</v>
      </c>
      <c r="N1541" s="155">
        <v>0</v>
      </c>
      <c r="O1541" s="156"/>
      <c r="P1541" s="157"/>
      <c r="Q1541" s="158"/>
      <c r="R1541" s="159"/>
      <c r="S1541" s="160">
        <v>1</v>
      </c>
      <c r="T1541" s="161"/>
      <c r="U1541" s="156"/>
      <c r="V1541" s="162"/>
      <c r="W1541" s="163"/>
      <c r="X1541" s="164"/>
      <c r="Y1541" s="159"/>
      <c r="Z1541" s="161"/>
      <c r="AA1541" s="165"/>
      <c r="AB1541" s="154" t="s">
        <v>208</v>
      </c>
      <c r="AD1541" s="154" t="s">
        <v>3665</v>
      </c>
      <c r="AE1541" s="155"/>
      <c r="AF1541" s="154" t="s">
        <v>5811</v>
      </c>
      <c r="AP1541" s="155"/>
      <c r="AQ1541" s="156"/>
      <c r="AR1541" s="157"/>
      <c r="AS1541" s="158"/>
      <c r="AT1541" s="159"/>
      <c r="AU1541" s="161"/>
      <c r="AV1541" s="156"/>
      <c r="AW1541" s="162"/>
      <c r="AX1541" s="163"/>
      <c r="AY1541" s="164"/>
      <c r="AZ1541" s="159"/>
      <c r="BA1541" s="161"/>
      <c r="BB1541" s="165"/>
      <c r="BF1541" s="155"/>
    </row>
    <row r="1542" spans="1:59" s="154" customFormat="1" ht="15" customHeight="1">
      <c r="A1542" s="153" t="s">
        <v>5693</v>
      </c>
      <c r="B1542" s="169" t="s">
        <v>5812</v>
      </c>
      <c r="C1542" s="154" t="s">
        <v>5695</v>
      </c>
      <c r="D1542" s="170">
        <v>33</v>
      </c>
      <c r="E1542" s="154">
        <v>2</v>
      </c>
      <c r="G1542" s="154" t="s">
        <v>5813</v>
      </c>
      <c r="J1542" s="154" t="s">
        <v>27</v>
      </c>
      <c r="K1542" s="154" t="s">
        <v>200</v>
      </c>
      <c r="L1542" s="154">
        <v>0</v>
      </c>
      <c r="N1542" s="155">
        <v>0</v>
      </c>
      <c r="O1542" s="156">
        <v>1</v>
      </c>
      <c r="P1542" s="157">
        <v>1</v>
      </c>
      <c r="Q1542" s="158"/>
      <c r="R1542" s="159"/>
      <c r="S1542" s="160"/>
      <c r="T1542" s="161"/>
      <c r="U1542" s="156"/>
      <c r="V1542" s="162"/>
      <c r="W1542" s="163"/>
      <c r="X1542" s="164"/>
      <c r="Y1542" s="159"/>
      <c r="Z1542" s="161"/>
      <c r="AA1542" s="165"/>
      <c r="AB1542" s="154" t="s">
        <v>1092</v>
      </c>
      <c r="AD1542" s="154" t="s">
        <v>674</v>
      </c>
      <c r="AE1542" s="155"/>
      <c r="AF1542" s="154" t="s">
        <v>5814</v>
      </c>
      <c r="AP1542" s="155"/>
      <c r="AQ1542" s="156"/>
      <c r="AR1542" s="157"/>
      <c r="AS1542" s="158"/>
      <c r="AT1542" s="159"/>
      <c r="AU1542" s="161"/>
      <c r="AV1542" s="156"/>
      <c r="AW1542" s="162"/>
      <c r="AX1542" s="163"/>
      <c r="AY1542" s="164"/>
      <c r="AZ1542" s="159"/>
      <c r="BA1542" s="161"/>
      <c r="BB1542" s="165"/>
      <c r="BF1542" s="155"/>
    </row>
    <row r="1543" spans="1:59" s="154" customFormat="1" ht="15" customHeight="1">
      <c r="A1543" s="153" t="s">
        <v>5693</v>
      </c>
      <c r="B1543" s="153" t="s">
        <v>5815</v>
      </c>
      <c r="C1543" s="154" t="s">
        <v>5695</v>
      </c>
      <c r="D1543" s="170">
        <v>34</v>
      </c>
      <c r="E1543" s="154">
        <v>2</v>
      </c>
      <c r="G1543" s="154" t="s">
        <v>5816</v>
      </c>
      <c r="J1543" s="154" t="s">
        <v>312</v>
      </c>
      <c r="K1543" s="154" t="s">
        <v>200</v>
      </c>
      <c r="L1543" s="154">
        <v>0</v>
      </c>
      <c r="N1543" s="155"/>
      <c r="O1543" s="156"/>
      <c r="P1543" s="157"/>
      <c r="Q1543" s="158"/>
      <c r="R1543" s="159"/>
      <c r="S1543" s="160">
        <v>1</v>
      </c>
      <c r="T1543" s="161"/>
      <c r="U1543" s="156"/>
      <c r="V1543" s="162"/>
      <c r="W1543" s="163"/>
      <c r="X1543" s="164"/>
      <c r="Y1543" s="159"/>
      <c r="Z1543" s="161"/>
      <c r="AA1543" s="165"/>
      <c r="AB1543" s="154" t="s">
        <v>208</v>
      </c>
      <c r="AD1543" s="154" t="s">
        <v>313</v>
      </c>
      <c r="AE1543" s="155"/>
      <c r="AF1543" s="154" t="s">
        <v>5817</v>
      </c>
      <c r="AP1543" s="155"/>
      <c r="AQ1543" s="156"/>
      <c r="AR1543" s="157"/>
      <c r="AS1543" s="158"/>
      <c r="AT1543" s="159"/>
      <c r="AU1543" s="161"/>
      <c r="AV1543" s="156"/>
      <c r="AW1543" s="162"/>
      <c r="AX1543" s="163"/>
      <c r="AY1543" s="164"/>
      <c r="AZ1543" s="159"/>
      <c r="BA1543" s="161"/>
      <c r="BB1543" s="165"/>
      <c r="BF1543" s="155"/>
    </row>
    <row r="1544" spans="1:59" s="154" customFormat="1" ht="15" customHeight="1">
      <c r="A1544" s="153" t="s">
        <v>5693</v>
      </c>
      <c r="B1544" s="153" t="s">
        <v>5818</v>
      </c>
      <c r="C1544" s="154" t="s">
        <v>5695</v>
      </c>
      <c r="D1544" s="170">
        <v>35</v>
      </c>
      <c r="E1544" s="154">
        <v>2</v>
      </c>
      <c r="G1544" s="154" t="s">
        <v>5819</v>
      </c>
      <c r="H1544" s="154" t="s">
        <v>5820</v>
      </c>
      <c r="J1544" s="154" t="s">
        <v>257</v>
      </c>
      <c r="K1544" s="154" t="s">
        <v>200</v>
      </c>
      <c r="L1544" s="154">
        <v>1</v>
      </c>
      <c r="N1544" s="155">
        <v>3</v>
      </c>
      <c r="O1544" s="156"/>
      <c r="P1544" s="157"/>
      <c r="Q1544" s="158"/>
      <c r="R1544" s="159"/>
      <c r="S1544" s="160"/>
      <c r="T1544" s="161"/>
      <c r="U1544" s="156"/>
      <c r="V1544" s="162"/>
      <c r="W1544" s="163"/>
      <c r="X1544" s="164"/>
      <c r="Y1544" s="159"/>
      <c r="Z1544" s="161"/>
      <c r="AA1544" s="165"/>
      <c r="AC1544" s="154" t="s">
        <v>5780</v>
      </c>
      <c r="AD1544" s="154" t="s">
        <v>5781</v>
      </c>
      <c r="AE1544" s="155"/>
      <c r="AF1544" s="154" t="s">
        <v>5821</v>
      </c>
      <c r="AP1544" s="155"/>
      <c r="AQ1544" s="156"/>
      <c r="AR1544" s="157"/>
      <c r="AS1544" s="158"/>
      <c r="AT1544" s="159"/>
      <c r="AU1544" s="161"/>
      <c r="AV1544" s="156"/>
      <c r="AW1544" s="162"/>
      <c r="AX1544" s="163"/>
      <c r="AY1544" s="164"/>
      <c r="AZ1544" s="159"/>
      <c r="BA1544" s="161"/>
      <c r="BB1544" s="165"/>
      <c r="BF1544" s="155"/>
    </row>
    <row r="1545" spans="1:59" s="154" customFormat="1" ht="15" customHeight="1">
      <c r="A1545" s="153" t="s">
        <v>5693</v>
      </c>
      <c r="B1545" s="153" t="s">
        <v>5822</v>
      </c>
      <c r="C1545" s="154" t="s">
        <v>5695</v>
      </c>
      <c r="D1545" s="170">
        <v>36</v>
      </c>
      <c r="E1545" s="154">
        <v>2</v>
      </c>
      <c r="G1545" s="154" t="s">
        <v>5823</v>
      </c>
      <c r="J1545" s="154" t="s">
        <v>257</v>
      </c>
      <c r="K1545" s="154" t="s">
        <v>202</v>
      </c>
      <c r="L1545" s="154">
        <v>0</v>
      </c>
      <c r="N1545" s="155">
        <v>3</v>
      </c>
      <c r="O1545" s="156"/>
      <c r="P1545" s="157"/>
      <c r="Q1545" s="158"/>
      <c r="R1545" s="159">
        <v>1</v>
      </c>
      <c r="S1545" s="160"/>
      <c r="T1545" s="161"/>
      <c r="U1545" s="156"/>
      <c r="V1545" s="162"/>
      <c r="W1545" s="163"/>
      <c r="X1545" s="164"/>
      <c r="Y1545" s="159"/>
      <c r="Z1545" s="161"/>
      <c r="AA1545" s="165"/>
      <c r="AB1545" s="154" t="s">
        <v>207</v>
      </c>
      <c r="AD1545" s="154" t="s">
        <v>5824</v>
      </c>
      <c r="AE1545" s="155"/>
      <c r="AF1545" s="154" t="s">
        <v>5825</v>
      </c>
      <c r="AP1545" s="155"/>
      <c r="AQ1545" s="156"/>
      <c r="AR1545" s="157"/>
      <c r="AS1545" s="158"/>
      <c r="AT1545" s="159"/>
      <c r="AU1545" s="161"/>
      <c r="AV1545" s="156"/>
      <c r="AW1545" s="162"/>
      <c r="AX1545" s="163"/>
      <c r="AY1545" s="164"/>
      <c r="AZ1545" s="159"/>
      <c r="BA1545" s="161"/>
      <c r="BB1545" s="165"/>
      <c r="BF1545" s="155"/>
    </row>
    <row r="1546" spans="1:59" s="154" customFormat="1" ht="15" customHeight="1">
      <c r="A1546" s="153" t="s">
        <v>5693</v>
      </c>
      <c r="B1546" s="153" t="s">
        <v>5826</v>
      </c>
      <c r="C1546" s="154" t="s">
        <v>5695</v>
      </c>
      <c r="D1546" s="170">
        <v>37</v>
      </c>
      <c r="E1546" s="154">
        <v>2</v>
      </c>
      <c r="G1546" s="154" t="s">
        <v>5827</v>
      </c>
      <c r="J1546" s="154" t="s">
        <v>27</v>
      </c>
      <c r="K1546" s="154" t="s">
        <v>202</v>
      </c>
      <c r="L1546" s="154">
        <v>0</v>
      </c>
      <c r="N1546" s="155">
        <v>0</v>
      </c>
      <c r="O1546" s="156"/>
      <c r="P1546" s="157"/>
      <c r="Q1546" s="158">
        <v>2</v>
      </c>
      <c r="R1546" s="159"/>
      <c r="S1546" s="160"/>
      <c r="T1546" s="161"/>
      <c r="U1546" s="156"/>
      <c r="V1546" s="162"/>
      <c r="W1546" s="163"/>
      <c r="X1546" s="164"/>
      <c r="Y1546" s="159"/>
      <c r="Z1546" s="161"/>
      <c r="AA1546" s="165"/>
      <c r="AB1546" s="154" t="s">
        <v>1088</v>
      </c>
      <c r="AD1546" s="154" t="s">
        <v>5828</v>
      </c>
      <c r="AE1546" s="155"/>
      <c r="AF1546" s="154" t="s">
        <v>5829</v>
      </c>
      <c r="AP1546" s="155"/>
      <c r="AQ1546" s="156"/>
      <c r="AR1546" s="157"/>
      <c r="AS1546" s="158"/>
      <c r="AT1546" s="159"/>
      <c r="AU1546" s="161"/>
      <c r="AV1546" s="156"/>
      <c r="AW1546" s="162"/>
      <c r="AX1546" s="163"/>
      <c r="AY1546" s="164"/>
      <c r="AZ1546" s="159"/>
      <c r="BA1546" s="161"/>
      <c r="BB1546" s="165"/>
      <c r="BF1546" s="155"/>
    </row>
    <row r="1547" spans="1:59" s="154" customFormat="1" ht="15" customHeight="1">
      <c r="A1547" s="153" t="s">
        <v>5693</v>
      </c>
      <c r="B1547" s="169" t="s">
        <v>5830</v>
      </c>
      <c r="C1547" s="154" t="s">
        <v>5695</v>
      </c>
      <c r="D1547" s="155">
        <v>38</v>
      </c>
      <c r="E1547" s="154">
        <v>2</v>
      </c>
      <c r="G1547" s="154" t="s">
        <v>5831</v>
      </c>
      <c r="J1547" s="154" t="s">
        <v>312</v>
      </c>
      <c r="K1547" s="154" t="s">
        <v>202</v>
      </c>
      <c r="L1547" s="154">
        <v>0</v>
      </c>
      <c r="N1547" s="155"/>
      <c r="O1547" s="156"/>
      <c r="P1547" s="157"/>
      <c r="Q1547" s="158">
        <v>1</v>
      </c>
      <c r="R1547" s="159">
        <v>1</v>
      </c>
      <c r="S1547" s="160"/>
      <c r="T1547" s="161"/>
      <c r="U1547" s="156"/>
      <c r="V1547" s="162"/>
      <c r="W1547" s="163"/>
      <c r="X1547" s="164"/>
      <c r="Y1547" s="159"/>
      <c r="Z1547" s="161"/>
      <c r="AA1547" s="165"/>
      <c r="AB1547" s="154" t="s">
        <v>1087</v>
      </c>
      <c r="AD1547" s="154" t="s">
        <v>412</v>
      </c>
      <c r="AE1547" s="155"/>
      <c r="AF1547" s="154" t="s">
        <v>5832</v>
      </c>
      <c r="AP1547" s="155"/>
      <c r="AQ1547" s="156"/>
      <c r="AR1547" s="157"/>
      <c r="AS1547" s="158"/>
      <c r="AT1547" s="159"/>
      <c r="AU1547" s="161"/>
      <c r="AV1547" s="156"/>
      <c r="AW1547" s="162"/>
      <c r="AX1547" s="163"/>
      <c r="AY1547" s="164"/>
      <c r="AZ1547" s="159"/>
      <c r="BA1547" s="161"/>
      <c r="BB1547" s="165"/>
      <c r="BF1547" s="155"/>
    </row>
    <row r="1548" spans="1:59" s="154" customFormat="1" ht="15" customHeight="1">
      <c r="A1548" s="153" t="s">
        <v>5693</v>
      </c>
      <c r="B1548" s="153" t="s">
        <v>5833</v>
      </c>
      <c r="C1548" s="154" t="s">
        <v>5695</v>
      </c>
      <c r="D1548" s="155">
        <v>39</v>
      </c>
      <c r="E1548" s="154">
        <v>2</v>
      </c>
      <c r="G1548" s="154" t="s">
        <v>5834</v>
      </c>
      <c r="H1548" s="154" t="s">
        <v>5835</v>
      </c>
      <c r="J1548" s="154" t="s">
        <v>257</v>
      </c>
      <c r="K1548" s="154" t="s">
        <v>202</v>
      </c>
      <c r="L1548" s="154">
        <v>1</v>
      </c>
      <c r="N1548" s="155">
        <v>3</v>
      </c>
      <c r="O1548" s="156"/>
      <c r="P1548" s="157"/>
      <c r="Q1548" s="158"/>
      <c r="R1548" s="159"/>
      <c r="S1548" s="160"/>
      <c r="T1548" s="161"/>
      <c r="U1548" s="156"/>
      <c r="V1548" s="162"/>
      <c r="W1548" s="163"/>
      <c r="X1548" s="164"/>
      <c r="Y1548" s="159"/>
      <c r="Z1548" s="161"/>
      <c r="AA1548" s="165"/>
      <c r="AC1548" s="154" t="s">
        <v>5780</v>
      </c>
      <c r="AD1548" s="154" t="s">
        <v>5781</v>
      </c>
      <c r="AE1548" s="155"/>
      <c r="AF1548" s="154" t="s">
        <v>5836</v>
      </c>
      <c r="AP1548" s="155"/>
      <c r="AQ1548" s="156"/>
      <c r="AR1548" s="157"/>
      <c r="AS1548" s="158"/>
      <c r="AT1548" s="159"/>
      <c r="AU1548" s="161"/>
      <c r="AV1548" s="156"/>
      <c r="AW1548" s="162"/>
      <c r="AX1548" s="163"/>
      <c r="AY1548" s="164"/>
      <c r="AZ1548" s="159"/>
      <c r="BA1548" s="161"/>
      <c r="BB1548" s="165"/>
      <c r="BF1548" s="155"/>
    </row>
    <row r="1549" spans="1:59" s="154" customFormat="1" ht="15" customHeight="1">
      <c r="A1549" s="153" t="s">
        <v>5693</v>
      </c>
      <c r="B1549" s="183" t="s">
        <v>5837</v>
      </c>
      <c r="C1549" s="154" t="s">
        <v>5695</v>
      </c>
      <c r="D1549" s="155">
        <v>40</v>
      </c>
      <c r="E1549" s="154">
        <v>2</v>
      </c>
      <c r="G1549" s="154" t="s">
        <v>5838</v>
      </c>
      <c r="H1549" s="154" t="s">
        <v>5839</v>
      </c>
      <c r="J1549" s="154" t="s">
        <v>257</v>
      </c>
      <c r="K1549" s="154" t="s">
        <v>26</v>
      </c>
      <c r="L1549" s="154">
        <v>1</v>
      </c>
      <c r="N1549" s="155">
        <v>3</v>
      </c>
      <c r="O1549" s="156"/>
      <c r="P1549" s="157"/>
      <c r="Q1549" s="158"/>
      <c r="R1549" s="159"/>
      <c r="S1549" s="160"/>
      <c r="T1549" s="161"/>
      <c r="U1549" s="156"/>
      <c r="V1549" s="162"/>
      <c r="W1549" s="163"/>
      <c r="X1549" s="164"/>
      <c r="Y1549" s="159"/>
      <c r="Z1549" s="161"/>
      <c r="AA1549" s="165"/>
      <c r="AC1549" s="154" t="s">
        <v>5780</v>
      </c>
      <c r="AD1549" s="154" t="s">
        <v>5781</v>
      </c>
      <c r="AE1549" s="155"/>
      <c r="AF1549" s="154" t="s">
        <v>5859</v>
      </c>
      <c r="AP1549" s="155"/>
      <c r="AQ1549" s="156"/>
      <c r="AR1549" s="157"/>
      <c r="AS1549" s="158"/>
      <c r="AT1549" s="159"/>
      <c r="AU1549" s="161"/>
      <c r="AV1549" s="156"/>
      <c r="AW1549" s="162"/>
      <c r="AX1549" s="163"/>
      <c r="AY1549" s="164"/>
      <c r="AZ1549" s="159"/>
      <c r="BA1549" s="161"/>
      <c r="BB1549" s="165"/>
      <c r="BF1549" s="155"/>
    </row>
    <row r="1550" spans="1:59" s="154" customFormat="1" ht="15" customHeight="1">
      <c r="A1550" s="153" t="s">
        <v>5693</v>
      </c>
      <c r="B1550" s="154" t="s">
        <v>5840</v>
      </c>
      <c r="C1550" s="154" t="s">
        <v>5695</v>
      </c>
      <c r="D1550" s="155">
        <v>41</v>
      </c>
      <c r="E1550" s="154">
        <v>2</v>
      </c>
      <c r="G1550" s="154" t="s">
        <v>5841</v>
      </c>
      <c r="J1550" s="154" t="s">
        <v>28</v>
      </c>
      <c r="K1550" s="154" t="s">
        <v>2426</v>
      </c>
      <c r="M1550" s="154" t="s">
        <v>691</v>
      </c>
      <c r="N1550" s="155"/>
      <c r="O1550" s="156"/>
      <c r="P1550" s="157"/>
      <c r="Q1550" s="158"/>
      <c r="R1550" s="159"/>
      <c r="S1550" s="160"/>
      <c r="T1550" s="161"/>
      <c r="U1550" s="156"/>
      <c r="V1550" s="162"/>
      <c r="W1550" s="163"/>
      <c r="X1550" s="164"/>
      <c r="Y1550" s="159"/>
      <c r="Z1550" s="161"/>
      <c r="AA1550" s="165"/>
      <c r="AD1550" s="154" t="s">
        <v>492</v>
      </c>
      <c r="AE1550" s="155"/>
      <c r="AF1550" s="154" t="s">
        <v>5842</v>
      </c>
      <c r="AP1550" s="155"/>
      <c r="AQ1550" s="156"/>
      <c r="AR1550" s="157"/>
      <c r="AS1550" s="158"/>
      <c r="AT1550" s="159"/>
      <c r="AU1550" s="161"/>
      <c r="AV1550" s="156"/>
      <c r="AW1550" s="162"/>
      <c r="AX1550" s="163"/>
      <c r="AY1550" s="164"/>
      <c r="AZ1550" s="159"/>
      <c r="BA1550" s="161"/>
      <c r="BB1550" s="165"/>
      <c r="BF1550" s="155"/>
    </row>
    <row r="1551" spans="1:59" s="154" customFormat="1" ht="15" customHeight="1">
      <c r="A1551" s="153" t="s">
        <v>5693</v>
      </c>
      <c r="B1551" s="154" t="s">
        <v>5843</v>
      </c>
      <c r="C1551" s="154" t="s">
        <v>5695</v>
      </c>
      <c r="D1551" s="155">
        <v>42</v>
      </c>
      <c r="E1551" s="154">
        <v>2</v>
      </c>
      <c r="G1551" s="154" t="s">
        <v>5844</v>
      </c>
      <c r="H1551" s="154" t="s">
        <v>5845</v>
      </c>
      <c r="J1551" s="154" t="s">
        <v>257</v>
      </c>
      <c r="K1551" s="154" t="s">
        <v>26</v>
      </c>
      <c r="M1551" s="154" t="s">
        <v>691</v>
      </c>
      <c r="N1551" s="155">
        <v>4</v>
      </c>
      <c r="O1551" s="156"/>
      <c r="P1551" s="157"/>
      <c r="Q1551" s="158"/>
      <c r="R1551" s="159"/>
      <c r="S1551" s="160"/>
      <c r="T1551" s="161"/>
      <c r="U1551" s="156"/>
      <c r="V1551" s="162"/>
      <c r="W1551" s="163"/>
      <c r="X1551" s="164"/>
      <c r="Y1551" s="159"/>
      <c r="Z1551" s="161"/>
      <c r="AA1551" s="165"/>
      <c r="AC1551" s="154" t="s">
        <v>5780</v>
      </c>
      <c r="AD1551" s="154" t="s">
        <v>5846</v>
      </c>
      <c r="AE1551" s="155"/>
      <c r="AF1551" s="154" t="s">
        <v>5860</v>
      </c>
      <c r="AJ1551" s="171"/>
      <c r="AP1551" s="155"/>
      <c r="AQ1551" s="156"/>
      <c r="AR1551" s="157"/>
      <c r="AS1551" s="158"/>
      <c r="AT1551" s="159"/>
      <c r="AU1551" s="161"/>
      <c r="AV1551" s="156"/>
      <c r="AW1551" s="162"/>
      <c r="AX1551" s="163"/>
      <c r="AY1551" s="164"/>
      <c r="AZ1551" s="159"/>
      <c r="BA1551" s="161"/>
      <c r="BB1551" s="165"/>
      <c r="BF1551" s="155"/>
    </row>
    <row r="1552" spans="1:59" ht="15" customHeight="1">
      <c r="A1552" s="153" t="s">
        <v>5693</v>
      </c>
      <c r="B1552" s="23" t="s">
        <v>5861</v>
      </c>
      <c r="C1552" s="154" t="s">
        <v>5695</v>
      </c>
      <c r="D1552" s="24">
        <v>43</v>
      </c>
      <c r="E1552" s="23">
        <v>1</v>
      </c>
      <c r="F1552" s="171" t="s">
        <v>5862</v>
      </c>
      <c r="G1552" s="171" t="s">
        <v>5862</v>
      </c>
      <c r="J1552" s="23" t="s">
        <v>618</v>
      </c>
      <c r="K1552" s="28" t="s">
        <v>2426</v>
      </c>
      <c r="N1552" s="147"/>
      <c r="O1552" s="118"/>
      <c r="P1552" s="119"/>
      <c r="Q1552" s="120"/>
      <c r="R1552" s="29"/>
      <c r="S1552" s="135"/>
      <c r="T1552" s="122"/>
      <c r="U1552" s="118"/>
      <c r="V1552" s="123"/>
      <c r="W1552" s="124"/>
      <c r="X1552" s="125"/>
      <c r="Y1552" s="29"/>
      <c r="Z1552" s="122"/>
      <c r="AA1552" s="126"/>
      <c r="AB1552" s="148"/>
      <c r="AF1552" s="23" t="s">
        <v>5863</v>
      </c>
      <c r="AI1552" s="171" t="s">
        <v>5862</v>
      </c>
      <c r="AL1552" s="23" t="s">
        <v>618</v>
      </c>
      <c r="AM1552" s="28" t="s">
        <v>2426</v>
      </c>
      <c r="AP1552" s="24"/>
      <c r="AQ1552" s="118"/>
      <c r="AR1552" s="119"/>
      <c r="AS1552" s="120"/>
      <c r="AT1552" s="29"/>
      <c r="AU1552" s="122"/>
      <c r="AV1552" s="118"/>
      <c r="AW1552" s="123"/>
      <c r="AX1552" s="124"/>
      <c r="AY1552" s="125"/>
      <c r="AZ1552" s="29"/>
      <c r="BA1552" s="122"/>
      <c r="BB1552" s="126"/>
      <c r="BG1552" s="23" t="s">
        <v>5864</v>
      </c>
    </row>
    <row r="1553" spans="1:59" ht="15" customHeight="1">
      <c r="A1553" s="153" t="s">
        <v>5693</v>
      </c>
      <c r="B1553" s="23" t="s">
        <v>5865</v>
      </c>
      <c r="C1553" s="154" t="s">
        <v>5695</v>
      </c>
      <c r="D1553" s="24">
        <v>44</v>
      </c>
      <c r="E1553" s="23">
        <v>1</v>
      </c>
      <c r="F1553" s="171" t="s">
        <v>5862</v>
      </c>
      <c r="G1553" s="154" t="s">
        <v>5866</v>
      </c>
      <c r="J1553" s="23" t="s">
        <v>619</v>
      </c>
      <c r="K1553" s="23" t="s">
        <v>2426</v>
      </c>
      <c r="L1553" s="23">
        <v>1</v>
      </c>
      <c r="N1553" s="147"/>
      <c r="O1553" s="118"/>
      <c r="P1553" s="119"/>
      <c r="Q1553" s="120"/>
      <c r="R1553" s="29"/>
      <c r="S1553" s="135"/>
      <c r="T1553" s="122"/>
      <c r="U1553" s="118"/>
      <c r="V1553" s="123"/>
      <c r="W1553" s="124"/>
      <c r="X1553" s="125"/>
      <c r="Y1553" s="29"/>
      <c r="Z1553" s="122" t="s">
        <v>38</v>
      </c>
      <c r="AA1553" s="126"/>
      <c r="AB1553" s="148"/>
      <c r="AF1553" s="23" t="s">
        <v>5867</v>
      </c>
      <c r="AI1553" s="154" t="s">
        <v>5868</v>
      </c>
      <c r="AL1553" s="23" t="s">
        <v>619</v>
      </c>
      <c r="AM1553" s="23" t="s">
        <v>2426</v>
      </c>
      <c r="AN1553" s="23">
        <v>1</v>
      </c>
      <c r="AP1553" s="24"/>
      <c r="AQ1553" s="118"/>
      <c r="AR1553" s="119"/>
      <c r="AS1553" s="120"/>
      <c r="AT1553" s="29"/>
      <c r="AU1553" s="122"/>
      <c r="AV1553" s="118"/>
      <c r="AW1553" s="123"/>
      <c r="AX1553" s="124"/>
      <c r="AY1553" s="125"/>
      <c r="AZ1553" s="29"/>
      <c r="BA1553" s="122"/>
      <c r="BB1553" s="126"/>
      <c r="BG1553" s="23" t="s">
        <v>5869</v>
      </c>
    </row>
    <row r="1554" spans="1:59" ht="15" customHeight="1">
      <c r="A1554" s="153" t="s">
        <v>5693</v>
      </c>
      <c r="B1554" s="23" t="s">
        <v>5870</v>
      </c>
      <c r="C1554" s="154" t="s">
        <v>5695</v>
      </c>
      <c r="D1554" s="24">
        <v>45</v>
      </c>
      <c r="E1554" s="23">
        <v>1</v>
      </c>
      <c r="F1554" s="171" t="s">
        <v>5862</v>
      </c>
      <c r="G1554" s="154" t="s">
        <v>5871</v>
      </c>
      <c r="J1554" s="23" t="s">
        <v>621</v>
      </c>
      <c r="K1554" s="23" t="s">
        <v>2426</v>
      </c>
      <c r="L1554" s="23">
        <v>1</v>
      </c>
      <c r="N1554" s="147"/>
      <c r="O1554" s="118"/>
      <c r="P1554" s="119"/>
      <c r="Q1554" s="120"/>
      <c r="R1554" s="29"/>
      <c r="S1554" s="135"/>
      <c r="T1554" s="122"/>
      <c r="U1554" s="118"/>
      <c r="V1554" s="123"/>
      <c r="W1554" s="124"/>
      <c r="X1554" s="125"/>
      <c r="Y1554" s="29" t="s">
        <v>38</v>
      </c>
      <c r="Z1554" s="122"/>
      <c r="AA1554" s="126"/>
      <c r="AB1554" s="148"/>
      <c r="AF1554" s="23" t="s">
        <v>5872</v>
      </c>
      <c r="AI1554" s="154" t="s">
        <v>2699</v>
      </c>
      <c r="AL1554" s="23" t="s">
        <v>621</v>
      </c>
      <c r="AM1554" s="23" t="s">
        <v>2426</v>
      </c>
      <c r="AN1554" s="23">
        <v>1</v>
      </c>
      <c r="AP1554" s="24"/>
      <c r="AQ1554" s="118"/>
      <c r="AR1554" s="119"/>
      <c r="AS1554" s="120"/>
      <c r="AT1554" s="29"/>
      <c r="AU1554" s="122"/>
      <c r="AV1554" s="118"/>
      <c r="AW1554" s="123"/>
      <c r="AX1554" s="124"/>
      <c r="AY1554" s="125"/>
      <c r="AZ1554" s="29"/>
      <c r="BA1554" s="122"/>
      <c r="BB1554" s="126"/>
      <c r="BG1554" s="23" t="s">
        <v>5873</v>
      </c>
    </row>
    <row r="1555" spans="1:59" ht="15" customHeight="1">
      <c r="A1555" s="153" t="s">
        <v>5693</v>
      </c>
      <c r="B1555" s="23" t="s">
        <v>5874</v>
      </c>
      <c r="C1555" s="154" t="s">
        <v>5695</v>
      </c>
      <c r="D1555" s="24">
        <v>46</v>
      </c>
      <c r="E1555" s="23">
        <v>1</v>
      </c>
      <c r="F1555" s="171" t="s">
        <v>5862</v>
      </c>
      <c r="G1555" s="154" t="s">
        <v>5875</v>
      </c>
      <c r="H1555" s="23" t="s">
        <v>5876</v>
      </c>
      <c r="I1555" s="23" t="s">
        <v>223</v>
      </c>
      <c r="J1555" s="23" t="s">
        <v>203</v>
      </c>
      <c r="K1555" s="23" t="s">
        <v>26</v>
      </c>
      <c r="N1555" s="147"/>
      <c r="O1555" s="118">
        <v>3</v>
      </c>
      <c r="P1555" s="119">
        <v>2</v>
      </c>
      <c r="Q1555" s="120">
        <v>4</v>
      </c>
      <c r="R1555" s="29">
        <v>1</v>
      </c>
      <c r="S1555" s="135"/>
      <c r="T1555" s="122">
        <v>8</v>
      </c>
      <c r="U1555" s="118">
        <v>4</v>
      </c>
      <c r="V1555" s="123"/>
      <c r="W1555" s="124"/>
      <c r="X1555" s="125"/>
      <c r="Y1555" s="29"/>
      <c r="Z1555" s="122"/>
      <c r="AA1555" s="126"/>
      <c r="AB1555" s="148"/>
      <c r="AD1555" s="23" t="s">
        <v>5877</v>
      </c>
      <c r="AF1555" s="23" t="s">
        <v>5878</v>
      </c>
      <c r="AI1555" s="154" t="s">
        <v>5875</v>
      </c>
      <c r="AJ1555" s="23" t="s">
        <v>5876</v>
      </c>
      <c r="AK1555" s="23" t="s">
        <v>223</v>
      </c>
      <c r="AL1555" s="23" t="s">
        <v>203</v>
      </c>
      <c r="AM1555" s="23" t="s">
        <v>26</v>
      </c>
      <c r="AP1555" s="24"/>
      <c r="AQ1555" s="118"/>
      <c r="AR1555" s="119"/>
      <c r="AS1555" s="120"/>
      <c r="AT1555" s="29"/>
      <c r="AU1555" s="122"/>
      <c r="AV1555" s="118"/>
      <c r="AW1555" s="123"/>
      <c r="AX1555" s="124"/>
      <c r="AY1555" s="125"/>
      <c r="AZ1555" s="29"/>
      <c r="BA1555" s="122"/>
      <c r="BB1555" s="126"/>
      <c r="BE1555" s="23" t="s">
        <v>5877</v>
      </c>
      <c r="BG1555" s="23" t="s">
        <v>5879</v>
      </c>
    </row>
    <row r="1556" spans="1:59" ht="15" customHeight="1">
      <c r="A1556" s="153" t="s">
        <v>5693</v>
      </c>
      <c r="B1556" s="23" t="s">
        <v>5880</v>
      </c>
      <c r="C1556" s="154" t="s">
        <v>5695</v>
      </c>
      <c r="D1556" s="24">
        <v>47</v>
      </c>
      <c r="E1556" s="23">
        <v>1</v>
      </c>
      <c r="F1556" s="171" t="s">
        <v>5862</v>
      </c>
      <c r="G1556" s="154" t="s">
        <v>5881</v>
      </c>
      <c r="H1556" s="23" t="s">
        <v>5882</v>
      </c>
      <c r="I1556" s="23" t="s">
        <v>223</v>
      </c>
      <c r="J1556" s="23" t="s">
        <v>203</v>
      </c>
      <c r="K1556" s="23" t="s">
        <v>26</v>
      </c>
      <c r="N1556" s="147"/>
      <c r="O1556" s="118">
        <v>2</v>
      </c>
      <c r="P1556" s="119">
        <v>4</v>
      </c>
      <c r="Q1556" s="120">
        <v>1</v>
      </c>
      <c r="R1556" s="29">
        <v>3</v>
      </c>
      <c r="S1556" s="135"/>
      <c r="T1556" s="122">
        <v>4</v>
      </c>
      <c r="U1556" s="118">
        <v>8</v>
      </c>
      <c r="V1556" s="123"/>
      <c r="W1556" s="124"/>
      <c r="X1556" s="125"/>
      <c r="Y1556" s="29"/>
      <c r="Z1556" s="122"/>
      <c r="AA1556" s="126"/>
      <c r="AB1556" s="148"/>
      <c r="AD1556" s="23" t="s">
        <v>5883</v>
      </c>
      <c r="AF1556" s="23" t="s">
        <v>5884</v>
      </c>
      <c r="AI1556" s="154" t="s">
        <v>5881</v>
      </c>
      <c r="AJ1556" s="23" t="s">
        <v>5882</v>
      </c>
      <c r="AK1556" s="23" t="s">
        <v>223</v>
      </c>
      <c r="AL1556" s="23" t="s">
        <v>203</v>
      </c>
      <c r="AM1556" s="23" t="s">
        <v>26</v>
      </c>
      <c r="AP1556" s="24"/>
      <c r="AQ1556" s="118"/>
      <c r="AR1556" s="119"/>
      <c r="AS1556" s="120"/>
      <c r="AT1556" s="29"/>
      <c r="AU1556" s="122"/>
      <c r="AV1556" s="118"/>
      <c r="AW1556" s="123"/>
      <c r="AX1556" s="124"/>
      <c r="AY1556" s="125"/>
      <c r="AZ1556" s="29"/>
      <c r="BA1556" s="122"/>
      <c r="BB1556" s="126"/>
      <c r="BE1556" s="23" t="s">
        <v>5883</v>
      </c>
      <c r="BG1556" s="23" t="s">
        <v>5885</v>
      </c>
    </row>
    <row r="1557" spans="1:59" ht="15" customHeight="1">
      <c r="A1557" s="153" t="s">
        <v>5693</v>
      </c>
      <c r="B1557" s="23" t="s">
        <v>5886</v>
      </c>
      <c r="C1557" s="154" t="s">
        <v>5695</v>
      </c>
      <c r="D1557" s="24">
        <v>48</v>
      </c>
      <c r="E1557" s="23">
        <v>1</v>
      </c>
      <c r="F1557" s="171" t="s">
        <v>5862</v>
      </c>
      <c r="G1557" s="154" t="s">
        <v>5887</v>
      </c>
      <c r="H1557" s="23" t="s">
        <v>5888</v>
      </c>
      <c r="I1557" s="23" t="s">
        <v>223</v>
      </c>
      <c r="J1557" s="23" t="s">
        <v>203</v>
      </c>
      <c r="K1557" s="23" t="s">
        <v>26</v>
      </c>
      <c r="N1557" s="147"/>
      <c r="O1557" s="118">
        <v>1</v>
      </c>
      <c r="P1557" s="119">
        <v>3</v>
      </c>
      <c r="Q1557" s="120">
        <v>2</v>
      </c>
      <c r="R1557" s="29">
        <v>4</v>
      </c>
      <c r="S1557" s="135"/>
      <c r="T1557" s="122">
        <v>5</v>
      </c>
      <c r="U1557" s="118">
        <v>7</v>
      </c>
      <c r="V1557" s="123"/>
      <c r="W1557" s="124"/>
      <c r="X1557" s="125"/>
      <c r="Y1557" s="29"/>
      <c r="Z1557" s="122"/>
      <c r="AA1557" s="126"/>
      <c r="AB1557" s="148"/>
      <c r="AD1557" s="23" t="s">
        <v>5710</v>
      </c>
      <c r="AF1557" s="23" t="s">
        <v>5889</v>
      </c>
      <c r="AI1557" s="154" t="s">
        <v>5887</v>
      </c>
      <c r="AJ1557" s="23" t="s">
        <v>5888</v>
      </c>
      <c r="AK1557" s="23" t="s">
        <v>223</v>
      </c>
      <c r="AL1557" s="23" t="s">
        <v>203</v>
      </c>
      <c r="AM1557" s="23" t="s">
        <v>26</v>
      </c>
      <c r="AP1557" s="24"/>
      <c r="AQ1557" s="118"/>
      <c r="AR1557" s="119"/>
      <c r="AS1557" s="120"/>
      <c r="AT1557" s="29"/>
      <c r="AU1557" s="122"/>
      <c r="AV1557" s="118"/>
      <c r="AW1557" s="123"/>
      <c r="AX1557" s="124"/>
      <c r="AY1557" s="125"/>
      <c r="AZ1557" s="29"/>
      <c r="BA1557" s="122"/>
      <c r="BB1557" s="126"/>
      <c r="BE1557" s="23" t="s">
        <v>5710</v>
      </c>
      <c r="BG1557" s="23" t="s">
        <v>5890</v>
      </c>
    </row>
    <row r="1558" spans="1:59" s="154" customFormat="1" ht="15" customHeight="1">
      <c r="A1558" s="153" t="s">
        <v>5693</v>
      </c>
      <c r="B1558" s="23" t="s">
        <v>5891</v>
      </c>
      <c r="C1558" s="154" t="s">
        <v>5695</v>
      </c>
      <c r="D1558" s="155">
        <v>49</v>
      </c>
      <c r="E1558" s="154">
        <v>1</v>
      </c>
      <c r="F1558" s="171" t="s">
        <v>5862</v>
      </c>
      <c r="G1558" s="154" t="s">
        <v>5892</v>
      </c>
      <c r="H1558" s="154" t="s">
        <v>5893</v>
      </c>
      <c r="I1558" s="154" t="s">
        <v>223</v>
      </c>
      <c r="J1558" s="154" t="s">
        <v>203</v>
      </c>
      <c r="K1558" s="154" t="s">
        <v>26</v>
      </c>
      <c r="N1558" s="155"/>
      <c r="O1558" s="156">
        <v>4</v>
      </c>
      <c r="P1558" s="157">
        <v>1</v>
      </c>
      <c r="Q1558" s="158">
        <v>3</v>
      </c>
      <c r="R1558" s="159">
        <v>2</v>
      </c>
      <c r="S1558" s="160"/>
      <c r="T1558" s="161">
        <v>7</v>
      </c>
      <c r="U1558" s="156">
        <v>5</v>
      </c>
      <c r="V1558" s="162"/>
      <c r="W1558" s="163"/>
      <c r="X1558" s="164"/>
      <c r="Y1558" s="159"/>
      <c r="Z1558" s="161"/>
      <c r="AA1558" s="165"/>
      <c r="AD1558" s="154" t="s">
        <v>2519</v>
      </c>
      <c r="AE1558" s="155"/>
      <c r="AF1558" s="154" t="s">
        <v>5894</v>
      </c>
      <c r="AI1558" s="154" t="s">
        <v>5892</v>
      </c>
      <c r="AJ1558" s="154" t="s">
        <v>5893</v>
      </c>
      <c r="AK1558" s="154" t="s">
        <v>223</v>
      </c>
      <c r="AL1558" s="154" t="s">
        <v>203</v>
      </c>
      <c r="AM1558" s="154" t="s">
        <v>26</v>
      </c>
      <c r="AP1558" s="155"/>
      <c r="AQ1558" s="156"/>
      <c r="AR1558" s="157"/>
      <c r="AS1558" s="158"/>
      <c r="AT1558" s="159"/>
      <c r="AU1558" s="161"/>
      <c r="AV1558" s="156"/>
      <c r="AW1558" s="162"/>
      <c r="AX1558" s="163"/>
      <c r="AY1558" s="164"/>
      <c r="AZ1558" s="159"/>
      <c r="BA1558" s="161"/>
      <c r="BB1558" s="165"/>
      <c r="BE1558" s="154" t="s">
        <v>2519</v>
      </c>
      <c r="BF1558" s="155"/>
      <c r="BG1558" s="154" t="s">
        <v>5895</v>
      </c>
    </row>
    <row r="1559" spans="1:59" s="154" customFormat="1" ht="15" customHeight="1">
      <c r="A1559" s="153" t="s">
        <v>5693</v>
      </c>
      <c r="B1559" s="23" t="s">
        <v>5896</v>
      </c>
      <c r="C1559" s="154" t="s">
        <v>5695</v>
      </c>
      <c r="D1559" s="155">
        <v>50</v>
      </c>
      <c r="E1559" s="154">
        <v>1</v>
      </c>
      <c r="F1559" s="154" t="s">
        <v>5897</v>
      </c>
      <c r="G1559" s="154" t="s">
        <v>5897</v>
      </c>
      <c r="J1559" s="154" t="s">
        <v>618</v>
      </c>
      <c r="K1559" s="154" t="s">
        <v>2426</v>
      </c>
      <c r="N1559" s="155"/>
      <c r="O1559" s="156"/>
      <c r="P1559" s="157"/>
      <c r="Q1559" s="158"/>
      <c r="R1559" s="159"/>
      <c r="S1559" s="160"/>
      <c r="T1559" s="161"/>
      <c r="U1559" s="156"/>
      <c r="V1559" s="162"/>
      <c r="W1559" s="163"/>
      <c r="X1559" s="164"/>
      <c r="Y1559" s="159"/>
      <c r="Z1559" s="161"/>
      <c r="AA1559" s="165"/>
      <c r="AE1559" s="155"/>
      <c r="AF1559" s="154" t="s">
        <v>5898</v>
      </c>
      <c r="AI1559" s="154" t="s">
        <v>5897</v>
      </c>
      <c r="AL1559" s="154" t="s">
        <v>618</v>
      </c>
      <c r="AM1559" s="154" t="s">
        <v>2426</v>
      </c>
      <c r="AP1559" s="155"/>
      <c r="AQ1559" s="156"/>
      <c r="AR1559" s="157"/>
      <c r="AS1559" s="158"/>
      <c r="AT1559" s="159"/>
      <c r="AU1559" s="161"/>
      <c r="AV1559" s="156"/>
      <c r="AW1559" s="162"/>
      <c r="AX1559" s="163"/>
      <c r="AY1559" s="164"/>
      <c r="AZ1559" s="159"/>
      <c r="BA1559" s="161"/>
      <c r="BB1559" s="165"/>
      <c r="BF1559" s="155"/>
      <c r="BG1559" s="154" t="s">
        <v>5899</v>
      </c>
    </row>
    <row r="1560" spans="1:59" s="154" customFormat="1" ht="15" customHeight="1">
      <c r="A1560" s="153" t="s">
        <v>5693</v>
      </c>
      <c r="B1560" s="23" t="s">
        <v>5900</v>
      </c>
      <c r="C1560" s="154" t="s">
        <v>5695</v>
      </c>
      <c r="D1560" s="155">
        <v>51</v>
      </c>
      <c r="E1560" s="154">
        <v>1</v>
      </c>
      <c r="F1560" s="154" t="s">
        <v>5897</v>
      </c>
      <c r="G1560" s="154" t="s">
        <v>5901</v>
      </c>
      <c r="J1560" s="154" t="s">
        <v>619</v>
      </c>
      <c r="K1560" s="154" t="s">
        <v>2426</v>
      </c>
      <c r="L1560" s="154">
        <v>1</v>
      </c>
      <c r="N1560" s="155"/>
      <c r="O1560" s="156"/>
      <c r="P1560" s="157"/>
      <c r="Q1560" s="158"/>
      <c r="R1560" s="159"/>
      <c r="S1560" s="160"/>
      <c r="T1560" s="161"/>
      <c r="U1560" s="156"/>
      <c r="V1560" s="162"/>
      <c r="W1560" s="163"/>
      <c r="X1560" s="164"/>
      <c r="Y1560" s="159"/>
      <c r="Z1560" s="161">
        <v>8</v>
      </c>
      <c r="AA1560" s="165"/>
      <c r="AE1560" s="155"/>
      <c r="AI1560" s="154" t="s">
        <v>5902</v>
      </c>
      <c r="AL1560" s="154" t="s">
        <v>619</v>
      </c>
      <c r="AM1560" s="154" t="s">
        <v>2426</v>
      </c>
      <c r="AN1560" s="154">
        <v>1</v>
      </c>
      <c r="AP1560" s="155"/>
      <c r="AQ1560" s="156"/>
      <c r="AR1560" s="157"/>
      <c r="AS1560" s="158"/>
      <c r="AT1560" s="159"/>
      <c r="AU1560" s="161"/>
      <c r="AV1560" s="156"/>
      <c r="AW1560" s="162"/>
      <c r="AX1560" s="163"/>
      <c r="AY1560" s="164"/>
      <c r="AZ1560" s="159"/>
      <c r="BA1560" s="161"/>
      <c r="BB1560" s="165"/>
      <c r="BF1560" s="155"/>
      <c r="BG1560" s="154" t="s">
        <v>5903</v>
      </c>
    </row>
    <row r="1561" spans="1:59" s="154" customFormat="1" ht="15" customHeight="1">
      <c r="A1561" s="153" t="s">
        <v>5693</v>
      </c>
      <c r="B1561" s="23" t="s">
        <v>5904</v>
      </c>
      <c r="C1561" s="154" t="s">
        <v>5695</v>
      </c>
      <c r="D1561" s="155">
        <v>52</v>
      </c>
      <c r="E1561" s="154">
        <v>1</v>
      </c>
      <c r="F1561" s="154" t="s">
        <v>5897</v>
      </c>
      <c r="G1561" s="154" t="s">
        <v>5905</v>
      </c>
      <c r="J1561" s="154" t="s">
        <v>619</v>
      </c>
      <c r="K1561" s="154" t="s">
        <v>2426</v>
      </c>
      <c r="L1561" s="154">
        <v>2</v>
      </c>
      <c r="N1561" s="155"/>
      <c r="O1561" s="156"/>
      <c r="P1561" s="157"/>
      <c r="Q1561" s="158"/>
      <c r="R1561" s="159"/>
      <c r="S1561" s="160"/>
      <c r="T1561" s="161"/>
      <c r="U1561" s="156"/>
      <c r="V1561" s="162"/>
      <c r="W1561" s="163"/>
      <c r="X1561" s="164"/>
      <c r="Y1561" s="159"/>
      <c r="Z1561" s="161">
        <v>12</v>
      </c>
      <c r="AA1561" s="165"/>
      <c r="AE1561" s="155"/>
      <c r="AF1561" s="154" t="s">
        <v>5906</v>
      </c>
      <c r="AI1561" s="154" t="s">
        <v>5907</v>
      </c>
      <c r="AL1561" s="154" t="s">
        <v>619</v>
      </c>
      <c r="AM1561" s="154" t="s">
        <v>2426</v>
      </c>
      <c r="AN1561" s="154">
        <v>2</v>
      </c>
      <c r="AP1561" s="155"/>
      <c r="AQ1561" s="156"/>
      <c r="AR1561" s="157"/>
      <c r="AS1561" s="158"/>
      <c r="AT1561" s="159"/>
      <c r="AU1561" s="161"/>
      <c r="AV1561" s="156"/>
      <c r="AW1561" s="162"/>
      <c r="AX1561" s="163"/>
      <c r="AY1561" s="164"/>
      <c r="AZ1561" s="159"/>
      <c r="BA1561" s="161"/>
      <c r="BB1561" s="165"/>
      <c r="BF1561" s="155"/>
      <c r="BG1561" s="154" t="s">
        <v>5908</v>
      </c>
    </row>
    <row r="1562" spans="1:59" s="154" customFormat="1" ht="15" customHeight="1">
      <c r="A1562" s="153" t="s">
        <v>5693</v>
      </c>
      <c r="B1562" s="23" t="s">
        <v>5909</v>
      </c>
      <c r="C1562" s="154" t="s">
        <v>5695</v>
      </c>
      <c r="D1562" s="155">
        <v>53</v>
      </c>
      <c r="E1562" s="154">
        <v>1</v>
      </c>
      <c r="F1562" s="154" t="s">
        <v>5897</v>
      </c>
      <c r="G1562" s="154" t="s">
        <v>5910</v>
      </c>
      <c r="J1562" s="154" t="s">
        <v>621</v>
      </c>
      <c r="K1562" s="154" t="s">
        <v>2426</v>
      </c>
      <c r="L1562" s="154">
        <v>1</v>
      </c>
      <c r="N1562" s="155"/>
      <c r="O1562" s="156"/>
      <c r="P1562" s="157"/>
      <c r="Q1562" s="158"/>
      <c r="R1562" s="159"/>
      <c r="S1562" s="160"/>
      <c r="T1562" s="161"/>
      <c r="U1562" s="156"/>
      <c r="V1562" s="162"/>
      <c r="W1562" s="163"/>
      <c r="X1562" s="164"/>
      <c r="Y1562" s="159" t="s">
        <v>1111</v>
      </c>
      <c r="Z1562" s="161"/>
      <c r="AA1562" s="165"/>
      <c r="AE1562" s="155"/>
      <c r="AF1562" s="154" t="s">
        <v>5911</v>
      </c>
      <c r="AI1562" s="154" t="s">
        <v>5912</v>
      </c>
      <c r="AL1562" s="154" t="s">
        <v>621</v>
      </c>
      <c r="AM1562" s="154" t="s">
        <v>2426</v>
      </c>
      <c r="AN1562" s="154">
        <v>1</v>
      </c>
      <c r="AP1562" s="155"/>
      <c r="AQ1562" s="156"/>
      <c r="AR1562" s="157"/>
      <c r="AS1562" s="158"/>
      <c r="AT1562" s="159"/>
      <c r="AU1562" s="161"/>
      <c r="AV1562" s="156"/>
      <c r="AW1562" s="162"/>
      <c r="AX1562" s="163"/>
      <c r="AY1562" s="164"/>
      <c r="AZ1562" s="159"/>
      <c r="BA1562" s="161"/>
      <c r="BB1562" s="165"/>
      <c r="BF1562" s="155"/>
      <c r="BG1562" s="154" t="s">
        <v>5913</v>
      </c>
    </row>
    <row r="1563" spans="1:59" s="154" customFormat="1" ht="15" customHeight="1">
      <c r="A1563" s="153" t="s">
        <v>5693</v>
      </c>
      <c r="B1563" s="23" t="s">
        <v>5914</v>
      </c>
      <c r="C1563" s="154" t="s">
        <v>5695</v>
      </c>
      <c r="D1563" s="155">
        <v>54</v>
      </c>
      <c r="E1563" s="154">
        <v>1</v>
      </c>
      <c r="F1563" s="154" t="s">
        <v>5897</v>
      </c>
      <c r="G1563" s="154" t="s">
        <v>5915</v>
      </c>
      <c r="J1563" s="154" t="s">
        <v>621</v>
      </c>
      <c r="K1563" s="154" t="s">
        <v>2426</v>
      </c>
      <c r="L1563" s="154">
        <v>2</v>
      </c>
      <c r="N1563" s="155"/>
      <c r="O1563" s="156"/>
      <c r="P1563" s="157"/>
      <c r="Q1563" s="158"/>
      <c r="R1563" s="159"/>
      <c r="S1563" s="160"/>
      <c r="T1563" s="161"/>
      <c r="U1563" s="156"/>
      <c r="V1563" s="162"/>
      <c r="W1563" s="163"/>
      <c r="X1563" s="164"/>
      <c r="Y1563" s="159" t="s">
        <v>1073</v>
      </c>
      <c r="Z1563" s="161"/>
      <c r="AA1563" s="165"/>
      <c r="AE1563" s="155"/>
      <c r="AF1563" s="154" t="s">
        <v>5916</v>
      </c>
      <c r="AI1563" s="154" t="s">
        <v>5917</v>
      </c>
      <c r="AL1563" s="154" t="s">
        <v>621</v>
      </c>
      <c r="AM1563" s="154" t="s">
        <v>2426</v>
      </c>
      <c r="AN1563" s="154">
        <v>2</v>
      </c>
      <c r="AP1563" s="155"/>
      <c r="AQ1563" s="156"/>
      <c r="AR1563" s="157"/>
      <c r="AS1563" s="158"/>
      <c r="AT1563" s="159"/>
      <c r="AU1563" s="161"/>
      <c r="AV1563" s="156"/>
      <c r="AW1563" s="162"/>
      <c r="AX1563" s="163"/>
      <c r="AY1563" s="164"/>
      <c r="AZ1563" s="159"/>
      <c r="BA1563" s="161"/>
      <c r="BB1563" s="165"/>
      <c r="BF1563" s="155"/>
      <c r="BG1563" s="154" t="s">
        <v>5918</v>
      </c>
    </row>
    <row r="1564" spans="1:59" s="154" customFormat="1" ht="15" customHeight="1">
      <c r="A1564" s="153" t="s">
        <v>5693</v>
      </c>
      <c r="B1564" s="23" t="s">
        <v>5919</v>
      </c>
      <c r="C1564" s="154" t="s">
        <v>5695</v>
      </c>
      <c r="D1564" s="155">
        <v>55</v>
      </c>
      <c r="E1564" s="154">
        <v>1</v>
      </c>
      <c r="F1564" s="154" t="s">
        <v>5897</v>
      </c>
      <c r="G1564" s="154" t="s">
        <v>5920</v>
      </c>
      <c r="J1564" s="154" t="s">
        <v>621</v>
      </c>
      <c r="K1564" s="154" t="s">
        <v>2426</v>
      </c>
      <c r="L1564" s="154">
        <v>3</v>
      </c>
      <c r="N1564" s="155"/>
      <c r="O1564" s="156"/>
      <c r="P1564" s="157"/>
      <c r="Q1564" s="158"/>
      <c r="R1564" s="159"/>
      <c r="S1564" s="160"/>
      <c r="T1564" s="161"/>
      <c r="U1564" s="156"/>
      <c r="V1564" s="162"/>
      <c r="W1564" s="163"/>
      <c r="X1564" s="164"/>
      <c r="Y1564" s="159" t="s">
        <v>1112</v>
      </c>
      <c r="Z1564" s="161"/>
      <c r="AA1564" s="165"/>
      <c r="AE1564" s="155"/>
      <c r="AF1564" s="154" t="s">
        <v>5921</v>
      </c>
      <c r="AP1564" s="155"/>
      <c r="AQ1564" s="156"/>
      <c r="AR1564" s="157"/>
      <c r="AS1564" s="158"/>
      <c r="AT1564" s="159"/>
      <c r="AU1564" s="161"/>
      <c r="AV1564" s="156"/>
      <c r="AW1564" s="162"/>
      <c r="AX1564" s="163"/>
      <c r="AY1564" s="164"/>
      <c r="AZ1564" s="159"/>
      <c r="BA1564" s="161"/>
      <c r="BB1564" s="165"/>
      <c r="BF1564" s="155"/>
    </row>
    <row r="1565" spans="1:59" s="154" customFormat="1" ht="15" customHeight="1">
      <c r="A1565" s="153" t="s">
        <v>5693</v>
      </c>
      <c r="B1565" s="23" t="s">
        <v>5922</v>
      </c>
      <c r="C1565" s="154" t="s">
        <v>5695</v>
      </c>
      <c r="D1565" s="155">
        <v>55</v>
      </c>
      <c r="E1565" s="154">
        <v>1</v>
      </c>
      <c r="F1565" s="154" t="s">
        <v>5897</v>
      </c>
      <c r="G1565" s="154" t="s">
        <v>5923</v>
      </c>
      <c r="J1565" s="154" t="s">
        <v>31</v>
      </c>
      <c r="K1565" s="154" t="s">
        <v>2426</v>
      </c>
      <c r="N1565" s="155"/>
      <c r="O1565" s="156"/>
      <c r="P1565" s="157"/>
      <c r="Q1565" s="158"/>
      <c r="R1565" s="159"/>
      <c r="S1565" s="160"/>
      <c r="T1565" s="161"/>
      <c r="U1565" s="156"/>
      <c r="V1565" s="162"/>
      <c r="W1565" s="163"/>
      <c r="X1565" s="164">
        <v>3</v>
      </c>
      <c r="Y1565" s="159" t="s">
        <v>1112</v>
      </c>
      <c r="Z1565" s="161"/>
      <c r="AA1565" s="165">
        <v>2</v>
      </c>
      <c r="AD1565" s="154" t="s">
        <v>5924</v>
      </c>
      <c r="AE1565" s="155"/>
      <c r="AF1565" s="154" t="s">
        <v>5925</v>
      </c>
      <c r="AP1565" s="155"/>
      <c r="AQ1565" s="156"/>
      <c r="AR1565" s="157"/>
      <c r="AS1565" s="158"/>
      <c r="AT1565" s="159"/>
      <c r="AU1565" s="161"/>
      <c r="AV1565" s="156"/>
      <c r="AW1565" s="162"/>
      <c r="AX1565" s="163"/>
      <c r="AY1565" s="164"/>
      <c r="AZ1565" s="159"/>
      <c r="BA1565" s="161"/>
      <c r="BB1565" s="165"/>
      <c r="BF1565" s="155"/>
    </row>
    <row r="1566" spans="1:59" s="154" customFormat="1" ht="15" customHeight="1">
      <c r="A1566" s="153" t="s">
        <v>5693</v>
      </c>
      <c r="B1566" s="23" t="s">
        <v>5926</v>
      </c>
      <c r="C1566" s="154" t="s">
        <v>5695</v>
      </c>
      <c r="D1566" s="155">
        <v>56</v>
      </c>
      <c r="E1566" s="154">
        <v>1</v>
      </c>
      <c r="F1566" s="154" t="s">
        <v>5897</v>
      </c>
      <c r="G1566" s="154" t="s">
        <v>5927</v>
      </c>
      <c r="J1566" s="154" t="s">
        <v>621</v>
      </c>
      <c r="K1566" s="154" t="s">
        <v>2426</v>
      </c>
      <c r="L1566" s="154">
        <v>4</v>
      </c>
      <c r="N1566" s="155"/>
      <c r="O1566" s="156"/>
      <c r="P1566" s="157"/>
      <c r="Q1566" s="158"/>
      <c r="R1566" s="159"/>
      <c r="S1566" s="160"/>
      <c r="T1566" s="161"/>
      <c r="U1566" s="156"/>
      <c r="V1566" s="162"/>
      <c r="W1566" s="163"/>
      <c r="X1566" s="164"/>
      <c r="Y1566" s="159" t="s">
        <v>38</v>
      </c>
      <c r="Z1566" s="161"/>
      <c r="AA1566" s="165"/>
      <c r="AE1566" s="155"/>
      <c r="AF1566" s="154" t="s">
        <v>5928</v>
      </c>
      <c r="AI1566" s="154" t="s">
        <v>5929</v>
      </c>
      <c r="AL1566" s="154" t="s">
        <v>621</v>
      </c>
      <c r="AM1566" s="154" t="s">
        <v>2426</v>
      </c>
      <c r="AN1566" s="154">
        <v>4</v>
      </c>
      <c r="AP1566" s="155"/>
      <c r="AQ1566" s="156"/>
      <c r="AR1566" s="157"/>
      <c r="AS1566" s="158"/>
      <c r="AT1566" s="159"/>
      <c r="AU1566" s="161"/>
      <c r="AV1566" s="156"/>
      <c r="AW1566" s="162"/>
      <c r="AX1566" s="163"/>
      <c r="AY1566" s="164"/>
      <c r="AZ1566" s="159"/>
      <c r="BA1566" s="161"/>
      <c r="BB1566" s="165"/>
      <c r="BF1566" s="155"/>
      <c r="BG1566" s="154" t="s">
        <v>5930</v>
      </c>
    </row>
    <row r="1567" spans="1:59" s="154" customFormat="1" ht="15" customHeight="1">
      <c r="A1567" s="153" t="s">
        <v>5693</v>
      </c>
      <c r="B1567" s="23" t="s">
        <v>5931</v>
      </c>
      <c r="C1567" s="154" t="s">
        <v>5695</v>
      </c>
      <c r="D1567" s="155">
        <v>57</v>
      </c>
      <c r="E1567" s="154">
        <v>1</v>
      </c>
      <c r="F1567" s="154" t="s">
        <v>5897</v>
      </c>
      <c r="G1567" s="154" t="s">
        <v>5932</v>
      </c>
      <c r="H1567" s="154" t="s">
        <v>5933</v>
      </c>
      <c r="I1567" s="154" t="s">
        <v>223</v>
      </c>
      <c r="J1567" s="154" t="s">
        <v>29</v>
      </c>
      <c r="K1567" s="154" t="s">
        <v>2426</v>
      </c>
      <c r="N1567" s="155"/>
      <c r="O1567" s="156"/>
      <c r="P1567" s="157"/>
      <c r="Q1567" s="158">
        <v>4</v>
      </c>
      <c r="R1567" s="159">
        <v>4</v>
      </c>
      <c r="S1567" s="160"/>
      <c r="T1567" s="161" t="s">
        <v>4883</v>
      </c>
      <c r="U1567" s="156"/>
      <c r="V1567" s="162">
        <v>1</v>
      </c>
      <c r="W1567" s="163">
        <v>1</v>
      </c>
      <c r="X1567" s="164"/>
      <c r="Y1567" s="159"/>
      <c r="Z1567" s="161"/>
      <c r="AA1567" s="165">
        <v>2</v>
      </c>
      <c r="AD1567" s="154" t="s">
        <v>5934</v>
      </c>
      <c r="AE1567" s="155"/>
      <c r="AF1567" s="154" t="s">
        <v>5935</v>
      </c>
      <c r="AP1567" s="155"/>
      <c r="AQ1567" s="156"/>
      <c r="AR1567" s="157"/>
      <c r="AS1567" s="158"/>
      <c r="AT1567" s="159"/>
      <c r="AU1567" s="161"/>
      <c r="AV1567" s="156"/>
      <c r="AW1567" s="162"/>
      <c r="AX1567" s="163"/>
      <c r="AY1567" s="164"/>
      <c r="AZ1567" s="159"/>
      <c r="BA1567" s="161"/>
      <c r="BB1567" s="165"/>
      <c r="BF1567" s="155"/>
    </row>
    <row r="1568" spans="1:59" s="154" customFormat="1" ht="15" customHeight="1">
      <c r="A1568" s="153" t="s">
        <v>5693</v>
      </c>
      <c r="B1568" s="23" t="s">
        <v>5936</v>
      </c>
      <c r="C1568" s="154" t="s">
        <v>5695</v>
      </c>
      <c r="D1568" s="155">
        <v>58</v>
      </c>
      <c r="E1568" s="154">
        <v>1</v>
      </c>
      <c r="F1568" s="154" t="s">
        <v>5897</v>
      </c>
      <c r="G1568" s="154" t="s">
        <v>5937</v>
      </c>
      <c r="J1568" s="154" t="s">
        <v>31</v>
      </c>
      <c r="K1568" s="154" t="s">
        <v>2426</v>
      </c>
      <c r="N1568" s="155"/>
      <c r="O1568" s="156"/>
      <c r="P1568" s="157"/>
      <c r="Q1568" s="158"/>
      <c r="R1568" s="159"/>
      <c r="S1568" s="160"/>
      <c r="T1568" s="161"/>
      <c r="U1568" s="156"/>
      <c r="V1568" s="162"/>
      <c r="W1568" s="163"/>
      <c r="X1568" s="164"/>
      <c r="Y1568" s="159"/>
      <c r="Z1568" s="161"/>
      <c r="AA1568" s="165"/>
      <c r="AD1568" s="154" t="s">
        <v>472</v>
      </c>
      <c r="AE1568" s="155"/>
      <c r="AI1568" s="154" t="s">
        <v>5937</v>
      </c>
      <c r="AJ1568" s="154" t="s">
        <v>5938</v>
      </c>
      <c r="AL1568" s="154" t="s">
        <v>31</v>
      </c>
      <c r="AM1568" s="154" t="s">
        <v>2426</v>
      </c>
      <c r="AP1568" s="155"/>
      <c r="AQ1568" s="156"/>
      <c r="AR1568" s="157"/>
      <c r="AS1568" s="158"/>
      <c r="AT1568" s="159"/>
      <c r="AU1568" s="161"/>
      <c r="AV1568" s="156"/>
      <c r="AW1568" s="162"/>
      <c r="AX1568" s="163"/>
      <c r="AY1568" s="164">
        <v>2</v>
      </c>
      <c r="AZ1568" s="159" t="s">
        <v>1073</v>
      </c>
      <c r="BA1568" s="161"/>
      <c r="BB1568" s="165">
        <v>1</v>
      </c>
      <c r="BE1568" s="154" t="s">
        <v>472</v>
      </c>
      <c r="BF1568" s="155"/>
      <c r="BG1568" s="154" t="s">
        <v>5939</v>
      </c>
    </row>
    <row r="1569" spans="1:59" s="154" customFormat="1" ht="15" customHeight="1">
      <c r="A1569" s="153" t="s">
        <v>5693</v>
      </c>
      <c r="B1569" s="23" t="s">
        <v>5940</v>
      </c>
      <c r="C1569" s="154" t="s">
        <v>5695</v>
      </c>
      <c r="D1569" s="155">
        <v>59</v>
      </c>
      <c r="E1569" s="154">
        <v>1</v>
      </c>
      <c r="F1569" s="154" t="s">
        <v>5897</v>
      </c>
      <c r="G1569" s="154" t="s">
        <v>5937</v>
      </c>
      <c r="J1569" s="154" t="s">
        <v>31</v>
      </c>
      <c r="K1569" s="154" t="s">
        <v>2426</v>
      </c>
      <c r="N1569" s="155"/>
      <c r="O1569" s="156"/>
      <c r="P1569" s="157"/>
      <c r="Q1569" s="158"/>
      <c r="R1569" s="159"/>
      <c r="S1569" s="160"/>
      <c r="T1569" s="161"/>
      <c r="U1569" s="156"/>
      <c r="V1569" s="162"/>
      <c r="W1569" s="163"/>
      <c r="X1569" s="164"/>
      <c r="Y1569" s="159"/>
      <c r="Z1569" s="161"/>
      <c r="AA1569" s="165"/>
      <c r="AD1569" s="154" t="s">
        <v>472</v>
      </c>
      <c r="AE1569" s="155"/>
      <c r="AI1569" s="154" t="s">
        <v>5937</v>
      </c>
      <c r="AJ1569" s="154" t="s">
        <v>5941</v>
      </c>
      <c r="AL1569" s="154" t="s">
        <v>31</v>
      </c>
      <c r="AM1569" s="154" t="s">
        <v>2426</v>
      </c>
      <c r="AP1569" s="155"/>
      <c r="AQ1569" s="156"/>
      <c r="AR1569" s="157"/>
      <c r="AS1569" s="158"/>
      <c r="AT1569" s="159"/>
      <c r="AU1569" s="161"/>
      <c r="AV1569" s="156"/>
      <c r="AW1569" s="162"/>
      <c r="AX1569" s="163"/>
      <c r="AY1569" s="164">
        <v>3</v>
      </c>
      <c r="AZ1569" s="159" t="s">
        <v>1111</v>
      </c>
      <c r="BA1569" s="161"/>
      <c r="BB1569" s="165">
        <v>1</v>
      </c>
      <c r="BE1569" s="154" t="s">
        <v>472</v>
      </c>
      <c r="BF1569" s="155"/>
      <c r="BG1569" s="154" t="s">
        <v>5942</v>
      </c>
    </row>
    <row r="1570" spans="1:59" s="154" customFormat="1" ht="15" customHeight="1">
      <c r="A1570" s="153" t="s">
        <v>5693</v>
      </c>
      <c r="B1570" s="23" t="s">
        <v>5943</v>
      </c>
      <c r="C1570" s="154" t="s">
        <v>5695</v>
      </c>
      <c r="D1570" s="155">
        <v>60</v>
      </c>
      <c r="E1570" s="154">
        <v>1</v>
      </c>
      <c r="F1570" s="154" t="s">
        <v>5897</v>
      </c>
      <c r="G1570" s="154" t="s">
        <v>5937</v>
      </c>
      <c r="J1570" s="154" t="s">
        <v>31</v>
      </c>
      <c r="K1570" s="154" t="s">
        <v>2426</v>
      </c>
      <c r="N1570" s="155"/>
      <c r="O1570" s="156"/>
      <c r="P1570" s="157"/>
      <c r="Q1570" s="158"/>
      <c r="R1570" s="159"/>
      <c r="S1570" s="160"/>
      <c r="T1570" s="161"/>
      <c r="U1570" s="156"/>
      <c r="V1570" s="162"/>
      <c r="W1570" s="163"/>
      <c r="X1570" s="164"/>
      <c r="Y1570" s="159"/>
      <c r="Z1570" s="161"/>
      <c r="AA1570" s="165"/>
      <c r="AD1570" s="154" t="s">
        <v>472</v>
      </c>
      <c r="AE1570" s="155"/>
      <c r="AI1570" s="154" t="s">
        <v>5937</v>
      </c>
      <c r="AJ1570" s="154" t="s">
        <v>5944</v>
      </c>
      <c r="AL1570" s="154" t="s">
        <v>31</v>
      </c>
      <c r="AM1570" s="154" t="s">
        <v>2426</v>
      </c>
      <c r="AP1570" s="155"/>
      <c r="AQ1570" s="156"/>
      <c r="AR1570" s="157"/>
      <c r="AS1570" s="158"/>
      <c r="AT1570" s="159"/>
      <c r="AU1570" s="161"/>
      <c r="AV1570" s="156"/>
      <c r="AW1570" s="162"/>
      <c r="AX1570" s="163"/>
      <c r="AY1570" s="164">
        <v>2</v>
      </c>
      <c r="AZ1570" s="159" t="s">
        <v>1073</v>
      </c>
      <c r="BA1570" s="161"/>
      <c r="BB1570" s="165">
        <v>1</v>
      </c>
      <c r="BE1570" s="154" t="s">
        <v>472</v>
      </c>
      <c r="BF1570" s="155"/>
      <c r="BG1570" s="154" t="s">
        <v>5945</v>
      </c>
    </row>
    <row r="1571" spans="1:59" s="154" customFormat="1" ht="15" customHeight="1">
      <c r="A1571" s="153" t="s">
        <v>5693</v>
      </c>
      <c r="B1571" s="23" t="s">
        <v>5946</v>
      </c>
      <c r="C1571" s="154" t="s">
        <v>5695</v>
      </c>
      <c r="D1571" s="155">
        <v>61</v>
      </c>
      <c r="E1571" s="154">
        <v>1</v>
      </c>
      <c r="F1571" s="154" t="s">
        <v>5897</v>
      </c>
      <c r="G1571" s="154" t="s">
        <v>5937</v>
      </c>
      <c r="J1571" s="154" t="s">
        <v>31</v>
      </c>
      <c r="K1571" s="154" t="s">
        <v>2426</v>
      </c>
      <c r="N1571" s="155"/>
      <c r="O1571" s="156"/>
      <c r="P1571" s="157"/>
      <c r="Q1571" s="158"/>
      <c r="R1571" s="159"/>
      <c r="S1571" s="160"/>
      <c r="T1571" s="161"/>
      <c r="U1571" s="156"/>
      <c r="V1571" s="162"/>
      <c r="W1571" s="163"/>
      <c r="X1571" s="164"/>
      <c r="Y1571" s="159"/>
      <c r="Z1571" s="161"/>
      <c r="AA1571" s="165"/>
      <c r="AD1571" s="154" t="s">
        <v>472</v>
      </c>
      <c r="AE1571" s="155"/>
      <c r="AI1571" s="154" t="s">
        <v>5937</v>
      </c>
      <c r="AJ1571" s="154" t="s">
        <v>5947</v>
      </c>
      <c r="AL1571" s="154" t="s">
        <v>31</v>
      </c>
      <c r="AM1571" s="154" t="s">
        <v>2426</v>
      </c>
      <c r="AP1571" s="155"/>
      <c r="AQ1571" s="156"/>
      <c r="AR1571" s="157"/>
      <c r="AS1571" s="158"/>
      <c r="AT1571" s="159"/>
      <c r="AU1571" s="161"/>
      <c r="AV1571" s="156"/>
      <c r="AW1571" s="162"/>
      <c r="AX1571" s="163"/>
      <c r="AY1571" s="164">
        <v>1</v>
      </c>
      <c r="AZ1571" s="159" t="s">
        <v>1111</v>
      </c>
      <c r="BA1571" s="161"/>
      <c r="BB1571" s="165">
        <v>1</v>
      </c>
      <c r="BE1571" s="154" t="s">
        <v>472</v>
      </c>
      <c r="BF1571" s="155"/>
      <c r="BG1571" s="154" t="s">
        <v>5948</v>
      </c>
    </row>
    <row r="1572" spans="1:59" s="154" customFormat="1" ht="15" customHeight="1">
      <c r="A1572" s="153" t="s">
        <v>5693</v>
      </c>
      <c r="B1572" s="23" t="s">
        <v>5949</v>
      </c>
      <c r="C1572" s="154" t="s">
        <v>5695</v>
      </c>
      <c r="D1572" s="155">
        <v>62</v>
      </c>
      <c r="E1572" s="154">
        <v>1</v>
      </c>
      <c r="F1572" s="154" t="s">
        <v>5897</v>
      </c>
      <c r="G1572" s="154" t="s">
        <v>5937</v>
      </c>
      <c r="J1572" s="154" t="s">
        <v>31</v>
      </c>
      <c r="K1572" s="154" t="s">
        <v>2426</v>
      </c>
      <c r="N1572" s="155"/>
      <c r="O1572" s="156"/>
      <c r="P1572" s="157"/>
      <c r="Q1572" s="158"/>
      <c r="R1572" s="159"/>
      <c r="S1572" s="160"/>
      <c r="T1572" s="161"/>
      <c r="U1572" s="156"/>
      <c r="V1572" s="162"/>
      <c r="W1572" s="163"/>
      <c r="X1572" s="164"/>
      <c r="Y1572" s="159"/>
      <c r="Z1572" s="161"/>
      <c r="AA1572" s="165"/>
      <c r="AD1572" s="154" t="s">
        <v>472</v>
      </c>
      <c r="AE1572" s="155"/>
      <c r="AI1572" s="154" t="s">
        <v>5937</v>
      </c>
      <c r="AJ1572" s="154" t="s">
        <v>5950</v>
      </c>
      <c r="AL1572" s="154" t="s">
        <v>31</v>
      </c>
      <c r="AM1572" s="154" t="s">
        <v>2426</v>
      </c>
      <c r="AP1572" s="155"/>
      <c r="AQ1572" s="156"/>
      <c r="AR1572" s="157"/>
      <c r="AS1572" s="158"/>
      <c r="AT1572" s="159"/>
      <c r="AU1572" s="161"/>
      <c r="AV1572" s="156"/>
      <c r="AW1572" s="162"/>
      <c r="AX1572" s="163"/>
      <c r="AY1572" s="164">
        <v>3</v>
      </c>
      <c r="AZ1572" s="159" t="s">
        <v>1073</v>
      </c>
      <c r="BA1572" s="161"/>
      <c r="BB1572" s="165">
        <v>1</v>
      </c>
      <c r="BE1572" s="154" t="s">
        <v>472</v>
      </c>
      <c r="BF1572" s="155"/>
      <c r="BG1572" s="154" t="s">
        <v>5951</v>
      </c>
    </row>
    <row r="1573" spans="1:59" s="154" customFormat="1" ht="15" customHeight="1">
      <c r="A1573" s="153" t="s">
        <v>5693</v>
      </c>
      <c r="B1573" s="23" t="s">
        <v>5952</v>
      </c>
      <c r="C1573" s="154" t="s">
        <v>5695</v>
      </c>
      <c r="D1573" s="155">
        <v>63</v>
      </c>
      <c r="E1573" s="154">
        <v>1</v>
      </c>
      <c r="F1573" s="154" t="s">
        <v>5897</v>
      </c>
      <c r="G1573" s="154" t="s">
        <v>5937</v>
      </c>
      <c r="J1573" s="154" t="s">
        <v>31</v>
      </c>
      <c r="K1573" s="154" t="s">
        <v>2426</v>
      </c>
      <c r="N1573" s="155"/>
      <c r="O1573" s="156"/>
      <c r="P1573" s="157"/>
      <c r="Q1573" s="158"/>
      <c r="R1573" s="159"/>
      <c r="S1573" s="160"/>
      <c r="T1573" s="161"/>
      <c r="U1573" s="156"/>
      <c r="V1573" s="162"/>
      <c r="W1573" s="163"/>
      <c r="X1573" s="164"/>
      <c r="Y1573" s="159"/>
      <c r="Z1573" s="161"/>
      <c r="AA1573" s="165"/>
      <c r="AD1573" s="154" t="s">
        <v>472</v>
      </c>
      <c r="AE1573" s="155"/>
      <c r="AI1573" s="154" t="s">
        <v>5937</v>
      </c>
      <c r="AJ1573" s="154" t="s">
        <v>5953</v>
      </c>
      <c r="AL1573" s="154" t="s">
        <v>31</v>
      </c>
      <c r="AM1573" s="154" t="s">
        <v>2426</v>
      </c>
      <c r="AP1573" s="155"/>
      <c r="AQ1573" s="156"/>
      <c r="AR1573" s="157"/>
      <c r="AS1573" s="158"/>
      <c r="AT1573" s="159"/>
      <c r="AU1573" s="161"/>
      <c r="AV1573" s="156"/>
      <c r="AW1573" s="162"/>
      <c r="AX1573" s="163"/>
      <c r="AY1573" s="164">
        <v>4</v>
      </c>
      <c r="AZ1573" s="159" t="s">
        <v>1111</v>
      </c>
      <c r="BA1573" s="161"/>
      <c r="BB1573" s="165">
        <v>1</v>
      </c>
      <c r="BE1573" s="154" t="s">
        <v>472</v>
      </c>
      <c r="BF1573" s="155"/>
      <c r="BG1573" s="154" t="s">
        <v>5954</v>
      </c>
    </row>
    <row r="1574" spans="1:59" s="154" customFormat="1" ht="15" customHeight="1">
      <c r="A1574" s="153" t="s">
        <v>5693</v>
      </c>
      <c r="B1574" s="23" t="s">
        <v>5955</v>
      </c>
      <c r="C1574" s="154" t="s">
        <v>5695</v>
      </c>
      <c r="D1574" s="155">
        <v>64</v>
      </c>
      <c r="E1574" s="154">
        <v>1</v>
      </c>
      <c r="F1574" s="154" t="s">
        <v>5897</v>
      </c>
      <c r="G1574" s="154" t="s">
        <v>5937</v>
      </c>
      <c r="J1574" s="154" t="s">
        <v>31</v>
      </c>
      <c r="K1574" s="154" t="s">
        <v>2426</v>
      </c>
      <c r="N1574" s="155"/>
      <c r="O1574" s="156"/>
      <c r="P1574" s="157"/>
      <c r="Q1574" s="158"/>
      <c r="R1574" s="159"/>
      <c r="S1574" s="160"/>
      <c r="T1574" s="161"/>
      <c r="U1574" s="156"/>
      <c r="V1574" s="162"/>
      <c r="W1574" s="163"/>
      <c r="X1574" s="164"/>
      <c r="Y1574" s="159"/>
      <c r="Z1574" s="161"/>
      <c r="AA1574" s="165"/>
      <c r="AD1574" s="154" t="s">
        <v>472</v>
      </c>
      <c r="AE1574" s="155"/>
      <c r="AI1574" s="154" t="s">
        <v>5937</v>
      </c>
      <c r="AJ1574" s="154" t="s">
        <v>5956</v>
      </c>
      <c r="AL1574" s="154" t="s">
        <v>31</v>
      </c>
      <c r="AM1574" s="154" t="s">
        <v>2426</v>
      </c>
      <c r="AP1574" s="155"/>
      <c r="AQ1574" s="156"/>
      <c r="AR1574" s="157"/>
      <c r="AS1574" s="158"/>
      <c r="AT1574" s="159"/>
      <c r="AU1574" s="161"/>
      <c r="AV1574" s="156"/>
      <c r="AW1574" s="162"/>
      <c r="AX1574" s="163"/>
      <c r="AY1574" s="164">
        <v>3</v>
      </c>
      <c r="AZ1574" s="159" t="s">
        <v>1073</v>
      </c>
      <c r="BA1574" s="161"/>
      <c r="BB1574" s="165">
        <v>1</v>
      </c>
      <c r="BE1574" s="154" t="s">
        <v>472</v>
      </c>
      <c r="BF1574" s="155"/>
      <c r="BG1574" s="154" t="s">
        <v>5957</v>
      </c>
    </row>
    <row r="1575" spans="1:59" s="154" customFormat="1" ht="15" customHeight="1">
      <c r="A1575" s="153" t="s">
        <v>5693</v>
      </c>
      <c r="B1575" s="23" t="s">
        <v>5958</v>
      </c>
      <c r="C1575" s="154" t="s">
        <v>5695</v>
      </c>
      <c r="D1575" s="155">
        <v>65</v>
      </c>
      <c r="E1575" s="154">
        <v>1</v>
      </c>
      <c r="F1575" s="154" t="s">
        <v>5959</v>
      </c>
      <c r="G1575" s="154" t="s">
        <v>5959</v>
      </c>
      <c r="J1575" s="154" t="s">
        <v>618</v>
      </c>
      <c r="K1575" s="154" t="s">
        <v>2426</v>
      </c>
      <c r="N1575" s="155"/>
      <c r="O1575" s="156"/>
      <c r="P1575" s="157"/>
      <c r="Q1575" s="158"/>
      <c r="R1575" s="159"/>
      <c r="S1575" s="160"/>
      <c r="T1575" s="161"/>
      <c r="U1575" s="156"/>
      <c r="V1575" s="162"/>
      <c r="W1575" s="163"/>
      <c r="X1575" s="164"/>
      <c r="Y1575" s="159"/>
      <c r="Z1575" s="161"/>
      <c r="AA1575" s="165"/>
      <c r="AE1575" s="155"/>
      <c r="AF1575" s="154" t="s">
        <v>5960</v>
      </c>
      <c r="AI1575" s="154" t="s">
        <v>5959</v>
      </c>
      <c r="AL1575" s="154" t="s">
        <v>618</v>
      </c>
      <c r="AM1575" s="154" t="s">
        <v>2426</v>
      </c>
      <c r="AP1575" s="155"/>
      <c r="AQ1575" s="156"/>
      <c r="AR1575" s="157"/>
      <c r="AS1575" s="158"/>
      <c r="AT1575" s="159"/>
      <c r="AU1575" s="161"/>
      <c r="AV1575" s="156"/>
      <c r="AW1575" s="162"/>
      <c r="AX1575" s="163"/>
      <c r="AY1575" s="164"/>
      <c r="AZ1575" s="159"/>
      <c r="BA1575" s="161"/>
      <c r="BB1575" s="165"/>
      <c r="BF1575" s="155"/>
      <c r="BG1575" s="154" t="s">
        <v>5961</v>
      </c>
    </row>
    <row r="1576" spans="1:59" s="154" customFormat="1" ht="15" customHeight="1">
      <c r="A1576" s="153" t="s">
        <v>5693</v>
      </c>
      <c r="B1576" s="23" t="s">
        <v>5962</v>
      </c>
      <c r="C1576" s="154" t="s">
        <v>5695</v>
      </c>
      <c r="D1576" s="155">
        <v>66</v>
      </c>
      <c r="E1576" s="154">
        <v>1</v>
      </c>
      <c r="F1576" s="154" t="s">
        <v>5959</v>
      </c>
      <c r="G1576" s="154" t="s">
        <v>5963</v>
      </c>
      <c r="J1576" s="154" t="s">
        <v>619</v>
      </c>
      <c r="K1576" s="154" t="s">
        <v>2426</v>
      </c>
      <c r="L1576" s="154">
        <v>1</v>
      </c>
      <c r="N1576" s="155"/>
      <c r="O1576" s="156"/>
      <c r="P1576" s="157"/>
      <c r="Q1576" s="158"/>
      <c r="R1576" s="159"/>
      <c r="S1576" s="160"/>
      <c r="T1576" s="161"/>
      <c r="U1576" s="156"/>
      <c r="V1576" s="162"/>
      <c r="W1576" s="163"/>
      <c r="X1576" s="164"/>
      <c r="Y1576" s="159"/>
      <c r="Z1576" s="161">
        <v>8</v>
      </c>
      <c r="AA1576" s="165"/>
      <c r="AE1576" s="155"/>
      <c r="AF1576" s="154" t="s">
        <v>5964</v>
      </c>
      <c r="AI1576" s="154" t="s">
        <v>5965</v>
      </c>
      <c r="AL1576" s="154" t="s">
        <v>619</v>
      </c>
      <c r="AM1576" s="154" t="s">
        <v>2426</v>
      </c>
      <c r="AN1576" s="154">
        <v>1</v>
      </c>
      <c r="AP1576" s="155"/>
      <c r="AQ1576" s="156"/>
      <c r="AR1576" s="157"/>
      <c r="AS1576" s="158"/>
      <c r="AT1576" s="159"/>
      <c r="AU1576" s="161"/>
      <c r="AV1576" s="156"/>
      <c r="AW1576" s="162"/>
      <c r="AX1576" s="163"/>
      <c r="AY1576" s="164"/>
      <c r="AZ1576" s="159"/>
      <c r="BA1576" s="161"/>
      <c r="BB1576" s="165"/>
      <c r="BF1576" s="155"/>
      <c r="BG1576" s="154" t="s">
        <v>5966</v>
      </c>
    </row>
    <row r="1577" spans="1:59" s="154" customFormat="1" ht="15" customHeight="1">
      <c r="A1577" s="153" t="s">
        <v>5693</v>
      </c>
      <c r="B1577" s="23" t="s">
        <v>5967</v>
      </c>
      <c r="C1577" s="154" t="s">
        <v>5695</v>
      </c>
      <c r="D1577" s="155">
        <v>67</v>
      </c>
      <c r="E1577" s="154">
        <v>1</v>
      </c>
      <c r="F1577" s="154" t="s">
        <v>5959</v>
      </c>
      <c r="G1577" s="154" t="s">
        <v>5968</v>
      </c>
      <c r="J1577" s="154" t="s">
        <v>619</v>
      </c>
      <c r="K1577" s="154" t="s">
        <v>2426</v>
      </c>
      <c r="L1577" s="154">
        <v>2</v>
      </c>
      <c r="N1577" s="155"/>
      <c r="O1577" s="156"/>
      <c r="P1577" s="157"/>
      <c r="Q1577" s="158"/>
      <c r="R1577" s="159"/>
      <c r="S1577" s="160"/>
      <c r="T1577" s="161"/>
      <c r="U1577" s="156"/>
      <c r="V1577" s="162"/>
      <c r="W1577" s="163"/>
      <c r="X1577" s="164"/>
      <c r="Y1577" s="159"/>
      <c r="Z1577" s="161">
        <v>11</v>
      </c>
      <c r="AA1577" s="165"/>
      <c r="AE1577" s="155"/>
      <c r="AF1577" s="154" t="s">
        <v>5969</v>
      </c>
      <c r="AI1577" s="154" t="s">
        <v>5970</v>
      </c>
      <c r="AL1577" s="154" t="s">
        <v>619</v>
      </c>
      <c r="AM1577" s="154" t="s">
        <v>2426</v>
      </c>
      <c r="AN1577" s="154">
        <v>2</v>
      </c>
      <c r="AP1577" s="155"/>
      <c r="AQ1577" s="156"/>
      <c r="AR1577" s="157"/>
      <c r="AS1577" s="158"/>
      <c r="AT1577" s="159"/>
      <c r="AU1577" s="161"/>
      <c r="AV1577" s="156"/>
      <c r="AW1577" s="162"/>
      <c r="AX1577" s="163"/>
      <c r="AY1577" s="164"/>
      <c r="AZ1577" s="159"/>
      <c r="BA1577" s="161"/>
      <c r="BB1577" s="165"/>
      <c r="BF1577" s="155"/>
      <c r="BG1577" s="154" t="s">
        <v>5971</v>
      </c>
    </row>
    <row r="1578" spans="1:59" s="154" customFormat="1" ht="15" customHeight="1">
      <c r="A1578" s="153" t="s">
        <v>5693</v>
      </c>
      <c r="B1578" s="23" t="s">
        <v>5972</v>
      </c>
      <c r="C1578" s="154" t="s">
        <v>5695</v>
      </c>
      <c r="D1578" s="155">
        <v>68</v>
      </c>
      <c r="E1578" s="154">
        <v>1</v>
      </c>
      <c r="F1578" s="154" t="s">
        <v>5959</v>
      </c>
      <c r="G1578" s="154" t="s">
        <v>5973</v>
      </c>
      <c r="J1578" s="154" t="s">
        <v>621</v>
      </c>
      <c r="K1578" s="154" t="s">
        <v>2426</v>
      </c>
      <c r="L1578" s="154">
        <v>1</v>
      </c>
      <c r="N1578" s="155"/>
      <c r="O1578" s="156"/>
      <c r="P1578" s="157"/>
      <c r="Q1578" s="158"/>
      <c r="R1578" s="159"/>
      <c r="S1578" s="160"/>
      <c r="T1578" s="161"/>
      <c r="U1578" s="156"/>
      <c r="V1578" s="162"/>
      <c r="W1578" s="163"/>
      <c r="X1578" s="164"/>
      <c r="Y1578" s="159" t="s">
        <v>38</v>
      </c>
      <c r="Z1578" s="161"/>
      <c r="AA1578" s="165"/>
      <c r="AE1578" s="155"/>
      <c r="AF1578" s="154" t="s">
        <v>5974</v>
      </c>
      <c r="AI1578" s="154" t="s">
        <v>5975</v>
      </c>
      <c r="AL1578" s="154" t="s">
        <v>621</v>
      </c>
      <c r="AM1578" s="154" t="s">
        <v>2426</v>
      </c>
      <c r="AN1578" s="154">
        <v>1</v>
      </c>
      <c r="AP1578" s="155"/>
      <c r="AQ1578" s="156"/>
      <c r="AR1578" s="157"/>
      <c r="AS1578" s="158"/>
      <c r="AT1578" s="159"/>
      <c r="AU1578" s="161"/>
      <c r="AV1578" s="156"/>
      <c r="AW1578" s="162"/>
      <c r="AX1578" s="163"/>
      <c r="AY1578" s="164"/>
      <c r="AZ1578" s="159"/>
      <c r="BA1578" s="161"/>
      <c r="BB1578" s="165"/>
      <c r="BF1578" s="155"/>
      <c r="BG1578" s="154" t="s">
        <v>5976</v>
      </c>
    </row>
    <row r="1579" spans="1:59" s="154" customFormat="1" ht="15" customHeight="1">
      <c r="A1579" s="153" t="s">
        <v>5693</v>
      </c>
      <c r="B1579" s="23" t="s">
        <v>5977</v>
      </c>
      <c r="C1579" s="154" t="s">
        <v>5695</v>
      </c>
      <c r="D1579" s="155">
        <v>69</v>
      </c>
      <c r="E1579" s="154">
        <v>1</v>
      </c>
      <c r="F1579" s="154" t="s">
        <v>5959</v>
      </c>
      <c r="G1579" s="154" t="s">
        <v>5978</v>
      </c>
      <c r="J1579" s="154" t="s">
        <v>621</v>
      </c>
      <c r="K1579" s="154" t="s">
        <v>2426</v>
      </c>
      <c r="L1579" s="154">
        <v>2</v>
      </c>
      <c r="N1579" s="155"/>
      <c r="O1579" s="156"/>
      <c r="P1579" s="157"/>
      <c r="Q1579" s="158"/>
      <c r="R1579" s="159"/>
      <c r="S1579" s="160"/>
      <c r="T1579" s="161"/>
      <c r="U1579" s="156"/>
      <c r="V1579" s="162"/>
      <c r="W1579" s="163"/>
      <c r="X1579" s="164"/>
      <c r="Y1579" s="159" t="s">
        <v>4883</v>
      </c>
      <c r="Z1579" s="161"/>
      <c r="AA1579" s="165"/>
      <c r="AE1579" s="155"/>
      <c r="AI1579" s="154" t="s">
        <v>3138</v>
      </c>
      <c r="AL1579" s="154" t="s">
        <v>621</v>
      </c>
      <c r="AM1579" s="154" t="s">
        <v>2426</v>
      </c>
      <c r="AN1579" s="154">
        <v>2</v>
      </c>
      <c r="AP1579" s="155"/>
      <c r="AQ1579" s="156"/>
      <c r="AR1579" s="157"/>
      <c r="AS1579" s="158"/>
      <c r="AT1579" s="159"/>
      <c r="AU1579" s="161"/>
      <c r="AV1579" s="156"/>
      <c r="AW1579" s="162"/>
      <c r="AX1579" s="163"/>
      <c r="AY1579" s="164"/>
      <c r="AZ1579" s="159"/>
      <c r="BA1579" s="161"/>
      <c r="BB1579" s="165"/>
      <c r="BF1579" s="155"/>
      <c r="BG1579" s="154" t="s">
        <v>5979</v>
      </c>
    </row>
    <row r="1580" spans="1:59" s="154" customFormat="1" ht="15" customHeight="1">
      <c r="A1580" s="153" t="s">
        <v>5693</v>
      </c>
      <c r="B1580" s="23" t="s">
        <v>5980</v>
      </c>
      <c r="C1580" s="154" t="s">
        <v>5695</v>
      </c>
      <c r="D1580" s="155">
        <v>70</v>
      </c>
      <c r="E1580" s="154">
        <v>1</v>
      </c>
      <c r="F1580" s="154" t="s">
        <v>5959</v>
      </c>
      <c r="G1580" s="154" t="s">
        <v>5981</v>
      </c>
      <c r="J1580" s="154" t="s">
        <v>621</v>
      </c>
      <c r="K1580" s="154" t="s">
        <v>2426</v>
      </c>
      <c r="L1580" s="154">
        <v>3</v>
      </c>
      <c r="N1580" s="155"/>
      <c r="O1580" s="156"/>
      <c r="P1580" s="157"/>
      <c r="Q1580" s="158"/>
      <c r="R1580" s="159"/>
      <c r="S1580" s="160"/>
      <c r="T1580" s="161"/>
      <c r="U1580" s="156"/>
      <c r="V1580" s="162"/>
      <c r="W1580" s="163"/>
      <c r="X1580" s="164"/>
      <c r="Y1580" s="159" t="s">
        <v>38</v>
      </c>
      <c r="Z1580" s="161"/>
      <c r="AA1580" s="165"/>
      <c r="AE1580" s="155"/>
      <c r="AF1580" s="154" t="s">
        <v>5982</v>
      </c>
      <c r="AI1580" s="154" t="s">
        <v>5983</v>
      </c>
      <c r="AL1580" s="154" t="s">
        <v>621</v>
      </c>
      <c r="AM1580" s="154" t="s">
        <v>2426</v>
      </c>
      <c r="AN1580" s="154">
        <v>3</v>
      </c>
      <c r="AP1580" s="155"/>
      <c r="AQ1580" s="156"/>
      <c r="AR1580" s="157"/>
      <c r="AS1580" s="158"/>
      <c r="AT1580" s="159"/>
      <c r="AU1580" s="161"/>
      <c r="AV1580" s="156"/>
      <c r="AW1580" s="162"/>
      <c r="AX1580" s="163"/>
      <c r="AY1580" s="164"/>
      <c r="AZ1580" s="159"/>
      <c r="BA1580" s="161"/>
      <c r="BB1580" s="165"/>
      <c r="BF1580" s="155"/>
      <c r="BG1580" s="154" t="s">
        <v>4555</v>
      </c>
    </row>
    <row r="1581" spans="1:59" s="154" customFormat="1" ht="15" customHeight="1">
      <c r="A1581" s="153" t="s">
        <v>5693</v>
      </c>
      <c r="B1581" s="23" t="s">
        <v>5984</v>
      </c>
      <c r="C1581" s="154" t="s">
        <v>5695</v>
      </c>
      <c r="D1581" s="155">
        <v>71</v>
      </c>
      <c r="E1581" s="154">
        <v>1</v>
      </c>
      <c r="F1581" s="154" t="s">
        <v>5959</v>
      </c>
      <c r="G1581" s="154" t="s">
        <v>3012</v>
      </c>
      <c r="J1581" s="154" t="s">
        <v>31</v>
      </c>
      <c r="K1581" s="154" t="s">
        <v>2426</v>
      </c>
      <c r="N1581" s="155"/>
      <c r="O1581" s="156"/>
      <c r="P1581" s="157"/>
      <c r="Q1581" s="158"/>
      <c r="R1581" s="159"/>
      <c r="S1581" s="160"/>
      <c r="T1581" s="161"/>
      <c r="U1581" s="156"/>
      <c r="V1581" s="162"/>
      <c r="W1581" s="163"/>
      <c r="X1581" s="164"/>
      <c r="Y1581" s="159"/>
      <c r="Z1581" s="161"/>
      <c r="AA1581" s="165"/>
      <c r="AE1581" s="155"/>
      <c r="AI1581" s="154" t="s">
        <v>3012</v>
      </c>
      <c r="AL1581" s="154" t="s">
        <v>31</v>
      </c>
      <c r="AM1581" s="154" t="s">
        <v>2426</v>
      </c>
      <c r="AP1581" s="155"/>
      <c r="AQ1581" s="156"/>
      <c r="AR1581" s="157"/>
      <c r="AS1581" s="158"/>
      <c r="AT1581" s="159"/>
      <c r="AU1581" s="161"/>
      <c r="AV1581" s="156"/>
      <c r="AW1581" s="162"/>
      <c r="AX1581" s="163"/>
      <c r="AY1581" s="164">
        <v>3</v>
      </c>
      <c r="AZ1581" s="159">
        <v>0</v>
      </c>
      <c r="BA1581" s="161"/>
      <c r="BB1581" s="165"/>
      <c r="BF1581" s="155"/>
      <c r="BG1581" s="154" t="s">
        <v>5985</v>
      </c>
    </row>
    <row r="1582" spans="1:59" s="154" customFormat="1" ht="15" customHeight="1">
      <c r="A1582" s="153" t="s">
        <v>5693</v>
      </c>
      <c r="B1582" s="23" t="s">
        <v>5986</v>
      </c>
      <c r="C1582" s="154" t="s">
        <v>5695</v>
      </c>
      <c r="D1582" s="155">
        <v>72</v>
      </c>
      <c r="E1582" s="154">
        <v>1</v>
      </c>
      <c r="F1582" s="154" t="s">
        <v>5959</v>
      </c>
      <c r="G1582" s="154" t="s">
        <v>5987</v>
      </c>
      <c r="J1582" s="154" t="s">
        <v>31</v>
      </c>
      <c r="K1582" s="154" t="s">
        <v>2426</v>
      </c>
      <c r="N1582" s="155"/>
      <c r="O1582" s="156"/>
      <c r="P1582" s="157"/>
      <c r="Q1582" s="158"/>
      <c r="R1582" s="159"/>
      <c r="S1582" s="160"/>
      <c r="T1582" s="161"/>
      <c r="U1582" s="156"/>
      <c r="V1582" s="162"/>
      <c r="W1582" s="163"/>
      <c r="X1582" s="164"/>
      <c r="Y1582" s="159"/>
      <c r="Z1582" s="161"/>
      <c r="AA1582" s="165"/>
      <c r="AE1582" s="155"/>
      <c r="AI1582" s="154" t="s">
        <v>5987</v>
      </c>
      <c r="AL1582" s="154" t="s">
        <v>31</v>
      </c>
      <c r="AM1582" s="154" t="s">
        <v>2426</v>
      </c>
      <c r="AP1582" s="155"/>
      <c r="AQ1582" s="156"/>
      <c r="AR1582" s="157"/>
      <c r="AS1582" s="158"/>
      <c r="AT1582" s="159"/>
      <c r="AU1582" s="161"/>
      <c r="AV1582" s="156"/>
      <c r="AW1582" s="162"/>
      <c r="AX1582" s="163"/>
      <c r="AY1582" s="164">
        <v>4</v>
      </c>
      <c r="AZ1582" s="159">
        <v>0</v>
      </c>
      <c r="BA1582" s="161"/>
      <c r="BB1582" s="165"/>
      <c r="BF1582" s="155"/>
      <c r="BG1582" s="154" t="s">
        <v>5988</v>
      </c>
    </row>
    <row r="1583" spans="1:59" s="154" customFormat="1" ht="15" customHeight="1">
      <c r="A1583" s="153" t="s">
        <v>5693</v>
      </c>
      <c r="B1583" s="23" t="s">
        <v>5989</v>
      </c>
      <c r="C1583" s="154" t="s">
        <v>5695</v>
      </c>
      <c r="D1583" s="155">
        <v>73</v>
      </c>
      <c r="E1583" s="154">
        <v>1</v>
      </c>
      <c r="F1583" s="154" t="s">
        <v>5959</v>
      </c>
      <c r="G1583" s="154" t="s">
        <v>5990</v>
      </c>
      <c r="J1583" s="154" t="s">
        <v>31</v>
      </c>
      <c r="K1583" s="154" t="s">
        <v>2426</v>
      </c>
      <c r="N1583" s="155"/>
      <c r="O1583" s="156"/>
      <c r="P1583" s="157"/>
      <c r="Q1583" s="158"/>
      <c r="R1583" s="159"/>
      <c r="S1583" s="160"/>
      <c r="T1583" s="161"/>
      <c r="U1583" s="156"/>
      <c r="V1583" s="162"/>
      <c r="W1583" s="163"/>
      <c r="X1583" s="164"/>
      <c r="Y1583" s="159"/>
      <c r="Z1583" s="161"/>
      <c r="AA1583" s="165"/>
      <c r="AE1583" s="155"/>
      <c r="AI1583" s="154" t="s">
        <v>5990</v>
      </c>
      <c r="AL1583" s="154" t="s">
        <v>31</v>
      </c>
      <c r="AM1583" s="154" t="s">
        <v>2426</v>
      </c>
      <c r="AP1583" s="155"/>
      <c r="AQ1583" s="156"/>
      <c r="AR1583" s="157"/>
      <c r="AS1583" s="158"/>
      <c r="AT1583" s="159"/>
      <c r="AU1583" s="161"/>
      <c r="AV1583" s="156"/>
      <c r="AW1583" s="162"/>
      <c r="AX1583" s="163"/>
      <c r="AY1583" s="164">
        <v>2</v>
      </c>
      <c r="AZ1583" s="159">
        <v>0</v>
      </c>
      <c r="BA1583" s="161"/>
      <c r="BB1583" s="165"/>
      <c r="BF1583" s="155"/>
      <c r="BG1583" s="154" t="s">
        <v>5991</v>
      </c>
    </row>
    <row r="1584" spans="1:59" s="154" customFormat="1" ht="15" customHeight="1">
      <c r="A1584" s="153" t="s">
        <v>5693</v>
      </c>
      <c r="B1584" s="23" t="s">
        <v>5992</v>
      </c>
      <c r="C1584" s="154" t="s">
        <v>5695</v>
      </c>
      <c r="D1584" s="155">
        <v>74</v>
      </c>
      <c r="E1584" s="154">
        <v>1</v>
      </c>
      <c r="F1584" s="154" t="s">
        <v>5959</v>
      </c>
      <c r="G1584" s="154" t="s">
        <v>5993</v>
      </c>
      <c r="J1584" s="154" t="s">
        <v>31</v>
      </c>
      <c r="K1584" s="154" t="s">
        <v>2426</v>
      </c>
      <c r="N1584" s="155"/>
      <c r="O1584" s="156"/>
      <c r="P1584" s="157"/>
      <c r="Q1584" s="158"/>
      <c r="R1584" s="159"/>
      <c r="S1584" s="160"/>
      <c r="T1584" s="161"/>
      <c r="U1584" s="156"/>
      <c r="V1584" s="162"/>
      <c r="W1584" s="163"/>
      <c r="X1584" s="164"/>
      <c r="Y1584" s="159"/>
      <c r="Z1584" s="161"/>
      <c r="AA1584" s="165"/>
      <c r="AE1584" s="155"/>
      <c r="AI1584" s="154" t="s">
        <v>5993</v>
      </c>
      <c r="AL1584" s="154" t="s">
        <v>31</v>
      </c>
      <c r="AM1584" s="154" t="s">
        <v>2426</v>
      </c>
      <c r="AP1584" s="155"/>
      <c r="AQ1584" s="156"/>
      <c r="AR1584" s="157"/>
      <c r="AS1584" s="158"/>
      <c r="AT1584" s="159"/>
      <c r="AU1584" s="161"/>
      <c r="AV1584" s="156"/>
      <c r="AW1584" s="162"/>
      <c r="AX1584" s="163"/>
      <c r="AY1584" s="164">
        <v>3</v>
      </c>
      <c r="AZ1584" s="159">
        <v>0</v>
      </c>
      <c r="BA1584" s="161"/>
      <c r="BB1584" s="165"/>
      <c r="BF1584" s="155"/>
      <c r="BG1584" s="154" t="s">
        <v>5994</v>
      </c>
    </row>
    <row r="1585" spans="1:59" s="154" customFormat="1" ht="15" customHeight="1">
      <c r="A1585" s="153" t="s">
        <v>5693</v>
      </c>
      <c r="B1585" s="23" t="s">
        <v>5995</v>
      </c>
      <c r="C1585" s="154" t="s">
        <v>5695</v>
      </c>
      <c r="D1585" s="155">
        <v>75</v>
      </c>
      <c r="E1585" s="154">
        <v>1</v>
      </c>
      <c r="F1585" s="154" t="s">
        <v>5959</v>
      </c>
      <c r="G1585" s="154" t="s">
        <v>5996</v>
      </c>
      <c r="J1585" s="154" t="s">
        <v>31</v>
      </c>
      <c r="K1585" s="154" t="s">
        <v>2426</v>
      </c>
      <c r="N1585" s="155"/>
      <c r="O1585" s="156"/>
      <c r="P1585" s="157"/>
      <c r="Q1585" s="158"/>
      <c r="R1585" s="159"/>
      <c r="S1585" s="160"/>
      <c r="T1585" s="161"/>
      <c r="U1585" s="156"/>
      <c r="V1585" s="162"/>
      <c r="W1585" s="163"/>
      <c r="X1585" s="164"/>
      <c r="Y1585" s="159"/>
      <c r="Z1585" s="161"/>
      <c r="AA1585" s="165"/>
      <c r="AE1585" s="155"/>
      <c r="AI1585" s="154" t="s">
        <v>5996</v>
      </c>
      <c r="AL1585" s="154" t="s">
        <v>31</v>
      </c>
      <c r="AM1585" s="154" t="s">
        <v>2426</v>
      </c>
      <c r="AP1585" s="155"/>
      <c r="AQ1585" s="156"/>
      <c r="AR1585" s="157"/>
      <c r="AS1585" s="158"/>
      <c r="AT1585" s="159"/>
      <c r="AU1585" s="161"/>
      <c r="AV1585" s="156"/>
      <c r="AW1585" s="162"/>
      <c r="AX1585" s="163"/>
      <c r="AY1585" s="164">
        <v>3</v>
      </c>
      <c r="AZ1585" s="159" t="s">
        <v>1073</v>
      </c>
      <c r="BA1585" s="161"/>
      <c r="BB1585" s="165"/>
      <c r="BF1585" s="155"/>
      <c r="BG1585" s="154" t="s">
        <v>5997</v>
      </c>
    </row>
    <row r="1586" spans="1:59" s="154" customFormat="1" ht="15" customHeight="1">
      <c r="A1586" s="153" t="s">
        <v>5693</v>
      </c>
      <c r="B1586" s="23" t="s">
        <v>5998</v>
      </c>
      <c r="C1586" s="154" t="s">
        <v>5695</v>
      </c>
      <c r="D1586" s="155">
        <v>76</v>
      </c>
      <c r="E1586" s="154">
        <v>1</v>
      </c>
      <c r="F1586" s="154" t="s">
        <v>5959</v>
      </c>
      <c r="G1586" s="154" t="s">
        <v>2663</v>
      </c>
      <c r="J1586" s="154" t="s">
        <v>31</v>
      </c>
      <c r="K1586" s="154" t="s">
        <v>2426</v>
      </c>
      <c r="N1586" s="155"/>
      <c r="O1586" s="156"/>
      <c r="P1586" s="157"/>
      <c r="Q1586" s="158"/>
      <c r="R1586" s="159"/>
      <c r="S1586" s="160"/>
      <c r="T1586" s="161"/>
      <c r="U1586" s="156"/>
      <c r="V1586" s="162"/>
      <c r="W1586" s="163"/>
      <c r="X1586" s="164"/>
      <c r="Y1586" s="159"/>
      <c r="Z1586" s="161"/>
      <c r="AA1586" s="165"/>
      <c r="AE1586" s="155"/>
      <c r="AI1586" s="154" t="s">
        <v>2663</v>
      </c>
      <c r="AL1586" s="154" t="s">
        <v>31</v>
      </c>
      <c r="AM1586" s="154" t="s">
        <v>2426</v>
      </c>
      <c r="AP1586" s="155"/>
      <c r="AQ1586" s="156"/>
      <c r="AR1586" s="157"/>
      <c r="AS1586" s="158"/>
      <c r="AT1586" s="159"/>
      <c r="AU1586" s="161"/>
      <c r="AV1586" s="156"/>
      <c r="AW1586" s="162"/>
      <c r="AX1586" s="163"/>
      <c r="AY1586" s="164">
        <v>1</v>
      </c>
      <c r="AZ1586" s="159">
        <v>0</v>
      </c>
      <c r="BA1586" s="161"/>
      <c r="BB1586" s="165"/>
      <c r="BF1586" s="155"/>
      <c r="BG1586" s="154" t="s">
        <v>5999</v>
      </c>
    </row>
    <row r="1587" spans="1:59" s="154" customFormat="1" ht="15" customHeight="1">
      <c r="A1587" s="153" t="s">
        <v>5693</v>
      </c>
      <c r="B1587" s="23" t="s">
        <v>6000</v>
      </c>
      <c r="C1587" s="154" t="s">
        <v>5695</v>
      </c>
      <c r="D1587" s="155">
        <v>77</v>
      </c>
      <c r="E1587" s="154">
        <v>1</v>
      </c>
      <c r="F1587" s="154" t="s">
        <v>5959</v>
      </c>
      <c r="G1587" s="154" t="s">
        <v>6001</v>
      </c>
      <c r="J1587" s="154" t="s">
        <v>31</v>
      </c>
      <c r="K1587" s="154" t="s">
        <v>2426</v>
      </c>
      <c r="N1587" s="155"/>
      <c r="O1587" s="156"/>
      <c r="P1587" s="157"/>
      <c r="Q1587" s="158"/>
      <c r="R1587" s="159"/>
      <c r="S1587" s="160"/>
      <c r="T1587" s="161"/>
      <c r="U1587" s="156"/>
      <c r="V1587" s="162"/>
      <c r="W1587" s="163"/>
      <c r="X1587" s="164"/>
      <c r="Y1587" s="159"/>
      <c r="Z1587" s="161"/>
      <c r="AA1587" s="165"/>
      <c r="AE1587" s="155"/>
      <c r="AI1587" s="154" t="s">
        <v>6001</v>
      </c>
      <c r="AL1587" s="154" t="s">
        <v>31</v>
      </c>
      <c r="AM1587" s="154" t="s">
        <v>2426</v>
      </c>
      <c r="AP1587" s="155"/>
      <c r="AQ1587" s="156"/>
      <c r="AR1587" s="157"/>
      <c r="AS1587" s="158"/>
      <c r="AT1587" s="159"/>
      <c r="AU1587" s="161"/>
      <c r="AV1587" s="156"/>
      <c r="AW1587" s="162"/>
      <c r="AX1587" s="163"/>
      <c r="AY1587" s="164">
        <v>4</v>
      </c>
      <c r="AZ1587" s="159" t="s">
        <v>1073</v>
      </c>
      <c r="BA1587" s="161"/>
      <c r="BB1587" s="165"/>
      <c r="BF1587" s="155"/>
      <c r="BG1587" s="154" t="s">
        <v>6002</v>
      </c>
    </row>
    <row r="1588" spans="1:59" s="154" customFormat="1" ht="15" customHeight="1">
      <c r="A1588" s="153" t="s">
        <v>5693</v>
      </c>
      <c r="B1588" s="23" t="s">
        <v>6003</v>
      </c>
      <c r="C1588" s="154" t="s">
        <v>5695</v>
      </c>
      <c r="D1588" s="155">
        <v>78</v>
      </c>
      <c r="E1588" s="154">
        <v>1</v>
      </c>
      <c r="F1588" s="154" t="s">
        <v>5959</v>
      </c>
      <c r="G1588" s="154" t="s">
        <v>3012</v>
      </c>
      <c r="J1588" s="154" t="s">
        <v>31</v>
      </c>
      <c r="K1588" s="154" t="s">
        <v>2426</v>
      </c>
      <c r="N1588" s="155"/>
      <c r="O1588" s="156"/>
      <c r="P1588" s="157"/>
      <c r="Q1588" s="158"/>
      <c r="R1588" s="159"/>
      <c r="S1588" s="160"/>
      <c r="T1588" s="161"/>
      <c r="U1588" s="156"/>
      <c r="V1588" s="162"/>
      <c r="W1588" s="163"/>
      <c r="X1588" s="164"/>
      <c r="Y1588" s="159"/>
      <c r="Z1588" s="161"/>
      <c r="AA1588" s="165"/>
      <c r="AD1588" s="154" t="s">
        <v>6004</v>
      </c>
      <c r="AE1588" s="155"/>
      <c r="AI1588" s="154" t="s">
        <v>3012</v>
      </c>
      <c r="AL1588" s="154" t="s">
        <v>31</v>
      </c>
      <c r="AM1588" s="154" t="s">
        <v>2426</v>
      </c>
      <c r="AP1588" s="155"/>
      <c r="AQ1588" s="156"/>
      <c r="AR1588" s="157"/>
      <c r="AS1588" s="158"/>
      <c r="AT1588" s="159"/>
      <c r="AU1588" s="161"/>
      <c r="AV1588" s="156"/>
      <c r="AW1588" s="162"/>
      <c r="AX1588" s="163"/>
      <c r="AY1588" s="164">
        <v>3</v>
      </c>
      <c r="AZ1588" s="159">
        <v>0</v>
      </c>
      <c r="BA1588" s="161"/>
      <c r="BB1588" s="165"/>
      <c r="BE1588" s="154" t="s">
        <v>6004</v>
      </c>
      <c r="BF1588" s="155"/>
      <c r="BG1588" s="154" t="s">
        <v>6005</v>
      </c>
    </row>
    <row r="1589" spans="1:59" s="154" customFormat="1" ht="15" customHeight="1">
      <c r="A1589" s="153" t="s">
        <v>5693</v>
      </c>
      <c r="B1589" s="23" t="s">
        <v>6006</v>
      </c>
      <c r="C1589" s="154" t="s">
        <v>5695</v>
      </c>
      <c r="D1589" s="155">
        <v>79</v>
      </c>
      <c r="E1589" s="154">
        <v>1</v>
      </c>
      <c r="F1589" s="154" t="s">
        <v>5959</v>
      </c>
      <c r="G1589" s="154" t="s">
        <v>5987</v>
      </c>
      <c r="J1589" s="154" t="s">
        <v>31</v>
      </c>
      <c r="K1589" s="154" t="s">
        <v>2426</v>
      </c>
      <c r="N1589" s="155"/>
      <c r="O1589" s="156"/>
      <c r="P1589" s="157"/>
      <c r="Q1589" s="158"/>
      <c r="R1589" s="159"/>
      <c r="S1589" s="160"/>
      <c r="T1589" s="161"/>
      <c r="U1589" s="156"/>
      <c r="V1589" s="162"/>
      <c r="W1589" s="163"/>
      <c r="X1589" s="164"/>
      <c r="Y1589" s="159"/>
      <c r="Z1589" s="161"/>
      <c r="AA1589" s="165"/>
      <c r="AD1589" s="154" t="s">
        <v>6004</v>
      </c>
      <c r="AE1589" s="155"/>
      <c r="AI1589" s="154" t="s">
        <v>5987</v>
      </c>
      <c r="AL1589" s="154" t="s">
        <v>31</v>
      </c>
      <c r="AM1589" s="154" t="s">
        <v>2426</v>
      </c>
      <c r="AP1589" s="155"/>
      <c r="AQ1589" s="156"/>
      <c r="AR1589" s="157"/>
      <c r="AS1589" s="158"/>
      <c r="AT1589" s="159"/>
      <c r="AU1589" s="161"/>
      <c r="AV1589" s="156"/>
      <c r="AW1589" s="162"/>
      <c r="AX1589" s="163"/>
      <c r="AY1589" s="164">
        <v>4</v>
      </c>
      <c r="AZ1589" s="159">
        <v>0</v>
      </c>
      <c r="BA1589" s="161"/>
      <c r="BB1589" s="165"/>
      <c r="BE1589" s="154" t="s">
        <v>6004</v>
      </c>
      <c r="BF1589" s="155"/>
      <c r="BG1589" s="154" t="s">
        <v>6007</v>
      </c>
    </row>
    <row r="1590" spans="1:59" s="154" customFormat="1" ht="15" customHeight="1">
      <c r="A1590" s="153" t="s">
        <v>5693</v>
      </c>
      <c r="B1590" s="23" t="s">
        <v>6008</v>
      </c>
      <c r="C1590" s="154" t="s">
        <v>5695</v>
      </c>
      <c r="D1590" s="155">
        <v>80</v>
      </c>
      <c r="E1590" s="154">
        <v>1</v>
      </c>
      <c r="F1590" s="154" t="s">
        <v>5959</v>
      </c>
      <c r="G1590" s="154" t="s">
        <v>5990</v>
      </c>
      <c r="J1590" s="154" t="s">
        <v>31</v>
      </c>
      <c r="K1590" s="154" t="s">
        <v>2426</v>
      </c>
      <c r="N1590" s="155"/>
      <c r="O1590" s="156"/>
      <c r="P1590" s="157"/>
      <c r="Q1590" s="158"/>
      <c r="R1590" s="159"/>
      <c r="S1590" s="160"/>
      <c r="T1590" s="161"/>
      <c r="U1590" s="156"/>
      <c r="V1590" s="162"/>
      <c r="W1590" s="163"/>
      <c r="X1590" s="164"/>
      <c r="Y1590" s="159"/>
      <c r="Z1590" s="161"/>
      <c r="AA1590" s="165"/>
      <c r="AD1590" s="154" t="s">
        <v>6004</v>
      </c>
      <c r="AE1590" s="155"/>
      <c r="AI1590" s="154" t="s">
        <v>5990</v>
      </c>
      <c r="AL1590" s="154" t="s">
        <v>31</v>
      </c>
      <c r="AM1590" s="154" t="s">
        <v>2426</v>
      </c>
      <c r="AP1590" s="155"/>
      <c r="AQ1590" s="156"/>
      <c r="AR1590" s="157"/>
      <c r="AS1590" s="158"/>
      <c r="AT1590" s="159"/>
      <c r="AU1590" s="161"/>
      <c r="AV1590" s="156"/>
      <c r="AW1590" s="162"/>
      <c r="AX1590" s="163"/>
      <c r="AY1590" s="164">
        <v>2</v>
      </c>
      <c r="AZ1590" s="159" t="s">
        <v>1073</v>
      </c>
      <c r="BA1590" s="161"/>
      <c r="BB1590" s="165"/>
      <c r="BE1590" s="154" t="s">
        <v>6004</v>
      </c>
      <c r="BF1590" s="155"/>
      <c r="BG1590" s="154" t="s">
        <v>6009</v>
      </c>
    </row>
    <row r="1591" spans="1:59" s="154" customFormat="1" ht="15" customHeight="1">
      <c r="A1591" s="153" t="s">
        <v>5693</v>
      </c>
      <c r="B1591" s="23" t="s">
        <v>6010</v>
      </c>
      <c r="C1591" s="154" t="s">
        <v>5695</v>
      </c>
      <c r="D1591" s="155">
        <v>81</v>
      </c>
      <c r="E1591" s="154">
        <v>1</v>
      </c>
      <c r="F1591" s="154" t="s">
        <v>5959</v>
      </c>
      <c r="G1591" s="154" t="s">
        <v>5993</v>
      </c>
      <c r="J1591" s="154" t="s">
        <v>31</v>
      </c>
      <c r="K1591" s="154" t="s">
        <v>2426</v>
      </c>
      <c r="N1591" s="155"/>
      <c r="O1591" s="156"/>
      <c r="P1591" s="157"/>
      <c r="Q1591" s="158"/>
      <c r="R1591" s="159"/>
      <c r="S1591" s="160"/>
      <c r="T1591" s="161"/>
      <c r="U1591" s="156"/>
      <c r="V1591" s="162"/>
      <c r="W1591" s="163"/>
      <c r="X1591" s="164"/>
      <c r="Y1591" s="159"/>
      <c r="Z1591" s="161"/>
      <c r="AA1591" s="165"/>
      <c r="AD1591" s="154" t="s">
        <v>6004</v>
      </c>
      <c r="AE1591" s="155"/>
      <c r="AI1591" s="154" t="s">
        <v>5993</v>
      </c>
      <c r="AL1591" s="154" t="s">
        <v>31</v>
      </c>
      <c r="AM1591" s="154" t="s">
        <v>2426</v>
      </c>
      <c r="AP1591" s="155"/>
      <c r="AQ1591" s="156"/>
      <c r="AR1591" s="157"/>
      <c r="AS1591" s="158"/>
      <c r="AT1591" s="159"/>
      <c r="AU1591" s="161"/>
      <c r="AV1591" s="156"/>
      <c r="AW1591" s="162"/>
      <c r="AX1591" s="163"/>
      <c r="AY1591" s="164">
        <v>3</v>
      </c>
      <c r="AZ1591" s="159" t="s">
        <v>1073</v>
      </c>
      <c r="BA1591" s="161"/>
      <c r="BB1591" s="165">
        <v>1</v>
      </c>
      <c r="BE1591" s="154" t="s">
        <v>6004</v>
      </c>
      <c r="BF1591" s="155"/>
      <c r="BG1591" s="154" t="s">
        <v>6011</v>
      </c>
    </row>
    <row r="1592" spans="1:59" s="154" customFormat="1" ht="15" customHeight="1">
      <c r="A1592" s="153" t="s">
        <v>5693</v>
      </c>
      <c r="B1592" s="23" t="s">
        <v>6012</v>
      </c>
      <c r="C1592" s="154" t="s">
        <v>5695</v>
      </c>
      <c r="D1592" s="155">
        <v>82</v>
      </c>
      <c r="E1592" s="154">
        <v>1</v>
      </c>
      <c r="F1592" s="154" t="s">
        <v>5959</v>
      </c>
      <c r="G1592" s="154" t="s">
        <v>5996</v>
      </c>
      <c r="J1592" s="154" t="s">
        <v>31</v>
      </c>
      <c r="K1592" s="154" t="s">
        <v>2426</v>
      </c>
      <c r="N1592" s="155"/>
      <c r="O1592" s="156"/>
      <c r="P1592" s="157"/>
      <c r="Q1592" s="158"/>
      <c r="R1592" s="159"/>
      <c r="S1592" s="160"/>
      <c r="T1592" s="161"/>
      <c r="U1592" s="156"/>
      <c r="V1592" s="162"/>
      <c r="W1592" s="163"/>
      <c r="X1592" s="164"/>
      <c r="Y1592" s="159"/>
      <c r="Z1592" s="161"/>
      <c r="AA1592" s="165"/>
      <c r="AD1592" s="154" t="s">
        <v>6004</v>
      </c>
      <c r="AE1592" s="155"/>
      <c r="AI1592" s="154" t="s">
        <v>5996</v>
      </c>
      <c r="AL1592" s="154" t="s">
        <v>31</v>
      </c>
      <c r="AM1592" s="154" t="s">
        <v>2426</v>
      </c>
      <c r="AP1592" s="155"/>
      <c r="AQ1592" s="156"/>
      <c r="AR1592" s="157"/>
      <c r="AS1592" s="158"/>
      <c r="AT1592" s="159"/>
      <c r="AU1592" s="161"/>
      <c r="AV1592" s="156"/>
      <c r="AW1592" s="162"/>
      <c r="AX1592" s="163"/>
      <c r="AY1592" s="164">
        <v>3</v>
      </c>
      <c r="AZ1592" s="159" t="s">
        <v>1073</v>
      </c>
      <c r="BA1592" s="161"/>
      <c r="BB1592" s="165">
        <v>1</v>
      </c>
      <c r="BE1592" s="154" t="s">
        <v>6004</v>
      </c>
      <c r="BF1592" s="155"/>
      <c r="BG1592" s="154" t="s">
        <v>6013</v>
      </c>
    </row>
    <row r="1593" spans="1:59" s="154" customFormat="1" ht="15" customHeight="1">
      <c r="A1593" s="153" t="s">
        <v>5693</v>
      </c>
      <c r="B1593" s="23" t="s">
        <v>6014</v>
      </c>
      <c r="C1593" s="154" t="s">
        <v>5695</v>
      </c>
      <c r="D1593" s="155">
        <v>83</v>
      </c>
      <c r="E1593" s="154">
        <v>1</v>
      </c>
      <c r="F1593" s="154" t="s">
        <v>5959</v>
      </c>
      <c r="G1593" s="154" t="s">
        <v>2663</v>
      </c>
      <c r="J1593" s="154" t="s">
        <v>31</v>
      </c>
      <c r="K1593" s="154" t="s">
        <v>2426</v>
      </c>
      <c r="N1593" s="155"/>
      <c r="O1593" s="156"/>
      <c r="P1593" s="157"/>
      <c r="Q1593" s="158"/>
      <c r="R1593" s="159"/>
      <c r="S1593" s="160"/>
      <c r="T1593" s="161"/>
      <c r="U1593" s="156"/>
      <c r="V1593" s="162"/>
      <c r="W1593" s="163"/>
      <c r="X1593" s="164"/>
      <c r="Y1593" s="159"/>
      <c r="Z1593" s="161"/>
      <c r="AA1593" s="165"/>
      <c r="AD1593" s="154" t="s">
        <v>6004</v>
      </c>
      <c r="AE1593" s="155"/>
      <c r="AI1593" s="154" t="s">
        <v>2663</v>
      </c>
      <c r="AL1593" s="154" t="s">
        <v>31</v>
      </c>
      <c r="AM1593" s="154" t="s">
        <v>2426</v>
      </c>
      <c r="AP1593" s="155"/>
      <c r="AQ1593" s="156"/>
      <c r="AR1593" s="157"/>
      <c r="AS1593" s="158"/>
      <c r="AT1593" s="159"/>
      <c r="AU1593" s="161"/>
      <c r="AV1593" s="156"/>
      <c r="AW1593" s="162"/>
      <c r="AX1593" s="163"/>
      <c r="AY1593" s="164">
        <v>1</v>
      </c>
      <c r="AZ1593" s="159" t="s">
        <v>1073</v>
      </c>
      <c r="BA1593" s="161"/>
      <c r="BB1593" s="165"/>
      <c r="BE1593" s="154" t="s">
        <v>6004</v>
      </c>
      <c r="BF1593" s="155"/>
      <c r="BG1593" s="154" t="s">
        <v>6015</v>
      </c>
    </row>
    <row r="1594" spans="1:59" s="154" customFormat="1" ht="15" customHeight="1">
      <c r="A1594" s="153" t="s">
        <v>5693</v>
      </c>
      <c r="B1594" s="23" t="s">
        <v>6016</v>
      </c>
      <c r="C1594" s="154" t="s">
        <v>5695</v>
      </c>
      <c r="D1594" s="155">
        <v>84</v>
      </c>
      <c r="E1594" s="154">
        <v>1</v>
      </c>
      <c r="F1594" s="154" t="s">
        <v>5959</v>
      </c>
      <c r="G1594" s="154" t="s">
        <v>6001</v>
      </c>
      <c r="J1594" s="154" t="s">
        <v>31</v>
      </c>
      <c r="K1594" s="154" t="s">
        <v>2426</v>
      </c>
      <c r="N1594" s="155"/>
      <c r="O1594" s="156"/>
      <c r="P1594" s="157"/>
      <c r="Q1594" s="158"/>
      <c r="R1594" s="159"/>
      <c r="S1594" s="160"/>
      <c r="T1594" s="161"/>
      <c r="U1594" s="156"/>
      <c r="V1594" s="162"/>
      <c r="W1594" s="163"/>
      <c r="X1594" s="164"/>
      <c r="Y1594" s="159"/>
      <c r="Z1594" s="161"/>
      <c r="AA1594" s="165"/>
      <c r="AD1594" s="154" t="s">
        <v>6004</v>
      </c>
      <c r="AE1594" s="155"/>
      <c r="AI1594" s="154" t="s">
        <v>6001</v>
      </c>
      <c r="AL1594" s="154" t="s">
        <v>31</v>
      </c>
      <c r="AM1594" s="154" t="s">
        <v>2426</v>
      </c>
      <c r="AP1594" s="155"/>
      <c r="AQ1594" s="156"/>
      <c r="AR1594" s="157"/>
      <c r="AS1594" s="158"/>
      <c r="AT1594" s="159"/>
      <c r="AU1594" s="161"/>
      <c r="AV1594" s="156"/>
      <c r="AW1594" s="162"/>
      <c r="AX1594" s="163"/>
      <c r="AY1594" s="164">
        <v>4</v>
      </c>
      <c r="AZ1594" s="159" t="s">
        <v>1111</v>
      </c>
      <c r="BA1594" s="161"/>
      <c r="BB1594" s="165">
        <v>2</v>
      </c>
      <c r="BE1594" s="154" t="s">
        <v>6004</v>
      </c>
      <c r="BF1594" s="155"/>
      <c r="BG1594" s="154" t="s">
        <v>6017</v>
      </c>
    </row>
    <row r="1595" spans="1:59" s="154" customFormat="1" ht="15" customHeight="1">
      <c r="A1595" s="153" t="s">
        <v>5693</v>
      </c>
      <c r="B1595" s="23" t="s">
        <v>6018</v>
      </c>
      <c r="C1595" s="154" t="s">
        <v>5695</v>
      </c>
      <c r="D1595" s="155">
        <v>85</v>
      </c>
      <c r="E1595" s="154">
        <v>1</v>
      </c>
      <c r="F1595" s="154" t="s">
        <v>5959</v>
      </c>
      <c r="G1595" s="154" t="s">
        <v>6019</v>
      </c>
      <c r="H1595" s="154" t="s">
        <v>6020</v>
      </c>
      <c r="I1595" s="154" t="s">
        <v>223</v>
      </c>
      <c r="J1595" s="154" t="s">
        <v>29</v>
      </c>
      <c r="K1595" s="154" t="s">
        <v>2426</v>
      </c>
      <c r="N1595" s="155"/>
      <c r="O1595" s="156"/>
      <c r="P1595" s="157"/>
      <c r="Q1595" s="158">
        <v>3</v>
      </c>
      <c r="R1595" s="159">
        <v>3</v>
      </c>
      <c r="S1595" s="160"/>
      <c r="T1595" s="161">
        <v>2</v>
      </c>
      <c r="U1595" s="156"/>
      <c r="V1595" s="162">
        <v>1</v>
      </c>
      <c r="W1595" s="163">
        <v>1</v>
      </c>
      <c r="X1595" s="164"/>
      <c r="Y1595" s="159"/>
      <c r="Z1595" s="161"/>
      <c r="AA1595" s="165">
        <v>2</v>
      </c>
      <c r="AD1595" s="154" t="s">
        <v>6021</v>
      </c>
      <c r="AE1595" s="155"/>
      <c r="AF1595" s="154" t="s">
        <v>6022</v>
      </c>
      <c r="AP1595" s="155"/>
      <c r="AQ1595" s="156"/>
      <c r="AR1595" s="157"/>
      <c r="AS1595" s="158"/>
      <c r="AT1595" s="159"/>
      <c r="AU1595" s="161"/>
      <c r="AV1595" s="156"/>
      <c r="AW1595" s="162"/>
      <c r="AX1595" s="163"/>
      <c r="AY1595" s="164"/>
      <c r="AZ1595" s="159"/>
      <c r="BA1595" s="161"/>
      <c r="BB1595" s="165"/>
      <c r="BF1595" s="155"/>
    </row>
    <row r="1596" spans="1:59" s="154" customFormat="1" ht="15" customHeight="1">
      <c r="A1596" s="153" t="s">
        <v>5693</v>
      </c>
      <c r="B1596" s="23" t="s">
        <v>6023</v>
      </c>
      <c r="C1596" s="154" t="s">
        <v>5695</v>
      </c>
      <c r="D1596" s="155">
        <v>85</v>
      </c>
      <c r="E1596" s="154">
        <v>1</v>
      </c>
      <c r="F1596" s="154" t="s">
        <v>5959</v>
      </c>
      <c r="G1596" s="154" t="s">
        <v>6024</v>
      </c>
      <c r="J1596" s="154" t="s">
        <v>2702</v>
      </c>
      <c r="K1596" s="154" t="s">
        <v>2426</v>
      </c>
      <c r="N1596" s="155"/>
      <c r="O1596" s="156"/>
      <c r="P1596" s="157"/>
      <c r="Q1596" s="158"/>
      <c r="R1596" s="159"/>
      <c r="S1596" s="160"/>
      <c r="T1596" s="161"/>
      <c r="U1596" s="156"/>
      <c r="V1596" s="162"/>
      <c r="W1596" s="163"/>
      <c r="X1596" s="164"/>
      <c r="Y1596" s="159"/>
      <c r="Z1596" s="161"/>
      <c r="AA1596" s="165"/>
      <c r="AE1596" s="155"/>
      <c r="AF1596" s="154" t="s">
        <v>6025</v>
      </c>
      <c r="AP1596" s="155"/>
      <c r="AQ1596" s="156"/>
      <c r="AR1596" s="157"/>
      <c r="AS1596" s="158"/>
      <c r="AT1596" s="159"/>
      <c r="AU1596" s="161"/>
      <c r="AV1596" s="156"/>
      <c r="AW1596" s="162"/>
      <c r="AX1596" s="163"/>
      <c r="AY1596" s="164"/>
      <c r="AZ1596" s="159"/>
      <c r="BA1596" s="161"/>
      <c r="BB1596" s="165"/>
      <c r="BF1596" s="155"/>
    </row>
    <row r="1597" spans="1:59" s="154" customFormat="1" ht="15" customHeight="1">
      <c r="A1597" s="153" t="s">
        <v>5693</v>
      </c>
      <c r="B1597" s="30" t="s">
        <v>6026</v>
      </c>
      <c r="C1597" s="154" t="s">
        <v>5695</v>
      </c>
      <c r="D1597" s="155">
        <v>86</v>
      </c>
      <c r="E1597" s="154">
        <v>1</v>
      </c>
      <c r="F1597" s="154" t="s">
        <v>6107</v>
      </c>
      <c r="G1597" s="154" t="s">
        <v>6027</v>
      </c>
      <c r="H1597" s="154" t="s">
        <v>6028</v>
      </c>
      <c r="I1597" s="154" t="s">
        <v>223</v>
      </c>
      <c r="J1597" s="154" t="s">
        <v>29</v>
      </c>
      <c r="K1597" s="154" t="s">
        <v>2426</v>
      </c>
      <c r="N1597" s="155"/>
      <c r="O1597" s="156"/>
      <c r="P1597" s="157"/>
      <c r="Q1597" s="158">
        <v>3</v>
      </c>
      <c r="R1597" s="159">
        <v>3</v>
      </c>
      <c r="S1597" s="160"/>
      <c r="T1597" s="161">
        <v>5</v>
      </c>
      <c r="U1597" s="156"/>
      <c r="V1597" s="162">
        <v>1</v>
      </c>
      <c r="W1597" s="163">
        <v>1</v>
      </c>
      <c r="X1597" s="164"/>
      <c r="Y1597" s="159"/>
      <c r="Z1597" s="161"/>
      <c r="AA1597" s="165"/>
      <c r="AD1597" s="154" t="s">
        <v>6029</v>
      </c>
      <c r="AE1597" s="155"/>
      <c r="AF1597" s="154" t="s">
        <v>6030</v>
      </c>
      <c r="AP1597" s="155"/>
      <c r="AQ1597" s="156"/>
      <c r="AR1597" s="157"/>
      <c r="AS1597" s="158"/>
      <c r="AT1597" s="159"/>
      <c r="AU1597" s="161"/>
      <c r="AV1597" s="156"/>
      <c r="AW1597" s="162"/>
      <c r="AX1597" s="163"/>
      <c r="AY1597" s="164"/>
      <c r="AZ1597" s="159"/>
      <c r="BA1597" s="161"/>
      <c r="BB1597" s="165"/>
      <c r="BF1597" s="155"/>
    </row>
    <row r="1598" spans="1:59" s="154" customFormat="1" ht="15" customHeight="1">
      <c r="A1598" s="153" t="s">
        <v>5693</v>
      </c>
      <c r="B1598" s="23" t="s">
        <v>6031</v>
      </c>
      <c r="C1598" s="154" t="s">
        <v>5695</v>
      </c>
      <c r="D1598" s="155">
        <v>87</v>
      </c>
      <c r="E1598" s="154">
        <v>2</v>
      </c>
      <c r="F1598" s="154" t="s">
        <v>6107</v>
      </c>
      <c r="G1598" s="154" t="s">
        <v>6032</v>
      </c>
      <c r="J1598" s="154" t="s">
        <v>28</v>
      </c>
      <c r="K1598" s="154" t="s">
        <v>2426</v>
      </c>
      <c r="N1598" s="155"/>
      <c r="O1598" s="156"/>
      <c r="P1598" s="157"/>
      <c r="Q1598" s="158"/>
      <c r="R1598" s="159"/>
      <c r="S1598" s="160"/>
      <c r="T1598" s="161"/>
      <c r="U1598" s="156"/>
      <c r="V1598" s="162"/>
      <c r="W1598" s="163"/>
      <c r="X1598" s="164"/>
      <c r="Y1598" s="159"/>
      <c r="Z1598" s="161"/>
      <c r="AA1598" s="165"/>
      <c r="AD1598" s="154" t="s">
        <v>6033</v>
      </c>
      <c r="AE1598" s="155"/>
      <c r="AF1598" s="154" t="s">
        <v>6034</v>
      </c>
      <c r="AP1598" s="155"/>
      <c r="AQ1598" s="156"/>
      <c r="AR1598" s="157"/>
      <c r="AS1598" s="158"/>
      <c r="AT1598" s="159"/>
      <c r="AU1598" s="161"/>
      <c r="AV1598" s="156"/>
      <c r="AW1598" s="162"/>
      <c r="AX1598" s="163"/>
      <c r="AY1598" s="164"/>
      <c r="AZ1598" s="159"/>
      <c r="BA1598" s="161"/>
      <c r="BB1598" s="165"/>
      <c r="BF1598" s="155"/>
    </row>
    <row r="1599" spans="1:59" s="154" customFormat="1" ht="15" customHeight="1">
      <c r="A1599" s="153" t="s">
        <v>5693</v>
      </c>
      <c r="B1599" s="23" t="s">
        <v>6035</v>
      </c>
      <c r="C1599" s="154" t="s">
        <v>5695</v>
      </c>
      <c r="D1599" s="155">
        <v>88</v>
      </c>
      <c r="E1599" s="154">
        <v>1</v>
      </c>
      <c r="F1599" s="154" t="s">
        <v>6108</v>
      </c>
      <c r="G1599" s="154" t="s">
        <v>6036</v>
      </c>
      <c r="J1599" s="154" t="s">
        <v>29</v>
      </c>
      <c r="K1599" s="154" t="s">
        <v>2426</v>
      </c>
      <c r="N1599" s="155"/>
      <c r="O1599" s="156"/>
      <c r="P1599" s="157"/>
      <c r="Q1599" s="158">
        <v>5</v>
      </c>
      <c r="R1599" s="159">
        <v>2</v>
      </c>
      <c r="S1599" s="160"/>
      <c r="T1599" s="161">
        <v>7</v>
      </c>
      <c r="U1599" s="156"/>
      <c r="V1599" s="162"/>
      <c r="W1599" s="163">
        <v>2</v>
      </c>
      <c r="X1599" s="164"/>
      <c r="Y1599" s="159"/>
      <c r="Z1599" s="161"/>
      <c r="AA1599" s="165">
        <v>2</v>
      </c>
      <c r="AD1599" s="154" t="s">
        <v>1794</v>
      </c>
      <c r="AE1599" s="155"/>
      <c r="AF1599" s="154" t="s">
        <v>6037</v>
      </c>
      <c r="AP1599" s="155"/>
      <c r="AQ1599" s="156"/>
      <c r="AR1599" s="157"/>
      <c r="AS1599" s="158"/>
      <c r="AT1599" s="159"/>
      <c r="AU1599" s="161"/>
      <c r="AV1599" s="156"/>
      <c r="AW1599" s="162"/>
      <c r="AX1599" s="163"/>
      <c r="AY1599" s="164"/>
      <c r="AZ1599" s="159"/>
      <c r="BA1599" s="161"/>
      <c r="BB1599" s="165"/>
      <c r="BF1599" s="155"/>
    </row>
    <row r="1600" spans="1:59" ht="15" customHeight="1">
      <c r="A1600" s="153" t="s">
        <v>5693</v>
      </c>
      <c r="B1600" s="23" t="s">
        <v>6038</v>
      </c>
      <c r="C1600" s="154" t="s">
        <v>5695</v>
      </c>
      <c r="D1600" s="24">
        <v>89</v>
      </c>
      <c r="E1600" s="23">
        <v>3</v>
      </c>
      <c r="F1600" s="154" t="s">
        <v>6108</v>
      </c>
      <c r="G1600" s="28" t="s">
        <v>6039</v>
      </c>
      <c r="J1600" s="23" t="s">
        <v>28</v>
      </c>
      <c r="K1600" s="28" t="s">
        <v>2426</v>
      </c>
      <c r="N1600" s="147"/>
      <c r="O1600" s="118"/>
      <c r="P1600" s="119"/>
      <c r="Q1600" s="120"/>
      <c r="R1600" s="29"/>
      <c r="S1600" s="135"/>
      <c r="T1600" s="122"/>
      <c r="U1600" s="118"/>
      <c r="V1600" s="123"/>
      <c r="W1600" s="124"/>
      <c r="X1600" s="125"/>
      <c r="Y1600" s="29"/>
      <c r="Z1600" s="122"/>
      <c r="AA1600" s="126"/>
      <c r="AB1600" s="148"/>
      <c r="AD1600" s="23" t="s">
        <v>4913</v>
      </c>
      <c r="AF1600" s="23" t="s">
        <v>6040</v>
      </c>
      <c r="AI1600" s="28"/>
      <c r="AM1600" s="28"/>
      <c r="AP1600" s="24"/>
      <c r="AQ1600" s="118"/>
      <c r="AR1600" s="119"/>
      <c r="AS1600" s="120"/>
      <c r="AT1600" s="29"/>
      <c r="AU1600" s="122"/>
      <c r="AV1600" s="118"/>
      <c r="AW1600" s="123"/>
      <c r="AX1600" s="124"/>
      <c r="AY1600" s="125"/>
      <c r="AZ1600" s="29"/>
      <c r="BA1600" s="122"/>
      <c r="BB1600" s="126"/>
    </row>
    <row r="1601" spans="1:58" ht="15" customHeight="1">
      <c r="A1601" s="153" t="s">
        <v>5693</v>
      </c>
      <c r="B1601" s="30" t="s">
        <v>6041</v>
      </c>
      <c r="C1601" s="154" t="s">
        <v>5695</v>
      </c>
      <c r="D1601" s="24">
        <v>90</v>
      </c>
      <c r="E1601" s="23">
        <v>3</v>
      </c>
      <c r="F1601" s="154" t="s">
        <v>6109</v>
      </c>
      <c r="G1601" s="23" t="s">
        <v>6042</v>
      </c>
      <c r="J1601" s="23" t="s">
        <v>29</v>
      </c>
      <c r="K1601" s="23" t="s">
        <v>2426</v>
      </c>
      <c r="N1601" s="147"/>
      <c r="O1601" s="118"/>
      <c r="P1601" s="119"/>
      <c r="Q1601" s="120">
        <v>2</v>
      </c>
      <c r="R1601" s="29">
        <v>2</v>
      </c>
      <c r="S1601" s="135"/>
      <c r="T1601" s="122">
        <v>2</v>
      </c>
      <c r="U1601" s="118"/>
      <c r="V1601" s="123"/>
      <c r="W1601" s="124">
        <v>1</v>
      </c>
      <c r="X1601" s="125"/>
      <c r="Y1601" s="29"/>
      <c r="Z1601" s="122"/>
      <c r="AA1601" s="126"/>
      <c r="AB1601" s="148"/>
      <c r="AD1601" s="23" t="s">
        <v>6043</v>
      </c>
      <c r="AF1601" s="23" t="s">
        <v>6044</v>
      </c>
      <c r="AP1601" s="24"/>
      <c r="AQ1601" s="118"/>
      <c r="AR1601" s="119"/>
      <c r="AS1601" s="120"/>
      <c r="AT1601" s="29"/>
      <c r="AU1601" s="122"/>
      <c r="AV1601" s="118"/>
      <c r="AW1601" s="123"/>
      <c r="AX1601" s="124"/>
      <c r="AY1601" s="125"/>
      <c r="AZ1601" s="29"/>
      <c r="BA1601" s="122"/>
      <c r="BB1601" s="126"/>
    </row>
    <row r="1602" spans="1:58" ht="15" customHeight="1">
      <c r="A1602" s="153" t="s">
        <v>5693</v>
      </c>
      <c r="B1602" s="23" t="s">
        <v>6045</v>
      </c>
      <c r="C1602" s="154" t="s">
        <v>5695</v>
      </c>
      <c r="D1602" s="24">
        <v>91</v>
      </c>
      <c r="E1602" s="23">
        <v>1</v>
      </c>
      <c r="F1602" s="154" t="s">
        <v>6109</v>
      </c>
      <c r="G1602" s="23" t="s">
        <v>6046</v>
      </c>
      <c r="J1602" s="23" t="s">
        <v>29</v>
      </c>
      <c r="K1602" s="23" t="s">
        <v>2426</v>
      </c>
      <c r="N1602" s="147"/>
      <c r="O1602" s="118"/>
      <c r="P1602" s="119"/>
      <c r="Q1602" s="120">
        <v>2</v>
      </c>
      <c r="R1602" s="29">
        <v>2</v>
      </c>
      <c r="S1602" s="135"/>
      <c r="T1602" s="122">
        <v>3</v>
      </c>
      <c r="U1602" s="118"/>
      <c r="V1602" s="123">
        <v>2</v>
      </c>
      <c r="W1602" s="124"/>
      <c r="X1602" s="125"/>
      <c r="Y1602" s="29"/>
      <c r="Z1602" s="122"/>
      <c r="AA1602" s="126"/>
      <c r="AB1602" s="148"/>
      <c r="AD1602" s="23" t="s">
        <v>6043</v>
      </c>
      <c r="AF1602" s="23" t="s">
        <v>6047</v>
      </c>
      <c r="AP1602" s="24"/>
      <c r="AQ1602" s="118"/>
      <c r="AR1602" s="119"/>
      <c r="AS1602" s="120"/>
      <c r="AT1602" s="29"/>
      <c r="AU1602" s="122"/>
      <c r="AV1602" s="118"/>
      <c r="AW1602" s="123"/>
      <c r="AX1602" s="124"/>
      <c r="AY1602" s="125"/>
      <c r="AZ1602" s="29"/>
      <c r="BA1602" s="122"/>
      <c r="BB1602" s="126"/>
    </row>
    <row r="1603" spans="1:58" ht="15" customHeight="1">
      <c r="A1603" s="153" t="s">
        <v>5693</v>
      </c>
      <c r="B1603" s="23" t="s">
        <v>6048</v>
      </c>
      <c r="C1603" s="154" t="s">
        <v>5695</v>
      </c>
      <c r="D1603" s="24">
        <v>92</v>
      </c>
      <c r="E1603" s="23">
        <v>3</v>
      </c>
      <c r="F1603" s="154" t="s">
        <v>6110</v>
      </c>
      <c r="G1603" s="23" t="s">
        <v>6049</v>
      </c>
      <c r="J1603" s="23" t="s">
        <v>28</v>
      </c>
      <c r="K1603" s="23" t="s">
        <v>2426</v>
      </c>
      <c r="N1603" s="147"/>
      <c r="O1603" s="118"/>
      <c r="P1603" s="119"/>
      <c r="Q1603" s="120"/>
      <c r="R1603" s="29"/>
      <c r="S1603" s="135"/>
      <c r="T1603" s="122"/>
      <c r="U1603" s="118"/>
      <c r="V1603" s="123"/>
      <c r="W1603" s="124"/>
      <c r="X1603" s="125"/>
      <c r="Y1603" s="29"/>
      <c r="Z1603" s="122"/>
      <c r="AA1603" s="126"/>
      <c r="AB1603" s="148"/>
      <c r="AD1603" s="23" t="s">
        <v>439</v>
      </c>
      <c r="AF1603" s="23" t="s">
        <v>6050</v>
      </c>
      <c r="AP1603" s="24"/>
      <c r="AQ1603" s="118"/>
      <c r="AR1603" s="119"/>
      <c r="AS1603" s="120"/>
      <c r="AT1603" s="29"/>
      <c r="AU1603" s="122"/>
      <c r="AV1603" s="118"/>
      <c r="AW1603" s="123"/>
      <c r="AX1603" s="124"/>
      <c r="AY1603" s="125"/>
      <c r="AZ1603" s="29"/>
      <c r="BA1603" s="122"/>
      <c r="BB1603" s="126"/>
    </row>
    <row r="1604" spans="1:58" ht="15" customHeight="1">
      <c r="A1604" s="153" t="s">
        <v>5693</v>
      </c>
      <c r="B1604" s="23" t="s">
        <v>6051</v>
      </c>
      <c r="C1604" s="154" t="s">
        <v>5695</v>
      </c>
      <c r="D1604" s="24">
        <v>93</v>
      </c>
      <c r="E1604" s="23">
        <v>2</v>
      </c>
      <c r="F1604" s="154" t="s">
        <v>6110</v>
      </c>
      <c r="G1604" s="23" t="s">
        <v>6052</v>
      </c>
      <c r="J1604" s="23" t="s">
        <v>28</v>
      </c>
      <c r="K1604" s="23" t="s">
        <v>2426</v>
      </c>
      <c r="N1604" s="147"/>
      <c r="O1604" s="118"/>
      <c r="P1604" s="119"/>
      <c r="Q1604" s="120"/>
      <c r="R1604" s="29"/>
      <c r="S1604" s="135"/>
      <c r="T1604" s="122"/>
      <c r="U1604" s="118"/>
      <c r="V1604" s="123"/>
      <c r="W1604" s="124"/>
      <c r="X1604" s="125"/>
      <c r="Y1604" s="29"/>
      <c r="Z1604" s="122"/>
      <c r="AA1604" s="126"/>
      <c r="AB1604" s="148"/>
      <c r="AD1604" s="23" t="s">
        <v>486</v>
      </c>
      <c r="AF1604" s="23" t="s">
        <v>6053</v>
      </c>
      <c r="AP1604" s="24"/>
      <c r="AQ1604" s="118"/>
      <c r="AR1604" s="119"/>
      <c r="AS1604" s="120"/>
      <c r="AT1604" s="29"/>
      <c r="AU1604" s="122"/>
      <c r="AV1604" s="118"/>
      <c r="AW1604" s="123"/>
      <c r="AX1604" s="124"/>
      <c r="AY1604" s="125"/>
      <c r="AZ1604" s="29"/>
      <c r="BA1604" s="122"/>
      <c r="BB1604" s="126"/>
    </row>
    <row r="1605" spans="1:58" s="154" customFormat="1" ht="15" customHeight="1">
      <c r="A1605" s="153" t="s">
        <v>5693</v>
      </c>
      <c r="B1605" s="23" t="s">
        <v>6054</v>
      </c>
      <c r="C1605" s="154" t="s">
        <v>5695</v>
      </c>
      <c r="D1605" s="155">
        <v>94</v>
      </c>
      <c r="E1605" s="154">
        <v>2</v>
      </c>
      <c r="F1605" s="154" t="s">
        <v>6110</v>
      </c>
      <c r="G1605" s="171" t="s">
        <v>6055</v>
      </c>
      <c r="J1605" s="154" t="s">
        <v>28</v>
      </c>
      <c r="K1605" s="171" t="s">
        <v>2426</v>
      </c>
      <c r="N1605" s="155"/>
      <c r="O1605" s="156"/>
      <c r="P1605" s="157"/>
      <c r="Q1605" s="158"/>
      <c r="R1605" s="159"/>
      <c r="S1605" s="160"/>
      <c r="T1605" s="161"/>
      <c r="U1605" s="156"/>
      <c r="V1605" s="162"/>
      <c r="W1605" s="163"/>
      <c r="X1605" s="164"/>
      <c r="Y1605" s="159"/>
      <c r="Z1605" s="161"/>
      <c r="AA1605" s="165"/>
      <c r="AD1605" s="154" t="s">
        <v>486</v>
      </c>
      <c r="AE1605" s="155"/>
      <c r="AF1605" s="154" t="s">
        <v>6056</v>
      </c>
      <c r="AI1605" s="171"/>
      <c r="AM1605" s="171"/>
      <c r="AP1605" s="155"/>
      <c r="AQ1605" s="156"/>
      <c r="AR1605" s="157"/>
      <c r="AS1605" s="158"/>
      <c r="AT1605" s="159"/>
      <c r="AU1605" s="161"/>
      <c r="AV1605" s="156"/>
      <c r="AW1605" s="162"/>
      <c r="AX1605" s="163"/>
      <c r="AY1605" s="164"/>
      <c r="AZ1605" s="159"/>
      <c r="BA1605" s="161"/>
      <c r="BB1605" s="165"/>
      <c r="BF1605" s="155"/>
    </row>
    <row r="1606" spans="1:58" s="154" customFormat="1" ht="15" customHeight="1">
      <c r="A1606" s="153" t="s">
        <v>5693</v>
      </c>
      <c r="B1606" s="23" t="s">
        <v>6057</v>
      </c>
      <c r="C1606" s="154" t="s">
        <v>5695</v>
      </c>
      <c r="D1606" s="155">
        <v>95</v>
      </c>
      <c r="E1606" s="154">
        <v>3</v>
      </c>
      <c r="F1606" s="154" t="s">
        <v>6111</v>
      </c>
      <c r="G1606" s="154" t="s">
        <v>6058</v>
      </c>
      <c r="J1606" s="154" t="s">
        <v>29</v>
      </c>
      <c r="K1606" s="154" t="s">
        <v>2426</v>
      </c>
      <c r="N1606" s="155"/>
      <c r="O1606" s="156"/>
      <c r="P1606" s="157"/>
      <c r="Q1606" s="158">
        <v>3</v>
      </c>
      <c r="R1606" s="159">
        <v>2</v>
      </c>
      <c r="S1606" s="160"/>
      <c r="T1606" s="161">
        <v>1</v>
      </c>
      <c r="U1606" s="156"/>
      <c r="V1606" s="162"/>
      <c r="W1606" s="163">
        <v>1</v>
      </c>
      <c r="X1606" s="164"/>
      <c r="Y1606" s="159"/>
      <c r="Z1606" s="161"/>
      <c r="AA1606" s="165"/>
      <c r="AD1606" s="154" t="s">
        <v>704</v>
      </c>
      <c r="AE1606" s="155"/>
      <c r="AF1606" s="154" t="s">
        <v>6059</v>
      </c>
      <c r="AP1606" s="155"/>
      <c r="AQ1606" s="156"/>
      <c r="AR1606" s="157"/>
      <c r="AS1606" s="158"/>
      <c r="AT1606" s="159"/>
      <c r="AU1606" s="161"/>
      <c r="AV1606" s="156"/>
      <c r="AW1606" s="162"/>
      <c r="AX1606" s="163"/>
      <c r="AY1606" s="164"/>
      <c r="AZ1606" s="159"/>
      <c r="BA1606" s="161"/>
      <c r="BB1606" s="165"/>
      <c r="BF1606" s="155"/>
    </row>
    <row r="1607" spans="1:58" s="154" customFormat="1" ht="15" customHeight="1">
      <c r="A1607" s="153" t="s">
        <v>5693</v>
      </c>
      <c r="B1607" s="23" t="s">
        <v>6060</v>
      </c>
      <c r="C1607" s="154" t="s">
        <v>5695</v>
      </c>
      <c r="D1607" s="155">
        <v>96</v>
      </c>
      <c r="E1607" s="154">
        <v>1</v>
      </c>
      <c r="F1607" s="154" t="s">
        <v>6111</v>
      </c>
      <c r="G1607" s="154" t="s">
        <v>6061</v>
      </c>
      <c r="J1607" s="154" t="s">
        <v>29</v>
      </c>
      <c r="K1607" s="154" t="s">
        <v>2426</v>
      </c>
      <c r="N1607" s="155"/>
      <c r="O1607" s="156"/>
      <c r="P1607" s="157"/>
      <c r="Q1607" s="158">
        <v>4</v>
      </c>
      <c r="R1607" s="159">
        <v>3</v>
      </c>
      <c r="S1607" s="160"/>
      <c r="T1607" s="161">
        <v>2</v>
      </c>
      <c r="U1607" s="156"/>
      <c r="V1607" s="162">
        <v>1</v>
      </c>
      <c r="W1607" s="163">
        <v>1</v>
      </c>
      <c r="X1607" s="164"/>
      <c r="Y1607" s="159"/>
      <c r="Z1607" s="161"/>
      <c r="AA1607" s="165"/>
      <c r="AD1607" s="154" t="s">
        <v>704</v>
      </c>
      <c r="AE1607" s="155"/>
      <c r="AF1607" s="154" t="s">
        <v>6062</v>
      </c>
      <c r="AP1607" s="155"/>
      <c r="AQ1607" s="156"/>
      <c r="AR1607" s="157"/>
      <c r="AS1607" s="158"/>
      <c r="AT1607" s="159"/>
      <c r="AU1607" s="161"/>
      <c r="AV1607" s="156"/>
      <c r="AW1607" s="162"/>
      <c r="AX1607" s="163"/>
      <c r="AY1607" s="164"/>
      <c r="AZ1607" s="159"/>
      <c r="BA1607" s="161"/>
      <c r="BB1607" s="165"/>
      <c r="BF1607" s="155"/>
    </row>
    <row r="1608" spans="1:58" s="154" customFormat="1" ht="15" customHeight="1">
      <c r="A1608" s="153" t="s">
        <v>5693</v>
      </c>
      <c r="B1608" s="23" t="s">
        <v>6063</v>
      </c>
      <c r="C1608" s="154" t="s">
        <v>5695</v>
      </c>
      <c r="D1608" s="155">
        <v>97</v>
      </c>
      <c r="E1608" s="154">
        <v>2</v>
      </c>
      <c r="F1608" s="154" t="s">
        <v>6111</v>
      </c>
      <c r="G1608" s="154" t="s">
        <v>6064</v>
      </c>
      <c r="J1608" s="154" t="s">
        <v>28</v>
      </c>
      <c r="K1608" s="154" t="s">
        <v>2426</v>
      </c>
      <c r="N1608" s="155"/>
      <c r="O1608" s="156"/>
      <c r="P1608" s="157"/>
      <c r="Q1608" s="158"/>
      <c r="R1608" s="159"/>
      <c r="S1608" s="160"/>
      <c r="T1608" s="161"/>
      <c r="U1608" s="156"/>
      <c r="V1608" s="162"/>
      <c r="W1608" s="163"/>
      <c r="X1608" s="164"/>
      <c r="Y1608" s="159"/>
      <c r="Z1608" s="161"/>
      <c r="AA1608" s="165"/>
      <c r="AD1608" s="154" t="s">
        <v>1196</v>
      </c>
      <c r="AE1608" s="155"/>
      <c r="AF1608" s="154" t="s">
        <v>6065</v>
      </c>
      <c r="AP1608" s="155"/>
      <c r="AQ1608" s="156"/>
      <c r="AR1608" s="157"/>
      <c r="AS1608" s="158"/>
      <c r="AT1608" s="159"/>
      <c r="AU1608" s="161"/>
      <c r="AV1608" s="156"/>
      <c r="AW1608" s="162"/>
      <c r="AX1608" s="163"/>
      <c r="AY1608" s="164"/>
      <c r="AZ1608" s="159"/>
      <c r="BA1608" s="161"/>
      <c r="BB1608" s="165"/>
      <c r="BF1608" s="155"/>
    </row>
    <row r="1609" spans="1:58" s="154" customFormat="1" ht="15" customHeight="1">
      <c r="A1609" s="153" t="s">
        <v>5693</v>
      </c>
      <c r="B1609" s="23" t="s">
        <v>6066</v>
      </c>
      <c r="C1609" s="154" t="s">
        <v>5695</v>
      </c>
      <c r="D1609" s="155">
        <v>98</v>
      </c>
      <c r="E1609" s="154">
        <v>2</v>
      </c>
      <c r="F1609" s="154" t="s">
        <v>6112</v>
      </c>
      <c r="G1609" s="154" t="s">
        <v>6067</v>
      </c>
      <c r="J1609" s="154" t="s">
        <v>28</v>
      </c>
      <c r="K1609" s="154" t="s">
        <v>2426</v>
      </c>
      <c r="N1609" s="155"/>
      <c r="O1609" s="156"/>
      <c r="P1609" s="157"/>
      <c r="Q1609" s="158"/>
      <c r="R1609" s="159"/>
      <c r="S1609" s="160"/>
      <c r="T1609" s="161"/>
      <c r="U1609" s="156"/>
      <c r="V1609" s="162"/>
      <c r="W1609" s="163"/>
      <c r="X1609" s="164"/>
      <c r="Y1609" s="159"/>
      <c r="Z1609" s="161"/>
      <c r="AA1609" s="165"/>
      <c r="AD1609" s="154" t="s">
        <v>439</v>
      </c>
      <c r="AE1609" s="155"/>
      <c r="AF1609" s="154" t="s">
        <v>6068</v>
      </c>
      <c r="AP1609" s="155"/>
      <c r="AQ1609" s="156"/>
      <c r="AR1609" s="157"/>
      <c r="AS1609" s="158"/>
      <c r="AT1609" s="159"/>
      <c r="AU1609" s="161"/>
      <c r="AV1609" s="156"/>
      <c r="AW1609" s="162"/>
      <c r="AX1609" s="163"/>
      <c r="AY1609" s="164"/>
      <c r="AZ1609" s="159"/>
      <c r="BA1609" s="161"/>
      <c r="BB1609" s="165"/>
      <c r="BF1609" s="155"/>
    </row>
    <row r="1610" spans="1:58" s="154" customFormat="1" ht="15" customHeight="1">
      <c r="A1610" s="153" t="s">
        <v>5693</v>
      </c>
      <c r="B1610" s="23" t="s">
        <v>6069</v>
      </c>
      <c r="C1610" s="154" t="s">
        <v>5695</v>
      </c>
      <c r="D1610" s="155">
        <v>99</v>
      </c>
      <c r="E1610" s="154">
        <v>3</v>
      </c>
      <c r="F1610" s="154" t="s">
        <v>6112</v>
      </c>
      <c r="G1610" s="154" t="s">
        <v>6070</v>
      </c>
      <c r="J1610" s="154" t="s">
        <v>28</v>
      </c>
      <c r="K1610" s="171" t="s">
        <v>2426</v>
      </c>
      <c r="N1610" s="155"/>
      <c r="O1610" s="156"/>
      <c r="P1610" s="157"/>
      <c r="Q1610" s="158"/>
      <c r="R1610" s="159"/>
      <c r="S1610" s="160"/>
      <c r="T1610" s="161"/>
      <c r="U1610" s="156"/>
      <c r="V1610" s="162"/>
      <c r="W1610" s="163"/>
      <c r="X1610" s="164"/>
      <c r="Y1610" s="159"/>
      <c r="Z1610" s="161"/>
      <c r="AA1610" s="165"/>
      <c r="AD1610" s="154" t="s">
        <v>439</v>
      </c>
      <c r="AE1610" s="155"/>
      <c r="AF1610" s="154" t="s">
        <v>6071</v>
      </c>
      <c r="AP1610" s="155"/>
      <c r="AQ1610" s="156"/>
      <c r="AR1610" s="157"/>
      <c r="AS1610" s="158"/>
      <c r="AT1610" s="159"/>
      <c r="AU1610" s="161"/>
      <c r="AV1610" s="156"/>
      <c r="AW1610" s="162"/>
      <c r="AX1610" s="163"/>
      <c r="AY1610" s="164"/>
      <c r="AZ1610" s="159"/>
      <c r="BA1610" s="161"/>
      <c r="BB1610" s="165"/>
      <c r="BF1610" s="155"/>
    </row>
    <row r="1611" spans="1:58" s="154" customFormat="1" ht="15" customHeight="1">
      <c r="A1611" s="153" t="s">
        <v>5693</v>
      </c>
      <c r="B1611" s="23" t="s">
        <v>6072</v>
      </c>
      <c r="C1611" s="154" t="s">
        <v>5695</v>
      </c>
      <c r="D1611" s="155">
        <v>100</v>
      </c>
      <c r="E1611" s="154">
        <v>1</v>
      </c>
      <c r="F1611" s="154" t="s">
        <v>6113</v>
      </c>
      <c r="G1611" s="154" t="s">
        <v>6073</v>
      </c>
      <c r="J1611" s="154" t="s">
        <v>29</v>
      </c>
      <c r="K1611" s="171" t="s">
        <v>2426</v>
      </c>
      <c r="N1611" s="155"/>
      <c r="O1611" s="156"/>
      <c r="P1611" s="157"/>
      <c r="Q1611" s="158">
        <v>3</v>
      </c>
      <c r="R1611" s="159">
        <v>3</v>
      </c>
      <c r="S1611" s="160"/>
      <c r="T1611" s="161">
        <v>4</v>
      </c>
      <c r="U1611" s="156"/>
      <c r="V1611" s="162">
        <v>1</v>
      </c>
      <c r="W1611" s="163">
        <v>1</v>
      </c>
      <c r="X1611" s="164"/>
      <c r="Y1611" s="159"/>
      <c r="Z1611" s="161"/>
      <c r="AA1611" s="165">
        <v>1</v>
      </c>
      <c r="AD1611" s="154" t="s">
        <v>6074</v>
      </c>
      <c r="AE1611" s="155"/>
      <c r="AF1611" s="154" t="s">
        <v>6075</v>
      </c>
      <c r="AP1611" s="155"/>
      <c r="AQ1611" s="156"/>
      <c r="AR1611" s="157"/>
      <c r="AS1611" s="158"/>
      <c r="AT1611" s="159"/>
      <c r="AU1611" s="161"/>
      <c r="AV1611" s="156"/>
      <c r="AW1611" s="162"/>
      <c r="AX1611" s="163"/>
      <c r="AY1611" s="164"/>
      <c r="AZ1611" s="159"/>
      <c r="BA1611" s="161"/>
      <c r="BB1611" s="165"/>
      <c r="BF1611" s="155"/>
    </row>
    <row r="1612" spans="1:58" s="154" customFormat="1" ht="15" customHeight="1">
      <c r="A1612" s="153" t="s">
        <v>5693</v>
      </c>
      <c r="B1612" s="23" t="s">
        <v>6076</v>
      </c>
      <c r="C1612" s="154" t="s">
        <v>5695</v>
      </c>
      <c r="D1612" s="155">
        <v>101</v>
      </c>
      <c r="E1612" s="154">
        <v>2</v>
      </c>
      <c r="F1612" s="154" t="s">
        <v>6113</v>
      </c>
      <c r="G1612" s="154" t="s">
        <v>6077</v>
      </c>
      <c r="J1612" s="154" t="s">
        <v>29</v>
      </c>
      <c r="K1612" s="154" t="s">
        <v>2426</v>
      </c>
      <c r="N1612" s="155"/>
      <c r="O1612" s="156"/>
      <c r="P1612" s="157"/>
      <c r="Q1612" s="158">
        <v>2</v>
      </c>
      <c r="R1612" s="159">
        <v>1</v>
      </c>
      <c r="S1612" s="160"/>
      <c r="T1612" s="161">
        <v>3</v>
      </c>
      <c r="U1612" s="156"/>
      <c r="V1612" s="162">
        <v>1</v>
      </c>
      <c r="W1612" s="163"/>
      <c r="X1612" s="164"/>
      <c r="Y1612" s="159"/>
      <c r="Z1612" s="161"/>
      <c r="AA1612" s="165"/>
      <c r="AD1612" s="154" t="s">
        <v>6074</v>
      </c>
      <c r="AE1612" s="155"/>
      <c r="AF1612" s="154" t="s">
        <v>6078</v>
      </c>
      <c r="AP1612" s="155"/>
      <c r="AQ1612" s="156"/>
      <c r="AR1612" s="157"/>
      <c r="AS1612" s="158"/>
      <c r="AT1612" s="159"/>
      <c r="AU1612" s="161"/>
      <c r="AV1612" s="156"/>
      <c r="AW1612" s="162"/>
      <c r="AX1612" s="163"/>
      <c r="AY1612" s="164"/>
      <c r="AZ1612" s="159"/>
      <c r="BA1612" s="161"/>
      <c r="BB1612" s="165"/>
      <c r="BF1612" s="155"/>
    </row>
    <row r="1613" spans="1:58" s="154" customFormat="1" ht="15" customHeight="1">
      <c r="A1613" s="153" t="s">
        <v>5693</v>
      </c>
      <c r="B1613" s="23" t="s">
        <v>6079</v>
      </c>
      <c r="C1613" s="154" t="s">
        <v>5695</v>
      </c>
      <c r="D1613" s="155">
        <v>102</v>
      </c>
      <c r="E1613" s="154">
        <v>2</v>
      </c>
      <c r="F1613" s="154" t="s">
        <v>6113</v>
      </c>
      <c r="G1613" s="154" t="s">
        <v>6080</v>
      </c>
      <c r="J1613" s="154" t="s">
        <v>28</v>
      </c>
      <c r="K1613" s="154" t="s">
        <v>2426</v>
      </c>
      <c r="N1613" s="155"/>
      <c r="O1613" s="156"/>
      <c r="P1613" s="157"/>
      <c r="Q1613" s="158"/>
      <c r="R1613" s="159"/>
      <c r="S1613" s="160"/>
      <c r="T1613" s="161"/>
      <c r="U1613" s="156"/>
      <c r="V1613" s="162"/>
      <c r="W1613" s="163"/>
      <c r="X1613" s="164"/>
      <c r="Y1613" s="159"/>
      <c r="Z1613" s="161"/>
      <c r="AA1613" s="165"/>
      <c r="AD1613" s="154" t="s">
        <v>6081</v>
      </c>
      <c r="AE1613" s="155"/>
      <c r="AF1613" s="154" t="s">
        <v>6082</v>
      </c>
      <c r="AP1613" s="155"/>
      <c r="AQ1613" s="156"/>
      <c r="AR1613" s="157"/>
      <c r="AS1613" s="158"/>
      <c r="AT1613" s="159"/>
      <c r="AU1613" s="161"/>
      <c r="AV1613" s="156"/>
      <c r="AW1613" s="162"/>
      <c r="AX1613" s="163"/>
      <c r="AY1613" s="164"/>
      <c r="AZ1613" s="159"/>
      <c r="BA1613" s="161"/>
      <c r="BB1613" s="165"/>
      <c r="BF1613" s="155"/>
    </row>
    <row r="1614" spans="1:58" s="154" customFormat="1" ht="15" customHeight="1">
      <c r="A1614" s="153" t="s">
        <v>5693</v>
      </c>
      <c r="B1614" s="23" t="s">
        <v>6083</v>
      </c>
      <c r="C1614" s="154" t="s">
        <v>5695</v>
      </c>
      <c r="D1614" s="155">
        <v>103</v>
      </c>
      <c r="E1614" s="154">
        <v>2</v>
      </c>
      <c r="F1614" s="154" t="s">
        <v>6088</v>
      </c>
      <c r="G1614" s="154" t="s">
        <v>6084</v>
      </c>
      <c r="J1614" s="154" t="s">
        <v>29</v>
      </c>
      <c r="K1614" s="154" t="s">
        <v>2426</v>
      </c>
      <c r="N1614" s="155"/>
      <c r="O1614" s="156"/>
      <c r="P1614" s="157"/>
      <c r="Q1614" s="158">
        <v>2</v>
      </c>
      <c r="R1614" s="159">
        <v>2</v>
      </c>
      <c r="S1614" s="160"/>
      <c r="T1614" s="161">
        <v>2</v>
      </c>
      <c r="U1614" s="156"/>
      <c r="V1614" s="162"/>
      <c r="W1614" s="163">
        <v>2</v>
      </c>
      <c r="X1614" s="164"/>
      <c r="Y1614" s="159"/>
      <c r="Z1614" s="161"/>
      <c r="AA1614" s="165"/>
      <c r="AD1614" s="154" t="s">
        <v>6085</v>
      </c>
      <c r="AE1614" s="155"/>
      <c r="AF1614" s="154" t="s">
        <v>6086</v>
      </c>
      <c r="AP1614" s="155"/>
      <c r="AQ1614" s="156"/>
      <c r="AR1614" s="157"/>
      <c r="AS1614" s="158"/>
      <c r="AT1614" s="159"/>
      <c r="AU1614" s="161"/>
      <c r="AV1614" s="156"/>
      <c r="AW1614" s="162"/>
      <c r="AX1614" s="163"/>
      <c r="AY1614" s="164"/>
      <c r="AZ1614" s="159"/>
      <c r="BA1614" s="161"/>
      <c r="BB1614" s="165"/>
      <c r="BF1614" s="155"/>
    </row>
    <row r="1615" spans="1:58" s="154" customFormat="1" ht="15" customHeight="1">
      <c r="A1615" s="153" t="s">
        <v>5693</v>
      </c>
      <c r="B1615" s="23" t="s">
        <v>6087</v>
      </c>
      <c r="C1615" s="154" t="s">
        <v>5695</v>
      </c>
      <c r="D1615" s="155">
        <v>104</v>
      </c>
      <c r="E1615" s="154">
        <v>2</v>
      </c>
      <c r="F1615" s="154" t="s">
        <v>6088</v>
      </c>
      <c r="G1615" s="154" t="s">
        <v>6088</v>
      </c>
      <c r="J1615" s="154" t="s">
        <v>28</v>
      </c>
      <c r="K1615" s="154" t="s">
        <v>2426</v>
      </c>
      <c r="N1615" s="155"/>
      <c r="O1615" s="156"/>
      <c r="P1615" s="157"/>
      <c r="Q1615" s="158"/>
      <c r="R1615" s="159"/>
      <c r="S1615" s="160"/>
      <c r="T1615" s="161"/>
      <c r="U1615" s="156"/>
      <c r="V1615" s="162"/>
      <c r="W1615" s="163"/>
      <c r="X1615" s="164"/>
      <c r="Y1615" s="159"/>
      <c r="Z1615" s="161"/>
      <c r="AA1615" s="165"/>
      <c r="AD1615" s="154" t="s">
        <v>6089</v>
      </c>
      <c r="AE1615" s="155"/>
      <c r="AF1615" s="154" t="s">
        <v>6090</v>
      </c>
      <c r="AP1615" s="155"/>
      <c r="AQ1615" s="156"/>
      <c r="AR1615" s="157"/>
      <c r="AS1615" s="158"/>
      <c r="AT1615" s="159"/>
      <c r="AU1615" s="161"/>
      <c r="AV1615" s="156"/>
      <c r="AW1615" s="162"/>
      <c r="AX1615" s="163"/>
      <c r="AY1615" s="164"/>
      <c r="AZ1615" s="159"/>
      <c r="BA1615" s="161"/>
      <c r="BB1615" s="165"/>
      <c r="BF1615" s="155"/>
    </row>
    <row r="1616" spans="1:58" s="154" customFormat="1" ht="15" customHeight="1">
      <c r="A1616" s="153" t="s">
        <v>5693</v>
      </c>
      <c r="B1616" s="23" t="s">
        <v>6091</v>
      </c>
      <c r="C1616" s="154" t="s">
        <v>5695</v>
      </c>
      <c r="D1616" s="155">
        <v>105</v>
      </c>
      <c r="E1616" s="154">
        <v>2</v>
      </c>
      <c r="F1616" s="154" t="s">
        <v>6114</v>
      </c>
      <c r="G1616" s="154" t="s">
        <v>6092</v>
      </c>
      <c r="J1616" s="154" t="s">
        <v>28</v>
      </c>
      <c r="K1616" s="154" t="s">
        <v>2426</v>
      </c>
      <c r="N1616" s="155"/>
      <c r="O1616" s="156"/>
      <c r="P1616" s="157"/>
      <c r="Q1616" s="158"/>
      <c r="R1616" s="159"/>
      <c r="S1616" s="160"/>
      <c r="T1616" s="161"/>
      <c r="U1616" s="156"/>
      <c r="V1616" s="162"/>
      <c r="W1616" s="163"/>
      <c r="X1616" s="164"/>
      <c r="Y1616" s="159"/>
      <c r="Z1616" s="161"/>
      <c r="AA1616" s="165"/>
      <c r="AD1616" s="154" t="s">
        <v>6089</v>
      </c>
      <c r="AE1616" s="155"/>
      <c r="AF1616" s="154" t="s">
        <v>6093</v>
      </c>
      <c r="AP1616" s="155"/>
      <c r="AQ1616" s="156"/>
      <c r="AR1616" s="157"/>
      <c r="AS1616" s="158"/>
      <c r="AT1616" s="159"/>
      <c r="AU1616" s="161"/>
      <c r="AV1616" s="156"/>
      <c r="AW1616" s="162"/>
      <c r="AX1616" s="163"/>
      <c r="AY1616" s="164"/>
      <c r="AZ1616" s="159"/>
      <c r="BA1616" s="161"/>
      <c r="BB1616" s="165"/>
      <c r="BF1616" s="155"/>
    </row>
    <row r="1617" spans="1:58" s="154" customFormat="1" ht="15" customHeight="1">
      <c r="A1617" s="153" t="s">
        <v>5693</v>
      </c>
      <c r="B1617" s="30" t="s">
        <v>6094</v>
      </c>
      <c r="C1617" s="154" t="s">
        <v>5695</v>
      </c>
      <c r="D1617" s="155">
        <v>106</v>
      </c>
      <c r="E1617" s="154">
        <v>2</v>
      </c>
      <c r="F1617" s="154" t="s">
        <v>6114</v>
      </c>
      <c r="G1617" s="154" t="s">
        <v>6095</v>
      </c>
      <c r="J1617" s="154" t="s">
        <v>28</v>
      </c>
      <c r="K1617" s="154" t="s">
        <v>2426</v>
      </c>
      <c r="N1617" s="155"/>
      <c r="O1617" s="156"/>
      <c r="P1617" s="157"/>
      <c r="Q1617" s="158"/>
      <c r="R1617" s="159"/>
      <c r="S1617" s="160"/>
      <c r="T1617" s="161"/>
      <c r="U1617" s="156"/>
      <c r="V1617" s="162"/>
      <c r="W1617" s="163"/>
      <c r="X1617" s="164"/>
      <c r="Y1617" s="159"/>
      <c r="Z1617" s="161"/>
      <c r="AA1617" s="165"/>
      <c r="AD1617" s="154" t="s">
        <v>6089</v>
      </c>
      <c r="AE1617" s="155"/>
      <c r="AF1617" s="154" t="s">
        <v>6096</v>
      </c>
      <c r="AP1617" s="155"/>
      <c r="AQ1617" s="156"/>
      <c r="AR1617" s="157"/>
      <c r="AS1617" s="158"/>
      <c r="AT1617" s="159"/>
      <c r="AU1617" s="161"/>
      <c r="AV1617" s="156"/>
      <c r="AW1617" s="162"/>
      <c r="AX1617" s="163"/>
      <c r="AY1617" s="164"/>
      <c r="AZ1617" s="159"/>
      <c r="BA1617" s="161"/>
      <c r="BB1617" s="165"/>
      <c r="BF1617" s="155"/>
    </row>
    <row r="1618" spans="1:58" s="154" customFormat="1" ht="15" customHeight="1">
      <c r="A1618" s="153" t="s">
        <v>5693</v>
      </c>
      <c r="B1618" s="23" t="s">
        <v>6097</v>
      </c>
      <c r="C1618" s="154" t="s">
        <v>5695</v>
      </c>
      <c r="D1618" s="155">
        <v>107</v>
      </c>
      <c r="E1618" s="154">
        <v>3</v>
      </c>
      <c r="F1618" s="154" t="s">
        <v>6115</v>
      </c>
      <c r="G1618" s="154" t="s">
        <v>6098</v>
      </c>
      <c r="J1618" s="154" t="s">
        <v>28</v>
      </c>
      <c r="K1618" s="154" t="s">
        <v>2426</v>
      </c>
      <c r="N1618" s="155"/>
      <c r="O1618" s="156"/>
      <c r="P1618" s="157"/>
      <c r="Q1618" s="158"/>
      <c r="R1618" s="159"/>
      <c r="S1618" s="160"/>
      <c r="T1618" s="161"/>
      <c r="U1618" s="156"/>
      <c r="V1618" s="162"/>
      <c r="W1618" s="163"/>
      <c r="X1618" s="164"/>
      <c r="Y1618" s="159"/>
      <c r="Z1618" s="161"/>
      <c r="AA1618" s="165"/>
      <c r="AD1618" s="154" t="s">
        <v>6089</v>
      </c>
      <c r="AE1618" s="155"/>
      <c r="AF1618" s="154" t="s">
        <v>6099</v>
      </c>
      <c r="AP1618" s="155"/>
      <c r="AQ1618" s="156"/>
      <c r="AR1618" s="157"/>
      <c r="AS1618" s="158"/>
      <c r="AT1618" s="159"/>
      <c r="AU1618" s="161"/>
      <c r="AV1618" s="156"/>
      <c r="AW1618" s="162"/>
      <c r="AX1618" s="163"/>
      <c r="AY1618" s="164"/>
      <c r="AZ1618" s="159"/>
      <c r="BA1618" s="161"/>
      <c r="BB1618" s="165"/>
      <c r="BF1618" s="155"/>
    </row>
    <row r="1619" spans="1:58" s="154" customFormat="1" ht="15" customHeight="1">
      <c r="A1619" s="153" t="s">
        <v>5693</v>
      </c>
      <c r="B1619" s="23" t="s">
        <v>6100</v>
      </c>
      <c r="C1619" s="154" t="s">
        <v>5695</v>
      </c>
      <c r="D1619" s="155">
        <v>108</v>
      </c>
      <c r="E1619" s="154">
        <v>3</v>
      </c>
      <c r="F1619" s="154" t="s">
        <v>6115</v>
      </c>
      <c r="G1619" s="154" t="s">
        <v>6101</v>
      </c>
      <c r="J1619" s="154" t="s">
        <v>28</v>
      </c>
      <c r="K1619" s="154" t="s">
        <v>2426</v>
      </c>
      <c r="N1619" s="155"/>
      <c r="O1619" s="156"/>
      <c r="P1619" s="157"/>
      <c r="Q1619" s="158"/>
      <c r="R1619" s="159"/>
      <c r="S1619" s="160"/>
      <c r="T1619" s="161"/>
      <c r="U1619" s="156"/>
      <c r="V1619" s="162"/>
      <c r="W1619" s="163"/>
      <c r="X1619" s="164"/>
      <c r="Y1619" s="159"/>
      <c r="Z1619" s="161"/>
      <c r="AA1619" s="165"/>
      <c r="AD1619" s="154" t="s">
        <v>6081</v>
      </c>
      <c r="AE1619" s="155"/>
      <c r="AF1619" s="154" t="s">
        <v>6102</v>
      </c>
      <c r="AP1619" s="155"/>
      <c r="AQ1619" s="156"/>
      <c r="AR1619" s="157"/>
      <c r="AS1619" s="158"/>
      <c r="AT1619" s="159"/>
      <c r="AU1619" s="161"/>
      <c r="AV1619" s="156"/>
      <c r="AW1619" s="162"/>
      <c r="AX1619" s="163"/>
      <c r="AY1619" s="164"/>
      <c r="AZ1619" s="159"/>
      <c r="BA1619" s="161"/>
      <c r="BB1619" s="165"/>
      <c r="BF1619" s="155"/>
    </row>
    <row r="1620" spans="1:58" ht="15" customHeight="1">
      <c r="A1620" s="153" t="s">
        <v>5693</v>
      </c>
      <c r="B1620" s="23" t="s">
        <v>5849</v>
      </c>
      <c r="C1620" s="154" t="s">
        <v>5695</v>
      </c>
      <c r="D1620" s="24">
        <v>990</v>
      </c>
      <c r="E1620" s="23">
        <v>1</v>
      </c>
      <c r="G1620" s="171" t="s">
        <v>5696</v>
      </c>
      <c r="J1620" s="23" t="s">
        <v>861</v>
      </c>
      <c r="K1620" s="28" t="s">
        <v>198</v>
      </c>
      <c r="N1620" s="147"/>
      <c r="O1620" s="118"/>
      <c r="P1620" s="119"/>
      <c r="Q1620" s="120"/>
      <c r="R1620" s="29"/>
      <c r="S1620" s="135"/>
      <c r="T1620" s="122"/>
      <c r="U1620" s="118"/>
      <c r="V1620" s="123"/>
      <c r="W1620" s="124"/>
      <c r="X1620" s="125"/>
      <c r="Y1620" s="29"/>
      <c r="Z1620" s="122"/>
      <c r="AA1620" s="126"/>
      <c r="AB1620" s="148"/>
      <c r="AI1620" s="171" t="s">
        <v>5696</v>
      </c>
      <c r="AL1620" s="23" t="s">
        <v>861</v>
      </c>
      <c r="AM1620" s="28" t="s">
        <v>198</v>
      </c>
      <c r="AP1620" s="24"/>
      <c r="AQ1620" s="118"/>
      <c r="AR1620" s="119"/>
      <c r="AS1620" s="120"/>
      <c r="AT1620" s="29"/>
      <c r="AU1620" s="122"/>
      <c r="AV1620" s="118"/>
      <c r="AW1620" s="123"/>
      <c r="AX1620" s="124"/>
      <c r="AY1620" s="125"/>
      <c r="AZ1620" s="29"/>
      <c r="BA1620" s="122"/>
      <c r="BB1620" s="126"/>
    </row>
    <row r="1621" spans="1:58" ht="15" customHeight="1">
      <c r="A1621" s="153" t="s">
        <v>5693</v>
      </c>
      <c r="B1621" s="23" t="s">
        <v>5850</v>
      </c>
      <c r="C1621" s="154" t="s">
        <v>5695</v>
      </c>
      <c r="D1621" s="24">
        <v>991</v>
      </c>
      <c r="E1621" s="23">
        <v>1</v>
      </c>
      <c r="G1621" s="154" t="s">
        <v>5702</v>
      </c>
      <c r="J1621" s="23" t="s">
        <v>861</v>
      </c>
      <c r="K1621" s="23" t="s">
        <v>199</v>
      </c>
      <c r="N1621" s="147"/>
      <c r="O1621" s="118"/>
      <c r="P1621" s="119"/>
      <c r="Q1621" s="120"/>
      <c r="R1621" s="29"/>
      <c r="S1621" s="135"/>
      <c r="T1621" s="122"/>
      <c r="U1621" s="118"/>
      <c r="V1621" s="123"/>
      <c r="W1621" s="124"/>
      <c r="X1621" s="125"/>
      <c r="Y1621" s="29"/>
      <c r="Z1621" s="122"/>
      <c r="AA1621" s="126"/>
      <c r="AB1621" s="148"/>
      <c r="AI1621" s="154" t="s">
        <v>5702</v>
      </c>
      <c r="AL1621" s="23" t="s">
        <v>861</v>
      </c>
      <c r="AM1621" s="23" t="s">
        <v>199</v>
      </c>
      <c r="AP1621" s="24"/>
      <c r="AQ1621" s="118"/>
      <c r="AR1621" s="119"/>
      <c r="AS1621" s="120"/>
      <c r="AT1621" s="29"/>
      <c r="AU1621" s="122"/>
      <c r="AV1621" s="118"/>
      <c r="AW1621" s="123"/>
      <c r="AX1621" s="124"/>
      <c r="AY1621" s="125"/>
      <c r="AZ1621" s="29"/>
      <c r="BA1621" s="122"/>
      <c r="BB1621" s="126"/>
    </row>
    <row r="1622" spans="1:58" ht="15" customHeight="1">
      <c r="A1622" s="153" t="s">
        <v>5693</v>
      </c>
      <c r="B1622" s="23" t="s">
        <v>5851</v>
      </c>
      <c r="C1622" s="154" t="s">
        <v>5695</v>
      </c>
      <c r="D1622" s="24">
        <v>992</v>
      </c>
      <c r="E1622" s="23">
        <v>1</v>
      </c>
      <c r="G1622" s="154" t="s">
        <v>5708</v>
      </c>
      <c r="J1622" s="23" t="s">
        <v>861</v>
      </c>
      <c r="K1622" s="23" t="s">
        <v>201</v>
      </c>
      <c r="N1622" s="147"/>
      <c r="O1622" s="118"/>
      <c r="P1622" s="119"/>
      <c r="Q1622" s="120"/>
      <c r="R1622" s="29"/>
      <c r="S1622" s="135"/>
      <c r="T1622" s="122"/>
      <c r="U1622" s="118"/>
      <c r="V1622" s="123"/>
      <c r="W1622" s="124"/>
      <c r="X1622" s="125"/>
      <c r="Y1622" s="29"/>
      <c r="Z1622" s="122"/>
      <c r="AA1622" s="126"/>
      <c r="AB1622" s="148"/>
      <c r="AI1622" s="154" t="s">
        <v>5708</v>
      </c>
      <c r="AL1622" s="23" t="s">
        <v>861</v>
      </c>
      <c r="AM1622" s="23" t="s">
        <v>201</v>
      </c>
      <c r="AP1622" s="24"/>
      <c r="AQ1622" s="118"/>
      <c r="AR1622" s="119"/>
      <c r="AS1622" s="120"/>
      <c r="AT1622" s="29"/>
      <c r="AU1622" s="122"/>
      <c r="AV1622" s="118"/>
      <c r="AW1622" s="123"/>
      <c r="AX1622" s="124"/>
      <c r="AY1622" s="125"/>
      <c r="AZ1622" s="29"/>
      <c r="BA1622" s="122"/>
      <c r="BB1622" s="126"/>
    </row>
    <row r="1623" spans="1:58" ht="15" customHeight="1">
      <c r="A1623" s="153" t="s">
        <v>5693</v>
      </c>
      <c r="B1623" s="23" t="s">
        <v>5852</v>
      </c>
      <c r="C1623" s="154" t="s">
        <v>5695</v>
      </c>
      <c r="D1623" s="24">
        <v>993</v>
      </c>
      <c r="E1623" s="23">
        <v>1</v>
      </c>
      <c r="G1623" s="154" t="s">
        <v>5714</v>
      </c>
      <c r="J1623" s="23" t="s">
        <v>861</v>
      </c>
      <c r="K1623" s="23" t="s">
        <v>200</v>
      </c>
      <c r="N1623" s="147"/>
      <c r="O1623" s="118"/>
      <c r="P1623" s="119"/>
      <c r="Q1623" s="120"/>
      <c r="R1623" s="29"/>
      <c r="S1623" s="135"/>
      <c r="T1623" s="122"/>
      <c r="U1623" s="118"/>
      <c r="V1623" s="123"/>
      <c r="W1623" s="124"/>
      <c r="X1623" s="125"/>
      <c r="Y1623" s="29"/>
      <c r="Z1623" s="122"/>
      <c r="AA1623" s="126"/>
      <c r="AB1623" s="148"/>
      <c r="AI1623" s="154" t="s">
        <v>5714</v>
      </c>
      <c r="AL1623" s="23" t="s">
        <v>861</v>
      </c>
      <c r="AM1623" s="23" t="s">
        <v>200</v>
      </c>
      <c r="AP1623" s="24"/>
      <c r="AQ1623" s="118"/>
      <c r="AR1623" s="119"/>
      <c r="AS1623" s="120"/>
      <c r="AT1623" s="29"/>
      <c r="AU1623" s="122"/>
      <c r="AV1623" s="118"/>
      <c r="AW1623" s="123"/>
      <c r="AX1623" s="124"/>
      <c r="AY1623" s="125"/>
      <c r="AZ1623" s="29"/>
      <c r="BA1623" s="122"/>
      <c r="BB1623" s="126"/>
    </row>
    <row r="1624" spans="1:58" ht="15" customHeight="1">
      <c r="A1624" s="153" t="s">
        <v>5693</v>
      </c>
      <c r="B1624" s="23" t="s">
        <v>5853</v>
      </c>
      <c r="C1624" s="154" t="s">
        <v>5695</v>
      </c>
      <c r="D1624" s="24">
        <v>994</v>
      </c>
      <c r="E1624" s="23">
        <v>1</v>
      </c>
      <c r="G1624" s="154" t="s">
        <v>5720</v>
      </c>
      <c r="J1624" s="23" t="s">
        <v>861</v>
      </c>
      <c r="K1624" s="23" t="s">
        <v>202</v>
      </c>
      <c r="N1624" s="147"/>
      <c r="O1624" s="118"/>
      <c r="P1624" s="119"/>
      <c r="Q1624" s="120"/>
      <c r="R1624" s="29"/>
      <c r="S1624" s="135"/>
      <c r="T1624" s="122"/>
      <c r="U1624" s="118"/>
      <c r="V1624" s="123"/>
      <c r="W1624" s="124"/>
      <c r="X1624" s="125"/>
      <c r="Y1624" s="29"/>
      <c r="Z1624" s="122"/>
      <c r="AA1624" s="126"/>
      <c r="AB1624" s="148"/>
      <c r="AI1624" s="154" t="s">
        <v>5720</v>
      </c>
      <c r="AL1624" s="23" t="s">
        <v>861</v>
      </c>
      <c r="AM1624" s="23" t="s">
        <v>202</v>
      </c>
      <c r="AP1624" s="24"/>
      <c r="AQ1624" s="118"/>
      <c r="AR1624" s="119"/>
      <c r="AS1624" s="120"/>
      <c r="AT1624" s="29"/>
      <c r="AU1624" s="122"/>
      <c r="AV1624" s="118"/>
      <c r="AW1624" s="123"/>
      <c r="AX1624" s="124"/>
      <c r="AY1624" s="125"/>
      <c r="AZ1624" s="29"/>
      <c r="BA1624" s="122"/>
      <c r="BB1624" s="126"/>
    </row>
    <row r="1625" spans="1:58" ht="15" customHeight="1">
      <c r="A1625" s="153" t="s">
        <v>5693</v>
      </c>
      <c r="B1625" s="23" t="s">
        <v>5854</v>
      </c>
      <c r="C1625" s="154" t="s">
        <v>5695</v>
      </c>
      <c r="D1625" s="24">
        <v>995</v>
      </c>
      <c r="E1625" s="23">
        <v>1</v>
      </c>
      <c r="G1625" s="154" t="s">
        <v>1114</v>
      </c>
      <c r="J1625" s="23" t="s">
        <v>861</v>
      </c>
      <c r="K1625" s="23" t="s">
        <v>200</v>
      </c>
      <c r="N1625" s="147"/>
      <c r="O1625" s="118"/>
      <c r="P1625" s="119"/>
      <c r="Q1625" s="120"/>
      <c r="R1625" s="29"/>
      <c r="S1625" s="135"/>
      <c r="T1625" s="122"/>
      <c r="U1625" s="118"/>
      <c r="V1625" s="123"/>
      <c r="W1625" s="124"/>
      <c r="X1625" s="125"/>
      <c r="Y1625" s="29"/>
      <c r="Z1625" s="122"/>
      <c r="AA1625" s="126"/>
      <c r="AB1625" s="148"/>
      <c r="AI1625" s="154" t="s">
        <v>1114</v>
      </c>
      <c r="AL1625" s="23" t="s">
        <v>861</v>
      </c>
      <c r="AM1625" s="23" t="s">
        <v>200</v>
      </c>
      <c r="AP1625" s="24"/>
      <c r="AQ1625" s="118"/>
      <c r="AR1625" s="119"/>
      <c r="AS1625" s="120"/>
      <c r="AT1625" s="29"/>
      <c r="AU1625" s="122"/>
      <c r="AV1625" s="118"/>
      <c r="AW1625" s="123"/>
      <c r="AX1625" s="124"/>
      <c r="AY1625" s="125"/>
      <c r="AZ1625" s="29"/>
      <c r="BA1625" s="122"/>
      <c r="BB1625" s="126"/>
    </row>
    <row r="1626" spans="1:58" s="154" customFormat="1" ht="15" customHeight="1">
      <c r="A1626" s="153" t="s">
        <v>5693</v>
      </c>
      <c r="B1626" s="23" t="s">
        <v>6103</v>
      </c>
      <c r="C1626" s="154" t="s">
        <v>5695</v>
      </c>
      <c r="D1626" s="24">
        <v>996</v>
      </c>
      <c r="E1626" s="154">
        <v>1</v>
      </c>
      <c r="F1626" s="171" t="s">
        <v>5862</v>
      </c>
      <c r="G1626" s="154" t="s">
        <v>5875</v>
      </c>
      <c r="J1626" s="23" t="s">
        <v>861</v>
      </c>
      <c r="K1626" s="23" t="s">
        <v>26</v>
      </c>
      <c r="N1626" s="155"/>
      <c r="O1626" s="156"/>
      <c r="P1626" s="157"/>
      <c r="Q1626" s="158"/>
      <c r="R1626" s="159"/>
      <c r="S1626" s="160"/>
      <c r="T1626" s="161"/>
      <c r="U1626" s="156"/>
      <c r="V1626" s="162"/>
      <c r="W1626" s="163"/>
      <c r="X1626" s="164"/>
      <c r="Y1626" s="159"/>
      <c r="Z1626" s="161"/>
      <c r="AA1626" s="165"/>
      <c r="AE1626" s="155"/>
      <c r="AI1626" s="154" t="s">
        <v>5875</v>
      </c>
      <c r="AL1626" s="23" t="s">
        <v>861</v>
      </c>
      <c r="AM1626" s="23" t="s">
        <v>26</v>
      </c>
      <c r="AP1626" s="155"/>
      <c r="AQ1626" s="156"/>
      <c r="AR1626" s="157"/>
      <c r="AS1626" s="158"/>
      <c r="AT1626" s="159"/>
      <c r="AU1626" s="161"/>
      <c r="AV1626" s="156"/>
      <c r="AW1626" s="162"/>
      <c r="AX1626" s="163"/>
      <c r="AY1626" s="164"/>
      <c r="AZ1626" s="159"/>
      <c r="BA1626" s="161"/>
      <c r="BB1626" s="165"/>
      <c r="BF1626" s="155"/>
    </row>
    <row r="1627" spans="1:58" s="154" customFormat="1" ht="15" customHeight="1">
      <c r="A1627" s="153" t="s">
        <v>5693</v>
      </c>
      <c r="B1627" s="23" t="s">
        <v>6104</v>
      </c>
      <c r="C1627" s="154" t="s">
        <v>5695</v>
      </c>
      <c r="D1627" s="24">
        <v>997</v>
      </c>
      <c r="E1627" s="154">
        <v>1</v>
      </c>
      <c r="F1627" s="171" t="s">
        <v>5862</v>
      </c>
      <c r="G1627" s="154" t="s">
        <v>5881</v>
      </c>
      <c r="J1627" s="23" t="s">
        <v>861</v>
      </c>
      <c r="K1627" s="23" t="s">
        <v>26</v>
      </c>
      <c r="N1627" s="155"/>
      <c r="O1627" s="156"/>
      <c r="P1627" s="157"/>
      <c r="Q1627" s="158"/>
      <c r="R1627" s="159"/>
      <c r="S1627" s="160"/>
      <c r="T1627" s="161"/>
      <c r="U1627" s="156"/>
      <c r="V1627" s="162"/>
      <c r="W1627" s="163"/>
      <c r="X1627" s="164"/>
      <c r="Y1627" s="159"/>
      <c r="Z1627" s="161"/>
      <c r="AA1627" s="165"/>
      <c r="AE1627" s="155"/>
      <c r="AI1627" s="154" t="s">
        <v>5881</v>
      </c>
      <c r="AL1627" s="23" t="s">
        <v>861</v>
      </c>
      <c r="AM1627" s="23" t="s">
        <v>26</v>
      </c>
      <c r="AP1627" s="155"/>
      <c r="AQ1627" s="156"/>
      <c r="AR1627" s="157"/>
      <c r="AS1627" s="158"/>
      <c r="AT1627" s="159"/>
      <c r="AU1627" s="161"/>
      <c r="AV1627" s="156"/>
      <c r="AW1627" s="162"/>
      <c r="AX1627" s="163"/>
      <c r="AY1627" s="164"/>
      <c r="AZ1627" s="159"/>
      <c r="BA1627" s="161"/>
      <c r="BB1627" s="165"/>
      <c r="BF1627" s="155"/>
    </row>
    <row r="1628" spans="1:58" s="154" customFormat="1" ht="15" customHeight="1">
      <c r="A1628" s="153" t="s">
        <v>5693</v>
      </c>
      <c r="B1628" s="23" t="s">
        <v>6105</v>
      </c>
      <c r="C1628" s="154" t="s">
        <v>5695</v>
      </c>
      <c r="D1628" s="24">
        <v>998</v>
      </c>
      <c r="E1628" s="154">
        <v>1</v>
      </c>
      <c r="F1628" s="171" t="s">
        <v>5862</v>
      </c>
      <c r="G1628" s="154" t="s">
        <v>5887</v>
      </c>
      <c r="J1628" s="23" t="s">
        <v>861</v>
      </c>
      <c r="K1628" s="23" t="s">
        <v>26</v>
      </c>
      <c r="N1628" s="155"/>
      <c r="O1628" s="156"/>
      <c r="P1628" s="157"/>
      <c r="Q1628" s="158"/>
      <c r="R1628" s="159"/>
      <c r="S1628" s="160"/>
      <c r="T1628" s="161"/>
      <c r="U1628" s="156"/>
      <c r="V1628" s="162"/>
      <c r="W1628" s="163"/>
      <c r="X1628" s="164"/>
      <c r="Y1628" s="159"/>
      <c r="Z1628" s="161"/>
      <c r="AA1628" s="165"/>
      <c r="AE1628" s="155"/>
      <c r="AI1628" s="154" t="s">
        <v>5887</v>
      </c>
      <c r="AL1628" s="23" t="s">
        <v>861</v>
      </c>
      <c r="AM1628" s="23" t="s">
        <v>26</v>
      </c>
      <c r="AP1628" s="155"/>
      <c r="AQ1628" s="156"/>
      <c r="AR1628" s="157"/>
      <c r="AS1628" s="158"/>
      <c r="AT1628" s="159"/>
      <c r="AU1628" s="161"/>
      <c r="AV1628" s="156"/>
      <c r="AW1628" s="162"/>
      <c r="AX1628" s="163"/>
      <c r="AY1628" s="164"/>
      <c r="AZ1628" s="159"/>
      <c r="BA1628" s="161"/>
      <c r="BB1628" s="165"/>
      <c r="BF1628" s="155"/>
    </row>
    <row r="1629" spans="1:58" s="154" customFormat="1" ht="15" customHeight="1">
      <c r="A1629" s="153" t="s">
        <v>5693</v>
      </c>
      <c r="B1629" s="23" t="s">
        <v>6106</v>
      </c>
      <c r="C1629" s="154" t="s">
        <v>5695</v>
      </c>
      <c r="D1629" s="24">
        <v>999</v>
      </c>
      <c r="E1629" s="154">
        <v>1</v>
      </c>
      <c r="F1629" s="171" t="s">
        <v>5862</v>
      </c>
      <c r="G1629" s="154" t="s">
        <v>5892</v>
      </c>
      <c r="J1629" s="23" t="s">
        <v>861</v>
      </c>
      <c r="K1629" s="23" t="s">
        <v>26</v>
      </c>
      <c r="N1629" s="155"/>
      <c r="O1629" s="156"/>
      <c r="P1629" s="157"/>
      <c r="Q1629" s="158"/>
      <c r="R1629" s="159"/>
      <c r="S1629" s="160"/>
      <c r="T1629" s="161"/>
      <c r="U1629" s="156"/>
      <c r="V1629" s="162"/>
      <c r="W1629" s="163"/>
      <c r="X1629" s="164"/>
      <c r="Y1629" s="159"/>
      <c r="Z1629" s="161"/>
      <c r="AA1629" s="165"/>
      <c r="AE1629" s="155"/>
      <c r="AI1629" s="154" t="s">
        <v>5892</v>
      </c>
      <c r="AL1629" s="23" t="s">
        <v>861</v>
      </c>
      <c r="AM1629" s="23" t="s">
        <v>26</v>
      </c>
      <c r="AP1629" s="155"/>
      <c r="AQ1629" s="156"/>
      <c r="AR1629" s="157"/>
      <c r="AS1629" s="158"/>
      <c r="AT1629" s="159"/>
      <c r="AU1629" s="161"/>
      <c r="AV1629" s="156"/>
      <c r="AW1629" s="162"/>
      <c r="AX1629" s="163"/>
      <c r="AY1629" s="164"/>
      <c r="AZ1629" s="159"/>
      <c r="BA1629" s="161"/>
      <c r="BB1629" s="165"/>
      <c r="BF1629" s="155"/>
    </row>
    <row r="1630" spans="1:58" s="154" customFormat="1" ht="15" customHeight="1">
      <c r="A1630" s="153" t="s">
        <v>6116</v>
      </c>
      <c r="B1630" s="187" t="s">
        <v>6117</v>
      </c>
      <c r="C1630" s="154" t="s">
        <v>6342</v>
      </c>
      <c r="D1630" s="154">
        <v>109</v>
      </c>
      <c r="E1630" s="154">
        <v>2</v>
      </c>
      <c r="G1630" s="154" t="s">
        <v>6118</v>
      </c>
      <c r="J1630" s="154" t="s">
        <v>257</v>
      </c>
      <c r="K1630" s="154" t="s">
        <v>198</v>
      </c>
      <c r="L1630" s="154">
        <v>0</v>
      </c>
      <c r="N1630" s="154">
        <v>3</v>
      </c>
      <c r="O1630" s="173">
        <v>1</v>
      </c>
      <c r="P1630" s="174"/>
      <c r="Q1630" s="175"/>
      <c r="R1630" s="159"/>
      <c r="S1630" s="160"/>
      <c r="T1630" s="161"/>
      <c r="U1630" s="173">
        <v>3</v>
      </c>
      <c r="V1630" s="176"/>
      <c r="W1630" s="177"/>
      <c r="X1630" s="178"/>
      <c r="Y1630" s="159"/>
      <c r="Z1630" s="161"/>
      <c r="AA1630" s="160"/>
      <c r="AB1630" s="154" t="s">
        <v>204</v>
      </c>
      <c r="AD1630" s="154" t="s">
        <v>289</v>
      </c>
      <c r="AF1630" s="154" t="s">
        <v>6119</v>
      </c>
      <c r="AQ1630" s="173"/>
      <c r="AR1630" s="174"/>
      <c r="AS1630" s="175"/>
      <c r="AT1630" s="159"/>
      <c r="AU1630" s="161"/>
      <c r="AV1630" s="173"/>
      <c r="AW1630" s="176"/>
      <c r="AX1630" s="177"/>
      <c r="AY1630" s="178"/>
      <c r="AZ1630" s="159"/>
      <c r="BA1630" s="161"/>
      <c r="BB1630" s="160"/>
    </row>
    <row r="1631" spans="1:58" s="154" customFormat="1" ht="15" customHeight="1">
      <c r="A1631" s="153" t="s">
        <v>6116</v>
      </c>
      <c r="B1631" s="187" t="s">
        <v>6120</v>
      </c>
      <c r="C1631" s="154" t="s">
        <v>6342</v>
      </c>
      <c r="D1631" s="154">
        <v>110</v>
      </c>
      <c r="E1631" s="154">
        <v>2</v>
      </c>
      <c r="G1631" s="154" t="s">
        <v>6121</v>
      </c>
      <c r="J1631" s="154" t="s">
        <v>27</v>
      </c>
      <c r="K1631" s="154" t="s">
        <v>199</v>
      </c>
      <c r="L1631" s="154">
        <v>0</v>
      </c>
      <c r="N1631" s="154">
        <v>0</v>
      </c>
      <c r="O1631" s="173"/>
      <c r="P1631" s="174">
        <v>1</v>
      </c>
      <c r="Q1631" s="175"/>
      <c r="R1631" s="159"/>
      <c r="S1631" s="160"/>
      <c r="T1631" s="161"/>
      <c r="U1631" s="173"/>
      <c r="V1631" s="176"/>
      <c r="W1631" s="177"/>
      <c r="X1631" s="178"/>
      <c r="Y1631" s="159"/>
      <c r="Z1631" s="161"/>
      <c r="AA1631" s="160"/>
      <c r="AB1631" s="154" t="s">
        <v>205</v>
      </c>
      <c r="AD1631" s="154" t="s">
        <v>340</v>
      </c>
      <c r="AF1631" s="154" t="s">
        <v>6122</v>
      </c>
      <c r="AQ1631" s="173"/>
      <c r="AR1631" s="174"/>
      <c r="AS1631" s="175"/>
      <c r="AT1631" s="159"/>
      <c r="AU1631" s="161"/>
      <c r="AV1631" s="173"/>
      <c r="AW1631" s="176"/>
      <c r="AX1631" s="177"/>
      <c r="AY1631" s="178"/>
      <c r="AZ1631" s="159"/>
      <c r="BA1631" s="161"/>
      <c r="BB1631" s="160"/>
    </row>
    <row r="1632" spans="1:58" s="154" customFormat="1" ht="15" customHeight="1">
      <c r="A1632" s="153" t="s">
        <v>6116</v>
      </c>
      <c r="B1632" s="188" t="s">
        <v>6123</v>
      </c>
      <c r="C1632" s="154" t="s">
        <v>6342</v>
      </c>
      <c r="D1632" s="154">
        <v>111</v>
      </c>
      <c r="E1632" s="154">
        <v>2</v>
      </c>
      <c r="G1632" s="154" t="s">
        <v>6124</v>
      </c>
      <c r="J1632" s="154" t="s">
        <v>27</v>
      </c>
      <c r="K1632" s="154" t="s">
        <v>201</v>
      </c>
      <c r="L1632" s="154">
        <v>0</v>
      </c>
      <c r="N1632" s="154">
        <v>2</v>
      </c>
      <c r="O1632" s="173"/>
      <c r="P1632" s="174">
        <v>2</v>
      </c>
      <c r="Q1632" s="175"/>
      <c r="R1632" s="159"/>
      <c r="S1632" s="160"/>
      <c r="T1632" s="161"/>
      <c r="U1632" s="173"/>
      <c r="V1632" s="176"/>
      <c r="W1632" s="177"/>
      <c r="X1632" s="178"/>
      <c r="Y1632" s="159"/>
      <c r="Z1632" s="161"/>
      <c r="AA1632" s="160"/>
      <c r="AB1632" s="154" t="s">
        <v>1084</v>
      </c>
      <c r="AD1632" s="154" t="s">
        <v>6125</v>
      </c>
      <c r="AF1632" s="154" t="s">
        <v>6371</v>
      </c>
      <c r="AQ1632" s="173"/>
      <c r="AR1632" s="174"/>
      <c r="AS1632" s="175"/>
      <c r="AT1632" s="159"/>
      <c r="AU1632" s="161"/>
      <c r="AV1632" s="173"/>
      <c r="AW1632" s="176"/>
      <c r="AX1632" s="177"/>
      <c r="AY1632" s="178"/>
      <c r="AZ1632" s="159"/>
      <c r="BA1632" s="161"/>
      <c r="BB1632" s="160"/>
    </row>
    <row r="1633" spans="1:59" s="154" customFormat="1" ht="15" customHeight="1">
      <c r="A1633" s="153" t="s">
        <v>6116</v>
      </c>
      <c r="B1633" s="188" t="s">
        <v>6126</v>
      </c>
      <c r="C1633" s="154" t="s">
        <v>6342</v>
      </c>
      <c r="D1633" s="154">
        <v>112</v>
      </c>
      <c r="E1633" s="154">
        <v>2</v>
      </c>
      <c r="G1633" s="154" t="s">
        <v>6127</v>
      </c>
      <c r="J1633" s="154" t="s">
        <v>257</v>
      </c>
      <c r="K1633" s="154" t="s">
        <v>200</v>
      </c>
      <c r="L1633" s="154">
        <v>0</v>
      </c>
      <c r="N1633" s="154">
        <v>3</v>
      </c>
      <c r="O1633" s="173">
        <v>1</v>
      </c>
      <c r="P1633" s="174"/>
      <c r="Q1633" s="175"/>
      <c r="R1633" s="159"/>
      <c r="S1633" s="160"/>
      <c r="T1633" s="161"/>
      <c r="U1633" s="173"/>
      <c r="V1633" s="176"/>
      <c r="W1633" s="177"/>
      <c r="X1633" s="178"/>
      <c r="Y1633" s="159"/>
      <c r="Z1633" s="161"/>
      <c r="AA1633" s="160"/>
      <c r="AB1633" s="154" t="s">
        <v>204</v>
      </c>
      <c r="AC1633" s="154" t="s">
        <v>258</v>
      </c>
      <c r="AD1633" s="154" t="s">
        <v>6128</v>
      </c>
      <c r="AF1633" s="154" t="s">
        <v>6129</v>
      </c>
      <c r="AQ1633" s="173"/>
      <c r="AR1633" s="174"/>
      <c r="AS1633" s="175"/>
      <c r="AT1633" s="159"/>
      <c r="AU1633" s="161"/>
      <c r="AV1633" s="173"/>
      <c r="AW1633" s="176"/>
      <c r="AX1633" s="177"/>
      <c r="AY1633" s="178"/>
      <c r="AZ1633" s="159"/>
      <c r="BA1633" s="161"/>
      <c r="BB1633" s="160"/>
    </row>
    <row r="1634" spans="1:59" s="154" customFormat="1" ht="15" customHeight="1">
      <c r="A1634" s="153" t="s">
        <v>6116</v>
      </c>
      <c r="B1634" s="188" t="s">
        <v>6130</v>
      </c>
      <c r="C1634" s="154" t="s">
        <v>6342</v>
      </c>
      <c r="D1634" s="154">
        <v>113</v>
      </c>
      <c r="E1634" s="154">
        <v>2</v>
      </c>
      <c r="G1634" s="154" t="s">
        <v>6131</v>
      </c>
      <c r="J1634" s="154" t="s">
        <v>27</v>
      </c>
      <c r="K1634" s="154" t="s">
        <v>200</v>
      </c>
      <c r="L1634" s="154">
        <v>1</v>
      </c>
      <c r="N1634" s="154">
        <v>2</v>
      </c>
      <c r="O1634" s="173">
        <v>1</v>
      </c>
      <c r="P1634" s="174"/>
      <c r="Q1634" s="175"/>
      <c r="R1634" s="159">
        <v>1</v>
      </c>
      <c r="S1634" s="160"/>
      <c r="T1634" s="161"/>
      <c r="U1634" s="173"/>
      <c r="V1634" s="176"/>
      <c r="W1634" s="177"/>
      <c r="X1634" s="178"/>
      <c r="Y1634" s="159"/>
      <c r="Z1634" s="161"/>
      <c r="AA1634" s="160"/>
      <c r="AB1634" s="154" t="s">
        <v>1085</v>
      </c>
      <c r="AD1634" s="154" t="s">
        <v>279</v>
      </c>
      <c r="AF1634" s="154" t="s">
        <v>6372</v>
      </c>
      <c r="AQ1634" s="173"/>
      <c r="AR1634" s="174"/>
      <c r="AS1634" s="175"/>
      <c r="AT1634" s="159"/>
      <c r="AU1634" s="161"/>
      <c r="AV1634" s="173"/>
      <c r="AW1634" s="176"/>
      <c r="AX1634" s="177"/>
      <c r="AY1634" s="178"/>
      <c r="AZ1634" s="159"/>
      <c r="BA1634" s="161"/>
      <c r="BB1634" s="160"/>
    </row>
    <row r="1635" spans="1:59" s="154" customFormat="1" ht="15" customHeight="1">
      <c r="A1635" s="153" t="s">
        <v>6116</v>
      </c>
      <c r="B1635" s="189" t="s">
        <v>6132</v>
      </c>
      <c r="C1635" s="154" t="s">
        <v>6342</v>
      </c>
      <c r="D1635" s="154">
        <v>114</v>
      </c>
      <c r="E1635" s="154">
        <v>2</v>
      </c>
      <c r="G1635" s="154" t="s">
        <v>6133</v>
      </c>
      <c r="J1635" s="154" t="s">
        <v>257</v>
      </c>
      <c r="K1635" s="154" t="s">
        <v>202</v>
      </c>
      <c r="L1635" s="154">
        <v>0</v>
      </c>
      <c r="N1635" s="154">
        <v>3</v>
      </c>
      <c r="O1635" s="173">
        <v>1</v>
      </c>
      <c r="P1635" s="174"/>
      <c r="Q1635" s="175"/>
      <c r="R1635" s="159"/>
      <c r="S1635" s="160"/>
      <c r="T1635" s="161"/>
      <c r="U1635" s="173"/>
      <c r="V1635" s="176"/>
      <c r="W1635" s="177"/>
      <c r="X1635" s="178"/>
      <c r="Y1635" s="159"/>
      <c r="Z1635" s="161"/>
      <c r="AA1635" s="160"/>
      <c r="AB1635" s="154" t="s">
        <v>204</v>
      </c>
      <c r="AC1635" s="154" t="s">
        <v>258</v>
      </c>
      <c r="AD1635" s="154" t="s">
        <v>298</v>
      </c>
      <c r="AF1635" s="154" t="s">
        <v>6373</v>
      </c>
      <c r="AQ1635" s="173"/>
      <c r="AR1635" s="174"/>
      <c r="AS1635" s="175"/>
      <c r="AT1635" s="159"/>
      <c r="AU1635" s="161"/>
      <c r="AV1635" s="173"/>
      <c r="AW1635" s="176"/>
      <c r="AX1635" s="177"/>
      <c r="AY1635" s="178"/>
      <c r="AZ1635" s="159"/>
      <c r="BA1635" s="161"/>
      <c r="BB1635" s="160"/>
    </row>
    <row r="1636" spans="1:59" s="154" customFormat="1" ht="15" customHeight="1">
      <c r="A1636" s="153" t="s">
        <v>6116</v>
      </c>
      <c r="B1636" s="189" t="s">
        <v>6134</v>
      </c>
      <c r="C1636" s="154" t="s">
        <v>6342</v>
      </c>
      <c r="D1636" s="154">
        <v>115</v>
      </c>
      <c r="E1636" s="154">
        <v>2</v>
      </c>
      <c r="G1636" s="154" t="s">
        <v>6135</v>
      </c>
      <c r="J1636" s="154" t="s">
        <v>257</v>
      </c>
      <c r="K1636" s="154" t="s">
        <v>198</v>
      </c>
      <c r="L1636" s="154">
        <v>0</v>
      </c>
      <c r="N1636" s="154">
        <v>6</v>
      </c>
      <c r="O1636" s="173"/>
      <c r="P1636" s="174"/>
      <c r="Q1636" s="175">
        <v>1</v>
      </c>
      <c r="R1636" s="159"/>
      <c r="S1636" s="160"/>
      <c r="T1636" s="161"/>
      <c r="U1636" s="173"/>
      <c r="V1636" s="176"/>
      <c r="W1636" s="177"/>
      <c r="X1636" s="178"/>
      <c r="Y1636" s="159"/>
      <c r="Z1636" s="161"/>
      <c r="AA1636" s="160"/>
      <c r="AB1636" s="154" t="s">
        <v>206</v>
      </c>
      <c r="AC1636" s="154" t="s">
        <v>322</v>
      </c>
      <c r="AD1636" s="154" t="s">
        <v>923</v>
      </c>
      <c r="AF1636" s="154" t="s">
        <v>6374</v>
      </c>
      <c r="AQ1636" s="173"/>
      <c r="AR1636" s="174"/>
      <c r="AS1636" s="175"/>
      <c r="AT1636" s="159"/>
      <c r="AU1636" s="161"/>
      <c r="AV1636" s="173"/>
      <c r="AW1636" s="176"/>
      <c r="AX1636" s="177"/>
      <c r="AY1636" s="178"/>
      <c r="AZ1636" s="159"/>
      <c r="BA1636" s="161"/>
      <c r="BB1636" s="160"/>
    </row>
    <row r="1637" spans="1:59" s="154" customFormat="1" ht="15" customHeight="1">
      <c r="A1637" s="153" t="s">
        <v>6116</v>
      </c>
      <c r="B1637" s="188" t="s">
        <v>6136</v>
      </c>
      <c r="C1637" s="154" t="s">
        <v>6342</v>
      </c>
      <c r="D1637" s="154">
        <v>116</v>
      </c>
      <c r="E1637" s="154">
        <v>2</v>
      </c>
      <c r="G1637" s="154" t="s">
        <v>6137</v>
      </c>
      <c r="J1637" s="154" t="s">
        <v>257</v>
      </c>
      <c r="K1637" s="154" t="s">
        <v>199</v>
      </c>
      <c r="L1637" s="154">
        <v>0</v>
      </c>
      <c r="N1637" s="154">
        <v>1</v>
      </c>
      <c r="O1637" s="173"/>
      <c r="P1637" s="174">
        <v>1</v>
      </c>
      <c r="Q1637" s="175"/>
      <c r="R1637" s="159"/>
      <c r="S1637" s="160"/>
      <c r="T1637" s="161"/>
      <c r="U1637" s="173"/>
      <c r="V1637" s="176"/>
      <c r="W1637" s="177"/>
      <c r="X1637" s="178"/>
      <c r="Y1637" s="159"/>
      <c r="Z1637" s="161"/>
      <c r="AA1637" s="160"/>
      <c r="AB1637" s="154" t="s">
        <v>205</v>
      </c>
      <c r="AC1637" s="154" t="s">
        <v>258</v>
      </c>
      <c r="AD1637" s="154" t="s">
        <v>269</v>
      </c>
      <c r="AF1637" s="154" t="s">
        <v>6375</v>
      </c>
      <c r="AQ1637" s="173"/>
      <c r="AR1637" s="174"/>
      <c r="AS1637" s="175"/>
      <c r="AT1637" s="159"/>
      <c r="AU1637" s="161"/>
      <c r="AV1637" s="173"/>
      <c r="AW1637" s="176"/>
      <c r="AX1637" s="177"/>
      <c r="AY1637" s="178"/>
      <c r="AZ1637" s="159"/>
      <c r="BA1637" s="161"/>
      <c r="BB1637" s="160"/>
    </row>
    <row r="1638" spans="1:59" s="154" customFormat="1" ht="15" customHeight="1">
      <c r="A1638" s="153" t="s">
        <v>6116</v>
      </c>
      <c r="B1638" s="188" t="s">
        <v>6138</v>
      </c>
      <c r="C1638" s="154" t="s">
        <v>6342</v>
      </c>
      <c r="D1638" s="154">
        <v>117</v>
      </c>
      <c r="E1638" s="154">
        <v>2</v>
      </c>
      <c r="G1638" s="154" t="s">
        <v>6139</v>
      </c>
      <c r="J1638" s="154" t="s">
        <v>257</v>
      </c>
      <c r="K1638" s="154" t="s">
        <v>201</v>
      </c>
      <c r="L1638" s="154">
        <v>0</v>
      </c>
      <c r="N1638" s="172">
        <v>3</v>
      </c>
      <c r="O1638" s="173">
        <v>1</v>
      </c>
      <c r="P1638" s="174"/>
      <c r="Q1638" s="175"/>
      <c r="R1638" s="159"/>
      <c r="S1638" s="160"/>
      <c r="T1638" s="161"/>
      <c r="U1638" s="173"/>
      <c r="V1638" s="176"/>
      <c r="W1638" s="177"/>
      <c r="X1638" s="178"/>
      <c r="Y1638" s="159"/>
      <c r="Z1638" s="161"/>
      <c r="AA1638" s="160"/>
      <c r="AB1638" s="154" t="s">
        <v>204</v>
      </c>
      <c r="AD1638" s="154" t="s">
        <v>1408</v>
      </c>
      <c r="AF1638" s="154" t="s">
        <v>6376</v>
      </c>
      <c r="AQ1638" s="173"/>
      <c r="AR1638" s="174"/>
      <c r="AS1638" s="175"/>
      <c r="AT1638" s="159"/>
      <c r="AU1638" s="161"/>
      <c r="AV1638" s="173"/>
      <c r="AW1638" s="176"/>
      <c r="AX1638" s="177"/>
      <c r="AY1638" s="178"/>
      <c r="AZ1638" s="159"/>
      <c r="BA1638" s="161"/>
      <c r="BB1638" s="160"/>
    </row>
    <row r="1639" spans="1:59" s="154" customFormat="1" ht="15" customHeight="1">
      <c r="A1639" s="153" t="s">
        <v>6116</v>
      </c>
      <c r="B1639" s="188" t="s">
        <v>6140</v>
      </c>
      <c r="C1639" s="154" t="s">
        <v>6342</v>
      </c>
      <c r="D1639" s="154">
        <v>118</v>
      </c>
      <c r="E1639" s="154">
        <v>2</v>
      </c>
      <c r="G1639" s="154" t="s">
        <v>6141</v>
      </c>
      <c r="J1639" s="154" t="s">
        <v>257</v>
      </c>
      <c r="K1639" s="154" t="s">
        <v>200</v>
      </c>
      <c r="L1639" s="154">
        <v>0</v>
      </c>
      <c r="N1639" s="154">
        <v>3</v>
      </c>
      <c r="O1639" s="173"/>
      <c r="P1639" s="174"/>
      <c r="Q1639" s="175">
        <v>1</v>
      </c>
      <c r="R1639" s="159"/>
      <c r="S1639" s="160"/>
      <c r="T1639" s="161"/>
      <c r="U1639" s="173"/>
      <c r="V1639" s="176"/>
      <c r="W1639" s="177"/>
      <c r="X1639" s="178"/>
      <c r="Y1639" s="159"/>
      <c r="Z1639" s="161"/>
      <c r="AA1639" s="160"/>
      <c r="AB1639" s="154" t="s">
        <v>206</v>
      </c>
      <c r="AC1639" s="154" t="s">
        <v>6142</v>
      </c>
      <c r="AD1639" s="154" t="s">
        <v>2615</v>
      </c>
      <c r="AF1639" s="154" t="s">
        <v>6377</v>
      </c>
      <c r="AQ1639" s="173"/>
      <c r="AR1639" s="174"/>
      <c r="AS1639" s="175"/>
      <c r="AT1639" s="159"/>
      <c r="AU1639" s="161"/>
      <c r="AV1639" s="173"/>
      <c r="AW1639" s="176"/>
      <c r="AX1639" s="177"/>
      <c r="AY1639" s="178"/>
      <c r="AZ1639" s="159"/>
      <c r="BA1639" s="161"/>
      <c r="BB1639" s="160"/>
    </row>
    <row r="1640" spans="1:59" s="154" customFormat="1" ht="15" customHeight="1">
      <c r="A1640" s="153" t="s">
        <v>6116</v>
      </c>
      <c r="B1640" s="188" t="s">
        <v>6143</v>
      </c>
      <c r="C1640" s="154" t="s">
        <v>6342</v>
      </c>
      <c r="D1640" s="154">
        <v>119</v>
      </c>
      <c r="E1640" s="154">
        <v>2</v>
      </c>
      <c r="G1640" s="154" t="s">
        <v>6144</v>
      </c>
      <c r="J1640" s="154" t="s">
        <v>257</v>
      </c>
      <c r="K1640" s="154" t="s">
        <v>202</v>
      </c>
      <c r="L1640" s="154">
        <v>0</v>
      </c>
      <c r="N1640" s="154">
        <v>3</v>
      </c>
      <c r="O1640" s="173"/>
      <c r="P1640" s="174"/>
      <c r="Q1640" s="175"/>
      <c r="R1640" s="159">
        <v>1</v>
      </c>
      <c r="S1640" s="160"/>
      <c r="T1640" s="161"/>
      <c r="U1640" s="173"/>
      <c r="V1640" s="176"/>
      <c r="W1640" s="177"/>
      <c r="X1640" s="178"/>
      <c r="Y1640" s="159"/>
      <c r="Z1640" s="161"/>
      <c r="AA1640" s="160"/>
      <c r="AB1640" s="154" t="s">
        <v>207</v>
      </c>
      <c r="AC1640" s="154" t="s">
        <v>275</v>
      </c>
      <c r="AD1640" s="154" t="s">
        <v>375</v>
      </c>
      <c r="AF1640" s="154" t="s">
        <v>6378</v>
      </c>
      <c r="AQ1640" s="173"/>
      <c r="AR1640" s="174"/>
      <c r="AS1640" s="175"/>
      <c r="AT1640" s="159"/>
      <c r="AU1640" s="161"/>
      <c r="AV1640" s="173"/>
      <c r="AW1640" s="176"/>
      <c r="AX1640" s="177"/>
      <c r="AY1640" s="178"/>
      <c r="AZ1640" s="159"/>
      <c r="BA1640" s="161"/>
      <c r="BB1640" s="160"/>
    </row>
    <row r="1641" spans="1:59" s="154" customFormat="1" ht="15" customHeight="1">
      <c r="A1641" s="153" t="s">
        <v>6116</v>
      </c>
      <c r="B1641" s="188" t="s">
        <v>6145</v>
      </c>
      <c r="C1641" s="154" t="s">
        <v>6342</v>
      </c>
      <c r="D1641" s="154">
        <v>120</v>
      </c>
      <c r="E1641" s="154">
        <v>1</v>
      </c>
      <c r="F1641" s="154" t="s">
        <v>6146</v>
      </c>
      <c r="G1641" s="154" t="s">
        <v>6146</v>
      </c>
      <c r="J1641" s="154" t="s">
        <v>618</v>
      </c>
      <c r="K1641" s="154" t="s">
        <v>2426</v>
      </c>
      <c r="O1641" s="173"/>
      <c r="P1641" s="174"/>
      <c r="Q1641" s="175"/>
      <c r="R1641" s="159"/>
      <c r="S1641" s="160"/>
      <c r="T1641" s="161"/>
      <c r="U1641" s="173"/>
      <c r="V1641" s="176"/>
      <c r="W1641" s="177"/>
      <c r="X1641" s="178"/>
      <c r="Y1641" s="159"/>
      <c r="Z1641" s="161"/>
      <c r="AA1641" s="160"/>
      <c r="AF1641" s="154" t="s">
        <v>6379</v>
      </c>
      <c r="AI1641" s="154" t="s">
        <v>6146</v>
      </c>
      <c r="AL1641" s="154" t="s">
        <v>618</v>
      </c>
      <c r="AM1641" s="154" t="s">
        <v>2426</v>
      </c>
      <c r="AQ1641" s="173"/>
      <c r="AR1641" s="174"/>
      <c r="AS1641" s="175"/>
      <c r="AT1641" s="159"/>
      <c r="AU1641" s="161"/>
      <c r="AV1641" s="173"/>
      <c r="AW1641" s="176"/>
      <c r="AX1641" s="177"/>
      <c r="AY1641" s="178"/>
      <c r="AZ1641" s="159"/>
      <c r="BA1641" s="161"/>
      <c r="BB1641" s="160"/>
      <c r="BG1641" s="154" t="s">
        <v>6380</v>
      </c>
    </row>
    <row r="1642" spans="1:59" s="154" customFormat="1" ht="15" customHeight="1">
      <c r="A1642" s="153" t="s">
        <v>6116</v>
      </c>
      <c r="B1642" s="188" t="s">
        <v>6147</v>
      </c>
      <c r="C1642" s="154" t="s">
        <v>6342</v>
      </c>
      <c r="D1642" s="154">
        <v>121</v>
      </c>
      <c r="E1642" s="154">
        <v>1</v>
      </c>
      <c r="F1642" s="154" t="s">
        <v>6146</v>
      </c>
      <c r="G1642" s="154" t="s">
        <v>6148</v>
      </c>
      <c r="J1642" s="154" t="s">
        <v>619</v>
      </c>
      <c r="K1642" s="154" t="s">
        <v>2426</v>
      </c>
      <c r="L1642" s="154">
        <v>1</v>
      </c>
      <c r="O1642" s="173"/>
      <c r="P1642" s="174"/>
      <c r="Q1642" s="175"/>
      <c r="R1642" s="159"/>
      <c r="S1642" s="160"/>
      <c r="T1642" s="161"/>
      <c r="U1642" s="173"/>
      <c r="V1642" s="176"/>
      <c r="W1642" s="177"/>
      <c r="X1642" s="178"/>
      <c r="Y1642" s="159"/>
      <c r="Z1642" s="161">
        <v>4</v>
      </c>
      <c r="AA1642" s="160"/>
      <c r="AF1642" s="154" t="s">
        <v>6381</v>
      </c>
      <c r="AI1642" s="154" t="s">
        <v>6149</v>
      </c>
      <c r="AL1642" s="154" t="s">
        <v>619</v>
      </c>
      <c r="AM1642" s="154" t="s">
        <v>2426</v>
      </c>
      <c r="AN1642" s="154">
        <v>1</v>
      </c>
      <c r="AQ1642" s="173"/>
      <c r="AR1642" s="174"/>
      <c r="AS1642" s="175"/>
      <c r="AT1642" s="159"/>
      <c r="AU1642" s="161"/>
      <c r="AV1642" s="173"/>
      <c r="AW1642" s="176"/>
      <c r="AX1642" s="177"/>
      <c r="AY1642" s="178"/>
      <c r="AZ1642" s="159"/>
      <c r="BA1642" s="161"/>
      <c r="BB1642" s="160"/>
      <c r="BG1642" s="154" t="s">
        <v>6150</v>
      </c>
    </row>
    <row r="1643" spans="1:59" s="154" customFormat="1" ht="15" customHeight="1">
      <c r="A1643" s="153" t="s">
        <v>6116</v>
      </c>
      <c r="B1643" s="189" t="s">
        <v>6151</v>
      </c>
      <c r="C1643" s="154" t="s">
        <v>6342</v>
      </c>
      <c r="D1643" s="154">
        <v>122</v>
      </c>
      <c r="E1643" s="154">
        <v>1</v>
      </c>
      <c r="F1643" s="154" t="s">
        <v>6146</v>
      </c>
      <c r="G1643" s="154" t="s">
        <v>6152</v>
      </c>
      <c r="J1643" s="154" t="s">
        <v>619</v>
      </c>
      <c r="K1643" s="154" t="s">
        <v>2426</v>
      </c>
      <c r="L1643" s="154">
        <v>2</v>
      </c>
      <c r="O1643" s="173"/>
      <c r="P1643" s="174"/>
      <c r="Q1643" s="175"/>
      <c r="R1643" s="159"/>
      <c r="S1643" s="160"/>
      <c r="T1643" s="161"/>
      <c r="U1643" s="173"/>
      <c r="V1643" s="176"/>
      <c r="W1643" s="177"/>
      <c r="X1643" s="178"/>
      <c r="Y1643" s="159"/>
      <c r="Z1643" s="161">
        <v>6</v>
      </c>
      <c r="AA1643" s="160"/>
      <c r="AF1643" s="154" t="s">
        <v>6382</v>
      </c>
      <c r="AI1643" s="154" t="s">
        <v>6153</v>
      </c>
      <c r="AL1643" s="154" t="s">
        <v>619</v>
      </c>
      <c r="AM1643" s="154" t="s">
        <v>2426</v>
      </c>
      <c r="AN1643" s="154">
        <v>2</v>
      </c>
      <c r="AQ1643" s="173"/>
      <c r="AR1643" s="174"/>
      <c r="AS1643" s="175"/>
      <c r="AT1643" s="159"/>
      <c r="AU1643" s="161"/>
      <c r="AV1643" s="173"/>
      <c r="AW1643" s="176"/>
      <c r="AX1643" s="177"/>
      <c r="AY1643" s="178"/>
      <c r="AZ1643" s="159"/>
      <c r="BA1643" s="161"/>
      <c r="BB1643" s="160"/>
      <c r="BG1643" s="154" t="s">
        <v>6154</v>
      </c>
    </row>
    <row r="1644" spans="1:59" s="154" customFormat="1" ht="15" customHeight="1">
      <c r="A1644" s="153" t="s">
        <v>6116</v>
      </c>
      <c r="B1644" s="188" t="s">
        <v>6155</v>
      </c>
      <c r="C1644" s="154" t="s">
        <v>6342</v>
      </c>
      <c r="D1644" s="154">
        <v>123</v>
      </c>
      <c r="E1644" s="154">
        <v>1</v>
      </c>
      <c r="F1644" s="154" t="s">
        <v>6146</v>
      </c>
      <c r="G1644" s="154" t="s">
        <v>6156</v>
      </c>
      <c r="J1644" s="154" t="s">
        <v>619</v>
      </c>
      <c r="K1644" s="154" t="s">
        <v>2426</v>
      </c>
      <c r="L1644" s="154">
        <v>3</v>
      </c>
      <c r="O1644" s="173"/>
      <c r="P1644" s="174"/>
      <c r="Q1644" s="175"/>
      <c r="R1644" s="159"/>
      <c r="S1644" s="160"/>
      <c r="T1644" s="161"/>
      <c r="U1644" s="173"/>
      <c r="V1644" s="176"/>
      <c r="W1644" s="177"/>
      <c r="X1644" s="178"/>
      <c r="Y1644" s="159"/>
      <c r="Z1644" s="161">
        <v>8</v>
      </c>
      <c r="AA1644" s="160"/>
      <c r="AF1644" s="154" t="s">
        <v>6383</v>
      </c>
      <c r="AI1644" s="154" t="s">
        <v>6157</v>
      </c>
      <c r="AL1644" s="154" t="s">
        <v>619</v>
      </c>
      <c r="AM1644" s="154" t="s">
        <v>2426</v>
      </c>
      <c r="AN1644" s="154">
        <v>3</v>
      </c>
      <c r="AQ1644" s="173"/>
      <c r="AR1644" s="174"/>
      <c r="AS1644" s="175"/>
      <c r="AT1644" s="159"/>
      <c r="AU1644" s="161"/>
      <c r="AV1644" s="173"/>
      <c r="AW1644" s="176"/>
      <c r="AX1644" s="177"/>
      <c r="AY1644" s="178"/>
      <c r="AZ1644" s="159"/>
      <c r="BA1644" s="161"/>
      <c r="BB1644" s="160"/>
      <c r="BG1644" s="154" t="s">
        <v>6158</v>
      </c>
    </row>
    <row r="1645" spans="1:59" s="154" customFormat="1" ht="15" customHeight="1">
      <c r="A1645" s="153" t="s">
        <v>6116</v>
      </c>
      <c r="B1645" s="188" t="s">
        <v>6159</v>
      </c>
      <c r="C1645" s="154" t="s">
        <v>6342</v>
      </c>
      <c r="D1645" s="154">
        <v>124</v>
      </c>
      <c r="E1645" s="154">
        <v>1</v>
      </c>
      <c r="F1645" s="154" t="s">
        <v>6146</v>
      </c>
      <c r="G1645" s="154" t="s">
        <v>6160</v>
      </c>
      <c r="J1645" s="154" t="s">
        <v>619</v>
      </c>
      <c r="K1645" s="154" t="s">
        <v>2426</v>
      </c>
      <c r="L1645" s="154">
        <v>4</v>
      </c>
      <c r="O1645" s="173"/>
      <c r="P1645" s="174"/>
      <c r="Q1645" s="175"/>
      <c r="R1645" s="159"/>
      <c r="S1645" s="160"/>
      <c r="T1645" s="161"/>
      <c r="U1645" s="173"/>
      <c r="V1645" s="176"/>
      <c r="W1645" s="177"/>
      <c r="X1645" s="178"/>
      <c r="Y1645" s="159"/>
      <c r="Z1645" s="161">
        <v>8</v>
      </c>
      <c r="AA1645" s="160"/>
      <c r="AF1645" s="154" t="s">
        <v>6384</v>
      </c>
      <c r="AI1645" s="154" t="s">
        <v>6161</v>
      </c>
      <c r="AL1645" s="154" t="s">
        <v>619</v>
      </c>
      <c r="AM1645" s="154" t="s">
        <v>2426</v>
      </c>
      <c r="AN1645" s="154">
        <v>4</v>
      </c>
      <c r="AQ1645" s="173"/>
      <c r="AR1645" s="174"/>
      <c r="AS1645" s="175"/>
      <c r="AT1645" s="159"/>
      <c r="AU1645" s="161"/>
      <c r="AV1645" s="173"/>
      <c r="AW1645" s="176"/>
      <c r="AX1645" s="177"/>
      <c r="AY1645" s="178"/>
      <c r="AZ1645" s="159"/>
      <c r="BA1645" s="161"/>
      <c r="BB1645" s="160"/>
      <c r="BG1645" s="154" t="s">
        <v>1886</v>
      </c>
    </row>
    <row r="1646" spans="1:59" s="154" customFormat="1" ht="15" customHeight="1">
      <c r="A1646" s="153" t="s">
        <v>6116</v>
      </c>
      <c r="B1646" s="188" t="s">
        <v>6162</v>
      </c>
      <c r="C1646" s="154" t="s">
        <v>6342</v>
      </c>
      <c r="D1646" s="154">
        <v>125</v>
      </c>
      <c r="E1646" s="154">
        <v>1</v>
      </c>
      <c r="F1646" s="154" t="s">
        <v>6146</v>
      </c>
      <c r="G1646" s="154" t="s">
        <v>6163</v>
      </c>
      <c r="J1646" s="154" t="s">
        <v>621</v>
      </c>
      <c r="K1646" s="154" t="s">
        <v>2426</v>
      </c>
      <c r="L1646" s="154">
        <v>1</v>
      </c>
      <c r="O1646" s="173"/>
      <c r="P1646" s="174"/>
      <c r="Q1646" s="175"/>
      <c r="R1646" s="159"/>
      <c r="S1646" s="160"/>
      <c r="T1646" s="161"/>
      <c r="U1646" s="173"/>
      <c r="V1646" s="176"/>
      <c r="W1646" s="177"/>
      <c r="X1646" s="178"/>
      <c r="Y1646" s="159" t="s">
        <v>1112</v>
      </c>
      <c r="Z1646" s="161"/>
      <c r="AA1646" s="160"/>
      <c r="AF1646" s="154" t="s">
        <v>6385</v>
      </c>
      <c r="AI1646" s="154" t="s">
        <v>6164</v>
      </c>
      <c r="AL1646" s="154" t="s">
        <v>621</v>
      </c>
      <c r="AM1646" s="154" t="s">
        <v>2426</v>
      </c>
      <c r="AN1646" s="154">
        <v>1</v>
      </c>
      <c r="AQ1646" s="173"/>
      <c r="AR1646" s="174"/>
      <c r="AS1646" s="175"/>
      <c r="AT1646" s="159"/>
      <c r="AU1646" s="161"/>
      <c r="AV1646" s="173"/>
      <c r="AW1646" s="176"/>
      <c r="AX1646" s="177"/>
      <c r="AY1646" s="178"/>
      <c r="AZ1646" s="159"/>
      <c r="BA1646" s="161"/>
      <c r="BB1646" s="160"/>
      <c r="BG1646" s="154" t="s">
        <v>6386</v>
      </c>
    </row>
    <row r="1647" spans="1:59" s="154" customFormat="1" ht="15" customHeight="1">
      <c r="A1647" s="153" t="s">
        <v>6116</v>
      </c>
      <c r="B1647" s="189" t="s">
        <v>6165</v>
      </c>
      <c r="C1647" s="154" t="s">
        <v>6342</v>
      </c>
      <c r="D1647" s="154">
        <v>126</v>
      </c>
      <c r="E1647" s="154">
        <v>1</v>
      </c>
      <c r="F1647" s="154" t="s">
        <v>6146</v>
      </c>
      <c r="G1647" s="154" t="s">
        <v>6166</v>
      </c>
      <c r="J1647" s="154" t="s">
        <v>621</v>
      </c>
      <c r="K1647" s="154" t="s">
        <v>2426</v>
      </c>
      <c r="L1647" s="154">
        <v>2</v>
      </c>
      <c r="O1647" s="173"/>
      <c r="P1647" s="174"/>
      <c r="Q1647" s="175"/>
      <c r="R1647" s="159"/>
      <c r="S1647" s="160"/>
      <c r="T1647" s="161"/>
      <c r="U1647" s="173"/>
      <c r="V1647" s="176"/>
      <c r="W1647" s="177"/>
      <c r="X1647" s="178"/>
      <c r="Y1647" s="159" t="s">
        <v>1077</v>
      </c>
      <c r="Z1647" s="161"/>
      <c r="AA1647" s="160"/>
      <c r="AF1647" s="154" t="s">
        <v>6387</v>
      </c>
      <c r="AI1647" s="154" t="s">
        <v>6167</v>
      </c>
      <c r="AL1647" s="154" t="s">
        <v>621</v>
      </c>
      <c r="AM1647" s="154" t="s">
        <v>2426</v>
      </c>
      <c r="AN1647" s="154">
        <v>2</v>
      </c>
      <c r="AQ1647" s="173"/>
      <c r="AR1647" s="174"/>
      <c r="AS1647" s="175"/>
      <c r="AT1647" s="159"/>
      <c r="AU1647" s="161"/>
      <c r="AV1647" s="173"/>
      <c r="AW1647" s="176"/>
      <c r="AX1647" s="177"/>
      <c r="AY1647" s="178"/>
      <c r="AZ1647" s="159"/>
      <c r="BA1647" s="161"/>
      <c r="BB1647" s="160"/>
      <c r="BG1647" s="154" t="s">
        <v>6168</v>
      </c>
    </row>
    <row r="1648" spans="1:59" s="154" customFormat="1" ht="15" customHeight="1">
      <c r="A1648" s="153" t="s">
        <v>6116</v>
      </c>
      <c r="B1648" s="188" t="s">
        <v>6169</v>
      </c>
      <c r="C1648" s="154" t="s">
        <v>6342</v>
      </c>
      <c r="D1648" s="154">
        <v>127</v>
      </c>
      <c r="E1648" s="154">
        <v>1</v>
      </c>
      <c r="F1648" s="154" t="s">
        <v>6146</v>
      </c>
      <c r="G1648" s="154" t="s">
        <v>6170</v>
      </c>
      <c r="J1648" s="154" t="s">
        <v>621</v>
      </c>
      <c r="K1648" s="154" t="s">
        <v>2426</v>
      </c>
      <c r="L1648" s="154">
        <v>3</v>
      </c>
      <c r="O1648" s="173"/>
      <c r="P1648" s="174"/>
      <c r="Q1648" s="175"/>
      <c r="R1648" s="159"/>
      <c r="S1648" s="160"/>
      <c r="T1648" s="161"/>
      <c r="U1648" s="173"/>
      <c r="V1648" s="176"/>
      <c r="W1648" s="177"/>
      <c r="X1648" s="178"/>
      <c r="Y1648" s="159" t="s">
        <v>38</v>
      </c>
      <c r="Z1648" s="161"/>
      <c r="AA1648" s="160"/>
      <c r="AF1648" s="154" t="s">
        <v>6388</v>
      </c>
      <c r="AI1648" s="154" t="s">
        <v>6171</v>
      </c>
      <c r="AL1648" s="154" t="s">
        <v>621</v>
      </c>
      <c r="AM1648" s="154" t="s">
        <v>2426</v>
      </c>
      <c r="AN1648" s="154">
        <v>3</v>
      </c>
      <c r="AQ1648" s="173"/>
      <c r="AR1648" s="174"/>
      <c r="AS1648" s="175"/>
      <c r="AT1648" s="159"/>
      <c r="AU1648" s="161"/>
      <c r="AV1648" s="173"/>
      <c r="AW1648" s="176"/>
      <c r="AX1648" s="177"/>
      <c r="AY1648" s="178"/>
      <c r="AZ1648" s="159"/>
      <c r="BA1648" s="161"/>
      <c r="BB1648" s="160"/>
      <c r="BG1648" s="154" t="s">
        <v>2212</v>
      </c>
    </row>
    <row r="1649" spans="1:59" s="154" customFormat="1" ht="15" customHeight="1">
      <c r="A1649" s="153" t="s">
        <v>6116</v>
      </c>
      <c r="B1649" s="188" t="s">
        <v>6172</v>
      </c>
      <c r="C1649" s="154" t="s">
        <v>6342</v>
      </c>
      <c r="D1649" s="154">
        <v>128</v>
      </c>
      <c r="E1649" s="154">
        <v>1</v>
      </c>
      <c r="F1649" s="154" t="s">
        <v>6146</v>
      </c>
      <c r="G1649" s="154" t="s">
        <v>6173</v>
      </c>
      <c r="J1649" s="154" t="s">
        <v>31</v>
      </c>
      <c r="K1649" s="154" t="s">
        <v>2426</v>
      </c>
      <c r="O1649" s="173"/>
      <c r="P1649" s="174"/>
      <c r="Q1649" s="175"/>
      <c r="R1649" s="159"/>
      <c r="S1649" s="160"/>
      <c r="T1649" s="161"/>
      <c r="U1649" s="173"/>
      <c r="V1649" s="176"/>
      <c r="W1649" s="177"/>
      <c r="X1649" s="178"/>
      <c r="Y1649" s="159"/>
      <c r="Z1649" s="161"/>
      <c r="AA1649" s="160"/>
      <c r="AD1649" s="154" t="s">
        <v>6174</v>
      </c>
      <c r="AI1649" s="154" t="s">
        <v>6173</v>
      </c>
      <c r="AL1649" s="154" t="s">
        <v>31</v>
      </c>
      <c r="AM1649" s="154" t="s">
        <v>2426</v>
      </c>
      <c r="AQ1649" s="173"/>
      <c r="AR1649" s="174"/>
      <c r="AS1649" s="175"/>
      <c r="AT1649" s="159"/>
      <c r="AU1649" s="161"/>
      <c r="AV1649" s="173"/>
      <c r="AW1649" s="176"/>
      <c r="AX1649" s="177"/>
      <c r="AY1649" s="178">
        <v>4</v>
      </c>
      <c r="AZ1649" s="159" t="s">
        <v>1073</v>
      </c>
      <c r="BA1649" s="161"/>
      <c r="BB1649" s="160"/>
      <c r="BE1649" s="154" t="s">
        <v>6174</v>
      </c>
      <c r="BG1649" s="154" t="s">
        <v>6389</v>
      </c>
    </row>
    <row r="1650" spans="1:59" s="154" customFormat="1" ht="15" customHeight="1">
      <c r="A1650" s="153" t="s">
        <v>6116</v>
      </c>
      <c r="B1650" s="188" t="s">
        <v>6175</v>
      </c>
      <c r="C1650" s="154" t="s">
        <v>6342</v>
      </c>
      <c r="D1650" s="154">
        <v>129</v>
      </c>
      <c r="E1650" s="154">
        <v>1</v>
      </c>
      <c r="F1650" s="154" t="s">
        <v>6146</v>
      </c>
      <c r="G1650" s="154" t="s">
        <v>6176</v>
      </c>
      <c r="J1650" s="154" t="s">
        <v>31</v>
      </c>
      <c r="K1650" s="154" t="s">
        <v>2426</v>
      </c>
      <c r="O1650" s="173"/>
      <c r="P1650" s="174"/>
      <c r="Q1650" s="175"/>
      <c r="R1650" s="159"/>
      <c r="S1650" s="160"/>
      <c r="T1650" s="161"/>
      <c r="U1650" s="173"/>
      <c r="V1650" s="176"/>
      <c r="W1650" s="177"/>
      <c r="X1650" s="178"/>
      <c r="Y1650" s="159"/>
      <c r="Z1650" s="161"/>
      <c r="AA1650" s="160"/>
      <c r="AD1650" s="154" t="s">
        <v>6174</v>
      </c>
      <c r="AI1650" s="154" t="s">
        <v>6177</v>
      </c>
      <c r="AL1650" s="154" t="s">
        <v>31</v>
      </c>
      <c r="AM1650" s="154" t="s">
        <v>2426</v>
      </c>
      <c r="AQ1650" s="173"/>
      <c r="AR1650" s="174"/>
      <c r="AS1650" s="175"/>
      <c r="AT1650" s="159"/>
      <c r="AU1650" s="161"/>
      <c r="AV1650" s="173"/>
      <c r="AW1650" s="176"/>
      <c r="AX1650" s="177"/>
      <c r="AY1650" s="178">
        <v>2</v>
      </c>
      <c r="AZ1650" s="159" t="s">
        <v>1073</v>
      </c>
      <c r="BA1650" s="161"/>
      <c r="BB1650" s="160"/>
      <c r="BE1650" s="154" t="s">
        <v>6174</v>
      </c>
      <c r="BG1650" s="154" t="s">
        <v>6390</v>
      </c>
    </row>
    <row r="1651" spans="1:59" s="154" customFormat="1" ht="15" customHeight="1">
      <c r="A1651" s="153" t="s">
        <v>6116</v>
      </c>
      <c r="B1651" s="188" t="s">
        <v>6178</v>
      </c>
      <c r="C1651" s="154" t="s">
        <v>6342</v>
      </c>
      <c r="D1651" s="154">
        <v>130</v>
      </c>
      <c r="E1651" s="154">
        <v>1</v>
      </c>
      <c r="F1651" s="154" t="s">
        <v>6146</v>
      </c>
      <c r="G1651" s="154" t="s">
        <v>6179</v>
      </c>
      <c r="J1651" s="154" t="s">
        <v>31</v>
      </c>
      <c r="K1651" s="154" t="s">
        <v>2426</v>
      </c>
      <c r="O1651" s="173"/>
      <c r="P1651" s="174"/>
      <c r="Q1651" s="175"/>
      <c r="R1651" s="159"/>
      <c r="S1651" s="160"/>
      <c r="T1651" s="161"/>
      <c r="U1651" s="173"/>
      <c r="V1651" s="176"/>
      <c r="W1651" s="177"/>
      <c r="X1651" s="178"/>
      <c r="Y1651" s="159"/>
      <c r="Z1651" s="161"/>
      <c r="AA1651" s="160"/>
      <c r="AD1651" s="154" t="s">
        <v>6174</v>
      </c>
      <c r="AI1651" s="154" t="s">
        <v>6177</v>
      </c>
      <c r="AL1651" s="154" t="s">
        <v>31</v>
      </c>
      <c r="AM1651" s="154" t="s">
        <v>2426</v>
      </c>
      <c r="AQ1651" s="173"/>
      <c r="AR1651" s="174"/>
      <c r="AS1651" s="175"/>
      <c r="AT1651" s="159"/>
      <c r="AU1651" s="161"/>
      <c r="AV1651" s="173"/>
      <c r="AW1651" s="176"/>
      <c r="AX1651" s="177"/>
      <c r="AY1651" s="178">
        <v>3</v>
      </c>
      <c r="AZ1651" s="159" t="s">
        <v>1073</v>
      </c>
      <c r="BA1651" s="161"/>
      <c r="BB1651" s="160"/>
      <c r="BE1651" s="154" t="s">
        <v>6174</v>
      </c>
      <c r="BG1651" s="154" t="s">
        <v>6391</v>
      </c>
    </row>
    <row r="1652" spans="1:59" s="154" customFormat="1" ht="15" customHeight="1">
      <c r="A1652" s="153" t="s">
        <v>6116</v>
      </c>
      <c r="B1652" s="188" t="s">
        <v>6180</v>
      </c>
      <c r="C1652" s="154" t="s">
        <v>6342</v>
      </c>
      <c r="D1652" s="154">
        <v>131</v>
      </c>
      <c r="E1652" s="154">
        <v>1</v>
      </c>
      <c r="F1652" s="154" t="s">
        <v>6146</v>
      </c>
      <c r="G1652" s="154" t="s">
        <v>6181</v>
      </c>
      <c r="J1652" s="154" t="s">
        <v>31</v>
      </c>
      <c r="K1652" s="154" t="s">
        <v>2426</v>
      </c>
      <c r="O1652" s="173"/>
      <c r="P1652" s="174"/>
      <c r="Q1652" s="175"/>
      <c r="R1652" s="159"/>
      <c r="S1652" s="160"/>
      <c r="T1652" s="161"/>
      <c r="U1652" s="173"/>
      <c r="V1652" s="176"/>
      <c r="W1652" s="177"/>
      <c r="X1652" s="178"/>
      <c r="Y1652" s="159"/>
      <c r="Z1652" s="161"/>
      <c r="AA1652" s="160"/>
      <c r="AD1652" s="154" t="s">
        <v>6174</v>
      </c>
      <c r="AI1652" s="154" t="s">
        <v>6177</v>
      </c>
      <c r="AL1652" s="154" t="s">
        <v>31</v>
      </c>
      <c r="AM1652" s="154" t="s">
        <v>2426</v>
      </c>
      <c r="AQ1652" s="173"/>
      <c r="AR1652" s="174"/>
      <c r="AS1652" s="175"/>
      <c r="AT1652" s="159"/>
      <c r="AU1652" s="161"/>
      <c r="AV1652" s="173"/>
      <c r="AW1652" s="176"/>
      <c r="AX1652" s="177"/>
      <c r="AY1652" s="178">
        <v>3</v>
      </c>
      <c r="AZ1652" s="159" t="s">
        <v>1073</v>
      </c>
      <c r="BA1652" s="161"/>
      <c r="BB1652" s="160"/>
      <c r="BE1652" s="154" t="s">
        <v>6174</v>
      </c>
      <c r="BG1652" s="154" t="s">
        <v>6392</v>
      </c>
    </row>
    <row r="1653" spans="1:59" s="154" customFormat="1" ht="15" customHeight="1">
      <c r="A1653" s="153" t="s">
        <v>6116</v>
      </c>
      <c r="B1653" s="189" t="s">
        <v>6182</v>
      </c>
      <c r="C1653" s="154" t="s">
        <v>6342</v>
      </c>
      <c r="D1653" s="154">
        <v>132</v>
      </c>
      <c r="E1653" s="154">
        <v>1</v>
      </c>
      <c r="F1653" s="154" t="s">
        <v>6146</v>
      </c>
      <c r="G1653" s="154" t="s">
        <v>6183</v>
      </c>
      <c r="J1653" s="154" t="s">
        <v>31</v>
      </c>
      <c r="K1653" s="154" t="s">
        <v>2426</v>
      </c>
      <c r="O1653" s="173"/>
      <c r="P1653" s="174"/>
      <c r="Q1653" s="175"/>
      <c r="R1653" s="159"/>
      <c r="S1653" s="160"/>
      <c r="T1653" s="161"/>
      <c r="U1653" s="173"/>
      <c r="V1653" s="176"/>
      <c r="W1653" s="177"/>
      <c r="X1653" s="178"/>
      <c r="Y1653" s="159"/>
      <c r="Z1653" s="161"/>
      <c r="AA1653" s="160"/>
      <c r="AD1653" s="154" t="s">
        <v>6174</v>
      </c>
      <c r="AI1653" s="154" t="s">
        <v>6183</v>
      </c>
      <c r="AL1653" s="154" t="s">
        <v>31</v>
      </c>
      <c r="AM1653" s="154" t="s">
        <v>2426</v>
      </c>
      <c r="AQ1653" s="173"/>
      <c r="AR1653" s="174"/>
      <c r="AS1653" s="175"/>
      <c r="AT1653" s="159"/>
      <c r="AU1653" s="161"/>
      <c r="AV1653" s="173"/>
      <c r="AW1653" s="176"/>
      <c r="AX1653" s="177"/>
      <c r="AY1653" s="178">
        <v>4</v>
      </c>
      <c r="AZ1653" s="159" t="s">
        <v>1073</v>
      </c>
      <c r="BA1653" s="161"/>
      <c r="BB1653" s="160"/>
      <c r="BE1653" s="154" t="s">
        <v>6174</v>
      </c>
      <c r="BG1653" s="154" t="s">
        <v>6393</v>
      </c>
    </row>
    <row r="1654" spans="1:59" s="154" customFormat="1" ht="15" customHeight="1">
      <c r="A1654" s="153" t="s">
        <v>6116</v>
      </c>
      <c r="B1654" s="188" t="s">
        <v>6184</v>
      </c>
      <c r="C1654" s="154" t="s">
        <v>6342</v>
      </c>
      <c r="D1654" s="154">
        <v>133</v>
      </c>
      <c r="E1654" s="154">
        <v>1</v>
      </c>
      <c r="F1654" s="154" t="s">
        <v>6146</v>
      </c>
      <c r="G1654" s="154" t="s">
        <v>6185</v>
      </c>
      <c r="J1654" s="154" t="s">
        <v>31</v>
      </c>
      <c r="K1654" s="154" t="s">
        <v>2426</v>
      </c>
      <c r="O1654" s="173"/>
      <c r="P1654" s="174"/>
      <c r="Q1654" s="175"/>
      <c r="R1654" s="159"/>
      <c r="S1654" s="160"/>
      <c r="T1654" s="161"/>
      <c r="U1654" s="173"/>
      <c r="V1654" s="176"/>
      <c r="W1654" s="177"/>
      <c r="X1654" s="178"/>
      <c r="Y1654" s="159"/>
      <c r="Z1654" s="161"/>
      <c r="AA1654" s="160"/>
      <c r="AD1654" s="154" t="s">
        <v>6186</v>
      </c>
      <c r="AI1654" s="154" t="s">
        <v>6185</v>
      </c>
      <c r="AL1654" s="154" t="s">
        <v>31</v>
      </c>
      <c r="AM1654" s="154" t="s">
        <v>2426</v>
      </c>
      <c r="AQ1654" s="173"/>
      <c r="AR1654" s="174"/>
      <c r="AS1654" s="175"/>
      <c r="AT1654" s="159"/>
      <c r="AU1654" s="161"/>
      <c r="AV1654" s="173"/>
      <c r="AW1654" s="176"/>
      <c r="AX1654" s="177"/>
      <c r="AY1654" s="178">
        <v>3</v>
      </c>
      <c r="AZ1654" s="159">
        <v>0</v>
      </c>
      <c r="BA1654" s="161"/>
      <c r="BB1654" s="160"/>
      <c r="BE1654" s="154" t="s">
        <v>6186</v>
      </c>
      <c r="BG1654" s="154" t="s">
        <v>6394</v>
      </c>
    </row>
    <row r="1655" spans="1:59" s="154" customFormat="1" ht="15" customHeight="1">
      <c r="A1655" s="153" t="s">
        <v>6116</v>
      </c>
      <c r="B1655" s="188" t="s">
        <v>6187</v>
      </c>
      <c r="C1655" s="154" t="s">
        <v>6342</v>
      </c>
      <c r="D1655" s="154">
        <v>134</v>
      </c>
      <c r="E1655" s="154">
        <v>1</v>
      </c>
      <c r="F1655" s="154" t="s">
        <v>6146</v>
      </c>
      <c r="G1655" s="154" t="s">
        <v>6173</v>
      </c>
      <c r="J1655" s="154" t="s">
        <v>31</v>
      </c>
      <c r="K1655" s="154" t="s">
        <v>2426</v>
      </c>
      <c r="O1655" s="173"/>
      <c r="P1655" s="174"/>
      <c r="Q1655" s="175"/>
      <c r="R1655" s="159"/>
      <c r="S1655" s="160"/>
      <c r="T1655" s="161"/>
      <c r="U1655" s="173"/>
      <c r="V1655" s="176"/>
      <c r="W1655" s="177"/>
      <c r="X1655" s="178"/>
      <c r="Y1655" s="159"/>
      <c r="Z1655" s="161"/>
      <c r="AA1655" s="160"/>
      <c r="AD1655" s="154" t="s">
        <v>6188</v>
      </c>
      <c r="AI1655" s="153" t="s">
        <v>6189</v>
      </c>
      <c r="AJ1655" s="154" t="s">
        <v>6190</v>
      </c>
      <c r="AL1655" s="154" t="s">
        <v>31</v>
      </c>
      <c r="AM1655" s="154" t="s">
        <v>2426</v>
      </c>
      <c r="AQ1655" s="173"/>
      <c r="AR1655" s="174"/>
      <c r="AS1655" s="175"/>
      <c r="AT1655" s="159"/>
      <c r="AU1655" s="161"/>
      <c r="AV1655" s="173"/>
      <c r="AW1655" s="176"/>
      <c r="AX1655" s="177"/>
      <c r="AY1655" s="178">
        <v>2</v>
      </c>
      <c r="AZ1655" s="159">
        <v>0</v>
      </c>
      <c r="BA1655" s="161"/>
      <c r="BB1655" s="160"/>
      <c r="BE1655" s="154" t="s">
        <v>6188</v>
      </c>
      <c r="BG1655" s="154" t="s">
        <v>6395</v>
      </c>
    </row>
    <row r="1656" spans="1:59" s="154" customFormat="1" ht="15" customHeight="1">
      <c r="A1656" s="153" t="s">
        <v>6116</v>
      </c>
      <c r="B1656" s="189" t="s">
        <v>6191</v>
      </c>
      <c r="C1656" s="154" t="s">
        <v>6342</v>
      </c>
      <c r="D1656" s="154">
        <v>135</v>
      </c>
      <c r="E1656" s="154">
        <v>1</v>
      </c>
      <c r="F1656" s="154" t="s">
        <v>6146</v>
      </c>
      <c r="G1656" s="154" t="s">
        <v>6192</v>
      </c>
      <c r="J1656" s="154" t="s">
        <v>31</v>
      </c>
      <c r="K1656" s="154" t="s">
        <v>2426</v>
      </c>
      <c r="O1656" s="173"/>
      <c r="P1656" s="174"/>
      <c r="Q1656" s="175"/>
      <c r="R1656" s="159"/>
      <c r="S1656" s="160"/>
      <c r="T1656" s="161"/>
      <c r="U1656" s="173"/>
      <c r="V1656" s="176"/>
      <c r="W1656" s="177"/>
      <c r="X1656" s="178"/>
      <c r="Y1656" s="159"/>
      <c r="Z1656" s="161"/>
      <c r="AA1656" s="160"/>
      <c r="AD1656" s="154" t="s">
        <v>6193</v>
      </c>
      <c r="AI1656" s="154" t="s">
        <v>6189</v>
      </c>
      <c r="AL1656" s="154" t="s">
        <v>31</v>
      </c>
      <c r="AM1656" s="154" t="s">
        <v>2426</v>
      </c>
      <c r="AQ1656" s="173"/>
      <c r="AR1656" s="174"/>
      <c r="AS1656" s="175"/>
      <c r="AT1656" s="159"/>
      <c r="AU1656" s="161"/>
      <c r="AV1656" s="173"/>
      <c r="AW1656" s="176"/>
      <c r="AX1656" s="177"/>
      <c r="AY1656" s="178">
        <v>2</v>
      </c>
      <c r="AZ1656" s="159" t="s">
        <v>1111</v>
      </c>
      <c r="BA1656" s="161"/>
      <c r="BB1656" s="160">
        <v>1</v>
      </c>
      <c r="BE1656" s="154" t="s">
        <v>6193</v>
      </c>
      <c r="BG1656" s="154" t="s">
        <v>6396</v>
      </c>
    </row>
    <row r="1657" spans="1:59" s="154" customFormat="1" ht="15" customHeight="1">
      <c r="A1657" s="153" t="s">
        <v>6116</v>
      </c>
      <c r="B1657" s="188" t="s">
        <v>6194</v>
      </c>
      <c r="C1657" s="154" t="s">
        <v>6342</v>
      </c>
      <c r="D1657" s="154">
        <v>136</v>
      </c>
      <c r="E1657" s="154">
        <v>1</v>
      </c>
      <c r="F1657" s="154" t="s">
        <v>6146</v>
      </c>
      <c r="G1657" s="154" t="s">
        <v>6195</v>
      </c>
      <c r="J1657" s="154" t="s">
        <v>31</v>
      </c>
      <c r="K1657" s="154" t="s">
        <v>2426</v>
      </c>
      <c r="O1657" s="173"/>
      <c r="P1657" s="174"/>
      <c r="Q1657" s="175"/>
      <c r="R1657" s="159"/>
      <c r="S1657" s="160"/>
      <c r="T1657" s="161"/>
      <c r="U1657" s="173"/>
      <c r="V1657" s="176"/>
      <c r="W1657" s="177"/>
      <c r="X1657" s="178"/>
      <c r="Y1657" s="159"/>
      <c r="Z1657" s="161"/>
      <c r="AA1657" s="160"/>
      <c r="AD1657" s="154" t="s">
        <v>6193</v>
      </c>
      <c r="AI1657" s="154" t="s">
        <v>6189</v>
      </c>
      <c r="AL1657" s="154" t="s">
        <v>31</v>
      </c>
      <c r="AM1657" s="154" t="s">
        <v>2426</v>
      </c>
      <c r="AQ1657" s="173"/>
      <c r="AR1657" s="174"/>
      <c r="AS1657" s="175"/>
      <c r="AT1657" s="159"/>
      <c r="AU1657" s="161"/>
      <c r="AV1657" s="173"/>
      <c r="AW1657" s="176"/>
      <c r="AX1657" s="177"/>
      <c r="AY1657" s="178">
        <v>3</v>
      </c>
      <c r="AZ1657" s="159" t="s">
        <v>1111</v>
      </c>
      <c r="BA1657" s="161"/>
      <c r="BB1657" s="160">
        <v>1</v>
      </c>
      <c r="BE1657" s="154" t="s">
        <v>6193</v>
      </c>
      <c r="BG1657" s="154" t="s">
        <v>6397</v>
      </c>
    </row>
    <row r="1658" spans="1:59" s="154" customFormat="1" ht="15" customHeight="1">
      <c r="A1658" s="153" t="s">
        <v>6116</v>
      </c>
      <c r="B1658" s="188" t="s">
        <v>6196</v>
      </c>
      <c r="C1658" s="154" t="s">
        <v>6342</v>
      </c>
      <c r="D1658" s="154">
        <v>137</v>
      </c>
      <c r="E1658" s="154">
        <v>1</v>
      </c>
      <c r="F1658" s="154" t="s">
        <v>6146</v>
      </c>
      <c r="G1658" s="154" t="s">
        <v>6197</v>
      </c>
      <c r="J1658" s="154" t="s">
        <v>31</v>
      </c>
      <c r="K1658" s="154" t="s">
        <v>2426</v>
      </c>
      <c r="O1658" s="173"/>
      <c r="P1658" s="174"/>
      <c r="Q1658" s="175"/>
      <c r="R1658" s="159"/>
      <c r="S1658" s="160"/>
      <c r="T1658" s="161"/>
      <c r="U1658" s="173"/>
      <c r="V1658" s="176"/>
      <c r="W1658" s="177"/>
      <c r="X1658" s="178"/>
      <c r="Y1658" s="159"/>
      <c r="Z1658" s="161"/>
      <c r="AA1658" s="160"/>
      <c r="AD1658" s="154" t="s">
        <v>6188</v>
      </c>
      <c r="AI1658" s="154" t="s">
        <v>6189</v>
      </c>
      <c r="AL1658" s="154" t="s">
        <v>31</v>
      </c>
      <c r="AM1658" s="154" t="s">
        <v>2426</v>
      </c>
      <c r="AQ1658" s="173"/>
      <c r="AR1658" s="174"/>
      <c r="AS1658" s="175"/>
      <c r="AT1658" s="159"/>
      <c r="AU1658" s="161"/>
      <c r="AV1658" s="173"/>
      <c r="AW1658" s="176"/>
      <c r="AX1658" s="177"/>
      <c r="AY1658" s="178">
        <v>2</v>
      </c>
      <c r="AZ1658" s="159">
        <v>0</v>
      </c>
      <c r="BA1658" s="161"/>
      <c r="BB1658" s="160"/>
      <c r="BE1658" s="154" t="s">
        <v>6188</v>
      </c>
      <c r="BG1658" s="154" t="s">
        <v>6398</v>
      </c>
    </row>
    <row r="1659" spans="1:59" s="154" customFormat="1" ht="15" customHeight="1">
      <c r="A1659" s="153" t="s">
        <v>6116</v>
      </c>
      <c r="B1659" s="188" t="s">
        <v>6198</v>
      </c>
      <c r="C1659" s="154" t="s">
        <v>6342</v>
      </c>
      <c r="D1659" s="154">
        <v>138</v>
      </c>
      <c r="E1659" s="154">
        <v>1</v>
      </c>
      <c r="F1659" s="154" t="s">
        <v>6146</v>
      </c>
      <c r="G1659" s="154" t="s">
        <v>6199</v>
      </c>
      <c r="J1659" s="154" t="s">
        <v>31</v>
      </c>
      <c r="K1659" s="154" t="s">
        <v>2426</v>
      </c>
      <c r="O1659" s="173"/>
      <c r="P1659" s="174"/>
      <c r="Q1659" s="175"/>
      <c r="R1659" s="159"/>
      <c r="S1659" s="160"/>
      <c r="T1659" s="161"/>
      <c r="U1659" s="173"/>
      <c r="V1659" s="176"/>
      <c r="W1659" s="177"/>
      <c r="X1659" s="178"/>
      <c r="Y1659" s="159"/>
      <c r="Z1659" s="161"/>
      <c r="AA1659" s="160"/>
      <c r="AD1659" s="154" t="s">
        <v>6200</v>
      </c>
      <c r="AI1659" s="154" t="s">
        <v>6189</v>
      </c>
      <c r="AL1659" s="154" t="s">
        <v>31</v>
      </c>
      <c r="AM1659" s="154" t="s">
        <v>2426</v>
      </c>
      <c r="AQ1659" s="173"/>
      <c r="AR1659" s="174"/>
      <c r="AS1659" s="175"/>
      <c r="AT1659" s="159"/>
      <c r="AU1659" s="161"/>
      <c r="AV1659" s="173"/>
      <c r="AW1659" s="176"/>
      <c r="AX1659" s="177"/>
      <c r="AY1659" s="178">
        <v>3</v>
      </c>
      <c r="AZ1659" s="159" t="s">
        <v>1073</v>
      </c>
      <c r="BA1659" s="161"/>
      <c r="BB1659" s="160"/>
      <c r="BE1659" s="154" t="s">
        <v>6200</v>
      </c>
      <c r="BG1659" s="154" t="s">
        <v>6399</v>
      </c>
    </row>
    <row r="1660" spans="1:59" s="154" customFormat="1" ht="15" customHeight="1">
      <c r="A1660" s="153" t="s">
        <v>6116</v>
      </c>
      <c r="B1660" s="189" t="s">
        <v>6201</v>
      </c>
      <c r="C1660" s="154" t="s">
        <v>6342</v>
      </c>
      <c r="D1660" s="154">
        <v>139</v>
      </c>
      <c r="E1660" s="154">
        <v>1</v>
      </c>
      <c r="F1660" s="154" t="s">
        <v>6146</v>
      </c>
      <c r="G1660" s="154" t="s">
        <v>6202</v>
      </c>
      <c r="J1660" s="154" t="s">
        <v>31</v>
      </c>
      <c r="K1660" s="154" t="s">
        <v>2426</v>
      </c>
      <c r="O1660" s="173"/>
      <c r="P1660" s="174"/>
      <c r="Q1660" s="175"/>
      <c r="R1660" s="159"/>
      <c r="S1660" s="160"/>
      <c r="T1660" s="161"/>
      <c r="U1660" s="173"/>
      <c r="V1660" s="176"/>
      <c r="W1660" s="177"/>
      <c r="X1660" s="178"/>
      <c r="Y1660" s="159"/>
      <c r="Z1660" s="161"/>
      <c r="AA1660" s="160"/>
      <c r="AD1660" s="154" t="s">
        <v>6203</v>
      </c>
      <c r="AI1660" s="154" t="s">
        <v>6189</v>
      </c>
      <c r="AL1660" s="154" t="s">
        <v>31</v>
      </c>
      <c r="AM1660" s="154" t="s">
        <v>2426</v>
      </c>
      <c r="AQ1660" s="173"/>
      <c r="AR1660" s="174"/>
      <c r="AS1660" s="175"/>
      <c r="AT1660" s="159"/>
      <c r="AU1660" s="161"/>
      <c r="AV1660" s="173"/>
      <c r="AW1660" s="176"/>
      <c r="AX1660" s="177"/>
      <c r="AY1660" s="178">
        <v>4</v>
      </c>
      <c r="AZ1660" s="159" t="s">
        <v>1073</v>
      </c>
      <c r="BA1660" s="161"/>
      <c r="BB1660" s="160">
        <v>1</v>
      </c>
      <c r="BE1660" s="154" t="s">
        <v>6203</v>
      </c>
      <c r="BG1660" s="154" t="s">
        <v>6400</v>
      </c>
    </row>
    <row r="1661" spans="1:59" s="154" customFormat="1" ht="15" customHeight="1">
      <c r="A1661" s="153" t="s">
        <v>6116</v>
      </c>
      <c r="B1661" s="188" t="s">
        <v>6204</v>
      </c>
      <c r="C1661" s="154" t="s">
        <v>6342</v>
      </c>
      <c r="D1661" s="154">
        <v>140</v>
      </c>
      <c r="E1661" s="154">
        <v>1</v>
      </c>
      <c r="F1661" s="154" t="s">
        <v>6146</v>
      </c>
      <c r="G1661" s="154" t="s">
        <v>6205</v>
      </c>
      <c r="J1661" s="154" t="s">
        <v>31</v>
      </c>
      <c r="K1661" s="154" t="s">
        <v>2426</v>
      </c>
      <c r="O1661" s="173"/>
      <c r="P1661" s="174"/>
      <c r="Q1661" s="175"/>
      <c r="R1661" s="159"/>
      <c r="S1661" s="160"/>
      <c r="T1661" s="161"/>
      <c r="U1661" s="173"/>
      <c r="V1661" s="176"/>
      <c r="W1661" s="177"/>
      <c r="X1661" s="178"/>
      <c r="Y1661" s="159"/>
      <c r="Z1661" s="161"/>
      <c r="AA1661" s="160"/>
      <c r="AD1661" s="154" t="s">
        <v>6193</v>
      </c>
      <c r="AI1661" s="154" t="s">
        <v>6189</v>
      </c>
      <c r="AJ1661" s="154" t="s">
        <v>6206</v>
      </c>
      <c r="AL1661" s="154" t="s">
        <v>31</v>
      </c>
      <c r="AM1661" s="154" t="s">
        <v>2426</v>
      </c>
      <c r="AQ1661" s="173"/>
      <c r="AR1661" s="174"/>
      <c r="AS1661" s="175"/>
      <c r="AT1661" s="159"/>
      <c r="AU1661" s="161"/>
      <c r="AV1661" s="173"/>
      <c r="AW1661" s="176"/>
      <c r="AX1661" s="177"/>
      <c r="AY1661" s="178">
        <v>3</v>
      </c>
      <c r="AZ1661" s="159" t="s">
        <v>1111</v>
      </c>
      <c r="BA1661" s="161"/>
      <c r="BB1661" s="160">
        <v>1</v>
      </c>
      <c r="BE1661" s="154" t="s">
        <v>6193</v>
      </c>
      <c r="BG1661" s="154" t="s">
        <v>6401</v>
      </c>
    </row>
    <row r="1662" spans="1:59" s="154" customFormat="1" ht="15" customHeight="1">
      <c r="A1662" s="153" t="s">
        <v>6116</v>
      </c>
      <c r="B1662" s="189" t="s">
        <v>6207</v>
      </c>
      <c r="C1662" s="154" t="s">
        <v>6342</v>
      </c>
      <c r="D1662" s="154">
        <v>141</v>
      </c>
      <c r="E1662" s="154">
        <v>1</v>
      </c>
      <c r="F1662" s="154" t="s">
        <v>6146</v>
      </c>
      <c r="G1662" s="154" t="s">
        <v>6208</v>
      </c>
      <c r="J1662" s="154" t="s">
        <v>31</v>
      </c>
      <c r="K1662" s="154" t="s">
        <v>2426</v>
      </c>
      <c r="O1662" s="173"/>
      <c r="P1662" s="174"/>
      <c r="Q1662" s="175"/>
      <c r="R1662" s="159"/>
      <c r="S1662" s="160"/>
      <c r="T1662" s="161"/>
      <c r="U1662" s="173"/>
      <c r="V1662" s="176"/>
      <c r="W1662" s="177"/>
      <c r="X1662" s="178"/>
      <c r="Y1662" s="159"/>
      <c r="Z1662" s="161"/>
      <c r="AA1662" s="160"/>
      <c r="AD1662" s="154" t="s">
        <v>6188</v>
      </c>
      <c r="AI1662" s="154" t="s">
        <v>6208</v>
      </c>
      <c r="AL1662" s="154" t="s">
        <v>31</v>
      </c>
      <c r="AM1662" s="154" t="s">
        <v>2426</v>
      </c>
      <c r="AQ1662" s="173"/>
      <c r="AR1662" s="174"/>
      <c r="AS1662" s="175"/>
      <c r="AT1662" s="159"/>
      <c r="AU1662" s="161"/>
      <c r="AV1662" s="173"/>
      <c r="AW1662" s="176"/>
      <c r="AX1662" s="177"/>
      <c r="AY1662" s="178">
        <v>4</v>
      </c>
      <c r="AZ1662" s="159" t="s">
        <v>1112</v>
      </c>
      <c r="BA1662" s="161"/>
      <c r="BB1662" s="160"/>
      <c r="BE1662" s="154" t="s">
        <v>6188</v>
      </c>
      <c r="BG1662" s="154" t="s">
        <v>6402</v>
      </c>
    </row>
    <row r="1663" spans="1:59" s="154" customFormat="1" ht="15" customHeight="1">
      <c r="A1663" s="153" t="s">
        <v>6116</v>
      </c>
      <c r="B1663" s="188" t="s">
        <v>6209</v>
      </c>
      <c r="C1663" s="154" t="s">
        <v>6342</v>
      </c>
      <c r="D1663" s="154">
        <v>142</v>
      </c>
      <c r="E1663" s="154">
        <v>2</v>
      </c>
      <c r="F1663" s="154" t="s">
        <v>6146</v>
      </c>
      <c r="G1663" s="154" t="s">
        <v>6210</v>
      </c>
      <c r="J1663" s="154" t="s">
        <v>31</v>
      </c>
      <c r="K1663" s="154" t="s">
        <v>2426</v>
      </c>
      <c r="O1663" s="173"/>
      <c r="P1663" s="174"/>
      <c r="Q1663" s="175"/>
      <c r="R1663" s="159"/>
      <c r="S1663" s="160"/>
      <c r="T1663" s="161"/>
      <c r="U1663" s="173"/>
      <c r="V1663" s="176"/>
      <c r="W1663" s="177"/>
      <c r="X1663" s="178">
        <v>4</v>
      </c>
      <c r="Y1663" s="159">
        <v>1</v>
      </c>
      <c r="Z1663" s="161"/>
      <c r="AA1663" s="160"/>
      <c r="AD1663" s="154" t="s">
        <v>5188</v>
      </c>
      <c r="AF1663" s="154" t="s">
        <v>6403</v>
      </c>
      <c r="AQ1663" s="173"/>
      <c r="AR1663" s="174"/>
      <c r="AS1663" s="175"/>
      <c r="AT1663" s="159"/>
      <c r="AU1663" s="161"/>
      <c r="AV1663" s="173"/>
      <c r="AW1663" s="176"/>
      <c r="AX1663" s="177"/>
      <c r="AY1663" s="178"/>
      <c r="AZ1663" s="159"/>
      <c r="BA1663" s="161"/>
      <c r="BB1663" s="160"/>
    </row>
    <row r="1664" spans="1:59" s="154" customFormat="1" ht="15" customHeight="1">
      <c r="A1664" s="153" t="s">
        <v>6116</v>
      </c>
      <c r="B1664" s="188" t="s">
        <v>6211</v>
      </c>
      <c r="C1664" s="154" t="s">
        <v>6342</v>
      </c>
      <c r="D1664" s="154">
        <v>143</v>
      </c>
      <c r="E1664" s="154">
        <v>3</v>
      </c>
      <c r="F1664" s="154" t="s">
        <v>6146</v>
      </c>
      <c r="G1664" s="154" t="s">
        <v>6212</v>
      </c>
      <c r="J1664" s="154" t="s">
        <v>28</v>
      </c>
      <c r="K1664" s="154" t="s">
        <v>2426</v>
      </c>
      <c r="O1664" s="173"/>
      <c r="P1664" s="174"/>
      <c r="Q1664" s="175"/>
      <c r="R1664" s="159"/>
      <c r="S1664" s="160"/>
      <c r="T1664" s="161"/>
      <c r="U1664" s="173"/>
      <c r="V1664" s="176"/>
      <c r="W1664" s="177"/>
      <c r="X1664" s="178"/>
      <c r="Y1664" s="159"/>
      <c r="Z1664" s="161"/>
      <c r="AA1664" s="160"/>
      <c r="AD1664" s="154" t="s">
        <v>439</v>
      </c>
      <c r="AF1664" s="154" t="s">
        <v>6404</v>
      </c>
      <c r="AQ1664" s="173"/>
      <c r="AR1664" s="174"/>
      <c r="AS1664" s="175"/>
      <c r="AT1664" s="159"/>
      <c r="AU1664" s="161"/>
      <c r="AV1664" s="173"/>
      <c r="AW1664" s="176"/>
      <c r="AX1664" s="177"/>
      <c r="AY1664" s="178"/>
      <c r="AZ1664" s="159"/>
      <c r="BA1664" s="161"/>
      <c r="BB1664" s="160"/>
    </row>
    <row r="1665" spans="1:54" s="154" customFormat="1" ht="15" customHeight="1">
      <c r="A1665" s="153" t="s">
        <v>6116</v>
      </c>
      <c r="B1665" s="188" t="s">
        <v>6213</v>
      </c>
      <c r="C1665" s="154" t="s">
        <v>6342</v>
      </c>
      <c r="D1665" s="154">
        <v>144</v>
      </c>
      <c r="E1665" s="154">
        <v>2</v>
      </c>
      <c r="F1665" s="154" t="s">
        <v>6146</v>
      </c>
      <c r="G1665" s="154" t="s">
        <v>6214</v>
      </c>
      <c r="J1665" s="154" t="s">
        <v>28</v>
      </c>
      <c r="K1665" s="154" t="s">
        <v>2426</v>
      </c>
      <c r="O1665" s="173"/>
      <c r="P1665" s="174"/>
      <c r="Q1665" s="175"/>
      <c r="R1665" s="159"/>
      <c r="S1665" s="160"/>
      <c r="T1665" s="161"/>
      <c r="U1665" s="173"/>
      <c r="V1665" s="176"/>
      <c r="W1665" s="177"/>
      <c r="X1665" s="178"/>
      <c r="Y1665" s="159"/>
      <c r="Z1665" s="161"/>
      <c r="AA1665" s="160"/>
      <c r="AD1665" s="154" t="s">
        <v>492</v>
      </c>
      <c r="AF1665" s="154" t="s">
        <v>6405</v>
      </c>
      <c r="AQ1665" s="173"/>
      <c r="AR1665" s="174"/>
      <c r="AS1665" s="175"/>
      <c r="AT1665" s="159"/>
      <c r="AU1665" s="161"/>
      <c r="AV1665" s="173"/>
      <c r="AW1665" s="176"/>
      <c r="AX1665" s="177"/>
      <c r="AY1665" s="178"/>
      <c r="AZ1665" s="159"/>
      <c r="BA1665" s="161"/>
      <c r="BB1665" s="160"/>
    </row>
    <row r="1666" spans="1:54" s="154" customFormat="1" ht="15" customHeight="1">
      <c r="A1666" s="153" t="s">
        <v>6116</v>
      </c>
      <c r="B1666" s="188" t="s">
        <v>6215</v>
      </c>
      <c r="C1666" s="154" t="s">
        <v>6342</v>
      </c>
      <c r="D1666" s="154">
        <v>145</v>
      </c>
      <c r="E1666" s="154">
        <v>2</v>
      </c>
      <c r="F1666" s="154" t="s">
        <v>6146</v>
      </c>
      <c r="G1666" s="154" t="s">
        <v>6216</v>
      </c>
      <c r="J1666" s="154" t="s">
        <v>28</v>
      </c>
      <c r="K1666" s="154" t="s">
        <v>2426</v>
      </c>
      <c r="O1666" s="173"/>
      <c r="P1666" s="174"/>
      <c r="Q1666" s="175"/>
      <c r="R1666" s="159"/>
      <c r="S1666" s="160"/>
      <c r="T1666" s="161"/>
      <c r="U1666" s="173"/>
      <c r="V1666" s="176"/>
      <c r="W1666" s="177"/>
      <c r="X1666" s="178"/>
      <c r="Y1666" s="159"/>
      <c r="Z1666" s="161"/>
      <c r="AA1666" s="160"/>
      <c r="AD1666" s="154" t="s">
        <v>486</v>
      </c>
      <c r="AF1666" s="154" t="s">
        <v>6406</v>
      </c>
      <c r="AQ1666" s="173"/>
      <c r="AR1666" s="174"/>
      <c r="AS1666" s="175"/>
      <c r="AT1666" s="159"/>
      <c r="AU1666" s="161"/>
      <c r="AV1666" s="173"/>
      <c r="AW1666" s="176"/>
      <c r="AX1666" s="177"/>
      <c r="AY1666" s="178"/>
      <c r="AZ1666" s="159"/>
      <c r="BA1666" s="161"/>
      <c r="BB1666" s="160"/>
    </row>
    <row r="1667" spans="1:54" s="154" customFormat="1" ht="15" customHeight="1">
      <c r="A1667" s="153" t="s">
        <v>6116</v>
      </c>
      <c r="B1667" s="189" t="s">
        <v>6217</v>
      </c>
      <c r="C1667" s="154" t="s">
        <v>6342</v>
      </c>
      <c r="D1667" s="154">
        <v>146</v>
      </c>
      <c r="E1667" s="154">
        <v>2</v>
      </c>
      <c r="F1667" s="154" t="s">
        <v>6146</v>
      </c>
      <c r="G1667" s="154" t="s">
        <v>6218</v>
      </c>
      <c r="J1667" s="154" t="s">
        <v>28</v>
      </c>
      <c r="K1667" s="154" t="s">
        <v>2426</v>
      </c>
      <c r="O1667" s="173"/>
      <c r="P1667" s="174"/>
      <c r="Q1667" s="175"/>
      <c r="R1667" s="159"/>
      <c r="S1667" s="160"/>
      <c r="T1667" s="161"/>
      <c r="U1667" s="173"/>
      <c r="V1667" s="176"/>
      <c r="W1667" s="177"/>
      <c r="X1667" s="178"/>
      <c r="Y1667" s="159"/>
      <c r="Z1667" s="161"/>
      <c r="AA1667" s="160"/>
      <c r="AD1667" s="154" t="s">
        <v>486</v>
      </c>
      <c r="AF1667" s="154" t="s">
        <v>6407</v>
      </c>
      <c r="AQ1667" s="173"/>
      <c r="AR1667" s="174"/>
      <c r="AS1667" s="175"/>
      <c r="AT1667" s="159"/>
      <c r="AU1667" s="161"/>
      <c r="AV1667" s="173"/>
      <c r="AW1667" s="176"/>
      <c r="AX1667" s="177"/>
      <c r="AY1667" s="178"/>
      <c r="AZ1667" s="159"/>
      <c r="BA1667" s="161"/>
      <c r="BB1667" s="160"/>
    </row>
    <row r="1668" spans="1:54" s="154" customFormat="1" ht="15" customHeight="1">
      <c r="A1668" s="153" t="s">
        <v>6116</v>
      </c>
      <c r="B1668" s="188" t="s">
        <v>6219</v>
      </c>
      <c r="C1668" s="154" t="s">
        <v>6342</v>
      </c>
      <c r="D1668" s="154">
        <v>147</v>
      </c>
      <c r="E1668" s="154">
        <v>2</v>
      </c>
      <c r="F1668" s="154" t="s">
        <v>6146</v>
      </c>
      <c r="G1668" s="154" t="s">
        <v>6220</v>
      </c>
      <c r="J1668" s="154" t="s">
        <v>28</v>
      </c>
      <c r="K1668" s="154" t="s">
        <v>2426</v>
      </c>
      <c r="O1668" s="173"/>
      <c r="P1668" s="174"/>
      <c r="Q1668" s="175"/>
      <c r="R1668" s="159"/>
      <c r="S1668" s="160"/>
      <c r="T1668" s="161"/>
      <c r="U1668" s="173"/>
      <c r="V1668" s="176"/>
      <c r="W1668" s="177"/>
      <c r="X1668" s="178"/>
      <c r="Y1668" s="159"/>
      <c r="Z1668" s="161"/>
      <c r="AA1668" s="160"/>
      <c r="AD1668" s="154" t="s">
        <v>481</v>
      </c>
      <c r="AF1668" s="154" t="s">
        <v>6408</v>
      </c>
      <c r="AQ1668" s="173"/>
      <c r="AR1668" s="174"/>
      <c r="AS1668" s="175"/>
      <c r="AT1668" s="159"/>
      <c r="AU1668" s="161"/>
      <c r="AV1668" s="173"/>
      <c r="AW1668" s="176"/>
      <c r="AX1668" s="177"/>
      <c r="AY1668" s="178"/>
      <c r="AZ1668" s="159"/>
      <c r="BA1668" s="161"/>
      <c r="BB1668" s="160"/>
    </row>
    <row r="1669" spans="1:54" s="154" customFormat="1" ht="15" customHeight="1">
      <c r="A1669" s="153" t="s">
        <v>6116</v>
      </c>
      <c r="B1669" s="190" t="s">
        <v>6221</v>
      </c>
      <c r="C1669" s="154" t="s">
        <v>6342</v>
      </c>
      <c r="D1669" s="154">
        <v>148</v>
      </c>
      <c r="E1669" s="154">
        <v>1</v>
      </c>
      <c r="F1669" s="154" t="s">
        <v>6146</v>
      </c>
      <c r="G1669" s="154" t="s">
        <v>6222</v>
      </c>
      <c r="H1669" s="154" t="s">
        <v>6223</v>
      </c>
      <c r="I1669" s="154" t="s">
        <v>223</v>
      </c>
      <c r="J1669" s="154" t="s">
        <v>29</v>
      </c>
      <c r="K1669" s="154" t="s">
        <v>2426</v>
      </c>
      <c r="O1669" s="173"/>
      <c r="P1669" s="174"/>
      <c r="Q1669" s="175">
        <v>1</v>
      </c>
      <c r="R1669" s="159">
        <v>4</v>
      </c>
      <c r="S1669" s="160"/>
      <c r="T1669" s="161">
        <v>1</v>
      </c>
      <c r="U1669" s="173"/>
      <c r="V1669" s="176">
        <v>1</v>
      </c>
      <c r="W1669" s="177">
        <v>1</v>
      </c>
      <c r="X1669" s="178"/>
      <c r="Y1669" s="159"/>
      <c r="Z1669" s="161"/>
      <c r="AA1669" s="160"/>
      <c r="AD1669" s="154" t="s">
        <v>6224</v>
      </c>
      <c r="AF1669" s="154" t="s">
        <v>6409</v>
      </c>
      <c r="AQ1669" s="173"/>
      <c r="AR1669" s="174"/>
      <c r="AS1669" s="175"/>
      <c r="AT1669" s="159"/>
      <c r="AU1669" s="161"/>
      <c r="AV1669" s="173"/>
      <c r="AW1669" s="176"/>
      <c r="AX1669" s="177"/>
      <c r="AY1669" s="178"/>
      <c r="AZ1669" s="159"/>
      <c r="BA1669" s="161"/>
      <c r="BB1669" s="160"/>
    </row>
    <row r="1670" spans="1:54" s="154" customFormat="1" ht="15" customHeight="1">
      <c r="A1670" s="153" t="s">
        <v>6116</v>
      </c>
      <c r="B1670" s="187" t="s">
        <v>6225</v>
      </c>
      <c r="C1670" s="154" t="s">
        <v>6342</v>
      </c>
      <c r="D1670" s="154">
        <v>149</v>
      </c>
      <c r="E1670" s="154">
        <v>1</v>
      </c>
      <c r="F1670" s="154" t="s">
        <v>6146</v>
      </c>
      <c r="G1670" s="154" t="s">
        <v>6226</v>
      </c>
      <c r="H1670" s="154" t="s">
        <v>6227</v>
      </c>
      <c r="I1670" s="154" t="s">
        <v>223</v>
      </c>
      <c r="J1670" s="154" t="s">
        <v>29</v>
      </c>
      <c r="K1670" s="154" t="s">
        <v>2426</v>
      </c>
      <c r="O1670" s="173"/>
      <c r="P1670" s="174"/>
      <c r="Q1670" s="175">
        <v>1</v>
      </c>
      <c r="R1670" s="159">
        <v>3</v>
      </c>
      <c r="S1670" s="160"/>
      <c r="T1670" s="161" t="s">
        <v>1073</v>
      </c>
      <c r="U1670" s="173"/>
      <c r="V1670" s="176">
        <v>1</v>
      </c>
      <c r="W1670" s="177">
        <v>2</v>
      </c>
      <c r="X1670" s="178"/>
      <c r="Y1670" s="159"/>
      <c r="Z1670" s="161"/>
      <c r="AA1670" s="160"/>
      <c r="AD1670" s="154" t="s">
        <v>6228</v>
      </c>
      <c r="AF1670" s="154" t="s">
        <v>6410</v>
      </c>
      <c r="AQ1670" s="173"/>
      <c r="AR1670" s="174"/>
      <c r="AS1670" s="175"/>
      <c r="AT1670" s="159"/>
      <c r="AU1670" s="161"/>
      <c r="AV1670" s="173"/>
      <c r="AW1670" s="176"/>
      <c r="AX1670" s="177"/>
      <c r="AY1670" s="178"/>
      <c r="AZ1670" s="159"/>
      <c r="BA1670" s="161"/>
      <c r="BB1670" s="160"/>
    </row>
    <row r="1671" spans="1:54" s="154" customFormat="1" ht="15" customHeight="1">
      <c r="A1671" s="153" t="s">
        <v>6116</v>
      </c>
      <c r="B1671" s="187" t="s">
        <v>6229</v>
      </c>
      <c r="C1671" s="154" t="s">
        <v>6342</v>
      </c>
      <c r="D1671" s="154">
        <v>150</v>
      </c>
      <c r="E1671" s="154">
        <v>1</v>
      </c>
      <c r="F1671" s="154" t="s">
        <v>6146</v>
      </c>
      <c r="G1671" s="154" t="s">
        <v>6230</v>
      </c>
      <c r="H1671" s="154" t="s">
        <v>6231</v>
      </c>
      <c r="I1671" s="154" t="s">
        <v>223</v>
      </c>
      <c r="J1671" s="154" t="s">
        <v>257</v>
      </c>
      <c r="K1671" s="154" t="s">
        <v>26</v>
      </c>
      <c r="N1671" s="154">
        <v>3</v>
      </c>
      <c r="O1671" s="173">
        <v>1</v>
      </c>
      <c r="P1671" s="174">
        <v>1</v>
      </c>
      <c r="Q1671" s="175"/>
      <c r="R1671" s="159"/>
      <c r="S1671" s="160">
        <v>1</v>
      </c>
      <c r="T1671" s="161"/>
      <c r="U1671" s="173"/>
      <c r="V1671" s="176"/>
      <c r="W1671" s="177"/>
      <c r="X1671" s="178"/>
      <c r="Y1671" s="159"/>
      <c r="Z1671" s="161"/>
      <c r="AA1671" s="160"/>
      <c r="AB1671" s="154" t="s">
        <v>1079</v>
      </c>
      <c r="AC1671" s="154" t="s">
        <v>258</v>
      </c>
      <c r="AD1671" s="154" t="s">
        <v>6232</v>
      </c>
      <c r="AF1671" s="154" t="s">
        <v>6411</v>
      </c>
      <c r="AQ1671" s="173"/>
      <c r="AR1671" s="174"/>
      <c r="AS1671" s="175"/>
      <c r="AT1671" s="159"/>
      <c r="AU1671" s="161"/>
      <c r="AV1671" s="173"/>
      <c r="AW1671" s="176"/>
      <c r="AX1671" s="177"/>
      <c r="AY1671" s="178"/>
      <c r="AZ1671" s="159"/>
      <c r="BA1671" s="161"/>
      <c r="BB1671" s="160"/>
    </row>
    <row r="1672" spans="1:54" s="154" customFormat="1" ht="15" customHeight="1">
      <c r="A1672" s="153" t="s">
        <v>6250</v>
      </c>
      <c r="B1672" s="187" t="s">
        <v>6251</v>
      </c>
      <c r="C1672" s="154" t="s">
        <v>6343</v>
      </c>
      <c r="D1672" s="154">
        <v>151</v>
      </c>
      <c r="E1672" s="154">
        <v>2</v>
      </c>
      <c r="G1672" s="154" t="s">
        <v>6252</v>
      </c>
      <c r="H1672" s="154" t="s">
        <v>6253</v>
      </c>
      <c r="I1672" s="154" t="s">
        <v>223</v>
      </c>
      <c r="J1672" s="154" t="s">
        <v>257</v>
      </c>
      <c r="K1672" s="154" t="s">
        <v>198</v>
      </c>
      <c r="L1672" s="154">
        <v>0</v>
      </c>
      <c r="N1672" s="154">
        <v>4</v>
      </c>
      <c r="O1672" s="173"/>
      <c r="P1672" s="174">
        <v>1</v>
      </c>
      <c r="Q1672" s="175"/>
      <c r="R1672" s="159"/>
      <c r="S1672" s="160"/>
      <c r="T1672" s="161">
        <v>2</v>
      </c>
      <c r="U1672" s="173">
        <v>2</v>
      </c>
      <c r="V1672" s="176"/>
      <c r="W1672" s="177"/>
      <c r="X1672" s="178"/>
      <c r="Y1672" s="159"/>
      <c r="Z1672" s="161"/>
      <c r="AA1672" s="160"/>
      <c r="AB1672" s="154" t="s">
        <v>205</v>
      </c>
      <c r="AC1672" s="154" t="s">
        <v>25</v>
      </c>
      <c r="AD1672" s="154" t="s">
        <v>6254</v>
      </c>
      <c r="AF1672" s="154" t="s">
        <v>6344</v>
      </c>
      <c r="AQ1672" s="173"/>
      <c r="AR1672" s="174"/>
      <c r="AS1672" s="175"/>
      <c r="AT1672" s="159"/>
      <c r="AU1672" s="161"/>
      <c r="AV1672" s="173"/>
      <c r="AW1672" s="176"/>
      <c r="AX1672" s="177"/>
      <c r="AY1672" s="178"/>
      <c r="AZ1672" s="159"/>
      <c r="BA1672" s="161"/>
      <c r="BB1672" s="160"/>
    </row>
    <row r="1673" spans="1:54" s="154" customFormat="1" ht="15" customHeight="1">
      <c r="A1673" s="153" t="s">
        <v>6250</v>
      </c>
      <c r="B1673" s="187" t="s">
        <v>6255</v>
      </c>
      <c r="C1673" s="154" t="s">
        <v>6343</v>
      </c>
      <c r="D1673" s="154">
        <v>152</v>
      </c>
      <c r="E1673" s="154">
        <v>2</v>
      </c>
      <c r="G1673" s="154" t="s">
        <v>6256</v>
      </c>
      <c r="J1673" s="154" t="s">
        <v>27</v>
      </c>
      <c r="K1673" s="154" t="s">
        <v>198</v>
      </c>
      <c r="L1673" s="154">
        <v>1</v>
      </c>
      <c r="N1673" s="154">
        <v>0</v>
      </c>
      <c r="O1673" s="173"/>
      <c r="P1673" s="174"/>
      <c r="Q1673" s="175"/>
      <c r="R1673" s="159">
        <v>1</v>
      </c>
      <c r="S1673" s="160"/>
      <c r="T1673" s="161"/>
      <c r="U1673" s="173"/>
      <c r="V1673" s="176"/>
      <c r="W1673" s="177"/>
      <c r="X1673" s="178"/>
      <c r="Y1673" s="159"/>
      <c r="Z1673" s="161"/>
      <c r="AA1673" s="160"/>
      <c r="AB1673" s="154" t="s">
        <v>207</v>
      </c>
      <c r="AD1673" s="154" t="s">
        <v>3873</v>
      </c>
      <c r="AF1673" s="154" t="s">
        <v>6345</v>
      </c>
      <c r="AQ1673" s="173"/>
      <c r="AR1673" s="174"/>
      <c r="AS1673" s="175"/>
      <c r="AT1673" s="159"/>
      <c r="AU1673" s="161"/>
      <c r="AV1673" s="173"/>
      <c r="AW1673" s="176"/>
      <c r="AX1673" s="177"/>
      <c r="AY1673" s="178"/>
      <c r="AZ1673" s="159"/>
      <c r="BA1673" s="161"/>
      <c r="BB1673" s="160"/>
    </row>
    <row r="1674" spans="1:54" s="154" customFormat="1" ht="15" customHeight="1">
      <c r="A1674" s="153" t="s">
        <v>6250</v>
      </c>
      <c r="B1674" s="188" t="s">
        <v>6257</v>
      </c>
      <c r="C1674" s="154" t="s">
        <v>6343</v>
      </c>
      <c r="D1674" s="154">
        <v>153</v>
      </c>
      <c r="E1674" s="154">
        <v>2</v>
      </c>
      <c r="G1674" s="154" t="s">
        <v>6258</v>
      </c>
      <c r="H1674" s="154" t="s">
        <v>6259</v>
      </c>
      <c r="I1674" s="154" t="s">
        <v>223</v>
      </c>
      <c r="J1674" s="154" t="s">
        <v>257</v>
      </c>
      <c r="K1674" s="154" t="s">
        <v>199</v>
      </c>
      <c r="L1674" s="154">
        <v>0</v>
      </c>
      <c r="N1674" s="154">
        <v>3</v>
      </c>
      <c r="O1674" s="173">
        <v>1</v>
      </c>
      <c r="P1674" s="174"/>
      <c r="Q1674" s="175"/>
      <c r="R1674" s="159"/>
      <c r="S1674" s="160"/>
      <c r="T1674" s="161">
        <v>2</v>
      </c>
      <c r="U1674" s="173">
        <v>2</v>
      </c>
      <c r="V1674" s="176"/>
      <c r="W1674" s="177"/>
      <c r="X1674" s="178"/>
      <c r="Y1674" s="159"/>
      <c r="Z1674" s="161"/>
      <c r="AA1674" s="160"/>
      <c r="AB1674" s="154" t="s">
        <v>204</v>
      </c>
      <c r="AC1674" s="154" t="s">
        <v>25</v>
      </c>
      <c r="AD1674" s="154" t="s">
        <v>458</v>
      </c>
      <c r="AF1674" s="154" t="s">
        <v>6346</v>
      </c>
      <c r="AQ1674" s="173"/>
      <c r="AR1674" s="174"/>
      <c r="AS1674" s="175"/>
      <c r="AT1674" s="159"/>
      <c r="AU1674" s="161"/>
      <c r="AV1674" s="173"/>
      <c r="AW1674" s="176"/>
      <c r="AX1674" s="177"/>
      <c r="AY1674" s="178"/>
      <c r="AZ1674" s="159"/>
      <c r="BA1674" s="161"/>
      <c r="BB1674" s="160"/>
    </row>
    <row r="1675" spans="1:54" s="154" customFormat="1" ht="15" customHeight="1">
      <c r="A1675" s="153" t="s">
        <v>6250</v>
      </c>
      <c r="B1675" s="188" t="s">
        <v>6260</v>
      </c>
      <c r="C1675" s="154" t="s">
        <v>6343</v>
      </c>
      <c r="D1675" s="154">
        <v>154</v>
      </c>
      <c r="E1675" s="154">
        <v>2</v>
      </c>
      <c r="G1675" s="154" t="s">
        <v>6261</v>
      </c>
      <c r="J1675" s="154" t="s">
        <v>257</v>
      </c>
      <c r="K1675" s="154" t="s">
        <v>199</v>
      </c>
      <c r="L1675" s="154">
        <v>0</v>
      </c>
      <c r="N1675" s="154">
        <v>2</v>
      </c>
      <c r="O1675" s="173">
        <v>1</v>
      </c>
      <c r="P1675" s="174"/>
      <c r="Q1675" s="175"/>
      <c r="R1675" s="159"/>
      <c r="S1675" s="160"/>
      <c r="T1675" s="161"/>
      <c r="U1675" s="173"/>
      <c r="V1675" s="176"/>
      <c r="W1675" s="177"/>
      <c r="X1675" s="178"/>
      <c r="Y1675" s="159"/>
      <c r="Z1675" s="161"/>
      <c r="AA1675" s="160"/>
      <c r="AB1675" s="154" t="s">
        <v>204</v>
      </c>
      <c r="AC1675" s="154" t="s">
        <v>258</v>
      </c>
      <c r="AD1675" s="154" t="s">
        <v>325</v>
      </c>
      <c r="AF1675" s="154" t="s">
        <v>6347</v>
      </c>
      <c r="AQ1675" s="173"/>
      <c r="AR1675" s="174"/>
      <c r="AS1675" s="175"/>
      <c r="AT1675" s="159"/>
      <c r="AU1675" s="161"/>
      <c r="AV1675" s="173"/>
      <c r="AW1675" s="176"/>
      <c r="AX1675" s="177"/>
      <c r="AY1675" s="178"/>
      <c r="AZ1675" s="159"/>
      <c r="BA1675" s="161"/>
      <c r="BB1675" s="160"/>
    </row>
    <row r="1676" spans="1:54" s="154" customFormat="1" ht="15" customHeight="1">
      <c r="A1676" s="153" t="s">
        <v>6250</v>
      </c>
      <c r="B1676" s="188" t="s">
        <v>6262</v>
      </c>
      <c r="C1676" s="154" t="s">
        <v>6343</v>
      </c>
      <c r="D1676" s="154">
        <v>155</v>
      </c>
      <c r="E1676" s="154">
        <v>2</v>
      </c>
      <c r="G1676" s="154" t="s">
        <v>6263</v>
      </c>
      <c r="H1676" s="154" t="s">
        <v>6264</v>
      </c>
      <c r="I1676" s="154" t="s">
        <v>223</v>
      </c>
      <c r="J1676" s="154" t="s">
        <v>257</v>
      </c>
      <c r="K1676" s="154" t="s">
        <v>201</v>
      </c>
      <c r="L1676" s="154">
        <v>0</v>
      </c>
      <c r="N1676" s="154">
        <v>3</v>
      </c>
      <c r="O1676" s="173"/>
      <c r="P1676" s="174"/>
      <c r="Q1676" s="175"/>
      <c r="R1676" s="159">
        <v>1</v>
      </c>
      <c r="S1676" s="160"/>
      <c r="T1676" s="161">
        <v>1</v>
      </c>
      <c r="U1676" s="173">
        <v>2</v>
      </c>
      <c r="V1676" s="176"/>
      <c r="W1676" s="177"/>
      <c r="X1676" s="178"/>
      <c r="Y1676" s="159"/>
      <c r="Z1676" s="161"/>
      <c r="AA1676" s="160"/>
      <c r="AB1676" s="154" t="s">
        <v>207</v>
      </c>
      <c r="AC1676" s="154" t="s">
        <v>25</v>
      </c>
      <c r="AD1676" s="154" t="s">
        <v>362</v>
      </c>
      <c r="AF1676" s="154" t="s">
        <v>6348</v>
      </c>
      <c r="AQ1676" s="173"/>
      <c r="AR1676" s="174"/>
      <c r="AS1676" s="175"/>
      <c r="AT1676" s="159"/>
      <c r="AU1676" s="161"/>
      <c r="AV1676" s="173"/>
      <c r="AW1676" s="176"/>
      <c r="AX1676" s="177"/>
      <c r="AY1676" s="178"/>
      <c r="AZ1676" s="159"/>
      <c r="BA1676" s="161"/>
      <c r="BB1676" s="160"/>
    </row>
    <row r="1677" spans="1:54" s="154" customFormat="1" ht="15" customHeight="1">
      <c r="A1677" s="153" t="s">
        <v>6250</v>
      </c>
      <c r="B1677" s="189" t="s">
        <v>6265</v>
      </c>
      <c r="C1677" s="154" t="s">
        <v>6343</v>
      </c>
      <c r="D1677" s="154">
        <v>156</v>
      </c>
      <c r="E1677" s="154">
        <v>2</v>
      </c>
      <c r="G1677" s="154" t="s">
        <v>6266</v>
      </c>
      <c r="J1677" s="154" t="s">
        <v>27</v>
      </c>
      <c r="K1677" s="154" t="s">
        <v>201</v>
      </c>
      <c r="L1677" s="154">
        <v>0</v>
      </c>
      <c r="N1677" s="154">
        <v>2</v>
      </c>
      <c r="O1677" s="173"/>
      <c r="P1677" s="174"/>
      <c r="Q1677" s="175"/>
      <c r="R1677" s="159">
        <v>2</v>
      </c>
      <c r="S1677" s="160"/>
      <c r="T1677" s="161"/>
      <c r="U1677" s="173"/>
      <c r="V1677" s="176"/>
      <c r="W1677" s="177"/>
      <c r="X1677" s="178"/>
      <c r="Y1677" s="159"/>
      <c r="Z1677" s="161"/>
      <c r="AA1677" s="160"/>
      <c r="AB1677" s="154" t="s">
        <v>1095</v>
      </c>
      <c r="AD1677" s="154" t="s">
        <v>2603</v>
      </c>
      <c r="AF1677" s="154" t="s">
        <v>6267</v>
      </c>
      <c r="AQ1677" s="173"/>
      <c r="AR1677" s="174"/>
      <c r="AS1677" s="175"/>
      <c r="AT1677" s="159"/>
      <c r="AU1677" s="161"/>
      <c r="AV1677" s="173"/>
      <c r="AW1677" s="176"/>
      <c r="AX1677" s="177"/>
      <c r="AY1677" s="178"/>
      <c r="AZ1677" s="159"/>
      <c r="BA1677" s="161"/>
      <c r="BB1677" s="160"/>
    </row>
    <row r="1678" spans="1:54" s="154" customFormat="1" ht="15" customHeight="1">
      <c r="A1678" s="153" t="s">
        <v>6250</v>
      </c>
      <c r="B1678" s="189" t="s">
        <v>6268</v>
      </c>
      <c r="C1678" s="154" t="s">
        <v>6343</v>
      </c>
      <c r="D1678" s="154">
        <v>157</v>
      </c>
      <c r="E1678" s="154">
        <v>2</v>
      </c>
      <c r="G1678" s="154" t="s">
        <v>6269</v>
      </c>
      <c r="J1678" s="154" t="s">
        <v>257</v>
      </c>
      <c r="K1678" s="154" t="s">
        <v>200</v>
      </c>
      <c r="L1678" s="154">
        <v>0</v>
      </c>
      <c r="N1678" s="154">
        <v>2</v>
      </c>
      <c r="O1678" s="173"/>
      <c r="P1678" s="174"/>
      <c r="Q1678" s="175">
        <v>1</v>
      </c>
      <c r="R1678" s="159"/>
      <c r="S1678" s="160"/>
      <c r="T1678" s="161"/>
      <c r="U1678" s="173"/>
      <c r="V1678" s="176"/>
      <c r="W1678" s="177"/>
      <c r="X1678" s="178"/>
      <c r="Y1678" s="159"/>
      <c r="Z1678" s="161"/>
      <c r="AA1678" s="160"/>
      <c r="AB1678" s="154" t="s">
        <v>206</v>
      </c>
      <c r="AC1678" s="154" t="s">
        <v>378</v>
      </c>
      <c r="AD1678" s="154" t="s">
        <v>279</v>
      </c>
      <c r="AF1678" s="154" t="s">
        <v>6349</v>
      </c>
      <c r="AQ1678" s="173"/>
      <c r="AR1678" s="174"/>
      <c r="AS1678" s="175"/>
      <c r="AT1678" s="159"/>
      <c r="AU1678" s="161"/>
      <c r="AV1678" s="173"/>
      <c r="AW1678" s="176"/>
      <c r="AX1678" s="177"/>
      <c r="AY1678" s="178"/>
      <c r="AZ1678" s="159"/>
      <c r="BA1678" s="161"/>
      <c r="BB1678" s="160"/>
    </row>
    <row r="1679" spans="1:54" s="154" customFormat="1" ht="15" customHeight="1">
      <c r="A1679" s="153" t="s">
        <v>6250</v>
      </c>
      <c r="B1679" s="188" t="s">
        <v>6270</v>
      </c>
      <c r="C1679" s="154" t="s">
        <v>6343</v>
      </c>
      <c r="D1679" s="154">
        <v>158</v>
      </c>
      <c r="E1679" s="154">
        <v>2</v>
      </c>
      <c r="G1679" s="154" t="s">
        <v>6271</v>
      </c>
      <c r="J1679" s="154" t="s">
        <v>257</v>
      </c>
      <c r="K1679" s="154" t="s">
        <v>200</v>
      </c>
      <c r="L1679" s="154">
        <v>0</v>
      </c>
      <c r="N1679" s="154">
        <v>3</v>
      </c>
      <c r="O1679" s="173"/>
      <c r="P1679" s="174">
        <v>1</v>
      </c>
      <c r="Q1679" s="175"/>
      <c r="R1679" s="159"/>
      <c r="S1679" s="160"/>
      <c r="T1679" s="161"/>
      <c r="U1679" s="173"/>
      <c r="V1679" s="176"/>
      <c r="W1679" s="177"/>
      <c r="X1679" s="178"/>
      <c r="Y1679" s="159"/>
      <c r="Z1679" s="161"/>
      <c r="AA1679" s="160"/>
      <c r="AB1679" s="154" t="s">
        <v>205</v>
      </c>
      <c r="AC1679" s="154" t="s">
        <v>378</v>
      </c>
      <c r="AD1679" s="154" t="s">
        <v>279</v>
      </c>
      <c r="AF1679" s="154" t="s">
        <v>6350</v>
      </c>
      <c r="AQ1679" s="173"/>
      <c r="AR1679" s="174"/>
      <c r="AS1679" s="175"/>
      <c r="AT1679" s="159"/>
      <c r="AU1679" s="161"/>
      <c r="AV1679" s="173"/>
      <c r="AW1679" s="176"/>
      <c r="AX1679" s="177"/>
      <c r="AY1679" s="178"/>
      <c r="AZ1679" s="159"/>
      <c r="BA1679" s="161"/>
      <c r="BB1679" s="160"/>
    </row>
    <row r="1680" spans="1:54" s="154" customFormat="1" ht="15" customHeight="1">
      <c r="A1680" s="153" t="s">
        <v>6250</v>
      </c>
      <c r="B1680" s="188" t="s">
        <v>6272</v>
      </c>
      <c r="C1680" s="154" t="s">
        <v>6343</v>
      </c>
      <c r="D1680" s="154">
        <v>159</v>
      </c>
      <c r="E1680" s="154">
        <v>2</v>
      </c>
      <c r="G1680" s="154" t="s">
        <v>6273</v>
      </c>
      <c r="J1680" s="154" t="s">
        <v>257</v>
      </c>
      <c r="K1680" s="154" t="s">
        <v>202</v>
      </c>
      <c r="L1680" s="154">
        <v>0</v>
      </c>
      <c r="N1680" s="172">
        <v>0</v>
      </c>
      <c r="O1680" s="173">
        <v>1</v>
      </c>
      <c r="P1680" s="174"/>
      <c r="Q1680" s="175"/>
      <c r="R1680" s="159"/>
      <c r="S1680" s="160"/>
      <c r="T1680" s="161"/>
      <c r="U1680" s="173"/>
      <c r="V1680" s="176"/>
      <c r="W1680" s="177"/>
      <c r="X1680" s="178"/>
      <c r="Y1680" s="159"/>
      <c r="Z1680" s="161"/>
      <c r="AA1680" s="160"/>
      <c r="AB1680" s="154" t="s">
        <v>204</v>
      </c>
      <c r="AD1680" s="154" t="s">
        <v>289</v>
      </c>
      <c r="AF1680" s="154" t="s">
        <v>6351</v>
      </c>
      <c r="AQ1680" s="173"/>
      <c r="AR1680" s="174"/>
      <c r="AS1680" s="175"/>
      <c r="AT1680" s="159"/>
      <c r="AU1680" s="161"/>
      <c r="AV1680" s="173"/>
      <c r="AW1680" s="176"/>
      <c r="AX1680" s="177"/>
      <c r="AY1680" s="178"/>
      <c r="AZ1680" s="159"/>
      <c r="BA1680" s="161"/>
      <c r="BB1680" s="160"/>
    </row>
    <row r="1681" spans="1:59" s="154" customFormat="1" ht="15" customHeight="1">
      <c r="A1681" s="153" t="s">
        <v>6250</v>
      </c>
      <c r="B1681" s="188" t="s">
        <v>6274</v>
      </c>
      <c r="C1681" s="154" t="s">
        <v>6343</v>
      </c>
      <c r="D1681" s="154">
        <v>160</v>
      </c>
      <c r="E1681" s="154">
        <v>2</v>
      </c>
      <c r="G1681" s="154" t="s">
        <v>6275</v>
      </c>
      <c r="J1681" s="154" t="s">
        <v>27</v>
      </c>
      <c r="K1681" s="154" t="s">
        <v>202</v>
      </c>
      <c r="L1681" s="154">
        <v>0</v>
      </c>
      <c r="N1681" s="154">
        <v>1</v>
      </c>
      <c r="O1681" s="173">
        <v>1</v>
      </c>
      <c r="P1681" s="174"/>
      <c r="Q1681" s="175"/>
      <c r="R1681" s="159">
        <v>1</v>
      </c>
      <c r="S1681" s="160"/>
      <c r="T1681" s="161"/>
      <c r="U1681" s="173"/>
      <c r="V1681" s="176"/>
      <c r="W1681" s="177"/>
      <c r="X1681" s="178"/>
      <c r="Y1681" s="159"/>
      <c r="Z1681" s="161"/>
      <c r="AA1681" s="160"/>
      <c r="AB1681" s="154" t="s">
        <v>1085</v>
      </c>
      <c r="AD1681" s="154" t="s">
        <v>6276</v>
      </c>
      <c r="AF1681" s="154" t="s">
        <v>6277</v>
      </c>
      <c r="AQ1681" s="173"/>
      <c r="AR1681" s="174"/>
      <c r="AS1681" s="175"/>
      <c r="AT1681" s="159"/>
      <c r="AU1681" s="161"/>
      <c r="AV1681" s="173"/>
      <c r="AW1681" s="176"/>
      <c r="AX1681" s="177"/>
      <c r="AY1681" s="178"/>
      <c r="AZ1681" s="159"/>
      <c r="BA1681" s="161"/>
      <c r="BB1681" s="160"/>
    </row>
    <row r="1682" spans="1:59" s="154" customFormat="1" ht="15" customHeight="1">
      <c r="A1682" s="153" t="s">
        <v>6250</v>
      </c>
      <c r="B1682" s="188" t="s">
        <v>6278</v>
      </c>
      <c r="C1682" s="154" t="s">
        <v>6343</v>
      </c>
      <c r="D1682" s="154">
        <v>161</v>
      </c>
      <c r="E1682" s="154">
        <v>1</v>
      </c>
      <c r="F1682" s="154" t="s">
        <v>6234</v>
      </c>
      <c r="G1682" s="154" t="s">
        <v>6234</v>
      </c>
      <c r="J1682" s="154" t="s">
        <v>618</v>
      </c>
      <c r="K1682" s="154" t="s">
        <v>2426</v>
      </c>
      <c r="O1682" s="173"/>
      <c r="P1682" s="174"/>
      <c r="Q1682" s="175"/>
      <c r="R1682" s="159"/>
      <c r="S1682" s="160"/>
      <c r="T1682" s="161"/>
      <c r="U1682" s="173"/>
      <c r="V1682" s="176"/>
      <c r="W1682" s="177"/>
      <c r="X1682" s="178"/>
      <c r="Y1682" s="159"/>
      <c r="Z1682" s="161"/>
      <c r="AA1682" s="160"/>
      <c r="AF1682" s="154" t="s">
        <v>6352</v>
      </c>
      <c r="AI1682" s="154" t="s">
        <v>6234</v>
      </c>
      <c r="AL1682" s="154" t="s">
        <v>618</v>
      </c>
      <c r="AM1682" s="154" t="s">
        <v>2426</v>
      </c>
      <c r="AQ1682" s="173"/>
      <c r="AR1682" s="174"/>
      <c r="AS1682" s="175"/>
      <c r="AT1682" s="159"/>
      <c r="AU1682" s="161"/>
      <c r="AV1682" s="173"/>
      <c r="AW1682" s="176"/>
      <c r="AX1682" s="177"/>
      <c r="AY1682" s="178"/>
      <c r="AZ1682" s="159"/>
      <c r="BA1682" s="161"/>
      <c r="BB1682" s="160"/>
      <c r="BG1682" s="154" t="s">
        <v>6353</v>
      </c>
    </row>
    <row r="1683" spans="1:59" s="154" customFormat="1" ht="15" customHeight="1">
      <c r="A1683" s="153" t="s">
        <v>6250</v>
      </c>
      <c r="B1683" s="188" t="s">
        <v>6279</v>
      </c>
      <c r="C1683" s="154" t="s">
        <v>6343</v>
      </c>
      <c r="D1683" s="154">
        <v>162</v>
      </c>
      <c r="E1683" s="154">
        <v>1</v>
      </c>
      <c r="F1683" s="154" t="s">
        <v>6234</v>
      </c>
      <c r="G1683" s="154" t="s">
        <v>6280</v>
      </c>
      <c r="J1683" s="154" t="s">
        <v>619</v>
      </c>
      <c r="K1683" s="154" t="s">
        <v>2426</v>
      </c>
      <c r="L1683" s="154">
        <v>1</v>
      </c>
      <c r="O1683" s="173"/>
      <c r="P1683" s="174"/>
      <c r="Q1683" s="175"/>
      <c r="R1683" s="159"/>
      <c r="S1683" s="160"/>
      <c r="T1683" s="161"/>
      <c r="U1683" s="173"/>
      <c r="V1683" s="176"/>
      <c r="W1683" s="177"/>
      <c r="X1683" s="178"/>
      <c r="Y1683" s="159"/>
      <c r="Z1683" s="161">
        <v>8</v>
      </c>
      <c r="AA1683" s="160"/>
      <c r="AI1683" s="154" t="s">
        <v>6281</v>
      </c>
      <c r="AL1683" s="154" t="s">
        <v>619</v>
      </c>
      <c r="AM1683" s="154" t="s">
        <v>2426</v>
      </c>
      <c r="AN1683" s="154">
        <v>1</v>
      </c>
      <c r="AQ1683" s="173"/>
      <c r="AR1683" s="174"/>
      <c r="AS1683" s="175"/>
      <c r="AT1683" s="159"/>
      <c r="AU1683" s="161"/>
      <c r="AV1683" s="173"/>
      <c r="AW1683" s="176"/>
      <c r="AX1683" s="177"/>
      <c r="AY1683" s="178"/>
      <c r="AZ1683" s="159"/>
      <c r="BA1683" s="161"/>
      <c r="BB1683" s="160"/>
      <c r="BG1683" s="154" t="s">
        <v>6354</v>
      </c>
    </row>
    <row r="1684" spans="1:59" s="154" customFormat="1" ht="15" customHeight="1">
      <c r="A1684" s="153" t="s">
        <v>6250</v>
      </c>
      <c r="B1684" s="188" t="s">
        <v>6282</v>
      </c>
      <c r="C1684" s="154" t="s">
        <v>6343</v>
      </c>
      <c r="D1684" s="154">
        <v>163</v>
      </c>
      <c r="E1684" s="154">
        <v>1</v>
      </c>
      <c r="F1684" s="154" t="s">
        <v>6234</v>
      </c>
      <c r="G1684" s="154" t="s">
        <v>6283</v>
      </c>
      <c r="J1684" s="154" t="s">
        <v>619</v>
      </c>
      <c r="K1684" s="154" t="s">
        <v>2426</v>
      </c>
      <c r="L1684" s="154">
        <v>2</v>
      </c>
      <c r="O1684" s="173"/>
      <c r="P1684" s="174"/>
      <c r="Q1684" s="175"/>
      <c r="R1684" s="159"/>
      <c r="S1684" s="160"/>
      <c r="T1684" s="161"/>
      <c r="U1684" s="173"/>
      <c r="V1684" s="176"/>
      <c r="W1684" s="177"/>
      <c r="X1684" s="178"/>
      <c r="Y1684" s="159"/>
      <c r="Z1684" s="161">
        <v>7</v>
      </c>
      <c r="AA1684" s="160"/>
      <c r="AF1684" s="154" t="s">
        <v>6284</v>
      </c>
      <c r="AI1684" s="154" t="s">
        <v>6285</v>
      </c>
      <c r="AL1684" s="154" t="s">
        <v>619</v>
      </c>
      <c r="AM1684" s="154" t="s">
        <v>2426</v>
      </c>
      <c r="AN1684" s="154">
        <v>2</v>
      </c>
      <c r="AQ1684" s="173"/>
      <c r="AR1684" s="174"/>
      <c r="AS1684" s="175"/>
      <c r="AT1684" s="159"/>
      <c r="AU1684" s="161"/>
      <c r="AV1684" s="173"/>
      <c r="AW1684" s="176"/>
      <c r="AX1684" s="177"/>
      <c r="AY1684" s="178"/>
      <c r="AZ1684" s="159"/>
      <c r="BA1684" s="161"/>
      <c r="BB1684" s="160"/>
      <c r="BG1684" s="154" t="s">
        <v>2212</v>
      </c>
    </row>
    <row r="1685" spans="1:59" s="154" customFormat="1" ht="15" customHeight="1">
      <c r="A1685" s="153" t="s">
        <v>6250</v>
      </c>
      <c r="B1685" s="189" t="s">
        <v>6286</v>
      </c>
      <c r="C1685" s="154" t="s">
        <v>6343</v>
      </c>
      <c r="D1685" s="154">
        <v>164</v>
      </c>
      <c r="E1685" s="154">
        <v>1</v>
      </c>
      <c r="F1685" s="154" t="s">
        <v>6234</v>
      </c>
      <c r="G1685" s="154" t="s">
        <v>6287</v>
      </c>
      <c r="J1685" s="154" t="s">
        <v>621</v>
      </c>
      <c r="K1685" s="154" t="s">
        <v>2426</v>
      </c>
      <c r="L1685" s="154">
        <v>1</v>
      </c>
      <c r="O1685" s="173"/>
      <c r="P1685" s="174"/>
      <c r="Q1685" s="175"/>
      <c r="R1685" s="159"/>
      <c r="S1685" s="160"/>
      <c r="T1685" s="161"/>
      <c r="U1685" s="173"/>
      <c r="V1685" s="176"/>
      <c r="W1685" s="177"/>
      <c r="X1685" s="178"/>
      <c r="Y1685" s="159" t="s">
        <v>1112</v>
      </c>
      <c r="Z1685" s="161"/>
      <c r="AA1685" s="160"/>
      <c r="AF1685" s="154" t="s">
        <v>6284</v>
      </c>
      <c r="AI1685" s="154" t="s">
        <v>6288</v>
      </c>
      <c r="AL1685" s="154" t="s">
        <v>621</v>
      </c>
      <c r="AM1685" s="154" t="s">
        <v>2426</v>
      </c>
      <c r="AN1685" s="154">
        <v>1</v>
      </c>
      <c r="AQ1685" s="173"/>
      <c r="AR1685" s="174"/>
      <c r="AS1685" s="175"/>
      <c r="AT1685" s="159"/>
      <c r="AU1685" s="161"/>
      <c r="AV1685" s="173"/>
      <c r="AW1685" s="176"/>
      <c r="AX1685" s="177"/>
      <c r="AY1685" s="178"/>
      <c r="AZ1685" s="159"/>
      <c r="BA1685" s="161"/>
      <c r="BB1685" s="160"/>
      <c r="BG1685" s="154" t="s">
        <v>6355</v>
      </c>
    </row>
    <row r="1686" spans="1:59" s="154" customFormat="1" ht="15" customHeight="1">
      <c r="A1686" s="153" t="s">
        <v>6250</v>
      </c>
      <c r="B1686" s="188" t="s">
        <v>6289</v>
      </c>
      <c r="C1686" s="154" t="s">
        <v>6343</v>
      </c>
      <c r="D1686" s="154">
        <v>165</v>
      </c>
      <c r="E1686" s="154">
        <v>1</v>
      </c>
      <c r="F1686" s="154" t="s">
        <v>6234</v>
      </c>
      <c r="G1686" s="154" t="s">
        <v>6290</v>
      </c>
      <c r="J1686" s="154" t="s">
        <v>621</v>
      </c>
      <c r="K1686" s="154" t="s">
        <v>2426</v>
      </c>
      <c r="L1686" s="154">
        <v>2</v>
      </c>
      <c r="O1686" s="173"/>
      <c r="P1686" s="174"/>
      <c r="Q1686" s="175"/>
      <c r="R1686" s="159"/>
      <c r="S1686" s="160"/>
      <c r="T1686" s="161"/>
      <c r="U1686" s="173"/>
      <c r="V1686" s="176"/>
      <c r="W1686" s="177"/>
      <c r="X1686" s="178"/>
      <c r="Y1686" s="159" t="s">
        <v>38</v>
      </c>
      <c r="Z1686" s="161"/>
      <c r="AA1686" s="160"/>
      <c r="AF1686" s="154" t="s">
        <v>6356</v>
      </c>
      <c r="AI1686" s="154" t="s">
        <v>6291</v>
      </c>
      <c r="AL1686" s="154" t="s">
        <v>621</v>
      </c>
      <c r="AM1686" s="154" t="s">
        <v>2426</v>
      </c>
      <c r="AN1686" s="154">
        <v>2</v>
      </c>
      <c r="AQ1686" s="173"/>
      <c r="AR1686" s="174"/>
      <c r="AS1686" s="175"/>
      <c r="AT1686" s="159"/>
      <c r="AU1686" s="161"/>
      <c r="AV1686" s="173"/>
      <c r="AW1686" s="176"/>
      <c r="AX1686" s="177"/>
      <c r="AY1686" s="178"/>
      <c r="AZ1686" s="159"/>
      <c r="BA1686" s="161"/>
      <c r="BB1686" s="160"/>
      <c r="BG1686" s="154" t="s">
        <v>6357</v>
      </c>
    </row>
    <row r="1687" spans="1:59" s="154" customFormat="1" ht="15" customHeight="1">
      <c r="A1687" s="153" t="s">
        <v>6250</v>
      </c>
      <c r="B1687" s="188" t="s">
        <v>6292</v>
      </c>
      <c r="C1687" s="154" t="s">
        <v>6343</v>
      </c>
      <c r="D1687" s="154">
        <v>166</v>
      </c>
      <c r="E1687" s="154">
        <v>1</v>
      </c>
      <c r="F1687" s="154" t="s">
        <v>6234</v>
      </c>
      <c r="G1687" s="154" t="s">
        <v>6293</v>
      </c>
      <c r="J1687" s="154" t="s">
        <v>31</v>
      </c>
      <c r="K1687" s="154" t="s">
        <v>2426</v>
      </c>
      <c r="O1687" s="173"/>
      <c r="P1687" s="174"/>
      <c r="Q1687" s="175"/>
      <c r="R1687" s="159"/>
      <c r="S1687" s="160"/>
      <c r="T1687" s="161"/>
      <c r="U1687" s="173"/>
      <c r="V1687" s="176"/>
      <c r="W1687" s="177"/>
      <c r="X1687" s="178">
        <v>4</v>
      </c>
      <c r="Y1687" s="159" t="s">
        <v>1073</v>
      </c>
      <c r="Z1687" s="161"/>
      <c r="AA1687" s="160"/>
      <c r="AF1687" s="154" t="s">
        <v>6358</v>
      </c>
      <c r="AQ1687" s="173"/>
      <c r="AR1687" s="174"/>
      <c r="AS1687" s="175"/>
      <c r="AT1687" s="159"/>
      <c r="AU1687" s="161"/>
      <c r="AV1687" s="173"/>
      <c r="AW1687" s="176"/>
      <c r="AX1687" s="177"/>
      <c r="AY1687" s="178"/>
      <c r="AZ1687" s="159"/>
      <c r="BA1687" s="161"/>
      <c r="BB1687" s="160"/>
    </row>
    <row r="1688" spans="1:59" s="154" customFormat="1" ht="15" customHeight="1">
      <c r="A1688" s="153" t="s">
        <v>6250</v>
      </c>
      <c r="B1688" s="188" t="s">
        <v>6294</v>
      </c>
      <c r="C1688" s="154" t="s">
        <v>6343</v>
      </c>
      <c r="D1688" s="154">
        <v>167</v>
      </c>
      <c r="E1688" s="154">
        <v>1</v>
      </c>
      <c r="F1688" s="154" t="s">
        <v>6234</v>
      </c>
      <c r="G1688" s="154" t="s">
        <v>6295</v>
      </c>
      <c r="J1688" s="154" t="s">
        <v>31</v>
      </c>
      <c r="K1688" s="154" t="s">
        <v>2426</v>
      </c>
      <c r="O1688" s="173"/>
      <c r="P1688" s="174"/>
      <c r="Q1688" s="175"/>
      <c r="R1688" s="159"/>
      <c r="S1688" s="160"/>
      <c r="T1688" s="161"/>
      <c r="U1688" s="173"/>
      <c r="V1688" s="176"/>
      <c r="W1688" s="177"/>
      <c r="X1688" s="178">
        <v>3</v>
      </c>
      <c r="Y1688" s="159" t="s">
        <v>1111</v>
      </c>
      <c r="Z1688" s="161"/>
      <c r="AA1688" s="160">
        <v>1</v>
      </c>
      <c r="AF1688" s="154" t="s">
        <v>6296</v>
      </c>
      <c r="AQ1688" s="173"/>
      <c r="AR1688" s="174"/>
      <c r="AS1688" s="175"/>
      <c r="AT1688" s="159"/>
      <c r="AU1688" s="161"/>
      <c r="AV1688" s="173"/>
      <c r="AW1688" s="176"/>
      <c r="AX1688" s="177"/>
      <c r="AY1688" s="178"/>
      <c r="AZ1688" s="159"/>
      <c r="BA1688" s="161"/>
      <c r="BB1688" s="160"/>
    </row>
    <row r="1689" spans="1:59" s="154" customFormat="1" ht="15" customHeight="1">
      <c r="A1689" s="153" t="s">
        <v>6250</v>
      </c>
      <c r="B1689" s="189" t="s">
        <v>6297</v>
      </c>
      <c r="C1689" s="154" t="s">
        <v>6343</v>
      </c>
      <c r="D1689" s="154">
        <v>168</v>
      </c>
      <c r="E1689" s="154">
        <v>1</v>
      </c>
      <c r="F1689" s="154" t="s">
        <v>6234</v>
      </c>
      <c r="G1689" s="154" t="s">
        <v>6298</v>
      </c>
      <c r="J1689" s="154" t="s">
        <v>31</v>
      </c>
      <c r="K1689" s="154" t="s">
        <v>2426</v>
      </c>
      <c r="O1689" s="173"/>
      <c r="P1689" s="174"/>
      <c r="Q1689" s="175"/>
      <c r="R1689" s="159"/>
      <c r="S1689" s="160"/>
      <c r="T1689" s="161"/>
      <c r="U1689" s="173"/>
      <c r="V1689" s="176"/>
      <c r="W1689" s="177"/>
      <c r="X1689" s="178">
        <v>2</v>
      </c>
      <c r="Y1689" s="159" t="s">
        <v>1111</v>
      </c>
      <c r="Z1689" s="161"/>
      <c r="AA1689" s="160">
        <v>1</v>
      </c>
      <c r="AF1689" s="154" t="s">
        <v>6299</v>
      </c>
      <c r="AQ1689" s="173"/>
      <c r="AR1689" s="174"/>
      <c r="AS1689" s="175"/>
      <c r="AT1689" s="159"/>
      <c r="AU1689" s="161"/>
      <c r="AV1689" s="173"/>
      <c r="AW1689" s="176"/>
      <c r="AX1689" s="177"/>
      <c r="AY1689" s="178"/>
      <c r="AZ1689" s="159"/>
      <c r="BA1689" s="161"/>
      <c r="BB1689" s="160"/>
    </row>
    <row r="1690" spans="1:59" s="154" customFormat="1" ht="15" customHeight="1">
      <c r="A1690" s="153" t="s">
        <v>6250</v>
      </c>
      <c r="B1690" s="188" t="s">
        <v>6300</v>
      </c>
      <c r="C1690" s="154" t="s">
        <v>6343</v>
      </c>
      <c r="D1690" s="154">
        <v>169</v>
      </c>
      <c r="E1690" s="154">
        <v>1</v>
      </c>
      <c r="F1690" s="154" t="s">
        <v>6234</v>
      </c>
      <c r="G1690" s="154" t="s">
        <v>6301</v>
      </c>
      <c r="J1690" s="154" t="s">
        <v>31</v>
      </c>
      <c r="K1690" s="154" t="s">
        <v>2426</v>
      </c>
      <c r="O1690" s="173"/>
      <c r="P1690" s="174"/>
      <c r="Q1690" s="175"/>
      <c r="R1690" s="159"/>
      <c r="S1690" s="160"/>
      <c r="T1690" s="161"/>
      <c r="U1690" s="173"/>
      <c r="V1690" s="176"/>
      <c r="W1690" s="177"/>
      <c r="X1690" s="178">
        <v>3</v>
      </c>
      <c r="Y1690" s="159">
        <v>0</v>
      </c>
      <c r="Z1690" s="161"/>
      <c r="AA1690" s="160"/>
      <c r="AF1690" s="154" t="s">
        <v>6302</v>
      </c>
      <c r="AQ1690" s="173"/>
      <c r="AR1690" s="174"/>
      <c r="AS1690" s="175"/>
      <c r="AT1690" s="159"/>
      <c r="AU1690" s="161"/>
      <c r="AV1690" s="173"/>
      <c r="AW1690" s="176"/>
      <c r="AX1690" s="177"/>
      <c r="AY1690" s="178"/>
      <c r="AZ1690" s="159"/>
      <c r="BA1690" s="161"/>
      <c r="BB1690" s="160"/>
    </row>
    <row r="1691" spans="1:59" s="154" customFormat="1" ht="15" customHeight="1">
      <c r="A1691" s="153" t="s">
        <v>6250</v>
      </c>
      <c r="B1691" s="188" t="s">
        <v>6303</v>
      </c>
      <c r="C1691" s="154" t="s">
        <v>6343</v>
      </c>
      <c r="D1691" s="154">
        <v>170</v>
      </c>
      <c r="E1691" s="154">
        <v>1</v>
      </c>
      <c r="F1691" s="154" t="s">
        <v>6234</v>
      </c>
      <c r="G1691" s="154" t="s">
        <v>6301</v>
      </c>
      <c r="J1691" s="154" t="s">
        <v>31</v>
      </c>
      <c r="K1691" s="154" t="s">
        <v>2426</v>
      </c>
      <c r="O1691" s="173"/>
      <c r="P1691" s="174"/>
      <c r="Q1691" s="175"/>
      <c r="R1691" s="159"/>
      <c r="S1691" s="160"/>
      <c r="T1691" s="161"/>
      <c r="U1691" s="173"/>
      <c r="V1691" s="176"/>
      <c r="W1691" s="177"/>
      <c r="X1691" s="178">
        <v>-2</v>
      </c>
      <c r="Y1691" s="159">
        <v>0</v>
      </c>
      <c r="Z1691" s="161"/>
      <c r="AA1691" s="160"/>
      <c r="AF1691" s="154" t="s">
        <v>6304</v>
      </c>
      <c r="AQ1691" s="173"/>
      <c r="AR1691" s="174"/>
      <c r="AS1691" s="175"/>
      <c r="AT1691" s="159"/>
      <c r="AU1691" s="161"/>
      <c r="AV1691" s="173"/>
      <c r="AW1691" s="176"/>
      <c r="AX1691" s="177"/>
      <c r="AY1691" s="178"/>
      <c r="AZ1691" s="159"/>
      <c r="BA1691" s="161"/>
      <c r="BB1691" s="160"/>
    </row>
    <row r="1692" spans="1:59" s="154" customFormat="1" ht="15" customHeight="1">
      <c r="A1692" s="153" t="s">
        <v>6250</v>
      </c>
      <c r="B1692" s="188" t="s">
        <v>6305</v>
      </c>
      <c r="C1692" s="154" t="s">
        <v>6343</v>
      </c>
      <c r="D1692" s="154">
        <v>171</v>
      </c>
      <c r="E1692" s="154">
        <v>1</v>
      </c>
      <c r="F1692" s="154" t="s">
        <v>6234</v>
      </c>
      <c r="G1692" s="154" t="s">
        <v>6306</v>
      </c>
      <c r="J1692" s="154" t="s">
        <v>31</v>
      </c>
      <c r="K1692" s="154" t="s">
        <v>2426</v>
      </c>
      <c r="O1692" s="173"/>
      <c r="P1692" s="174"/>
      <c r="Q1692" s="175"/>
      <c r="R1692" s="159"/>
      <c r="S1692" s="160"/>
      <c r="T1692" s="161"/>
      <c r="U1692" s="173"/>
      <c r="V1692" s="176"/>
      <c r="W1692" s="177"/>
      <c r="X1692" s="178">
        <v>7</v>
      </c>
      <c r="Y1692" s="159">
        <v>0</v>
      </c>
      <c r="Z1692" s="161"/>
      <c r="AA1692" s="160"/>
      <c r="AF1692" s="154" t="s">
        <v>6359</v>
      </c>
      <c r="AQ1692" s="173"/>
      <c r="AR1692" s="174"/>
      <c r="AS1692" s="175"/>
      <c r="AT1692" s="159"/>
      <c r="AU1692" s="161"/>
      <c r="AV1692" s="173"/>
      <c r="AW1692" s="176"/>
      <c r="AX1692" s="177"/>
      <c r="AY1692" s="178"/>
      <c r="AZ1692" s="159"/>
      <c r="BA1692" s="161"/>
      <c r="BB1692" s="160"/>
    </row>
    <row r="1693" spans="1:59" s="154" customFormat="1" ht="15" customHeight="1">
      <c r="A1693" s="153" t="s">
        <v>6250</v>
      </c>
      <c r="B1693" s="188" t="s">
        <v>6307</v>
      </c>
      <c r="C1693" s="154" t="s">
        <v>6343</v>
      </c>
      <c r="D1693" s="154">
        <v>172</v>
      </c>
      <c r="E1693" s="154">
        <v>1</v>
      </c>
      <c r="F1693" s="154" t="s">
        <v>6234</v>
      </c>
      <c r="G1693" s="154" t="s">
        <v>6306</v>
      </c>
      <c r="J1693" s="154" t="s">
        <v>31</v>
      </c>
      <c r="K1693" s="154" t="s">
        <v>2426</v>
      </c>
      <c r="O1693" s="173"/>
      <c r="P1693" s="174"/>
      <c r="Q1693" s="175"/>
      <c r="R1693" s="159"/>
      <c r="S1693" s="160"/>
      <c r="T1693" s="161"/>
      <c r="U1693" s="173"/>
      <c r="V1693" s="176"/>
      <c r="W1693" s="177"/>
      <c r="X1693" s="178">
        <v>4</v>
      </c>
      <c r="Y1693" s="159">
        <v>0</v>
      </c>
      <c r="Z1693" s="161"/>
      <c r="AA1693" s="160"/>
      <c r="AF1693" s="154" t="s">
        <v>6360</v>
      </c>
      <c r="AQ1693" s="173"/>
      <c r="AR1693" s="174"/>
      <c r="AS1693" s="175"/>
      <c r="AT1693" s="159"/>
      <c r="AU1693" s="161"/>
      <c r="AV1693" s="173"/>
      <c r="AW1693" s="176"/>
      <c r="AX1693" s="177"/>
      <c r="AY1693" s="178"/>
      <c r="AZ1693" s="159"/>
      <c r="BA1693" s="161"/>
      <c r="BB1693" s="160"/>
    </row>
    <row r="1694" spans="1:59" s="154" customFormat="1" ht="15" customHeight="1">
      <c r="A1694" s="153" t="s">
        <v>6250</v>
      </c>
      <c r="B1694" s="188" t="s">
        <v>6308</v>
      </c>
      <c r="C1694" s="154" t="s">
        <v>6343</v>
      </c>
      <c r="D1694" s="154">
        <v>173</v>
      </c>
      <c r="E1694" s="154">
        <v>1</v>
      </c>
      <c r="F1694" s="154" t="s">
        <v>6234</v>
      </c>
      <c r="G1694" s="154" t="s">
        <v>6309</v>
      </c>
      <c r="J1694" s="154" t="s">
        <v>31</v>
      </c>
      <c r="K1694" s="154" t="s">
        <v>2426</v>
      </c>
      <c r="O1694" s="173"/>
      <c r="P1694" s="174"/>
      <c r="Q1694" s="175"/>
      <c r="R1694" s="159"/>
      <c r="S1694" s="160"/>
      <c r="T1694" s="161"/>
      <c r="U1694" s="173"/>
      <c r="V1694" s="176"/>
      <c r="W1694" s="177"/>
      <c r="X1694" s="178">
        <v>6</v>
      </c>
      <c r="Y1694" s="159">
        <v>0</v>
      </c>
      <c r="Z1694" s="161"/>
      <c r="AA1694" s="160"/>
      <c r="AF1694" s="154" t="s">
        <v>6310</v>
      </c>
      <c r="AQ1694" s="173"/>
      <c r="AR1694" s="174"/>
      <c r="AS1694" s="175"/>
      <c r="AT1694" s="159"/>
      <c r="AU1694" s="161"/>
      <c r="AV1694" s="173"/>
      <c r="AW1694" s="176"/>
      <c r="AX1694" s="177"/>
      <c r="AY1694" s="178"/>
      <c r="AZ1694" s="159"/>
      <c r="BA1694" s="161"/>
      <c r="BB1694" s="160"/>
    </row>
    <row r="1695" spans="1:59" s="154" customFormat="1" ht="15" customHeight="1">
      <c r="A1695" s="153" t="s">
        <v>6250</v>
      </c>
      <c r="B1695" s="189" t="s">
        <v>6311</v>
      </c>
      <c r="C1695" s="154" t="s">
        <v>6343</v>
      </c>
      <c r="D1695" s="154">
        <v>174</v>
      </c>
      <c r="E1695" s="154">
        <v>1</v>
      </c>
      <c r="F1695" s="154" t="s">
        <v>6234</v>
      </c>
      <c r="G1695" s="154" t="s">
        <v>6309</v>
      </c>
      <c r="J1695" s="154" t="s">
        <v>31</v>
      </c>
      <c r="K1695" s="154" t="s">
        <v>2426</v>
      </c>
      <c r="O1695" s="173"/>
      <c r="P1695" s="174"/>
      <c r="Q1695" s="175"/>
      <c r="R1695" s="159"/>
      <c r="S1695" s="160"/>
      <c r="T1695" s="161"/>
      <c r="U1695" s="173"/>
      <c r="V1695" s="176"/>
      <c r="W1695" s="177"/>
      <c r="X1695" s="178">
        <v>6</v>
      </c>
      <c r="Y1695" s="159">
        <v>0</v>
      </c>
      <c r="Z1695" s="161"/>
      <c r="AA1695" s="160"/>
      <c r="AF1695" s="154" t="s">
        <v>6312</v>
      </c>
      <c r="AQ1695" s="173"/>
      <c r="AR1695" s="174"/>
      <c r="AS1695" s="175"/>
      <c r="AT1695" s="159"/>
      <c r="AU1695" s="161"/>
      <c r="AV1695" s="173"/>
      <c r="AW1695" s="176"/>
      <c r="AX1695" s="177"/>
      <c r="AY1695" s="178"/>
      <c r="AZ1695" s="159"/>
      <c r="BA1695" s="161"/>
      <c r="BB1695" s="160"/>
    </row>
    <row r="1696" spans="1:59" s="154" customFormat="1" ht="15" customHeight="1">
      <c r="A1696" s="153" t="s">
        <v>6250</v>
      </c>
      <c r="B1696" s="188" t="s">
        <v>6313</v>
      </c>
      <c r="C1696" s="154" t="s">
        <v>6343</v>
      </c>
      <c r="D1696" s="154">
        <v>175</v>
      </c>
      <c r="E1696" s="154">
        <v>1</v>
      </c>
      <c r="F1696" s="154" t="s">
        <v>6234</v>
      </c>
      <c r="G1696" s="154" t="s">
        <v>6314</v>
      </c>
      <c r="J1696" s="154" t="s">
        <v>31</v>
      </c>
      <c r="K1696" s="154" t="s">
        <v>2426</v>
      </c>
      <c r="O1696" s="173"/>
      <c r="P1696" s="174"/>
      <c r="Q1696" s="175"/>
      <c r="R1696" s="159"/>
      <c r="S1696" s="160"/>
      <c r="T1696" s="161"/>
      <c r="U1696" s="173"/>
      <c r="V1696" s="176"/>
      <c r="W1696" s="177"/>
      <c r="X1696" s="178">
        <v>4</v>
      </c>
      <c r="Y1696" s="159">
        <v>0</v>
      </c>
      <c r="Z1696" s="161"/>
      <c r="AA1696" s="160"/>
      <c r="AF1696" s="154" t="s">
        <v>6361</v>
      </c>
      <c r="AQ1696" s="173"/>
      <c r="AR1696" s="174"/>
      <c r="AS1696" s="175"/>
      <c r="AT1696" s="159"/>
      <c r="AU1696" s="161"/>
      <c r="AV1696" s="173"/>
      <c r="AW1696" s="176"/>
      <c r="AX1696" s="177"/>
      <c r="AY1696" s="178"/>
      <c r="AZ1696" s="159"/>
      <c r="BA1696" s="161"/>
      <c r="BB1696" s="160"/>
    </row>
    <row r="1697" spans="1:54" s="154" customFormat="1" ht="15" customHeight="1">
      <c r="A1697" s="153" t="s">
        <v>6250</v>
      </c>
      <c r="B1697" s="188" t="s">
        <v>6315</v>
      </c>
      <c r="C1697" s="154" t="s">
        <v>6343</v>
      </c>
      <c r="D1697" s="154">
        <v>176</v>
      </c>
      <c r="E1697" s="154">
        <v>1</v>
      </c>
      <c r="F1697" s="154" t="s">
        <v>6234</v>
      </c>
      <c r="G1697" s="154" t="s">
        <v>6314</v>
      </c>
      <c r="J1697" s="154" t="s">
        <v>31</v>
      </c>
      <c r="K1697" s="154" t="s">
        <v>2426</v>
      </c>
      <c r="O1697" s="173"/>
      <c r="P1697" s="174"/>
      <c r="Q1697" s="175"/>
      <c r="R1697" s="159"/>
      <c r="S1697" s="160"/>
      <c r="T1697" s="161"/>
      <c r="U1697" s="173"/>
      <c r="V1697" s="176"/>
      <c r="W1697" s="177"/>
      <c r="X1697" s="178">
        <v>8</v>
      </c>
      <c r="Y1697" s="159">
        <v>0</v>
      </c>
      <c r="Z1697" s="161"/>
      <c r="AA1697" s="160"/>
      <c r="AF1697" s="154" t="s">
        <v>6316</v>
      </c>
      <c r="AI1697" s="153"/>
      <c r="AQ1697" s="173"/>
      <c r="AR1697" s="174"/>
      <c r="AS1697" s="175"/>
      <c r="AT1697" s="159"/>
      <c r="AU1697" s="161"/>
      <c r="AV1697" s="173"/>
      <c r="AW1697" s="176"/>
      <c r="AX1697" s="177"/>
      <c r="AY1697" s="178"/>
      <c r="AZ1697" s="159"/>
      <c r="BA1697" s="161"/>
      <c r="BB1697" s="160"/>
    </row>
    <row r="1698" spans="1:54" s="154" customFormat="1" ht="15" customHeight="1">
      <c r="A1698" s="153" t="s">
        <v>6250</v>
      </c>
      <c r="B1698" s="189" t="s">
        <v>6317</v>
      </c>
      <c r="C1698" s="154" t="s">
        <v>6343</v>
      </c>
      <c r="D1698" s="154">
        <v>177</v>
      </c>
      <c r="E1698" s="154">
        <v>4</v>
      </c>
      <c r="F1698" s="154" t="s">
        <v>6234</v>
      </c>
      <c r="G1698" s="154" t="s">
        <v>6318</v>
      </c>
      <c r="J1698" s="154" t="s">
        <v>257</v>
      </c>
      <c r="K1698" s="154" t="s">
        <v>26</v>
      </c>
      <c r="N1698" s="154">
        <v>0</v>
      </c>
      <c r="O1698" s="173"/>
      <c r="P1698" s="174"/>
      <c r="Q1698" s="175"/>
      <c r="R1698" s="159"/>
      <c r="S1698" s="160"/>
      <c r="T1698" s="161"/>
      <c r="U1698" s="173"/>
      <c r="V1698" s="176"/>
      <c r="W1698" s="177"/>
      <c r="X1698" s="178"/>
      <c r="Y1698" s="159"/>
      <c r="Z1698" s="161"/>
      <c r="AA1698" s="160"/>
      <c r="AD1698" s="154" t="s">
        <v>279</v>
      </c>
      <c r="AF1698" s="154" t="s">
        <v>6362</v>
      </c>
      <c r="AQ1698" s="173"/>
      <c r="AR1698" s="174"/>
      <c r="AS1698" s="175"/>
      <c r="AT1698" s="159"/>
      <c r="AU1698" s="161"/>
      <c r="AV1698" s="173"/>
      <c r="AW1698" s="176"/>
      <c r="AX1698" s="177"/>
      <c r="AY1698" s="178"/>
      <c r="AZ1698" s="159"/>
      <c r="BA1698" s="161"/>
      <c r="BB1698" s="160"/>
    </row>
    <row r="1699" spans="1:54" s="154" customFormat="1" ht="15" customHeight="1">
      <c r="A1699" s="153" t="s">
        <v>6250</v>
      </c>
      <c r="B1699" s="188" t="s">
        <v>6319</v>
      </c>
      <c r="C1699" s="154" t="s">
        <v>6343</v>
      </c>
      <c r="D1699" s="154">
        <v>178</v>
      </c>
      <c r="E1699" s="154">
        <v>1</v>
      </c>
      <c r="F1699" s="154" t="s">
        <v>6234</v>
      </c>
      <c r="G1699" s="154" t="s">
        <v>6320</v>
      </c>
      <c r="J1699" s="154" t="s">
        <v>29</v>
      </c>
      <c r="K1699" s="154" t="s">
        <v>2426</v>
      </c>
      <c r="O1699" s="173"/>
      <c r="P1699" s="174"/>
      <c r="Q1699" s="175">
        <v>4</v>
      </c>
      <c r="R1699" s="159">
        <v>3</v>
      </c>
      <c r="S1699" s="160"/>
      <c r="T1699" s="161">
        <v>2</v>
      </c>
      <c r="U1699" s="173"/>
      <c r="V1699" s="176">
        <v>1</v>
      </c>
      <c r="W1699" s="177">
        <v>1</v>
      </c>
      <c r="X1699" s="178"/>
      <c r="Y1699" s="159"/>
      <c r="Z1699" s="161"/>
      <c r="AA1699" s="160"/>
      <c r="AD1699" s="154" t="s">
        <v>6321</v>
      </c>
      <c r="AF1699" s="154" t="s">
        <v>6363</v>
      </c>
      <c r="AQ1699" s="173"/>
      <c r="AR1699" s="174"/>
      <c r="AS1699" s="175"/>
      <c r="AT1699" s="159"/>
      <c r="AU1699" s="161"/>
      <c r="AV1699" s="173"/>
      <c r="AW1699" s="176"/>
      <c r="AX1699" s="177"/>
      <c r="AY1699" s="178"/>
      <c r="AZ1699" s="159"/>
      <c r="BA1699" s="161"/>
      <c r="BB1699" s="160"/>
    </row>
    <row r="1700" spans="1:54" s="154" customFormat="1" ht="15" customHeight="1">
      <c r="A1700" s="153" t="s">
        <v>6250</v>
      </c>
      <c r="B1700" s="188" t="s">
        <v>6322</v>
      </c>
      <c r="C1700" s="154" t="s">
        <v>6343</v>
      </c>
      <c r="D1700" s="154">
        <v>178</v>
      </c>
      <c r="E1700" s="154">
        <v>1</v>
      </c>
      <c r="F1700" s="154" t="s">
        <v>6234</v>
      </c>
      <c r="G1700" s="154" t="s">
        <v>6320</v>
      </c>
      <c r="J1700" s="154" t="s">
        <v>29</v>
      </c>
      <c r="K1700" s="154" t="s">
        <v>2426</v>
      </c>
      <c r="O1700" s="173"/>
      <c r="P1700" s="174"/>
      <c r="Q1700" s="175">
        <v>4</v>
      </c>
      <c r="R1700" s="159">
        <v>3</v>
      </c>
      <c r="S1700" s="160"/>
      <c r="T1700" s="161">
        <v>2</v>
      </c>
      <c r="U1700" s="173"/>
      <c r="V1700" s="176">
        <v>1</v>
      </c>
      <c r="W1700" s="177">
        <v>1</v>
      </c>
      <c r="X1700" s="178"/>
      <c r="Y1700" s="159"/>
      <c r="Z1700" s="161"/>
      <c r="AA1700" s="160"/>
      <c r="AD1700" s="154" t="s">
        <v>6321</v>
      </c>
      <c r="AF1700" s="154" t="s">
        <v>6363</v>
      </c>
      <c r="AQ1700" s="173"/>
      <c r="AR1700" s="174"/>
      <c r="AS1700" s="175"/>
      <c r="AT1700" s="159"/>
      <c r="AU1700" s="161"/>
      <c r="AV1700" s="173"/>
      <c r="AW1700" s="176"/>
      <c r="AX1700" s="177"/>
      <c r="AY1700" s="178"/>
      <c r="AZ1700" s="159"/>
      <c r="BA1700" s="161"/>
      <c r="BB1700" s="160"/>
    </row>
    <row r="1701" spans="1:54" s="154" customFormat="1" ht="15" customHeight="1">
      <c r="A1701" s="153" t="s">
        <v>6250</v>
      </c>
      <c r="B1701" s="188" t="s">
        <v>6323</v>
      </c>
      <c r="C1701" s="154" t="s">
        <v>6343</v>
      </c>
      <c r="D1701" s="154">
        <v>178</v>
      </c>
      <c r="E1701" s="154">
        <v>1</v>
      </c>
      <c r="F1701" s="154" t="s">
        <v>6234</v>
      </c>
      <c r="G1701" s="154" t="s">
        <v>6320</v>
      </c>
      <c r="J1701" s="154" t="s">
        <v>29</v>
      </c>
      <c r="K1701" s="154" t="s">
        <v>2426</v>
      </c>
      <c r="O1701" s="173"/>
      <c r="P1701" s="174"/>
      <c r="Q1701" s="175">
        <v>4</v>
      </c>
      <c r="R1701" s="159">
        <v>3</v>
      </c>
      <c r="S1701" s="160"/>
      <c r="T1701" s="161">
        <v>2</v>
      </c>
      <c r="U1701" s="173"/>
      <c r="V1701" s="176">
        <v>1</v>
      </c>
      <c r="W1701" s="177">
        <v>1</v>
      </c>
      <c r="X1701" s="178"/>
      <c r="Y1701" s="159"/>
      <c r="Z1701" s="161"/>
      <c r="AA1701" s="160"/>
      <c r="AD1701" s="154" t="s">
        <v>6321</v>
      </c>
      <c r="AF1701" s="154" t="s">
        <v>6363</v>
      </c>
      <c r="AQ1701" s="173"/>
      <c r="AR1701" s="174"/>
      <c r="AS1701" s="175"/>
      <c r="AT1701" s="159"/>
      <c r="AU1701" s="161"/>
      <c r="AV1701" s="173"/>
      <c r="AW1701" s="176"/>
      <c r="AX1701" s="177"/>
      <c r="AY1701" s="178"/>
      <c r="AZ1701" s="159"/>
      <c r="BA1701" s="161"/>
      <c r="BB1701" s="160"/>
    </row>
    <row r="1702" spans="1:54" s="154" customFormat="1" ht="15" customHeight="1">
      <c r="A1702" s="153" t="s">
        <v>6250</v>
      </c>
      <c r="B1702" s="189" t="s">
        <v>6324</v>
      </c>
      <c r="C1702" s="154" t="s">
        <v>6343</v>
      </c>
      <c r="D1702" s="154">
        <v>178</v>
      </c>
      <c r="E1702" s="154">
        <v>1</v>
      </c>
      <c r="F1702" s="154" t="s">
        <v>6234</v>
      </c>
      <c r="G1702" s="154" t="s">
        <v>6320</v>
      </c>
      <c r="J1702" s="154" t="s">
        <v>29</v>
      </c>
      <c r="K1702" s="154" t="s">
        <v>2426</v>
      </c>
      <c r="O1702" s="173"/>
      <c r="P1702" s="174"/>
      <c r="Q1702" s="175">
        <v>4</v>
      </c>
      <c r="R1702" s="159">
        <v>3</v>
      </c>
      <c r="S1702" s="160"/>
      <c r="T1702" s="161">
        <v>2</v>
      </c>
      <c r="U1702" s="173"/>
      <c r="V1702" s="176">
        <v>1</v>
      </c>
      <c r="W1702" s="177">
        <v>1</v>
      </c>
      <c r="X1702" s="178"/>
      <c r="Y1702" s="159"/>
      <c r="Z1702" s="161"/>
      <c r="AA1702" s="160"/>
      <c r="AD1702" s="154" t="s">
        <v>6321</v>
      </c>
      <c r="AF1702" s="154" t="s">
        <v>6363</v>
      </c>
      <c r="AQ1702" s="173"/>
      <c r="AR1702" s="174"/>
      <c r="AS1702" s="175"/>
      <c r="AT1702" s="159"/>
      <c r="AU1702" s="161"/>
      <c r="AV1702" s="173"/>
      <c r="AW1702" s="176"/>
      <c r="AX1702" s="177"/>
      <c r="AY1702" s="178"/>
      <c r="AZ1702" s="159"/>
      <c r="BA1702" s="161"/>
      <c r="BB1702" s="160"/>
    </row>
    <row r="1703" spans="1:54" s="154" customFormat="1" ht="15" customHeight="1">
      <c r="A1703" s="153" t="s">
        <v>6250</v>
      </c>
      <c r="B1703" s="188" t="s">
        <v>6325</v>
      </c>
      <c r="C1703" s="154" t="s">
        <v>6343</v>
      </c>
      <c r="D1703" s="154">
        <v>178</v>
      </c>
      <c r="E1703" s="154">
        <v>1</v>
      </c>
      <c r="F1703" s="154" t="s">
        <v>6234</v>
      </c>
      <c r="G1703" s="154" t="s">
        <v>6320</v>
      </c>
      <c r="J1703" s="154" t="s">
        <v>29</v>
      </c>
      <c r="K1703" s="154" t="s">
        <v>2426</v>
      </c>
      <c r="O1703" s="173"/>
      <c r="P1703" s="174"/>
      <c r="Q1703" s="175">
        <v>4</v>
      </c>
      <c r="R1703" s="159">
        <v>3</v>
      </c>
      <c r="S1703" s="160"/>
      <c r="T1703" s="161">
        <v>2</v>
      </c>
      <c r="U1703" s="173"/>
      <c r="V1703" s="176">
        <v>1</v>
      </c>
      <c r="W1703" s="177">
        <v>1</v>
      </c>
      <c r="X1703" s="178"/>
      <c r="Y1703" s="159"/>
      <c r="Z1703" s="161"/>
      <c r="AA1703" s="160"/>
      <c r="AD1703" s="154" t="s">
        <v>6321</v>
      </c>
      <c r="AF1703" s="154" t="s">
        <v>6363</v>
      </c>
      <c r="AQ1703" s="173"/>
      <c r="AR1703" s="174"/>
      <c r="AS1703" s="175"/>
      <c r="AT1703" s="159"/>
      <c r="AU1703" s="161"/>
      <c r="AV1703" s="173"/>
      <c r="AW1703" s="176"/>
      <c r="AX1703" s="177"/>
      <c r="AY1703" s="178"/>
      <c r="AZ1703" s="159"/>
      <c r="BA1703" s="161"/>
      <c r="BB1703" s="160"/>
    </row>
    <row r="1704" spans="1:54" s="154" customFormat="1" ht="15" customHeight="1">
      <c r="A1704" s="153" t="s">
        <v>6250</v>
      </c>
      <c r="B1704" s="189" t="s">
        <v>6326</v>
      </c>
      <c r="C1704" s="154" t="s">
        <v>6343</v>
      </c>
      <c r="D1704" s="154">
        <v>178</v>
      </c>
      <c r="E1704" s="154">
        <v>1</v>
      </c>
      <c r="F1704" s="154" t="s">
        <v>6234</v>
      </c>
      <c r="G1704" s="154" t="s">
        <v>6320</v>
      </c>
      <c r="J1704" s="154" t="s">
        <v>29</v>
      </c>
      <c r="K1704" s="154" t="s">
        <v>2426</v>
      </c>
      <c r="O1704" s="173"/>
      <c r="P1704" s="174"/>
      <c r="Q1704" s="175">
        <v>4</v>
      </c>
      <c r="R1704" s="159">
        <v>3</v>
      </c>
      <c r="S1704" s="160"/>
      <c r="T1704" s="161">
        <v>2</v>
      </c>
      <c r="U1704" s="173"/>
      <c r="V1704" s="176">
        <v>1</v>
      </c>
      <c r="W1704" s="177">
        <v>1</v>
      </c>
      <c r="X1704" s="178"/>
      <c r="Y1704" s="159"/>
      <c r="Z1704" s="161"/>
      <c r="AA1704" s="160"/>
      <c r="AD1704" s="154" t="s">
        <v>6321</v>
      </c>
      <c r="AF1704" s="154" t="s">
        <v>6363</v>
      </c>
      <c r="AQ1704" s="173"/>
      <c r="AR1704" s="174"/>
      <c r="AS1704" s="175"/>
      <c r="AT1704" s="159"/>
      <c r="AU1704" s="161"/>
      <c r="AV1704" s="173"/>
      <c r="AW1704" s="176"/>
      <c r="AX1704" s="177"/>
      <c r="AY1704" s="178"/>
      <c r="AZ1704" s="159"/>
      <c r="BA1704" s="161"/>
      <c r="BB1704" s="160"/>
    </row>
    <row r="1705" spans="1:54" s="154" customFormat="1" ht="15" customHeight="1">
      <c r="A1705" s="153" t="s">
        <v>6250</v>
      </c>
      <c r="B1705" s="188" t="s">
        <v>6327</v>
      </c>
      <c r="C1705" s="154" t="s">
        <v>6343</v>
      </c>
      <c r="D1705" s="154">
        <v>179</v>
      </c>
      <c r="E1705" s="154">
        <v>2</v>
      </c>
      <c r="F1705" s="154" t="s">
        <v>6234</v>
      </c>
      <c r="G1705" s="154" t="s">
        <v>6328</v>
      </c>
      <c r="J1705" s="154" t="s">
        <v>29</v>
      </c>
      <c r="K1705" s="154" t="s">
        <v>2426</v>
      </c>
      <c r="O1705" s="173"/>
      <c r="P1705" s="174"/>
      <c r="Q1705" s="175">
        <v>3</v>
      </c>
      <c r="R1705" s="159">
        <v>3</v>
      </c>
      <c r="S1705" s="160"/>
      <c r="T1705" s="161">
        <v>3</v>
      </c>
      <c r="U1705" s="173"/>
      <c r="V1705" s="176">
        <v>1</v>
      </c>
      <c r="W1705" s="177">
        <v>1</v>
      </c>
      <c r="X1705" s="178"/>
      <c r="Y1705" s="159"/>
      <c r="Z1705" s="161"/>
      <c r="AA1705" s="160"/>
      <c r="AD1705" s="154" t="s">
        <v>6043</v>
      </c>
      <c r="AF1705" s="154" t="s">
        <v>6364</v>
      </c>
      <c r="AQ1705" s="173"/>
      <c r="AR1705" s="174"/>
      <c r="AS1705" s="175"/>
      <c r="AT1705" s="159"/>
      <c r="AU1705" s="161"/>
      <c r="AV1705" s="173"/>
      <c r="AW1705" s="176"/>
      <c r="AX1705" s="177"/>
      <c r="AY1705" s="178"/>
      <c r="AZ1705" s="159"/>
      <c r="BA1705" s="161"/>
      <c r="BB1705" s="160"/>
    </row>
    <row r="1706" spans="1:54" s="154" customFormat="1" ht="15" customHeight="1">
      <c r="A1706" s="153" t="s">
        <v>6250</v>
      </c>
      <c r="B1706" s="188" t="s">
        <v>6329</v>
      </c>
      <c r="C1706" s="154" t="s">
        <v>6343</v>
      </c>
      <c r="D1706" s="154">
        <v>180</v>
      </c>
      <c r="E1706" s="154">
        <v>2</v>
      </c>
      <c r="F1706" s="154" t="s">
        <v>6234</v>
      </c>
      <c r="G1706" s="154" t="s">
        <v>6330</v>
      </c>
      <c r="J1706" s="154" t="s">
        <v>29</v>
      </c>
      <c r="K1706" s="154" t="s">
        <v>2426</v>
      </c>
      <c r="O1706" s="173"/>
      <c r="P1706" s="174"/>
      <c r="Q1706" s="175">
        <v>2</v>
      </c>
      <c r="R1706" s="159">
        <v>4</v>
      </c>
      <c r="S1706" s="160"/>
      <c r="T1706" s="161">
        <v>2</v>
      </c>
      <c r="U1706" s="173"/>
      <c r="V1706" s="176"/>
      <c r="W1706" s="177">
        <v>1</v>
      </c>
      <c r="X1706" s="178"/>
      <c r="Y1706" s="159"/>
      <c r="Z1706" s="161"/>
      <c r="AA1706" s="160"/>
      <c r="AD1706" s="154" t="s">
        <v>6085</v>
      </c>
      <c r="AF1706" s="154" t="s">
        <v>6365</v>
      </c>
      <c r="AQ1706" s="173"/>
      <c r="AR1706" s="174"/>
      <c r="AS1706" s="175"/>
      <c r="AT1706" s="159"/>
      <c r="AU1706" s="161"/>
      <c r="AV1706" s="173"/>
      <c r="AW1706" s="176"/>
      <c r="AX1706" s="177"/>
      <c r="AY1706" s="178"/>
      <c r="AZ1706" s="159"/>
      <c r="BA1706" s="161"/>
      <c r="BB1706" s="160"/>
    </row>
    <row r="1707" spans="1:54" s="154" customFormat="1" ht="15" customHeight="1">
      <c r="A1707" s="153" t="s">
        <v>6250</v>
      </c>
      <c r="B1707" s="188" t="s">
        <v>6331</v>
      </c>
      <c r="C1707" s="154" t="s">
        <v>6343</v>
      </c>
      <c r="D1707" s="154">
        <v>181</v>
      </c>
      <c r="E1707" s="154">
        <v>2</v>
      </c>
      <c r="F1707" s="154" t="s">
        <v>6234</v>
      </c>
      <c r="G1707" s="154" t="s">
        <v>6332</v>
      </c>
      <c r="J1707" s="154" t="s">
        <v>28</v>
      </c>
      <c r="K1707" s="154" t="s">
        <v>2426</v>
      </c>
      <c r="O1707" s="173"/>
      <c r="P1707" s="174"/>
      <c r="Q1707" s="175"/>
      <c r="R1707" s="159"/>
      <c r="S1707" s="160"/>
      <c r="T1707" s="161"/>
      <c r="U1707" s="173"/>
      <c r="V1707" s="176"/>
      <c r="W1707" s="177"/>
      <c r="X1707" s="178"/>
      <c r="Y1707" s="159"/>
      <c r="Z1707" s="161"/>
      <c r="AA1707" s="160"/>
      <c r="AD1707" s="154" t="s">
        <v>486</v>
      </c>
      <c r="AF1707" s="154" t="s">
        <v>6366</v>
      </c>
      <c r="AQ1707" s="173"/>
      <c r="AR1707" s="174"/>
      <c r="AS1707" s="175"/>
      <c r="AT1707" s="159"/>
      <c r="AU1707" s="161"/>
      <c r="AV1707" s="173"/>
      <c r="AW1707" s="176"/>
      <c r="AX1707" s="177"/>
      <c r="AY1707" s="178"/>
      <c r="AZ1707" s="159"/>
      <c r="BA1707" s="161"/>
      <c r="BB1707" s="160"/>
    </row>
    <row r="1708" spans="1:54" s="154" customFormat="1" ht="15" customHeight="1">
      <c r="A1708" s="153" t="s">
        <v>6250</v>
      </c>
      <c r="B1708" s="188" t="s">
        <v>6333</v>
      </c>
      <c r="C1708" s="154" t="s">
        <v>6343</v>
      </c>
      <c r="D1708" s="154">
        <v>182</v>
      </c>
      <c r="E1708" s="154">
        <v>2</v>
      </c>
      <c r="F1708" s="154" t="s">
        <v>6234</v>
      </c>
      <c r="G1708" s="154" t="s">
        <v>6334</v>
      </c>
      <c r="J1708" s="154" t="s">
        <v>28</v>
      </c>
      <c r="K1708" s="154" t="s">
        <v>2426</v>
      </c>
      <c r="O1708" s="173"/>
      <c r="P1708" s="174"/>
      <c r="Q1708" s="175"/>
      <c r="R1708" s="159"/>
      <c r="S1708" s="160"/>
      <c r="T1708" s="161"/>
      <c r="U1708" s="173"/>
      <c r="V1708" s="176"/>
      <c r="W1708" s="177"/>
      <c r="X1708" s="178"/>
      <c r="Y1708" s="159"/>
      <c r="Z1708" s="161"/>
      <c r="AA1708" s="160"/>
      <c r="AD1708" s="154" t="s">
        <v>6335</v>
      </c>
      <c r="AF1708" s="154" t="s">
        <v>6367</v>
      </c>
      <c r="AQ1708" s="173"/>
      <c r="AR1708" s="174"/>
      <c r="AS1708" s="175"/>
      <c r="AT1708" s="159"/>
      <c r="AU1708" s="161"/>
      <c r="AV1708" s="173"/>
      <c r="AW1708" s="176"/>
      <c r="AX1708" s="177"/>
      <c r="AY1708" s="178"/>
      <c r="AZ1708" s="159"/>
      <c r="BA1708" s="161"/>
      <c r="BB1708" s="160"/>
    </row>
    <row r="1709" spans="1:54" s="154" customFormat="1" ht="15" customHeight="1">
      <c r="A1709" s="153" t="s">
        <v>6250</v>
      </c>
      <c r="B1709" s="189" t="s">
        <v>6336</v>
      </c>
      <c r="C1709" s="154" t="s">
        <v>6343</v>
      </c>
      <c r="D1709" s="154">
        <v>183</v>
      </c>
      <c r="E1709" s="154">
        <v>2</v>
      </c>
      <c r="F1709" s="154" t="s">
        <v>6234</v>
      </c>
      <c r="G1709" s="154" t="s">
        <v>6337</v>
      </c>
      <c r="J1709" s="154" t="s">
        <v>28</v>
      </c>
      <c r="K1709" s="154" t="s">
        <v>2426</v>
      </c>
      <c r="O1709" s="173"/>
      <c r="P1709" s="174"/>
      <c r="Q1709" s="175"/>
      <c r="R1709" s="159"/>
      <c r="S1709" s="160"/>
      <c r="T1709" s="161"/>
      <c r="U1709" s="173"/>
      <c r="V1709" s="176"/>
      <c r="W1709" s="177"/>
      <c r="X1709" s="178"/>
      <c r="Y1709" s="159"/>
      <c r="Z1709" s="161"/>
      <c r="AA1709" s="160"/>
      <c r="AD1709" s="154" t="s">
        <v>492</v>
      </c>
      <c r="AF1709" s="154" t="s">
        <v>6368</v>
      </c>
      <c r="AQ1709" s="173"/>
      <c r="AR1709" s="174"/>
      <c r="AS1709" s="175"/>
      <c r="AT1709" s="159"/>
      <c r="AU1709" s="161"/>
      <c r="AV1709" s="173"/>
      <c r="AW1709" s="176"/>
      <c r="AX1709" s="177"/>
      <c r="AY1709" s="178"/>
      <c r="AZ1709" s="159"/>
      <c r="BA1709" s="161"/>
      <c r="BB1709" s="160"/>
    </row>
    <row r="1710" spans="1:54" s="154" customFormat="1" ht="15" customHeight="1">
      <c r="A1710" s="153" t="s">
        <v>6250</v>
      </c>
      <c r="B1710" s="188" t="s">
        <v>6338</v>
      </c>
      <c r="C1710" s="154" t="s">
        <v>6343</v>
      </c>
      <c r="D1710" s="154">
        <v>184</v>
      </c>
      <c r="E1710" s="154">
        <v>2</v>
      </c>
      <c r="F1710" s="154" t="s">
        <v>6234</v>
      </c>
      <c r="G1710" s="154" t="s">
        <v>6339</v>
      </c>
      <c r="J1710" s="154" t="s">
        <v>28</v>
      </c>
      <c r="K1710" s="154" t="s">
        <v>2426</v>
      </c>
      <c r="O1710" s="173"/>
      <c r="P1710" s="174"/>
      <c r="Q1710" s="175"/>
      <c r="R1710" s="159"/>
      <c r="S1710" s="160"/>
      <c r="T1710" s="161"/>
      <c r="U1710" s="173"/>
      <c r="V1710" s="176"/>
      <c r="W1710" s="177"/>
      <c r="X1710" s="178"/>
      <c r="Y1710" s="159"/>
      <c r="Z1710" s="161"/>
      <c r="AA1710" s="160"/>
      <c r="AD1710" s="154" t="s">
        <v>439</v>
      </c>
      <c r="AF1710" s="154" t="s">
        <v>6369</v>
      </c>
      <c r="AQ1710" s="173"/>
      <c r="AR1710" s="174"/>
      <c r="AS1710" s="175"/>
      <c r="AT1710" s="159"/>
      <c r="AU1710" s="161"/>
      <c r="AV1710" s="173"/>
      <c r="AW1710" s="176"/>
      <c r="AX1710" s="177"/>
      <c r="AY1710" s="178"/>
      <c r="AZ1710" s="159"/>
      <c r="BA1710" s="161"/>
      <c r="BB1710" s="160"/>
    </row>
    <row r="1711" spans="1:54" s="154" customFormat="1" ht="15" customHeight="1">
      <c r="A1711" s="153" t="s">
        <v>6250</v>
      </c>
      <c r="B1711" s="190" t="s">
        <v>6340</v>
      </c>
      <c r="C1711" s="154" t="s">
        <v>6343</v>
      </c>
      <c r="D1711" s="154">
        <v>185</v>
      </c>
      <c r="E1711" s="154">
        <v>2</v>
      </c>
      <c r="F1711" s="154" t="s">
        <v>6234</v>
      </c>
      <c r="G1711" s="154" t="s">
        <v>6341</v>
      </c>
      <c r="J1711" s="154" t="s">
        <v>28</v>
      </c>
      <c r="K1711" s="154" t="s">
        <v>2426</v>
      </c>
      <c r="O1711" s="173"/>
      <c r="P1711" s="174"/>
      <c r="Q1711" s="175"/>
      <c r="R1711" s="159"/>
      <c r="S1711" s="160"/>
      <c r="T1711" s="161"/>
      <c r="U1711" s="173"/>
      <c r="V1711" s="176"/>
      <c r="W1711" s="177"/>
      <c r="X1711" s="178"/>
      <c r="Y1711" s="159"/>
      <c r="Z1711" s="161"/>
      <c r="AA1711" s="160"/>
      <c r="AD1711" s="154" t="s">
        <v>6335</v>
      </c>
      <c r="AF1711" s="154" t="s">
        <v>6370</v>
      </c>
      <c r="AQ1711" s="173"/>
      <c r="AR1711" s="174"/>
      <c r="AS1711" s="175"/>
      <c r="AT1711" s="159"/>
      <c r="AU1711" s="161"/>
      <c r="AV1711" s="173"/>
      <c r="AW1711" s="176"/>
      <c r="AX1711" s="177"/>
      <c r="AY1711" s="178"/>
      <c r="AZ1711" s="159"/>
      <c r="BA1711" s="161"/>
      <c r="BB1711" s="160"/>
    </row>
    <row r="1712" spans="1:54" s="154" customFormat="1" ht="15" customHeight="1">
      <c r="A1712" s="153" t="s">
        <v>6412</v>
      </c>
      <c r="B1712" s="187" t="s">
        <v>6413</v>
      </c>
      <c r="C1712" s="154" t="s">
        <v>6414</v>
      </c>
      <c r="D1712" s="154">
        <v>186</v>
      </c>
      <c r="E1712" s="154">
        <v>2</v>
      </c>
      <c r="G1712" s="154" t="s">
        <v>6135</v>
      </c>
      <c r="J1712" s="154" t="s">
        <v>257</v>
      </c>
      <c r="K1712" s="154" t="s">
        <v>198</v>
      </c>
      <c r="L1712" s="154">
        <v>3</v>
      </c>
      <c r="N1712" s="154">
        <v>6</v>
      </c>
      <c r="O1712" s="173"/>
      <c r="P1712" s="174"/>
      <c r="Q1712" s="175">
        <v>2</v>
      </c>
      <c r="R1712" s="159"/>
      <c r="S1712" s="160"/>
      <c r="T1712" s="161"/>
      <c r="U1712" s="173"/>
      <c r="V1712" s="176"/>
      <c r="W1712" s="177"/>
      <c r="X1712" s="178"/>
      <c r="Y1712" s="159"/>
      <c r="Z1712" s="161"/>
      <c r="AA1712" s="160"/>
      <c r="AB1712" s="154" t="s">
        <v>1088</v>
      </c>
      <c r="AC1712" s="154" t="s">
        <v>322</v>
      </c>
      <c r="AD1712" s="154" t="s">
        <v>923</v>
      </c>
      <c r="AF1712" s="154" t="s">
        <v>6415</v>
      </c>
      <c r="AQ1712" s="173"/>
      <c r="AR1712" s="174"/>
      <c r="AS1712" s="175"/>
      <c r="AT1712" s="159"/>
      <c r="AU1712" s="161"/>
      <c r="AV1712" s="173"/>
      <c r="AW1712" s="176"/>
      <c r="AX1712" s="177"/>
      <c r="AY1712" s="178"/>
      <c r="AZ1712" s="159"/>
      <c r="BA1712" s="161"/>
      <c r="BB1712" s="160"/>
    </row>
    <row r="1713" spans="1:59" s="154" customFormat="1" ht="15" customHeight="1">
      <c r="A1713" s="153" t="s">
        <v>6412</v>
      </c>
      <c r="B1713" s="187" t="s">
        <v>6416</v>
      </c>
      <c r="C1713" s="154" t="s">
        <v>6414</v>
      </c>
      <c r="D1713" s="154">
        <v>187</v>
      </c>
      <c r="E1713" s="154">
        <v>2</v>
      </c>
      <c r="G1713" s="154" t="s">
        <v>6135</v>
      </c>
      <c r="J1713" s="154" t="s">
        <v>257</v>
      </c>
      <c r="K1713" s="154" t="s">
        <v>201</v>
      </c>
      <c r="L1713" s="154">
        <v>3</v>
      </c>
      <c r="N1713" s="154">
        <v>5</v>
      </c>
      <c r="O1713" s="173"/>
      <c r="P1713" s="174"/>
      <c r="Q1713" s="175">
        <v>1</v>
      </c>
      <c r="R1713" s="159">
        <v>1</v>
      </c>
      <c r="S1713" s="160"/>
      <c r="T1713" s="161"/>
      <c r="U1713" s="173"/>
      <c r="V1713" s="176"/>
      <c r="W1713" s="177"/>
      <c r="X1713" s="178"/>
      <c r="Y1713" s="159"/>
      <c r="Z1713" s="161"/>
      <c r="AA1713" s="160"/>
      <c r="AB1713" s="154" t="s">
        <v>1087</v>
      </c>
      <c r="AC1713" s="154" t="s">
        <v>322</v>
      </c>
      <c r="AD1713" s="154" t="s">
        <v>923</v>
      </c>
      <c r="AF1713" s="154" t="s">
        <v>6417</v>
      </c>
      <c r="AQ1713" s="173"/>
      <c r="AR1713" s="174"/>
      <c r="AS1713" s="175"/>
      <c r="AT1713" s="159"/>
      <c r="AU1713" s="161"/>
      <c r="AV1713" s="173"/>
      <c r="AW1713" s="176"/>
      <c r="AX1713" s="177"/>
      <c r="AY1713" s="178"/>
      <c r="AZ1713" s="159"/>
      <c r="BA1713" s="161"/>
      <c r="BB1713" s="160"/>
    </row>
    <row r="1714" spans="1:59" s="154" customFormat="1" ht="15" customHeight="1">
      <c r="A1714" s="153" t="s">
        <v>6412</v>
      </c>
      <c r="B1714" s="188" t="s">
        <v>6418</v>
      </c>
      <c r="C1714" s="154" t="s">
        <v>6414</v>
      </c>
      <c r="D1714" s="154">
        <v>188</v>
      </c>
      <c r="E1714" s="154">
        <v>2</v>
      </c>
      <c r="G1714" s="154" t="s">
        <v>6137</v>
      </c>
      <c r="J1714" s="154" t="s">
        <v>257</v>
      </c>
      <c r="K1714" s="154" t="s">
        <v>199</v>
      </c>
      <c r="L1714" s="154">
        <v>3</v>
      </c>
      <c r="N1714" s="154">
        <v>1</v>
      </c>
      <c r="O1714" s="173"/>
      <c r="P1714" s="174">
        <v>2</v>
      </c>
      <c r="Q1714" s="175"/>
      <c r="R1714" s="159"/>
      <c r="S1714" s="160"/>
      <c r="T1714" s="161"/>
      <c r="U1714" s="173"/>
      <c r="V1714" s="176"/>
      <c r="W1714" s="177"/>
      <c r="X1714" s="178"/>
      <c r="Y1714" s="159"/>
      <c r="Z1714" s="161"/>
      <c r="AA1714" s="160"/>
      <c r="AB1714" s="154" t="s">
        <v>1084</v>
      </c>
      <c r="AC1714" s="154" t="s">
        <v>258</v>
      </c>
      <c r="AD1714" s="154" t="s">
        <v>269</v>
      </c>
      <c r="AF1714" s="154" t="s">
        <v>6419</v>
      </c>
      <c r="AQ1714" s="173"/>
      <c r="AR1714" s="174"/>
      <c r="AS1714" s="175"/>
      <c r="AT1714" s="159"/>
      <c r="AU1714" s="161"/>
      <c r="AV1714" s="173"/>
      <c r="AW1714" s="176"/>
      <c r="AX1714" s="177"/>
      <c r="AY1714" s="178"/>
      <c r="AZ1714" s="159"/>
      <c r="BA1714" s="161"/>
      <c r="BB1714" s="160"/>
    </row>
    <row r="1715" spans="1:59" s="154" customFormat="1" ht="15" customHeight="1">
      <c r="A1715" s="153" t="s">
        <v>6412</v>
      </c>
      <c r="B1715" s="188" t="s">
        <v>6420</v>
      </c>
      <c r="C1715" s="154" t="s">
        <v>6414</v>
      </c>
      <c r="D1715" s="154">
        <v>189</v>
      </c>
      <c r="E1715" s="154">
        <v>2</v>
      </c>
      <c r="G1715" s="154" t="s">
        <v>6137</v>
      </c>
      <c r="J1715" s="154" t="s">
        <v>257</v>
      </c>
      <c r="K1715" s="154" t="s">
        <v>200</v>
      </c>
      <c r="L1715" s="154">
        <v>3</v>
      </c>
      <c r="N1715" s="154">
        <v>1</v>
      </c>
      <c r="O1715" s="173">
        <v>1</v>
      </c>
      <c r="P1715" s="174">
        <v>1</v>
      </c>
      <c r="Q1715" s="175"/>
      <c r="R1715" s="159"/>
      <c r="S1715" s="160"/>
      <c r="T1715" s="161"/>
      <c r="U1715" s="173"/>
      <c r="V1715" s="176"/>
      <c r="W1715" s="177"/>
      <c r="X1715" s="178"/>
      <c r="Y1715" s="159"/>
      <c r="Z1715" s="161"/>
      <c r="AA1715" s="160"/>
      <c r="AB1715" s="154" t="s">
        <v>1092</v>
      </c>
      <c r="AC1715" s="154" t="s">
        <v>258</v>
      </c>
      <c r="AD1715" s="154" t="s">
        <v>269</v>
      </c>
      <c r="AF1715" s="154" t="s">
        <v>6421</v>
      </c>
      <c r="AQ1715" s="173"/>
      <c r="AR1715" s="174"/>
      <c r="AS1715" s="175"/>
      <c r="AT1715" s="159"/>
      <c r="AU1715" s="161"/>
      <c r="AV1715" s="173"/>
      <c r="AW1715" s="176"/>
      <c r="AX1715" s="177"/>
      <c r="AY1715" s="178"/>
      <c r="AZ1715" s="159"/>
      <c r="BA1715" s="161"/>
      <c r="BB1715" s="160"/>
    </row>
    <row r="1716" spans="1:59" s="154" customFormat="1" ht="15" customHeight="1">
      <c r="A1716" s="153" t="s">
        <v>6412</v>
      </c>
      <c r="B1716" s="188" t="s">
        <v>6422</v>
      </c>
      <c r="C1716" s="154" t="s">
        <v>6414</v>
      </c>
      <c r="D1716" s="154">
        <v>190</v>
      </c>
      <c r="E1716" s="154">
        <v>2</v>
      </c>
      <c r="G1716" s="154" t="s">
        <v>6139</v>
      </c>
      <c r="J1716" s="154" t="s">
        <v>257</v>
      </c>
      <c r="K1716" s="154" t="s">
        <v>201</v>
      </c>
      <c r="L1716" s="154">
        <v>3</v>
      </c>
      <c r="N1716" s="154">
        <v>3</v>
      </c>
      <c r="O1716" s="173">
        <v>1</v>
      </c>
      <c r="P1716" s="174"/>
      <c r="Q1716" s="175">
        <v>1</v>
      </c>
      <c r="R1716" s="159"/>
      <c r="S1716" s="160"/>
      <c r="T1716" s="161"/>
      <c r="U1716" s="173"/>
      <c r="V1716" s="176"/>
      <c r="W1716" s="177"/>
      <c r="X1716" s="178"/>
      <c r="Y1716" s="159"/>
      <c r="Z1716" s="161"/>
      <c r="AA1716" s="160"/>
      <c r="AB1716" s="154" t="s">
        <v>1083</v>
      </c>
      <c r="AD1716" s="154" t="s">
        <v>1408</v>
      </c>
      <c r="AF1716" s="154" t="s">
        <v>6423</v>
      </c>
      <c r="AQ1716" s="173"/>
      <c r="AR1716" s="174"/>
      <c r="AS1716" s="175"/>
      <c r="AT1716" s="159"/>
      <c r="AU1716" s="161"/>
      <c r="AV1716" s="173"/>
      <c r="AW1716" s="176"/>
      <c r="AX1716" s="177"/>
      <c r="AY1716" s="178"/>
      <c r="AZ1716" s="159"/>
      <c r="BA1716" s="161"/>
      <c r="BB1716" s="160"/>
    </row>
    <row r="1717" spans="1:59" s="154" customFormat="1" ht="15" customHeight="1">
      <c r="A1717" s="153" t="s">
        <v>6412</v>
      </c>
      <c r="B1717" s="189" t="s">
        <v>6424</v>
      </c>
      <c r="C1717" s="154" t="s">
        <v>6414</v>
      </c>
      <c r="D1717" s="154">
        <v>191</v>
      </c>
      <c r="E1717" s="154">
        <v>2</v>
      </c>
      <c r="G1717" s="154" t="s">
        <v>6139</v>
      </c>
      <c r="J1717" s="154" t="s">
        <v>257</v>
      </c>
      <c r="K1717" s="154" t="s">
        <v>202</v>
      </c>
      <c r="L1717" s="154">
        <v>3</v>
      </c>
      <c r="N1717" s="154">
        <v>2</v>
      </c>
      <c r="O1717" s="173">
        <v>1</v>
      </c>
      <c r="P1717" s="174"/>
      <c r="Q1717" s="175"/>
      <c r="R1717" s="159">
        <v>1</v>
      </c>
      <c r="S1717" s="160"/>
      <c r="T1717" s="161"/>
      <c r="U1717" s="173"/>
      <c r="V1717" s="176"/>
      <c r="W1717" s="177"/>
      <c r="X1717" s="178"/>
      <c r="Y1717" s="159"/>
      <c r="Z1717" s="161"/>
      <c r="AA1717" s="160"/>
      <c r="AB1717" s="154" t="s">
        <v>1085</v>
      </c>
      <c r="AD1717" s="154" t="s">
        <v>1408</v>
      </c>
      <c r="AF1717" s="154" t="s">
        <v>6425</v>
      </c>
      <c r="AQ1717" s="173"/>
      <c r="AR1717" s="174"/>
      <c r="AS1717" s="175"/>
      <c r="AT1717" s="159"/>
      <c r="AU1717" s="161"/>
      <c r="AV1717" s="173"/>
      <c r="AW1717" s="176"/>
      <c r="AX1717" s="177"/>
      <c r="AY1717" s="178"/>
      <c r="AZ1717" s="159"/>
      <c r="BA1717" s="161"/>
      <c r="BB1717" s="160"/>
    </row>
    <row r="1718" spans="1:59" s="154" customFormat="1" ht="15" customHeight="1">
      <c r="A1718" s="153" t="s">
        <v>6412</v>
      </c>
      <c r="B1718" s="189" t="s">
        <v>6426</v>
      </c>
      <c r="C1718" s="154" t="s">
        <v>6414</v>
      </c>
      <c r="D1718" s="154">
        <v>192</v>
      </c>
      <c r="E1718" s="154">
        <v>2</v>
      </c>
      <c r="G1718" s="154" t="s">
        <v>6141</v>
      </c>
      <c r="J1718" s="154" t="s">
        <v>257</v>
      </c>
      <c r="K1718" s="154" t="s">
        <v>198</v>
      </c>
      <c r="L1718" s="154">
        <v>3</v>
      </c>
      <c r="N1718" s="154">
        <v>3</v>
      </c>
      <c r="O1718" s="173"/>
      <c r="P1718" s="174">
        <v>1</v>
      </c>
      <c r="Q1718" s="175">
        <v>1</v>
      </c>
      <c r="R1718" s="159"/>
      <c r="S1718" s="160"/>
      <c r="T1718" s="161"/>
      <c r="U1718" s="173"/>
      <c r="V1718" s="176"/>
      <c r="W1718" s="177"/>
      <c r="X1718" s="178"/>
      <c r="Y1718" s="159"/>
      <c r="Z1718" s="161"/>
      <c r="AA1718" s="160"/>
      <c r="AB1718" s="154" t="s">
        <v>1091</v>
      </c>
      <c r="AC1718" s="154" t="s">
        <v>6142</v>
      </c>
      <c r="AD1718" s="154" t="s">
        <v>2615</v>
      </c>
      <c r="AF1718" s="154" t="s">
        <v>6427</v>
      </c>
      <c r="AQ1718" s="173"/>
      <c r="AR1718" s="174"/>
      <c r="AS1718" s="175"/>
      <c r="AT1718" s="159"/>
      <c r="AU1718" s="161"/>
      <c r="AV1718" s="173"/>
      <c r="AW1718" s="176"/>
      <c r="AX1718" s="177"/>
      <c r="AY1718" s="178"/>
      <c r="AZ1718" s="159"/>
      <c r="BA1718" s="161"/>
      <c r="BB1718" s="160"/>
    </row>
    <row r="1719" spans="1:59" s="154" customFormat="1" ht="15" customHeight="1">
      <c r="A1719" s="153" t="s">
        <v>6412</v>
      </c>
      <c r="B1719" s="188" t="s">
        <v>6428</v>
      </c>
      <c r="C1719" s="154" t="s">
        <v>6414</v>
      </c>
      <c r="D1719" s="154">
        <v>193</v>
      </c>
      <c r="E1719" s="154">
        <v>2</v>
      </c>
      <c r="G1719" s="154" t="s">
        <v>6141</v>
      </c>
      <c r="J1719" s="154" t="s">
        <v>257</v>
      </c>
      <c r="K1719" s="154" t="s">
        <v>200</v>
      </c>
      <c r="L1719" s="154">
        <v>3</v>
      </c>
      <c r="N1719" s="154">
        <v>3</v>
      </c>
      <c r="O1719" s="173">
        <v>1</v>
      </c>
      <c r="P1719" s="174"/>
      <c r="Q1719" s="175">
        <v>1</v>
      </c>
      <c r="R1719" s="159"/>
      <c r="S1719" s="160"/>
      <c r="T1719" s="161"/>
      <c r="U1719" s="173"/>
      <c r="V1719" s="176"/>
      <c r="W1719" s="177"/>
      <c r="X1719" s="178"/>
      <c r="Y1719" s="159"/>
      <c r="Z1719" s="161"/>
      <c r="AA1719" s="160"/>
      <c r="AB1719" s="154" t="s">
        <v>1083</v>
      </c>
      <c r="AC1719" s="154" t="s">
        <v>6142</v>
      </c>
      <c r="AD1719" s="154" t="s">
        <v>2615</v>
      </c>
      <c r="AF1719" s="154" t="s">
        <v>6429</v>
      </c>
      <c r="AQ1719" s="173"/>
      <c r="AR1719" s="174"/>
      <c r="AS1719" s="175"/>
      <c r="AT1719" s="159"/>
      <c r="AU1719" s="161"/>
      <c r="AV1719" s="173"/>
      <c r="AW1719" s="176"/>
      <c r="AX1719" s="177"/>
      <c r="AY1719" s="178"/>
      <c r="AZ1719" s="159"/>
      <c r="BA1719" s="161"/>
      <c r="BB1719" s="160"/>
    </row>
    <row r="1720" spans="1:59" s="154" customFormat="1" ht="15" customHeight="1">
      <c r="A1720" s="153" t="s">
        <v>6412</v>
      </c>
      <c r="B1720" s="188" t="s">
        <v>6430</v>
      </c>
      <c r="C1720" s="154" t="s">
        <v>6414</v>
      </c>
      <c r="D1720" s="154">
        <v>194</v>
      </c>
      <c r="E1720" s="154">
        <v>2</v>
      </c>
      <c r="G1720" s="154" t="s">
        <v>6144</v>
      </c>
      <c r="J1720" s="154" t="s">
        <v>257</v>
      </c>
      <c r="K1720" s="154" t="s">
        <v>199</v>
      </c>
      <c r="L1720" s="154">
        <v>3</v>
      </c>
      <c r="N1720" s="172">
        <v>3</v>
      </c>
      <c r="O1720" s="173">
        <v>1</v>
      </c>
      <c r="P1720" s="174"/>
      <c r="Q1720" s="175"/>
      <c r="R1720" s="159">
        <v>1</v>
      </c>
      <c r="S1720" s="160"/>
      <c r="T1720" s="161"/>
      <c r="U1720" s="173"/>
      <c r="V1720" s="176"/>
      <c r="W1720" s="177"/>
      <c r="X1720" s="178"/>
      <c r="Y1720" s="159"/>
      <c r="Z1720" s="161"/>
      <c r="AA1720" s="160"/>
      <c r="AB1720" s="154" t="s">
        <v>1085</v>
      </c>
      <c r="AC1720" s="154" t="s">
        <v>275</v>
      </c>
      <c r="AD1720" s="154" t="s">
        <v>6431</v>
      </c>
      <c r="AF1720" s="154" t="s">
        <v>6432</v>
      </c>
      <c r="AQ1720" s="173"/>
      <c r="AR1720" s="174"/>
      <c r="AS1720" s="175"/>
      <c r="AT1720" s="159"/>
      <c r="AU1720" s="161"/>
      <c r="AV1720" s="173"/>
      <c r="AW1720" s="176"/>
      <c r="AX1720" s="177"/>
      <c r="AY1720" s="178"/>
      <c r="AZ1720" s="159"/>
      <c r="BA1720" s="161"/>
      <c r="BB1720" s="160"/>
    </row>
    <row r="1721" spans="1:59" s="154" customFormat="1" ht="15" customHeight="1">
      <c r="A1721" s="153" t="s">
        <v>6412</v>
      </c>
      <c r="B1721" s="188" t="s">
        <v>6433</v>
      </c>
      <c r="C1721" s="154" t="s">
        <v>6414</v>
      </c>
      <c r="D1721" s="154">
        <v>195</v>
      </c>
      <c r="E1721" s="154">
        <v>2</v>
      </c>
      <c r="G1721" s="154" t="s">
        <v>6144</v>
      </c>
      <c r="J1721" s="154" t="s">
        <v>257</v>
      </c>
      <c r="K1721" s="154" t="s">
        <v>202</v>
      </c>
      <c r="L1721" s="154">
        <v>3</v>
      </c>
      <c r="N1721" s="154">
        <v>2</v>
      </c>
      <c r="O1721" s="173">
        <v>1</v>
      </c>
      <c r="P1721" s="174"/>
      <c r="Q1721" s="175"/>
      <c r="R1721" s="159">
        <v>1</v>
      </c>
      <c r="S1721" s="160"/>
      <c r="T1721" s="161"/>
      <c r="U1721" s="173"/>
      <c r="V1721" s="176"/>
      <c r="W1721" s="177"/>
      <c r="X1721" s="178"/>
      <c r="Y1721" s="159"/>
      <c r="Z1721" s="161"/>
      <c r="AA1721" s="160"/>
      <c r="AB1721" s="154" t="s">
        <v>1085</v>
      </c>
      <c r="AC1721" s="154" t="s">
        <v>275</v>
      </c>
      <c r="AD1721" s="154" t="s">
        <v>6434</v>
      </c>
      <c r="AF1721" s="154" t="s">
        <v>6435</v>
      </c>
      <c r="AQ1721" s="173"/>
      <c r="AR1721" s="174"/>
      <c r="AS1721" s="175"/>
      <c r="AT1721" s="159"/>
      <c r="AU1721" s="161"/>
      <c r="AV1721" s="173"/>
      <c r="AW1721" s="176"/>
      <c r="AX1721" s="177"/>
      <c r="AY1721" s="178"/>
      <c r="AZ1721" s="159"/>
      <c r="BA1721" s="161"/>
      <c r="BB1721" s="160"/>
    </row>
    <row r="1722" spans="1:59" s="154" customFormat="1" ht="15" customHeight="1">
      <c r="A1722" s="153" t="s">
        <v>6412</v>
      </c>
      <c r="B1722" s="188" t="s">
        <v>6436</v>
      </c>
      <c r="C1722" s="154" t="s">
        <v>6414</v>
      </c>
      <c r="D1722" s="154">
        <v>196</v>
      </c>
      <c r="E1722" s="154">
        <v>2</v>
      </c>
      <c r="G1722" s="154" t="s">
        <v>6437</v>
      </c>
      <c r="H1722" s="154" t="s">
        <v>6438</v>
      </c>
      <c r="I1722" s="154" t="s">
        <v>223</v>
      </c>
      <c r="J1722" s="154" t="s">
        <v>257</v>
      </c>
      <c r="K1722" s="154" t="s">
        <v>26</v>
      </c>
      <c r="L1722" s="154">
        <v>2</v>
      </c>
      <c r="N1722" s="154">
        <v>0</v>
      </c>
      <c r="O1722" s="173"/>
      <c r="P1722" s="174"/>
      <c r="Q1722" s="175"/>
      <c r="R1722" s="159"/>
      <c r="S1722" s="160">
        <v>1</v>
      </c>
      <c r="T1722" s="161"/>
      <c r="U1722" s="173"/>
      <c r="V1722" s="176"/>
      <c r="W1722" s="177"/>
      <c r="X1722" s="178"/>
      <c r="Y1722" s="159"/>
      <c r="Z1722" s="161"/>
      <c r="AA1722" s="160"/>
      <c r="AB1722" s="154" t="s">
        <v>208</v>
      </c>
      <c r="AD1722" s="154" t="s">
        <v>276</v>
      </c>
      <c r="AF1722" s="154" t="s">
        <v>6439</v>
      </c>
      <c r="AQ1722" s="173"/>
      <c r="AR1722" s="174"/>
      <c r="AS1722" s="175"/>
      <c r="AT1722" s="159"/>
      <c r="AU1722" s="161"/>
      <c r="AV1722" s="173"/>
      <c r="AW1722" s="176"/>
      <c r="AX1722" s="177"/>
      <c r="AY1722" s="178"/>
      <c r="AZ1722" s="159"/>
      <c r="BA1722" s="161"/>
      <c r="BB1722" s="160"/>
    </row>
    <row r="1723" spans="1:59" s="154" customFormat="1" ht="15" customHeight="1">
      <c r="A1723" s="153" t="s">
        <v>6412</v>
      </c>
      <c r="B1723" s="188" t="s">
        <v>6440</v>
      </c>
      <c r="C1723" s="154" t="s">
        <v>6414</v>
      </c>
      <c r="D1723" s="154">
        <v>197</v>
      </c>
      <c r="E1723" s="154">
        <v>1</v>
      </c>
      <c r="F1723" s="154" t="s">
        <v>6235</v>
      </c>
      <c r="G1723" s="154" t="s">
        <v>6235</v>
      </c>
      <c r="J1723" s="154" t="s">
        <v>618</v>
      </c>
      <c r="K1723" s="154" t="s">
        <v>2426</v>
      </c>
      <c r="O1723" s="173"/>
      <c r="P1723" s="174"/>
      <c r="Q1723" s="175"/>
      <c r="R1723" s="159"/>
      <c r="S1723" s="160"/>
      <c r="T1723" s="161"/>
      <c r="U1723" s="173"/>
      <c r="V1723" s="176"/>
      <c r="W1723" s="177"/>
      <c r="X1723" s="178"/>
      <c r="Y1723" s="159"/>
      <c r="Z1723" s="161"/>
      <c r="AA1723" s="160"/>
      <c r="AF1723" s="154" t="s">
        <v>6441</v>
      </c>
      <c r="AI1723" s="154" t="s">
        <v>6235</v>
      </c>
      <c r="AL1723" s="154" t="s">
        <v>618</v>
      </c>
      <c r="AM1723" s="154" t="s">
        <v>2426</v>
      </c>
      <c r="AQ1723" s="173"/>
      <c r="AR1723" s="174"/>
      <c r="AS1723" s="175"/>
      <c r="AT1723" s="159"/>
      <c r="AU1723" s="161"/>
      <c r="AV1723" s="173"/>
      <c r="AW1723" s="176"/>
      <c r="AX1723" s="177"/>
      <c r="AY1723" s="178"/>
      <c r="AZ1723" s="159"/>
      <c r="BA1723" s="161"/>
      <c r="BB1723" s="160"/>
      <c r="BG1723" s="154" t="s">
        <v>6442</v>
      </c>
    </row>
    <row r="1724" spans="1:59" s="154" customFormat="1" ht="15" customHeight="1">
      <c r="A1724" s="153" t="s">
        <v>6412</v>
      </c>
      <c r="B1724" s="188" t="s">
        <v>6443</v>
      </c>
      <c r="C1724" s="154" t="s">
        <v>6414</v>
      </c>
      <c r="D1724" s="154">
        <v>198</v>
      </c>
      <c r="E1724" s="154">
        <v>1</v>
      </c>
      <c r="F1724" s="154" t="s">
        <v>6235</v>
      </c>
      <c r="G1724" s="154" t="s">
        <v>6444</v>
      </c>
      <c r="J1724" s="154" t="s">
        <v>619</v>
      </c>
      <c r="K1724" s="154" t="s">
        <v>2426</v>
      </c>
      <c r="L1724" s="154">
        <v>1</v>
      </c>
      <c r="O1724" s="173"/>
      <c r="P1724" s="174"/>
      <c r="Q1724" s="175"/>
      <c r="R1724" s="159"/>
      <c r="S1724" s="160"/>
      <c r="T1724" s="161"/>
      <c r="U1724" s="173"/>
      <c r="V1724" s="176"/>
      <c r="W1724" s="177"/>
      <c r="X1724" s="178"/>
      <c r="Y1724" s="159"/>
      <c r="Z1724" s="161">
        <v>8</v>
      </c>
      <c r="AA1724" s="160"/>
      <c r="AF1724" s="154" t="s">
        <v>6445</v>
      </c>
      <c r="AI1724" s="154" t="s">
        <v>6446</v>
      </c>
      <c r="AL1724" s="154" t="s">
        <v>619</v>
      </c>
      <c r="AM1724" s="154" t="s">
        <v>2426</v>
      </c>
      <c r="AN1724" s="154">
        <v>1</v>
      </c>
      <c r="AQ1724" s="173"/>
      <c r="AR1724" s="174"/>
      <c r="AS1724" s="175"/>
      <c r="AT1724" s="159"/>
      <c r="AU1724" s="161"/>
      <c r="AV1724" s="173"/>
      <c r="AW1724" s="176"/>
      <c r="AX1724" s="177"/>
      <c r="AY1724" s="178"/>
      <c r="AZ1724" s="159"/>
      <c r="BA1724" s="161"/>
      <c r="BB1724" s="160"/>
      <c r="BG1724" s="154" t="s">
        <v>6447</v>
      </c>
    </row>
    <row r="1725" spans="1:59" s="154" customFormat="1" ht="15" customHeight="1">
      <c r="A1725" s="153" t="s">
        <v>6412</v>
      </c>
      <c r="B1725" s="189" t="s">
        <v>6448</v>
      </c>
      <c r="C1725" s="154" t="s">
        <v>6414</v>
      </c>
      <c r="D1725" s="154">
        <v>199</v>
      </c>
      <c r="E1725" s="154">
        <v>1</v>
      </c>
      <c r="F1725" s="154" t="s">
        <v>6235</v>
      </c>
      <c r="G1725" s="154" t="s">
        <v>6449</v>
      </c>
      <c r="J1725" s="154" t="s">
        <v>619</v>
      </c>
      <c r="K1725" s="154" t="s">
        <v>2426</v>
      </c>
      <c r="L1725" s="154">
        <v>2</v>
      </c>
      <c r="O1725" s="173"/>
      <c r="P1725" s="174"/>
      <c r="Q1725" s="175"/>
      <c r="R1725" s="159"/>
      <c r="S1725" s="160"/>
      <c r="T1725" s="161"/>
      <c r="U1725" s="173"/>
      <c r="V1725" s="176"/>
      <c r="W1725" s="177"/>
      <c r="X1725" s="178"/>
      <c r="Y1725" s="159"/>
      <c r="Z1725" s="161">
        <v>10</v>
      </c>
      <c r="AA1725" s="160"/>
      <c r="AF1725" s="154" t="s">
        <v>6450</v>
      </c>
      <c r="AI1725" s="154" t="s">
        <v>6451</v>
      </c>
      <c r="AL1725" s="154" t="s">
        <v>619</v>
      </c>
      <c r="AM1725" s="154" t="s">
        <v>2426</v>
      </c>
      <c r="AN1725" s="154">
        <v>2</v>
      </c>
      <c r="AQ1725" s="173"/>
      <c r="AR1725" s="174"/>
      <c r="AS1725" s="175"/>
      <c r="AT1725" s="159"/>
      <c r="AU1725" s="161"/>
      <c r="AV1725" s="173"/>
      <c r="AW1725" s="176"/>
      <c r="AX1725" s="177"/>
      <c r="AY1725" s="178"/>
      <c r="AZ1725" s="159"/>
      <c r="BA1725" s="161"/>
      <c r="BB1725" s="160"/>
      <c r="BG1725" s="154" t="s">
        <v>6452</v>
      </c>
    </row>
    <row r="1726" spans="1:59" s="154" customFormat="1" ht="15" customHeight="1">
      <c r="A1726" s="153" t="s">
        <v>6412</v>
      </c>
      <c r="B1726" s="188" t="s">
        <v>6453</v>
      </c>
      <c r="C1726" s="154" t="s">
        <v>6414</v>
      </c>
      <c r="D1726" s="154">
        <v>200</v>
      </c>
      <c r="E1726" s="154">
        <v>1</v>
      </c>
      <c r="F1726" s="154" t="s">
        <v>6235</v>
      </c>
      <c r="G1726" s="154" t="s">
        <v>6454</v>
      </c>
      <c r="J1726" s="154" t="s">
        <v>621</v>
      </c>
      <c r="K1726" s="154" t="s">
        <v>2426</v>
      </c>
      <c r="L1726" s="154">
        <v>1</v>
      </c>
      <c r="O1726" s="173"/>
      <c r="P1726" s="174"/>
      <c r="Q1726" s="175"/>
      <c r="R1726" s="159"/>
      <c r="S1726" s="160"/>
      <c r="T1726" s="161"/>
      <c r="U1726" s="173"/>
      <c r="V1726" s="176"/>
      <c r="W1726" s="177"/>
      <c r="X1726" s="178"/>
      <c r="Y1726" s="159" t="s">
        <v>1112</v>
      </c>
      <c r="Z1726" s="161"/>
      <c r="AA1726" s="160"/>
      <c r="AI1726" s="154" t="s">
        <v>6455</v>
      </c>
      <c r="AL1726" s="154" t="s">
        <v>621</v>
      </c>
      <c r="AM1726" s="154" t="s">
        <v>2426</v>
      </c>
      <c r="AN1726" s="154">
        <v>1</v>
      </c>
      <c r="AQ1726" s="173"/>
      <c r="AR1726" s="174"/>
      <c r="AS1726" s="175"/>
      <c r="AT1726" s="159"/>
      <c r="AU1726" s="161"/>
      <c r="AV1726" s="173"/>
      <c r="AW1726" s="176"/>
      <c r="AX1726" s="177"/>
      <c r="AY1726" s="178"/>
      <c r="AZ1726" s="159"/>
      <c r="BA1726" s="161"/>
      <c r="BB1726" s="160"/>
      <c r="BG1726" s="154" t="s">
        <v>6456</v>
      </c>
    </row>
    <row r="1727" spans="1:59" s="154" customFormat="1" ht="15" customHeight="1">
      <c r="A1727" s="153" t="s">
        <v>6412</v>
      </c>
      <c r="B1727" s="188" t="s">
        <v>6457</v>
      </c>
      <c r="C1727" s="154" t="s">
        <v>6414</v>
      </c>
      <c r="D1727" s="154">
        <v>201</v>
      </c>
      <c r="E1727" s="154">
        <v>1</v>
      </c>
      <c r="F1727" s="154" t="s">
        <v>6235</v>
      </c>
      <c r="G1727" s="154" t="s">
        <v>6458</v>
      </c>
      <c r="J1727" s="154" t="s">
        <v>621</v>
      </c>
      <c r="K1727" s="154" t="s">
        <v>2426</v>
      </c>
      <c r="L1727" s="154">
        <v>1</v>
      </c>
      <c r="O1727" s="173"/>
      <c r="P1727" s="174"/>
      <c r="Q1727" s="175"/>
      <c r="R1727" s="159"/>
      <c r="S1727" s="160"/>
      <c r="T1727" s="161"/>
      <c r="U1727" s="173"/>
      <c r="V1727" s="176"/>
      <c r="W1727" s="177"/>
      <c r="X1727" s="178"/>
      <c r="Y1727" s="159" t="s">
        <v>1111</v>
      </c>
      <c r="Z1727" s="161"/>
      <c r="AA1727" s="160"/>
      <c r="AF1727" s="154" t="s">
        <v>6459</v>
      </c>
      <c r="AI1727" s="154" t="s">
        <v>6460</v>
      </c>
      <c r="AL1727" s="154" t="s">
        <v>621</v>
      </c>
      <c r="AM1727" s="154" t="s">
        <v>2426</v>
      </c>
      <c r="AN1727" s="154">
        <v>1</v>
      </c>
      <c r="AQ1727" s="173"/>
      <c r="AR1727" s="174"/>
      <c r="AS1727" s="175"/>
      <c r="AT1727" s="159"/>
      <c r="AU1727" s="161"/>
      <c r="AV1727" s="173"/>
      <c r="AW1727" s="176"/>
      <c r="AX1727" s="177"/>
      <c r="AY1727" s="178"/>
      <c r="AZ1727" s="159"/>
      <c r="BA1727" s="161"/>
      <c r="BB1727" s="160"/>
      <c r="BG1727" s="154" t="s">
        <v>6461</v>
      </c>
    </row>
    <row r="1728" spans="1:59" s="154" customFormat="1" ht="15" customHeight="1">
      <c r="A1728" s="153" t="s">
        <v>6412</v>
      </c>
      <c r="B1728" s="188" t="s">
        <v>6462</v>
      </c>
      <c r="C1728" s="154" t="s">
        <v>6414</v>
      </c>
      <c r="D1728" s="154">
        <v>202</v>
      </c>
      <c r="E1728" s="154">
        <v>1</v>
      </c>
      <c r="F1728" s="154" t="s">
        <v>6235</v>
      </c>
      <c r="G1728" s="154" t="s">
        <v>6463</v>
      </c>
      <c r="J1728" s="154" t="s">
        <v>621</v>
      </c>
      <c r="K1728" s="154" t="s">
        <v>2426</v>
      </c>
      <c r="L1728" s="154">
        <v>2</v>
      </c>
      <c r="O1728" s="173"/>
      <c r="P1728" s="174"/>
      <c r="Q1728" s="175"/>
      <c r="R1728" s="159"/>
      <c r="S1728" s="160"/>
      <c r="T1728" s="161"/>
      <c r="U1728" s="173"/>
      <c r="V1728" s="176"/>
      <c r="W1728" s="177"/>
      <c r="X1728" s="178"/>
      <c r="Y1728" s="159" t="s">
        <v>38</v>
      </c>
      <c r="Z1728" s="161"/>
      <c r="AA1728" s="160"/>
      <c r="AF1728" s="154" t="s">
        <v>6464</v>
      </c>
      <c r="AI1728" s="154" t="s">
        <v>6465</v>
      </c>
      <c r="AL1728" s="154" t="s">
        <v>621</v>
      </c>
      <c r="AM1728" s="154" t="s">
        <v>2426</v>
      </c>
      <c r="AN1728" s="154">
        <v>2</v>
      </c>
      <c r="AQ1728" s="173"/>
      <c r="AR1728" s="174"/>
      <c r="AS1728" s="175"/>
      <c r="AT1728" s="159"/>
      <c r="AU1728" s="161"/>
      <c r="AV1728" s="173"/>
      <c r="AW1728" s="176"/>
      <c r="AX1728" s="177"/>
      <c r="AY1728" s="178"/>
      <c r="AZ1728" s="159"/>
      <c r="BA1728" s="161"/>
      <c r="BB1728" s="160"/>
      <c r="BG1728" s="154" t="s">
        <v>6466</v>
      </c>
    </row>
    <row r="1729" spans="1:59" s="154" customFormat="1" ht="15" customHeight="1">
      <c r="A1729" s="153" t="s">
        <v>6412</v>
      </c>
      <c r="B1729" s="189" t="s">
        <v>6467</v>
      </c>
      <c r="C1729" s="154" t="s">
        <v>6414</v>
      </c>
      <c r="D1729" s="154">
        <v>203</v>
      </c>
      <c r="E1729" s="154">
        <v>1</v>
      </c>
      <c r="F1729" s="154" t="s">
        <v>6235</v>
      </c>
      <c r="G1729" s="154" t="s">
        <v>6468</v>
      </c>
      <c r="J1729" s="154" t="s">
        <v>621</v>
      </c>
      <c r="K1729" s="154" t="s">
        <v>2426</v>
      </c>
      <c r="L1729" s="154">
        <v>3</v>
      </c>
      <c r="O1729" s="173"/>
      <c r="P1729" s="174"/>
      <c r="Q1729" s="175"/>
      <c r="R1729" s="159"/>
      <c r="S1729" s="160"/>
      <c r="T1729" s="161"/>
      <c r="U1729" s="173"/>
      <c r="V1729" s="176"/>
      <c r="W1729" s="177"/>
      <c r="X1729" s="178"/>
      <c r="Y1729" s="159" t="s">
        <v>38</v>
      </c>
      <c r="Z1729" s="161"/>
      <c r="AA1729" s="160"/>
      <c r="AF1729" s="154" t="s">
        <v>6469</v>
      </c>
      <c r="AI1729" s="154" t="s">
        <v>6470</v>
      </c>
      <c r="AL1729" s="154" t="s">
        <v>621</v>
      </c>
      <c r="AM1729" s="154" t="s">
        <v>2426</v>
      </c>
      <c r="AN1729" s="154">
        <v>3</v>
      </c>
      <c r="AQ1729" s="173"/>
      <c r="AR1729" s="174"/>
      <c r="AS1729" s="175"/>
      <c r="AT1729" s="159"/>
      <c r="AU1729" s="161"/>
      <c r="AV1729" s="173"/>
      <c r="AW1729" s="176"/>
      <c r="AX1729" s="177"/>
      <c r="AY1729" s="178"/>
      <c r="AZ1729" s="159"/>
      <c r="BA1729" s="161"/>
      <c r="BB1729" s="160"/>
      <c r="BG1729" s="154" t="s">
        <v>6471</v>
      </c>
    </row>
    <row r="1730" spans="1:59" s="154" customFormat="1" ht="15" customHeight="1">
      <c r="A1730" s="153" t="s">
        <v>6412</v>
      </c>
      <c r="B1730" s="188" t="s">
        <v>6472</v>
      </c>
      <c r="C1730" s="154" t="s">
        <v>6414</v>
      </c>
      <c r="D1730" s="154">
        <v>204</v>
      </c>
      <c r="E1730" s="154">
        <v>1</v>
      </c>
      <c r="F1730" s="154" t="s">
        <v>6235</v>
      </c>
      <c r="G1730" s="154" t="s">
        <v>6473</v>
      </c>
      <c r="J1730" s="154" t="s">
        <v>31</v>
      </c>
      <c r="K1730" s="154" t="s">
        <v>2426</v>
      </c>
      <c r="O1730" s="173"/>
      <c r="P1730" s="174"/>
      <c r="Q1730" s="175"/>
      <c r="R1730" s="159"/>
      <c r="S1730" s="160"/>
      <c r="T1730" s="161"/>
      <c r="U1730" s="173"/>
      <c r="V1730" s="176"/>
      <c r="W1730" s="177"/>
      <c r="X1730" s="178"/>
      <c r="Y1730" s="159"/>
      <c r="Z1730" s="161"/>
      <c r="AA1730" s="160"/>
      <c r="AD1730" s="154" t="s">
        <v>6474</v>
      </c>
      <c r="AI1730" s="154" t="s">
        <v>6473</v>
      </c>
      <c r="AJ1730" s="154" t="s">
        <v>6475</v>
      </c>
      <c r="AL1730" s="154" t="s">
        <v>31</v>
      </c>
      <c r="AM1730" s="154" t="s">
        <v>2426</v>
      </c>
      <c r="AQ1730" s="173"/>
      <c r="AR1730" s="174"/>
      <c r="AS1730" s="175"/>
      <c r="AT1730" s="159"/>
      <c r="AU1730" s="161"/>
      <c r="AV1730" s="173"/>
      <c r="AW1730" s="176"/>
      <c r="AX1730" s="177"/>
      <c r="AY1730" s="178">
        <v>2</v>
      </c>
      <c r="AZ1730" s="159">
        <v>0</v>
      </c>
      <c r="BA1730" s="161"/>
      <c r="BB1730" s="160"/>
      <c r="BE1730" s="154" t="s">
        <v>6474</v>
      </c>
      <c r="BG1730" s="154" t="s">
        <v>6476</v>
      </c>
    </row>
    <row r="1731" spans="1:59" s="154" customFormat="1" ht="15" customHeight="1">
      <c r="A1731" s="153" t="s">
        <v>6412</v>
      </c>
      <c r="B1731" s="188" t="s">
        <v>6477</v>
      </c>
      <c r="C1731" s="154" t="s">
        <v>6414</v>
      </c>
      <c r="D1731" s="154">
        <v>205</v>
      </c>
      <c r="E1731" s="154">
        <v>1</v>
      </c>
      <c r="F1731" s="154" t="s">
        <v>6235</v>
      </c>
      <c r="G1731" s="154" t="s">
        <v>6473</v>
      </c>
      <c r="J1731" s="154" t="s">
        <v>31</v>
      </c>
      <c r="K1731" s="154" t="s">
        <v>2426</v>
      </c>
      <c r="O1731" s="173"/>
      <c r="P1731" s="174"/>
      <c r="Q1731" s="175"/>
      <c r="R1731" s="159"/>
      <c r="S1731" s="160"/>
      <c r="T1731" s="161"/>
      <c r="U1731" s="173"/>
      <c r="V1731" s="176"/>
      <c r="W1731" s="177"/>
      <c r="X1731" s="178"/>
      <c r="Y1731" s="159"/>
      <c r="Z1731" s="161"/>
      <c r="AA1731" s="160"/>
      <c r="AD1731" s="154" t="s">
        <v>6474</v>
      </c>
      <c r="AI1731" s="154" t="s">
        <v>6473</v>
      </c>
      <c r="AJ1731" s="154" t="s">
        <v>6478</v>
      </c>
      <c r="AL1731" s="154" t="s">
        <v>31</v>
      </c>
      <c r="AM1731" s="154" t="s">
        <v>2426</v>
      </c>
      <c r="AQ1731" s="173"/>
      <c r="AR1731" s="174"/>
      <c r="AS1731" s="175"/>
      <c r="AT1731" s="159"/>
      <c r="AU1731" s="161"/>
      <c r="AV1731" s="173"/>
      <c r="AW1731" s="176"/>
      <c r="AX1731" s="177"/>
      <c r="AY1731" s="178">
        <v>2</v>
      </c>
      <c r="AZ1731" s="159" t="s">
        <v>1073</v>
      </c>
      <c r="BA1731" s="161"/>
      <c r="BB1731" s="160"/>
      <c r="BE1731" s="154" t="s">
        <v>6474</v>
      </c>
      <c r="BG1731" s="154" t="s">
        <v>6476</v>
      </c>
    </row>
    <row r="1732" spans="1:59" s="154" customFormat="1" ht="15" customHeight="1">
      <c r="A1732" s="153" t="s">
        <v>6412</v>
      </c>
      <c r="B1732" s="188" t="s">
        <v>6479</v>
      </c>
      <c r="C1732" s="154" t="s">
        <v>6414</v>
      </c>
      <c r="D1732" s="154">
        <v>206</v>
      </c>
      <c r="E1732" s="154">
        <v>1</v>
      </c>
      <c r="F1732" s="154" t="s">
        <v>6235</v>
      </c>
      <c r="G1732" s="154" t="s">
        <v>2661</v>
      </c>
      <c r="J1732" s="154" t="s">
        <v>31</v>
      </c>
      <c r="K1732" s="154" t="s">
        <v>2426</v>
      </c>
      <c r="O1732" s="173"/>
      <c r="P1732" s="174"/>
      <c r="Q1732" s="175"/>
      <c r="R1732" s="159"/>
      <c r="S1732" s="160"/>
      <c r="T1732" s="161"/>
      <c r="U1732" s="173"/>
      <c r="V1732" s="176"/>
      <c r="W1732" s="177"/>
      <c r="X1732" s="178"/>
      <c r="Y1732" s="159"/>
      <c r="Z1732" s="161"/>
      <c r="AA1732" s="160"/>
      <c r="AD1732" s="154" t="s">
        <v>6474</v>
      </c>
      <c r="AI1732" s="154" t="s">
        <v>2661</v>
      </c>
      <c r="AJ1732" s="154" t="s">
        <v>6475</v>
      </c>
      <c r="AL1732" s="154" t="s">
        <v>31</v>
      </c>
      <c r="AM1732" s="154" t="s">
        <v>2426</v>
      </c>
      <c r="AQ1732" s="173"/>
      <c r="AR1732" s="174"/>
      <c r="AS1732" s="175"/>
      <c r="AT1732" s="159"/>
      <c r="AU1732" s="161"/>
      <c r="AV1732" s="173"/>
      <c r="AW1732" s="176"/>
      <c r="AX1732" s="177"/>
      <c r="AY1732" s="178">
        <v>3</v>
      </c>
      <c r="AZ1732" s="159">
        <v>0</v>
      </c>
      <c r="BA1732" s="161"/>
      <c r="BB1732" s="160"/>
      <c r="BE1732" s="154" t="s">
        <v>6474</v>
      </c>
      <c r="BG1732" s="154" t="s">
        <v>6480</v>
      </c>
    </row>
    <row r="1733" spans="1:59" s="154" customFormat="1" ht="15" customHeight="1">
      <c r="A1733" s="153" t="s">
        <v>6412</v>
      </c>
      <c r="B1733" s="188" t="s">
        <v>6481</v>
      </c>
      <c r="C1733" s="154" t="s">
        <v>6414</v>
      </c>
      <c r="D1733" s="154">
        <v>207</v>
      </c>
      <c r="E1733" s="154">
        <v>1</v>
      </c>
      <c r="F1733" s="154" t="s">
        <v>6235</v>
      </c>
      <c r="G1733" s="154" t="s">
        <v>2661</v>
      </c>
      <c r="J1733" s="154" t="s">
        <v>31</v>
      </c>
      <c r="K1733" s="154" t="s">
        <v>2426</v>
      </c>
      <c r="O1733" s="173"/>
      <c r="P1733" s="174"/>
      <c r="Q1733" s="175"/>
      <c r="R1733" s="159"/>
      <c r="S1733" s="160"/>
      <c r="T1733" s="161"/>
      <c r="U1733" s="173"/>
      <c r="V1733" s="176"/>
      <c r="W1733" s="177"/>
      <c r="X1733" s="178"/>
      <c r="Y1733" s="159"/>
      <c r="Z1733" s="161"/>
      <c r="AA1733" s="160"/>
      <c r="AD1733" s="154" t="s">
        <v>6474</v>
      </c>
      <c r="AI1733" s="154" t="s">
        <v>2661</v>
      </c>
      <c r="AJ1733" s="154" t="s">
        <v>6478</v>
      </c>
      <c r="AL1733" s="154" t="s">
        <v>31</v>
      </c>
      <c r="AM1733" s="154" t="s">
        <v>2426</v>
      </c>
      <c r="AQ1733" s="173"/>
      <c r="AR1733" s="174"/>
      <c r="AS1733" s="175"/>
      <c r="AT1733" s="159"/>
      <c r="AU1733" s="161"/>
      <c r="AV1733" s="173"/>
      <c r="AW1733" s="176"/>
      <c r="AX1733" s="177"/>
      <c r="AY1733" s="178">
        <v>3</v>
      </c>
      <c r="AZ1733" s="159" t="s">
        <v>1073</v>
      </c>
      <c r="BA1733" s="161"/>
      <c r="BB1733" s="160"/>
      <c r="BE1733" s="154" t="s">
        <v>6474</v>
      </c>
      <c r="BG1733" s="154" t="s">
        <v>6482</v>
      </c>
    </row>
    <row r="1734" spans="1:59" s="154" customFormat="1" ht="15" customHeight="1">
      <c r="A1734" s="153" t="s">
        <v>6412</v>
      </c>
      <c r="B1734" s="188" t="s">
        <v>6483</v>
      </c>
      <c r="C1734" s="154" t="s">
        <v>6414</v>
      </c>
      <c r="D1734" s="154">
        <v>208</v>
      </c>
      <c r="E1734" s="154">
        <v>1</v>
      </c>
      <c r="F1734" s="154" t="s">
        <v>6235</v>
      </c>
      <c r="G1734" s="154" t="s">
        <v>6484</v>
      </c>
      <c r="J1734" s="154" t="s">
        <v>31</v>
      </c>
      <c r="K1734" s="154" t="s">
        <v>2426</v>
      </c>
      <c r="O1734" s="173"/>
      <c r="P1734" s="174"/>
      <c r="Q1734" s="175"/>
      <c r="R1734" s="159"/>
      <c r="S1734" s="160"/>
      <c r="T1734" s="161"/>
      <c r="U1734" s="173"/>
      <c r="V1734" s="176"/>
      <c r="W1734" s="177"/>
      <c r="X1734" s="178"/>
      <c r="Y1734" s="159"/>
      <c r="Z1734" s="161"/>
      <c r="AA1734" s="160"/>
      <c r="AD1734" s="154" t="s">
        <v>6474</v>
      </c>
      <c r="AI1734" s="154" t="s">
        <v>6484</v>
      </c>
      <c r="AJ1734" s="154" t="s">
        <v>6475</v>
      </c>
      <c r="AL1734" s="154" t="s">
        <v>31</v>
      </c>
      <c r="AM1734" s="154" t="s">
        <v>2426</v>
      </c>
      <c r="AQ1734" s="173"/>
      <c r="AR1734" s="174"/>
      <c r="AS1734" s="175"/>
      <c r="AT1734" s="159"/>
      <c r="AU1734" s="161"/>
      <c r="AV1734" s="173"/>
      <c r="AW1734" s="176"/>
      <c r="AX1734" s="177"/>
      <c r="AY1734" s="178">
        <v>3</v>
      </c>
      <c r="AZ1734" s="159" t="s">
        <v>1073</v>
      </c>
      <c r="BA1734" s="161"/>
      <c r="BB1734" s="160"/>
      <c r="BE1734" s="154" t="s">
        <v>6474</v>
      </c>
      <c r="BG1734" s="154" t="s">
        <v>6485</v>
      </c>
    </row>
    <row r="1735" spans="1:59" s="154" customFormat="1" ht="15" customHeight="1">
      <c r="A1735" s="153" t="s">
        <v>6412</v>
      </c>
      <c r="B1735" s="189" t="s">
        <v>6486</v>
      </c>
      <c r="C1735" s="154" t="s">
        <v>6414</v>
      </c>
      <c r="D1735" s="154">
        <v>209</v>
      </c>
      <c r="E1735" s="154">
        <v>1</v>
      </c>
      <c r="F1735" s="154" t="s">
        <v>6235</v>
      </c>
      <c r="G1735" s="154" t="s">
        <v>6484</v>
      </c>
      <c r="J1735" s="154" t="s">
        <v>31</v>
      </c>
      <c r="K1735" s="154" t="s">
        <v>2426</v>
      </c>
      <c r="O1735" s="173"/>
      <c r="P1735" s="174"/>
      <c r="Q1735" s="175"/>
      <c r="R1735" s="159"/>
      <c r="S1735" s="160"/>
      <c r="T1735" s="161"/>
      <c r="U1735" s="173"/>
      <c r="V1735" s="176"/>
      <c r="W1735" s="177"/>
      <c r="X1735" s="178"/>
      <c r="Y1735" s="159"/>
      <c r="Z1735" s="161"/>
      <c r="AA1735" s="160"/>
      <c r="AD1735" s="154" t="s">
        <v>6474</v>
      </c>
      <c r="AI1735" s="154" t="s">
        <v>6484</v>
      </c>
      <c r="AJ1735" s="154" t="s">
        <v>6478</v>
      </c>
      <c r="AL1735" s="154" t="s">
        <v>31</v>
      </c>
      <c r="AM1735" s="154" t="s">
        <v>2426</v>
      </c>
      <c r="AQ1735" s="173"/>
      <c r="AR1735" s="174"/>
      <c r="AS1735" s="175"/>
      <c r="AT1735" s="159"/>
      <c r="AU1735" s="161"/>
      <c r="AV1735" s="173"/>
      <c r="AW1735" s="176"/>
      <c r="AX1735" s="177"/>
      <c r="AY1735" s="178">
        <v>3</v>
      </c>
      <c r="AZ1735" s="159">
        <v>0</v>
      </c>
      <c r="BA1735" s="161"/>
      <c r="BB1735" s="160"/>
      <c r="BE1735" s="154" t="s">
        <v>6474</v>
      </c>
      <c r="BG1735" s="154" t="s">
        <v>6487</v>
      </c>
    </row>
    <row r="1736" spans="1:59" s="154" customFormat="1" ht="15" customHeight="1">
      <c r="A1736" s="153" t="s">
        <v>6412</v>
      </c>
      <c r="B1736" s="188" t="s">
        <v>6488</v>
      </c>
      <c r="C1736" s="154" t="s">
        <v>6414</v>
      </c>
      <c r="D1736" s="154">
        <v>210</v>
      </c>
      <c r="E1736" s="154">
        <v>1</v>
      </c>
      <c r="F1736" s="154" t="s">
        <v>6235</v>
      </c>
      <c r="G1736" s="154" t="s">
        <v>6489</v>
      </c>
      <c r="J1736" s="154" t="s">
        <v>31</v>
      </c>
      <c r="K1736" s="154" t="s">
        <v>2426</v>
      </c>
      <c r="O1736" s="173"/>
      <c r="P1736" s="174"/>
      <c r="Q1736" s="175"/>
      <c r="R1736" s="159"/>
      <c r="S1736" s="160"/>
      <c r="T1736" s="161"/>
      <c r="U1736" s="173"/>
      <c r="V1736" s="176"/>
      <c r="W1736" s="177"/>
      <c r="X1736" s="178"/>
      <c r="Y1736" s="159"/>
      <c r="Z1736" s="161"/>
      <c r="AA1736" s="160"/>
      <c r="AD1736" s="154" t="s">
        <v>6474</v>
      </c>
      <c r="AI1736" s="154" t="s">
        <v>6489</v>
      </c>
      <c r="AL1736" s="154" t="s">
        <v>31</v>
      </c>
      <c r="AM1736" s="154" t="s">
        <v>2426</v>
      </c>
      <c r="AQ1736" s="173"/>
      <c r="AR1736" s="174"/>
      <c r="AS1736" s="175"/>
      <c r="AT1736" s="159"/>
      <c r="AU1736" s="161"/>
      <c r="AV1736" s="173"/>
      <c r="AW1736" s="176"/>
      <c r="AX1736" s="177"/>
      <c r="AY1736" s="178">
        <v>2</v>
      </c>
      <c r="AZ1736" s="159" t="s">
        <v>1111</v>
      </c>
      <c r="BA1736" s="161"/>
      <c r="BB1736" s="160"/>
      <c r="BE1736" s="154" t="s">
        <v>6474</v>
      </c>
      <c r="BG1736" s="154" t="s">
        <v>6490</v>
      </c>
    </row>
    <row r="1737" spans="1:59" s="154" customFormat="1" ht="15" customHeight="1">
      <c r="A1737" s="153" t="s">
        <v>6412</v>
      </c>
      <c r="B1737" s="188" t="s">
        <v>6491</v>
      </c>
      <c r="C1737" s="154" t="s">
        <v>6414</v>
      </c>
      <c r="D1737" s="154">
        <v>211</v>
      </c>
      <c r="E1737" s="154">
        <v>1</v>
      </c>
      <c r="F1737" s="154" t="s">
        <v>6235</v>
      </c>
      <c r="G1737" s="154" t="s">
        <v>6492</v>
      </c>
      <c r="J1737" s="154" t="s">
        <v>31</v>
      </c>
      <c r="K1737" s="154" t="s">
        <v>2426</v>
      </c>
      <c r="O1737" s="173"/>
      <c r="P1737" s="174"/>
      <c r="Q1737" s="175"/>
      <c r="R1737" s="159"/>
      <c r="S1737" s="160"/>
      <c r="T1737" s="161"/>
      <c r="U1737" s="173"/>
      <c r="V1737" s="176"/>
      <c r="W1737" s="177"/>
      <c r="X1737" s="178"/>
      <c r="Y1737" s="159"/>
      <c r="Z1737" s="161"/>
      <c r="AA1737" s="160"/>
      <c r="AD1737" s="154" t="s">
        <v>6474</v>
      </c>
      <c r="AI1737" s="153" t="s">
        <v>6492</v>
      </c>
      <c r="AL1737" s="154" t="s">
        <v>31</v>
      </c>
      <c r="AM1737" s="154" t="s">
        <v>2426</v>
      </c>
      <c r="AQ1737" s="173"/>
      <c r="AR1737" s="174"/>
      <c r="AS1737" s="175"/>
      <c r="AT1737" s="159"/>
      <c r="AU1737" s="161"/>
      <c r="AV1737" s="173"/>
      <c r="AW1737" s="176"/>
      <c r="AX1737" s="177"/>
      <c r="AY1737" s="178">
        <v>4</v>
      </c>
      <c r="AZ1737" s="159" t="s">
        <v>1073</v>
      </c>
      <c r="BA1737" s="161"/>
      <c r="BB1737" s="160">
        <v>1</v>
      </c>
      <c r="BE1737" s="154" t="s">
        <v>6474</v>
      </c>
      <c r="BG1737" s="154" t="s">
        <v>6493</v>
      </c>
    </row>
    <row r="1738" spans="1:59" s="154" customFormat="1" ht="15" customHeight="1">
      <c r="A1738" s="153" t="s">
        <v>6412</v>
      </c>
      <c r="B1738" s="189" t="s">
        <v>6494</v>
      </c>
      <c r="C1738" s="154" t="s">
        <v>6414</v>
      </c>
      <c r="D1738" s="154">
        <v>212</v>
      </c>
      <c r="E1738" s="154">
        <v>1</v>
      </c>
      <c r="F1738" s="154" t="s">
        <v>6235</v>
      </c>
      <c r="G1738" s="154" t="s">
        <v>6495</v>
      </c>
      <c r="J1738" s="154" t="s">
        <v>31</v>
      </c>
      <c r="K1738" s="154" t="s">
        <v>2426</v>
      </c>
      <c r="O1738" s="173"/>
      <c r="P1738" s="174"/>
      <c r="Q1738" s="175"/>
      <c r="R1738" s="159"/>
      <c r="S1738" s="160"/>
      <c r="T1738" s="161"/>
      <c r="U1738" s="173"/>
      <c r="V1738" s="176"/>
      <c r="W1738" s="177"/>
      <c r="X1738" s="178"/>
      <c r="Y1738" s="159"/>
      <c r="Z1738" s="161"/>
      <c r="AA1738" s="160"/>
      <c r="AD1738" s="154" t="s">
        <v>6474</v>
      </c>
      <c r="AI1738" s="154" t="s">
        <v>6495</v>
      </c>
      <c r="AL1738" s="154" t="s">
        <v>31</v>
      </c>
      <c r="AM1738" s="154" t="s">
        <v>2426</v>
      </c>
      <c r="AQ1738" s="173"/>
      <c r="AR1738" s="174"/>
      <c r="AS1738" s="175"/>
      <c r="AT1738" s="159"/>
      <c r="AU1738" s="161"/>
      <c r="AV1738" s="173"/>
      <c r="AW1738" s="176"/>
      <c r="AX1738" s="177"/>
      <c r="AY1738" s="178">
        <v>6</v>
      </c>
      <c r="AZ1738" s="159" t="s">
        <v>1073</v>
      </c>
      <c r="BA1738" s="161"/>
      <c r="BB1738" s="160">
        <v>1</v>
      </c>
      <c r="BE1738" s="154" t="s">
        <v>6474</v>
      </c>
      <c r="BG1738" s="154" t="s">
        <v>6496</v>
      </c>
    </row>
    <row r="1739" spans="1:59" s="154" customFormat="1" ht="15" customHeight="1">
      <c r="A1739" s="153" t="s">
        <v>6412</v>
      </c>
      <c r="B1739" s="188" t="s">
        <v>6497</v>
      </c>
      <c r="C1739" s="154" t="s">
        <v>6414</v>
      </c>
      <c r="D1739" s="154">
        <v>213</v>
      </c>
      <c r="E1739" s="154">
        <v>1</v>
      </c>
      <c r="F1739" s="154" t="s">
        <v>6235</v>
      </c>
      <c r="G1739" s="154" t="s">
        <v>6498</v>
      </c>
      <c r="J1739" s="154" t="s">
        <v>31</v>
      </c>
      <c r="K1739" s="154" t="s">
        <v>2426</v>
      </c>
      <c r="O1739" s="173"/>
      <c r="P1739" s="174"/>
      <c r="Q1739" s="175"/>
      <c r="R1739" s="159"/>
      <c r="S1739" s="160"/>
      <c r="T1739" s="161"/>
      <c r="U1739" s="173"/>
      <c r="V1739" s="176"/>
      <c r="W1739" s="177"/>
      <c r="X1739" s="178"/>
      <c r="Y1739" s="159"/>
      <c r="Z1739" s="161"/>
      <c r="AA1739" s="160"/>
      <c r="AD1739" s="154" t="s">
        <v>6499</v>
      </c>
      <c r="AI1739" s="154" t="s">
        <v>6498</v>
      </c>
      <c r="AL1739" s="154" t="s">
        <v>31</v>
      </c>
      <c r="AM1739" s="154" t="s">
        <v>2426</v>
      </c>
      <c r="AQ1739" s="173"/>
      <c r="AR1739" s="174"/>
      <c r="AS1739" s="175"/>
      <c r="AT1739" s="159"/>
      <c r="AU1739" s="161"/>
      <c r="AV1739" s="173"/>
      <c r="AW1739" s="176"/>
      <c r="AX1739" s="177"/>
      <c r="AY1739" s="178">
        <v>4</v>
      </c>
      <c r="AZ1739" s="159">
        <v>0</v>
      </c>
      <c r="BA1739" s="161"/>
      <c r="BB1739" s="160"/>
      <c r="BE1739" s="154" t="s">
        <v>6499</v>
      </c>
      <c r="BG1739" s="154" t="s">
        <v>6500</v>
      </c>
    </row>
    <row r="1740" spans="1:59" s="154" customFormat="1" ht="15" customHeight="1">
      <c r="A1740" s="153" t="s">
        <v>6412</v>
      </c>
      <c r="B1740" s="188" t="s">
        <v>6501</v>
      </c>
      <c r="C1740" s="154" t="s">
        <v>6414</v>
      </c>
      <c r="D1740" s="154">
        <v>214</v>
      </c>
      <c r="E1740" s="154">
        <v>1</v>
      </c>
      <c r="F1740" s="154" t="s">
        <v>6235</v>
      </c>
      <c r="G1740" s="154" t="s">
        <v>6502</v>
      </c>
      <c r="J1740" s="154" t="s">
        <v>31</v>
      </c>
      <c r="K1740" s="154" t="s">
        <v>2426</v>
      </c>
      <c r="O1740" s="173"/>
      <c r="P1740" s="174"/>
      <c r="Q1740" s="175"/>
      <c r="R1740" s="159"/>
      <c r="S1740" s="160"/>
      <c r="T1740" s="161"/>
      <c r="U1740" s="173"/>
      <c r="V1740" s="176"/>
      <c r="W1740" s="177"/>
      <c r="X1740" s="178"/>
      <c r="Y1740" s="159"/>
      <c r="Z1740" s="161"/>
      <c r="AA1740" s="160"/>
      <c r="AD1740" s="154" t="s">
        <v>6499</v>
      </c>
      <c r="AI1740" s="154" t="s">
        <v>6503</v>
      </c>
      <c r="AL1740" s="154" t="s">
        <v>31</v>
      </c>
      <c r="AM1740" s="154" t="s">
        <v>2426</v>
      </c>
      <c r="AQ1740" s="173"/>
      <c r="AR1740" s="174"/>
      <c r="AS1740" s="175"/>
      <c r="AT1740" s="159"/>
      <c r="AU1740" s="161"/>
      <c r="AV1740" s="173"/>
      <c r="AW1740" s="176"/>
      <c r="AX1740" s="177"/>
      <c r="AY1740" s="178">
        <v>3</v>
      </c>
      <c r="AZ1740" s="159" t="s">
        <v>1111</v>
      </c>
      <c r="BA1740" s="161"/>
      <c r="BB1740" s="160">
        <v>2</v>
      </c>
      <c r="BE1740" s="154" t="s">
        <v>6499</v>
      </c>
      <c r="BG1740" s="154" t="s">
        <v>6504</v>
      </c>
    </row>
    <row r="1741" spans="1:59" s="154" customFormat="1" ht="15" customHeight="1">
      <c r="A1741" s="153" t="s">
        <v>6412</v>
      </c>
      <c r="B1741" s="188" t="s">
        <v>6505</v>
      </c>
      <c r="C1741" s="154" t="s">
        <v>6414</v>
      </c>
      <c r="D1741" s="154">
        <v>215</v>
      </c>
      <c r="E1741" s="154">
        <v>1</v>
      </c>
      <c r="F1741" s="154" t="s">
        <v>6235</v>
      </c>
      <c r="G1741" s="154" t="s">
        <v>6506</v>
      </c>
      <c r="J1741" s="154" t="s">
        <v>31</v>
      </c>
      <c r="K1741" s="154" t="s">
        <v>2426</v>
      </c>
      <c r="O1741" s="173"/>
      <c r="P1741" s="174"/>
      <c r="Q1741" s="175"/>
      <c r="R1741" s="159"/>
      <c r="S1741" s="160"/>
      <c r="T1741" s="161"/>
      <c r="U1741" s="173"/>
      <c r="V1741" s="176"/>
      <c r="W1741" s="177"/>
      <c r="X1741" s="178"/>
      <c r="Y1741" s="159"/>
      <c r="Z1741" s="161"/>
      <c r="AA1741" s="160"/>
      <c r="AD1741" s="154" t="s">
        <v>6499</v>
      </c>
      <c r="AI1741" s="154" t="s">
        <v>6503</v>
      </c>
      <c r="AL1741" s="154" t="s">
        <v>31</v>
      </c>
      <c r="AM1741" s="154" t="s">
        <v>2426</v>
      </c>
      <c r="AQ1741" s="173"/>
      <c r="AR1741" s="174"/>
      <c r="AS1741" s="175"/>
      <c r="AT1741" s="159"/>
      <c r="AU1741" s="161"/>
      <c r="AV1741" s="173"/>
      <c r="AW1741" s="176"/>
      <c r="AX1741" s="177"/>
      <c r="AY1741" s="178">
        <v>1</v>
      </c>
      <c r="AZ1741" s="159" t="s">
        <v>1073</v>
      </c>
      <c r="BA1741" s="161"/>
      <c r="BB1741" s="160"/>
      <c r="BE1741" s="154" t="s">
        <v>6499</v>
      </c>
      <c r="BG1741" s="154" t="s">
        <v>6507</v>
      </c>
    </row>
    <row r="1742" spans="1:59" s="154" customFormat="1" ht="15" customHeight="1">
      <c r="A1742" s="153" t="s">
        <v>6412</v>
      </c>
      <c r="B1742" s="189" t="s">
        <v>6508</v>
      </c>
      <c r="C1742" s="154" t="s">
        <v>6414</v>
      </c>
      <c r="D1742" s="154">
        <v>216</v>
      </c>
      <c r="E1742" s="154">
        <v>1</v>
      </c>
      <c r="F1742" s="154" t="s">
        <v>6235</v>
      </c>
      <c r="G1742" s="154" t="s">
        <v>6509</v>
      </c>
      <c r="J1742" s="154" t="s">
        <v>31</v>
      </c>
      <c r="K1742" s="154" t="s">
        <v>2426</v>
      </c>
      <c r="O1742" s="173"/>
      <c r="P1742" s="174"/>
      <c r="Q1742" s="175"/>
      <c r="R1742" s="159"/>
      <c r="S1742" s="160"/>
      <c r="T1742" s="161"/>
      <c r="U1742" s="173"/>
      <c r="V1742" s="176"/>
      <c r="W1742" s="177"/>
      <c r="X1742" s="178"/>
      <c r="Y1742" s="159"/>
      <c r="Z1742" s="161"/>
      <c r="AA1742" s="160"/>
      <c r="AD1742" s="154" t="s">
        <v>6499</v>
      </c>
      <c r="AI1742" s="154" t="s">
        <v>6509</v>
      </c>
      <c r="AL1742" s="154" t="s">
        <v>31</v>
      </c>
      <c r="AM1742" s="154" t="s">
        <v>2426</v>
      </c>
      <c r="AQ1742" s="173"/>
      <c r="AR1742" s="174"/>
      <c r="AS1742" s="175"/>
      <c r="AT1742" s="159"/>
      <c r="AU1742" s="161"/>
      <c r="AV1742" s="173"/>
      <c r="AW1742" s="176"/>
      <c r="AX1742" s="177"/>
      <c r="AY1742" s="178">
        <v>4</v>
      </c>
      <c r="AZ1742" s="159" t="s">
        <v>1073</v>
      </c>
      <c r="BA1742" s="161"/>
      <c r="BB1742" s="160"/>
      <c r="BE1742" s="154" t="s">
        <v>6499</v>
      </c>
      <c r="BG1742" s="154" t="s">
        <v>6510</v>
      </c>
    </row>
    <row r="1743" spans="1:59" s="154" customFormat="1" ht="15" customHeight="1">
      <c r="A1743" s="153" t="s">
        <v>6412</v>
      </c>
      <c r="B1743" s="188" t="s">
        <v>6511</v>
      </c>
      <c r="C1743" s="154" t="s">
        <v>6414</v>
      </c>
      <c r="D1743" s="154">
        <v>217</v>
      </c>
      <c r="E1743" s="154">
        <v>1</v>
      </c>
      <c r="F1743" s="154" t="s">
        <v>6235</v>
      </c>
      <c r="G1743" s="154" t="s">
        <v>6512</v>
      </c>
      <c r="H1743" s="154" t="s">
        <v>6513</v>
      </c>
      <c r="I1743" s="154" t="s">
        <v>223</v>
      </c>
      <c r="J1743" s="154" t="s">
        <v>29</v>
      </c>
      <c r="K1743" s="154" t="s">
        <v>2426</v>
      </c>
      <c r="O1743" s="173"/>
      <c r="P1743" s="174"/>
      <c r="Q1743" s="175">
        <v>3</v>
      </c>
      <c r="R1743" s="159">
        <v>4</v>
      </c>
      <c r="S1743" s="160"/>
      <c r="T1743" s="161">
        <v>5</v>
      </c>
      <c r="U1743" s="173"/>
      <c r="V1743" s="176">
        <v>1</v>
      </c>
      <c r="W1743" s="177">
        <v>1</v>
      </c>
      <c r="X1743" s="178"/>
      <c r="Y1743" s="159"/>
      <c r="Z1743" s="161"/>
      <c r="AA1743" s="160">
        <v>1</v>
      </c>
      <c r="AD1743" s="154" t="s">
        <v>6021</v>
      </c>
      <c r="AF1743" s="154" t="s">
        <v>6514</v>
      </c>
      <c r="AQ1743" s="173"/>
      <c r="AR1743" s="174"/>
      <c r="AS1743" s="175"/>
      <c r="AT1743" s="159"/>
      <c r="AU1743" s="161"/>
      <c r="AV1743" s="173"/>
      <c r="AW1743" s="176"/>
      <c r="AX1743" s="177"/>
      <c r="AY1743" s="178"/>
      <c r="AZ1743" s="159"/>
      <c r="BA1743" s="161"/>
      <c r="BB1743" s="160"/>
    </row>
    <row r="1744" spans="1:59" s="154" customFormat="1" ht="15" customHeight="1">
      <c r="A1744" s="153" t="s">
        <v>6412</v>
      </c>
      <c r="B1744" s="189" t="s">
        <v>6515</v>
      </c>
      <c r="C1744" s="154" t="s">
        <v>6414</v>
      </c>
      <c r="D1744" s="154">
        <v>218</v>
      </c>
      <c r="E1744" s="154">
        <v>1</v>
      </c>
      <c r="F1744" s="154" t="s">
        <v>6235</v>
      </c>
      <c r="G1744" s="154" t="s">
        <v>6516</v>
      </c>
      <c r="J1744" s="154" t="s">
        <v>29</v>
      </c>
      <c r="K1744" s="154" t="s">
        <v>2426</v>
      </c>
      <c r="O1744" s="173"/>
      <c r="P1744" s="174"/>
      <c r="Q1744" s="175">
        <v>2</v>
      </c>
      <c r="R1744" s="159">
        <v>3</v>
      </c>
      <c r="S1744" s="160"/>
      <c r="T1744" s="161">
        <v>3</v>
      </c>
      <c r="U1744" s="173"/>
      <c r="V1744" s="176"/>
      <c r="W1744" s="177">
        <v>2</v>
      </c>
      <c r="X1744" s="178"/>
      <c r="Y1744" s="159"/>
      <c r="Z1744" s="161"/>
      <c r="AA1744" s="160"/>
      <c r="AD1744" s="154" t="s">
        <v>704</v>
      </c>
      <c r="AF1744" s="154" t="s">
        <v>6517</v>
      </c>
      <c r="AQ1744" s="173"/>
      <c r="AR1744" s="174"/>
      <c r="AS1744" s="175"/>
      <c r="AT1744" s="159"/>
      <c r="AU1744" s="161"/>
      <c r="AV1744" s="173"/>
      <c r="AW1744" s="176"/>
      <c r="AX1744" s="177"/>
      <c r="AY1744" s="178"/>
      <c r="AZ1744" s="159"/>
      <c r="BA1744" s="161"/>
      <c r="BB1744" s="160"/>
    </row>
    <row r="1745" spans="1:58" s="154" customFormat="1" ht="15" customHeight="1">
      <c r="A1745" s="153" t="s">
        <v>6412</v>
      </c>
      <c r="B1745" s="188" t="s">
        <v>6518</v>
      </c>
      <c r="C1745" s="154" t="s">
        <v>6414</v>
      </c>
      <c r="D1745" s="154">
        <v>219</v>
      </c>
      <c r="E1745" s="154">
        <v>1</v>
      </c>
      <c r="F1745" s="154" t="s">
        <v>6235</v>
      </c>
      <c r="G1745" s="154" t="s">
        <v>6519</v>
      </c>
      <c r="J1745" s="154" t="s">
        <v>29</v>
      </c>
      <c r="K1745" s="154" t="s">
        <v>2426</v>
      </c>
      <c r="O1745" s="173"/>
      <c r="P1745" s="174"/>
      <c r="Q1745" s="175">
        <v>3</v>
      </c>
      <c r="R1745" s="159">
        <v>2</v>
      </c>
      <c r="S1745" s="160"/>
      <c r="T1745" s="161">
        <v>3</v>
      </c>
      <c r="U1745" s="173"/>
      <c r="V1745" s="176"/>
      <c r="W1745" s="177">
        <v>2</v>
      </c>
      <c r="X1745" s="178"/>
      <c r="Y1745" s="159"/>
      <c r="Z1745" s="161"/>
      <c r="AA1745" s="160"/>
      <c r="AD1745" s="154" t="s">
        <v>704</v>
      </c>
      <c r="AF1745" s="154" t="s">
        <v>6520</v>
      </c>
      <c r="AQ1745" s="173"/>
      <c r="AR1745" s="174"/>
      <c r="AS1745" s="175"/>
      <c r="AT1745" s="159"/>
      <c r="AU1745" s="161"/>
      <c r="AV1745" s="173"/>
      <c r="AW1745" s="176"/>
      <c r="AX1745" s="177"/>
      <c r="AY1745" s="178"/>
      <c r="AZ1745" s="159"/>
      <c r="BA1745" s="161"/>
      <c r="BB1745" s="160"/>
    </row>
    <row r="1746" spans="1:58" s="154" customFormat="1" ht="15" customHeight="1">
      <c r="A1746" s="153" t="s">
        <v>6412</v>
      </c>
      <c r="B1746" s="188" t="s">
        <v>6521</v>
      </c>
      <c r="C1746" s="154" t="s">
        <v>6414</v>
      </c>
      <c r="D1746" s="154">
        <v>220</v>
      </c>
      <c r="E1746" s="154">
        <v>1</v>
      </c>
      <c r="F1746" s="154" t="s">
        <v>6235</v>
      </c>
      <c r="G1746" s="154" t="s">
        <v>6522</v>
      </c>
      <c r="H1746" s="154" t="s">
        <v>6523</v>
      </c>
      <c r="J1746" s="154" t="s">
        <v>29</v>
      </c>
      <c r="K1746" s="154" t="s">
        <v>2426</v>
      </c>
      <c r="O1746" s="173"/>
      <c r="P1746" s="174"/>
      <c r="Q1746" s="175">
        <v>5</v>
      </c>
      <c r="R1746" s="159">
        <v>2</v>
      </c>
      <c r="S1746" s="160"/>
      <c r="T1746" s="161" t="s">
        <v>2025</v>
      </c>
      <c r="U1746" s="173"/>
      <c r="V1746" s="176">
        <v>2</v>
      </c>
      <c r="W1746" s="177">
        <v>2</v>
      </c>
      <c r="X1746" s="178"/>
      <c r="Y1746" s="159"/>
      <c r="Z1746" s="161"/>
      <c r="AA1746" s="160">
        <v>2</v>
      </c>
      <c r="AD1746" s="154" t="s">
        <v>6524</v>
      </c>
      <c r="AF1746" s="154" t="s">
        <v>6525</v>
      </c>
      <c r="AQ1746" s="173"/>
      <c r="AR1746" s="174"/>
      <c r="AS1746" s="175"/>
      <c r="AT1746" s="159"/>
      <c r="AU1746" s="161"/>
      <c r="AV1746" s="173"/>
      <c r="AW1746" s="176"/>
      <c r="AX1746" s="177"/>
      <c r="AY1746" s="178"/>
      <c r="AZ1746" s="159"/>
      <c r="BA1746" s="161"/>
      <c r="BB1746" s="160"/>
    </row>
    <row r="1747" spans="1:58" s="154" customFormat="1" ht="15" customHeight="1">
      <c r="A1747" s="153" t="s">
        <v>6412</v>
      </c>
      <c r="B1747" s="188" t="s">
        <v>6526</v>
      </c>
      <c r="C1747" s="154" t="s">
        <v>6414</v>
      </c>
      <c r="D1747" s="154">
        <v>221</v>
      </c>
      <c r="E1747" s="154">
        <v>2</v>
      </c>
      <c r="F1747" s="154" t="s">
        <v>6235</v>
      </c>
      <c r="G1747" s="154" t="s">
        <v>6527</v>
      </c>
      <c r="J1747" s="154" t="s">
        <v>29</v>
      </c>
      <c r="K1747" s="154" t="s">
        <v>2426</v>
      </c>
      <c r="O1747" s="173"/>
      <c r="P1747" s="174"/>
      <c r="Q1747" s="175">
        <v>4</v>
      </c>
      <c r="R1747" s="159">
        <v>2</v>
      </c>
      <c r="S1747" s="160"/>
      <c r="T1747" s="161">
        <v>4</v>
      </c>
      <c r="U1747" s="173"/>
      <c r="V1747" s="176">
        <v>2</v>
      </c>
      <c r="W1747" s="177"/>
      <c r="X1747" s="178"/>
      <c r="Y1747" s="159"/>
      <c r="Z1747" s="161"/>
      <c r="AA1747" s="160"/>
      <c r="AD1747" s="154" t="s">
        <v>704</v>
      </c>
      <c r="AF1747" s="154" t="s">
        <v>6528</v>
      </c>
      <c r="AQ1747" s="173"/>
      <c r="AR1747" s="174"/>
      <c r="AS1747" s="175"/>
      <c r="AT1747" s="159"/>
      <c r="AU1747" s="161"/>
      <c r="AV1747" s="173"/>
      <c r="AW1747" s="176"/>
      <c r="AX1747" s="177"/>
      <c r="AY1747" s="178"/>
      <c r="AZ1747" s="159"/>
      <c r="BA1747" s="161"/>
      <c r="BB1747" s="160"/>
    </row>
    <row r="1748" spans="1:58" s="154" customFormat="1" ht="15" customHeight="1">
      <c r="A1748" s="153" t="s">
        <v>6412</v>
      </c>
      <c r="B1748" s="188" t="s">
        <v>6529</v>
      </c>
      <c r="C1748" s="154" t="s">
        <v>6414</v>
      </c>
      <c r="D1748" s="154">
        <v>222</v>
      </c>
      <c r="E1748" s="154">
        <v>2</v>
      </c>
      <c r="F1748" s="154" t="s">
        <v>6235</v>
      </c>
      <c r="G1748" s="154" t="s">
        <v>6530</v>
      </c>
      <c r="J1748" s="154" t="s">
        <v>29</v>
      </c>
      <c r="K1748" s="154" t="s">
        <v>2426</v>
      </c>
      <c r="O1748" s="173"/>
      <c r="P1748" s="174"/>
      <c r="Q1748" s="175">
        <v>3</v>
      </c>
      <c r="R1748" s="159">
        <v>4</v>
      </c>
      <c r="S1748" s="160"/>
      <c r="T1748" s="161">
        <v>3</v>
      </c>
      <c r="U1748" s="173"/>
      <c r="V1748" s="176">
        <v>1</v>
      </c>
      <c r="W1748" s="177">
        <v>1</v>
      </c>
      <c r="X1748" s="178"/>
      <c r="Y1748" s="159"/>
      <c r="Z1748" s="161"/>
      <c r="AA1748" s="160"/>
      <c r="AD1748" s="154" t="s">
        <v>704</v>
      </c>
      <c r="AF1748" s="154" t="s">
        <v>6531</v>
      </c>
      <c r="AQ1748" s="173"/>
      <c r="AR1748" s="174"/>
      <c r="AS1748" s="175"/>
      <c r="AT1748" s="159"/>
      <c r="AU1748" s="161"/>
      <c r="AV1748" s="173"/>
      <c r="AW1748" s="176"/>
      <c r="AX1748" s="177"/>
      <c r="AY1748" s="178"/>
      <c r="AZ1748" s="159"/>
      <c r="BA1748" s="161"/>
      <c r="BB1748" s="160"/>
    </row>
    <row r="1749" spans="1:58" s="154" customFormat="1" ht="15" customHeight="1">
      <c r="A1749" s="153" t="s">
        <v>6412</v>
      </c>
      <c r="B1749" s="189" t="s">
        <v>6532</v>
      </c>
      <c r="C1749" s="154" t="s">
        <v>6414</v>
      </c>
      <c r="D1749" s="154">
        <v>223</v>
      </c>
      <c r="E1749" s="154">
        <v>2</v>
      </c>
      <c r="F1749" s="154" t="s">
        <v>6235</v>
      </c>
      <c r="G1749" s="154" t="s">
        <v>6533</v>
      </c>
      <c r="J1749" s="154" t="s">
        <v>28</v>
      </c>
      <c r="K1749" s="154" t="s">
        <v>2426</v>
      </c>
      <c r="O1749" s="173"/>
      <c r="P1749" s="174"/>
      <c r="Q1749" s="175"/>
      <c r="R1749" s="159"/>
      <c r="S1749" s="160"/>
      <c r="T1749" s="161"/>
      <c r="U1749" s="173"/>
      <c r="V1749" s="176"/>
      <c r="W1749" s="177"/>
      <c r="X1749" s="178"/>
      <c r="Y1749" s="159"/>
      <c r="Z1749" s="161"/>
      <c r="AA1749" s="160"/>
      <c r="AD1749" s="154" t="s">
        <v>1196</v>
      </c>
      <c r="AF1749" s="154" t="s">
        <v>6534</v>
      </c>
      <c r="AQ1749" s="173"/>
      <c r="AR1749" s="174"/>
      <c r="AS1749" s="175"/>
      <c r="AT1749" s="159"/>
      <c r="AU1749" s="161"/>
      <c r="AV1749" s="173"/>
      <c r="AW1749" s="176"/>
      <c r="AX1749" s="177"/>
      <c r="AY1749" s="178"/>
      <c r="AZ1749" s="159"/>
      <c r="BA1749" s="161"/>
      <c r="BB1749" s="160"/>
    </row>
    <row r="1750" spans="1:58" s="154" customFormat="1" ht="15" customHeight="1">
      <c r="A1750" s="153" t="s">
        <v>6412</v>
      </c>
      <c r="B1750" s="188" t="s">
        <v>6535</v>
      </c>
      <c r="C1750" s="154" t="s">
        <v>6414</v>
      </c>
      <c r="D1750" s="154">
        <v>224</v>
      </c>
      <c r="E1750" s="154">
        <v>2</v>
      </c>
      <c r="F1750" s="154" t="s">
        <v>6235</v>
      </c>
      <c r="G1750" s="154" t="s">
        <v>6536</v>
      </c>
      <c r="J1750" s="154" t="s">
        <v>28</v>
      </c>
      <c r="K1750" s="154" t="s">
        <v>2426</v>
      </c>
      <c r="O1750" s="173"/>
      <c r="P1750" s="174"/>
      <c r="Q1750" s="175"/>
      <c r="R1750" s="159"/>
      <c r="S1750" s="160"/>
      <c r="T1750" s="161"/>
      <c r="U1750" s="173"/>
      <c r="V1750" s="176"/>
      <c r="W1750" s="177"/>
      <c r="X1750" s="178"/>
      <c r="Y1750" s="159"/>
      <c r="Z1750" s="161"/>
      <c r="AA1750" s="160"/>
      <c r="AD1750" s="154" t="s">
        <v>1196</v>
      </c>
      <c r="AF1750" s="154" t="s">
        <v>6537</v>
      </c>
      <c r="AQ1750" s="173"/>
      <c r="AR1750" s="174"/>
      <c r="AS1750" s="175"/>
      <c r="AT1750" s="159"/>
      <c r="AU1750" s="161"/>
      <c r="AV1750" s="173"/>
      <c r="AW1750" s="176"/>
      <c r="AX1750" s="177"/>
      <c r="AY1750" s="178"/>
      <c r="AZ1750" s="159"/>
      <c r="BA1750" s="161"/>
      <c r="BB1750" s="160"/>
    </row>
    <row r="1751" spans="1:58" s="154" customFormat="1" ht="15" customHeight="1">
      <c r="A1751" s="153" t="s">
        <v>6412</v>
      </c>
      <c r="B1751" s="190" t="s">
        <v>6538</v>
      </c>
      <c r="C1751" s="154" t="s">
        <v>6414</v>
      </c>
      <c r="D1751" s="154">
        <v>225</v>
      </c>
      <c r="E1751" s="154">
        <v>2</v>
      </c>
      <c r="F1751" s="154" t="s">
        <v>6235</v>
      </c>
      <c r="G1751" s="154" t="s">
        <v>6539</v>
      </c>
      <c r="J1751" s="154" t="s">
        <v>28</v>
      </c>
      <c r="K1751" s="154" t="s">
        <v>2426</v>
      </c>
      <c r="O1751" s="173"/>
      <c r="P1751" s="174"/>
      <c r="Q1751" s="175"/>
      <c r="R1751" s="159"/>
      <c r="S1751" s="160"/>
      <c r="T1751" s="161"/>
      <c r="U1751" s="173"/>
      <c r="V1751" s="176"/>
      <c r="W1751" s="177"/>
      <c r="X1751" s="178"/>
      <c r="Y1751" s="159"/>
      <c r="Z1751" s="161"/>
      <c r="AA1751" s="160"/>
      <c r="AD1751" s="154" t="s">
        <v>1196</v>
      </c>
      <c r="AF1751" s="154" t="s">
        <v>6540</v>
      </c>
      <c r="AQ1751" s="173"/>
      <c r="AR1751" s="174"/>
      <c r="AS1751" s="175"/>
      <c r="AT1751" s="159"/>
      <c r="AU1751" s="161"/>
      <c r="AV1751" s="173"/>
      <c r="AW1751" s="176"/>
      <c r="AX1751" s="177"/>
      <c r="AY1751" s="178"/>
      <c r="AZ1751" s="159"/>
      <c r="BA1751" s="161"/>
      <c r="BB1751" s="160"/>
    </row>
    <row r="1752" spans="1:58" s="154" customFormat="1" ht="15" customHeight="1">
      <c r="A1752" s="153" t="s">
        <v>6412</v>
      </c>
      <c r="B1752" s="187" t="s">
        <v>6541</v>
      </c>
      <c r="C1752" s="154" t="s">
        <v>6414</v>
      </c>
      <c r="D1752" s="154">
        <v>226</v>
      </c>
      <c r="E1752" s="154">
        <v>2</v>
      </c>
      <c r="F1752" s="154" t="s">
        <v>6235</v>
      </c>
      <c r="G1752" s="154" t="s">
        <v>6542</v>
      </c>
      <c r="J1752" s="154" t="s">
        <v>28</v>
      </c>
      <c r="K1752" s="154" t="s">
        <v>2426</v>
      </c>
      <c r="O1752" s="173"/>
      <c r="P1752" s="174"/>
      <c r="Q1752" s="175"/>
      <c r="R1752" s="159"/>
      <c r="S1752" s="160"/>
      <c r="T1752" s="161"/>
      <c r="U1752" s="173"/>
      <c r="V1752" s="176"/>
      <c r="W1752" s="177"/>
      <c r="X1752" s="178"/>
      <c r="Y1752" s="159"/>
      <c r="Z1752" s="161"/>
      <c r="AA1752" s="160"/>
      <c r="AD1752" s="154" t="s">
        <v>1196</v>
      </c>
      <c r="AF1752" s="154" t="s">
        <v>6543</v>
      </c>
      <c r="AQ1752" s="173"/>
      <c r="AR1752" s="174"/>
      <c r="AS1752" s="175"/>
      <c r="AT1752" s="159"/>
      <c r="AU1752" s="161"/>
      <c r="AV1752" s="173"/>
      <c r="AW1752" s="176"/>
      <c r="AX1752" s="177"/>
      <c r="AY1752" s="178"/>
      <c r="AZ1752" s="159"/>
      <c r="BA1752" s="161"/>
      <c r="BB1752" s="160"/>
    </row>
    <row r="1753" spans="1:58" s="154" customFormat="1" ht="15" customHeight="1">
      <c r="A1753" s="153" t="s">
        <v>6412</v>
      </c>
      <c r="B1753" s="187" t="s">
        <v>6544</v>
      </c>
      <c r="C1753" s="154" t="s">
        <v>6414</v>
      </c>
      <c r="D1753" s="154">
        <v>227</v>
      </c>
      <c r="E1753" s="154">
        <v>1</v>
      </c>
      <c r="F1753" s="154" t="s">
        <v>6235</v>
      </c>
      <c r="G1753" s="154" t="s">
        <v>6545</v>
      </c>
      <c r="H1753" s="154" t="s">
        <v>6546</v>
      </c>
      <c r="I1753" s="154" t="s">
        <v>223</v>
      </c>
      <c r="J1753" s="154" t="s">
        <v>257</v>
      </c>
      <c r="K1753" s="154" t="s">
        <v>26</v>
      </c>
      <c r="O1753" s="173"/>
      <c r="P1753" s="174"/>
      <c r="Q1753" s="175"/>
      <c r="R1753" s="159"/>
      <c r="S1753" s="160"/>
      <c r="T1753" s="161"/>
      <c r="U1753" s="173"/>
      <c r="V1753" s="176"/>
      <c r="W1753" s="177"/>
      <c r="X1753" s="178"/>
      <c r="Y1753" s="159"/>
      <c r="Z1753" s="161"/>
      <c r="AA1753" s="160"/>
      <c r="AD1753" s="154" t="s">
        <v>5716</v>
      </c>
      <c r="AF1753" s="154" t="s">
        <v>6547</v>
      </c>
      <c r="AQ1753" s="173"/>
      <c r="AR1753" s="174"/>
      <c r="AS1753" s="175"/>
      <c r="AT1753" s="159"/>
      <c r="AU1753" s="161"/>
      <c r="AV1753" s="173"/>
      <c r="AW1753" s="176"/>
      <c r="AX1753" s="177"/>
      <c r="AY1753" s="178"/>
      <c r="AZ1753" s="159"/>
      <c r="BA1753" s="161"/>
      <c r="BB1753" s="160"/>
    </row>
    <row r="1754" spans="1:58" ht="15" customHeight="1">
      <c r="A1754" s="153" t="s">
        <v>6412</v>
      </c>
      <c r="B1754" s="187" t="s">
        <v>6548</v>
      </c>
      <c r="C1754" s="154" t="s">
        <v>6414</v>
      </c>
      <c r="D1754" s="23">
        <v>228</v>
      </c>
      <c r="E1754" s="23">
        <v>1</v>
      </c>
      <c r="F1754" s="154" t="s">
        <v>6235</v>
      </c>
      <c r="G1754" s="154" t="s">
        <v>6549</v>
      </c>
      <c r="H1754" s="23" t="s">
        <v>6550</v>
      </c>
      <c r="I1754" s="23" t="s">
        <v>223</v>
      </c>
      <c r="J1754" s="23" t="s">
        <v>257</v>
      </c>
      <c r="K1754" s="23" t="s">
        <v>26</v>
      </c>
      <c r="N1754" s="191">
        <v>0</v>
      </c>
      <c r="O1754" s="129"/>
      <c r="P1754" s="130"/>
      <c r="Q1754" s="131"/>
      <c r="R1754" s="29"/>
      <c r="S1754" s="135"/>
      <c r="T1754" s="122"/>
      <c r="U1754" s="129"/>
      <c r="V1754" s="136"/>
      <c r="W1754" s="137"/>
      <c r="X1754" s="134"/>
      <c r="Y1754" s="29"/>
      <c r="Z1754" s="122"/>
      <c r="AA1754" s="135"/>
      <c r="AB1754" s="148"/>
      <c r="AD1754" s="23" t="s">
        <v>276</v>
      </c>
      <c r="AE1754" s="23"/>
      <c r="AF1754" s="23" t="s">
        <v>6551</v>
      </c>
      <c r="AI1754" s="154"/>
      <c r="AP1754" s="23"/>
      <c r="AQ1754" s="129"/>
      <c r="AR1754" s="130"/>
      <c r="AS1754" s="131"/>
      <c r="AT1754" s="29"/>
      <c r="AU1754" s="122"/>
      <c r="AV1754" s="129"/>
      <c r="AW1754" s="136"/>
      <c r="AX1754" s="137"/>
      <c r="AY1754" s="134"/>
      <c r="AZ1754" s="29"/>
      <c r="BA1754" s="122"/>
      <c r="BB1754" s="135"/>
      <c r="BF1754" s="23"/>
    </row>
    <row r="1755" spans="1:58" s="154" customFormat="1" ht="15" customHeight="1">
      <c r="A1755" s="153" t="s">
        <v>6552</v>
      </c>
      <c r="B1755" s="187" t="s">
        <v>6553</v>
      </c>
      <c r="C1755" s="154" t="s">
        <v>6554</v>
      </c>
      <c r="D1755" s="154">
        <v>229</v>
      </c>
      <c r="E1755" s="154">
        <v>2</v>
      </c>
      <c r="G1755" s="154" t="s">
        <v>6555</v>
      </c>
      <c r="J1755" s="154" t="s">
        <v>27</v>
      </c>
      <c r="K1755" s="154" t="s">
        <v>198</v>
      </c>
      <c r="L1755" s="154">
        <v>0</v>
      </c>
      <c r="N1755" s="154">
        <v>2</v>
      </c>
      <c r="O1755" s="173"/>
      <c r="P1755" s="174"/>
      <c r="Q1755" s="175">
        <v>1</v>
      </c>
      <c r="R1755" s="159">
        <v>1</v>
      </c>
      <c r="S1755" s="160"/>
      <c r="T1755" s="161"/>
      <c r="U1755" s="173"/>
      <c r="V1755" s="176"/>
      <c r="W1755" s="177"/>
      <c r="X1755" s="178"/>
      <c r="Y1755" s="159"/>
      <c r="Z1755" s="161"/>
      <c r="AA1755" s="160"/>
      <c r="AB1755" s="154" t="s">
        <v>1087</v>
      </c>
      <c r="AD1755" s="154" t="s">
        <v>2623</v>
      </c>
      <c r="AF1755" s="154" t="s">
        <v>6556</v>
      </c>
      <c r="AQ1755" s="173"/>
      <c r="AR1755" s="174"/>
      <c r="AS1755" s="175"/>
      <c r="AT1755" s="159"/>
      <c r="AU1755" s="161"/>
      <c r="AV1755" s="173"/>
      <c r="AW1755" s="176"/>
      <c r="AX1755" s="177"/>
      <c r="AY1755" s="178"/>
      <c r="AZ1755" s="159"/>
      <c r="BA1755" s="161"/>
      <c r="BB1755" s="160"/>
    </row>
    <row r="1756" spans="1:58" s="154" customFormat="1" ht="15" customHeight="1">
      <c r="A1756" s="153" t="s">
        <v>6552</v>
      </c>
      <c r="B1756" s="187" t="s">
        <v>6557</v>
      </c>
      <c r="C1756" s="154" t="s">
        <v>6554</v>
      </c>
      <c r="D1756" s="154">
        <v>230</v>
      </c>
      <c r="E1756" s="154">
        <v>2</v>
      </c>
      <c r="G1756" s="154" t="s">
        <v>6558</v>
      </c>
      <c r="J1756" s="154" t="s">
        <v>27</v>
      </c>
      <c r="K1756" s="154" t="s">
        <v>198</v>
      </c>
      <c r="L1756" s="154">
        <v>3</v>
      </c>
      <c r="N1756" s="154">
        <v>3</v>
      </c>
      <c r="O1756" s="173"/>
      <c r="P1756" s="174">
        <v>1</v>
      </c>
      <c r="Q1756" s="175">
        <v>1</v>
      </c>
      <c r="R1756" s="159">
        <v>1</v>
      </c>
      <c r="S1756" s="160"/>
      <c r="T1756" s="161"/>
      <c r="U1756" s="173"/>
      <c r="V1756" s="176"/>
      <c r="W1756" s="177"/>
      <c r="X1756" s="178"/>
      <c r="Y1756" s="159"/>
      <c r="Z1756" s="161"/>
      <c r="AA1756" s="160"/>
      <c r="AB1756" s="154" t="s">
        <v>6559</v>
      </c>
      <c r="AD1756" s="154" t="s">
        <v>6560</v>
      </c>
      <c r="AF1756" s="154" t="s">
        <v>6561</v>
      </c>
      <c r="AQ1756" s="173"/>
      <c r="AR1756" s="174"/>
      <c r="AS1756" s="175"/>
      <c r="AT1756" s="159"/>
      <c r="AU1756" s="161"/>
      <c r="AV1756" s="173"/>
      <c r="AW1756" s="176"/>
      <c r="AX1756" s="177"/>
      <c r="AY1756" s="178"/>
      <c r="AZ1756" s="159"/>
      <c r="BA1756" s="161"/>
      <c r="BB1756" s="160"/>
    </row>
    <row r="1757" spans="1:58" s="154" customFormat="1" ht="15" customHeight="1">
      <c r="A1757" s="153" t="s">
        <v>6552</v>
      </c>
      <c r="B1757" s="188" t="s">
        <v>6562</v>
      </c>
      <c r="C1757" s="154" t="s">
        <v>6554</v>
      </c>
      <c r="D1757" s="154">
        <v>231</v>
      </c>
      <c r="E1757" s="154">
        <v>2</v>
      </c>
      <c r="G1757" s="154" t="s">
        <v>6563</v>
      </c>
      <c r="J1757" s="154" t="s">
        <v>27</v>
      </c>
      <c r="K1757" s="154" t="s">
        <v>199</v>
      </c>
      <c r="L1757" s="154">
        <v>0</v>
      </c>
      <c r="N1757" s="154">
        <v>0</v>
      </c>
      <c r="O1757" s="173">
        <v>1</v>
      </c>
      <c r="P1757" s="174">
        <v>1</v>
      </c>
      <c r="Q1757" s="175"/>
      <c r="R1757" s="159"/>
      <c r="S1757" s="160"/>
      <c r="T1757" s="161"/>
      <c r="U1757" s="173"/>
      <c r="V1757" s="176"/>
      <c r="W1757" s="177"/>
      <c r="X1757" s="178"/>
      <c r="Y1757" s="159"/>
      <c r="Z1757" s="161"/>
      <c r="AA1757" s="160"/>
      <c r="AB1757" s="154" t="s">
        <v>1092</v>
      </c>
      <c r="AD1757" s="154" t="s">
        <v>340</v>
      </c>
      <c r="AF1757" s="154" t="s">
        <v>6564</v>
      </c>
      <c r="AQ1757" s="173"/>
      <c r="AR1757" s="174"/>
      <c r="AS1757" s="175"/>
      <c r="AT1757" s="159"/>
      <c r="AU1757" s="161"/>
      <c r="AV1757" s="173"/>
      <c r="AW1757" s="176"/>
      <c r="AX1757" s="177"/>
      <c r="AY1757" s="178"/>
      <c r="AZ1757" s="159"/>
      <c r="BA1757" s="161"/>
      <c r="BB1757" s="160"/>
    </row>
    <row r="1758" spans="1:58" s="154" customFormat="1" ht="15" customHeight="1">
      <c r="A1758" s="153" t="s">
        <v>6552</v>
      </c>
      <c r="B1758" s="188" t="s">
        <v>6565</v>
      </c>
      <c r="C1758" s="154" t="s">
        <v>6554</v>
      </c>
      <c r="D1758" s="154">
        <v>232</v>
      </c>
      <c r="E1758" s="154">
        <v>2</v>
      </c>
      <c r="G1758" s="154" t="s">
        <v>6566</v>
      </c>
      <c r="J1758" s="154" t="s">
        <v>257</v>
      </c>
      <c r="K1758" s="154" t="s">
        <v>199</v>
      </c>
      <c r="L1758" s="154">
        <v>1</v>
      </c>
      <c r="N1758" s="154">
        <v>3</v>
      </c>
      <c r="O1758" s="173"/>
      <c r="P1758" s="174"/>
      <c r="Q1758" s="175"/>
      <c r="R1758" s="159">
        <v>1</v>
      </c>
      <c r="S1758" s="160"/>
      <c r="T1758" s="161"/>
      <c r="U1758" s="173"/>
      <c r="V1758" s="176"/>
      <c r="W1758" s="177"/>
      <c r="X1758" s="178"/>
      <c r="Y1758" s="159"/>
      <c r="Z1758" s="161"/>
      <c r="AA1758" s="160"/>
      <c r="AB1758" s="154" t="s">
        <v>207</v>
      </c>
      <c r="AC1758" s="154" t="s">
        <v>258</v>
      </c>
      <c r="AD1758" s="154" t="s">
        <v>269</v>
      </c>
      <c r="AF1758" s="154" t="s">
        <v>6567</v>
      </c>
      <c r="AQ1758" s="173"/>
      <c r="AR1758" s="174"/>
      <c r="AS1758" s="175"/>
      <c r="AT1758" s="159"/>
      <c r="AU1758" s="161"/>
      <c r="AV1758" s="173"/>
      <c r="AW1758" s="176"/>
      <c r="AX1758" s="177"/>
      <c r="AY1758" s="178"/>
      <c r="AZ1758" s="159"/>
      <c r="BA1758" s="161"/>
      <c r="BB1758" s="160"/>
    </row>
    <row r="1759" spans="1:58" s="154" customFormat="1" ht="15" customHeight="1">
      <c r="A1759" s="153" t="s">
        <v>6552</v>
      </c>
      <c r="B1759" s="188" t="s">
        <v>6568</v>
      </c>
      <c r="C1759" s="154" t="s">
        <v>6554</v>
      </c>
      <c r="D1759" s="154">
        <v>233</v>
      </c>
      <c r="E1759" s="154">
        <v>2</v>
      </c>
      <c r="G1759" s="154" t="s">
        <v>6569</v>
      </c>
      <c r="J1759" s="154" t="s">
        <v>257</v>
      </c>
      <c r="K1759" s="154" t="s">
        <v>201</v>
      </c>
      <c r="L1759" s="154">
        <v>0</v>
      </c>
      <c r="N1759" s="154">
        <v>1</v>
      </c>
      <c r="O1759" s="173"/>
      <c r="P1759" s="174">
        <v>1</v>
      </c>
      <c r="Q1759" s="175"/>
      <c r="R1759" s="159"/>
      <c r="S1759" s="160"/>
      <c r="T1759" s="161"/>
      <c r="U1759" s="173"/>
      <c r="V1759" s="176"/>
      <c r="W1759" s="177"/>
      <c r="X1759" s="178"/>
      <c r="Y1759" s="159"/>
      <c r="Z1759" s="161"/>
      <c r="AA1759" s="160"/>
      <c r="AB1759" s="154" t="s">
        <v>205</v>
      </c>
      <c r="AD1759" s="154" t="s">
        <v>6570</v>
      </c>
      <c r="AF1759" s="154" t="s">
        <v>6571</v>
      </c>
      <c r="AQ1759" s="173"/>
      <c r="AR1759" s="174"/>
      <c r="AS1759" s="175"/>
      <c r="AT1759" s="159"/>
      <c r="AU1759" s="161"/>
      <c r="AV1759" s="173"/>
      <c r="AW1759" s="176"/>
      <c r="AX1759" s="177"/>
      <c r="AY1759" s="178"/>
      <c r="AZ1759" s="159"/>
      <c r="BA1759" s="161"/>
      <c r="BB1759" s="160"/>
    </row>
    <row r="1760" spans="1:58" s="154" customFormat="1" ht="15" customHeight="1">
      <c r="A1760" s="153" t="s">
        <v>6552</v>
      </c>
      <c r="B1760" s="189" t="s">
        <v>6572</v>
      </c>
      <c r="C1760" s="154" t="s">
        <v>6554</v>
      </c>
      <c r="D1760" s="154">
        <v>234</v>
      </c>
      <c r="E1760" s="154">
        <v>2</v>
      </c>
      <c r="G1760" s="154" t="s">
        <v>6573</v>
      </c>
      <c r="J1760" s="154" t="s">
        <v>27</v>
      </c>
      <c r="K1760" s="154" t="s">
        <v>201</v>
      </c>
      <c r="L1760" s="154">
        <v>0</v>
      </c>
      <c r="N1760" s="154">
        <v>2</v>
      </c>
      <c r="O1760" s="173"/>
      <c r="P1760" s="174"/>
      <c r="Q1760" s="175"/>
      <c r="R1760" s="159">
        <v>2</v>
      </c>
      <c r="S1760" s="160"/>
      <c r="T1760" s="161"/>
      <c r="U1760" s="173"/>
      <c r="V1760" s="176"/>
      <c r="W1760" s="177"/>
      <c r="X1760" s="178"/>
      <c r="Y1760" s="159"/>
      <c r="Z1760" s="161"/>
      <c r="AA1760" s="160"/>
      <c r="AB1760" s="154" t="s">
        <v>1095</v>
      </c>
      <c r="AD1760" s="154" t="s">
        <v>6125</v>
      </c>
      <c r="AF1760" s="154" t="s">
        <v>6574</v>
      </c>
      <c r="AQ1760" s="173"/>
      <c r="AR1760" s="174"/>
      <c r="AS1760" s="175"/>
      <c r="AT1760" s="159"/>
      <c r="AU1760" s="161"/>
      <c r="AV1760" s="173"/>
      <c r="AW1760" s="176"/>
      <c r="AX1760" s="177"/>
      <c r="AY1760" s="178"/>
      <c r="AZ1760" s="159"/>
      <c r="BA1760" s="161"/>
      <c r="BB1760" s="160"/>
    </row>
    <row r="1761" spans="1:59" s="154" customFormat="1" ht="15" customHeight="1">
      <c r="A1761" s="153" t="s">
        <v>6552</v>
      </c>
      <c r="B1761" s="189" t="s">
        <v>6575</v>
      </c>
      <c r="C1761" s="154" t="s">
        <v>6554</v>
      </c>
      <c r="D1761" s="154">
        <v>235</v>
      </c>
      <c r="E1761" s="154">
        <v>2</v>
      </c>
      <c r="G1761" s="154" t="s">
        <v>6576</v>
      </c>
      <c r="H1761" s="154" t="s">
        <v>6577</v>
      </c>
      <c r="I1761" s="154" t="s">
        <v>223</v>
      </c>
      <c r="J1761" s="154" t="s">
        <v>257</v>
      </c>
      <c r="K1761" s="154" t="s">
        <v>200</v>
      </c>
      <c r="L1761" s="154">
        <v>2</v>
      </c>
      <c r="N1761" s="154">
        <v>2</v>
      </c>
      <c r="O1761" s="173"/>
      <c r="P1761" s="174">
        <v>1</v>
      </c>
      <c r="Q1761" s="175"/>
      <c r="R1761" s="159"/>
      <c r="S1761" s="160"/>
      <c r="T1761" s="161"/>
      <c r="U1761" s="173"/>
      <c r="V1761" s="176"/>
      <c r="W1761" s="177"/>
      <c r="X1761" s="178"/>
      <c r="Y1761" s="159"/>
      <c r="Z1761" s="161"/>
      <c r="AA1761" s="160"/>
      <c r="AB1761" s="154" t="s">
        <v>205</v>
      </c>
      <c r="AC1761" s="154" t="s">
        <v>258</v>
      </c>
      <c r="AD1761" s="154" t="s">
        <v>269</v>
      </c>
      <c r="AF1761" s="154" t="s">
        <v>6578</v>
      </c>
      <c r="AQ1761" s="173"/>
      <c r="AR1761" s="174"/>
      <c r="AS1761" s="175"/>
      <c r="AT1761" s="159"/>
      <c r="AU1761" s="161"/>
      <c r="AV1761" s="173"/>
      <c r="AW1761" s="176"/>
      <c r="AX1761" s="177"/>
      <c r="AY1761" s="178"/>
      <c r="AZ1761" s="159"/>
      <c r="BA1761" s="161"/>
      <c r="BB1761" s="160"/>
    </row>
    <row r="1762" spans="1:59" s="154" customFormat="1" ht="15" customHeight="1">
      <c r="A1762" s="153" t="s">
        <v>6552</v>
      </c>
      <c r="B1762" s="188" t="s">
        <v>6579</v>
      </c>
      <c r="C1762" s="154" t="s">
        <v>6554</v>
      </c>
      <c r="D1762" s="154">
        <v>236</v>
      </c>
      <c r="E1762" s="154">
        <v>2</v>
      </c>
      <c r="G1762" s="154" t="s">
        <v>6580</v>
      </c>
      <c r="J1762" s="154" t="s">
        <v>257</v>
      </c>
      <c r="K1762" s="154" t="s">
        <v>202</v>
      </c>
      <c r="L1762" s="154">
        <v>1</v>
      </c>
      <c r="N1762" s="154">
        <v>1</v>
      </c>
      <c r="O1762" s="173">
        <v>1</v>
      </c>
      <c r="P1762" s="174"/>
      <c r="Q1762" s="175"/>
      <c r="R1762" s="159"/>
      <c r="S1762" s="160"/>
      <c r="T1762" s="161"/>
      <c r="U1762" s="173">
        <v>3</v>
      </c>
      <c r="V1762" s="176"/>
      <c r="W1762" s="177"/>
      <c r="X1762" s="178"/>
      <c r="Y1762" s="159"/>
      <c r="Z1762" s="161"/>
      <c r="AA1762" s="160"/>
      <c r="AB1762" s="154" t="s">
        <v>204</v>
      </c>
      <c r="AC1762" s="154" t="s">
        <v>25</v>
      </c>
      <c r="AD1762" s="154" t="s">
        <v>6581</v>
      </c>
      <c r="AF1762" s="154" t="s">
        <v>6582</v>
      </c>
      <c r="AQ1762" s="173"/>
      <c r="AR1762" s="174"/>
      <c r="AS1762" s="175"/>
      <c r="AT1762" s="159"/>
      <c r="AU1762" s="161"/>
      <c r="AV1762" s="173"/>
      <c r="AW1762" s="176"/>
      <c r="AX1762" s="177"/>
      <c r="AY1762" s="178"/>
      <c r="AZ1762" s="159"/>
      <c r="BA1762" s="161"/>
      <c r="BB1762" s="160"/>
    </row>
    <row r="1763" spans="1:59" s="154" customFormat="1" ht="15" customHeight="1">
      <c r="A1763" s="153" t="s">
        <v>6552</v>
      </c>
      <c r="B1763" s="188" t="s">
        <v>6583</v>
      </c>
      <c r="C1763" s="154" t="s">
        <v>6554</v>
      </c>
      <c r="D1763" s="154">
        <v>237</v>
      </c>
      <c r="E1763" s="154">
        <v>2</v>
      </c>
      <c r="G1763" s="154" t="s">
        <v>6584</v>
      </c>
      <c r="J1763" s="154" t="s">
        <v>27</v>
      </c>
      <c r="K1763" s="154" t="s">
        <v>202</v>
      </c>
      <c r="L1763" s="154">
        <v>2</v>
      </c>
      <c r="N1763" s="172">
        <v>2</v>
      </c>
      <c r="O1763" s="173"/>
      <c r="P1763" s="174"/>
      <c r="Q1763" s="175"/>
      <c r="R1763" s="159"/>
      <c r="S1763" s="160">
        <v>1</v>
      </c>
      <c r="T1763" s="161"/>
      <c r="U1763" s="173"/>
      <c r="V1763" s="176"/>
      <c r="W1763" s="177"/>
      <c r="X1763" s="178"/>
      <c r="Y1763" s="159"/>
      <c r="Z1763" s="161"/>
      <c r="AA1763" s="160"/>
      <c r="AB1763" s="154" t="s">
        <v>208</v>
      </c>
      <c r="AD1763" s="154" t="s">
        <v>6585</v>
      </c>
      <c r="AF1763" s="154" t="s">
        <v>6586</v>
      </c>
      <c r="AQ1763" s="173"/>
      <c r="AR1763" s="174"/>
      <c r="AS1763" s="175"/>
      <c r="AT1763" s="159"/>
      <c r="AU1763" s="161"/>
      <c r="AV1763" s="173"/>
      <c r="AW1763" s="176"/>
      <c r="AX1763" s="177"/>
      <c r="AY1763" s="178"/>
      <c r="AZ1763" s="159"/>
      <c r="BA1763" s="161"/>
      <c r="BB1763" s="160"/>
    </row>
    <row r="1764" spans="1:59" s="154" customFormat="1" ht="15" customHeight="1">
      <c r="A1764" s="153" t="s">
        <v>6552</v>
      </c>
      <c r="B1764" s="188" t="s">
        <v>6587</v>
      </c>
      <c r="C1764" s="154" t="s">
        <v>6554</v>
      </c>
      <c r="D1764" s="154">
        <v>238</v>
      </c>
      <c r="E1764" s="154">
        <v>1</v>
      </c>
      <c r="F1764" s="154" t="s">
        <v>6236</v>
      </c>
      <c r="G1764" s="154" t="s">
        <v>6236</v>
      </c>
      <c r="J1764" s="154" t="s">
        <v>618</v>
      </c>
      <c r="K1764" s="154" t="s">
        <v>2426</v>
      </c>
      <c r="O1764" s="173"/>
      <c r="P1764" s="174"/>
      <c r="Q1764" s="175"/>
      <c r="R1764" s="159"/>
      <c r="S1764" s="160"/>
      <c r="T1764" s="161"/>
      <c r="U1764" s="173"/>
      <c r="V1764" s="176"/>
      <c r="W1764" s="177"/>
      <c r="X1764" s="178"/>
      <c r="Y1764" s="159"/>
      <c r="Z1764" s="161"/>
      <c r="AA1764" s="160"/>
      <c r="AF1764" s="154" t="s">
        <v>6588</v>
      </c>
      <c r="AI1764" s="154" t="s">
        <v>6236</v>
      </c>
      <c r="AL1764" s="154" t="s">
        <v>618</v>
      </c>
      <c r="AM1764" s="154" t="s">
        <v>2426</v>
      </c>
      <c r="AQ1764" s="173"/>
      <c r="AR1764" s="174"/>
      <c r="AS1764" s="175"/>
      <c r="AT1764" s="159"/>
      <c r="AU1764" s="161"/>
      <c r="AV1764" s="173"/>
      <c r="AW1764" s="176"/>
      <c r="AX1764" s="177"/>
      <c r="AY1764" s="178"/>
      <c r="AZ1764" s="159"/>
      <c r="BA1764" s="161"/>
      <c r="BB1764" s="160"/>
      <c r="BG1764" s="154" t="s">
        <v>6589</v>
      </c>
    </row>
    <row r="1765" spans="1:59" s="154" customFormat="1" ht="15" customHeight="1">
      <c r="A1765" s="153" t="s">
        <v>6552</v>
      </c>
      <c r="B1765" s="188" t="s">
        <v>6590</v>
      </c>
      <c r="C1765" s="154" t="s">
        <v>6554</v>
      </c>
      <c r="D1765" s="154">
        <v>239</v>
      </c>
      <c r="E1765" s="154">
        <v>1</v>
      </c>
      <c r="F1765" s="154" t="s">
        <v>6236</v>
      </c>
      <c r="G1765" s="154" t="s">
        <v>6591</v>
      </c>
      <c r="J1765" s="154" t="s">
        <v>619</v>
      </c>
      <c r="K1765" s="154" t="s">
        <v>2426</v>
      </c>
      <c r="L1765" s="154">
        <v>1</v>
      </c>
      <c r="O1765" s="173"/>
      <c r="P1765" s="174"/>
      <c r="Q1765" s="175"/>
      <c r="R1765" s="159"/>
      <c r="S1765" s="160"/>
      <c r="T1765" s="161"/>
      <c r="U1765" s="173"/>
      <c r="V1765" s="176"/>
      <c r="W1765" s="177"/>
      <c r="X1765" s="178"/>
      <c r="Y1765" s="159"/>
      <c r="Z1765" s="161">
        <v>8</v>
      </c>
      <c r="AA1765" s="160"/>
      <c r="AI1765" s="154" t="s">
        <v>6592</v>
      </c>
      <c r="AL1765" s="154" t="s">
        <v>619</v>
      </c>
      <c r="AM1765" s="154" t="s">
        <v>2426</v>
      </c>
      <c r="AN1765" s="154">
        <v>1</v>
      </c>
      <c r="AQ1765" s="173"/>
      <c r="AR1765" s="174"/>
      <c r="AS1765" s="175"/>
      <c r="AT1765" s="159"/>
      <c r="AU1765" s="161"/>
      <c r="AV1765" s="173"/>
      <c r="AW1765" s="176"/>
      <c r="AX1765" s="177"/>
      <c r="AY1765" s="178"/>
      <c r="AZ1765" s="159"/>
      <c r="BA1765" s="161"/>
      <c r="BB1765" s="160"/>
      <c r="BG1765" s="154" t="s">
        <v>6593</v>
      </c>
    </row>
    <row r="1766" spans="1:59" s="154" customFormat="1" ht="15" customHeight="1">
      <c r="A1766" s="153" t="s">
        <v>6552</v>
      </c>
      <c r="B1766" s="188" t="s">
        <v>6594</v>
      </c>
      <c r="C1766" s="154" t="s">
        <v>6554</v>
      </c>
      <c r="D1766" s="154">
        <v>240</v>
      </c>
      <c r="E1766" s="154">
        <v>1</v>
      </c>
      <c r="F1766" s="154" t="s">
        <v>6236</v>
      </c>
      <c r="G1766" s="154" t="s">
        <v>6595</v>
      </c>
      <c r="J1766" s="154" t="s">
        <v>619</v>
      </c>
      <c r="K1766" s="154" t="s">
        <v>2426</v>
      </c>
      <c r="L1766" s="154">
        <v>2</v>
      </c>
      <c r="O1766" s="173"/>
      <c r="P1766" s="174"/>
      <c r="Q1766" s="175"/>
      <c r="R1766" s="159"/>
      <c r="S1766" s="160"/>
      <c r="T1766" s="161"/>
      <c r="U1766" s="173"/>
      <c r="V1766" s="176"/>
      <c r="W1766" s="177"/>
      <c r="X1766" s="178"/>
      <c r="Y1766" s="159"/>
      <c r="Z1766" s="161">
        <v>10</v>
      </c>
      <c r="AA1766" s="160"/>
      <c r="AI1766" s="154" t="s">
        <v>6596</v>
      </c>
      <c r="AL1766" s="154" t="s">
        <v>619</v>
      </c>
      <c r="AM1766" s="154" t="s">
        <v>2426</v>
      </c>
      <c r="AN1766" s="154">
        <v>2</v>
      </c>
      <c r="AQ1766" s="173"/>
      <c r="AR1766" s="174"/>
      <c r="AS1766" s="175"/>
      <c r="AT1766" s="159"/>
      <c r="AU1766" s="161"/>
      <c r="AV1766" s="173"/>
      <c r="AW1766" s="176"/>
      <c r="AX1766" s="177"/>
      <c r="AY1766" s="178"/>
      <c r="AZ1766" s="159"/>
      <c r="BA1766" s="161"/>
      <c r="BB1766" s="160"/>
      <c r="BG1766" s="154" t="s">
        <v>6597</v>
      </c>
    </row>
    <row r="1767" spans="1:59" s="154" customFormat="1" ht="15" customHeight="1">
      <c r="A1767" s="153" t="s">
        <v>6552</v>
      </c>
      <c r="B1767" s="188" t="s">
        <v>6598</v>
      </c>
      <c r="C1767" s="154" t="s">
        <v>6554</v>
      </c>
      <c r="D1767" s="154">
        <v>241</v>
      </c>
      <c r="E1767" s="154">
        <v>1</v>
      </c>
      <c r="F1767" s="154" t="s">
        <v>6236</v>
      </c>
      <c r="G1767" s="154" t="s">
        <v>6599</v>
      </c>
      <c r="J1767" s="154" t="s">
        <v>621</v>
      </c>
      <c r="K1767" s="154" t="s">
        <v>2426</v>
      </c>
      <c r="L1767" s="154">
        <v>1</v>
      </c>
      <c r="O1767" s="173"/>
      <c r="P1767" s="174"/>
      <c r="Q1767" s="175"/>
      <c r="R1767" s="159"/>
      <c r="S1767" s="160"/>
      <c r="T1767" s="161"/>
      <c r="U1767" s="173"/>
      <c r="V1767" s="176"/>
      <c r="W1767" s="177"/>
      <c r="X1767" s="178"/>
      <c r="Y1767" s="159" t="s">
        <v>1112</v>
      </c>
      <c r="Z1767" s="161"/>
      <c r="AA1767" s="160"/>
      <c r="AI1767" s="154" t="s">
        <v>6600</v>
      </c>
      <c r="AL1767" s="154" t="s">
        <v>621</v>
      </c>
      <c r="AM1767" s="154" t="s">
        <v>2426</v>
      </c>
      <c r="AN1767" s="154">
        <v>1</v>
      </c>
      <c r="AQ1767" s="173"/>
      <c r="AR1767" s="174"/>
      <c r="AS1767" s="175"/>
      <c r="AT1767" s="159"/>
      <c r="AU1767" s="161"/>
      <c r="AV1767" s="173"/>
      <c r="AW1767" s="176"/>
      <c r="AX1767" s="177"/>
      <c r="AY1767" s="178"/>
      <c r="AZ1767" s="159"/>
      <c r="BA1767" s="161"/>
      <c r="BB1767" s="160"/>
      <c r="BG1767" s="154" t="s">
        <v>6601</v>
      </c>
    </row>
    <row r="1768" spans="1:59" s="154" customFormat="1" ht="15" customHeight="1">
      <c r="A1768" s="153" t="s">
        <v>6552</v>
      </c>
      <c r="B1768" s="189" t="s">
        <v>6602</v>
      </c>
      <c r="C1768" s="154" t="s">
        <v>6554</v>
      </c>
      <c r="D1768" s="154">
        <v>242</v>
      </c>
      <c r="E1768" s="154">
        <v>1</v>
      </c>
      <c r="F1768" s="154" t="s">
        <v>6236</v>
      </c>
      <c r="G1768" s="154" t="s">
        <v>6603</v>
      </c>
      <c r="J1768" s="154" t="s">
        <v>621</v>
      </c>
      <c r="K1768" s="154" t="s">
        <v>2426</v>
      </c>
      <c r="L1768" s="154">
        <v>2</v>
      </c>
      <c r="O1768" s="173"/>
      <c r="P1768" s="174"/>
      <c r="Q1768" s="175"/>
      <c r="R1768" s="159"/>
      <c r="S1768" s="160"/>
      <c r="T1768" s="161"/>
      <c r="U1768" s="173"/>
      <c r="V1768" s="176"/>
      <c r="W1768" s="177"/>
      <c r="X1768" s="178"/>
      <c r="Y1768" s="159" t="s">
        <v>1111</v>
      </c>
      <c r="Z1768" s="161"/>
      <c r="AA1768" s="160"/>
      <c r="AF1768" s="154" t="s">
        <v>6604</v>
      </c>
      <c r="AI1768" s="154" t="s">
        <v>6605</v>
      </c>
      <c r="AL1768" s="154" t="s">
        <v>621</v>
      </c>
      <c r="AM1768" s="154" t="s">
        <v>2426</v>
      </c>
      <c r="AN1768" s="154">
        <v>2</v>
      </c>
      <c r="AQ1768" s="173"/>
      <c r="AR1768" s="174"/>
      <c r="AS1768" s="175"/>
      <c r="AT1768" s="159"/>
      <c r="AU1768" s="161"/>
      <c r="AV1768" s="173"/>
      <c r="AW1768" s="176"/>
      <c r="AX1768" s="177"/>
      <c r="AY1768" s="178"/>
      <c r="AZ1768" s="159"/>
      <c r="BA1768" s="161"/>
      <c r="BB1768" s="160"/>
      <c r="BG1768" s="154" t="s">
        <v>6606</v>
      </c>
    </row>
    <row r="1769" spans="1:59" s="154" customFormat="1" ht="15" customHeight="1">
      <c r="A1769" s="153" t="s">
        <v>6552</v>
      </c>
      <c r="B1769" s="188" t="s">
        <v>6607</v>
      </c>
      <c r="C1769" s="154" t="s">
        <v>6554</v>
      </c>
      <c r="D1769" s="154">
        <v>243</v>
      </c>
      <c r="E1769" s="154">
        <v>1</v>
      </c>
      <c r="F1769" s="154" t="s">
        <v>6236</v>
      </c>
      <c r="G1769" s="154" t="s">
        <v>6608</v>
      </c>
      <c r="J1769" s="154" t="s">
        <v>621</v>
      </c>
      <c r="K1769" s="154" t="s">
        <v>2426</v>
      </c>
      <c r="L1769" s="154">
        <v>3</v>
      </c>
      <c r="O1769" s="173"/>
      <c r="P1769" s="174"/>
      <c r="Q1769" s="175"/>
      <c r="R1769" s="159"/>
      <c r="S1769" s="160"/>
      <c r="T1769" s="161"/>
      <c r="U1769" s="173"/>
      <c r="V1769" s="176"/>
      <c r="W1769" s="177"/>
      <c r="X1769" s="178"/>
      <c r="Y1769" s="159" t="s">
        <v>38</v>
      </c>
      <c r="Z1769" s="161"/>
      <c r="AA1769" s="160"/>
      <c r="AF1769" s="154" t="s">
        <v>6609</v>
      </c>
      <c r="AI1769" s="154" t="s">
        <v>6610</v>
      </c>
      <c r="AL1769" s="154" t="s">
        <v>621</v>
      </c>
      <c r="AM1769" s="154" t="s">
        <v>2426</v>
      </c>
      <c r="AN1769" s="154">
        <v>3</v>
      </c>
      <c r="AQ1769" s="173"/>
      <c r="AR1769" s="174"/>
      <c r="AS1769" s="175"/>
      <c r="AT1769" s="159"/>
      <c r="AU1769" s="161"/>
      <c r="AV1769" s="173"/>
      <c r="AW1769" s="176"/>
      <c r="AX1769" s="177"/>
      <c r="AY1769" s="178"/>
      <c r="AZ1769" s="159"/>
      <c r="BA1769" s="161"/>
      <c r="BB1769" s="160"/>
      <c r="BG1769" s="154" t="s">
        <v>6611</v>
      </c>
    </row>
    <row r="1770" spans="1:59" s="154" customFormat="1" ht="15" customHeight="1">
      <c r="A1770" s="153" t="s">
        <v>6552</v>
      </c>
      <c r="B1770" s="188" t="s">
        <v>6612</v>
      </c>
      <c r="C1770" s="154" t="s">
        <v>6554</v>
      </c>
      <c r="D1770" s="154">
        <v>244</v>
      </c>
      <c r="E1770" s="154">
        <v>1</v>
      </c>
      <c r="F1770" s="154" t="s">
        <v>6236</v>
      </c>
      <c r="G1770" s="154" t="s">
        <v>6613</v>
      </c>
      <c r="J1770" s="154" t="s">
        <v>621</v>
      </c>
      <c r="K1770" s="154" t="s">
        <v>2426</v>
      </c>
      <c r="L1770" s="154">
        <v>3</v>
      </c>
      <c r="O1770" s="173"/>
      <c r="P1770" s="174"/>
      <c r="Q1770" s="175"/>
      <c r="R1770" s="159"/>
      <c r="S1770" s="160"/>
      <c r="T1770" s="161"/>
      <c r="U1770" s="173"/>
      <c r="V1770" s="176"/>
      <c r="W1770" s="177"/>
      <c r="X1770" s="178"/>
      <c r="Y1770" s="159" t="s">
        <v>38</v>
      </c>
      <c r="Z1770" s="161"/>
      <c r="AA1770" s="160"/>
      <c r="AF1770" s="154" t="s">
        <v>6614</v>
      </c>
      <c r="AI1770" s="154" t="s">
        <v>6615</v>
      </c>
      <c r="AL1770" s="154" t="s">
        <v>621</v>
      </c>
      <c r="AM1770" s="154" t="s">
        <v>2426</v>
      </c>
      <c r="AN1770" s="154">
        <v>3</v>
      </c>
      <c r="AQ1770" s="173"/>
      <c r="AR1770" s="174"/>
      <c r="AS1770" s="175"/>
      <c r="AT1770" s="159"/>
      <c r="AU1770" s="161"/>
      <c r="AV1770" s="173"/>
      <c r="AW1770" s="176"/>
      <c r="AX1770" s="177"/>
      <c r="AY1770" s="178"/>
      <c r="AZ1770" s="159"/>
      <c r="BA1770" s="161"/>
      <c r="BB1770" s="160"/>
      <c r="BG1770" s="154" t="s">
        <v>6616</v>
      </c>
    </row>
    <row r="1771" spans="1:59" s="154" customFormat="1" ht="15" customHeight="1">
      <c r="A1771" s="153" t="s">
        <v>6552</v>
      </c>
      <c r="B1771" s="188" t="s">
        <v>6617</v>
      </c>
      <c r="C1771" s="154" t="s">
        <v>6554</v>
      </c>
      <c r="D1771" s="154">
        <v>245</v>
      </c>
      <c r="E1771" s="154">
        <v>1</v>
      </c>
      <c r="F1771" s="154" t="s">
        <v>6236</v>
      </c>
      <c r="G1771" s="154" t="s">
        <v>6618</v>
      </c>
      <c r="J1771" s="154" t="s">
        <v>621</v>
      </c>
      <c r="K1771" s="154" t="s">
        <v>2426</v>
      </c>
      <c r="L1771" s="154">
        <v>3</v>
      </c>
      <c r="O1771" s="173"/>
      <c r="P1771" s="174"/>
      <c r="Q1771" s="175"/>
      <c r="R1771" s="159"/>
      <c r="S1771" s="160"/>
      <c r="T1771" s="161"/>
      <c r="U1771" s="173"/>
      <c r="V1771" s="176"/>
      <c r="W1771" s="177"/>
      <c r="X1771" s="178"/>
      <c r="Y1771" s="159" t="s">
        <v>38</v>
      </c>
      <c r="Z1771" s="161"/>
      <c r="AA1771" s="160"/>
      <c r="AF1771" s="154" t="s">
        <v>6614</v>
      </c>
      <c r="AI1771" s="154" t="s">
        <v>6619</v>
      </c>
      <c r="AL1771" s="154" t="s">
        <v>621</v>
      </c>
      <c r="AM1771" s="154" t="s">
        <v>2426</v>
      </c>
      <c r="AN1771" s="154">
        <v>3</v>
      </c>
      <c r="AQ1771" s="173"/>
      <c r="AR1771" s="174"/>
      <c r="AS1771" s="175"/>
      <c r="AT1771" s="159"/>
      <c r="AU1771" s="161"/>
      <c r="AV1771" s="173"/>
      <c r="AW1771" s="176"/>
      <c r="AX1771" s="177"/>
      <c r="AY1771" s="178"/>
      <c r="AZ1771" s="159"/>
      <c r="BA1771" s="161"/>
      <c r="BB1771" s="160"/>
      <c r="BG1771" s="154" t="s">
        <v>6620</v>
      </c>
    </row>
    <row r="1772" spans="1:59" s="154" customFormat="1" ht="15" customHeight="1">
      <c r="A1772" s="153" t="s">
        <v>6552</v>
      </c>
      <c r="B1772" s="189" t="s">
        <v>6621</v>
      </c>
      <c r="C1772" s="154" t="s">
        <v>6554</v>
      </c>
      <c r="D1772" s="154">
        <v>246</v>
      </c>
      <c r="E1772" s="154">
        <v>1</v>
      </c>
      <c r="F1772" s="154" t="s">
        <v>6236</v>
      </c>
      <c r="G1772" s="154" t="s">
        <v>6622</v>
      </c>
      <c r="J1772" s="154" t="s">
        <v>621</v>
      </c>
      <c r="K1772" s="154" t="s">
        <v>2426</v>
      </c>
      <c r="L1772" s="154">
        <v>3</v>
      </c>
      <c r="O1772" s="173"/>
      <c r="P1772" s="174"/>
      <c r="Q1772" s="175"/>
      <c r="R1772" s="159"/>
      <c r="S1772" s="160"/>
      <c r="T1772" s="161"/>
      <c r="U1772" s="173"/>
      <c r="V1772" s="176"/>
      <c r="W1772" s="177"/>
      <c r="X1772" s="178"/>
      <c r="Y1772" s="159" t="s">
        <v>38</v>
      </c>
      <c r="Z1772" s="161"/>
      <c r="AA1772" s="160"/>
      <c r="AF1772" s="154" t="s">
        <v>6614</v>
      </c>
      <c r="AI1772" s="154" t="s">
        <v>6623</v>
      </c>
      <c r="AL1772" s="154" t="s">
        <v>621</v>
      </c>
      <c r="AM1772" s="154" t="s">
        <v>2426</v>
      </c>
      <c r="AN1772" s="154">
        <v>3</v>
      </c>
      <c r="AQ1772" s="173"/>
      <c r="AR1772" s="174"/>
      <c r="AS1772" s="175"/>
      <c r="AT1772" s="159"/>
      <c r="AU1772" s="161"/>
      <c r="AV1772" s="173"/>
      <c r="AW1772" s="176"/>
      <c r="AX1772" s="177"/>
      <c r="AY1772" s="178"/>
      <c r="AZ1772" s="159"/>
      <c r="BA1772" s="161"/>
      <c r="BB1772" s="160"/>
      <c r="BG1772" s="154" t="s">
        <v>6624</v>
      </c>
    </row>
    <row r="1773" spans="1:59" s="154" customFormat="1" ht="15" customHeight="1">
      <c r="A1773" s="153" t="s">
        <v>6552</v>
      </c>
      <c r="B1773" s="188" t="s">
        <v>6625</v>
      </c>
      <c r="C1773" s="154" t="s">
        <v>6554</v>
      </c>
      <c r="D1773" s="154">
        <v>247</v>
      </c>
      <c r="E1773" s="154">
        <v>1</v>
      </c>
      <c r="F1773" s="154" t="s">
        <v>6236</v>
      </c>
      <c r="G1773" s="154" t="s">
        <v>6626</v>
      </c>
      <c r="J1773" s="154" t="s">
        <v>621</v>
      </c>
      <c r="K1773" s="154" t="s">
        <v>2426</v>
      </c>
      <c r="L1773" s="154">
        <v>4</v>
      </c>
      <c r="O1773" s="173"/>
      <c r="P1773" s="174"/>
      <c r="Q1773" s="175"/>
      <c r="R1773" s="159"/>
      <c r="S1773" s="160"/>
      <c r="T1773" s="161"/>
      <c r="U1773" s="173"/>
      <c r="V1773" s="176"/>
      <c r="W1773" s="177"/>
      <c r="X1773" s="178"/>
      <c r="Y1773" s="159" t="s">
        <v>38</v>
      </c>
      <c r="Z1773" s="161"/>
      <c r="AA1773" s="160"/>
      <c r="AF1773" s="154" t="s">
        <v>6627</v>
      </c>
      <c r="AI1773" s="154" t="s">
        <v>6628</v>
      </c>
      <c r="AL1773" s="154" t="s">
        <v>621</v>
      </c>
      <c r="AM1773" s="154" t="s">
        <v>2426</v>
      </c>
      <c r="AN1773" s="154">
        <v>4</v>
      </c>
      <c r="AQ1773" s="173"/>
      <c r="AR1773" s="174"/>
      <c r="AS1773" s="175"/>
      <c r="AT1773" s="159"/>
      <c r="AU1773" s="161"/>
      <c r="AV1773" s="173"/>
      <c r="AW1773" s="176"/>
      <c r="AX1773" s="177"/>
      <c r="AY1773" s="178"/>
      <c r="AZ1773" s="159"/>
      <c r="BA1773" s="161"/>
      <c r="BB1773" s="160"/>
      <c r="BG1773" s="154" t="s">
        <v>1886</v>
      </c>
    </row>
    <row r="1774" spans="1:59" s="154" customFormat="1" ht="15" customHeight="1">
      <c r="A1774" s="153" t="s">
        <v>6552</v>
      </c>
      <c r="B1774" s="188" t="s">
        <v>6629</v>
      </c>
      <c r="C1774" s="154" t="s">
        <v>6554</v>
      </c>
      <c r="D1774" s="154">
        <v>248</v>
      </c>
      <c r="E1774" s="154">
        <v>1</v>
      </c>
      <c r="F1774" s="154" t="s">
        <v>6236</v>
      </c>
      <c r="G1774" s="154" t="s">
        <v>6630</v>
      </c>
      <c r="J1774" s="154" t="s">
        <v>621</v>
      </c>
      <c r="K1774" s="154" t="s">
        <v>2426</v>
      </c>
      <c r="L1774" s="154">
        <v>4</v>
      </c>
      <c r="O1774" s="173"/>
      <c r="P1774" s="174"/>
      <c r="Q1774" s="175"/>
      <c r="R1774" s="159"/>
      <c r="S1774" s="160"/>
      <c r="T1774" s="161"/>
      <c r="U1774" s="173"/>
      <c r="V1774" s="176"/>
      <c r="W1774" s="177"/>
      <c r="X1774" s="178"/>
      <c r="Y1774" s="159" t="s">
        <v>38</v>
      </c>
      <c r="Z1774" s="161"/>
      <c r="AA1774" s="160"/>
      <c r="AF1774" s="154" t="s">
        <v>6631</v>
      </c>
      <c r="AI1774" s="154" t="s">
        <v>6632</v>
      </c>
      <c r="AL1774" s="154" t="s">
        <v>621</v>
      </c>
      <c r="AM1774" s="154" t="s">
        <v>2426</v>
      </c>
      <c r="AN1774" s="154">
        <v>4</v>
      </c>
      <c r="AQ1774" s="173"/>
      <c r="AR1774" s="174"/>
      <c r="AS1774" s="175"/>
      <c r="AT1774" s="159"/>
      <c r="AU1774" s="161"/>
      <c r="AV1774" s="173"/>
      <c r="AW1774" s="176"/>
      <c r="AX1774" s="177"/>
      <c r="AY1774" s="178"/>
      <c r="AZ1774" s="159"/>
      <c r="BA1774" s="161"/>
      <c r="BB1774" s="160"/>
      <c r="BG1774" s="154" t="s">
        <v>1550</v>
      </c>
    </row>
    <row r="1775" spans="1:59" s="154" customFormat="1" ht="15" customHeight="1">
      <c r="A1775" s="153" t="s">
        <v>6552</v>
      </c>
      <c r="B1775" s="188" t="s">
        <v>6633</v>
      </c>
      <c r="C1775" s="154" t="s">
        <v>6554</v>
      </c>
      <c r="D1775" s="154">
        <v>249</v>
      </c>
      <c r="E1775" s="154">
        <v>1</v>
      </c>
      <c r="F1775" s="154" t="s">
        <v>6236</v>
      </c>
      <c r="G1775" s="154" t="s">
        <v>6634</v>
      </c>
      <c r="J1775" s="154" t="s">
        <v>31</v>
      </c>
      <c r="K1775" s="154" t="s">
        <v>2426</v>
      </c>
      <c r="O1775" s="173"/>
      <c r="P1775" s="174"/>
      <c r="Q1775" s="175"/>
      <c r="R1775" s="159"/>
      <c r="S1775" s="160"/>
      <c r="T1775" s="161"/>
      <c r="U1775" s="173"/>
      <c r="V1775" s="176"/>
      <c r="W1775" s="177"/>
      <c r="X1775" s="178"/>
      <c r="Y1775" s="159"/>
      <c r="Z1775" s="161"/>
      <c r="AA1775" s="160"/>
      <c r="AD1775" s="154" t="s">
        <v>6635</v>
      </c>
      <c r="AI1775" s="154" t="s">
        <v>6634</v>
      </c>
      <c r="AL1775" s="154" t="s">
        <v>31</v>
      </c>
      <c r="AM1775" s="154" t="s">
        <v>2426</v>
      </c>
      <c r="AQ1775" s="173"/>
      <c r="AR1775" s="174"/>
      <c r="AS1775" s="175"/>
      <c r="AT1775" s="159"/>
      <c r="AU1775" s="161"/>
      <c r="AV1775" s="173"/>
      <c r="AW1775" s="176"/>
      <c r="AX1775" s="177"/>
      <c r="AY1775" s="178">
        <v>5</v>
      </c>
      <c r="AZ1775" s="159">
        <v>0</v>
      </c>
      <c r="BA1775" s="161"/>
      <c r="BB1775" s="160"/>
      <c r="BE1775" s="154" t="s">
        <v>6635</v>
      </c>
      <c r="BG1775" s="154" t="s">
        <v>6636</v>
      </c>
    </row>
    <row r="1776" spans="1:59" s="154" customFormat="1" ht="15" customHeight="1">
      <c r="A1776" s="153" t="s">
        <v>6552</v>
      </c>
      <c r="B1776" s="188" t="s">
        <v>6637</v>
      </c>
      <c r="C1776" s="154" t="s">
        <v>6554</v>
      </c>
      <c r="D1776" s="154">
        <v>250</v>
      </c>
      <c r="E1776" s="154">
        <v>1</v>
      </c>
      <c r="F1776" s="154" t="s">
        <v>6236</v>
      </c>
      <c r="G1776" s="154" t="s">
        <v>6638</v>
      </c>
      <c r="J1776" s="154" t="s">
        <v>31</v>
      </c>
      <c r="K1776" s="154" t="s">
        <v>2426</v>
      </c>
      <c r="O1776" s="173"/>
      <c r="P1776" s="174"/>
      <c r="Q1776" s="175"/>
      <c r="R1776" s="159"/>
      <c r="S1776" s="160"/>
      <c r="T1776" s="161"/>
      <c r="U1776" s="173"/>
      <c r="V1776" s="176"/>
      <c r="W1776" s="177"/>
      <c r="X1776" s="178"/>
      <c r="Y1776" s="159"/>
      <c r="Z1776" s="161"/>
      <c r="AA1776" s="160"/>
      <c r="AD1776" s="154" t="s">
        <v>472</v>
      </c>
      <c r="AI1776" s="154" t="s">
        <v>6638</v>
      </c>
      <c r="AL1776" s="154" t="s">
        <v>31</v>
      </c>
      <c r="AM1776" s="154" t="s">
        <v>2426</v>
      </c>
      <c r="AQ1776" s="173"/>
      <c r="AR1776" s="174"/>
      <c r="AS1776" s="175"/>
      <c r="AT1776" s="159"/>
      <c r="AU1776" s="161"/>
      <c r="AV1776" s="173"/>
      <c r="AW1776" s="176"/>
      <c r="AX1776" s="177"/>
      <c r="AY1776" s="178">
        <v>3</v>
      </c>
      <c r="AZ1776" s="159" t="s">
        <v>1073</v>
      </c>
      <c r="BA1776" s="161"/>
      <c r="BB1776" s="160"/>
      <c r="BE1776" s="154" t="s">
        <v>472</v>
      </c>
      <c r="BG1776" s="154" t="s">
        <v>6639</v>
      </c>
    </row>
    <row r="1777" spans="1:59" s="154" customFormat="1" ht="15" customHeight="1">
      <c r="A1777" s="153" t="s">
        <v>6552</v>
      </c>
      <c r="B1777" s="188" t="s">
        <v>6640</v>
      </c>
      <c r="C1777" s="154" t="s">
        <v>6554</v>
      </c>
      <c r="D1777" s="154">
        <v>251</v>
      </c>
      <c r="E1777" s="154">
        <v>1</v>
      </c>
      <c r="F1777" s="154" t="s">
        <v>6236</v>
      </c>
      <c r="G1777" s="154" t="s">
        <v>6641</v>
      </c>
      <c r="J1777" s="154" t="s">
        <v>31</v>
      </c>
      <c r="K1777" s="154" t="s">
        <v>2426</v>
      </c>
      <c r="O1777" s="173"/>
      <c r="P1777" s="174"/>
      <c r="Q1777" s="175"/>
      <c r="R1777" s="159"/>
      <c r="S1777" s="160"/>
      <c r="T1777" s="161"/>
      <c r="U1777" s="173"/>
      <c r="V1777" s="176"/>
      <c r="W1777" s="177"/>
      <c r="X1777" s="178"/>
      <c r="Y1777" s="159"/>
      <c r="Z1777" s="161"/>
      <c r="AA1777" s="160"/>
      <c r="AD1777" s="154" t="s">
        <v>472</v>
      </c>
      <c r="AI1777" s="154" t="s">
        <v>6641</v>
      </c>
      <c r="AJ1777" s="154" t="s">
        <v>6642</v>
      </c>
      <c r="AL1777" s="154" t="s">
        <v>31</v>
      </c>
      <c r="AM1777" s="154" t="s">
        <v>2426</v>
      </c>
      <c r="AQ1777" s="173"/>
      <c r="AR1777" s="174"/>
      <c r="AS1777" s="175"/>
      <c r="AT1777" s="159"/>
      <c r="AU1777" s="161"/>
      <c r="AV1777" s="173"/>
      <c r="AW1777" s="176"/>
      <c r="AX1777" s="177"/>
      <c r="AY1777" s="178">
        <v>3</v>
      </c>
      <c r="AZ1777" s="159" t="s">
        <v>1111</v>
      </c>
      <c r="BA1777" s="161"/>
      <c r="BB1777" s="160">
        <v>1</v>
      </c>
      <c r="BE1777" s="154" t="s">
        <v>472</v>
      </c>
      <c r="BG1777" s="154" t="s">
        <v>6643</v>
      </c>
    </row>
    <row r="1778" spans="1:59" s="154" customFormat="1" ht="15" customHeight="1">
      <c r="A1778" s="153" t="s">
        <v>6552</v>
      </c>
      <c r="B1778" s="189" t="s">
        <v>6644</v>
      </c>
      <c r="C1778" s="154" t="s">
        <v>6554</v>
      </c>
      <c r="D1778" s="154">
        <v>252</v>
      </c>
      <c r="E1778" s="154">
        <v>1</v>
      </c>
      <c r="F1778" s="154" t="s">
        <v>6236</v>
      </c>
      <c r="G1778" s="154" t="s">
        <v>6641</v>
      </c>
      <c r="J1778" s="154" t="s">
        <v>31</v>
      </c>
      <c r="K1778" s="154" t="s">
        <v>2426</v>
      </c>
      <c r="O1778" s="173"/>
      <c r="P1778" s="174"/>
      <c r="Q1778" s="175"/>
      <c r="R1778" s="159"/>
      <c r="S1778" s="160"/>
      <c r="T1778" s="161"/>
      <c r="U1778" s="173"/>
      <c r="V1778" s="176"/>
      <c r="W1778" s="177"/>
      <c r="X1778" s="178"/>
      <c r="Y1778" s="159"/>
      <c r="Z1778" s="161"/>
      <c r="AA1778" s="160"/>
      <c r="AD1778" s="154" t="s">
        <v>472</v>
      </c>
      <c r="AI1778" s="154" t="s">
        <v>6641</v>
      </c>
      <c r="AJ1778" s="154" t="s">
        <v>6645</v>
      </c>
      <c r="AL1778" s="154" t="s">
        <v>31</v>
      </c>
      <c r="AM1778" s="154" t="s">
        <v>2426</v>
      </c>
      <c r="AQ1778" s="173"/>
      <c r="AR1778" s="174"/>
      <c r="AS1778" s="175"/>
      <c r="AT1778" s="159"/>
      <c r="AU1778" s="161"/>
      <c r="AV1778" s="173"/>
      <c r="AW1778" s="176"/>
      <c r="AX1778" s="177"/>
      <c r="AY1778" s="178">
        <v>1</v>
      </c>
      <c r="AZ1778" s="159" t="s">
        <v>1111</v>
      </c>
      <c r="BA1778" s="161"/>
      <c r="BB1778" s="160">
        <v>1</v>
      </c>
      <c r="BE1778" s="154" t="s">
        <v>472</v>
      </c>
      <c r="BG1778" s="154" t="s">
        <v>6643</v>
      </c>
    </row>
    <row r="1779" spans="1:59" s="154" customFormat="1" ht="15" customHeight="1">
      <c r="A1779" s="153" t="s">
        <v>6552</v>
      </c>
      <c r="B1779" s="188" t="s">
        <v>6646</v>
      </c>
      <c r="C1779" s="154" t="s">
        <v>6554</v>
      </c>
      <c r="D1779" s="154">
        <v>253</v>
      </c>
      <c r="E1779" s="154">
        <v>1</v>
      </c>
      <c r="F1779" s="154" t="s">
        <v>6236</v>
      </c>
      <c r="G1779" s="154" t="s">
        <v>6641</v>
      </c>
      <c r="J1779" s="154" t="s">
        <v>31</v>
      </c>
      <c r="K1779" s="154" t="s">
        <v>2426</v>
      </c>
      <c r="O1779" s="173"/>
      <c r="P1779" s="174"/>
      <c r="Q1779" s="175"/>
      <c r="R1779" s="159"/>
      <c r="S1779" s="160"/>
      <c r="T1779" s="161"/>
      <c r="U1779" s="173"/>
      <c r="V1779" s="176"/>
      <c r="W1779" s="177"/>
      <c r="X1779" s="178"/>
      <c r="Y1779" s="159"/>
      <c r="Z1779" s="161"/>
      <c r="AA1779" s="160"/>
      <c r="AD1779" s="154" t="s">
        <v>472</v>
      </c>
      <c r="AI1779" s="154" t="s">
        <v>6641</v>
      </c>
      <c r="AJ1779" s="154" t="s">
        <v>6647</v>
      </c>
      <c r="AL1779" s="154" t="s">
        <v>31</v>
      </c>
      <c r="AM1779" s="154" t="s">
        <v>2426</v>
      </c>
      <c r="AQ1779" s="173"/>
      <c r="AR1779" s="174"/>
      <c r="AS1779" s="175"/>
      <c r="AT1779" s="159"/>
      <c r="AU1779" s="161"/>
      <c r="AV1779" s="173"/>
      <c r="AW1779" s="176"/>
      <c r="AX1779" s="177"/>
      <c r="AY1779" s="178">
        <v>2</v>
      </c>
      <c r="AZ1779" s="159" t="s">
        <v>1111</v>
      </c>
      <c r="BA1779" s="161"/>
      <c r="BB1779" s="160">
        <v>1</v>
      </c>
      <c r="BE1779" s="154" t="s">
        <v>472</v>
      </c>
      <c r="BG1779" s="154" t="s">
        <v>6643</v>
      </c>
    </row>
    <row r="1780" spans="1:59" s="154" customFormat="1" ht="15" customHeight="1">
      <c r="A1780" s="153" t="s">
        <v>6552</v>
      </c>
      <c r="B1780" s="188" t="s">
        <v>6648</v>
      </c>
      <c r="C1780" s="154" t="s">
        <v>6554</v>
      </c>
      <c r="D1780" s="154">
        <v>254</v>
      </c>
      <c r="E1780" s="154">
        <v>1</v>
      </c>
      <c r="F1780" s="154" t="s">
        <v>6236</v>
      </c>
      <c r="G1780" s="154" t="s">
        <v>6641</v>
      </c>
      <c r="J1780" s="154" t="s">
        <v>31</v>
      </c>
      <c r="K1780" s="154" t="s">
        <v>2426</v>
      </c>
      <c r="O1780" s="173"/>
      <c r="P1780" s="174"/>
      <c r="Q1780" s="175"/>
      <c r="R1780" s="159"/>
      <c r="S1780" s="160"/>
      <c r="T1780" s="161"/>
      <c r="U1780" s="173"/>
      <c r="V1780" s="176"/>
      <c r="W1780" s="177"/>
      <c r="X1780" s="178"/>
      <c r="Y1780" s="159"/>
      <c r="Z1780" s="161"/>
      <c r="AA1780" s="160"/>
      <c r="AD1780" s="154" t="s">
        <v>472</v>
      </c>
      <c r="AI1780" s="153" t="s">
        <v>6641</v>
      </c>
      <c r="AJ1780" s="154" t="s">
        <v>6649</v>
      </c>
      <c r="AL1780" s="154" t="s">
        <v>31</v>
      </c>
      <c r="AM1780" s="154" t="s">
        <v>2426</v>
      </c>
      <c r="AQ1780" s="173"/>
      <c r="AR1780" s="174"/>
      <c r="AS1780" s="175"/>
      <c r="AT1780" s="159"/>
      <c r="AU1780" s="161"/>
      <c r="AV1780" s="173"/>
      <c r="AW1780" s="176"/>
      <c r="AX1780" s="177"/>
      <c r="AY1780" s="178">
        <v>4</v>
      </c>
      <c r="AZ1780" s="159" t="s">
        <v>1111</v>
      </c>
      <c r="BA1780" s="161"/>
      <c r="BB1780" s="160">
        <v>1</v>
      </c>
      <c r="BE1780" s="154" t="s">
        <v>472</v>
      </c>
      <c r="BG1780" s="154" t="s">
        <v>6643</v>
      </c>
    </row>
    <row r="1781" spans="1:59" s="154" customFormat="1" ht="15" customHeight="1">
      <c r="A1781" s="153" t="s">
        <v>6552</v>
      </c>
      <c r="B1781" s="189" t="s">
        <v>6650</v>
      </c>
      <c r="C1781" s="154" t="s">
        <v>6554</v>
      </c>
      <c r="D1781" s="154">
        <v>255</v>
      </c>
      <c r="E1781" s="154">
        <v>1</v>
      </c>
      <c r="F1781" s="154" t="s">
        <v>6236</v>
      </c>
      <c r="G1781" s="154" t="s">
        <v>6641</v>
      </c>
      <c r="J1781" s="154" t="s">
        <v>31</v>
      </c>
      <c r="K1781" s="154" t="s">
        <v>2426</v>
      </c>
      <c r="O1781" s="173"/>
      <c r="P1781" s="174"/>
      <c r="Q1781" s="175"/>
      <c r="R1781" s="159"/>
      <c r="S1781" s="160"/>
      <c r="T1781" s="161"/>
      <c r="U1781" s="173"/>
      <c r="V1781" s="176"/>
      <c r="W1781" s="177"/>
      <c r="X1781" s="178"/>
      <c r="Y1781" s="159"/>
      <c r="Z1781" s="161"/>
      <c r="AA1781" s="160"/>
      <c r="AD1781" s="154" t="s">
        <v>472</v>
      </c>
      <c r="AI1781" s="154" t="s">
        <v>6641</v>
      </c>
      <c r="AJ1781" s="154" t="s">
        <v>6651</v>
      </c>
      <c r="AL1781" s="154" t="s">
        <v>31</v>
      </c>
      <c r="AM1781" s="154" t="s">
        <v>2426</v>
      </c>
      <c r="AQ1781" s="173"/>
      <c r="AR1781" s="174"/>
      <c r="AS1781" s="175"/>
      <c r="AT1781" s="159"/>
      <c r="AU1781" s="161"/>
      <c r="AV1781" s="173"/>
      <c r="AW1781" s="176"/>
      <c r="AX1781" s="177"/>
      <c r="AY1781" s="178">
        <v>2</v>
      </c>
      <c r="AZ1781" s="159" t="s">
        <v>1111</v>
      </c>
      <c r="BA1781" s="161"/>
      <c r="BB1781" s="160">
        <v>1</v>
      </c>
      <c r="BE1781" s="154" t="s">
        <v>472</v>
      </c>
      <c r="BG1781" s="154" t="s">
        <v>6643</v>
      </c>
    </row>
    <row r="1782" spans="1:59" s="154" customFormat="1" ht="15" customHeight="1">
      <c r="A1782" s="153" t="s">
        <v>6552</v>
      </c>
      <c r="B1782" s="188" t="s">
        <v>6652</v>
      </c>
      <c r="C1782" s="154" t="s">
        <v>6554</v>
      </c>
      <c r="D1782" s="154">
        <v>256</v>
      </c>
      <c r="E1782" s="154">
        <v>1</v>
      </c>
      <c r="F1782" s="154" t="s">
        <v>6236</v>
      </c>
      <c r="G1782" s="154" t="s">
        <v>6641</v>
      </c>
      <c r="J1782" s="154" t="s">
        <v>31</v>
      </c>
      <c r="K1782" s="154" t="s">
        <v>2426</v>
      </c>
      <c r="O1782" s="173"/>
      <c r="P1782" s="174"/>
      <c r="Q1782" s="175"/>
      <c r="R1782" s="159"/>
      <c r="S1782" s="160"/>
      <c r="T1782" s="161"/>
      <c r="U1782" s="173"/>
      <c r="V1782" s="176"/>
      <c r="W1782" s="177"/>
      <c r="X1782" s="178"/>
      <c r="Y1782" s="159"/>
      <c r="Z1782" s="161"/>
      <c r="AA1782" s="160"/>
      <c r="AD1782" s="154" t="s">
        <v>472</v>
      </c>
      <c r="AI1782" s="154" t="s">
        <v>6641</v>
      </c>
      <c r="AJ1782" s="154" t="s">
        <v>6653</v>
      </c>
      <c r="AL1782" s="154" t="s">
        <v>31</v>
      </c>
      <c r="AM1782" s="154" t="s">
        <v>2426</v>
      </c>
      <c r="AQ1782" s="173"/>
      <c r="AR1782" s="174"/>
      <c r="AS1782" s="175"/>
      <c r="AT1782" s="159"/>
      <c r="AU1782" s="161"/>
      <c r="AV1782" s="173"/>
      <c r="AW1782" s="176"/>
      <c r="AX1782" s="177"/>
      <c r="AY1782" s="178">
        <v>4</v>
      </c>
      <c r="AZ1782" s="159" t="s">
        <v>1111</v>
      </c>
      <c r="BA1782" s="161"/>
      <c r="BB1782" s="160">
        <v>1</v>
      </c>
      <c r="BE1782" s="154" t="s">
        <v>472</v>
      </c>
      <c r="BG1782" s="154" t="s">
        <v>6643</v>
      </c>
    </row>
    <row r="1783" spans="1:59" s="154" customFormat="1" ht="15" customHeight="1">
      <c r="A1783" s="153" t="s">
        <v>6552</v>
      </c>
      <c r="B1783" s="188" t="s">
        <v>6654</v>
      </c>
      <c r="C1783" s="154" t="s">
        <v>6554</v>
      </c>
      <c r="D1783" s="154">
        <v>257</v>
      </c>
      <c r="E1783" s="154">
        <v>1</v>
      </c>
      <c r="F1783" s="154" t="s">
        <v>6236</v>
      </c>
      <c r="G1783" s="154" t="s">
        <v>6655</v>
      </c>
      <c r="J1783" s="154" t="s">
        <v>31</v>
      </c>
      <c r="K1783" s="154" t="s">
        <v>2426</v>
      </c>
      <c r="O1783" s="173"/>
      <c r="P1783" s="174"/>
      <c r="Q1783" s="175"/>
      <c r="R1783" s="159"/>
      <c r="S1783" s="160"/>
      <c r="T1783" s="161"/>
      <c r="U1783" s="173"/>
      <c r="V1783" s="176"/>
      <c r="W1783" s="177"/>
      <c r="X1783" s="178"/>
      <c r="Y1783" s="159"/>
      <c r="Z1783" s="161"/>
      <c r="AA1783" s="160"/>
      <c r="AD1783" s="154" t="s">
        <v>6656</v>
      </c>
      <c r="AI1783" s="154" t="s">
        <v>6655</v>
      </c>
      <c r="AL1783" s="154" t="s">
        <v>31</v>
      </c>
      <c r="AM1783" s="154" t="s">
        <v>2426</v>
      </c>
      <c r="AQ1783" s="173"/>
      <c r="AR1783" s="174"/>
      <c r="AS1783" s="175"/>
      <c r="AT1783" s="159"/>
      <c r="AU1783" s="161"/>
      <c r="AV1783" s="173"/>
      <c r="AW1783" s="176"/>
      <c r="AX1783" s="177"/>
      <c r="AY1783" s="178">
        <v>4</v>
      </c>
      <c r="AZ1783" s="159" t="s">
        <v>1073</v>
      </c>
      <c r="BA1783" s="161"/>
      <c r="BB1783" s="160">
        <v>1</v>
      </c>
      <c r="BE1783" s="154" t="s">
        <v>6656</v>
      </c>
      <c r="BG1783" s="154" t="s">
        <v>6657</v>
      </c>
    </row>
    <row r="1784" spans="1:59" s="154" customFormat="1" ht="15" customHeight="1">
      <c r="A1784" s="153" t="s">
        <v>6552</v>
      </c>
      <c r="B1784" s="188" t="s">
        <v>6658</v>
      </c>
      <c r="C1784" s="154" t="s">
        <v>6554</v>
      </c>
      <c r="D1784" s="154">
        <v>258</v>
      </c>
      <c r="E1784" s="154">
        <v>1</v>
      </c>
      <c r="F1784" s="154" t="s">
        <v>6236</v>
      </c>
      <c r="G1784" s="154" t="s">
        <v>5875</v>
      </c>
      <c r="H1784" s="154" t="s">
        <v>6659</v>
      </c>
      <c r="I1784" s="154" t="s">
        <v>223</v>
      </c>
      <c r="J1784" s="154" t="s">
        <v>257</v>
      </c>
      <c r="K1784" s="154" t="s">
        <v>26</v>
      </c>
      <c r="N1784" s="154">
        <v>2</v>
      </c>
      <c r="O1784" s="173"/>
      <c r="P1784" s="174"/>
      <c r="Q1784" s="175">
        <v>1</v>
      </c>
      <c r="R1784" s="159"/>
      <c r="S1784" s="160">
        <v>1</v>
      </c>
      <c r="T1784" s="161">
        <v>4</v>
      </c>
      <c r="U1784" s="173">
        <v>1</v>
      </c>
      <c r="V1784" s="176"/>
      <c r="W1784" s="177"/>
      <c r="X1784" s="178"/>
      <c r="Y1784" s="159"/>
      <c r="Z1784" s="161"/>
      <c r="AA1784" s="160"/>
      <c r="AB1784" s="154" t="s">
        <v>1093</v>
      </c>
      <c r="AC1784" s="154" t="s">
        <v>25</v>
      </c>
      <c r="AD1784" s="154" t="s">
        <v>6660</v>
      </c>
      <c r="AF1784" s="154" t="s">
        <v>6661</v>
      </c>
      <c r="AQ1784" s="173"/>
      <c r="AR1784" s="174"/>
      <c r="AS1784" s="175"/>
      <c r="AT1784" s="159"/>
      <c r="AU1784" s="161"/>
      <c r="AV1784" s="173"/>
      <c r="AW1784" s="176"/>
      <c r="AX1784" s="177"/>
      <c r="AY1784" s="178"/>
      <c r="AZ1784" s="159"/>
      <c r="BA1784" s="161"/>
      <c r="BB1784" s="160"/>
    </row>
    <row r="1785" spans="1:59" s="154" customFormat="1" ht="15" customHeight="1">
      <c r="A1785" s="153" t="s">
        <v>6552</v>
      </c>
      <c r="B1785" s="189" t="s">
        <v>6662</v>
      </c>
      <c r="C1785" s="154" t="s">
        <v>6554</v>
      </c>
      <c r="D1785" s="154">
        <v>259</v>
      </c>
      <c r="E1785" s="154">
        <v>1</v>
      </c>
      <c r="F1785" s="154" t="s">
        <v>6236</v>
      </c>
      <c r="G1785" s="154" t="s">
        <v>5881</v>
      </c>
      <c r="H1785" s="154" t="s">
        <v>6663</v>
      </c>
      <c r="I1785" s="154" t="s">
        <v>223</v>
      </c>
      <c r="J1785" s="154" t="s">
        <v>257</v>
      </c>
      <c r="K1785" s="154" t="s">
        <v>26</v>
      </c>
      <c r="N1785" s="154">
        <v>2</v>
      </c>
      <c r="O1785" s="173"/>
      <c r="P1785" s="174">
        <v>1</v>
      </c>
      <c r="Q1785" s="175"/>
      <c r="R1785" s="159"/>
      <c r="S1785" s="160">
        <v>1</v>
      </c>
      <c r="T1785" s="161">
        <v>1</v>
      </c>
      <c r="U1785" s="173">
        <v>4</v>
      </c>
      <c r="V1785" s="176"/>
      <c r="W1785" s="177"/>
      <c r="X1785" s="178"/>
      <c r="Y1785" s="159"/>
      <c r="Z1785" s="161"/>
      <c r="AA1785" s="160"/>
      <c r="AB1785" s="154" t="s">
        <v>1178</v>
      </c>
      <c r="AC1785" s="154" t="s">
        <v>25</v>
      </c>
      <c r="AD1785" s="154" t="s">
        <v>3879</v>
      </c>
      <c r="AF1785" s="154" t="s">
        <v>6664</v>
      </c>
      <c r="AQ1785" s="173"/>
      <c r="AR1785" s="174"/>
      <c r="AS1785" s="175"/>
      <c r="AT1785" s="159"/>
      <c r="AU1785" s="161"/>
      <c r="AV1785" s="173"/>
      <c r="AW1785" s="176"/>
      <c r="AX1785" s="177"/>
      <c r="AY1785" s="178"/>
      <c r="AZ1785" s="159"/>
      <c r="BA1785" s="161"/>
      <c r="BB1785" s="160"/>
    </row>
    <row r="1786" spans="1:59" s="154" customFormat="1" ht="15" customHeight="1">
      <c r="A1786" s="153" t="s">
        <v>6552</v>
      </c>
      <c r="B1786" s="188" t="s">
        <v>6665</v>
      </c>
      <c r="C1786" s="154" t="s">
        <v>6554</v>
      </c>
      <c r="D1786" s="154">
        <v>260</v>
      </c>
      <c r="E1786" s="154">
        <v>1</v>
      </c>
      <c r="F1786" s="154" t="s">
        <v>6236</v>
      </c>
      <c r="G1786" s="154" t="s">
        <v>5892</v>
      </c>
      <c r="H1786" s="154" t="s">
        <v>6666</v>
      </c>
      <c r="I1786" s="154" t="s">
        <v>223</v>
      </c>
      <c r="J1786" s="154" t="s">
        <v>257</v>
      </c>
      <c r="K1786" s="154" t="s">
        <v>26</v>
      </c>
      <c r="N1786" s="154">
        <v>2</v>
      </c>
      <c r="O1786" s="173">
        <v>1</v>
      </c>
      <c r="P1786" s="174"/>
      <c r="Q1786" s="175"/>
      <c r="R1786" s="159"/>
      <c r="S1786" s="160">
        <v>1</v>
      </c>
      <c r="T1786" s="161">
        <v>3</v>
      </c>
      <c r="U1786" s="173">
        <v>2</v>
      </c>
      <c r="V1786" s="176"/>
      <c r="W1786" s="177"/>
      <c r="X1786" s="178"/>
      <c r="Y1786" s="159"/>
      <c r="Z1786" s="161"/>
      <c r="AA1786" s="160"/>
      <c r="AB1786" s="154" t="s">
        <v>1086</v>
      </c>
      <c r="AC1786" s="154" t="s">
        <v>25</v>
      </c>
      <c r="AD1786" s="154" t="s">
        <v>3879</v>
      </c>
      <c r="AF1786" s="154" t="s">
        <v>6667</v>
      </c>
      <c r="AQ1786" s="173"/>
      <c r="AR1786" s="174"/>
      <c r="AS1786" s="175"/>
      <c r="AT1786" s="159"/>
      <c r="AU1786" s="161"/>
      <c r="AV1786" s="173"/>
      <c r="AW1786" s="176"/>
      <c r="AX1786" s="177"/>
      <c r="AY1786" s="178"/>
      <c r="AZ1786" s="159"/>
      <c r="BA1786" s="161"/>
      <c r="BB1786" s="160"/>
    </row>
    <row r="1787" spans="1:59" s="154" customFormat="1" ht="15" customHeight="1">
      <c r="A1787" s="153" t="s">
        <v>6552</v>
      </c>
      <c r="B1787" s="189" t="s">
        <v>6668</v>
      </c>
      <c r="C1787" s="154" t="s">
        <v>6554</v>
      </c>
      <c r="D1787" s="154">
        <v>261</v>
      </c>
      <c r="E1787" s="154">
        <v>1</v>
      </c>
      <c r="F1787" s="154" t="s">
        <v>6236</v>
      </c>
      <c r="G1787" s="154" t="s">
        <v>5887</v>
      </c>
      <c r="H1787" s="154" t="s">
        <v>6669</v>
      </c>
      <c r="I1787" s="154" t="s">
        <v>223</v>
      </c>
      <c r="J1787" s="154" t="s">
        <v>257</v>
      </c>
      <c r="K1787" s="154" t="s">
        <v>26</v>
      </c>
      <c r="N1787" s="154">
        <v>2</v>
      </c>
      <c r="O1787" s="173"/>
      <c r="P1787" s="174"/>
      <c r="Q1787" s="175"/>
      <c r="R1787" s="159">
        <v>1</v>
      </c>
      <c r="S1787" s="160">
        <v>1</v>
      </c>
      <c r="T1787" s="161">
        <v>2</v>
      </c>
      <c r="U1787" s="173">
        <v>3</v>
      </c>
      <c r="V1787" s="176"/>
      <c r="W1787" s="177"/>
      <c r="X1787" s="178"/>
      <c r="Y1787" s="159"/>
      <c r="Z1787" s="161"/>
      <c r="AA1787" s="160"/>
      <c r="AB1787" s="154" t="s">
        <v>1180</v>
      </c>
      <c r="AC1787" s="154" t="s">
        <v>25</v>
      </c>
      <c r="AD1787" s="154" t="s">
        <v>6670</v>
      </c>
      <c r="AF1787" s="154" t="s">
        <v>6671</v>
      </c>
      <c r="AQ1787" s="173"/>
      <c r="AR1787" s="174"/>
      <c r="AS1787" s="175"/>
      <c r="AT1787" s="159"/>
      <c r="AU1787" s="161"/>
      <c r="AV1787" s="173"/>
      <c r="AW1787" s="176"/>
      <c r="AX1787" s="177"/>
      <c r="AY1787" s="178"/>
      <c r="AZ1787" s="159"/>
      <c r="BA1787" s="161"/>
      <c r="BB1787" s="160"/>
    </row>
    <row r="1788" spans="1:59" s="154" customFormat="1" ht="15" customHeight="1">
      <c r="A1788" s="153" t="s">
        <v>6552</v>
      </c>
      <c r="B1788" s="188" t="s">
        <v>6672</v>
      </c>
      <c r="C1788" s="154" t="s">
        <v>6554</v>
      </c>
      <c r="D1788" s="154">
        <v>262</v>
      </c>
      <c r="E1788" s="154">
        <v>1</v>
      </c>
      <c r="F1788" s="154" t="s">
        <v>6236</v>
      </c>
      <c r="G1788" s="154" t="s">
        <v>6673</v>
      </c>
      <c r="J1788" s="154" t="s">
        <v>2702</v>
      </c>
      <c r="K1788" s="154" t="s">
        <v>2426</v>
      </c>
      <c r="O1788" s="173"/>
      <c r="P1788" s="174"/>
      <c r="Q1788" s="175"/>
      <c r="R1788" s="159"/>
      <c r="S1788" s="160"/>
      <c r="T1788" s="161"/>
      <c r="U1788" s="173"/>
      <c r="V1788" s="176"/>
      <c r="W1788" s="177"/>
      <c r="X1788" s="178"/>
      <c r="Y1788" s="159"/>
      <c r="Z1788" s="161"/>
      <c r="AA1788" s="160"/>
      <c r="AF1788" s="154" t="s">
        <v>6674</v>
      </c>
      <c r="AQ1788" s="173"/>
      <c r="AR1788" s="174"/>
      <c r="AS1788" s="175"/>
      <c r="AT1788" s="159"/>
      <c r="AU1788" s="161"/>
      <c r="AV1788" s="173"/>
      <c r="AW1788" s="176"/>
      <c r="AX1788" s="177"/>
      <c r="AY1788" s="178"/>
      <c r="AZ1788" s="159"/>
      <c r="BA1788" s="161"/>
      <c r="BB1788" s="160"/>
    </row>
    <row r="1789" spans="1:59" s="154" customFormat="1" ht="15" customHeight="1">
      <c r="A1789" s="153" t="s">
        <v>6552</v>
      </c>
      <c r="B1789" s="188" t="s">
        <v>6675</v>
      </c>
      <c r="C1789" s="154" t="s">
        <v>6554</v>
      </c>
      <c r="D1789" s="154">
        <v>263</v>
      </c>
      <c r="E1789" s="154">
        <v>1</v>
      </c>
      <c r="F1789" s="154" t="s">
        <v>6236</v>
      </c>
      <c r="G1789" s="154" t="s">
        <v>6676</v>
      </c>
      <c r="J1789" s="154" t="s">
        <v>2702</v>
      </c>
      <c r="K1789" s="154" t="s">
        <v>2426</v>
      </c>
      <c r="O1789" s="173"/>
      <c r="P1789" s="174"/>
      <c r="Q1789" s="175"/>
      <c r="R1789" s="159"/>
      <c r="S1789" s="160"/>
      <c r="T1789" s="161"/>
      <c r="U1789" s="173"/>
      <c r="V1789" s="176"/>
      <c r="W1789" s="177"/>
      <c r="X1789" s="178"/>
      <c r="Y1789" s="159"/>
      <c r="Z1789" s="161"/>
      <c r="AA1789" s="160"/>
      <c r="AF1789" s="154" t="s">
        <v>6677</v>
      </c>
      <c r="AQ1789" s="173"/>
      <c r="AR1789" s="174"/>
      <c r="AS1789" s="175"/>
      <c r="AT1789" s="159"/>
      <c r="AU1789" s="161"/>
      <c r="AV1789" s="173"/>
      <c r="AW1789" s="176"/>
      <c r="AX1789" s="177"/>
      <c r="AY1789" s="178"/>
      <c r="AZ1789" s="159"/>
      <c r="BA1789" s="161"/>
      <c r="BB1789" s="160"/>
    </row>
    <row r="1790" spans="1:59" s="154" customFormat="1" ht="15" customHeight="1">
      <c r="A1790" s="153" t="s">
        <v>6552</v>
      </c>
      <c r="B1790" s="188" t="s">
        <v>6678</v>
      </c>
      <c r="C1790" s="154" t="s">
        <v>6554</v>
      </c>
      <c r="D1790" s="154">
        <v>264</v>
      </c>
      <c r="E1790" s="154">
        <v>1</v>
      </c>
      <c r="F1790" s="154" t="s">
        <v>6236</v>
      </c>
      <c r="G1790" s="154" t="s">
        <v>6679</v>
      </c>
      <c r="J1790" s="154" t="s">
        <v>2702</v>
      </c>
      <c r="K1790" s="154" t="s">
        <v>2426</v>
      </c>
      <c r="O1790" s="173"/>
      <c r="P1790" s="174"/>
      <c r="Q1790" s="175"/>
      <c r="R1790" s="159"/>
      <c r="S1790" s="160"/>
      <c r="T1790" s="161"/>
      <c r="U1790" s="173"/>
      <c r="V1790" s="176"/>
      <c r="W1790" s="177"/>
      <c r="X1790" s="178"/>
      <c r="Y1790" s="159"/>
      <c r="Z1790" s="161"/>
      <c r="AA1790" s="160"/>
      <c r="AF1790" s="154" t="s">
        <v>6680</v>
      </c>
      <c r="AI1790" s="154" t="s">
        <v>6679</v>
      </c>
      <c r="AL1790" s="154" t="s">
        <v>2702</v>
      </c>
      <c r="AM1790" s="154" t="s">
        <v>2426</v>
      </c>
      <c r="AQ1790" s="173"/>
      <c r="AR1790" s="174"/>
      <c r="AS1790" s="175"/>
      <c r="AT1790" s="159"/>
      <c r="AU1790" s="161"/>
      <c r="AV1790" s="173"/>
      <c r="AW1790" s="176"/>
      <c r="AX1790" s="177"/>
      <c r="AY1790" s="178"/>
      <c r="AZ1790" s="159"/>
      <c r="BA1790" s="161"/>
      <c r="BB1790" s="160"/>
    </row>
    <row r="1791" spans="1:59" s="154" customFormat="1" ht="15" customHeight="1">
      <c r="A1791" s="153" t="s">
        <v>6552</v>
      </c>
      <c r="B1791" s="188" t="s">
        <v>6681</v>
      </c>
      <c r="C1791" s="154" t="s">
        <v>6554</v>
      </c>
      <c r="D1791" s="154">
        <v>265</v>
      </c>
      <c r="E1791" s="154">
        <v>1</v>
      </c>
      <c r="F1791" s="154" t="s">
        <v>6236</v>
      </c>
      <c r="G1791" s="154" t="s">
        <v>6682</v>
      </c>
      <c r="J1791" s="154" t="s">
        <v>2702</v>
      </c>
      <c r="K1791" s="154" t="s">
        <v>2426</v>
      </c>
      <c r="O1791" s="173"/>
      <c r="P1791" s="174"/>
      <c r="Q1791" s="175"/>
      <c r="R1791" s="159"/>
      <c r="S1791" s="160"/>
      <c r="T1791" s="161"/>
      <c r="U1791" s="173"/>
      <c r="V1791" s="176"/>
      <c r="W1791" s="177"/>
      <c r="X1791" s="178"/>
      <c r="Y1791" s="159"/>
      <c r="Z1791" s="161"/>
      <c r="AA1791" s="160"/>
      <c r="AF1791" s="154" t="s">
        <v>6683</v>
      </c>
      <c r="AQ1791" s="173"/>
      <c r="AR1791" s="174"/>
      <c r="AS1791" s="175"/>
      <c r="AT1791" s="159"/>
      <c r="AU1791" s="161"/>
      <c r="AV1791" s="173"/>
      <c r="AW1791" s="176"/>
      <c r="AX1791" s="177"/>
      <c r="AY1791" s="178"/>
      <c r="AZ1791" s="159"/>
      <c r="BA1791" s="161"/>
      <c r="BB1791" s="160"/>
    </row>
    <row r="1792" spans="1:59" s="154" customFormat="1" ht="15" customHeight="1">
      <c r="A1792" s="153" t="s">
        <v>6552</v>
      </c>
      <c r="B1792" s="189" t="s">
        <v>6684</v>
      </c>
      <c r="C1792" s="154" t="s">
        <v>6554</v>
      </c>
      <c r="D1792" s="154">
        <v>266</v>
      </c>
      <c r="E1792" s="154">
        <v>3</v>
      </c>
      <c r="F1792" s="154" t="s">
        <v>6236</v>
      </c>
      <c r="G1792" s="154" t="s">
        <v>1641</v>
      </c>
      <c r="J1792" s="154" t="s">
        <v>29</v>
      </c>
      <c r="K1792" s="154" t="s">
        <v>2426</v>
      </c>
      <c r="O1792" s="173"/>
      <c r="P1792" s="174"/>
      <c r="Q1792" s="175">
        <v>2</v>
      </c>
      <c r="R1792" s="159">
        <v>4</v>
      </c>
      <c r="S1792" s="160"/>
      <c r="T1792" s="161">
        <v>1</v>
      </c>
      <c r="U1792" s="173"/>
      <c r="V1792" s="176"/>
      <c r="W1792" s="177">
        <v>1</v>
      </c>
      <c r="X1792" s="178"/>
      <c r="Y1792" s="159"/>
      <c r="Z1792" s="161"/>
      <c r="AA1792" s="160"/>
      <c r="AD1792" s="154" t="s">
        <v>30</v>
      </c>
      <c r="AF1792" s="154" t="s">
        <v>1642</v>
      </c>
      <c r="AQ1792" s="173"/>
      <c r="AR1792" s="174"/>
      <c r="AS1792" s="175"/>
      <c r="AT1792" s="159"/>
      <c r="AU1792" s="161"/>
      <c r="AV1792" s="173"/>
      <c r="AW1792" s="176"/>
      <c r="AX1792" s="177"/>
      <c r="AY1792" s="178"/>
      <c r="AZ1792" s="159"/>
      <c r="BA1792" s="161"/>
      <c r="BB1792" s="160"/>
    </row>
    <row r="1793" spans="1:58" s="154" customFormat="1" ht="15" customHeight="1">
      <c r="A1793" s="153" t="s">
        <v>6552</v>
      </c>
      <c r="B1793" s="188" t="s">
        <v>6685</v>
      </c>
      <c r="C1793" s="154" t="s">
        <v>6554</v>
      </c>
      <c r="D1793" s="154">
        <v>267</v>
      </c>
      <c r="E1793" s="154">
        <v>2</v>
      </c>
      <c r="F1793" s="154" t="s">
        <v>6236</v>
      </c>
      <c r="G1793" s="154" t="s">
        <v>6686</v>
      </c>
      <c r="J1793" s="154" t="s">
        <v>29</v>
      </c>
      <c r="K1793" s="154" t="s">
        <v>2426</v>
      </c>
      <c r="O1793" s="173"/>
      <c r="P1793" s="174"/>
      <c r="Q1793" s="175">
        <v>2</v>
      </c>
      <c r="R1793" s="159">
        <v>2</v>
      </c>
      <c r="S1793" s="160"/>
      <c r="T1793" s="161">
        <v>2</v>
      </c>
      <c r="U1793" s="173"/>
      <c r="V1793" s="176">
        <v>1</v>
      </c>
      <c r="W1793" s="177">
        <v>1</v>
      </c>
      <c r="X1793" s="178"/>
      <c r="Y1793" s="159"/>
      <c r="Z1793" s="161"/>
      <c r="AA1793" s="160"/>
      <c r="AD1793" s="154" t="s">
        <v>6687</v>
      </c>
      <c r="AF1793" s="154" t="s">
        <v>6688</v>
      </c>
      <c r="AQ1793" s="173"/>
      <c r="AR1793" s="174"/>
      <c r="AS1793" s="175"/>
      <c r="AT1793" s="159"/>
      <c r="AU1793" s="161"/>
      <c r="AV1793" s="173"/>
      <c r="AW1793" s="176"/>
      <c r="AX1793" s="177"/>
      <c r="AY1793" s="178"/>
      <c r="AZ1793" s="159"/>
      <c r="BA1793" s="161"/>
      <c r="BB1793" s="160"/>
    </row>
    <row r="1794" spans="1:58" s="154" customFormat="1" ht="15" customHeight="1">
      <c r="A1794" s="153" t="s">
        <v>6552</v>
      </c>
      <c r="B1794" s="190" t="s">
        <v>6689</v>
      </c>
      <c r="C1794" s="154" t="s">
        <v>6554</v>
      </c>
      <c r="D1794" s="154">
        <v>268</v>
      </c>
      <c r="E1794" s="154">
        <v>2</v>
      </c>
      <c r="F1794" s="154" t="s">
        <v>6236</v>
      </c>
      <c r="G1794" s="154" t="s">
        <v>1644</v>
      </c>
      <c r="J1794" s="154" t="s">
        <v>28</v>
      </c>
      <c r="K1794" s="154" t="s">
        <v>2426</v>
      </c>
      <c r="O1794" s="173"/>
      <c r="P1794" s="174"/>
      <c r="Q1794" s="175"/>
      <c r="R1794" s="159"/>
      <c r="S1794" s="160"/>
      <c r="T1794" s="161"/>
      <c r="U1794" s="173"/>
      <c r="V1794" s="176"/>
      <c r="W1794" s="177"/>
      <c r="X1794" s="178"/>
      <c r="Y1794" s="159"/>
      <c r="Z1794" s="161"/>
      <c r="AA1794" s="160"/>
      <c r="AD1794" s="154" t="s">
        <v>492</v>
      </c>
      <c r="AF1794" s="154" t="s">
        <v>1645</v>
      </c>
      <c r="AQ1794" s="173"/>
      <c r="AR1794" s="174"/>
      <c r="AS1794" s="175"/>
      <c r="AT1794" s="159"/>
      <c r="AU1794" s="161"/>
      <c r="AV1794" s="173"/>
      <c r="AW1794" s="176"/>
      <c r="AX1794" s="177"/>
      <c r="AY1794" s="178"/>
      <c r="AZ1794" s="159"/>
      <c r="BA1794" s="161"/>
      <c r="BB1794" s="160"/>
    </row>
    <row r="1795" spans="1:58" s="154" customFormat="1" ht="15" customHeight="1">
      <c r="A1795" s="153" t="s">
        <v>6552</v>
      </c>
      <c r="B1795" s="187" t="s">
        <v>6690</v>
      </c>
      <c r="C1795" s="154" t="s">
        <v>6554</v>
      </c>
      <c r="D1795" s="154">
        <v>269</v>
      </c>
      <c r="E1795" s="154">
        <v>2</v>
      </c>
      <c r="F1795" s="154" t="s">
        <v>6236</v>
      </c>
      <c r="G1795" s="154" t="s">
        <v>6691</v>
      </c>
      <c r="J1795" s="154" t="s">
        <v>28</v>
      </c>
      <c r="K1795" s="154" t="s">
        <v>2426</v>
      </c>
      <c r="O1795" s="173"/>
      <c r="P1795" s="174"/>
      <c r="Q1795" s="175"/>
      <c r="R1795" s="159"/>
      <c r="S1795" s="160"/>
      <c r="T1795" s="161"/>
      <c r="U1795" s="173"/>
      <c r="V1795" s="176"/>
      <c r="W1795" s="177"/>
      <c r="X1795" s="178"/>
      <c r="Y1795" s="159"/>
      <c r="Z1795" s="161"/>
      <c r="AA1795" s="160"/>
      <c r="AD1795" s="154" t="s">
        <v>492</v>
      </c>
      <c r="AF1795" s="154" t="s">
        <v>6692</v>
      </c>
      <c r="AQ1795" s="173"/>
      <c r="AR1795" s="174"/>
      <c r="AS1795" s="175"/>
      <c r="AT1795" s="159"/>
      <c r="AU1795" s="161"/>
      <c r="AV1795" s="173"/>
      <c r="AW1795" s="176"/>
      <c r="AX1795" s="177"/>
      <c r="AY1795" s="178"/>
      <c r="AZ1795" s="159"/>
      <c r="BA1795" s="161"/>
      <c r="BB1795" s="160"/>
    </row>
    <row r="1796" spans="1:58" s="154" customFormat="1" ht="15" customHeight="1">
      <c r="A1796" s="153" t="s">
        <v>6552</v>
      </c>
      <c r="B1796" s="187" t="s">
        <v>6693</v>
      </c>
      <c r="C1796" s="154" t="s">
        <v>6554</v>
      </c>
      <c r="D1796" s="154">
        <v>270</v>
      </c>
      <c r="E1796" s="154">
        <v>2</v>
      </c>
      <c r="F1796" s="154" t="s">
        <v>6236</v>
      </c>
      <c r="G1796" s="154" t="s">
        <v>5975</v>
      </c>
      <c r="J1796" s="154" t="s">
        <v>28</v>
      </c>
      <c r="K1796" s="154" t="s">
        <v>2426</v>
      </c>
      <c r="O1796" s="173"/>
      <c r="P1796" s="174"/>
      <c r="Q1796" s="175"/>
      <c r="R1796" s="159"/>
      <c r="S1796" s="160"/>
      <c r="T1796" s="161"/>
      <c r="U1796" s="173"/>
      <c r="V1796" s="176"/>
      <c r="W1796" s="177"/>
      <c r="X1796" s="178"/>
      <c r="Y1796" s="159"/>
      <c r="Z1796" s="161"/>
      <c r="AA1796" s="160"/>
      <c r="AD1796" s="154" t="s">
        <v>481</v>
      </c>
      <c r="AF1796" s="154" t="s">
        <v>6694</v>
      </c>
      <c r="AQ1796" s="173"/>
      <c r="AR1796" s="174"/>
      <c r="AS1796" s="175"/>
      <c r="AT1796" s="159"/>
      <c r="AU1796" s="161"/>
      <c r="AV1796" s="173"/>
      <c r="AW1796" s="176"/>
      <c r="AX1796" s="177"/>
      <c r="AY1796" s="178"/>
      <c r="AZ1796" s="159"/>
      <c r="BA1796" s="161"/>
      <c r="BB1796" s="160"/>
    </row>
    <row r="1797" spans="1:58" ht="15" customHeight="1">
      <c r="A1797" s="153" t="s">
        <v>6552</v>
      </c>
      <c r="B1797" s="187" t="s">
        <v>6695</v>
      </c>
      <c r="C1797" s="154" t="s">
        <v>6554</v>
      </c>
      <c r="D1797" s="23">
        <v>271</v>
      </c>
      <c r="E1797" s="23">
        <v>2</v>
      </c>
      <c r="F1797" s="154" t="s">
        <v>6236</v>
      </c>
      <c r="G1797" s="154" t="s">
        <v>6696</v>
      </c>
      <c r="J1797" s="23" t="s">
        <v>28</v>
      </c>
      <c r="K1797" s="23" t="s">
        <v>2426</v>
      </c>
      <c r="N1797" s="191"/>
      <c r="O1797" s="129"/>
      <c r="P1797" s="130"/>
      <c r="Q1797" s="131"/>
      <c r="R1797" s="29"/>
      <c r="S1797" s="135"/>
      <c r="T1797" s="122"/>
      <c r="U1797" s="129"/>
      <c r="V1797" s="136"/>
      <c r="W1797" s="137"/>
      <c r="X1797" s="134"/>
      <c r="Y1797" s="29"/>
      <c r="Z1797" s="122"/>
      <c r="AA1797" s="135"/>
      <c r="AB1797" s="148"/>
      <c r="AD1797" s="23" t="s">
        <v>439</v>
      </c>
      <c r="AE1797" s="23"/>
      <c r="AF1797" s="23" t="s">
        <v>6697</v>
      </c>
      <c r="AI1797" s="154"/>
      <c r="AP1797" s="23"/>
      <c r="AQ1797" s="129"/>
      <c r="AR1797" s="130"/>
      <c r="AS1797" s="131"/>
      <c r="AT1797" s="29"/>
      <c r="AU1797" s="122"/>
      <c r="AV1797" s="129"/>
      <c r="AW1797" s="136"/>
      <c r="AX1797" s="137"/>
      <c r="AY1797" s="134"/>
      <c r="AZ1797" s="29"/>
      <c r="BA1797" s="122"/>
      <c r="BB1797" s="135"/>
      <c r="BF1797" s="23"/>
    </row>
    <row r="1798" spans="1:58" ht="15" customHeight="1">
      <c r="A1798" s="153" t="s">
        <v>6552</v>
      </c>
      <c r="B1798" s="187" t="s">
        <v>6698</v>
      </c>
      <c r="C1798" s="154" t="s">
        <v>6554</v>
      </c>
      <c r="D1798" s="23">
        <v>272</v>
      </c>
      <c r="E1798" s="23">
        <v>1</v>
      </c>
      <c r="F1798" s="154" t="s">
        <v>6236</v>
      </c>
      <c r="G1798" s="154" t="s">
        <v>6699</v>
      </c>
      <c r="J1798" s="23" t="s">
        <v>28</v>
      </c>
      <c r="K1798" s="23" t="s">
        <v>2426</v>
      </c>
      <c r="N1798" s="191"/>
      <c r="O1798" s="129"/>
      <c r="P1798" s="130"/>
      <c r="Q1798" s="131"/>
      <c r="R1798" s="29"/>
      <c r="S1798" s="135"/>
      <c r="T1798" s="122"/>
      <c r="U1798" s="129"/>
      <c r="V1798" s="136"/>
      <c r="W1798" s="137"/>
      <c r="X1798" s="134"/>
      <c r="Y1798" s="29"/>
      <c r="Z1798" s="122"/>
      <c r="AA1798" s="135"/>
      <c r="AB1798" s="148"/>
      <c r="AD1798" s="23" t="s">
        <v>439</v>
      </c>
      <c r="AE1798" s="23"/>
      <c r="AF1798" s="23" t="s">
        <v>6700</v>
      </c>
      <c r="AI1798" s="154"/>
      <c r="AP1798" s="23"/>
      <c r="AQ1798" s="129"/>
      <c r="AR1798" s="130"/>
      <c r="AS1798" s="131"/>
      <c r="AT1798" s="29"/>
      <c r="AU1798" s="122"/>
      <c r="AV1798" s="129"/>
      <c r="AW1798" s="136"/>
      <c r="AX1798" s="137"/>
      <c r="AY1798" s="134"/>
      <c r="AZ1798" s="29"/>
      <c r="BA1798" s="122"/>
      <c r="BB1798" s="135"/>
      <c r="BF1798" s="23"/>
    </row>
    <row r="1799" spans="1:58" s="154" customFormat="1" ht="15" customHeight="1">
      <c r="A1799" s="153" t="s">
        <v>6701</v>
      </c>
      <c r="B1799" s="187" t="s">
        <v>6702</v>
      </c>
      <c r="C1799" s="154" t="s">
        <v>6703</v>
      </c>
      <c r="D1799" s="154">
        <v>273</v>
      </c>
      <c r="E1799" s="154">
        <v>2</v>
      </c>
      <c r="G1799" s="154" t="s">
        <v>6704</v>
      </c>
      <c r="J1799" s="154" t="s">
        <v>257</v>
      </c>
      <c r="K1799" s="154" t="s">
        <v>198</v>
      </c>
      <c r="L1799" s="154">
        <v>4</v>
      </c>
      <c r="N1799" s="154">
        <v>3</v>
      </c>
      <c r="O1799" s="173"/>
      <c r="P1799" s="174"/>
      <c r="Q1799" s="175">
        <v>1</v>
      </c>
      <c r="R1799" s="159"/>
      <c r="S1799" s="160"/>
      <c r="T1799" s="161"/>
      <c r="U1799" s="173"/>
      <c r="V1799" s="176"/>
      <c r="W1799" s="177"/>
      <c r="X1799" s="178"/>
      <c r="Y1799" s="159"/>
      <c r="Z1799" s="161"/>
      <c r="AA1799" s="160"/>
      <c r="AB1799" s="154" t="s">
        <v>206</v>
      </c>
      <c r="AD1799" s="154" t="s">
        <v>6705</v>
      </c>
      <c r="AF1799" s="154" t="s">
        <v>6706</v>
      </c>
      <c r="AQ1799" s="173"/>
      <c r="AR1799" s="174"/>
      <c r="AS1799" s="175"/>
      <c r="AT1799" s="159"/>
      <c r="AU1799" s="161"/>
      <c r="AV1799" s="173"/>
      <c r="AW1799" s="176"/>
      <c r="AX1799" s="177"/>
      <c r="AY1799" s="178"/>
      <c r="AZ1799" s="159"/>
      <c r="BA1799" s="161"/>
      <c r="BB1799" s="160"/>
    </row>
    <row r="1800" spans="1:58" s="154" customFormat="1" ht="15" customHeight="1">
      <c r="A1800" s="153" t="s">
        <v>6701</v>
      </c>
      <c r="B1800" s="187" t="s">
        <v>6707</v>
      </c>
      <c r="C1800" s="154" t="s">
        <v>6703</v>
      </c>
      <c r="D1800" s="154">
        <v>274</v>
      </c>
      <c r="E1800" s="154">
        <v>2</v>
      </c>
      <c r="G1800" s="154" t="s">
        <v>6708</v>
      </c>
      <c r="J1800" s="154" t="s">
        <v>257</v>
      </c>
      <c r="K1800" s="154" t="s">
        <v>198</v>
      </c>
      <c r="L1800" s="154">
        <v>5</v>
      </c>
      <c r="N1800" s="154">
        <v>7</v>
      </c>
      <c r="O1800" s="173">
        <v>1</v>
      </c>
      <c r="P1800" s="174">
        <v>1</v>
      </c>
      <c r="Q1800" s="175">
        <v>1</v>
      </c>
      <c r="R1800" s="159"/>
      <c r="S1800" s="160"/>
      <c r="T1800" s="161">
        <v>4</v>
      </c>
      <c r="U1800" s="173">
        <v>4</v>
      </c>
      <c r="V1800" s="176"/>
      <c r="W1800" s="177"/>
      <c r="X1800" s="178"/>
      <c r="Y1800" s="159"/>
      <c r="Z1800" s="161"/>
      <c r="AA1800" s="160"/>
      <c r="AB1800" s="154" t="s">
        <v>6709</v>
      </c>
      <c r="AC1800" s="154" t="s">
        <v>25</v>
      </c>
      <c r="AD1800" s="154" t="s">
        <v>6710</v>
      </c>
      <c r="AF1800" s="154" t="s">
        <v>6711</v>
      </c>
      <c r="AQ1800" s="173"/>
      <c r="AR1800" s="174"/>
      <c r="AS1800" s="175"/>
      <c r="AT1800" s="159"/>
      <c r="AU1800" s="161"/>
      <c r="AV1800" s="173"/>
      <c r="AW1800" s="176"/>
      <c r="AX1800" s="177"/>
      <c r="AY1800" s="178"/>
      <c r="AZ1800" s="159"/>
      <c r="BA1800" s="161"/>
      <c r="BB1800" s="160"/>
    </row>
    <row r="1801" spans="1:58" s="154" customFormat="1" ht="15" customHeight="1">
      <c r="A1801" s="153" t="s">
        <v>6701</v>
      </c>
      <c r="B1801" s="188" t="s">
        <v>6712</v>
      </c>
      <c r="C1801" s="154" t="s">
        <v>6703</v>
      </c>
      <c r="D1801" s="154">
        <v>275</v>
      </c>
      <c r="E1801" s="154">
        <v>2</v>
      </c>
      <c r="G1801" s="154" t="s">
        <v>6713</v>
      </c>
      <c r="J1801" s="154" t="s">
        <v>27</v>
      </c>
      <c r="K1801" s="154" t="s">
        <v>199</v>
      </c>
      <c r="L1801" s="154">
        <v>0</v>
      </c>
      <c r="N1801" s="154">
        <v>0</v>
      </c>
      <c r="O1801" s="173"/>
      <c r="P1801" s="174">
        <v>2</v>
      </c>
      <c r="Q1801" s="175"/>
      <c r="R1801" s="159"/>
      <c r="S1801" s="160"/>
      <c r="T1801" s="161"/>
      <c r="U1801" s="173"/>
      <c r="V1801" s="176"/>
      <c r="W1801" s="177"/>
      <c r="X1801" s="178"/>
      <c r="Y1801" s="159"/>
      <c r="Z1801" s="161"/>
      <c r="AA1801" s="160"/>
      <c r="AB1801" s="154" t="s">
        <v>1084</v>
      </c>
      <c r="AD1801" s="154" t="s">
        <v>1805</v>
      </c>
      <c r="AF1801" s="154" t="s">
        <v>6714</v>
      </c>
      <c r="AQ1801" s="173"/>
      <c r="AR1801" s="174"/>
      <c r="AS1801" s="175"/>
      <c r="AT1801" s="159"/>
      <c r="AU1801" s="161"/>
      <c r="AV1801" s="173"/>
      <c r="AW1801" s="176"/>
      <c r="AX1801" s="177"/>
      <c r="AY1801" s="178"/>
      <c r="AZ1801" s="159"/>
      <c r="BA1801" s="161"/>
      <c r="BB1801" s="160"/>
    </row>
    <row r="1802" spans="1:58" s="154" customFormat="1" ht="15" customHeight="1">
      <c r="A1802" s="153" t="s">
        <v>6701</v>
      </c>
      <c r="B1802" s="188" t="s">
        <v>6715</v>
      </c>
      <c r="C1802" s="154" t="s">
        <v>6703</v>
      </c>
      <c r="D1802" s="154">
        <v>276</v>
      </c>
      <c r="E1802" s="154">
        <v>2</v>
      </c>
      <c r="G1802" s="154" t="s">
        <v>6716</v>
      </c>
      <c r="J1802" s="154" t="s">
        <v>257</v>
      </c>
      <c r="K1802" s="154" t="s">
        <v>199</v>
      </c>
      <c r="L1802" s="154">
        <v>3</v>
      </c>
      <c r="O1802" s="173"/>
      <c r="P1802" s="174"/>
      <c r="Q1802" s="175"/>
      <c r="R1802" s="159"/>
      <c r="S1802" s="160"/>
      <c r="T1802" s="161"/>
      <c r="U1802" s="173"/>
      <c r="V1802" s="176"/>
      <c r="W1802" s="177"/>
      <c r="X1802" s="178"/>
      <c r="Y1802" s="159"/>
      <c r="Z1802" s="161"/>
      <c r="AA1802" s="160"/>
      <c r="AD1802" s="154" t="s">
        <v>289</v>
      </c>
      <c r="AF1802" s="154" t="s">
        <v>6717</v>
      </c>
      <c r="AQ1802" s="173"/>
      <c r="AR1802" s="174"/>
      <c r="AS1802" s="175"/>
      <c r="AT1802" s="159"/>
      <c r="AU1802" s="161"/>
      <c r="AV1802" s="173"/>
      <c r="AW1802" s="176"/>
      <c r="AX1802" s="177"/>
      <c r="AY1802" s="178"/>
      <c r="AZ1802" s="159"/>
      <c r="BA1802" s="161"/>
      <c r="BB1802" s="160"/>
    </row>
    <row r="1803" spans="1:58" s="154" customFormat="1" ht="15" customHeight="1">
      <c r="A1803" s="153" t="s">
        <v>6701</v>
      </c>
      <c r="B1803" s="188" t="s">
        <v>6718</v>
      </c>
      <c r="C1803" s="154" t="s">
        <v>6703</v>
      </c>
      <c r="D1803" s="154">
        <v>277</v>
      </c>
      <c r="E1803" s="154">
        <v>2</v>
      </c>
      <c r="G1803" s="154" t="s">
        <v>6719</v>
      </c>
      <c r="J1803" s="154" t="s">
        <v>27</v>
      </c>
      <c r="K1803" s="154" t="s">
        <v>201</v>
      </c>
      <c r="L1803" s="154">
        <v>0</v>
      </c>
      <c r="N1803" s="154">
        <v>2</v>
      </c>
      <c r="O1803" s="173"/>
      <c r="P1803" s="174"/>
      <c r="Q1803" s="175">
        <v>2</v>
      </c>
      <c r="R1803" s="159"/>
      <c r="S1803" s="160"/>
      <c r="T1803" s="161"/>
      <c r="U1803" s="173"/>
      <c r="V1803" s="176"/>
      <c r="W1803" s="177"/>
      <c r="X1803" s="178"/>
      <c r="Y1803" s="159"/>
      <c r="Z1803" s="161"/>
      <c r="AA1803" s="160"/>
      <c r="AB1803" s="154" t="s">
        <v>1088</v>
      </c>
      <c r="AD1803" s="154" t="s">
        <v>6125</v>
      </c>
      <c r="AF1803" s="154" t="s">
        <v>6720</v>
      </c>
      <c r="AQ1803" s="173"/>
      <c r="AR1803" s="174"/>
      <c r="AS1803" s="175"/>
      <c r="AT1803" s="159"/>
      <c r="AU1803" s="161"/>
      <c r="AV1803" s="173"/>
      <c r="AW1803" s="176"/>
      <c r="AX1803" s="177"/>
      <c r="AY1803" s="178"/>
      <c r="AZ1803" s="159"/>
      <c r="BA1803" s="161"/>
      <c r="BB1803" s="160"/>
    </row>
    <row r="1804" spans="1:58" s="154" customFormat="1" ht="15" customHeight="1">
      <c r="A1804" s="153" t="s">
        <v>6701</v>
      </c>
      <c r="B1804" s="189" t="s">
        <v>6721</v>
      </c>
      <c r="C1804" s="154" t="s">
        <v>6703</v>
      </c>
      <c r="D1804" s="154">
        <v>278</v>
      </c>
      <c r="E1804" s="154">
        <v>2</v>
      </c>
      <c r="G1804" s="154" t="s">
        <v>6722</v>
      </c>
      <c r="J1804" s="154" t="s">
        <v>257</v>
      </c>
      <c r="K1804" s="154" t="s">
        <v>201</v>
      </c>
      <c r="L1804" s="154">
        <v>3</v>
      </c>
      <c r="O1804" s="173"/>
      <c r="P1804" s="174"/>
      <c r="Q1804" s="175"/>
      <c r="R1804" s="159"/>
      <c r="S1804" s="160"/>
      <c r="T1804" s="161"/>
      <c r="U1804" s="173"/>
      <c r="V1804" s="176"/>
      <c r="W1804" s="177"/>
      <c r="X1804" s="178"/>
      <c r="Y1804" s="159"/>
      <c r="Z1804" s="161"/>
      <c r="AA1804" s="160"/>
      <c r="AD1804" s="154" t="s">
        <v>289</v>
      </c>
      <c r="AF1804" s="154" t="s">
        <v>6723</v>
      </c>
      <c r="AQ1804" s="173"/>
      <c r="AR1804" s="174"/>
      <c r="AS1804" s="175"/>
      <c r="AT1804" s="159"/>
      <c r="AU1804" s="161"/>
      <c r="AV1804" s="173"/>
      <c r="AW1804" s="176"/>
      <c r="AX1804" s="177"/>
      <c r="AY1804" s="178"/>
      <c r="AZ1804" s="159"/>
      <c r="BA1804" s="161"/>
      <c r="BB1804" s="160"/>
    </row>
    <row r="1805" spans="1:58" s="154" customFormat="1" ht="15" customHeight="1">
      <c r="A1805" s="153" t="s">
        <v>6701</v>
      </c>
      <c r="B1805" s="189" t="s">
        <v>6724</v>
      </c>
      <c r="C1805" s="154" t="s">
        <v>6703</v>
      </c>
      <c r="D1805" s="154">
        <v>279</v>
      </c>
      <c r="E1805" s="154">
        <v>2</v>
      </c>
      <c r="G1805" s="154" t="s">
        <v>6725</v>
      </c>
      <c r="H1805" s="154" t="s">
        <v>6726</v>
      </c>
      <c r="I1805" s="154" t="s">
        <v>223</v>
      </c>
      <c r="J1805" s="154" t="s">
        <v>257</v>
      </c>
      <c r="K1805" s="154" t="s">
        <v>200</v>
      </c>
      <c r="L1805" s="154">
        <v>3</v>
      </c>
      <c r="N1805" s="154">
        <v>4</v>
      </c>
      <c r="O1805" s="173">
        <v>2</v>
      </c>
      <c r="P1805" s="174"/>
      <c r="Q1805" s="175"/>
      <c r="R1805" s="159"/>
      <c r="S1805" s="160"/>
      <c r="T1805" s="161">
        <v>3</v>
      </c>
      <c r="U1805" s="173">
        <v>1</v>
      </c>
      <c r="V1805" s="176"/>
      <c r="W1805" s="177"/>
      <c r="X1805" s="178"/>
      <c r="Y1805" s="159"/>
      <c r="Z1805" s="161"/>
      <c r="AA1805" s="160"/>
      <c r="AB1805" s="154" t="s">
        <v>1094</v>
      </c>
      <c r="AC1805" s="154" t="s">
        <v>25</v>
      </c>
      <c r="AD1805" s="154" t="s">
        <v>4721</v>
      </c>
      <c r="AF1805" s="154" t="s">
        <v>6727</v>
      </c>
      <c r="AQ1805" s="173"/>
      <c r="AR1805" s="174"/>
      <c r="AS1805" s="175"/>
      <c r="AT1805" s="159"/>
      <c r="AU1805" s="161"/>
      <c r="AV1805" s="173"/>
      <c r="AW1805" s="176"/>
      <c r="AX1805" s="177"/>
      <c r="AY1805" s="178"/>
      <c r="AZ1805" s="159"/>
      <c r="BA1805" s="161"/>
      <c r="BB1805" s="160"/>
    </row>
    <row r="1806" spans="1:58" s="154" customFormat="1" ht="15" customHeight="1">
      <c r="A1806" s="153" t="s">
        <v>6701</v>
      </c>
      <c r="B1806" s="188" t="s">
        <v>6728</v>
      </c>
      <c r="C1806" s="154" t="s">
        <v>6703</v>
      </c>
      <c r="D1806" s="154">
        <v>280</v>
      </c>
      <c r="E1806" s="154">
        <v>2</v>
      </c>
      <c r="G1806" s="154" t="s">
        <v>5810</v>
      </c>
      <c r="J1806" s="154" t="s">
        <v>27</v>
      </c>
      <c r="K1806" s="154" t="s">
        <v>200</v>
      </c>
      <c r="L1806" s="154">
        <v>5</v>
      </c>
      <c r="N1806" s="154">
        <v>0</v>
      </c>
      <c r="O1806" s="173"/>
      <c r="P1806" s="174"/>
      <c r="Q1806" s="175"/>
      <c r="R1806" s="159"/>
      <c r="S1806" s="160">
        <v>1</v>
      </c>
      <c r="T1806" s="161"/>
      <c r="U1806" s="173"/>
      <c r="V1806" s="176"/>
      <c r="W1806" s="177"/>
      <c r="X1806" s="178"/>
      <c r="Y1806" s="159"/>
      <c r="Z1806" s="161"/>
      <c r="AA1806" s="160"/>
      <c r="AB1806" s="154" t="s">
        <v>208</v>
      </c>
      <c r="AD1806" s="154" t="s">
        <v>3665</v>
      </c>
      <c r="AF1806" s="154" t="s">
        <v>6729</v>
      </c>
      <c r="AQ1806" s="173"/>
      <c r="AR1806" s="174"/>
      <c r="AS1806" s="175"/>
      <c r="AT1806" s="159"/>
      <c r="AU1806" s="161"/>
      <c r="AV1806" s="173"/>
      <c r="AW1806" s="176"/>
      <c r="AX1806" s="177"/>
      <c r="AY1806" s="178"/>
      <c r="AZ1806" s="159"/>
      <c r="BA1806" s="161"/>
      <c r="BB1806" s="160"/>
    </row>
    <row r="1807" spans="1:58" s="154" customFormat="1" ht="15" customHeight="1">
      <c r="A1807" s="153" t="s">
        <v>6701</v>
      </c>
      <c r="B1807" s="188" t="s">
        <v>6730</v>
      </c>
      <c r="C1807" s="154" t="s">
        <v>6703</v>
      </c>
      <c r="D1807" s="154">
        <v>281</v>
      </c>
      <c r="E1807" s="154">
        <v>2</v>
      </c>
      <c r="G1807" s="154" t="s">
        <v>6731</v>
      </c>
      <c r="J1807" s="154" t="s">
        <v>27</v>
      </c>
      <c r="K1807" s="154" t="s">
        <v>202</v>
      </c>
      <c r="L1807" s="154">
        <v>0</v>
      </c>
      <c r="N1807" s="172">
        <v>3</v>
      </c>
      <c r="O1807" s="173"/>
      <c r="P1807" s="174"/>
      <c r="Q1807" s="175"/>
      <c r="R1807" s="159"/>
      <c r="S1807" s="160">
        <v>1</v>
      </c>
      <c r="T1807" s="161"/>
      <c r="U1807" s="173"/>
      <c r="V1807" s="176"/>
      <c r="W1807" s="177"/>
      <c r="X1807" s="178"/>
      <c r="Y1807" s="159"/>
      <c r="Z1807" s="161"/>
      <c r="AA1807" s="160"/>
      <c r="AB1807" s="154" t="s">
        <v>208</v>
      </c>
      <c r="AD1807" s="154" t="s">
        <v>1805</v>
      </c>
      <c r="AF1807" s="154" t="s">
        <v>6732</v>
      </c>
      <c r="AQ1807" s="173"/>
      <c r="AR1807" s="174"/>
      <c r="AS1807" s="175"/>
      <c r="AT1807" s="159"/>
      <c r="AU1807" s="161"/>
      <c r="AV1807" s="173"/>
      <c r="AW1807" s="176"/>
      <c r="AX1807" s="177"/>
      <c r="AY1807" s="178"/>
      <c r="AZ1807" s="159"/>
      <c r="BA1807" s="161"/>
      <c r="BB1807" s="160"/>
    </row>
    <row r="1808" spans="1:58" s="154" customFormat="1" ht="15" customHeight="1">
      <c r="A1808" s="153" t="s">
        <v>6701</v>
      </c>
      <c r="B1808" s="188" t="s">
        <v>6733</v>
      </c>
      <c r="C1808" s="154" t="s">
        <v>6703</v>
      </c>
      <c r="D1808" s="154">
        <v>282</v>
      </c>
      <c r="E1808" s="154">
        <v>2</v>
      </c>
      <c r="G1808" s="154" t="s">
        <v>1440</v>
      </c>
      <c r="J1808" s="154" t="s">
        <v>27</v>
      </c>
      <c r="K1808" s="154" t="s">
        <v>202</v>
      </c>
      <c r="L1808" s="154">
        <v>3</v>
      </c>
      <c r="N1808" s="154">
        <v>1</v>
      </c>
      <c r="O1808" s="173"/>
      <c r="P1808" s="174">
        <v>1</v>
      </c>
      <c r="Q1808" s="175"/>
      <c r="R1808" s="159">
        <v>2</v>
      </c>
      <c r="S1808" s="160"/>
      <c r="T1808" s="161"/>
      <c r="U1808" s="173"/>
      <c r="V1808" s="176"/>
      <c r="W1808" s="177"/>
      <c r="X1808" s="178"/>
      <c r="Y1808" s="159"/>
      <c r="Z1808" s="161"/>
      <c r="AA1808" s="160"/>
      <c r="AB1808" s="154" t="s">
        <v>5476</v>
      </c>
      <c r="AD1808" s="154" t="s">
        <v>307</v>
      </c>
      <c r="AF1808" s="154" t="s">
        <v>6734</v>
      </c>
      <c r="AQ1808" s="173"/>
      <c r="AR1808" s="174"/>
      <c r="AS1808" s="175"/>
      <c r="AT1808" s="159"/>
      <c r="AU1808" s="161"/>
      <c r="AV1808" s="173"/>
      <c r="AW1808" s="176"/>
      <c r="AX1808" s="177"/>
      <c r="AY1808" s="178"/>
      <c r="AZ1808" s="159"/>
      <c r="BA1808" s="161"/>
      <c r="BB1808" s="160"/>
    </row>
    <row r="1809" spans="1:59" s="154" customFormat="1" ht="15" customHeight="1">
      <c r="A1809" s="153" t="s">
        <v>6701</v>
      </c>
      <c r="B1809" s="188" t="s">
        <v>6735</v>
      </c>
      <c r="C1809" s="154" t="s">
        <v>6703</v>
      </c>
      <c r="D1809" s="154">
        <v>283</v>
      </c>
      <c r="E1809" s="154">
        <v>2</v>
      </c>
      <c r="G1809" s="154" t="s">
        <v>6736</v>
      </c>
      <c r="H1809" s="154" t="s">
        <v>6737</v>
      </c>
      <c r="J1809" s="154" t="s">
        <v>257</v>
      </c>
      <c r="K1809" s="154" t="s">
        <v>26</v>
      </c>
      <c r="L1809" s="154">
        <v>4</v>
      </c>
      <c r="N1809" s="154">
        <v>3</v>
      </c>
      <c r="O1809" s="173"/>
      <c r="P1809" s="174"/>
      <c r="Q1809" s="175"/>
      <c r="R1809" s="159"/>
      <c r="S1809" s="160">
        <v>1</v>
      </c>
      <c r="T1809" s="161">
        <v>1</v>
      </c>
      <c r="U1809" s="173">
        <v>1</v>
      </c>
      <c r="V1809" s="176"/>
      <c r="W1809" s="177"/>
      <c r="X1809" s="178"/>
      <c r="Y1809" s="159"/>
      <c r="Z1809" s="161"/>
      <c r="AA1809" s="160"/>
      <c r="AB1809" s="154" t="s">
        <v>208</v>
      </c>
      <c r="AC1809" s="154" t="s">
        <v>25</v>
      </c>
      <c r="AD1809" s="154" t="s">
        <v>6738</v>
      </c>
      <c r="AF1809" s="154" t="s">
        <v>6739</v>
      </c>
      <c r="AQ1809" s="173"/>
      <c r="AR1809" s="174"/>
      <c r="AS1809" s="175"/>
      <c r="AT1809" s="159"/>
      <c r="AU1809" s="161"/>
      <c r="AV1809" s="173"/>
      <c r="AW1809" s="176"/>
      <c r="AX1809" s="177"/>
      <c r="AY1809" s="178"/>
      <c r="AZ1809" s="159"/>
      <c r="BA1809" s="161"/>
      <c r="BB1809" s="160"/>
    </row>
    <row r="1810" spans="1:59" s="154" customFormat="1" ht="15" customHeight="1">
      <c r="A1810" s="153" t="s">
        <v>6701</v>
      </c>
      <c r="B1810" s="188" t="s">
        <v>6740</v>
      </c>
      <c r="C1810" s="154" t="s">
        <v>6703</v>
      </c>
      <c r="D1810" s="154">
        <v>284</v>
      </c>
      <c r="E1810" s="154">
        <v>1</v>
      </c>
      <c r="F1810" s="154" t="s">
        <v>6237</v>
      </c>
      <c r="G1810" s="154" t="s">
        <v>6237</v>
      </c>
      <c r="J1810" s="154" t="s">
        <v>618</v>
      </c>
      <c r="K1810" s="154" t="s">
        <v>2426</v>
      </c>
      <c r="O1810" s="173"/>
      <c r="P1810" s="174"/>
      <c r="Q1810" s="175"/>
      <c r="R1810" s="159"/>
      <c r="S1810" s="160"/>
      <c r="T1810" s="161"/>
      <c r="U1810" s="173"/>
      <c r="V1810" s="176"/>
      <c r="W1810" s="177"/>
      <c r="X1810" s="178"/>
      <c r="Y1810" s="159"/>
      <c r="Z1810" s="161"/>
      <c r="AA1810" s="160"/>
      <c r="AF1810" s="154" t="s">
        <v>6741</v>
      </c>
      <c r="AI1810" s="154" t="s">
        <v>6237</v>
      </c>
      <c r="AL1810" s="154" t="s">
        <v>618</v>
      </c>
      <c r="AM1810" s="154" t="s">
        <v>2426</v>
      </c>
      <c r="AQ1810" s="173"/>
      <c r="AR1810" s="174"/>
      <c r="AS1810" s="175"/>
      <c r="AT1810" s="159"/>
      <c r="AU1810" s="161"/>
      <c r="AV1810" s="173"/>
      <c r="AW1810" s="176"/>
      <c r="AX1810" s="177"/>
      <c r="AY1810" s="178"/>
      <c r="AZ1810" s="159"/>
      <c r="BA1810" s="161"/>
      <c r="BB1810" s="160"/>
      <c r="BG1810" s="154" t="s">
        <v>6742</v>
      </c>
    </row>
    <row r="1811" spans="1:59" s="154" customFormat="1" ht="15" customHeight="1">
      <c r="A1811" s="153" t="s">
        <v>6701</v>
      </c>
      <c r="B1811" s="188" t="s">
        <v>6743</v>
      </c>
      <c r="C1811" s="154" t="s">
        <v>6703</v>
      </c>
      <c r="D1811" s="154">
        <v>285</v>
      </c>
      <c r="E1811" s="154">
        <v>1</v>
      </c>
      <c r="F1811" s="154" t="s">
        <v>6237</v>
      </c>
      <c r="G1811" s="154" t="s">
        <v>6744</v>
      </c>
      <c r="J1811" s="154" t="s">
        <v>619</v>
      </c>
      <c r="K1811" s="154" t="s">
        <v>2426</v>
      </c>
      <c r="L1811" s="154">
        <v>1</v>
      </c>
      <c r="O1811" s="173"/>
      <c r="P1811" s="174"/>
      <c r="Q1811" s="175"/>
      <c r="R1811" s="159"/>
      <c r="S1811" s="160"/>
      <c r="T1811" s="161"/>
      <c r="U1811" s="173"/>
      <c r="V1811" s="176"/>
      <c r="W1811" s="177"/>
      <c r="X1811" s="178"/>
      <c r="Y1811" s="159"/>
      <c r="Z1811" s="161">
        <v>7</v>
      </c>
      <c r="AA1811" s="160"/>
      <c r="AF1811" s="154" t="s">
        <v>6745</v>
      </c>
      <c r="AI1811" s="154" t="s">
        <v>6746</v>
      </c>
      <c r="AL1811" s="154" t="s">
        <v>619</v>
      </c>
      <c r="AM1811" s="154" t="s">
        <v>2426</v>
      </c>
      <c r="AN1811" s="154">
        <v>1</v>
      </c>
      <c r="AQ1811" s="173"/>
      <c r="AR1811" s="174"/>
      <c r="AS1811" s="175"/>
      <c r="AT1811" s="159"/>
      <c r="AU1811" s="161"/>
      <c r="AV1811" s="173"/>
      <c r="AW1811" s="176"/>
      <c r="AX1811" s="177"/>
      <c r="AY1811" s="178"/>
      <c r="AZ1811" s="159"/>
      <c r="BA1811" s="161"/>
      <c r="BB1811" s="160"/>
      <c r="BG1811" s="154" t="s">
        <v>6747</v>
      </c>
    </row>
    <row r="1812" spans="1:59" s="154" customFormat="1" ht="15" customHeight="1">
      <c r="A1812" s="153" t="s">
        <v>6701</v>
      </c>
      <c r="B1812" s="189" t="s">
        <v>6748</v>
      </c>
      <c r="C1812" s="154" t="s">
        <v>6703</v>
      </c>
      <c r="D1812" s="154">
        <v>286</v>
      </c>
      <c r="E1812" s="154">
        <v>1</v>
      </c>
      <c r="F1812" s="154" t="s">
        <v>6749</v>
      </c>
      <c r="G1812" s="154" t="s">
        <v>6750</v>
      </c>
      <c r="J1812" s="154" t="s">
        <v>621</v>
      </c>
      <c r="K1812" s="154" t="s">
        <v>2426</v>
      </c>
      <c r="L1812" s="154">
        <v>1</v>
      </c>
      <c r="O1812" s="173"/>
      <c r="P1812" s="174"/>
      <c r="Q1812" s="175"/>
      <c r="R1812" s="159"/>
      <c r="S1812" s="160"/>
      <c r="T1812" s="161"/>
      <c r="U1812" s="173"/>
      <c r="V1812" s="176"/>
      <c r="W1812" s="177"/>
      <c r="X1812" s="178"/>
      <c r="Y1812" s="159" t="s">
        <v>1112</v>
      </c>
      <c r="Z1812" s="161"/>
      <c r="AA1812" s="160"/>
      <c r="AF1812" s="154" t="s">
        <v>6751</v>
      </c>
      <c r="AQ1812" s="173"/>
      <c r="AR1812" s="174"/>
      <c r="AS1812" s="175"/>
      <c r="AT1812" s="159"/>
      <c r="AU1812" s="161"/>
      <c r="AV1812" s="173"/>
      <c r="AW1812" s="176"/>
      <c r="AX1812" s="177"/>
      <c r="AY1812" s="178"/>
      <c r="AZ1812" s="159"/>
      <c r="BA1812" s="161"/>
      <c r="BB1812" s="160"/>
    </row>
    <row r="1813" spans="1:59" s="154" customFormat="1" ht="15" customHeight="1">
      <c r="A1813" s="153" t="s">
        <v>6701</v>
      </c>
      <c r="B1813" s="188" t="s">
        <v>6752</v>
      </c>
      <c r="C1813" s="154" t="s">
        <v>6703</v>
      </c>
      <c r="D1813" s="154">
        <v>287</v>
      </c>
      <c r="E1813" s="154">
        <v>1</v>
      </c>
      <c r="F1813" s="154" t="s">
        <v>6749</v>
      </c>
      <c r="G1813" s="154" t="s">
        <v>6753</v>
      </c>
      <c r="J1813" s="154" t="s">
        <v>621</v>
      </c>
      <c r="K1813" s="154" t="s">
        <v>2426</v>
      </c>
      <c r="L1813" s="154">
        <v>2</v>
      </c>
      <c r="O1813" s="173"/>
      <c r="P1813" s="174"/>
      <c r="Q1813" s="175"/>
      <c r="R1813" s="159"/>
      <c r="S1813" s="160"/>
      <c r="T1813" s="161"/>
      <c r="U1813" s="173"/>
      <c r="V1813" s="176"/>
      <c r="W1813" s="177"/>
      <c r="X1813" s="178"/>
      <c r="Y1813" s="159" t="s">
        <v>38</v>
      </c>
      <c r="Z1813" s="161"/>
      <c r="AA1813" s="160"/>
      <c r="AF1813" s="154" t="s">
        <v>6754</v>
      </c>
      <c r="AI1813" s="154" t="s">
        <v>6755</v>
      </c>
      <c r="AL1813" s="154" t="s">
        <v>621</v>
      </c>
      <c r="AM1813" s="154" t="s">
        <v>2426</v>
      </c>
      <c r="AN1813" s="154">
        <v>2</v>
      </c>
      <c r="AQ1813" s="173"/>
      <c r="AR1813" s="174"/>
      <c r="AS1813" s="175"/>
      <c r="AT1813" s="159"/>
      <c r="AU1813" s="161"/>
      <c r="AV1813" s="173"/>
      <c r="AW1813" s="176"/>
      <c r="AX1813" s="177"/>
      <c r="AY1813" s="178"/>
      <c r="AZ1813" s="159"/>
      <c r="BA1813" s="161"/>
      <c r="BB1813" s="160"/>
      <c r="BG1813" s="154" t="s">
        <v>1886</v>
      </c>
    </row>
    <row r="1814" spans="1:59" s="154" customFormat="1" ht="15" customHeight="1">
      <c r="A1814" s="153" t="s">
        <v>6701</v>
      </c>
      <c r="B1814" s="188" t="s">
        <v>6756</v>
      </c>
      <c r="C1814" s="154" t="s">
        <v>6703</v>
      </c>
      <c r="D1814" s="154">
        <v>288</v>
      </c>
      <c r="E1814" s="154">
        <v>1</v>
      </c>
      <c r="F1814" s="154" t="s">
        <v>6757</v>
      </c>
      <c r="G1814" s="154" t="s">
        <v>6758</v>
      </c>
      <c r="J1814" s="154" t="s">
        <v>621</v>
      </c>
      <c r="K1814" s="154" t="s">
        <v>2426</v>
      </c>
      <c r="L1814" s="154">
        <v>1</v>
      </c>
      <c r="O1814" s="173"/>
      <c r="P1814" s="174"/>
      <c r="Q1814" s="175"/>
      <c r="R1814" s="159"/>
      <c r="S1814" s="160"/>
      <c r="T1814" s="161"/>
      <c r="U1814" s="173"/>
      <c r="V1814" s="176"/>
      <c r="W1814" s="177"/>
      <c r="X1814" s="178"/>
      <c r="Y1814" s="159" t="s">
        <v>1112</v>
      </c>
      <c r="Z1814" s="161"/>
      <c r="AA1814" s="160"/>
      <c r="AF1814" s="154" t="s">
        <v>6751</v>
      </c>
      <c r="AQ1814" s="173"/>
      <c r="AR1814" s="174"/>
      <c r="AS1814" s="175"/>
      <c r="AT1814" s="159"/>
      <c r="AU1814" s="161"/>
      <c r="AV1814" s="173"/>
      <c r="AW1814" s="176"/>
      <c r="AX1814" s="177"/>
      <c r="AY1814" s="178"/>
      <c r="AZ1814" s="159"/>
      <c r="BA1814" s="161"/>
      <c r="BB1814" s="160"/>
    </row>
    <row r="1815" spans="1:59" s="154" customFormat="1" ht="15" customHeight="1">
      <c r="A1815" s="153" t="s">
        <v>6701</v>
      </c>
      <c r="B1815" s="188" t="s">
        <v>6759</v>
      </c>
      <c r="C1815" s="154" t="s">
        <v>6703</v>
      </c>
      <c r="D1815" s="154">
        <v>289</v>
      </c>
      <c r="E1815" s="154">
        <v>1</v>
      </c>
      <c r="F1815" s="154" t="s">
        <v>6757</v>
      </c>
      <c r="G1815" s="154" t="s">
        <v>6760</v>
      </c>
      <c r="J1815" s="154" t="s">
        <v>621</v>
      </c>
      <c r="K1815" s="154" t="s">
        <v>2426</v>
      </c>
      <c r="L1815" s="154">
        <v>2</v>
      </c>
      <c r="O1815" s="173"/>
      <c r="P1815" s="174"/>
      <c r="Q1815" s="175"/>
      <c r="R1815" s="159"/>
      <c r="S1815" s="160"/>
      <c r="T1815" s="161"/>
      <c r="U1815" s="173"/>
      <c r="V1815" s="176"/>
      <c r="W1815" s="177"/>
      <c r="X1815" s="178"/>
      <c r="Y1815" s="159" t="s">
        <v>38</v>
      </c>
      <c r="Z1815" s="161"/>
      <c r="AA1815" s="160"/>
      <c r="AF1815" s="154" t="s">
        <v>6761</v>
      </c>
      <c r="AI1815" s="154" t="s">
        <v>6762</v>
      </c>
      <c r="AL1815" s="154" t="s">
        <v>621</v>
      </c>
      <c r="AM1815" s="154" t="s">
        <v>2426</v>
      </c>
      <c r="AN1815" s="154">
        <v>2</v>
      </c>
      <c r="AQ1815" s="173"/>
      <c r="AR1815" s="174"/>
      <c r="AS1815" s="175"/>
      <c r="AT1815" s="159"/>
      <c r="AU1815" s="161"/>
      <c r="AV1815" s="173"/>
      <c r="AW1815" s="176"/>
      <c r="AX1815" s="177"/>
      <c r="AY1815" s="178"/>
      <c r="AZ1815" s="159"/>
      <c r="BA1815" s="161"/>
      <c r="BB1815" s="160"/>
      <c r="BG1815" s="154" t="s">
        <v>2212</v>
      </c>
    </row>
    <row r="1816" spans="1:59" s="154" customFormat="1" ht="15" customHeight="1">
      <c r="A1816" s="153" t="s">
        <v>6701</v>
      </c>
      <c r="B1816" s="189" t="s">
        <v>6763</v>
      </c>
      <c r="C1816" s="154" t="s">
        <v>6703</v>
      </c>
      <c r="D1816" s="154">
        <v>290</v>
      </c>
      <c r="E1816" s="154">
        <v>1</v>
      </c>
      <c r="F1816" s="154" t="s">
        <v>6237</v>
      </c>
      <c r="G1816" s="154" t="s">
        <v>6764</v>
      </c>
      <c r="J1816" s="154" t="s">
        <v>31</v>
      </c>
      <c r="K1816" s="154" t="s">
        <v>2426</v>
      </c>
      <c r="O1816" s="173"/>
      <c r="P1816" s="174"/>
      <c r="Q1816" s="175"/>
      <c r="R1816" s="159"/>
      <c r="S1816" s="160"/>
      <c r="T1816" s="161"/>
      <c r="U1816" s="173"/>
      <c r="V1816" s="176"/>
      <c r="W1816" s="177"/>
      <c r="X1816" s="178"/>
      <c r="Y1816" s="159"/>
      <c r="Z1816" s="161"/>
      <c r="AA1816" s="160"/>
      <c r="AD1816" s="154" t="s">
        <v>463</v>
      </c>
      <c r="AI1816" s="154" t="s">
        <v>6764</v>
      </c>
      <c r="AL1816" s="154" t="s">
        <v>31</v>
      </c>
      <c r="AM1816" s="154" t="s">
        <v>2426</v>
      </c>
      <c r="AQ1816" s="173"/>
      <c r="AR1816" s="174"/>
      <c r="AS1816" s="175"/>
      <c r="AT1816" s="159"/>
      <c r="AU1816" s="161"/>
      <c r="AV1816" s="173"/>
      <c r="AW1816" s="176"/>
      <c r="AX1816" s="177"/>
      <c r="AY1816" s="178">
        <v>3</v>
      </c>
      <c r="AZ1816" s="159">
        <v>0</v>
      </c>
      <c r="BA1816" s="161"/>
      <c r="BB1816" s="160"/>
      <c r="BE1816" s="154" t="s">
        <v>463</v>
      </c>
      <c r="BG1816" s="154" t="s">
        <v>6765</v>
      </c>
    </row>
    <row r="1817" spans="1:59" s="154" customFormat="1" ht="15" customHeight="1">
      <c r="A1817" s="153" t="s">
        <v>6701</v>
      </c>
      <c r="B1817" s="188" t="s">
        <v>6766</v>
      </c>
      <c r="C1817" s="154" t="s">
        <v>6703</v>
      </c>
      <c r="D1817" s="154">
        <v>291</v>
      </c>
      <c r="E1817" s="154">
        <v>1</v>
      </c>
      <c r="F1817" s="154" t="s">
        <v>6237</v>
      </c>
      <c r="G1817" s="154" t="s">
        <v>6764</v>
      </c>
      <c r="J1817" s="154" t="s">
        <v>31</v>
      </c>
      <c r="K1817" s="154" t="s">
        <v>2426</v>
      </c>
      <c r="O1817" s="173"/>
      <c r="P1817" s="174"/>
      <c r="Q1817" s="175"/>
      <c r="R1817" s="159"/>
      <c r="S1817" s="160"/>
      <c r="T1817" s="161"/>
      <c r="U1817" s="173"/>
      <c r="V1817" s="176"/>
      <c r="W1817" s="177"/>
      <c r="X1817" s="178"/>
      <c r="Y1817" s="159"/>
      <c r="Z1817" s="161"/>
      <c r="AA1817" s="160"/>
      <c r="AD1817" s="154" t="s">
        <v>463</v>
      </c>
      <c r="AI1817" s="154" t="s">
        <v>6764</v>
      </c>
      <c r="AL1817" s="154" t="s">
        <v>31</v>
      </c>
      <c r="AM1817" s="154" t="s">
        <v>2426</v>
      </c>
      <c r="AQ1817" s="173"/>
      <c r="AR1817" s="174"/>
      <c r="AS1817" s="175"/>
      <c r="AT1817" s="159"/>
      <c r="AU1817" s="161"/>
      <c r="AV1817" s="173"/>
      <c r="AW1817" s="176"/>
      <c r="AX1817" s="177"/>
      <c r="AY1817" s="178">
        <v>4</v>
      </c>
      <c r="AZ1817" s="159">
        <v>0</v>
      </c>
      <c r="BA1817" s="161"/>
      <c r="BB1817" s="160"/>
      <c r="BE1817" s="154" t="s">
        <v>463</v>
      </c>
      <c r="BG1817" s="154" t="s">
        <v>6767</v>
      </c>
    </row>
    <row r="1818" spans="1:59" s="154" customFormat="1" ht="15" customHeight="1">
      <c r="A1818" s="153" t="s">
        <v>6701</v>
      </c>
      <c r="B1818" s="188" t="s">
        <v>6768</v>
      </c>
      <c r="C1818" s="154" t="s">
        <v>6703</v>
      </c>
      <c r="D1818" s="154">
        <v>292</v>
      </c>
      <c r="E1818" s="154">
        <v>1</v>
      </c>
      <c r="F1818" s="154" t="s">
        <v>6237</v>
      </c>
      <c r="G1818" s="154" t="s">
        <v>741</v>
      </c>
      <c r="J1818" s="154" t="s">
        <v>31</v>
      </c>
      <c r="K1818" s="154" t="s">
        <v>2426</v>
      </c>
      <c r="O1818" s="173"/>
      <c r="P1818" s="174"/>
      <c r="Q1818" s="175"/>
      <c r="R1818" s="159"/>
      <c r="S1818" s="160"/>
      <c r="T1818" s="161"/>
      <c r="U1818" s="173"/>
      <c r="V1818" s="176"/>
      <c r="W1818" s="177"/>
      <c r="X1818" s="178"/>
      <c r="Y1818" s="159"/>
      <c r="Z1818" s="161"/>
      <c r="AA1818" s="160"/>
      <c r="AD1818" s="154" t="s">
        <v>463</v>
      </c>
      <c r="AI1818" s="154" t="s">
        <v>741</v>
      </c>
      <c r="AL1818" s="154" t="s">
        <v>31</v>
      </c>
      <c r="AM1818" s="154" t="s">
        <v>2426</v>
      </c>
      <c r="AQ1818" s="173"/>
      <c r="AR1818" s="174"/>
      <c r="AS1818" s="175"/>
      <c r="AT1818" s="159"/>
      <c r="AU1818" s="161"/>
      <c r="AV1818" s="173"/>
      <c r="AW1818" s="176"/>
      <c r="AX1818" s="177"/>
      <c r="AY1818" s="178">
        <v>3</v>
      </c>
      <c r="AZ1818" s="159">
        <v>0</v>
      </c>
      <c r="BA1818" s="161"/>
      <c r="BB1818" s="160"/>
      <c r="BE1818" s="154" t="s">
        <v>463</v>
      </c>
      <c r="BG1818" s="154" t="s">
        <v>6769</v>
      </c>
    </row>
    <row r="1819" spans="1:59" s="154" customFormat="1" ht="15" customHeight="1">
      <c r="A1819" s="153" t="s">
        <v>6701</v>
      </c>
      <c r="B1819" s="188" t="s">
        <v>6770</v>
      </c>
      <c r="C1819" s="154" t="s">
        <v>6703</v>
      </c>
      <c r="D1819" s="154">
        <v>293</v>
      </c>
      <c r="E1819" s="154">
        <v>1</v>
      </c>
      <c r="F1819" s="154" t="s">
        <v>6237</v>
      </c>
      <c r="G1819" s="154" t="s">
        <v>741</v>
      </c>
      <c r="J1819" s="154" t="s">
        <v>31</v>
      </c>
      <c r="K1819" s="154" t="s">
        <v>2426</v>
      </c>
      <c r="O1819" s="173"/>
      <c r="P1819" s="174"/>
      <c r="Q1819" s="175"/>
      <c r="R1819" s="159"/>
      <c r="S1819" s="160"/>
      <c r="T1819" s="161"/>
      <c r="U1819" s="173"/>
      <c r="V1819" s="176"/>
      <c r="W1819" s="177"/>
      <c r="X1819" s="178"/>
      <c r="Y1819" s="159"/>
      <c r="Z1819" s="161"/>
      <c r="AA1819" s="160"/>
      <c r="AD1819" s="154" t="s">
        <v>463</v>
      </c>
      <c r="AI1819" s="154" t="s">
        <v>741</v>
      </c>
      <c r="AL1819" s="154" t="s">
        <v>31</v>
      </c>
      <c r="AM1819" s="154" t="s">
        <v>2426</v>
      </c>
      <c r="AQ1819" s="173"/>
      <c r="AR1819" s="174"/>
      <c r="AS1819" s="175"/>
      <c r="AT1819" s="159"/>
      <c r="AU1819" s="161"/>
      <c r="AV1819" s="173"/>
      <c r="AW1819" s="176"/>
      <c r="AX1819" s="177"/>
      <c r="AY1819" s="178">
        <v>4</v>
      </c>
      <c r="AZ1819" s="159">
        <v>0</v>
      </c>
      <c r="BA1819" s="161"/>
      <c r="BB1819" s="160"/>
      <c r="BE1819" s="154" t="s">
        <v>463</v>
      </c>
      <c r="BG1819" s="154" t="s">
        <v>6771</v>
      </c>
    </row>
    <row r="1820" spans="1:59" s="154" customFormat="1" ht="15" customHeight="1">
      <c r="A1820" s="153" t="s">
        <v>6701</v>
      </c>
      <c r="B1820" s="188" t="s">
        <v>6772</v>
      </c>
      <c r="C1820" s="154" t="s">
        <v>6703</v>
      </c>
      <c r="D1820" s="154">
        <v>294</v>
      </c>
      <c r="E1820" s="154">
        <v>1</v>
      </c>
      <c r="F1820" s="154" t="s">
        <v>6237</v>
      </c>
      <c r="G1820" s="154" t="s">
        <v>743</v>
      </c>
      <c r="J1820" s="154" t="s">
        <v>31</v>
      </c>
      <c r="K1820" s="154" t="s">
        <v>2426</v>
      </c>
      <c r="O1820" s="173"/>
      <c r="P1820" s="174"/>
      <c r="Q1820" s="175"/>
      <c r="R1820" s="159"/>
      <c r="S1820" s="160"/>
      <c r="T1820" s="161"/>
      <c r="U1820" s="173"/>
      <c r="V1820" s="176"/>
      <c r="W1820" s="177"/>
      <c r="X1820" s="178"/>
      <c r="Y1820" s="159"/>
      <c r="Z1820" s="161"/>
      <c r="AA1820" s="160"/>
      <c r="AD1820" s="154" t="s">
        <v>742</v>
      </c>
      <c r="AI1820" s="154" t="s">
        <v>743</v>
      </c>
      <c r="AL1820" s="154" t="s">
        <v>31</v>
      </c>
      <c r="AM1820" s="154" t="s">
        <v>2426</v>
      </c>
      <c r="AQ1820" s="173"/>
      <c r="AR1820" s="174"/>
      <c r="AS1820" s="175"/>
      <c r="AT1820" s="159"/>
      <c r="AU1820" s="161"/>
      <c r="AV1820" s="173"/>
      <c r="AW1820" s="176"/>
      <c r="AX1820" s="177"/>
      <c r="AY1820" s="178">
        <v>1</v>
      </c>
      <c r="AZ1820" s="159">
        <v>0</v>
      </c>
      <c r="BA1820" s="161"/>
      <c r="BB1820" s="160"/>
      <c r="BE1820" s="154" t="s">
        <v>742</v>
      </c>
      <c r="BG1820" s="154" t="s">
        <v>6773</v>
      </c>
    </row>
    <row r="1821" spans="1:59" s="154" customFormat="1" ht="15" customHeight="1">
      <c r="A1821" s="153" t="s">
        <v>6701</v>
      </c>
      <c r="B1821" s="188" t="s">
        <v>6774</v>
      </c>
      <c r="C1821" s="154" t="s">
        <v>6703</v>
      </c>
      <c r="D1821" s="154">
        <v>295</v>
      </c>
      <c r="E1821" s="154">
        <v>1</v>
      </c>
      <c r="F1821" s="154" t="s">
        <v>6237</v>
      </c>
      <c r="G1821" s="154" t="s">
        <v>743</v>
      </c>
      <c r="J1821" s="154" t="s">
        <v>31</v>
      </c>
      <c r="K1821" s="154" t="s">
        <v>2426</v>
      </c>
      <c r="O1821" s="173"/>
      <c r="P1821" s="174"/>
      <c r="Q1821" s="175"/>
      <c r="R1821" s="159"/>
      <c r="S1821" s="160"/>
      <c r="T1821" s="161"/>
      <c r="U1821" s="173"/>
      <c r="V1821" s="176"/>
      <c r="W1821" s="177"/>
      <c r="X1821" s="178"/>
      <c r="Y1821" s="159"/>
      <c r="Z1821" s="161"/>
      <c r="AA1821" s="160"/>
      <c r="AD1821" s="154" t="s">
        <v>742</v>
      </c>
      <c r="AI1821" s="154" t="s">
        <v>743</v>
      </c>
      <c r="AL1821" s="154" t="s">
        <v>31</v>
      </c>
      <c r="AM1821" s="154" t="s">
        <v>2426</v>
      </c>
      <c r="AQ1821" s="173"/>
      <c r="AR1821" s="174"/>
      <c r="AS1821" s="175"/>
      <c r="AT1821" s="159"/>
      <c r="AU1821" s="161"/>
      <c r="AV1821" s="173"/>
      <c r="AW1821" s="176"/>
      <c r="AX1821" s="177"/>
      <c r="AY1821" s="178">
        <v>2</v>
      </c>
      <c r="AZ1821" s="159">
        <v>0</v>
      </c>
      <c r="BA1821" s="161"/>
      <c r="BB1821" s="160"/>
      <c r="BE1821" s="154" t="s">
        <v>742</v>
      </c>
      <c r="BG1821" s="154" t="s">
        <v>6775</v>
      </c>
    </row>
    <row r="1822" spans="1:59" s="154" customFormat="1" ht="15" customHeight="1">
      <c r="A1822" s="153" t="s">
        <v>6701</v>
      </c>
      <c r="B1822" s="189" t="s">
        <v>6776</v>
      </c>
      <c r="C1822" s="154" t="s">
        <v>6703</v>
      </c>
      <c r="D1822" s="154">
        <v>296</v>
      </c>
      <c r="E1822" s="154">
        <v>1</v>
      </c>
      <c r="F1822" s="154" t="s">
        <v>6237</v>
      </c>
      <c r="G1822" s="154" t="s">
        <v>6777</v>
      </c>
      <c r="J1822" s="154" t="s">
        <v>31</v>
      </c>
      <c r="K1822" s="154" t="s">
        <v>2426</v>
      </c>
      <c r="O1822" s="173"/>
      <c r="P1822" s="174"/>
      <c r="Q1822" s="175"/>
      <c r="R1822" s="159"/>
      <c r="S1822" s="160"/>
      <c r="T1822" s="161"/>
      <c r="U1822" s="173"/>
      <c r="V1822" s="176"/>
      <c r="W1822" s="177"/>
      <c r="X1822" s="178"/>
      <c r="Y1822" s="159"/>
      <c r="Z1822" s="161"/>
      <c r="AA1822" s="160"/>
      <c r="AD1822" s="154" t="s">
        <v>463</v>
      </c>
      <c r="AI1822" s="154" t="s">
        <v>6777</v>
      </c>
      <c r="AL1822" s="154" t="s">
        <v>31</v>
      </c>
      <c r="AM1822" s="154" t="s">
        <v>2426</v>
      </c>
      <c r="AQ1822" s="173"/>
      <c r="AR1822" s="174"/>
      <c r="AS1822" s="175"/>
      <c r="AT1822" s="159"/>
      <c r="AU1822" s="161"/>
      <c r="AV1822" s="173"/>
      <c r="AW1822" s="176"/>
      <c r="AX1822" s="177"/>
      <c r="AY1822" s="178">
        <v>3</v>
      </c>
      <c r="AZ1822" s="159">
        <v>0</v>
      </c>
      <c r="BA1822" s="161"/>
      <c r="BB1822" s="160"/>
      <c r="BE1822" s="154" t="s">
        <v>463</v>
      </c>
      <c r="BG1822" s="154" t="s">
        <v>6778</v>
      </c>
    </row>
    <row r="1823" spans="1:59" s="154" customFormat="1" ht="15" customHeight="1">
      <c r="A1823" s="153" t="s">
        <v>6701</v>
      </c>
      <c r="B1823" s="188" t="s">
        <v>6779</v>
      </c>
      <c r="C1823" s="154" t="s">
        <v>6703</v>
      </c>
      <c r="D1823" s="154">
        <v>297</v>
      </c>
      <c r="E1823" s="154">
        <v>1</v>
      </c>
      <c r="F1823" s="154" t="s">
        <v>6237</v>
      </c>
      <c r="G1823" s="154" t="s">
        <v>6777</v>
      </c>
      <c r="J1823" s="154" t="s">
        <v>31</v>
      </c>
      <c r="K1823" s="154" t="s">
        <v>2426</v>
      </c>
      <c r="O1823" s="173"/>
      <c r="P1823" s="174"/>
      <c r="Q1823" s="175"/>
      <c r="R1823" s="159"/>
      <c r="S1823" s="160"/>
      <c r="T1823" s="161"/>
      <c r="U1823" s="173"/>
      <c r="V1823" s="176"/>
      <c r="W1823" s="177"/>
      <c r="X1823" s="178"/>
      <c r="Y1823" s="159"/>
      <c r="Z1823" s="161"/>
      <c r="AA1823" s="160"/>
      <c r="AD1823" s="154" t="s">
        <v>463</v>
      </c>
      <c r="AI1823" s="154" t="s">
        <v>6777</v>
      </c>
      <c r="AL1823" s="154" t="s">
        <v>31</v>
      </c>
      <c r="AM1823" s="154" t="s">
        <v>2426</v>
      </c>
      <c r="AQ1823" s="173"/>
      <c r="AR1823" s="174"/>
      <c r="AS1823" s="175"/>
      <c r="AT1823" s="159"/>
      <c r="AU1823" s="161"/>
      <c r="AV1823" s="173"/>
      <c r="AW1823" s="176"/>
      <c r="AX1823" s="177"/>
      <c r="AY1823" s="178">
        <v>4</v>
      </c>
      <c r="AZ1823" s="159">
        <v>0</v>
      </c>
      <c r="BA1823" s="161"/>
      <c r="BB1823" s="160"/>
      <c r="BE1823" s="154" t="s">
        <v>463</v>
      </c>
      <c r="BG1823" s="154" t="s">
        <v>6780</v>
      </c>
    </row>
    <row r="1824" spans="1:59" s="154" customFormat="1" ht="15" customHeight="1">
      <c r="A1824" s="153" t="s">
        <v>6701</v>
      </c>
      <c r="B1824" s="188" t="s">
        <v>6781</v>
      </c>
      <c r="C1824" s="154" t="s">
        <v>6703</v>
      </c>
      <c r="D1824" s="154">
        <v>298</v>
      </c>
      <c r="E1824" s="154">
        <v>1</v>
      </c>
      <c r="F1824" s="154" t="s">
        <v>6237</v>
      </c>
      <c r="G1824" s="154" t="s">
        <v>6782</v>
      </c>
      <c r="J1824" s="154" t="s">
        <v>31</v>
      </c>
      <c r="K1824" s="154" t="s">
        <v>2426</v>
      </c>
      <c r="O1824" s="173"/>
      <c r="P1824" s="174"/>
      <c r="Q1824" s="175"/>
      <c r="R1824" s="159"/>
      <c r="S1824" s="160"/>
      <c r="T1824" s="161"/>
      <c r="U1824" s="173"/>
      <c r="V1824" s="176"/>
      <c r="W1824" s="177"/>
      <c r="X1824" s="178"/>
      <c r="Y1824" s="159"/>
      <c r="Z1824" s="161"/>
      <c r="AA1824" s="160"/>
      <c r="AD1824" s="154" t="s">
        <v>463</v>
      </c>
      <c r="AI1824" s="153" t="s">
        <v>6782</v>
      </c>
      <c r="AL1824" s="154" t="s">
        <v>31</v>
      </c>
      <c r="AM1824" s="154" t="s">
        <v>2426</v>
      </c>
      <c r="AQ1824" s="173"/>
      <c r="AR1824" s="174"/>
      <c r="AS1824" s="175"/>
      <c r="AT1824" s="159"/>
      <c r="AU1824" s="161"/>
      <c r="AV1824" s="173"/>
      <c r="AW1824" s="176"/>
      <c r="AX1824" s="177"/>
      <c r="AY1824" s="178">
        <v>1</v>
      </c>
      <c r="AZ1824" s="159">
        <v>0</v>
      </c>
      <c r="BA1824" s="161"/>
      <c r="BB1824" s="160"/>
      <c r="BE1824" s="154" t="s">
        <v>463</v>
      </c>
      <c r="BG1824" s="154" t="s">
        <v>6783</v>
      </c>
    </row>
    <row r="1825" spans="1:59" s="154" customFormat="1" ht="15" customHeight="1">
      <c r="A1825" s="153" t="s">
        <v>6701</v>
      </c>
      <c r="B1825" s="189" t="s">
        <v>6784</v>
      </c>
      <c r="C1825" s="154" t="s">
        <v>6703</v>
      </c>
      <c r="D1825" s="154">
        <v>299</v>
      </c>
      <c r="E1825" s="154">
        <v>1</v>
      </c>
      <c r="F1825" s="154" t="s">
        <v>6237</v>
      </c>
      <c r="G1825" s="154" t="s">
        <v>6782</v>
      </c>
      <c r="J1825" s="154" t="s">
        <v>31</v>
      </c>
      <c r="K1825" s="154" t="s">
        <v>2426</v>
      </c>
      <c r="O1825" s="173"/>
      <c r="P1825" s="174"/>
      <c r="Q1825" s="175"/>
      <c r="R1825" s="159"/>
      <c r="S1825" s="160"/>
      <c r="T1825" s="161"/>
      <c r="U1825" s="173"/>
      <c r="V1825" s="176"/>
      <c r="W1825" s="177"/>
      <c r="X1825" s="178"/>
      <c r="Y1825" s="159"/>
      <c r="Z1825" s="161"/>
      <c r="AA1825" s="160"/>
      <c r="AD1825" s="154" t="s">
        <v>463</v>
      </c>
      <c r="AI1825" s="154" t="s">
        <v>6782</v>
      </c>
      <c r="AL1825" s="154" t="s">
        <v>31</v>
      </c>
      <c r="AM1825" s="154" t="s">
        <v>2426</v>
      </c>
      <c r="AQ1825" s="173"/>
      <c r="AR1825" s="174"/>
      <c r="AS1825" s="175"/>
      <c r="AT1825" s="159"/>
      <c r="AU1825" s="161"/>
      <c r="AV1825" s="173"/>
      <c r="AW1825" s="176"/>
      <c r="AX1825" s="177"/>
      <c r="AY1825" s="178">
        <v>2</v>
      </c>
      <c r="AZ1825" s="159">
        <v>0</v>
      </c>
      <c r="BA1825" s="161"/>
      <c r="BB1825" s="160"/>
      <c r="BE1825" s="154" t="s">
        <v>463</v>
      </c>
      <c r="BG1825" s="154" t="s">
        <v>6785</v>
      </c>
    </row>
    <row r="1826" spans="1:59" s="154" customFormat="1" ht="15" customHeight="1">
      <c r="A1826" s="153" t="s">
        <v>6701</v>
      </c>
      <c r="B1826" s="189" t="s">
        <v>6786</v>
      </c>
      <c r="C1826" s="154" t="s">
        <v>6703</v>
      </c>
      <c r="D1826" s="154">
        <v>300</v>
      </c>
      <c r="E1826" s="154">
        <v>1</v>
      </c>
      <c r="F1826" s="154" t="s">
        <v>6237</v>
      </c>
      <c r="G1826" s="154" t="s">
        <v>6787</v>
      </c>
      <c r="J1826" s="154" t="s">
        <v>31</v>
      </c>
      <c r="K1826" s="154" t="s">
        <v>2426</v>
      </c>
      <c r="O1826" s="173"/>
      <c r="P1826" s="174"/>
      <c r="Q1826" s="175"/>
      <c r="R1826" s="159"/>
      <c r="S1826" s="160"/>
      <c r="T1826" s="161"/>
      <c r="U1826" s="173"/>
      <c r="V1826" s="176"/>
      <c r="W1826" s="177"/>
      <c r="X1826" s="178"/>
      <c r="Y1826" s="159"/>
      <c r="Z1826" s="161"/>
      <c r="AA1826" s="160"/>
      <c r="AD1826" s="154" t="s">
        <v>463</v>
      </c>
      <c r="AI1826" s="154" t="s">
        <v>6787</v>
      </c>
      <c r="AL1826" s="154" t="s">
        <v>31</v>
      </c>
      <c r="AM1826" s="154" t="s">
        <v>2426</v>
      </c>
      <c r="AQ1826" s="173"/>
      <c r="AR1826" s="174"/>
      <c r="AS1826" s="175"/>
      <c r="AT1826" s="159"/>
      <c r="AU1826" s="161"/>
      <c r="AV1826" s="173"/>
      <c r="AW1826" s="176"/>
      <c r="AX1826" s="177"/>
      <c r="AY1826" s="178">
        <v>2</v>
      </c>
      <c r="AZ1826" s="159">
        <v>0</v>
      </c>
      <c r="BA1826" s="161"/>
      <c r="BB1826" s="160"/>
      <c r="BE1826" s="154" t="s">
        <v>463</v>
      </c>
      <c r="BG1826" s="154" t="s">
        <v>6788</v>
      </c>
    </row>
    <row r="1827" spans="1:59" s="154" customFormat="1" ht="15" customHeight="1">
      <c r="A1827" s="153" t="s">
        <v>6701</v>
      </c>
      <c r="B1827" s="188" t="s">
        <v>6789</v>
      </c>
      <c r="C1827" s="154" t="s">
        <v>6703</v>
      </c>
      <c r="D1827" s="154">
        <v>301</v>
      </c>
      <c r="E1827" s="154">
        <v>1</v>
      </c>
      <c r="F1827" s="154" t="s">
        <v>6237</v>
      </c>
      <c r="G1827" s="154" t="s">
        <v>6787</v>
      </c>
      <c r="J1827" s="154" t="s">
        <v>31</v>
      </c>
      <c r="K1827" s="154" t="s">
        <v>2426</v>
      </c>
      <c r="O1827" s="173"/>
      <c r="P1827" s="174"/>
      <c r="Q1827" s="175"/>
      <c r="R1827" s="159"/>
      <c r="S1827" s="160"/>
      <c r="T1827" s="161"/>
      <c r="U1827" s="173"/>
      <c r="V1827" s="176"/>
      <c r="W1827" s="177"/>
      <c r="X1827" s="178"/>
      <c r="Y1827" s="159"/>
      <c r="Z1827" s="161"/>
      <c r="AA1827" s="160"/>
      <c r="AD1827" s="154" t="s">
        <v>463</v>
      </c>
      <c r="AI1827" s="154" t="s">
        <v>6787</v>
      </c>
      <c r="AL1827" s="154" t="s">
        <v>31</v>
      </c>
      <c r="AM1827" s="154" t="s">
        <v>2426</v>
      </c>
      <c r="AQ1827" s="173"/>
      <c r="AR1827" s="174"/>
      <c r="AS1827" s="175"/>
      <c r="AT1827" s="159"/>
      <c r="AU1827" s="161"/>
      <c r="AV1827" s="173"/>
      <c r="AW1827" s="176"/>
      <c r="AX1827" s="177"/>
      <c r="AY1827" s="178">
        <v>3</v>
      </c>
      <c r="AZ1827" s="159">
        <v>0</v>
      </c>
      <c r="BA1827" s="161"/>
      <c r="BB1827" s="160"/>
      <c r="BE1827" s="154" t="s">
        <v>463</v>
      </c>
      <c r="BG1827" s="154" t="s">
        <v>6790</v>
      </c>
    </row>
    <row r="1828" spans="1:59" s="154" customFormat="1" ht="15" customHeight="1">
      <c r="A1828" s="153" t="s">
        <v>6701</v>
      </c>
      <c r="B1828" s="188" t="s">
        <v>6791</v>
      </c>
      <c r="C1828" s="154" t="s">
        <v>6703</v>
      </c>
      <c r="D1828" s="154">
        <v>302</v>
      </c>
      <c r="E1828" s="154">
        <v>1</v>
      </c>
      <c r="F1828" s="154" t="s">
        <v>6749</v>
      </c>
      <c r="G1828" s="154" t="s">
        <v>6792</v>
      </c>
      <c r="J1828" s="154" t="s">
        <v>31</v>
      </c>
      <c r="K1828" s="154" t="s">
        <v>2426</v>
      </c>
      <c r="O1828" s="173"/>
      <c r="P1828" s="174"/>
      <c r="Q1828" s="175"/>
      <c r="R1828" s="159"/>
      <c r="S1828" s="160"/>
      <c r="T1828" s="161"/>
      <c r="U1828" s="173"/>
      <c r="V1828" s="176"/>
      <c r="W1828" s="177"/>
      <c r="X1828" s="178"/>
      <c r="Y1828" s="159"/>
      <c r="Z1828" s="161"/>
      <c r="AA1828" s="160"/>
      <c r="AD1828" s="154" t="s">
        <v>463</v>
      </c>
      <c r="AI1828" s="154" t="s">
        <v>6792</v>
      </c>
      <c r="AJ1828" s="154" t="s">
        <v>6793</v>
      </c>
      <c r="AL1828" s="154" t="s">
        <v>31</v>
      </c>
      <c r="AM1828" s="154" t="s">
        <v>2426</v>
      </c>
      <c r="AQ1828" s="173"/>
      <c r="AR1828" s="174"/>
      <c r="AS1828" s="175"/>
      <c r="AT1828" s="159"/>
      <c r="AU1828" s="161"/>
      <c r="AV1828" s="173"/>
      <c r="AW1828" s="176"/>
      <c r="AX1828" s="177"/>
      <c r="AY1828" s="178">
        <v>2</v>
      </c>
      <c r="AZ1828" s="159">
        <v>0</v>
      </c>
      <c r="BA1828" s="161"/>
      <c r="BB1828" s="160"/>
      <c r="BE1828" s="154" t="s">
        <v>463</v>
      </c>
      <c r="BG1828" s="154" t="s">
        <v>6794</v>
      </c>
    </row>
    <row r="1829" spans="1:59" s="154" customFormat="1" ht="15" customHeight="1">
      <c r="A1829" s="153" t="s">
        <v>6701</v>
      </c>
      <c r="B1829" s="189" t="s">
        <v>6795</v>
      </c>
      <c r="C1829" s="154" t="s">
        <v>6703</v>
      </c>
      <c r="D1829" s="154">
        <v>303</v>
      </c>
      <c r="E1829" s="154">
        <v>1</v>
      </c>
      <c r="F1829" s="154" t="s">
        <v>6749</v>
      </c>
      <c r="G1829" s="154" t="s">
        <v>6111</v>
      </c>
      <c r="J1829" s="154" t="s">
        <v>31</v>
      </c>
      <c r="K1829" s="154" t="s">
        <v>2426</v>
      </c>
      <c r="O1829" s="173"/>
      <c r="P1829" s="174"/>
      <c r="Q1829" s="175"/>
      <c r="R1829" s="159"/>
      <c r="S1829" s="160"/>
      <c r="T1829" s="161"/>
      <c r="U1829" s="173"/>
      <c r="V1829" s="176"/>
      <c r="W1829" s="177"/>
      <c r="X1829" s="178"/>
      <c r="Y1829" s="159"/>
      <c r="Z1829" s="161"/>
      <c r="AA1829" s="160"/>
      <c r="AD1829" s="154" t="s">
        <v>463</v>
      </c>
      <c r="AI1829" s="154" t="s">
        <v>6111</v>
      </c>
      <c r="AJ1829" s="154" t="s">
        <v>6796</v>
      </c>
      <c r="AL1829" s="154" t="s">
        <v>31</v>
      </c>
      <c r="AM1829" s="154" t="s">
        <v>2426</v>
      </c>
      <c r="AQ1829" s="173"/>
      <c r="AR1829" s="174"/>
      <c r="AS1829" s="175"/>
      <c r="AT1829" s="159"/>
      <c r="AU1829" s="161"/>
      <c r="AV1829" s="173"/>
      <c r="AW1829" s="176"/>
      <c r="AX1829" s="177"/>
      <c r="AY1829" s="178">
        <v>4</v>
      </c>
      <c r="AZ1829" s="159" t="s">
        <v>1073</v>
      </c>
      <c r="BA1829" s="161"/>
      <c r="BB1829" s="160">
        <v>1</v>
      </c>
      <c r="BE1829" s="154" t="s">
        <v>463</v>
      </c>
      <c r="BG1829" s="154" t="s">
        <v>6797</v>
      </c>
    </row>
    <row r="1830" spans="1:59" s="154" customFormat="1" ht="15" customHeight="1">
      <c r="A1830" s="153" t="s">
        <v>6701</v>
      </c>
      <c r="B1830" s="188" t="s">
        <v>6798</v>
      </c>
      <c r="C1830" s="154" t="s">
        <v>6703</v>
      </c>
      <c r="D1830" s="154">
        <v>304</v>
      </c>
      <c r="E1830" s="154">
        <v>1</v>
      </c>
      <c r="F1830" s="154" t="s">
        <v>6757</v>
      </c>
      <c r="G1830" s="154" t="s">
        <v>6792</v>
      </c>
      <c r="J1830" s="154" t="s">
        <v>31</v>
      </c>
      <c r="K1830" s="154" t="s">
        <v>2426</v>
      </c>
      <c r="O1830" s="173"/>
      <c r="P1830" s="174"/>
      <c r="Q1830" s="175"/>
      <c r="R1830" s="159"/>
      <c r="S1830" s="160"/>
      <c r="T1830" s="161"/>
      <c r="U1830" s="173"/>
      <c r="V1830" s="176"/>
      <c r="W1830" s="177"/>
      <c r="X1830" s="178"/>
      <c r="Y1830" s="159"/>
      <c r="Z1830" s="161"/>
      <c r="AA1830" s="160"/>
      <c r="AD1830" s="154" t="s">
        <v>463</v>
      </c>
      <c r="AI1830" s="154" t="s">
        <v>6792</v>
      </c>
      <c r="AJ1830" s="154" t="s">
        <v>6796</v>
      </c>
      <c r="AL1830" s="154" t="s">
        <v>31</v>
      </c>
      <c r="AM1830" s="154" t="s">
        <v>2426</v>
      </c>
      <c r="AQ1830" s="173"/>
      <c r="AR1830" s="174"/>
      <c r="AS1830" s="175"/>
      <c r="AT1830" s="159"/>
      <c r="AU1830" s="161"/>
      <c r="AV1830" s="173"/>
      <c r="AW1830" s="176"/>
      <c r="AX1830" s="177"/>
      <c r="AY1830" s="178">
        <v>4</v>
      </c>
      <c r="AZ1830" s="159" t="s">
        <v>1073</v>
      </c>
      <c r="BA1830" s="161"/>
      <c r="BB1830" s="160">
        <v>1</v>
      </c>
      <c r="BE1830" s="154" t="s">
        <v>463</v>
      </c>
      <c r="BG1830" s="154" t="s">
        <v>6799</v>
      </c>
    </row>
    <row r="1831" spans="1:59" s="154" customFormat="1" ht="15" customHeight="1">
      <c r="A1831" s="153" t="s">
        <v>6701</v>
      </c>
      <c r="B1831" s="189" t="s">
        <v>6800</v>
      </c>
      <c r="C1831" s="154" t="s">
        <v>6703</v>
      </c>
      <c r="D1831" s="154">
        <v>305</v>
      </c>
      <c r="E1831" s="154">
        <v>1</v>
      </c>
      <c r="F1831" s="154" t="s">
        <v>6757</v>
      </c>
      <c r="G1831" s="154" t="s">
        <v>6111</v>
      </c>
      <c r="J1831" s="154" t="s">
        <v>31</v>
      </c>
      <c r="K1831" s="154" t="s">
        <v>2426</v>
      </c>
      <c r="O1831" s="173"/>
      <c r="P1831" s="174"/>
      <c r="Q1831" s="175"/>
      <c r="R1831" s="159"/>
      <c r="S1831" s="160"/>
      <c r="T1831" s="161"/>
      <c r="U1831" s="173"/>
      <c r="V1831" s="176"/>
      <c r="W1831" s="177"/>
      <c r="X1831" s="178"/>
      <c r="Y1831" s="159"/>
      <c r="Z1831" s="161"/>
      <c r="AA1831" s="160"/>
      <c r="AD1831" s="154" t="s">
        <v>463</v>
      </c>
      <c r="AI1831" s="154" t="s">
        <v>6111</v>
      </c>
      <c r="AJ1831" s="154" t="s">
        <v>6793</v>
      </c>
      <c r="AL1831" s="154" t="s">
        <v>31</v>
      </c>
      <c r="AM1831" s="154" t="s">
        <v>2426</v>
      </c>
      <c r="AQ1831" s="173"/>
      <c r="AR1831" s="174"/>
      <c r="AS1831" s="175"/>
      <c r="AT1831" s="159"/>
      <c r="AU1831" s="161"/>
      <c r="AV1831" s="173"/>
      <c r="AW1831" s="176"/>
      <c r="AX1831" s="177"/>
      <c r="AY1831" s="178">
        <v>2</v>
      </c>
      <c r="AZ1831" s="159">
        <v>0</v>
      </c>
      <c r="BA1831" s="161"/>
      <c r="BB1831" s="160"/>
      <c r="BE1831" s="154" t="s">
        <v>463</v>
      </c>
      <c r="BG1831" s="154" t="s">
        <v>6801</v>
      </c>
    </row>
    <row r="1832" spans="1:59" s="154" customFormat="1" ht="15" customHeight="1">
      <c r="A1832" s="153" t="s">
        <v>6701</v>
      </c>
      <c r="B1832" s="188" t="s">
        <v>6802</v>
      </c>
      <c r="C1832" s="154" t="s">
        <v>6703</v>
      </c>
      <c r="D1832" s="154">
        <v>306</v>
      </c>
      <c r="E1832" s="154">
        <v>3</v>
      </c>
      <c r="F1832" s="154" t="s">
        <v>6237</v>
      </c>
      <c r="G1832" s="154" t="s">
        <v>6803</v>
      </c>
      <c r="J1832" s="154" t="s">
        <v>28</v>
      </c>
      <c r="K1832" s="154" t="s">
        <v>2426</v>
      </c>
      <c r="O1832" s="173"/>
      <c r="P1832" s="174"/>
      <c r="Q1832" s="175"/>
      <c r="R1832" s="159"/>
      <c r="S1832" s="160"/>
      <c r="T1832" s="161"/>
      <c r="U1832" s="173"/>
      <c r="V1832" s="176"/>
      <c r="W1832" s="177"/>
      <c r="X1832" s="178"/>
      <c r="Y1832" s="159"/>
      <c r="Z1832" s="161"/>
      <c r="AA1832" s="160"/>
      <c r="AD1832" s="154" t="s">
        <v>1663</v>
      </c>
      <c r="AF1832" s="154" t="s">
        <v>6804</v>
      </c>
      <c r="AQ1832" s="173"/>
      <c r="AR1832" s="174"/>
      <c r="AS1832" s="175"/>
      <c r="AT1832" s="159"/>
      <c r="AU1832" s="161"/>
      <c r="AV1832" s="173"/>
      <c r="AW1832" s="176"/>
      <c r="AX1832" s="177"/>
      <c r="AY1832" s="178"/>
      <c r="AZ1832" s="159"/>
      <c r="BA1832" s="161"/>
      <c r="BB1832" s="160"/>
    </row>
    <row r="1833" spans="1:59" s="154" customFormat="1" ht="15" customHeight="1">
      <c r="A1833" s="153" t="s">
        <v>6701</v>
      </c>
      <c r="B1833" s="188" t="s">
        <v>6805</v>
      </c>
      <c r="C1833" s="154" t="s">
        <v>6703</v>
      </c>
      <c r="D1833" s="154">
        <v>307</v>
      </c>
      <c r="E1833" s="154">
        <v>2</v>
      </c>
      <c r="F1833" s="154" t="s">
        <v>6237</v>
      </c>
      <c r="G1833" s="154" t="s">
        <v>6806</v>
      </c>
      <c r="J1833" s="154" t="s">
        <v>28</v>
      </c>
      <c r="K1833" s="154" t="s">
        <v>2426</v>
      </c>
      <c r="O1833" s="173"/>
      <c r="P1833" s="174"/>
      <c r="Q1833" s="175"/>
      <c r="R1833" s="159"/>
      <c r="S1833" s="160"/>
      <c r="T1833" s="161"/>
      <c r="U1833" s="173"/>
      <c r="V1833" s="176"/>
      <c r="W1833" s="177"/>
      <c r="X1833" s="178"/>
      <c r="Y1833" s="159"/>
      <c r="Z1833" s="161"/>
      <c r="AA1833" s="160"/>
      <c r="AD1833" s="154" t="s">
        <v>1663</v>
      </c>
      <c r="AF1833" s="154" t="s">
        <v>6807</v>
      </c>
      <c r="AQ1833" s="173"/>
      <c r="AR1833" s="174"/>
      <c r="AS1833" s="175"/>
      <c r="AT1833" s="159"/>
      <c r="AU1833" s="161"/>
      <c r="AV1833" s="173"/>
      <c r="AW1833" s="176"/>
      <c r="AX1833" s="177"/>
      <c r="AY1833" s="178"/>
      <c r="AZ1833" s="159"/>
      <c r="BA1833" s="161"/>
      <c r="BB1833" s="160"/>
    </row>
    <row r="1834" spans="1:59" s="154" customFormat="1" ht="15" customHeight="1">
      <c r="A1834" s="153" t="s">
        <v>6701</v>
      </c>
      <c r="B1834" s="188" t="s">
        <v>6808</v>
      </c>
      <c r="C1834" s="154" t="s">
        <v>6703</v>
      </c>
      <c r="D1834" s="154">
        <v>308</v>
      </c>
      <c r="E1834" s="154">
        <v>3</v>
      </c>
      <c r="F1834" s="154" t="s">
        <v>6237</v>
      </c>
      <c r="G1834" s="154" t="s">
        <v>6809</v>
      </c>
      <c r="J1834" s="154" t="s">
        <v>28</v>
      </c>
      <c r="K1834" s="154" t="s">
        <v>2426</v>
      </c>
      <c r="O1834" s="173"/>
      <c r="P1834" s="174"/>
      <c r="Q1834" s="175"/>
      <c r="R1834" s="159"/>
      <c r="S1834" s="160"/>
      <c r="T1834" s="161"/>
      <c r="U1834" s="173"/>
      <c r="V1834" s="176"/>
      <c r="W1834" s="177"/>
      <c r="X1834" s="178"/>
      <c r="Y1834" s="159"/>
      <c r="Z1834" s="161"/>
      <c r="AA1834" s="160"/>
      <c r="AD1834" s="154" t="s">
        <v>439</v>
      </c>
      <c r="AF1834" s="154" t="s">
        <v>6810</v>
      </c>
      <c r="AQ1834" s="173"/>
      <c r="AR1834" s="174"/>
      <c r="AS1834" s="175"/>
      <c r="AT1834" s="159"/>
      <c r="AU1834" s="161"/>
      <c r="AV1834" s="173"/>
      <c r="AW1834" s="176"/>
      <c r="AX1834" s="177"/>
      <c r="AY1834" s="178"/>
      <c r="AZ1834" s="159"/>
      <c r="BA1834" s="161"/>
      <c r="BB1834" s="160"/>
    </row>
    <row r="1835" spans="1:59" s="154" customFormat="1" ht="15" customHeight="1">
      <c r="A1835" s="153" t="s">
        <v>6701</v>
      </c>
      <c r="B1835" s="188" t="s">
        <v>6811</v>
      </c>
      <c r="C1835" s="154" t="s">
        <v>6703</v>
      </c>
      <c r="D1835" s="154">
        <v>309</v>
      </c>
      <c r="E1835" s="154">
        <v>2</v>
      </c>
      <c r="F1835" s="154" t="s">
        <v>6757</v>
      </c>
      <c r="G1835" s="154" t="s">
        <v>6812</v>
      </c>
      <c r="J1835" s="154" t="s">
        <v>29</v>
      </c>
      <c r="K1835" s="154" t="s">
        <v>2426</v>
      </c>
      <c r="O1835" s="173"/>
      <c r="P1835" s="174"/>
      <c r="Q1835" s="175">
        <v>3</v>
      </c>
      <c r="R1835" s="159">
        <v>3</v>
      </c>
      <c r="S1835" s="160"/>
      <c r="T1835" s="161">
        <v>4</v>
      </c>
      <c r="U1835" s="173"/>
      <c r="V1835" s="176">
        <v>1</v>
      </c>
      <c r="W1835" s="177">
        <v>1</v>
      </c>
      <c r="X1835" s="178"/>
      <c r="Y1835" s="159"/>
      <c r="Z1835" s="161"/>
      <c r="AA1835" s="160">
        <v>1</v>
      </c>
      <c r="AD1835" s="154" t="s">
        <v>704</v>
      </c>
      <c r="AF1835" s="154" t="s">
        <v>6813</v>
      </c>
      <c r="AQ1835" s="173"/>
      <c r="AR1835" s="174"/>
      <c r="AS1835" s="175"/>
      <c r="AT1835" s="159"/>
      <c r="AU1835" s="161"/>
      <c r="AV1835" s="173"/>
      <c r="AW1835" s="176"/>
      <c r="AX1835" s="177"/>
      <c r="AY1835" s="178"/>
      <c r="AZ1835" s="159"/>
      <c r="BA1835" s="161"/>
      <c r="BB1835" s="160"/>
    </row>
    <row r="1836" spans="1:59" s="154" customFormat="1" ht="15" customHeight="1">
      <c r="A1836" s="153" t="s">
        <v>6701</v>
      </c>
      <c r="B1836" s="189" t="s">
        <v>6814</v>
      </c>
      <c r="C1836" s="154" t="s">
        <v>6703</v>
      </c>
      <c r="D1836" s="154">
        <v>310</v>
      </c>
      <c r="E1836" s="154">
        <v>2</v>
      </c>
      <c r="F1836" s="154" t="s">
        <v>6757</v>
      </c>
      <c r="G1836" s="154" t="s">
        <v>6815</v>
      </c>
      <c r="J1836" s="154" t="s">
        <v>28</v>
      </c>
      <c r="K1836" s="154" t="s">
        <v>2426</v>
      </c>
      <c r="O1836" s="173"/>
      <c r="P1836" s="174"/>
      <c r="Q1836" s="175"/>
      <c r="R1836" s="159"/>
      <c r="S1836" s="160"/>
      <c r="T1836" s="161"/>
      <c r="U1836" s="173"/>
      <c r="V1836" s="176"/>
      <c r="W1836" s="177"/>
      <c r="X1836" s="178"/>
      <c r="Y1836" s="159"/>
      <c r="Z1836" s="161"/>
      <c r="AA1836" s="160"/>
      <c r="AD1836" s="154" t="s">
        <v>486</v>
      </c>
      <c r="AF1836" s="154" t="s">
        <v>6816</v>
      </c>
      <c r="AQ1836" s="173"/>
      <c r="AR1836" s="174"/>
      <c r="AS1836" s="175"/>
      <c r="AT1836" s="159"/>
      <c r="AU1836" s="161"/>
      <c r="AV1836" s="173"/>
      <c r="AW1836" s="176"/>
      <c r="AX1836" s="177"/>
      <c r="AY1836" s="178"/>
      <c r="AZ1836" s="159"/>
      <c r="BA1836" s="161"/>
      <c r="BB1836" s="160"/>
    </row>
    <row r="1837" spans="1:59" s="154" customFormat="1" ht="15" customHeight="1">
      <c r="A1837" s="153" t="s">
        <v>6701</v>
      </c>
      <c r="B1837" s="188" t="s">
        <v>6817</v>
      </c>
      <c r="C1837" s="154" t="s">
        <v>6703</v>
      </c>
      <c r="D1837" s="154">
        <v>311</v>
      </c>
      <c r="E1837" s="154">
        <v>2</v>
      </c>
      <c r="F1837" s="154" t="s">
        <v>6749</v>
      </c>
      <c r="G1837" s="154" t="s">
        <v>6818</v>
      </c>
      <c r="J1837" s="154" t="s">
        <v>29</v>
      </c>
      <c r="K1837" s="154" t="s">
        <v>2426</v>
      </c>
      <c r="O1837" s="173"/>
      <c r="P1837" s="174"/>
      <c r="Q1837" s="175">
        <v>4</v>
      </c>
      <c r="R1837" s="159">
        <v>2</v>
      </c>
      <c r="S1837" s="160"/>
      <c r="T1837" s="161">
        <v>4</v>
      </c>
      <c r="U1837" s="173"/>
      <c r="V1837" s="176">
        <v>1</v>
      </c>
      <c r="W1837" s="177">
        <v>1</v>
      </c>
      <c r="X1837" s="178"/>
      <c r="Y1837" s="159"/>
      <c r="Z1837" s="161"/>
      <c r="AA1837" s="160">
        <v>1</v>
      </c>
      <c r="AD1837" s="154" t="s">
        <v>6043</v>
      </c>
      <c r="AF1837" s="154" t="s">
        <v>6819</v>
      </c>
      <c r="AQ1837" s="173"/>
      <c r="AR1837" s="174"/>
      <c r="AS1837" s="175"/>
      <c r="AT1837" s="159"/>
      <c r="AU1837" s="161"/>
      <c r="AV1837" s="173"/>
      <c r="AW1837" s="176"/>
      <c r="AX1837" s="177"/>
      <c r="AY1837" s="178"/>
      <c r="AZ1837" s="159"/>
      <c r="BA1837" s="161"/>
      <c r="BB1837" s="160"/>
    </row>
    <row r="1838" spans="1:59" s="154" customFormat="1" ht="15" customHeight="1">
      <c r="A1838" s="153" t="s">
        <v>6701</v>
      </c>
      <c r="B1838" s="190" t="s">
        <v>6820</v>
      </c>
      <c r="C1838" s="154" t="s">
        <v>6703</v>
      </c>
      <c r="D1838" s="154">
        <v>312</v>
      </c>
      <c r="E1838" s="154">
        <v>2</v>
      </c>
      <c r="F1838" s="154" t="s">
        <v>6749</v>
      </c>
      <c r="G1838" s="154" t="s">
        <v>6821</v>
      </c>
      <c r="J1838" s="154" t="s">
        <v>28</v>
      </c>
      <c r="K1838" s="154" t="s">
        <v>2426</v>
      </c>
      <c r="O1838" s="173"/>
      <c r="P1838" s="174"/>
      <c r="Q1838" s="175"/>
      <c r="R1838" s="159"/>
      <c r="S1838" s="160"/>
      <c r="T1838" s="161"/>
      <c r="U1838" s="173"/>
      <c r="V1838" s="176"/>
      <c r="W1838" s="177"/>
      <c r="X1838" s="178"/>
      <c r="Y1838" s="159"/>
      <c r="Z1838" s="161"/>
      <c r="AA1838" s="160"/>
      <c r="AD1838" s="154" t="s">
        <v>486</v>
      </c>
      <c r="AF1838" s="154" t="s">
        <v>6822</v>
      </c>
      <c r="AQ1838" s="173"/>
      <c r="AR1838" s="174"/>
      <c r="AS1838" s="175"/>
      <c r="AT1838" s="159"/>
      <c r="AU1838" s="161"/>
      <c r="AV1838" s="173"/>
      <c r="AW1838" s="176"/>
      <c r="AX1838" s="177"/>
      <c r="AY1838" s="178"/>
      <c r="AZ1838" s="159"/>
      <c r="BA1838" s="161"/>
      <c r="BB1838" s="160"/>
    </row>
    <row r="1839" spans="1:59" s="154" customFormat="1" ht="15" customHeight="1">
      <c r="A1839" s="153" t="s">
        <v>6823</v>
      </c>
      <c r="B1839" s="187" t="s">
        <v>6824</v>
      </c>
      <c r="C1839" s="154" t="s">
        <v>6825</v>
      </c>
      <c r="D1839" s="154">
        <v>313</v>
      </c>
      <c r="E1839" s="154">
        <v>1</v>
      </c>
      <c r="G1839" s="154" t="s">
        <v>6826</v>
      </c>
      <c r="J1839" s="154" t="s">
        <v>257</v>
      </c>
      <c r="K1839" s="154" t="s">
        <v>198</v>
      </c>
      <c r="L1839" s="154">
        <v>0</v>
      </c>
      <c r="N1839" s="154">
        <v>2</v>
      </c>
      <c r="O1839" s="173">
        <v>1</v>
      </c>
      <c r="P1839" s="174"/>
      <c r="Q1839" s="175"/>
      <c r="R1839" s="159"/>
      <c r="S1839" s="160"/>
      <c r="T1839" s="161"/>
      <c r="U1839" s="173"/>
      <c r="V1839" s="176"/>
      <c r="W1839" s="177"/>
      <c r="X1839" s="178"/>
      <c r="Y1839" s="159"/>
      <c r="Z1839" s="161"/>
      <c r="AA1839" s="160"/>
      <c r="AB1839" s="154" t="s">
        <v>204</v>
      </c>
      <c r="AC1839" s="154" t="s">
        <v>275</v>
      </c>
      <c r="AD1839" s="154" t="s">
        <v>6827</v>
      </c>
      <c r="AF1839" s="154" t="s">
        <v>6828</v>
      </c>
      <c r="AQ1839" s="173"/>
      <c r="AR1839" s="174"/>
      <c r="AS1839" s="175"/>
      <c r="AT1839" s="159"/>
      <c r="AU1839" s="161"/>
      <c r="AV1839" s="173"/>
      <c r="AW1839" s="176"/>
      <c r="AX1839" s="177"/>
      <c r="AY1839" s="178"/>
      <c r="AZ1839" s="159"/>
      <c r="BA1839" s="161"/>
      <c r="BB1839" s="160"/>
    </row>
    <row r="1840" spans="1:59" s="154" customFormat="1" ht="15" customHeight="1">
      <c r="A1840" s="153" t="s">
        <v>6823</v>
      </c>
      <c r="B1840" s="187" t="s">
        <v>6829</v>
      </c>
      <c r="C1840" s="154" t="s">
        <v>6825</v>
      </c>
      <c r="D1840" s="154">
        <v>314</v>
      </c>
      <c r="E1840" s="154">
        <v>3</v>
      </c>
      <c r="G1840" s="154" t="s">
        <v>6830</v>
      </c>
      <c r="J1840" s="154" t="s">
        <v>27</v>
      </c>
      <c r="K1840" s="154" t="s">
        <v>198</v>
      </c>
      <c r="N1840" s="154">
        <v>0</v>
      </c>
      <c r="O1840" s="173">
        <v>1</v>
      </c>
      <c r="P1840" s="174">
        <v>1</v>
      </c>
      <c r="Q1840" s="175"/>
      <c r="R1840" s="159">
        <v>1</v>
      </c>
      <c r="S1840" s="160"/>
      <c r="T1840" s="161"/>
      <c r="U1840" s="173"/>
      <c r="V1840" s="176"/>
      <c r="W1840" s="177"/>
      <c r="X1840" s="178"/>
      <c r="Y1840" s="159"/>
      <c r="Z1840" s="161"/>
      <c r="AA1840" s="160"/>
      <c r="AB1840" s="154" t="s">
        <v>1090</v>
      </c>
      <c r="AD1840" s="154" t="s">
        <v>279</v>
      </c>
      <c r="AF1840" s="154" t="s">
        <v>6831</v>
      </c>
      <c r="AQ1840" s="173"/>
      <c r="AR1840" s="174"/>
      <c r="AS1840" s="175"/>
      <c r="AT1840" s="159"/>
      <c r="AU1840" s="161"/>
      <c r="AV1840" s="173"/>
      <c r="AW1840" s="176"/>
      <c r="AX1840" s="177"/>
      <c r="AY1840" s="178"/>
      <c r="AZ1840" s="159"/>
      <c r="BA1840" s="161"/>
      <c r="BB1840" s="160"/>
    </row>
    <row r="1841" spans="1:59" s="154" customFormat="1" ht="15" customHeight="1">
      <c r="A1841" s="153" t="s">
        <v>6823</v>
      </c>
      <c r="B1841" s="188" t="s">
        <v>6832</v>
      </c>
      <c r="C1841" s="154" t="s">
        <v>6825</v>
      </c>
      <c r="D1841" s="154">
        <v>315</v>
      </c>
      <c r="E1841" s="154">
        <v>2</v>
      </c>
      <c r="G1841" s="154" t="s">
        <v>2237</v>
      </c>
      <c r="J1841" s="154" t="s">
        <v>27</v>
      </c>
      <c r="K1841" s="154" t="s">
        <v>198</v>
      </c>
      <c r="L1841" s="154">
        <v>2</v>
      </c>
      <c r="N1841" s="154">
        <v>0</v>
      </c>
      <c r="O1841" s="173">
        <v>1</v>
      </c>
      <c r="P1841" s="174"/>
      <c r="Q1841" s="175"/>
      <c r="R1841" s="159">
        <v>1</v>
      </c>
      <c r="S1841" s="160"/>
      <c r="T1841" s="161"/>
      <c r="U1841" s="173"/>
      <c r="V1841" s="176"/>
      <c r="W1841" s="177"/>
      <c r="X1841" s="178"/>
      <c r="Y1841" s="159"/>
      <c r="Z1841" s="161"/>
      <c r="AA1841" s="160"/>
      <c r="AB1841" s="154" t="s">
        <v>1085</v>
      </c>
      <c r="AD1841" s="154" t="s">
        <v>1805</v>
      </c>
      <c r="AF1841" s="154" t="s">
        <v>6833</v>
      </c>
      <c r="AQ1841" s="173"/>
      <c r="AR1841" s="174"/>
      <c r="AS1841" s="175"/>
      <c r="AT1841" s="159"/>
      <c r="AU1841" s="161"/>
      <c r="AV1841" s="173"/>
      <c r="AW1841" s="176"/>
      <c r="AX1841" s="177"/>
      <c r="AY1841" s="178"/>
      <c r="AZ1841" s="159"/>
      <c r="BA1841" s="161"/>
      <c r="BB1841" s="160"/>
    </row>
    <row r="1842" spans="1:59" s="154" customFormat="1" ht="15" customHeight="1">
      <c r="A1842" s="153" t="s">
        <v>6823</v>
      </c>
      <c r="B1842" s="188" t="s">
        <v>6834</v>
      </c>
      <c r="C1842" s="154" t="s">
        <v>6825</v>
      </c>
      <c r="D1842" s="154">
        <v>316</v>
      </c>
      <c r="E1842" s="154">
        <v>1</v>
      </c>
      <c r="G1842" s="154" t="s">
        <v>6835</v>
      </c>
      <c r="J1842" s="154" t="s">
        <v>257</v>
      </c>
      <c r="K1842" s="154" t="s">
        <v>199</v>
      </c>
      <c r="L1842" s="154">
        <v>0</v>
      </c>
      <c r="N1842" s="154">
        <v>2</v>
      </c>
      <c r="O1842" s="173"/>
      <c r="P1842" s="174">
        <v>1</v>
      </c>
      <c r="Q1842" s="175"/>
      <c r="R1842" s="159"/>
      <c r="S1842" s="160"/>
      <c r="T1842" s="161"/>
      <c r="U1842" s="173"/>
      <c r="V1842" s="176"/>
      <c r="W1842" s="177"/>
      <c r="X1842" s="178"/>
      <c r="Y1842" s="159"/>
      <c r="Z1842" s="161"/>
      <c r="AA1842" s="160"/>
      <c r="AB1842" s="154" t="s">
        <v>205</v>
      </c>
      <c r="AC1842" s="154" t="s">
        <v>258</v>
      </c>
      <c r="AD1842" s="154" t="s">
        <v>6836</v>
      </c>
      <c r="AF1842" s="154" t="s">
        <v>6837</v>
      </c>
      <c r="AQ1842" s="173"/>
      <c r="AR1842" s="174"/>
      <c r="AS1842" s="175"/>
      <c r="AT1842" s="159"/>
      <c r="AU1842" s="161"/>
      <c r="AV1842" s="173"/>
      <c r="AW1842" s="176"/>
      <c r="AX1842" s="177"/>
      <c r="AY1842" s="178"/>
      <c r="AZ1842" s="159"/>
      <c r="BA1842" s="161"/>
      <c r="BB1842" s="160"/>
    </row>
    <row r="1843" spans="1:59" s="154" customFormat="1" ht="15" customHeight="1">
      <c r="A1843" s="153" t="s">
        <v>6823</v>
      </c>
      <c r="B1843" s="188" t="s">
        <v>6838</v>
      </c>
      <c r="C1843" s="154" t="s">
        <v>6825</v>
      </c>
      <c r="D1843" s="154">
        <v>317</v>
      </c>
      <c r="E1843" s="154">
        <v>3</v>
      </c>
      <c r="G1843" s="154" t="s">
        <v>6839</v>
      </c>
      <c r="J1843" s="154" t="s">
        <v>27</v>
      </c>
      <c r="K1843" s="154" t="s">
        <v>199</v>
      </c>
      <c r="N1843" s="154">
        <v>0</v>
      </c>
      <c r="O1843" s="173">
        <v>1</v>
      </c>
      <c r="P1843" s="174">
        <v>1</v>
      </c>
      <c r="Q1843" s="175">
        <v>1</v>
      </c>
      <c r="R1843" s="159"/>
      <c r="S1843" s="160"/>
      <c r="T1843" s="161"/>
      <c r="U1843" s="173"/>
      <c r="V1843" s="176"/>
      <c r="W1843" s="177"/>
      <c r="X1843" s="178"/>
      <c r="Y1843" s="159"/>
      <c r="Z1843" s="161"/>
      <c r="AA1843" s="160"/>
      <c r="AB1843" s="154" t="s">
        <v>6709</v>
      </c>
      <c r="AD1843" s="154" t="s">
        <v>279</v>
      </c>
      <c r="AF1843" s="154" t="s">
        <v>6840</v>
      </c>
      <c r="AQ1843" s="173"/>
      <c r="AR1843" s="174"/>
      <c r="AS1843" s="175"/>
      <c r="AT1843" s="159"/>
      <c r="AU1843" s="161"/>
      <c r="AV1843" s="173"/>
      <c r="AW1843" s="176"/>
      <c r="AX1843" s="177"/>
      <c r="AY1843" s="178"/>
      <c r="AZ1843" s="159"/>
      <c r="BA1843" s="161"/>
      <c r="BB1843" s="160"/>
    </row>
    <row r="1844" spans="1:59" s="154" customFormat="1" ht="15" customHeight="1">
      <c r="A1844" s="153" t="s">
        <v>6823</v>
      </c>
      <c r="B1844" s="189" t="s">
        <v>6841</v>
      </c>
      <c r="C1844" s="154" t="s">
        <v>6825</v>
      </c>
      <c r="D1844" s="154">
        <v>318</v>
      </c>
      <c r="E1844" s="154">
        <v>2</v>
      </c>
      <c r="G1844" s="154" t="s">
        <v>6842</v>
      </c>
      <c r="J1844" s="154" t="s">
        <v>27</v>
      </c>
      <c r="K1844" s="154" t="s">
        <v>199</v>
      </c>
      <c r="L1844" s="154">
        <v>5</v>
      </c>
      <c r="N1844" s="154">
        <v>1</v>
      </c>
      <c r="O1844" s="173"/>
      <c r="P1844" s="174">
        <v>3</v>
      </c>
      <c r="Q1844" s="175"/>
      <c r="R1844" s="159"/>
      <c r="S1844" s="160"/>
      <c r="T1844" s="161"/>
      <c r="U1844" s="173"/>
      <c r="V1844" s="176"/>
      <c r="W1844" s="177"/>
      <c r="X1844" s="178"/>
      <c r="Y1844" s="159"/>
      <c r="Z1844" s="161"/>
      <c r="AA1844" s="160"/>
      <c r="AB1844" s="154" t="s">
        <v>6843</v>
      </c>
      <c r="AD1844" s="154" t="s">
        <v>340</v>
      </c>
      <c r="AF1844" s="154" t="s">
        <v>6844</v>
      </c>
      <c r="AQ1844" s="173"/>
      <c r="AR1844" s="174"/>
      <c r="AS1844" s="175"/>
      <c r="AT1844" s="159"/>
      <c r="AU1844" s="161"/>
      <c r="AV1844" s="173"/>
      <c r="AW1844" s="176"/>
      <c r="AX1844" s="177"/>
      <c r="AY1844" s="178"/>
      <c r="AZ1844" s="159"/>
      <c r="BA1844" s="161"/>
      <c r="BB1844" s="160"/>
    </row>
    <row r="1845" spans="1:59" s="154" customFormat="1" ht="15" customHeight="1">
      <c r="A1845" s="153" t="s">
        <v>6823</v>
      </c>
      <c r="B1845" s="189" t="s">
        <v>6845</v>
      </c>
      <c r="C1845" s="154" t="s">
        <v>6825</v>
      </c>
      <c r="D1845" s="154">
        <v>319</v>
      </c>
      <c r="E1845" s="154">
        <v>2</v>
      </c>
      <c r="G1845" s="154" t="s">
        <v>6846</v>
      </c>
      <c r="J1845" s="154" t="s">
        <v>27</v>
      </c>
      <c r="K1845" s="154" t="s">
        <v>201</v>
      </c>
      <c r="L1845" s="154">
        <v>0</v>
      </c>
      <c r="N1845" s="154">
        <v>0</v>
      </c>
      <c r="O1845" s="173"/>
      <c r="P1845" s="174">
        <v>1</v>
      </c>
      <c r="Q1845" s="175">
        <v>1</v>
      </c>
      <c r="R1845" s="159">
        <v>1</v>
      </c>
      <c r="S1845" s="160"/>
      <c r="T1845" s="161"/>
      <c r="U1845" s="173"/>
      <c r="V1845" s="176"/>
      <c r="W1845" s="177"/>
      <c r="X1845" s="178"/>
      <c r="Y1845" s="159"/>
      <c r="Z1845" s="161"/>
      <c r="AA1845" s="160"/>
      <c r="AB1845" s="154" t="s">
        <v>6559</v>
      </c>
      <c r="AD1845" s="154" t="s">
        <v>5801</v>
      </c>
      <c r="AF1845" s="154" t="s">
        <v>6847</v>
      </c>
      <c r="AQ1845" s="173"/>
      <c r="AR1845" s="174"/>
      <c r="AS1845" s="175"/>
      <c r="AT1845" s="159"/>
      <c r="AU1845" s="161"/>
      <c r="AV1845" s="173"/>
      <c r="AW1845" s="176"/>
      <c r="AX1845" s="177"/>
      <c r="AY1845" s="178"/>
      <c r="AZ1845" s="159"/>
      <c r="BA1845" s="161"/>
      <c r="BB1845" s="160"/>
    </row>
    <row r="1846" spans="1:59" s="154" customFormat="1" ht="15" customHeight="1">
      <c r="A1846" s="153" t="s">
        <v>6823</v>
      </c>
      <c r="B1846" s="188" t="s">
        <v>6848</v>
      </c>
      <c r="C1846" s="154" t="s">
        <v>6825</v>
      </c>
      <c r="D1846" s="154">
        <v>320</v>
      </c>
      <c r="E1846" s="154">
        <v>2</v>
      </c>
      <c r="G1846" s="154" t="s">
        <v>6849</v>
      </c>
      <c r="J1846" s="154" t="s">
        <v>257</v>
      </c>
      <c r="K1846" s="154" t="s">
        <v>201</v>
      </c>
      <c r="L1846" s="154">
        <v>4</v>
      </c>
      <c r="N1846" s="154">
        <v>4</v>
      </c>
      <c r="O1846" s="173">
        <v>1</v>
      </c>
      <c r="P1846" s="174">
        <v>1</v>
      </c>
      <c r="Q1846" s="175"/>
      <c r="R1846" s="159"/>
      <c r="S1846" s="160"/>
      <c r="T1846" s="161"/>
      <c r="U1846" s="173"/>
      <c r="V1846" s="176"/>
      <c r="W1846" s="177"/>
      <c r="X1846" s="178"/>
      <c r="Y1846" s="159"/>
      <c r="Z1846" s="161"/>
      <c r="AA1846" s="160"/>
      <c r="AB1846" s="154" t="s">
        <v>1092</v>
      </c>
      <c r="AC1846" s="154" t="s">
        <v>378</v>
      </c>
      <c r="AD1846" s="154" t="s">
        <v>2567</v>
      </c>
      <c r="AF1846" s="154" t="s">
        <v>6850</v>
      </c>
      <c r="AQ1846" s="173"/>
      <c r="AR1846" s="174"/>
      <c r="AS1846" s="175"/>
      <c r="AT1846" s="159"/>
      <c r="AU1846" s="161"/>
      <c r="AV1846" s="173"/>
      <c r="AW1846" s="176"/>
      <c r="AX1846" s="177"/>
      <c r="AY1846" s="178"/>
      <c r="AZ1846" s="159"/>
      <c r="BA1846" s="161"/>
      <c r="BB1846" s="160"/>
    </row>
    <row r="1847" spans="1:59" s="154" customFormat="1" ht="15" customHeight="1">
      <c r="A1847" s="153" t="s">
        <v>6823</v>
      </c>
      <c r="B1847" s="188" t="s">
        <v>6851</v>
      </c>
      <c r="C1847" s="154" t="s">
        <v>6825</v>
      </c>
      <c r="D1847" s="154">
        <v>321</v>
      </c>
      <c r="E1847" s="154">
        <v>2</v>
      </c>
      <c r="G1847" s="154" t="s">
        <v>6269</v>
      </c>
      <c r="J1847" s="154" t="s">
        <v>257</v>
      </c>
      <c r="K1847" s="154" t="s">
        <v>200</v>
      </c>
      <c r="L1847" s="154">
        <v>4</v>
      </c>
      <c r="N1847" s="172">
        <v>2</v>
      </c>
      <c r="O1847" s="173"/>
      <c r="P1847" s="174"/>
      <c r="Q1847" s="175">
        <v>2</v>
      </c>
      <c r="R1847" s="159"/>
      <c r="S1847" s="160"/>
      <c r="T1847" s="161"/>
      <c r="U1847" s="173"/>
      <c r="V1847" s="176"/>
      <c r="W1847" s="177"/>
      <c r="X1847" s="178"/>
      <c r="Y1847" s="159"/>
      <c r="Z1847" s="161"/>
      <c r="AA1847" s="160"/>
      <c r="AB1847" s="154" t="s">
        <v>1088</v>
      </c>
      <c r="AC1847" s="154" t="s">
        <v>378</v>
      </c>
      <c r="AD1847" s="154" t="s">
        <v>279</v>
      </c>
      <c r="AF1847" s="154" t="s">
        <v>6852</v>
      </c>
      <c r="AQ1847" s="173"/>
      <c r="AR1847" s="174"/>
      <c r="AS1847" s="175"/>
      <c r="AT1847" s="159"/>
      <c r="AU1847" s="161"/>
      <c r="AV1847" s="173"/>
      <c r="AW1847" s="176"/>
      <c r="AX1847" s="177"/>
      <c r="AY1847" s="178"/>
      <c r="AZ1847" s="159"/>
      <c r="BA1847" s="161"/>
      <c r="BB1847" s="160"/>
    </row>
    <row r="1848" spans="1:59" s="154" customFormat="1" ht="15" customHeight="1">
      <c r="A1848" s="153" t="s">
        <v>6823</v>
      </c>
      <c r="B1848" s="188" t="s">
        <v>6853</v>
      </c>
      <c r="C1848" s="154" t="s">
        <v>6825</v>
      </c>
      <c r="D1848" s="154">
        <v>322</v>
      </c>
      <c r="E1848" s="154">
        <v>2</v>
      </c>
      <c r="G1848" s="154" t="s">
        <v>6271</v>
      </c>
      <c r="J1848" s="154" t="s">
        <v>257</v>
      </c>
      <c r="K1848" s="154" t="s">
        <v>200</v>
      </c>
      <c r="L1848" s="154">
        <v>4</v>
      </c>
      <c r="N1848" s="154">
        <v>3</v>
      </c>
      <c r="O1848" s="173"/>
      <c r="P1848" s="174">
        <v>2</v>
      </c>
      <c r="Q1848" s="175"/>
      <c r="R1848" s="159"/>
      <c r="S1848" s="160"/>
      <c r="T1848" s="161"/>
      <c r="U1848" s="173"/>
      <c r="V1848" s="176"/>
      <c r="W1848" s="177"/>
      <c r="X1848" s="178"/>
      <c r="Y1848" s="159"/>
      <c r="Z1848" s="161"/>
      <c r="AA1848" s="160"/>
      <c r="AB1848" s="154" t="s">
        <v>1084</v>
      </c>
      <c r="AC1848" s="154" t="s">
        <v>378</v>
      </c>
      <c r="AD1848" s="154" t="s">
        <v>279</v>
      </c>
      <c r="AF1848" s="154" t="s">
        <v>6854</v>
      </c>
      <c r="AQ1848" s="173"/>
      <c r="AR1848" s="174"/>
      <c r="AS1848" s="175"/>
      <c r="AT1848" s="159"/>
      <c r="AU1848" s="161"/>
      <c r="AV1848" s="173"/>
      <c r="AW1848" s="176"/>
      <c r="AX1848" s="177"/>
      <c r="AY1848" s="178"/>
      <c r="AZ1848" s="159"/>
      <c r="BA1848" s="161"/>
      <c r="BB1848" s="160"/>
    </row>
    <row r="1849" spans="1:59" s="154" customFormat="1" ht="15" customHeight="1">
      <c r="A1849" s="153" t="s">
        <v>6823</v>
      </c>
      <c r="B1849" s="188" t="s">
        <v>6855</v>
      </c>
      <c r="C1849" s="154" t="s">
        <v>6825</v>
      </c>
      <c r="D1849" s="154">
        <v>323</v>
      </c>
      <c r="E1849" s="154">
        <v>2</v>
      </c>
      <c r="G1849" s="154" t="s">
        <v>1818</v>
      </c>
      <c r="J1849" s="154" t="s">
        <v>27</v>
      </c>
      <c r="K1849" s="154" t="s">
        <v>202</v>
      </c>
      <c r="L1849" s="154">
        <v>2</v>
      </c>
      <c r="N1849" s="154">
        <v>1</v>
      </c>
      <c r="O1849" s="173"/>
      <c r="P1849" s="174"/>
      <c r="Q1849" s="175"/>
      <c r="R1849" s="159">
        <v>2</v>
      </c>
      <c r="S1849" s="160"/>
      <c r="T1849" s="161"/>
      <c r="U1849" s="173"/>
      <c r="V1849" s="176"/>
      <c r="W1849" s="177"/>
      <c r="X1849" s="178"/>
      <c r="Y1849" s="159"/>
      <c r="Z1849" s="161"/>
      <c r="AA1849" s="160"/>
      <c r="AB1849" s="154" t="s">
        <v>1095</v>
      </c>
      <c r="AD1849" s="154" t="s">
        <v>1412</v>
      </c>
      <c r="AF1849" s="154" t="s">
        <v>6856</v>
      </c>
      <c r="AQ1849" s="173"/>
      <c r="AR1849" s="174"/>
      <c r="AS1849" s="175"/>
      <c r="AT1849" s="159"/>
      <c r="AU1849" s="161"/>
      <c r="AV1849" s="173"/>
      <c r="AW1849" s="176"/>
      <c r="AX1849" s="177"/>
      <c r="AY1849" s="178"/>
      <c r="AZ1849" s="159"/>
      <c r="BA1849" s="161"/>
      <c r="BB1849" s="160"/>
    </row>
    <row r="1850" spans="1:59" s="154" customFormat="1" ht="15" customHeight="1">
      <c r="A1850" s="153" t="s">
        <v>6823</v>
      </c>
      <c r="B1850" s="188" t="s">
        <v>6857</v>
      </c>
      <c r="C1850" s="154" t="s">
        <v>6825</v>
      </c>
      <c r="D1850" s="154">
        <v>324</v>
      </c>
      <c r="E1850" s="154">
        <v>2</v>
      </c>
      <c r="G1850" s="154" t="s">
        <v>6858</v>
      </c>
      <c r="J1850" s="154" t="s">
        <v>27</v>
      </c>
      <c r="K1850" s="154" t="s">
        <v>202</v>
      </c>
      <c r="L1850" s="154">
        <v>3</v>
      </c>
      <c r="N1850" s="154">
        <v>2</v>
      </c>
      <c r="O1850" s="173"/>
      <c r="P1850" s="174"/>
      <c r="Q1850" s="175"/>
      <c r="R1850" s="159"/>
      <c r="S1850" s="160">
        <v>2</v>
      </c>
      <c r="T1850" s="161"/>
      <c r="U1850" s="173"/>
      <c r="V1850" s="176"/>
      <c r="W1850" s="177"/>
      <c r="X1850" s="178"/>
      <c r="Y1850" s="159"/>
      <c r="Z1850" s="161"/>
      <c r="AA1850" s="160"/>
      <c r="AB1850" s="154" t="s">
        <v>1082</v>
      </c>
      <c r="AD1850" s="154" t="s">
        <v>6585</v>
      </c>
      <c r="AF1850" s="154" t="s">
        <v>6859</v>
      </c>
      <c r="AQ1850" s="173"/>
      <c r="AR1850" s="174"/>
      <c r="AS1850" s="175"/>
      <c r="AT1850" s="159"/>
      <c r="AU1850" s="161"/>
      <c r="AV1850" s="173"/>
      <c r="AW1850" s="176"/>
      <c r="AX1850" s="177"/>
      <c r="AY1850" s="178"/>
      <c r="AZ1850" s="159"/>
      <c r="BA1850" s="161"/>
      <c r="BB1850" s="160"/>
    </row>
    <row r="1851" spans="1:59" s="154" customFormat="1" ht="15" customHeight="1">
      <c r="A1851" s="153" t="s">
        <v>6823</v>
      </c>
      <c r="B1851" s="188" t="s">
        <v>6860</v>
      </c>
      <c r="C1851" s="154" t="s">
        <v>6825</v>
      </c>
      <c r="D1851" s="154">
        <v>325</v>
      </c>
      <c r="E1851" s="154">
        <v>1</v>
      </c>
      <c r="F1851" s="154" t="s">
        <v>6238</v>
      </c>
      <c r="G1851" s="154" t="s">
        <v>6238</v>
      </c>
      <c r="J1851" s="154" t="s">
        <v>618</v>
      </c>
      <c r="K1851" s="154" t="s">
        <v>2426</v>
      </c>
      <c r="O1851" s="173"/>
      <c r="P1851" s="174"/>
      <c r="Q1851" s="175"/>
      <c r="R1851" s="159"/>
      <c r="S1851" s="160"/>
      <c r="T1851" s="161"/>
      <c r="U1851" s="173"/>
      <c r="V1851" s="176"/>
      <c r="W1851" s="177"/>
      <c r="X1851" s="178"/>
      <c r="Y1851" s="159"/>
      <c r="Z1851" s="161"/>
      <c r="AA1851" s="160"/>
      <c r="AF1851" s="154" t="s">
        <v>6861</v>
      </c>
      <c r="AI1851" s="154" t="s">
        <v>6238</v>
      </c>
      <c r="AL1851" s="154" t="s">
        <v>618</v>
      </c>
      <c r="AM1851" s="154" t="s">
        <v>2426</v>
      </c>
      <c r="AQ1851" s="173"/>
      <c r="AR1851" s="174"/>
      <c r="AS1851" s="175"/>
      <c r="AT1851" s="159"/>
      <c r="AU1851" s="161"/>
      <c r="AV1851" s="173"/>
      <c r="AW1851" s="176"/>
      <c r="AX1851" s="177"/>
      <c r="AY1851" s="178"/>
      <c r="AZ1851" s="159"/>
      <c r="BA1851" s="161"/>
      <c r="BB1851" s="160"/>
      <c r="BG1851" s="154" t="s">
        <v>6862</v>
      </c>
    </row>
    <row r="1852" spans="1:59" s="154" customFormat="1" ht="15" customHeight="1">
      <c r="A1852" s="153" t="s">
        <v>6823</v>
      </c>
      <c r="B1852" s="189" t="s">
        <v>6863</v>
      </c>
      <c r="C1852" s="154" t="s">
        <v>6825</v>
      </c>
      <c r="D1852" s="154">
        <v>326</v>
      </c>
      <c r="E1852" s="154">
        <v>1</v>
      </c>
      <c r="F1852" s="154" t="s">
        <v>6238</v>
      </c>
      <c r="G1852" s="154" t="s">
        <v>6864</v>
      </c>
      <c r="J1852" s="154" t="s">
        <v>619</v>
      </c>
      <c r="K1852" s="154" t="s">
        <v>2426</v>
      </c>
      <c r="L1852" s="154">
        <v>1</v>
      </c>
      <c r="O1852" s="173"/>
      <c r="P1852" s="174"/>
      <c r="Q1852" s="175"/>
      <c r="R1852" s="159"/>
      <c r="S1852" s="160"/>
      <c r="T1852" s="161"/>
      <c r="U1852" s="173"/>
      <c r="V1852" s="176"/>
      <c r="W1852" s="177"/>
      <c r="X1852" s="178"/>
      <c r="Y1852" s="159"/>
      <c r="Z1852" s="161">
        <v>4</v>
      </c>
      <c r="AA1852" s="160"/>
      <c r="AF1852" s="154" t="s">
        <v>6865</v>
      </c>
      <c r="AI1852" s="154" t="s">
        <v>6866</v>
      </c>
      <c r="AL1852" s="154" t="s">
        <v>619</v>
      </c>
      <c r="AM1852" s="154" t="s">
        <v>2426</v>
      </c>
      <c r="AN1852" s="154">
        <v>1</v>
      </c>
      <c r="AQ1852" s="173"/>
      <c r="AR1852" s="174"/>
      <c r="AS1852" s="175"/>
      <c r="AT1852" s="159"/>
      <c r="AU1852" s="161"/>
      <c r="AV1852" s="173"/>
      <c r="AW1852" s="176"/>
      <c r="AX1852" s="177"/>
      <c r="AY1852" s="178"/>
      <c r="AZ1852" s="159"/>
      <c r="BA1852" s="161"/>
      <c r="BB1852" s="160"/>
      <c r="BG1852" s="154" t="s">
        <v>6867</v>
      </c>
    </row>
    <row r="1853" spans="1:59" s="154" customFormat="1" ht="15" customHeight="1">
      <c r="A1853" s="153" t="s">
        <v>6823</v>
      </c>
      <c r="B1853" s="188" t="s">
        <v>6868</v>
      </c>
      <c r="C1853" s="154" t="s">
        <v>6825</v>
      </c>
      <c r="D1853" s="154">
        <v>327</v>
      </c>
      <c r="E1853" s="154">
        <v>1</v>
      </c>
      <c r="F1853" s="154" t="s">
        <v>6238</v>
      </c>
      <c r="G1853" s="154" t="s">
        <v>6869</v>
      </c>
      <c r="J1853" s="154" t="s">
        <v>619</v>
      </c>
      <c r="K1853" s="154" t="s">
        <v>2426</v>
      </c>
      <c r="L1853" s="154">
        <v>2</v>
      </c>
      <c r="O1853" s="173"/>
      <c r="P1853" s="174"/>
      <c r="Q1853" s="175"/>
      <c r="R1853" s="159"/>
      <c r="S1853" s="160"/>
      <c r="T1853" s="161"/>
      <c r="U1853" s="173"/>
      <c r="V1853" s="176"/>
      <c r="W1853" s="177"/>
      <c r="X1853" s="178"/>
      <c r="Y1853" s="159"/>
      <c r="Z1853" s="161">
        <v>6</v>
      </c>
      <c r="AA1853" s="160"/>
      <c r="AF1853" s="154" t="s">
        <v>6865</v>
      </c>
      <c r="AI1853" s="154" t="s">
        <v>6870</v>
      </c>
      <c r="AL1853" s="154" t="s">
        <v>619</v>
      </c>
      <c r="AM1853" s="154" t="s">
        <v>2426</v>
      </c>
      <c r="AN1853" s="154">
        <v>2</v>
      </c>
      <c r="AQ1853" s="173"/>
      <c r="AR1853" s="174"/>
      <c r="AS1853" s="175"/>
      <c r="AT1853" s="159"/>
      <c r="AU1853" s="161"/>
      <c r="AV1853" s="173"/>
      <c r="AW1853" s="176"/>
      <c r="AX1853" s="177"/>
      <c r="AY1853" s="178"/>
      <c r="AZ1853" s="159"/>
      <c r="BA1853" s="161"/>
      <c r="BB1853" s="160"/>
      <c r="BG1853" s="154" t="s">
        <v>6871</v>
      </c>
    </row>
    <row r="1854" spans="1:59" s="154" customFormat="1" ht="15" customHeight="1">
      <c r="A1854" s="153" t="s">
        <v>6823</v>
      </c>
      <c r="B1854" s="188" t="s">
        <v>6872</v>
      </c>
      <c r="C1854" s="154" t="s">
        <v>6825</v>
      </c>
      <c r="D1854" s="154">
        <v>328</v>
      </c>
      <c r="E1854" s="154">
        <v>1</v>
      </c>
      <c r="F1854" s="154" t="s">
        <v>6238</v>
      </c>
      <c r="G1854" s="154" t="s">
        <v>6873</v>
      </c>
      <c r="J1854" s="154" t="s">
        <v>619</v>
      </c>
      <c r="K1854" s="154" t="s">
        <v>2426</v>
      </c>
      <c r="L1854" s="154">
        <v>3</v>
      </c>
      <c r="O1854" s="173"/>
      <c r="P1854" s="174"/>
      <c r="Q1854" s="175"/>
      <c r="R1854" s="159"/>
      <c r="S1854" s="160"/>
      <c r="T1854" s="161"/>
      <c r="U1854" s="173"/>
      <c r="V1854" s="176"/>
      <c r="W1854" s="177"/>
      <c r="X1854" s="178"/>
      <c r="Y1854" s="159"/>
      <c r="Z1854" s="161">
        <v>8</v>
      </c>
      <c r="AA1854" s="160"/>
      <c r="AF1854" s="154" t="s">
        <v>6874</v>
      </c>
      <c r="AI1854" s="154" t="s">
        <v>6875</v>
      </c>
      <c r="AL1854" s="154" t="s">
        <v>619</v>
      </c>
      <c r="AM1854" s="154" t="s">
        <v>2426</v>
      </c>
      <c r="AN1854" s="154">
        <v>3</v>
      </c>
      <c r="AQ1854" s="173"/>
      <c r="AR1854" s="174"/>
      <c r="AS1854" s="175"/>
      <c r="AT1854" s="159"/>
      <c r="AU1854" s="161"/>
      <c r="AV1854" s="173"/>
      <c r="AW1854" s="176"/>
      <c r="AX1854" s="177"/>
      <c r="AY1854" s="178"/>
      <c r="AZ1854" s="159"/>
      <c r="BA1854" s="161"/>
      <c r="BB1854" s="160"/>
      <c r="BG1854" s="154" t="s">
        <v>6876</v>
      </c>
    </row>
    <row r="1855" spans="1:59" s="154" customFormat="1" ht="15" customHeight="1">
      <c r="A1855" s="153" t="s">
        <v>6823</v>
      </c>
      <c r="B1855" s="188" t="s">
        <v>6877</v>
      </c>
      <c r="C1855" s="154" t="s">
        <v>6825</v>
      </c>
      <c r="D1855" s="154">
        <v>329</v>
      </c>
      <c r="E1855" s="154">
        <v>1</v>
      </c>
      <c r="F1855" s="154" t="s">
        <v>6238</v>
      </c>
      <c r="G1855" s="154" t="s">
        <v>6878</v>
      </c>
      <c r="J1855" s="154" t="s">
        <v>621</v>
      </c>
      <c r="K1855" s="154" t="s">
        <v>2426</v>
      </c>
      <c r="L1855" s="154">
        <v>1</v>
      </c>
      <c r="O1855" s="173"/>
      <c r="P1855" s="174"/>
      <c r="Q1855" s="175"/>
      <c r="R1855" s="159"/>
      <c r="S1855" s="160"/>
      <c r="T1855" s="161"/>
      <c r="U1855" s="173"/>
      <c r="V1855" s="176"/>
      <c r="W1855" s="177"/>
      <c r="X1855" s="178"/>
      <c r="Y1855" s="159" t="s">
        <v>1073</v>
      </c>
      <c r="Z1855" s="161"/>
      <c r="AA1855" s="160"/>
      <c r="AF1855" s="154" t="s">
        <v>6879</v>
      </c>
      <c r="AI1855" s="154" t="s">
        <v>6880</v>
      </c>
      <c r="AL1855" s="154" t="s">
        <v>621</v>
      </c>
      <c r="AM1855" s="154" t="s">
        <v>2426</v>
      </c>
      <c r="AN1855" s="154">
        <v>1</v>
      </c>
      <c r="AQ1855" s="173"/>
      <c r="AR1855" s="174"/>
      <c r="AS1855" s="175"/>
      <c r="AT1855" s="159"/>
      <c r="AU1855" s="161"/>
      <c r="AV1855" s="173"/>
      <c r="AW1855" s="176"/>
      <c r="AX1855" s="177"/>
      <c r="AY1855" s="178"/>
      <c r="AZ1855" s="159"/>
      <c r="BA1855" s="161"/>
      <c r="BB1855" s="160"/>
      <c r="BG1855" s="154" t="s">
        <v>6881</v>
      </c>
    </row>
    <row r="1856" spans="1:59" s="154" customFormat="1" ht="15" customHeight="1">
      <c r="A1856" s="153" t="s">
        <v>6823</v>
      </c>
      <c r="B1856" s="189" t="s">
        <v>6882</v>
      </c>
      <c r="C1856" s="154" t="s">
        <v>6825</v>
      </c>
      <c r="D1856" s="154">
        <v>330</v>
      </c>
      <c r="E1856" s="154">
        <v>1</v>
      </c>
      <c r="F1856" s="154" t="s">
        <v>6238</v>
      </c>
      <c r="G1856" s="154" t="s">
        <v>6883</v>
      </c>
      <c r="J1856" s="154" t="s">
        <v>621</v>
      </c>
      <c r="K1856" s="154" t="s">
        <v>2426</v>
      </c>
      <c r="L1856" s="154">
        <v>2</v>
      </c>
      <c r="O1856" s="173"/>
      <c r="P1856" s="174"/>
      <c r="Q1856" s="175"/>
      <c r="R1856" s="159"/>
      <c r="S1856" s="160"/>
      <c r="T1856" s="161"/>
      <c r="U1856" s="173"/>
      <c r="V1856" s="176"/>
      <c r="W1856" s="177"/>
      <c r="X1856" s="178"/>
      <c r="Y1856" s="159" t="s">
        <v>1111</v>
      </c>
      <c r="Z1856" s="161"/>
      <c r="AA1856" s="160"/>
      <c r="AF1856" s="154" t="s">
        <v>6884</v>
      </c>
      <c r="AI1856" s="154" t="s">
        <v>6885</v>
      </c>
      <c r="AL1856" s="154" t="s">
        <v>621</v>
      </c>
      <c r="AM1856" s="154" t="s">
        <v>2426</v>
      </c>
      <c r="AN1856" s="154">
        <v>2</v>
      </c>
      <c r="AQ1856" s="173"/>
      <c r="AR1856" s="174"/>
      <c r="AS1856" s="175"/>
      <c r="AT1856" s="159"/>
      <c r="AU1856" s="161"/>
      <c r="AV1856" s="173"/>
      <c r="AW1856" s="176"/>
      <c r="AX1856" s="177"/>
      <c r="AY1856" s="178"/>
      <c r="AZ1856" s="159"/>
      <c r="BA1856" s="161"/>
      <c r="BB1856" s="160"/>
      <c r="BG1856" s="154" t="s">
        <v>6886</v>
      </c>
    </row>
    <row r="1857" spans="1:59" s="154" customFormat="1" ht="15" customHeight="1">
      <c r="A1857" s="153" t="s">
        <v>6823</v>
      </c>
      <c r="B1857" s="188" t="s">
        <v>6887</v>
      </c>
      <c r="C1857" s="154" t="s">
        <v>6825</v>
      </c>
      <c r="D1857" s="154">
        <v>331</v>
      </c>
      <c r="E1857" s="154">
        <v>1</v>
      </c>
      <c r="F1857" s="154" t="s">
        <v>6238</v>
      </c>
      <c r="G1857" s="154" t="s">
        <v>6888</v>
      </c>
      <c r="J1857" s="154" t="s">
        <v>621</v>
      </c>
      <c r="K1857" s="154" t="s">
        <v>2426</v>
      </c>
      <c r="L1857" s="154">
        <v>3</v>
      </c>
      <c r="O1857" s="173"/>
      <c r="P1857" s="174"/>
      <c r="Q1857" s="175"/>
      <c r="R1857" s="159"/>
      <c r="S1857" s="160"/>
      <c r="T1857" s="161"/>
      <c r="U1857" s="173"/>
      <c r="V1857" s="176"/>
      <c r="W1857" s="177"/>
      <c r="X1857" s="178"/>
      <c r="Y1857" s="159" t="s">
        <v>38</v>
      </c>
      <c r="Z1857" s="161"/>
      <c r="AA1857" s="160"/>
      <c r="AF1857" s="154" t="s">
        <v>6889</v>
      </c>
      <c r="AI1857" s="154" t="s">
        <v>6890</v>
      </c>
      <c r="AL1857" s="154" t="s">
        <v>621</v>
      </c>
      <c r="AM1857" s="154" t="s">
        <v>2426</v>
      </c>
      <c r="AN1857" s="154">
        <v>3</v>
      </c>
      <c r="AQ1857" s="173"/>
      <c r="AR1857" s="174"/>
      <c r="AS1857" s="175"/>
      <c r="AT1857" s="159"/>
      <c r="AU1857" s="161"/>
      <c r="AV1857" s="173"/>
      <c r="AW1857" s="176"/>
      <c r="AX1857" s="177"/>
      <c r="AY1857" s="178"/>
      <c r="AZ1857" s="159"/>
      <c r="BA1857" s="161"/>
      <c r="BB1857" s="160"/>
      <c r="BG1857" s="154" t="s">
        <v>6891</v>
      </c>
    </row>
    <row r="1858" spans="1:59" s="154" customFormat="1" ht="15" customHeight="1">
      <c r="A1858" s="153" t="s">
        <v>6823</v>
      </c>
      <c r="B1858" s="188" t="s">
        <v>6892</v>
      </c>
      <c r="C1858" s="154" t="s">
        <v>6825</v>
      </c>
      <c r="D1858" s="154">
        <v>332</v>
      </c>
      <c r="E1858" s="154">
        <v>1</v>
      </c>
      <c r="F1858" s="154" t="s">
        <v>6238</v>
      </c>
      <c r="G1858" s="154" t="s">
        <v>6893</v>
      </c>
      <c r="J1858" s="154" t="s">
        <v>31</v>
      </c>
      <c r="K1858" s="154" t="s">
        <v>2426</v>
      </c>
      <c r="O1858" s="173"/>
      <c r="P1858" s="174"/>
      <c r="Q1858" s="175"/>
      <c r="R1858" s="159"/>
      <c r="S1858" s="160"/>
      <c r="T1858" s="161"/>
      <c r="U1858" s="173"/>
      <c r="V1858" s="176"/>
      <c r="W1858" s="177"/>
      <c r="X1858" s="178"/>
      <c r="Y1858" s="159"/>
      <c r="Z1858" s="161"/>
      <c r="AA1858" s="160"/>
      <c r="AD1858" s="154" t="s">
        <v>2466</v>
      </c>
      <c r="AI1858" s="154" t="s">
        <v>6893</v>
      </c>
      <c r="AL1858" s="154" t="s">
        <v>31</v>
      </c>
      <c r="AM1858" s="154" t="s">
        <v>2426</v>
      </c>
      <c r="AQ1858" s="173"/>
      <c r="AR1858" s="174"/>
      <c r="AS1858" s="175"/>
      <c r="AT1858" s="159"/>
      <c r="AU1858" s="161"/>
      <c r="AV1858" s="173"/>
      <c r="AW1858" s="176"/>
      <c r="AX1858" s="177"/>
      <c r="AY1858" s="178">
        <v>2</v>
      </c>
      <c r="AZ1858" s="159">
        <v>3</v>
      </c>
      <c r="BA1858" s="161"/>
      <c r="BB1858" s="160"/>
      <c r="BE1858" s="154" t="s">
        <v>2466</v>
      </c>
      <c r="BG1858" s="154" t="s">
        <v>6894</v>
      </c>
    </row>
    <row r="1859" spans="1:59" s="154" customFormat="1" ht="15" customHeight="1">
      <c r="A1859" s="153" t="s">
        <v>6823</v>
      </c>
      <c r="B1859" s="188" t="s">
        <v>6895</v>
      </c>
      <c r="C1859" s="154" t="s">
        <v>6825</v>
      </c>
      <c r="D1859" s="154">
        <v>333</v>
      </c>
      <c r="E1859" s="154">
        <v>1</v>
      </c>
      <c r="F1859" s="154" t="s">
        <v>6238</v>
      </c>
      <c r="G1859" s="154" t="s">
        <v>6896</v>
      </c>
      <c r="J1859" s="154" t="s">
        <v>31</v>
      </c>
      <c r="K1859" s="154" t="s">
        <v>2426</v>
      </c>
      <c r="O1859" s="173"/>
      <c r="P1859" s="174"/>
      <c r="Q1859" s="175"/>
      <c r="R1859" s="159"/>
      <c r="S1859" s="160"/>
      <c r="T1859" s="161"/>
      <c r="U1859" s="173"/>
      <c r="V1859" s="176"/>
      <c r="W1859" s="177"/>
      <c r="X1859" s="178"/>
      <c r="Y1859" s="159"/>
      <c r="Z1859" s="161"/>
      <c r="AA1859" s="160"/>
      <c r="AD1859" s="154" t="s">
        <v>2466</v>
      </c>
      <c r="AI1859" s="154" t="s">
        <v>6897</v>
      </c>
      <c r="AL1859" s="154" t="s">
        <v>31</v>
      </c>
      <c r="AM1859" s="154" t="s">
        <v>2426</v>
      </c>
      <c r="AQ1859" s="173"/>
      <c r="AR1859" s="174"/>
      <c r="AS1859" s="175"/>
      <c r="AT1859" s="159"/>
      <c r="AU1859" s="161"/>
      <c r="AV1859" s="173"/>
      <c r="AW1859" s="176"/>
      <c r="AX1859" s="177"/>
      <c r="AY1859" s="178">
        <v>3</v>
      </c>
      <c r="AZ1859" s="159">
        <v>4</v>
      </c>
      <c r="BA1859" s="161"/>
      <c r="BB1859" s="160"/>
      <c r="BE1859" s="154" t="s">
        <v>2466</v>
      </c>
      <c r="BG1859" s="154" t="s">
        <v>6898</v>
      </c>
    </row>
    <row r="1860" spans="1:59" s="154" customFormat="1" ht="15" customHeight="1">
      <c r="A1860" s="153" t="s">
        <v>6823</v>
      </c>
      <c r="B1860" s="188" t="s">
        <v>6899</v>
      </c>
      <c r="C1860" s="154" t="s">
        <v>6825</v>
      </c>
      <c r="D1860" s="154">
        <v>334</v>
      </c>
      <c r="E1860" s="154">
        <v>1</v>
      </c>
      <c r="F1860" s="154" t="s">
        <v>6238</v>
      </c>
      <c r="G1860" s="154" t="s">
        <v>6205</v>
      </c>
      <c r="J1860" s="154" t="s">
        <v>31</v>
      </c>
      <c r="K1860" s="154" t="s">
        <v>2426</v>
      </c>
      <c r="O1860" s="173"/>
      <c r="P1860" s="174"/>
      <c r="Q1860" s="175"/>
      <c r="R1860" s="159"/>
      <c r="S1860" s="160"/>
      <c r="T1860" s="161"/>
      <c r="U1860" s="173"/>
      <c r="V1860" s="176"/>
      <c r="W1860" s="177"/>
      <c r="X1860" s="178"/>
      <c r="Y1860" s="159"/>
      <c r="Z1860" s="161"/>
      <c r="AA1860" s="160"/>
      <c r="AD1860" s="154" t="s">
        <v>2466</v>
      </c>
      <c r="AI1860" s="154" t="s">
        <v>6897</v>
      </c>
      <c r="AL1860" s="154" t="s">
        <v>31</v>
      </c>
      <c r="AM1860" s="154" t="s">
        <v>2426</v>
      </c>
      <c r="AQ1860" s="173"/>
      <c r="AR1860" s="174"/>
      <c r="AS1860" s="175"/>
      <c r="AT1860" s="159"/>
      <c r="AU1860" s="161"/>
      <c r="AV1860" s="173"/>
      <c r="AW1860" s="176"/>
      <c r="AX1860" s="177"/>
      <c r="AY1860" s="178">
        <v>4</v>
      </c>
      <c r="AZ1860" s="159">
        <v>6</v>
      </c>
      <c r="BA1860" s="161"/>
      <c r="BB1860" s="160"/>
      <c r="BE1860" s="154" t="s">
        <v>2466</v>
      </c>
      <c r="BG1860" s="154" t="s">
        <v>6900</v>
      </c>
    </row>
    <row r="1861" spans="1:59" s="154" customFormat="1" ht="15" customHeight="1">
      <c r="A1861" s="153" t="s">
        <v>6823</v>
      </c>
      <c r="B1861" s="188" t="s">
        <v>6901</v>
      </c>
      <c r="C1861" s="154" t="s">
        <v>6825</v>
      </c>
      <c r="D1861" s="154">
        <v>335</v>
      </c>
      <c r="E1861" s="154">
        <v>1</v>
      </c>
      <c r="F1861" s="154" t="s">
        <v>6238</v>
      </c>
      <c r="G1861" s="154" t="s">
        <v>6902</v>
      </c>
      <c r="J1861" s="154" t="s">
        <v>31</v>
      </c>
      <c r="K1861" s="154" t="s">
        <v>2426</v>
      </c>
      <c r="O1861" s="173"/>
      <c r="P1861" s="174"/>
      <c r="Q1861" s="175"/>
      <c r="R1861" s="159"/>
      <c r="S1861" s="160"/>
      <c r="T1861" s="161"/>
      <c r="U1861" s="173"/>
      <c r="V1861" s="176"/>
      <c r="W1861" s="177"/>
      <c r="X1861" s="178"/>
      <c r="Y1861" s="159"/>
      <c r="Z1861" s="161"/>
      <c r="AA1861" s="160"/>
      <c r="AD1861" s="154" t="s">
        <v>2466</v>
      </c>
      <c r="AI1861" s="154" t="s">
        <v>6897</v>
      </c>
      <c r="AL1861" s="154" t="s">
        <v>31</v>
      </c>
      <c r="AM1861" s="154" t="s">
        <v>2426</v>
      </c>
      <c r="AQ1861" s="173"/>
      <c r="AR1861" s="174"/>
      <c r="AS1861" s="175"/>
      <c r="AT1861" s="159"/>
      <c r="AU1861" s="161"/>
      <c r="AV1861" s="173"/>
      <c r="AW1861" s="176"/>
      <c r="AX1861" s="177"/>
      <c r="AY1861" s="178">
        <v>1</v>
      </c>
      <c r="AZ1861" s="159" t="s">
        <v>1111</v>
      </c>
      <c r="BA1861" s="161"/>
      <c r="BB1861" s="160"/>
      <c r="BE1861" s="154" t="s">
        <v>2466</v>
      </c>
      <c r="BG1861" s="154" t="s">
        <v>6903</v>
      </c>
    </row>
    <row r="1862" spans="1:59" s="154" customFormat="1" ht="15" customHeight="1">
      <c r="A1862" s="153" t="s">
        <v>6823</v>
      </c>
      <c r="B1862" s="189" t="s">
        <v>6904</v>
      </c>
      <c r="C1862" s="154" t="s">
        <v>6825</v>
      </c>
      <c r="D1862" s="154">
        <v>336</v>
      </c>
      <c r="E1862" s="154">
        <v>3</v>
      </c>
      <c r="F1862" s="154" t="s">
        <v>6238</v>
      </c>
      <c r="G1862" s="154" t="s">
        <v>6905</v>
      </c>
      <c r="J1862" s="154" t="s">
        <v>31</v>
      </c>
      <c r="K1862" s="154" t="s">
        <v>2426</v>
      </c>
      <c r="O1862" s="173"/>
      <c r="P1862" s="174"/>
      <c r="Q1862" s="175"/>
      <c r="R1862" s="159"/>
      <c r="S1862" s="160"/>
      <c r="T1862" s="161"/>
      <c r="U1862" s="173"/>
      <c r="V1862" s="176"/>
      <c r="W1862" s="177"/>
      <c r="X1862" s="178"/>
      <c r="Y1862" s="159"/>
      <c r="Z1862" s="161"/>
      <c r="AA1862" s="160"/>
      <c r="AD1862" s="154" t="s">
        <v>6906</v>
      </c>
      <c r="AI1862" s="154" t="s">
        <v>6897</v>
      </c>
      <c r="AL1862" s="154" t="s">
        <v>31</v>
      </c>
      <c r="AM1862" s="154" t="s">
        <v>2426</v>
      </c>
      <c r="AQ1862" s="173"/>
      <c r="AR1862" s="174"/>
      <c r="AS1862" s="175"/>
      <c r="AT1862" s="159"/>
      <c r="AU1862" s="161"/>
      <c r="AV1862" s="173"/>
      <c r="AW1862" s="176"/>
      <c r="AX1862" s="177"/>
      <c r="AY1862" s="178">
        <v>3</v>
      </c>
      <c r="AZ1862" s="159">
        <v>2</v>
      </c>
      <c r="BA1862" s="161"/>
      <c r="BB1862" s="160"/>
      <c r="BE1862" s="154" t="s">
        <v>6906</v>
      </c>
      <c r="BG1862" s="154" t="s">
        <v>6907</v>
      </c>
    </row>
    <row r="1863" spans="1:59" s="154" customFormat="1" ht="15" customHeight="1">
      <c r="A1863" s="153" t="s">
        <v>6823</v>
      </c>
      <c r="B1863" s="188" t="s">
        <v>6908</v>
      </c>
      <c r="C1863" s="154" t="s">
        <v>6825</v>
      </c>
      <c r="D1863" s="154">
        <v>337</v>
      </c>
      <c r="E1863" s="154">
        <v>3</v>
      </c>
      <c r="F1863" s="154" t="s">
        <v>6238</v>
      </c>
      <c r="G1863" s="154" t="s">
        <v>6909</v>
      </c>
      <c r="J1863" s="154" t="s">
        <v>31</v>
      </c>
      <c r="K1863" s="154" t="s">
        <v>2426</v>
      </c>
      <c r="O1863" s="173"/>
      <c r="P1863" s="174"/>
      <c r="Q1863" s="175"/>
      <c r="R1863" s="159"/>
      <c r="S1863" s="160"/>
      <c r="T1863" s="161"/>
      <c r="U1863" s="173"/>
      <c r="V1863" s="176"/>
      <c r="W1863" s="177"/>
      <c r="X1863" s="178"/>
      <c r="Y1863" s="159"/>
      <c r="Z1863" s="161"/>
      <c r="AA1863" s="160"/>
      <c r="AD1863" s="154" t="s">
        <v>6906</v>
      </c>
      <c r="AI1863" s="154" t="s">
        <v>6897</v>
      </c>
      <c r="AL1863" s="154" t="s">
        <v>31</v>
      </c>
      <c r="AM1863" s="154" t="s">
        <v>2426</v>
      </c>
      <c r="AQ1863" s="173"/>
      <c r="AR1863" s="174"/>
      <c r="AS1863" s="175"/>
      <c r="AT1863" s="159"/>
      <c r="AU1863" s="161"/>
      <c r="AV1863" s="173"/>
      <c r="AW1863" s="176"/>
      <c r="AX1863" s="177"/>
      <c r="AY1863" s="178">
        <v>2</v>
      </c>
      <c r="AZ1863" s="159">
        <v>1</v>
      </c>
      <c r="BA1863" s="161"/>
      <c r="BB1863" s="160"/>
      <c r="BE1863" s="154" t="s">
        <v>6906</v>
      </c>
      <c r="BG1863" s="154" t="s">
        <v>6910</v>
      </c>
    </row>
    <row r="1864" spans="1:59" s="154" customFormat="1" ht="15" customHeight="1">
      <c r="A1864" s="153" t="s">
        <v>6823</v>
      </c>
      <c r="B1864" s="188" t="s">
        <v>6911</v>
      </c>
      <c r="C1864" s="154" t="s">
        <v>6825</v>
      </c>
      <c r="D1864" s="154">
        <v>338</v>
      </c>
      <c r="E1864" s="154">
        <v>3</v>
      </c>
      <c r="F1864" s="154" t="s">
        <v>6238</v>
      </c>
      <c r="G1864" s="154" t="s">
        <v>6912</v>
      </c>
      <c r="J1864" s="154" t="s">
        <v>31</v>
      </c>
      <c r="K1864" s="154" t="s">
        <v>2426</v>
      </c>
      <c r="O1864" s="173"/>
      <c r="P1864" s="174"/>
      <c r="Q1864" s="175"/>
      <c r="R1864" s="159"/>
      <c r="S1864" s="160"/>
      <c r="T1864" s="161"/>
      <c r="U1864" s="173"/>
      <c r="V1864" s="176"/>
      <c r="W1864" s="177"/>
      <c r="X1864" s="178"/>
      <c r="Y1864" s="159"/>
      <c r="Z1864" s="161"/>
      <c r="AA1864" s="160"/>
      <c r="AD1864" s="154" t="s">
        <v>6906</v>
      </c>
      <c r="AI1864" s="153" t="s">
        <v>6897</v>
      </c>
      <c r="AL1864" s="154" t="s">
        <v>31</v>
      </c>
      <c r="AM1864" s="154" t="s">
        <v>2426</v>
      </c>
      <c r="AQ1864" s="173"/>
      <c r="AR1864" s="174"/>
      <c r="AS1864" s="175"/>
      <c r="AT1864" s="159"/>
      <c r="AU1864" s="161"/>
      <c r="AV1864" s="173"/>
      <c r="AW1864" s="176"/>
      <c r="AX1864" s="177"/>
      <c r="AY1864" s="178">
        <v>2</v>
      </c>
      <c r="AZ1864" s="159">
        <v>1</v>
      </c>
      <c r="BA1864" s="161"/>
      <c r="BB1864" s="160"/>
      <c r="BE1864" s="154" t="s">
        <v>6906</v>
      </c>
      <c r="BG1864" s="154" t="s">
        <v>6913</v>
      </c>
    </row>
    <row r="1865" spans="1:59" s="154" customFormat="1" ht="15" customHeight="1">
      <c r="A1865" s="153" t="s">
        <v>6823</v>
      </c>
      <c r="B1865" s="189" t="s">
        <v>6914</v>
      </c>
      <c r="C1865" s="154" t="s">
        <v>6825</v>
      </c>
      <c r="D1865" s="154">
        <v>339</v>
      </c>
      <c r="E1865" s="154">
        <v>1</v>
      </c>
      <c r="F1865" s="154" t="s">
        <v>6238</v>
      </c>
      <c r="G1865" s="154" t="s">
        <v>6915</v>
      </c>
      <c r="J1865" s="154" t="s">
        <v>31</v>
      </c>
      <c r="K1865" s="154" t="s">
        <v>2426</v>
      </c>
      <c r="O1865" s="173"/>
      <c r="P1865" s="174"/>
      <c r="Q1865" s="175"/>
      <c r="R1865" s="159"/>
      <c r="S1865" s="160"/>
      <c r="T1865" s="161"/>
      <c r="U1865" s="173"/>
      <c r="V1865" s="176"/>
      <c r="W1865" s="177"/>
      <c r="X1865" s="178"/>
      <c r="Y1865" s="159"/>
      <c r="Z1865" s="161"/>
      <c r="AA1865" s="160"/>
      <c r="AD1865" s="154" t="s">
        <v>6906</v>
      </c>
      <c r="AI1865" s="154" t="s">
        <v>6897</v>
      </c>
      <c r="AL1865" s="154" t="s">
        <v>31</v>
      </c>
      <c r="AM1865" s="154" t="s">
        <v>2426</v>
      </c>
      <c r="AQ1865" s="173"/>
      <c r="AR1865" s="174"/>
      <c r="AS1865" s="175"/>
      <c r="AT1865" s="159"/>
      <c r="AU1865" s="161"/>
      <c r="AV1865" s="173"/>
      <c r="AW1865" s="176"/>
      <c r="AX1865" s="177"/>
      <c r="AY1865" s="178">
        <v>1</v>
      </c>
      <c r="AZ1865" s="159">
        <v>1</v>
      </c>
      <c r="BA1865" s="161"/>
      <c r="BB1865" s="160"/>
      <c r="BE1865" s="154" t="s">
        <v>6906</v>
      </c>
      <c r="BG1865" s="154" t="s">
        <v>6916</v>
      </c>
    </row>
    <row r="1866" spans="1:59" s="154" customFormat="1" ht="15" customHeight="1">
      <c r="A1866" s="153" t="s">
        <v>6823</v>
      </c>
      <c r="B1866" s="189" t="s">
        <v>6917</v>
      </c>
      <c r="C1866" s="154" t="s">
        <v>6825</v>
      </c>
      <c r="D1866" s="154">
        <v>340</v>
      </c>
      <c r="E1866" s="154">
        <v>2</v>
      </c>
      <c r="F1866" s="154" t="s">
        <v>6238</v>
      </c>
      <c r="G1866" s="154" t="s">
        <v>6918</v>
      </c>
      <c r="J1866" s="154" t="s">
        <v>31</v>
      </c>
      <c r="K1866" s="154" t="s">
        <v>2426</v>
      </c>
      <c r="O1866" s="173"/>
      <c r="P1866" s="174"/>
      <c r="Q1866" s="175"/>
      <c r="R1866" s="159"/>
      <c r="S1866" s="160"/>
      <c r="T1866" s="161"/>
      <c r="U1866" s="173"/>
      <c r="V1866" s="176"/>
      <c r="W1866" s="177"/>
      <c r="X1866" s="178"/>
      <c r="Y1866" s="159"/>
      <c r="Z1866" s="161"/>
      <c r="AA1866" s="160"/>
      <c r="AD1866" s="154" t="s">
        <v>6906</v>
      </c>
      <c r="AI1866" s="154" t="s">
        <v>6897</v>
      </c>
      <c r="AL1866" s="154" t="s">
        <v>31</v>
      </c>
      <c r="AM1866" s="154" t="s">
        <v>2426</v>
      </c>
      <c r="AQ1866" s="173"/>
      <c r="AR1866" s="174"/>
      <c r="AS1866" s="175"/>
      <c r="AT1866" s="159"/>
      <c r="AU1866" s="161"/>
      <c r="AV1866" s="173"/>
      <c r="AW1866" s="176"/>
      <c r="AX1866" s="177"/>
      <c r="AY1866" s="178">
        <v>4</v>
      </c>
      <c r="AZ1866" s="159">
        <v>2</v>
      </c>
      <c r="BA1866" s="161"/>
      <c r="BB1866" s="160"/>
      <c r="BE1866" s="154" t="s">
        <v>6906</v>
      </c>
      <c r="BG1866" s="154" t="s">
        <v>6919</v>
      </c>
    </row>
    <row r="1867" spans="1:59" s="154" customFormat="1" ht="15" customHeight="1">
      <c r="A1867" s="153" t="s">
        <v>6823</v>
      </c>
      <c r="B1867" s="188" t="s">
        <v>6920</v>
      </c>
      <c r="C1867" s="154" t="s">
        <v>6825</v>
      </c>
      <c r="D1867" s="154">
        <v>341</v>
      </c>
      <c r="E1867" s="154">
        <v>3</v>
      </c>
      <c r="F1867" s="154" t="s">
        <v>6238</v>
      </c>
      <c r="G1867" s="154" t="s">
        <v>6921</v>
      </c>
      <c r="J1867" s="154" t="s">
        <v>29</v>
      </c>
      <c r="K1867" s="154" t="s">
        <v>2426</v>
      </c>
      <c r="O1867" s="173"/>
      <c r="P1867" s="174"/>
      <c r="Q1867" s="175">
        <v>6</v>
      </c>
      <c r="R1867" s="159">
        <v>3</v>
      </c>
      <c r="S1867" s="160"/>
      <c r="T1867" s="161">
        <v>5</v>
      </c>
      <c r="U1867" s="173"/>
      <c r="V1867" s="176">
        <v>2</v>
      </c>
      <c r="W1867" s="177">
        <v>1</v>
      </c>
      <c r="X1867" s="178"/>
      <c r="Y1867" s="159"/>
      <c r="Z1867" s="161"/>
      <c r="AA1867" s="160"/>
      <c r="AD1867" s="154" t="s">
        <v>2784</v>
      </c>
      <c r="AF1867" s="154" t="s">
        <v>6922</v>
      </c>
      <c r="AQ1867" s="173"/>
      <c r="AR1867" s="174"/>
      <c r="AS1867" s="175"/>
      <c r="AT1867" s="159"/>
      <c r="AU1867" s="161"/>
      <c r="AV1867" s="173"/>
      <c r="AW1867" s="176"/>
      <c r="AX1867" s="177"/>
      <c r="AY1867" s="178"/>
      <c r="AZ1867" s="159"/>
      <c r="BA1867" s="161"/>
      <c r="BB1867" s="160"/>
    </row>
    <row r="1868" spans="1:59" s="154" customFormat="1" ht="15" customHeight="1">
      <c r="A1868" s="153" t="s">
        <v>6823</v>
      </c>
      <c r="B1868" s="188" t="s">
        <v>6923</v>
      </c>
      <c r="C1868" s="154" t="s">
        <v>6825</v>
      </c>
      <c r="D1868" s="154">
        <v>342</v>
      </c>
      <c r="E1868" s="154">
        <v>3</v>
      </c>
      <c r="F1868" s="154" t="s">
        <v>6238</v>
      </c>
      <c r="G1868" s="154" t="s">
        <v>6924</v>
      </c>
      <c r="J1868" s="154" t="s">
        <v>28</v>
      </c>
      <c r="K1868" s="154" t="s">
        <v>2426</v>
      </c>
      <c r="O1868" s="173"/>
      <c r="P1868" s="174"/>
      <c r="Q1868" s="175"/>
      <c r="R1868" s="159"/>
      <c r="S1868" s="160"/>
      <c r="T1868" s="161"/>
      <c r="U1868" s="173"/>
      <c r="V1868" s="176"/>
      <c r="W1868" s="177"/>
      <c r="X1868" s="178"/>
      <c r="Y1868" s="159"/>
      <c r="Z1868" s="161"/>
      <c r="AA1868" s="160"/>
      <c r="AD1868" s="154" t="s">
        <v>1663</v>
      </c>
      <c r="AF1868" s="154" t="s">
        <v>6925</v>
      </c>
      <c r="AQ1868" s="173"/>
      <c r="AR1868" s="174"/>
      <c r="AS1868" s="175"/>
      <c r="AT1868" s="159"/>
      <c r="AU1868" s="161"/>
      <c r="AV1868" s="173"/>
      <c r="AW1868" s="176"/>
      <c r="AX1868" s="177"/>
      <c r="AY1868" s="178"/>
      <c r="AZ1868" s="159"/>
      <c r="BA1868" s="161"/>
      <c r="BB1868" s="160"/>
    </row>
    <row r="1869" spans="1:59" s="154" customFormat="1" ht="15" customHeight="1">
      <c r="A1869" s="153" t="s">
        <v>6823</v>
      </c>
      <c r="B1869" s="189" t="s">
        <v>6926</v>
      </c>
      <c r="C1869" s="154" t="s">
        <v>6825</v>
      </c>
      <c r="D1869" s="154">
        <v>343</v>
      </c>
      <c r="E1869" s="154">
        <v>2</v>
      </c>
      <c r="F1869" s="154" t="s">
        <v>6238</v>
      </c>
      <c r="G1869" s="154" t="s">
        <v>6927</v>
      </c>
      <c r="J1869" s="154" t="s">
        <v>28</v>
      </c>
      <c r="K1869" s="154" t="s">
        <v>2426</v>
      </c>
      <c r="O1869" s="173"/>
      <c r="P1869" s="174"/>
      <c r="Q1869" s="175"/>
      <c r="R1869" s="159"/>
      <c r="S1869" s="160"/>
      <c r="T1869" s="161"/>
      <c r="U1869" s="173"/>
      <c r="V1869" s="176"/>
      <c r="W1869" s="177"/>
      <c r="X1869" s="178"/>
      <c r="Y1869" s="159"/>
      <c r="Z1869" s="161"/>
      <c r="AA1869" s="160"/>
      <c r="AD1869" s="154" t="s">
        <v>845</v>
      </c>
      <c r="AF1869" s="154" t="s">
        <v>6928</v>
      </c>
      <c r="AQ1869" s="173"/>
      <c r="AR1869" s="174"/>
      <c r="AS1869" s="175"/>
      <c r="AT1869" s="159"/>
      <c r="AU1869" s="161"/>
      <c r="AV1869" s="173"/>
      <c r="AW1869" s="176"/>
      <c r="AX1869" s="177"/>
      <c r="AY1869" s="178"/>
      <c r="AZ1869" s="159"/>
      <c r="BA1869" s="161"/>
      <c r="BB1869" s="160"/>
    </row>
    <row r="1870" spans="1:59" s="154" customFormat="1" ht="15" customHeight="1">
      <c r="A1870" s="153" t="s">
        <v>6823</v>
      </c>
      <c r="B1870" s="188" t="s">
        <v>6929</v>
      </c>
      <c r="C1870" s="154" t="s">
        <v>6825</v>
      </c>
      <c r="D1870" s="154">
        <v>344</v>
      </c>
      <c r="E1870" s="154">
        <v>2</v>
      </c>
      <c r="F1870" s="154" t="s">
        <v>6238</v>
      </c>
      <c r="G1870" s="154" t="s">
        <v>6930</v>
      </c>
      <c r="J1870" s="154" t="s">
        <v>28</v>
      </c>
      <c r="K1870" s="154" t="s">
        <v>2426</v>
      </c>
      <c r="O1870" s="173"/>
      <c r="P1870" s="174"/>
      <c r="Q1870" s="175"/>
      <c r="R1870" s="159"/>
      <c r="S1870" s="160"/>
      <c r="T1870" s="161"/>
      <c r="U1870" s="173"/>
      <c r="V1870" s="176"/>
      <c r="W1870" s="177"/>
      <c r="X1870" s="178"/>
      <c r="Y1870" s="159"/>
      <c r="Z1870" s="161"/>
      <c r="AA1870" s="160"/>
      <c r="AD1870" s="154" t="s">
        <v>1370</v>
      </c>
      <c r="AF1870" s="154" t="s">
        <v>6931</v>
      </c>
      <c r="AQ1870" s="173"/>
      <c r="AR1870" s="174"/>
      <c r="AS1870" s="175"/>
      <c r="AT1870" s="159"/>
      <c r="AU1870" s="161"/>
      <c r="AV1870" s="173"/>
      <c r="AW1870" s="176"/>
      <c r="AX1870" s="177"/>
      <c r="AY1870" s="178"/>
      <c r="AZ1870" s="159"/>
      <c r="BA1870" s="161"/>
      <c r="BB1870" s="160"/>
    </row>
    <row r="1871" spans="1:59" s="154" customFormat="1" ht="15" customHeight="1">
      <c r="A1871" s="153" t="s">
        <v>6823</v>
      </c>
      <c r="B1871" s="189" t="s">
        <v>6932</v>
      </c>
      <c r="C1871" s="154" t="s">
        <v>6825</v>
      </c>
      <c r="D1871" s="154">
        <v>345</v>
      </c>
      <c r="E1871" s="154">
        <v>2</v>
      </c>
      <c r="F1871" s="154" t="s">
        <v>6238</v>
      </c>
      <c r="G1871" s="154" t="s">
        <v>6933</v>
      </c>
      <c r="J1871" s="154" t="s">
        <v>28</v>
      </c>
      <c r="K1871" s="154" t="s">
        <v>2426</v>
      </c>
      <c r="O1871" s="173"/>
      <c r="P1871" s="174"/>
      <c r="Q1871" s="175"/>
      <c r="R1871" s="159"/>
      <c r="S1871" s="160"/>
      <c r="T1871" s="161"/>
      <c r="U1871" s="173"/>
      <c r="V1871" s="176"/>
      <c r="W1871" s="177"/>
      <c r="X1871" s="178"/>
      <c r="Y1871" s="159"/>
      <c r="Z1871" s="161"/>
      <c r="AA1871" s="160"/>
      <c r="AD1871" s="154" t="s">
        <v>1370</v>
      </c>
      <c r="AF1871" s="154" t="s">
        <v>6934</v>
      </c>
      <c r="AQ1871" s="173"/>
      <c r="AR1871" s="174"/>
      <c r="AS1871" s="175"/>
      <c r="AT1871" s="159"/>
      <c r="AU1871" s="161"/>
      <c r="AV1871" s="173"/>
      <c r="AW1871" s="176"/>
      <c r="AX1871" s="177"/>
      <c r="AY1871" s="178"/>
      <c r="AZ1871" s="159"/>
      <c r="BA1871" s="161"/>
      <c r="BB1871" s="160"/>
    </row>
    <row r="1872" spans="1:59" s="154" customFormat="1" ht="15" customHeight="1">
      <c r="A1872" s="153" t="s">
        <v>6823</v>
      </c>
      <c r="B1872" s="188" t="s">
        <v>6935</v>
      </c>
      <c r="C1872" s="154" t="s">
        <v>6825</v>
      </c>
      <c r="D1872" s="154">
        <v>346</v>
      </c>
      <c r="E1872" s="154">
        <v>1</v>
      </c>
      <c r="F1872" s="154" t="s">
        <v>6238</v>
      </c>
      <c r="G1872" s="154" t="s">
        <v>6936</v>
      </c>
      <c r="H1872" s="154" t="s">
        <v>6937</v>
      </c>
      <c r="I1872" s="154" t="s">
        <v>223</v>
      </c>
      <c r="J1872" s="154" t="s">
        <v>29</v>
      </c>
      <c r="K1872" s="154" t="s">
        <v>2426</v>
      </c>
      <c r="O1872" s="173"/>
      <c r="P1872" s="174"/>
      <c r="Q1872" s="175"/>
      <c r="R1872" s="159"/>
      <c r="S1872" s="160"/>
      <c r="T1872" s="161"/>
      <c r="U1872" s="173"/>
      <c r="V1872" s="176">
        <v>3</v>
      </c>
      <c r="W1872" s="177">
        <v>3</v>
      </c>
      <c r="X1872" s="178"/>
      <c r="Y1872" s="159"/>
      <c r="Z1872" s="161"/>
      <c r="AA1872" s="160"/>
      <c r="AD1872" s="154" t="s">
        <v>822</v>
      </c>
      <c r="AF1872" s="154" t="s">
        <v>6938</v>
      </c>
      <c r="AQ1872" s="173"/>
      <c r="AR1872" s="174"/>
      <c r="AS1872" s="175"/>
      <c r="AT1872" s="159"/>
      <c r="AU1872" s="161"/>
      <c r="AV1872" s="173"/>
      <c r="AW1872" s="176"/>
      <c r="AX1872" s="177"/>
      <c r="AY1872" s="178"/>
      <c r="AZ1872" s="159"/>
      <c r="BA1872" s="161"/>
      <c r="BB1872" s="160"/>
    </row>
    <row r="1873" spans="1:59" s="154" customFormat="1" ht="15" customHeight="1">
      <c r="A1873" s="153" t="s">
        <v>6939</v>
      </c>
      <c r="B1873" s="187" t="s">
        <v>6940</v>
      </c>
      <c r="C1873" s="154" t="s">
        <v>6941</v>
      </c>
      <c r="D1873" s="154">
        <v>1</v>
      </c>
      <c r="E1873" s="154">
        <v>1</v>
      </c>
      <c r="G1873" s="154" t="s">
        <v>6942</v>
      </c>
      <c r="H1873" s="154" t="s">
        <v>6943</v>
      </c>
      <c r="I1873" s="154" t="s">
        <v>223</v>
      </c>
      <c r="J1873" s="154" t="s">
        <v>203</v>
      </c>
      <c r="K1873" s="154" t="s">
        <v>198</v>
      </c>
      <c r="O1873" s="173">
        <v>3</v>
      </c>
      <c r="P1873" s="174">
        <v>3</v>
      </c>
      <c r="Q1873" s="175">
        <v>4</v>
      </c>
      <c r="R1873" s="159">
        <v>2</v>
      </c>
      <c r="S1873" s="160"/>
      <c r="T1873" s="161">
        <v>8</v>
      </c>
      <c r="U1873" s="173">
        <v>6</v>
      </c>
      <c r="V1873" s="176"/>
      <c r="W1873" s="177"/>
      <c r="X1873" s="178"/>
      <c r="Y1873" s="159"/>
      <c r="Z1873" s="161"/>
      <c r="AA1873" s="160"/>
      <c r="AD1873" s="154" t="s">
        <v>6944</v>
      </c>
      <c r="AF1873" s="154" t="s">
        <v>6945</v>
      </c>
      <c r="AI1873" s="154" t="s">
        <v>6942</v>
      </c>
      <c r="AJ1873" s="154" t="s">
        <v>6943</v>
      </c>
      <c r="AK1873" s="154" t="s">
        <v>223</v>
      </c>
      <c r="AL1873" s="154" t="s">
        <v>203</v>
      </c>
      <c r="AM1873" s="154" t="s">
        <v>198</v>
      </c>
      <c r="AQ1873" s="173"/>
      <c r="AR1873" s="174"/>
      <c r="AS1873" s="175"/>
      <c r="AT1873" s="159"/>
      <c r="AU1873" s="161"/>
      <c r="AV1873" s="173"/>
      <c r="AW1873" s="176"/>
      <c r="AX1873" s="177"/>
      <c r="AY1873" s="178"/>
      <c r="AZ1873" s="159"/>
      <c r="BA1873" s="161"/>
      <c r="BB1873" s="160"/>
      <c r="BE1873" s="154" t="s">
        <v>6944</v>
      </c>
      <c r="BG1873" s="154" t="s">
        <v>6946</v>
      </c>
    </row>
    <row r="1874" spans="1:59" s="154" customFormat="1" ht="15" customHeight="1">
      <c r="A1874" s="153" t="s">
        <v>6939</v>
      </c>
      <c r="B1874" s="187" t="s">
        <v>6947</v>
      </c>
      <c r="C1874" s="154" t="s">
        <v>6941</v>
      </c>
      <c r="D1874" s="154">
        <v>2</v>
      </c>
      <c r="E1874" s="154">
        <v>1</v>
      </c>
      <c r="G1874" s="154" t="s">
        <v>6948</v>
      </c>
      <c r="H1874" s="154" t="s">
        <v>6949</v>
      </c>
      <c r="I1874" s="154" t="s">
        <v>223</v>
      </c>
      <c r="J1874" s="154" t="s">
        <v>203</v>
      </c>
      <c r="K1874" s="154" t="s">
        <v>199</v>
      </c>
      <c r="O1874" s="173">
        <v>3</v>
      </c>
      <c r="P1874" s="174">
        <v>5</v>
      </c>
      <c r="Q1874" s="175">
        <v>1</v>
      </c>
      <c r="R1874" s="159">
        <v>3</v>
      </c>
      <c r="S1874" s="160"/>
      <c r="T1874" s="161">
        <v>6</v>
      </c>
      <c r="U1874" s="173">
        <v>8</v>
      </c>
      <c r="V1874" s="176"/>
      <c r="W1874" s="177"/>
      <c r="X1874" s="178"/>
      <c r="Y1874" s="159"/>
      <c r="Z1874" s="161"/>
      <c r="AA1874" s="160"/>
      <c r="AD1874" s="154" t="s">
        <v>6950</v>
      </c>
      <c r="AF1874" s="154" t="s">
        <v>6951</v>
      </c>
      <c r="AI1874" s="154" t="s">
        <v>6948</v>
      </c>
      <c r="AJ1874" s="154" t="s">
        <v>6949</v>
      </c>
      <c r="AK1874" s="154" t="s">
        <v>223</v>
      </c>
      <c r="AL1874" s="154" t="s">
        <v>203</v>
      </c>
      <c r="AM1874" s="154" t="s">
        <v>199</v>
      </c>
      <c r="AQ1874" s="173"/>
      <c r="AR1874" s="174"/>
      <c r="AS1874" s="175"/>
      <c r="AT1874" s="159"/>
      <c r="AU1874" s="161"/>
      <c r="AV1874" s="173"/>
      <c r="AW1874" s="176"/>
      <c r="AX1874" s="177"/>
      <c r="AY1874" s="178"/>
      <c r="AZ1874" s="159"/>
      <c r="BA1874" s="161"/>
      <c r="BB1874" s="160"/>
      <c r="BE1874" s="154" t="s">
        <v>6950</v>
      </c>
      <c r="BG1874" s="154" t="s">
        <v>6952</v>
      </c>
    </row>
    <row r="1875" spans="1:59" s="154" customFormat="1" ht="15" customHeight="1">
      <c r="A1875" s="153" t="s">
        <v>6939</v>
      </c>
      <c r="B1875" s="188" t="s">
        <v>6953</v>
      </c>
      <c r="C1875" s="154" t="s">
        <v>6941</v>
      </c>
      <c r="D1875" s="154">
        <v>3</v>
      </c>
      <c r="E1875" s="154">
        <v>1</v>
      </c>
      <c r="G1875" s="154" t="s">
        <v>6954</v>
      </c>
      <c r="H1875" s="154" t="s">
        <v>6955</v>
      </c>
      <c r="I1875" s="154" t="s">
        <v>223</v>
      </c>
      <c r="J1875" s="154" t="s">
        <v>203</v>
      </c>
      <c r="K1875" s="154" t="s">
        <v>201</v>
      </c>
      <c r="O1875" s="173">
        <v>2</v>
      </c>
      <c r="P1875" s="174">
        <v>3</v>
      </c>
      <c r="Q1875" s="175">
        <v>5</v>
      </c>
      <c r="R1875" s="159">
        <v>2</v>
      </c>
      <c r="S1875" s="160"/>
      <c r="T1875" s="161">
        <v>9</v>
      </c>
      <c r="U1875" s="173">
        <v>5</v>
      </c>
      <c r="V1875" s="176"/>
      <c r="W1875" s="177"/>
      <c r="X1875" s="178"/>
      <c r="Y1875" s="159"/>
      <c r="Z1875" s="161"/>
      <c r="AA1875" s="160"/>
      <c r="AD1875" s="154" t="s">
        <v>6956</v>
      </c>
      <c r="AF1875" s="154" t="s">
        <v>6957</v>
      </c>
      <c r="AI1875" s="154" t="s">
        <v>6954</v>
      </c>
      <c r="AJ1875" s="154" t="s">
        <v>6955</v>
      </c>
      <c r="AK1875" s="154" t="s">
        <v>223</v>
      </c>
      <c r="AL1875" s="154" t="s">
        <v>203</v>
      </c>
      <c r="AM1875" s="154" t="s">
        <v>201</v>
      </c>
      <c r="AQ1875" s="173"/>
      <c r="AR1875" s="174"/>
      <c r="AS1875" s="175"/>
      <c r="AT1875" s="159"/>
      <c r="AU1875" s="161"/>
      <c r="AV1875" s="173"/>
      <c r="AW1875" s="176"/>
      <c r="AX1875" s="177"/>
      <c r="AY1875" s="178"/>
      <c r="AZ1875" s="159"/>
      <c r="BA1875" s="161"/>
      <c r="BB1875" s="160"/>
      <c r="BE1875" s="154" t="s">
        <v>6956</v>
      </c>
      <c r="BG1875" s="154" t="s">
        <v>6958</v>
      </c>
    </row>
    <row r="1876" spans="1:59" s="154" customFormat="1" ht="15" customHeight="1">
      <c r="A1876" s="153" t="s">
        <v>6939</v>
      </c>
      <c r="B1876" s="188" t="s">
        <v>6959</v>
      </c>
      <c r="C1876" s="154" t="s">
        <v>6941</v>
      </c>
      <c r="D1876" s="154">
        <v>4</v>
      </c>
      <c r="E1876" s="154">
        <v>1</v>
      </c>
      <c r="G1876" s="154" t="s">
        <v>6960</v>
      </c>
      <c r="H1876" s="154" t="s">
        <v>6961</v>
      </c>
      <c r="I1876" s="154" t="s">
        <v>223</v>
      </c>
      <c r="J1876" s="154" t="s">
        <v>203</v>
      </c>
      <c r="K1876" s="154" t="s">
        <v>200</v>
      </c>
      <c r="O1876" s="173">
        <v>4</v>
      </c>
      <c r="P1876" s="174">
        <v>3</v>
      </c>
      <c r="Q1876" s="175">
        <v>2</v>
      </c>
      <c r="R1876" s="159">
        <v>3</v>
      </c>
      <c r="S1876" s="160"/>
      <c r="T1876" s="161">
        <v>5</v>
      </c>
      <c r="U1876" s="173">
        <v>9</v>
      </c>
      <c r="V1876" s="176"/>
      <c r="W1876" s="177"/>
      <c r="X1876" s="178"/>
      <c r="Y1876" s="159"/>
      <c r="Z1876" s="161"/>
      <c r="AA1876" s="160"/>
      <c r="AD1876" s="154" t="s">
        <v>6962</v>
      </c>
      <c r="AF1876" s="154" t="s">
        <v>6963</v>
      </c>
      <c r="AI1876" s="154" t="s">
        <v>6960</v>
      </c>
      <c r="AJ1876" s="154" t="s">
        <v>6961</v>
      </c>
      <c r="AK1876" s="154" t="s">
        <v>223</v>
      </c>
      <c r="AL1876" s="154" t="s">
        <v>203</v>
      </c>
      <c r="AM1876" s="154" t="s">
        <v>200</v>
      </c>
      <c r="AQ1876" s="173"/>
      <c r="AR1876" s="174"/>
      <c r="AS1876" s="175"/>
      <c r="AT1876" s="159"/>
      <c r="AU1876" s="161"/>
      <c r="AV1876" s="173"/>
      <c r="AW1876" s="176"/>
      <c r="AX1876" s="177"/>
      <c r="AY1876" s="178"/>
      <c r="AZ1876" s="159"/>
      <c r="BA1876" s="161"/>
      <c r="BB1876" s="160"/>
      <c r="BE1876" s="154" t="s">
        <v>6962</v>
      </c>
      <c r="BG1876" s="154" t="s">
        <v>6964</v>
      </c>
    </row>
    <row r="1877" spans="1:59" s="154" customFormat="1" ht="15" customHeight="1">
      <c r="A1877" s="153" t="s">
        <v>6939</v>
      </c>
      <c r="B1877" s="188" t="s">
        <v>6965</v>
      </c>
      <c r="C1877" s="154" t="s">
        <v>6941</v>
      </c>
      <c r="D1877" s="154">
        <v>5</v>
      </c>
      <c r="E1877" s="154">
        <v>1</v>
      </c>
      <c r="G1877" s="154" t="s">
        <v>6966</v>
      </c>
      <c r="H1877" s="154" t="s">
        <v>6967</v>
      </c>
      <c r="I1877" s="154" t="s">
        <v>223</v>
      </c>
      <c r="J1877" s="154" t="s">
        <v>203</v>
      </c>
      <c r="K1877" s="154" t="s">
        <v>202</v>
      </c>
      <c r="O1877" s="173">
        <v>4</v>
      </c>
      <c r="P1877" s="174">
        <v>2</v>
      </c>
      <c r="Q1877" s="175">
        <v>2</v>
      </c>
      <c r="R1877" s="159">
        <v>2</v>
      </c>
      <c r="S1877" s="160"/>
      <c r="T1877" s="161">
        <v>7</v>
      </c>
      <c r="U1877" s="173">
        <v>7</v>
      </c>
      <c r="V1877" s="176"/>
      <c r="W1877" s="177"/>
      <c r="X1877" s="178"/>
      <c r="Y1877" s="159"/>
      <c r="Z1877" s="161"/>
      <c r="AA1877" s="160"/>
      <c r="AD1877" s="154" t="s">
        <v>6968</v>
      </c>
      <c r="AF1877" s="154" t="s">
        <v>6969</v>
      </c>
      <c r="AI1877" s="154" t="s">
        <v>6966</v>
      </c>
      <c r="AJ1877" s="154" t="s">
        <v>6967</v>
      </c>
      <c r="AK1877" s="154" t="s">
        <v>223</v>
      </c>
      <c r="AL1877" s="154" t="s">
        <v>203</v>
      </c>
      <c r="AM1877" s="154" t="s">
        <v>202</v>
      </c>
      <c r="AQ1877" s="173"/>
      <c r="AR1877" s="174"/>
      <c r="AS1877" s="175"/>
      <c r="AT1877" s="159"/>
      <c r="AU1877" s="161"/>
      <c r="AV1877" s="173"/>
      <c r="AW1877" s="176"/>
      <c r="AX1877" s="177"/>
      <c r="AY1877" s="178"/>
      <c r="AZ1877" s="159"/>
      <c r="BA1877" s="161"/>
      <c r="BB1877" s="160"/>
      <c r="BE1877" s="154" t="s">
        <v>6968</v>
      </c>
      <c r="BG1877" s="154" t="s">
        <v>6970</v>
      </c>
    </row>
    <row r="1878" spans="1:59" s="154" customFormat="1" ht="15" customHeight="1">
      <c r="A1878" s="153" t="s">
        <v>6939</v>
      </c>
      <c r="B1878" s="189" t="s">
        <v>6971</v>
      </c>
      <c r="C1878" s="154" t="s">
        <v>6941</v>
      </c>
      <c r="D1878" s="154">
        <v>6</v>
      </c>
      <c r="E1878" s="154">
        <v>1</v>
      </c>
      <c r="G1878" s="154" t="s">
        <v>6972</v>
      </c>
      <c r="H1878" s="154" t="s">
        <v>6973</v>
      </c>
      <c r="I1878" s="154" t="s">
        <v>223</v>
      </c>
      <c r="J1878" s="154" t="s">
        <v>257</v>
      </c>
      <c r="K1878" s="154" t="s">
        <v>26</v>
      </c>
      <c r="N1878" s="154">
        <v>2</v>
      </c>
      <c r="O1878" s="173"/>
      <c r="P1878" s="174"/>
      <c r="Q1878" s="175">
        <v>1</v>
      </c>
      <c r="R1878" s="159">
        <v>1</v>
      </c>
      <c r="S1878" s="160">
        <v>1</v>
      </c>
      <c r="T1878" s="161"/>
      <c r="U1878" s="173"/>
      <c r="V1878" s="176"/>
      <c r="W1878" s="177"/>
      <c r="X1878" s="178"/>
      <c r="Y1878" s="159"/>
      <c r="Z1878" s="161"/>
      <c r="AA1878" s="160"/>
      <c r="AB1878" s="154" t="s">
        <v>1078</v>
      </c>
      <c r="AC1878" s="154" t="s">
        <v>322</v>
      </c>
      <c r="AD1878" s="154" t="s">
        <v>259</v>
      </c>
      <c r="AF1878" s="154" t="s">
        <v>6974</v>
      </c>
      <c r="AQ1878" s="173"/>
      <c r="AR1878" s="174"/>
      <c r="AS1878" s="175"/>
      <c r="AT1878" s="159"/>
      <c r="AU1878" s="161"/>
      <c r="AV1878" s="173"/>
      <c r="AW1878" s="176"/>
      <c r="AX1878" s="177"/>
      <c r="AY1878" s="178"/>
      <c r="AZ1878" s="159"/>
      <c r="BA1878" s="161"/>
      <c r="BB1878" s="160"/>
    </row>
    <row r="1879" spans="1:59" s="154" customFormat="1" ht="15" customHeight="1">
      <c r="A1879" s="153" t="s">
        <v>6939</v>
      </c>
      <c r="B1879" s="189" t="s">
        <v>6975</v>
      </c>
      <c r="C1879" s="154" t="s">
        <v>6941</v>
      </c>
      <c r="D1879" s="154">
        <v>7</v>
      </c>
      <c r="E1879" s="154">
        <v>1</v>
      </c>
      <c r="G1879" s="154" t="s">
        <v>6976</v>
      </c>
      <c r="J1879" s="154" t="s">
        <v>28</v>
      </c>
      <c r="K1879" s="154" t="s">
        <v>26</v>
      </c>
      <c r="M1879" s="154" t="s">
        <v>648</v>
      </c>
      <c r="O1879" s="173"/>
      <c r="P1879" s="174"/>
      <c r="Q1879" s="175"/>
      <c r="R1879" s="159"/>
      <c r="S1879" s="160"/>
      <c r="T1879" s="161"/>
      <c r="U1879" s="173"/>
      <c r="V1879" s="176"/>
      <c r="W1879" s="177"/>
      <c r="X1879" s="178"/>
      <c r="Y1879" s="159"/>
      <c r="Z1879" s="161"/>
      <c r="AA1879" s="160"/>
      <c r="AD1879" s="154" t="s">
        <v>6977</v>
      </c>
      <c r="AF1879" s="154" t="s">
        <v>6978</v>
      </c>
      <c r="AQ1879" s="173"/>
      <c r="AR1879" s="174"/>
      <c r="AS1879" s="175"/>
      <c r="AT1879" s="159"/>
      <c r="AU1879" s="161"/>
      <c r="AV1879" s="173"/>
      <c r="AW1879" s="176"/>
      <c r="AX1879" s="177"/>
      <c r="AY1879" s="178"/>
      <c r="AZ1879" s="159"/>
      <c r="BA1879" s="161"/>
      <c r="BB1879" s="160"/>
    </row>
    <row r="1880" spans="1:59" s="154" customFormat="1" ht="15" customHeight="1">
      <c r="A1880" s="153" t="s">
        <v>6939</v>
      </c>
      <c r="B1880" s="188" t="s">
        <v>6979</v>
      </c>
      <c r="C1880" s="154" t="s">
        <v>6941</v>
      </c>
      <c r="D1880" s="154">
        <v>8</v>
      </c>
      <c r="E1880" s="154">
        <v>3</v>
      </c>
      <c r="G1880" s="154" t="s">
        <v>6980</v>
      </c>
      <c r="J1880" s="154" t="s">
        <v>27</v>
      </c>
      <c r="K1880" s="154" t="s">
        <v>26</v>
      </c>
      <c r="N1880" s="154">
        <v>0</v>
      </c>
      <c r="O1880" s="173"/>
      <c r="P1880" s="174"/>
      <c r="Q1880" s="175"/>
      <c r="R1880" s="159"/>
      <c r="S1880" s="160">
        <v>1</v>
      </c>
      <c r="T1880" s="161"/>
      <c r="U1880" s="173"/>
      <c r="V1880" s="176"/>
      <c r="W1880" s="177"/>
      <c r="X1880" s="178"/>
      <c r="Y1880" s="159"/>
      <c r="Z1880" s="161"/>
      <c r="AA1880" s="160"/>
      <c r="AB1880" s="154" t="s">
        <v>208</v>
      </c>
      <c r="AD1880" s="154" t="s">
        <v>6981</v>
      </c>
      <c r="AF1880" s="154" t="s">
        <v>6982</v>
      </c>
      <c r="AQ1880" s="173"/>
      <c r="AR1880" s="174"/>
      <c r="AS1880" s="175"/>
      <c r="AT1880" s="159"/>
      <c r="AU1880" s="161"/>
      <c r="AV1880" s="173"/>
      <c r="AW1880" s="176"/>
      <c r="AX1880" s="177"/>
      <c r="AY1880" s="178"/>
      <c r="AZ1880" s="159"/>
      <c r="BA1880" s="161"/>
      <c r="BB1880" s="160"/>
    </row>
    <row r="1881" spans="1:59" s="154" customFormat="1" ht="15" customHeight="1">
      <c r="A1881" s="153" t="s">
        <v>6939</v>
      </c>
      <c r="B1881" s="188" t="s">
        <v>6983</v>
      </c>
      <c r="C1881" s="154" t="s">
        <v>6941</v>
      </c>
      <c r="D1881" s="154">
        <v>9</v>
      </c>
      <c r="E1881" s="154">
        <v>1</v>
      </c>
      <c r="G1881" s="154" t="s">
        <v>6984</v>
      </c>
      <c r="J1881" s="154" t="s">
        <v>28</v>
      </c>
      <c r="K1881" s="154" t="s">
        <v>26</v>
      </c>
      <c r="M1881" s="154" t="s">
        <v>648</v>
      </c>
      <c r="N1881" s="172"/>
      <c r="O1881" s="173"/>
      <c r="P1881" s="174"/>
      <c r="Q1881" s="175"/>
      <c r="R1881" s="159"/>
      <c r="S1881" s="160"/>
      <c r="T1881" s="161"/>
      <c r="U1881" s="173"/>
      <c r="V1881" s="176"/>
      <c r="W1881" s="177"/>
      <c r="X1881" s="178"/>
      <c r="Y1881" s="159"/>
      <c r="Z1881" s="161"/>
      <c r="AA1881" s="160"/>
      <c r="AD1881" s="154" t="s">
        <v>6985</v>
      </c>
      <c r="AF1881" s="154" t="s">
        <v>6986</v>
      </c>
      <c r="AQ1881" s="173"/>
      <c r="AR1881" s="174"/>
      <c r="AS1881" s="175"/>
      <c r="AT1881" s="159"/>
      <c r="AU1881" s="161"/>
      <c r="AV1881" s="173"/>
      <c r="AW1881" s="176"/>
      <c r="AX1881" s="177"/>
      <c r="AY1881" s="178"/>
      <c r="AZ1881" s="159"/>
      <c r="BA1881" s="161"/>
      <c r="BB1881" s="160"/>
    </row>
    <row r="1882" spans="1:59" s="154" customFormat="1" ht="15" customHeight="1">
      <c r="A1882" s="153" t="s">
        <v>6939</v>
      </c>
      <c r="B1882" s="188" t="s">
        <v>6987</v>
      </c>
      <c r="C1882" s="154" t="s">
        <v>6941</v>
      </c>
      <c r="D1882" s="154">
        <v>10</v>
      </c>
      <c r="E1882" s="154">
        <v>1</v>
      </c>
      <c r="G1882" s="154" t="s">
        <v>6988</v>
      </c>
      <c r="J1882" s="154" t="s">
        <v>257</v>
      </c>
      <c r="K1882" s="154" t="s">
        <v>26</v>
      </c>
      <c r="O1882" s="173"/>
      <c r="P1882" s="174"/>
      <c r="Q1882" s="175"/>
      <c r="R1882" s="159"/>
      <c r="S1882" s="160"/>
      <c r="T1882" s="161"/>
      <c r="U1882" s="173"/>
      <c r="V1882" s="176"/>
      <c r="W1882" s="177"/>
      <c r="X1882" s="178"/>
      <c r="Y1882" s="159"/>
      <c r="Z1882" s="161"/>
      <c r="AA1882" s="160"/>
      <c r="AD1882" s="154" t="s">
        <v>6989</v>
      </c>
      <c r="AF1882" s="154" t="s">
        <v>6990</v>
      </c>
      <c r="AQ1882" s="173"/>
      <c r="AR1882" s="174"/>
      <c r="AS1882" s="175"/>
      <c r="AT1882" s="159"/>
      <c r="AU1882" s="161"/>
      <c r="AV1882" s="173"/>
      <c r="AW1882" s="176"/>
      <c r="AX1882" s="177"/>
      <c r="AY1882" s="178"/>
      <c r="AZ1882" s="159"/>
      <c r="BA1882" s="161"/>
      <c r="BB1882" s="160"/>
    </row>
    <row r="1883" spans="1:59" s="154" customFormat="1" ht="15" customHeight="1">
      <c r="A1883" s="153" t="s">
        <v>6939</v>
      </c>
      <c r="B1883" s="188" t="s">
        <v>6991</v>
      </c>
      <c r="C1883" s="154" t="s">
        <v>6941</v>
      </c>
      <c r="D1883" s="154">
        <v>11</v>
      </c>
      <c r="E1883" s="154">
        <v>2</v>
      </c>
      <c r="G1883" s="154" t="s">
        <v>6992</v>
      </c>
      <c r="J1883" s="154" t="s">
        <v>257</v>
      </c>
      <c r="K1883" s="154" t="s">
        <v>26</v>
      </c>
      <c r="N1883" s="154">
        <v>3</v>
      </c>
      <c r="O1883" s="173"/>
      <c r="P1883" s="174">
        <v>1</v>
      </c>
      <c r="Q1883" s="175">
        <v>1</v>
      </c>
      <c r="R1883" s="159"/>
      <c r="S1883" s="160">
        <v>1</v>
      </c>
      <c r="T1883" s="161"/>
      <c r="U1883" s="173"/>
      <c r="V1883" s="176"/>
      <c r="W1883" s="177"/>
      <c r="X1883" s="178"/>
      <c r="Y1883" s="159"/>
      <c r="Z1883" s="161"/>
      <c r="AA1883" s="160"/>
      <c r="AB1883" s="154" t="s">
        <v>4712</v>
      </c>
      <c r="AC1883" s="154" t="s">
        <v>258</v>
      </c>
      <c r="AD1883" s="154" t="s">
        <v>259</v>
      </c>
      <c r="AF1883" s="154" t="s">
        <v>6993</v>
      </c>
      <c r="AQ1883" s="173"/>
      <c r="AR1883" s="174"/>
      <c r="AS1883" s="175"/>
      <c r="AT1883" s="159"/>
      <c r="AU1883" s="161"/>
      <c r="AV1883" s="173"/>
      <c r="AW1883" s="176"/>
      <c r="AX1883" s="177"/>
      <c r="AY1883" s="178"/>
      <c r="AZ1883" s="159"/>
      <c r="BA1883" s="161"/>
      <c r="BB1883" s="160"/>
    </row>
    <row r="1884" spans="1:59" s="154" customFormat="1" ht="15" customHeight="1">
      <c r="A1884" s="153" t="s">
        <v>6939</v>
      </c>
      <c r="B1884" s="188" t="s">
        <v>6994</v>
      </c>
      <c r="C1884" s="154" t="s">
        <v>6941</v>
      </c>
      <c r="D1884" s="154">
        <v>12</v>
      </c>
      <c r="E1884" s="154">
        <v>1</v>
      </c>
      <c r="G1884" s="154" t="s">
        <v>6995</v>
      </c>
      <c r="J1884" s="154" t="s">
        <v>29</v>
      </c>
      <c r="K1884" s="154" t="s">
        <v>26</v>
      </c>
      <c r="M1884" s="154" t="s">
        <v>648</v>
      </c>
      <c r="O1884" s="173"/>
      <c r="P1884" s="174"/>
      <c r="Q1884" s="175">
        <v>4</v>
      </c>
      <c r="R1884" s="159">
        <v>1</v>
      </c>
      <c r="S1884" s="160"/>
      <c r="T1884" s="161">
        <v>3</v>
      </c>
      <c r="U1884" s="173"/>
      <c r="V1884" s="176">
        <v>1</v>
      </c>
      <c r="W1884" s="177">
        <v>2</v>
      </c>
      <c r="X1884" s="178"/>
      <c r="Y1884" s="159"/>
      <c r="Z1884" s="161"/>
      <c r="AA1884" s="160"/>
      <c r="AD1884" s="154" t="s">
        <v>856</v>
      </c>
      <c r="AF1884" s="154" t="s">
        <v>6996</v>
      </c>
      <c r="AQ1884" s="173"/>
      <c r="AR1884" s="174"/>
      <c r="AS1884" s="175"/>
      <c r="AT1884" s="159"/>
      <c r="AU1884" s="161"/>
      <c r="AV1884" s="173"/>
      <c r="AW1884" s="176"/>
      <c r="AX1884" s="177"/>
      <c r="AY1884" s="178"/>
      <c r="AZ1884" s="159"/>
      <c r="BA1884" s="161"/>
      <c r="BB1884" s="160"/>
    </row>
    <row r="1885" spans="1:59" s="154" customFormat="1" ht="15" customHeight="1">
      <c r="A1885" s="153" t="s">
        <v>6939</v>
      </c>
      <c r="B1885" s="188" t="s">
        <v>6997</v>
      </c>
      <c r="C1885" s="154" t="s">
        <v>6941</v>
      </c>
      <c r="D1885" s="154">
        <v>13</v>
      </c>
      <c r="E1885" s="154">
        <v>1</v>
      </c>
      <c r="G1885" s="154" t="s">
        <v>6998</v>
      </c>
      <c r="H1885" s="154" t="s">
        <v>6999</v>
      </c>
      <c r="I1885" s="154" t="s">
        <v>223</v>
      </c>
      <c r="J1885" s="154" t="s">
        <v>257</v>
      </c>
      <c r="K1885" s="154" t="s">
        <v>26</v>
      </c>
      <c r="N1885" s="154">
        <v>3</v>
      </c>
      <c r="O1885" s="173"/>
      <c r="P1885" s="174"/>
      <c r="Q1885" s="175"/>
      <c r="R1885" s="159"/>
      <c r="S1885" s="160"/>
      <c r="T1885" s="161"/>
      <c r="U1885" s="173"/>
      <c r="V1885" s="176"/>
      <c r="W1885" s="177"/>
      <c r="X1885" s="178"/>
      <c r="Y1885" s="159"/>
      <c r="Z1885" s="161"/>
      <c r="AA1885" s="160"/>
      <c r="AD1885" s="154" t="s">
        <v>276</v>
      </c>
      <c r="AF1885" s="154" t="s">
        <v>7000</v>
      </c>
      <c r="AQ1885" s="173"/>
      <c r="AR1885" s="174"/>
      <c r="AS1885" s="175"/>
      <c r="AT1885" s="159"/>
      <c r="AU1885" s="161"/>
      <c r="AV1885" s="173"/>
      <c r="AW1885" s="176"/>
      <c r="AX1885" s="177"/>
      <c r="AY1885" s="178"/>
      <c r="AZ1885" s="159"/>
      <c r="BA1885" s="161"/>
      <c r="BB1885" s="160"/>
    </row>
    <row r="1886" spans="1:59" s="154" customFormat="1" ht="15" customHeight="1">
      <c r="A1886" s="153" t="s">
        <v>6939</v>
      </c>
      <c r="B1886" s="189" t="s">
        <v>7001</v>
      </c>
      <c r="C1886" s="154" t="s">
        <v>6941</v>
      </c>
      <c r="D1886" s="154">
        <v>14</v>
      </c>
      <c r="E1886" s="154">
        <v>1</v>
      </c>
      <c r="G1886" s="154" t="s">
        <v>7002</v>
      </c>
      <c r="J1886" s="154" t="s">
        <v>28</v>
      </c>
      <c r="K1886" s="154" t="s">
        <v>26</v>
      </c>
      <c r="M1886" s="154" t="s">
        <v>648</v>
      </c>
      <c r="O1886" s="173"/>
      <c r="P1886" s="174"/>
      <c r="Q1886" s="175"/>
      <c r="R1886" s="159"/>
      <c r="S1886" s="160"/>
      <c r="T1886" s="161"/>
      <c r="U1886" s="173"/>
      <c r="V1886" s="176"/>
      <c r="W1886" s="177"/>
      <c r="X1886" s="178"/>
      <c r="Y1886" s="159"/>
      <c r="Z1886" s="161"/>
      <c r="AA1886" s="160"/>
      <c r="AD1886" s="154" t="s">
        <v>284</v>
      </c>
      <c r="AF1886" s="154" t="s">
        <v>7003</v>
      </c>
      <c r="AQ1886" s="173"/>
      <c r="AR1886" s="174"/>
      <c r="AS1886" s="175"/>
      <c r="AT1886" s="159"/>
      <c r="AU1886" s="161"/>
      <c r="AV1886" s="173"/>
      <c r="AW1886" s="176"/>
      <c r="AX1886" s="177"/>
      <c r="AY1886" s="178"/>
      <c r="AZ1886" s="159"/>
      <c r="BA1886" s="161"/>
      <c r="BB1886" s="160"/>
    </row>
    <row r="1887" spans="1:59" s="154" customFormat="1" ht="15" customHeight="1">
      <c r="A1887" s="153" t="s">
        <v>6939</v>
      </c>
      <c r="B1887" s="188" t="s">
        <v>7004</v>
      </c>
      <c r="C1887" s="154" t="s">
        <v>6941</v>
      </c>
      <c r="D1887" s="154">
        <v>15</v>
      </c>
      <c r="E1887" s="154">
        <v>1</v>
      </c>
      <c r="G1887" s="154" t="s">
        <v>7005</v>
      </c>
      <c r="H1887" s="154" t="s">
        <v>7006</v>
      </c>
      <c r="J1887" s="154" t="s">
        <v>31</v>
      </c>
      <c r="K1887" s="154" t="s">
        <v>26</v>
      </c>
      <c r="O1887" s="173"/>
      <c r="P1887" s="174"/>
      <c r="Q1887" s="175"/>
      <c r="R1887" s="159"/>
      <c r="S1887" s="160"/>
      <c r="T1887" s="161"/>
      <c r="U1887" s="173"/>
      <c r="V1887" s="176"/>
      <c r="W1887" s="177"/>
      <c r="X1887" s="178">
        <v>1</v>
      </c>
      <c r="Y1887" s="159">
        <v>0</v>
      </c>
      <c r="Z1887" s="161"/>
      <c r="AA1887" s="160"/>
      <c r="AD1887" s="154" t="s">
        <v>7007</v>
      </c>
      <c r="AF1887" s="154" t="s">
        <v>7008</v>
      </c>
      <c r="AQ1887" s="173"/>
      <c r="AR1887" s="174"/>
      <c r="AS1887" s="175"/>
      <c r="AT1887" s="159"/>
      <c r="AU1887" s="161"/>
      <c r="AV1887" s="173"/>
      <c r="AW1887" s="176"/>
      <c r="AX1887" s="177"/>
      <c r="AY1887" s="178"/>
      <c r="AZ1887" s="159"/>
      <c r="BA1887" s="161"/>
      <c r="BB1887" s="160"/>
    </row>
    <row r="1888" spans="1:59" s="154" customFormat="1" ht="15" customHeight="1">
      <c r="A1888" s="153" t="s">
        <v>6939</v>
      </c>
      <c r="B1888" s="188" t="s">
        <v>7009</v>
      </c>
      <c r="C1888" s="154" t="s">
        <v>6941</v>
      </c>
      <c r="D1888" s="154">
        <v>16</v>
      </c>
      <c r="E1888" s="154">
        <v>1</v>
      </c>
      <c r="G1888" s="154" t="s">
        <v>7010</v>
      </c>
      <c r="H1888" s="154" t="s">
        <v>7011</v>
      </c>
      <c r="I1888" s="154" t="s">
        <v>223</v>
      </c>
      <c r="J1888" s="154" t="s">
        <v>257</v>
      </c>
      <c r="K1888" s="154" t="s">
        <v>26</v>
      </c>
      <c r="N1888" s="154">
        <v>2</v>
      </c>
      <c r="O1888" s="173">
        <v>1</v>
      </c>
      <c r="P1888" s="174"/>
      <c r="Q1888" s="175"/>
      <c r="R1888" s="159">
        <v>1</v>
      </c>
      <c r="S1888" s="160">
        <v>1</v>
      </c>
      <c r="T1888" s="161"/>
      <c r="U1888" s="173"/>
      <c r="V1888" s="176"/>
      <c r="W1888" s="177"/>
      <c r="X1888" s="178"/>
      <c r="Y1888" s="159"/>
      <c r="Z1888" s="161"/>
      <c r="AA1888" s="160"/>
      <c r="AB1888" s="154" t="s">
        <v>7012</v>
      </c>
      <c r="AC1888" s="154" t="s">
        <v>258</v>
      </c>
      <c r="AD1888" s="154" t="s">
        <v>7013</v>
      </c>
      <c r="AF1888" s="154" t="s">
        <v>7014</v>
      </c>
      <c r="AQ1888" s="173"/>
      <c r="AR1888" s="174"/>
      <c r="AS1888" s="175"/>
      <c r="AT1888" s="159"/>
      <c r="AU1888" s="161"/>
      <c r="AV1888" s="173"/>
      <c r="AW1888" s="176"/>
      <c r="AX1888" s="177"/>
      <c r="AY1888" s="178"/>
      <c r="AZ1888" s="159"/>
      <c r="BA1888" s="161"/>
      <c r="BB1888" s="160"/>
    </row>
    <row r="1889" spans="1:54" s="154" customFormat="1" ht="15" customHeight="1">
      <c r="A1889" s="153" t="s">
        <v>6939</v>
      </c>
      <c r="B1889" s="188" t="s">
        <v>7015</v>
      </c>
      <c r="C1889" s="154" t="s">
        <v>6941</v>
      </c>
      <c r="D1889" s="154">
        <v>17</v>
      </c>
      <c r="E1889" s="154">
        <v>1</v>
      </c>
      <c r="G1889" s="154" t="s">
        <v>7016</v>
      </c>
      <c r="I1889" s="154" t="s">
        <v>223</v>
      </c>
      <c r="J1889" s="154" t="s">
        <v>29</v>
      </c>
      <c r="K1889" s="154" t="s">
        <v>26</v>
      </c>
      <c r="M1889" s="154" t="s">
        <v>648</v>
      </c>
      <c r="O1889" s="173"/>
      <c r="P1889" s="174"/>
      <c r="Q1889" s="175">
        <v>5</v>
      </c>
      <c r="R1889" s="159">
        <v>5</v>
      </c>
      <c r="S1889" s="160"/>
      <c r="T1889" s="161">
        <v>2</v>
      </c>
      <c r="U1889" s="173"/>
      <c r="V1889" s="176">
        <v>3</v>
      </c>
      <c r="W1889" s="177"/>
      <c r="X1889" s="178"/>
      <c r="Y1889" s="159"/>
      <c r="Z1889" s="161"/>
      <c r="AA1889" s="160"/>
      <c r="AD1889" s="154" t="s">
        <v>5217</v>
      </c>
      <c r="AF1889" s="154" t="s">
        <v>7017</v>
      </c>
      <c r="AQ1889" s="173"/>
      <c r="AR1889" s="174"/>
      <c r="AS1889" s="175"/>
      <c r="AT1889" s="159"/>
      <c r="AU1889" s="161"/>
      <c r="AV1889" s="173"/>
      <c r="AW1889" s="176"/>
      <c r="AX1889" s="177"/>
      <c r="AY1889" s="178"/>
      <c r="AZ1889" s="159"/>
      <c r="BA1889" s="161"/>
      <c r="BB1889" s="160"/>
    </row>
    <row r="1890" spans="1:54" s="154" customFormat="1" ht="15" customHeight="1">
      <c r="A1890" s="153" t="s">
        <v>6939</v>
      </c>
      <c r="B1890" s="189" t="s">
        <v>7018</v>
      </c>
      <c r="C1890" s="154" t="s">
        <v>6941</v>
      </c>
      <c r="D1890" s="154">
        <v>18</v>
      </c>
      <c r="E1890" s="154">
        <v>1</v>
      </c>
      <c r="G1890" s="154" t="s">
        <v>7019</v>
      </c>
      <c r="H1890" s="154" t="s">
        <v>7020</v>
      </c>
      <c r="I1890" s="154" t="s">
        <v>223</v>
      </c>
      <c r="J1890" s="154" t="s">
        <v>257</v>
      </c>
      <c r="K1890" s="154" t="s">
        <v>198</v>
      </c>
      <c r="L1890" s="154">
        <v>1</v>
      </c>
      <c r="N1890" s="154">
        <v>3</v>
      </c>
      <c r="O1890" s="173"/>
      <c r="P1890" s="174"/>
      <c r="Q1890" s="175">
        <v>1</v>
      </c>
      <c r="R1890" s="159"/>
      <c r="S1890" s="160"/>
      <c r="T1890" s="161"/>
      <c r="U1890" s="173"/>
      <c r="V1890" s="176"/>
      <c r="W1890" s="177"/>
      <c r="X1890" s="178"/>
      <c r="Y1890" s="159"/>
      <c r="Z1890" s="161"/>
      <c r="AA1890" s="160"/>
      <c r="AB1890" s="154" t="s">
        <v>206</v>
      </c>
      <c r="AC1890" s="154" t="s">
        <v>258</v>
      </c>
      <c r="AD1890" s="154" t="s">
        <v>7021</v>
      </c>
      <c r="AF1890" s="154" t="s">
        <v>7022</v>
      </c>
      <c r="AQ1890" s="173"/>
      <c r="AR1890" s="174"/>
      <c r="AS1890" s="175"/>
      <c r="AT1890" s="159"/>
      <c r="AU1890" s="161"/>
      <c r="AV1890" s="173"/>
      <c r="AW1890" s="176"/>
      <c r="AX1890" s="177"/>
      <c r="AY1890" s="178"/>
      <c r="AZ1890" s="159"/>
      <c r="BA1890" s="161"/>
      <c r="BB1890" s="160"/>
    </row>
    <row r="1891" spans="1:54" s="154" customFormat="1" ht="15" customHeight="1">
      <c r="A1891" s="153" t="s">
        <v>6939</v>
      </c>
      <c r="B1891" s="188" t="s">
        <v>7023</v>
      </c>
      <c r="C1891" s="154" t="s">
        <v>6941</v>
      </c>
      <c r="D1891" s="154">
        <v>19</v>
      </c>
      <c r="E1891" s="154">
        <v>3</v>
      </c>
      <c r="G1891" s="154" t="s">
        <v>7024</v>
      </c>
      <c r="J1891" s="154" t="s">
        <v>28</v>
      </c>
      <c r="K1891" s="154" t="s">
        <v>26</v>
      </c>
      <c r="M1891" s="154" t="s">
        <v>648</v>
      </c>
      <c r="O1891" s="173"/>
      <c r="P1891" s="174"/>
      <c r="Q1891" s="175"/>
      <c r="R1891" s="159"/>
      <c r="S1891" s="160"/>
      <c r="T1891" s="161"/>
      <c r="U1891" s="173"/>
      <c r="V1891" s="176"/>
      <c r="W1891" s="177"/>
      <c r="X1891" s="178"/>
      <c r="Y1891" s="159"/>
      <c r="Z1891" s="161"/>
      <c r="AA1891" s="160"/>
      <c r="AD1891" s="154" t="s">
        <v>284</v>
      </c>
      <c r="AF1891" s="154" t="s">
        <v>7025</v>
      </c>
      <c r="AQ1891" s="173"/>
      <c r="AR1891" s="174"/>
      <c r="AS1891" s="175"/>
      <c r="AT1891" s="159"/>
      <c r="AU1891" s="161"/>
      <c r="AV1891" s="173"/>
      <c r="AW1891" s="176"/>
      <c r="AX1891" s="177"/>
      <c r="AY1891" s="178"/>
      <c r="AZ1891" s="159"/>
      <c r="BA1891" s="161"/>
      <c r="BB1891" s="160"/>
    </row>
    <row r="1892" spans="1:54" s="154" customFormat="1" ht="15" customHeight="1">
      <c r="A1892" s="153" t="s">
        <v>6939</v>
      </c>
      <c r="B1892" s="188" t="s">
        <v>7026</v>
      </c>
      <c r="C1892" s="154" t="s">
        <v>6941</v>
      </c>
      <c r="D1892" s="154">
        <v>20</v>
      </c>
      <c r="E1892" s="154">
        <v>3</v>
      </c>
      <c r="G1892" s="154" t="s">
        <v>7027</v>
      </c>
      <c r="J1892" s="154" t="s">
        <v>257</v>
      </c>
      <c r="K1892" s="154" t="s">
        <v>198</v>
      </c>
      <c r="L1892" s="154">
        <v>0</v>
      </c>
      <c r="N1892" s="154">
        <v>0</v>
      </c>
      <c r="O1892" s="173">
        <v>2</v>
      </c>
      <c r="P1892" s="174"/>
      <c r="Q1892" s="175"/>
      <c r="R1892" s="159"/>
      <c r="S1892" s="160"/>
      <c r="T1892" s="161"/>
      <c r="U1892" s="173"/>
      <c r="V1892" s="176"/>
      <c r="W1892" s="177"/>
      <c r="X1892" s="178"/>
      <c r="Y1892" s="159"/>
      <c r="Z1892" s="161"/>
      <c r="AA1892" s="160"/>
      <c r="AB1892" s="154" t="s">
        <v>1094</v>
      </c>
      <c r="AD1892" s="154" t="s">
        <v>1805</v>
      </c>
      <c r="AF1892" s="154" t="s">
        <v>7028</v>
      </c>
      <c r="AQ1892" s="173"/>
      <c r="AR1892" s="174"/>
      <c r="AS1892" s="175"/>
      <c r="AT1892" s="159"/>
      <c r="AU1892" s="161"/>
      <c r="AV1892" s="173"/>
      <c r="AW1892" s="176"/>
      <c r="AX1892" s="177"/>
      <c r="AY1892" s="178"/>
      <c r="AZ1892" s="159"/>
      <c r="BA1892" s="161"/>
      <c r="BB1892" s="160"/>
    </row>
    <row r="1893" spans="1:54" s="154" customFormat="1" ht="15" customHeight="1">
      <c r="A1893" s="153" t="s">
        <v>6939</v>
      </c>
      <c r="B1893" s="188" t="s">
        <v>7029</v>
      </c>
      <c r="C1893" s="154" t="s">
        <v>6941</v>
      </c>
      <c r="D1893" s="154">
        <v>21</v>
      </c>
      <c r="E1893" s="154">
        <v>3</v>
      </c>
      <c r="G1893" s="154" t="s">
        <v>7030</v>
      </c>
      <c r="J1893" s="154" t="s">
        <v>257</v>
      </c>
      <c r="K1893" s="154" t="s">
        <v>199</v>
      </c>
      <c r="L1893" s="154">
        <v>1</v>
      </c>
      <c r="N1893" s="154">
        <v>1</v>
      </c>
      <c r="O1893" s="173"/>
      <c r="P1893" s="174"/>
      <c r="Q1893" s="175"/>
      <c r="R1893" s="159"/>
      <c r="S1893" s="160">
        <v>1</v>
      </c>
      <c r="T1893" s="161"/>
      <c r="U1893" s="173"/>
      <c r="V1893" s="176"/>
      <c r="W1893" s="177"/>
      <c r="X1893" s="178"/>
      <c r="Y1893" s="159"/>
      <c r="Z1893" s="161"/>
      <c r="AA1893" s="160"/>
      <c r="AB1893" s="154" t="s">
        <v>208</v>
      </c>
      <c r="AD1893" s="154" t="s">
        <v>7031</v>
      </c>
      <c r="AF1893" s="154" t="s">
        <v>7032</v>
      </c>
      <c r="AQ1893" s="173"/>
      <c r="AR1893" s="174"/>
      <c r="AS1893" s="175"/>
      <c r="AT1893" s="159"/>
      <c r="AU1893" s="161"/>
      <c r="AV1893" s="173"/>
      <c r="AW1893" s="176"/>
      <c r="AX1893" s="177"/>
      <c r="AY1893" s="178"/>
      <c r="AZ1893" s="159"/>
      <c r="BA1893" s="161"/>
      <c r="BB1893" s="160"/>
    </row>
    <row r="1894" spans="1:54" s="154" customFormat="1" ht="15" customHeight="1">
      <c r="A1894" s="153" t="s">
        <v>6939</v>
      </c>
      <c r="B1894" s="188" t="s">
        <v>7033</v>
      </c>
      <c r="C1894" s="154" t="s">
        <v>6941</v>
      </c>
      <c r="D1894" s="154">
        <v>22</v>
      </c>
      <c r="E1894" s="154">
        <v>1</v>
      </c>
      <c r="G1894" s="154" t="s">
        <v>7034</v>
      </c>
      <c r="H1894" s="154" t="s">
        <v>7035</v>
      </c>
      <c r="I1894" s="154" t="s">
        <v>223</v>
      </c>
      <c r="J1894" s="154" t="s">
        <v>257</v>
      </c>
      <c r="K1894" s="154" t="s">
        <v>199</v>
      </c>
      <c r="O1894" s="173"/>
      <c r="P1894" s="174"/>
      <c r="Q1894" s="175"/>
      <c r="R1894" s="159"/>
      <c r="S1894" s="160"/>
      <c r="T1894" s="161"/>
      <c r="U1894" s="173"/>
      <c r="V1894" s="176"/>
      <c r="W1894" s="177"/>
      <c r="X1894" s="178"/>
      <c r="Y1894" s="159"/>
      <c r="Z1894" s="161"/>
      <c r="AA1894" s="160"/>
      <c r="AC1894" s="154" t="s">
        <v>275</v>
      </c>
      <c r="AD1894" s="154" t="s">
        <v>276</v>
      </c>
      <c r="AF1894" s="154" t="s">
        <v>7036</v>
      </c>
      <c r="AQ1894" s="173"/>
      <c r="AR1894" s="174"/>
      <c r="AS1894" s="175"/>
      <c r="AT1894" s="159"/>
      <c r="AU1894" s="161"/>
      <c r="AV1894" s="173"/>
      <c r="AW1894" s="176"/>
      <c r="AX1894" s="177"/>
      <c r="AY1894" s="178"/>
      <c r="AZ1894" s="159"/>
      <c r="BA1894" s="161"/>
      <c r="BB1894" s="160"/>
    </row>
    <row r="1895" spans="1:54" s="154" customFormat="1" ht="15" customHeight="1">
      <c r="A1895" s="153" t="s">
        <v>6939</v>
      </c>
      <c r="B1895" s="188" t="s">
        <v>7037</v>
      </c>
      <c r="C1895" s="154" t="s">
        <v>6941</v>
      </c>
      <c r="D1895" s="154">
        <v>23</v>
      </c>
      <c r="E1895" s="154">
        <v>3</v>
      </c>
      <c r="G1895" s="154" t="s">
        <v>7038</v>
      </c>
      <c r="J1895" s="154" t="s">
        <v>27</v>
      </c>
      <c r="K1895" s="154" t="s">
        <v>199</v>
      </c>
      <c r="L1895" s="154">
        <v>0</v>
      </c>
      <c r="O1895" s="173"/>
      <c r="P1895" s="174">
        <v>1</v>
      </c>
      <c r="Q1895" s="175"/>
      <c r="R1895" s="159"/>
      <c r="S1895" s="160"/>
      <c r="T1895" s="161"/>
      <c r="U1895" s="173"/>
      <c r="V1895" s="176"/>
      <c r="W1895" s="177"/>
      <c r="X1895" s="178"/>
      <c r="Y1895" s="159"/>
      <c r="Z1895" s="161"/>
      <c r="AA1895" s="160"/>
      <c r="AB1895" s="154" t="s">
        <v>205</v>
      </c>
      <c r="AD1895" s="154" t="s">
        <v>7039</v>
      </c>
      <c r="AF1895" s="154" t="s">
        <v>7040</v>
      </c>
      <c r="AQ1895" s="173"/>
      <c r="AR1895" s="174"/>
      <c r="AS1895" s="175"/>
      <c r="AT1895" s="159"/>
      <c r="AU1895" s="161"/>
      <c r="AV1895" s="173"/>
      <c r="AW1895" s="176"/>
      <c r="AX1895" s="177"/>
      <c r="AY1895" s="178"/>
      <c r="AZ1895" s="159"/>
      <c r="BA1895" s="161"/>
      <c r="BB1895" s="160"/>
    </row>
    <row r="1896" spans="1:54" s="154" customFormat="1" ht="15" customHeight="1">
      <c r="A1896" s="153" t="s">
        <v>6939</v>
      </c>
      <c r="B1896" s="189" t="s">
        <v>7041</v>
      </c>
      <c r="C1896" s="154" t="s">
        <v>6941</v>
      </c>
      <c r="D1896" s="154">
        <v>24</v>
      </c>
      <c r="E1896" s="154">
        <v>2</v>
      </c>
      <c r="G1896" s="154" t="s">
        <v>7042</v>
      </c>
      <c r="J1896" s="154" t="s">
        <v>257</v>
      </c>
      <c r="K1896" s="154" t="s">
        <v>201</v>
      </c>
      <c r="L1896" s="154">
        <v>0</v>
      </c>
      <c r="N1896" s="154">
        <v>1</v>
      </c>
      <c r="O1896" s="173">
        <v>1</v>
      </c>
      <c r="P1896" s="174"/>
      <c r="Q1896" s="175"/>
      <c r="R1896" s="159"/>
      <c r="S1896" s="160"/>
      <c r="T1896" s="161"/>
      <c r="U1896" s="173"/>
      <c r="V1896" s="176"/>
      <c r="W1896" s="177"/>
      <c r="X1896" s="178"/>
      <c r="Y1896" s="159"/>
      <c r="Z1896" s="161"/>
      <c r="AA1896" s="160"/>
      <c r="AB1896" s="154" t="s">
        <v>204</v>
      </c>
      <c r="AC1896" s="154" t="s">
        <v>275</v>
      </c>
      <c r="AD1896" s="154" t="s">
        <v>276</v>
      </c>
      <c r="AF1896" s="154" t="s">
        <v>7043</v>
      </c>
      <c r="AQ1896" s="173"/>
      <c r="AR1896" s="174"/>
      <c r="AS1896" s="175"/>
      <c r="AT1896" s="159"/>
      <c r="AU1896" s="161"/>
      <c r="AV1896" s="173"/>
      <c r="AW1896" s="176"/>
      <c r="AX1896" s="177"/>
      <c r="AY1896" s="178"/>
      <c r="AZ1896" s="159"/>
      <c r="BA1896" s="161"/>
      <c r="BB1896" s="160"/>
    </row>
    <row r="1897" spans="1:54" s="154" customFormat="1" ht="15" customHeight="1">
      <c r="A1897" s="153" t="s">
        <v>6939</v>
      </c>
      <c r="B1897" s="188" t="s">
        <v>7044</v>
      </c>
      <c r="C1897" s="154" t="s">
        <v>6941</v>
      </c>
      <c r="D1897" s="154">
        <v>25</v>
      </c>
      <c r="E1897" s="154">
        <v>2</v>
      </c>
      <c r="G1897" s="154" t="s">
        <v>7045</v>
      </c>
      <c r="J1897" s="154" t="s">
        <v>29</v>
      </c>
      <c r="K1897" s="154" t="s">
        <v>26</v>
      </c>
      <c r="M1897" s="154" t="s">
        <v>648</v>
      </c>
      <c r="O1897" s="173"/>
      <c r="P1897" s="174"/>
      <c r="Q1897" s="175">
        <v>3</v>
      </c>
      <c r="R1897" s="159">
        <v>3</v>
      </c>
      <c r="S1897" s="160"/>
      <c r="T1897" s="161">
        <v>3</v>
      </c>
      <c r="U1897" s="173"/>
      <c r="V1897" s="176">
        <v>1</v>
      </c>
      <c r="W1897" s="177">
        <v>1</v>
      </c>
      <c r="X1897" s="178"/>
      <c r="Y1897" s="159"/>
      <c r="Z1897" s="161"/>
      <c r="AA1897" s="160"/>
      <c r="AD1897" s="154" t="s">
        <v>2784</v>
      </c>
      <c r="AF1897" s="154" t="s">
        <v>7046</v>
      </c>
      <c r="AQ1897" s="173"/>
      <c r="AR1897" s="174"/>
      <c r="AS1897" s="175"/>
      <c r="AT1897" s="159"/>
      <c r="AU1897" s="161"/>
      <c r="AV1897" s="173"/>
      <c r="AW1897" s="176"/>
      <c r="AX1897" s="177"/>
      <c r="AY1897" s="178"/>
      <c r="AZ1897" s="159"/>
      <c r="BA1897" s="161"/>
      <c r="BB1897" s="160"/>
    </row>
    <row r="1898" spans="1:54" s="154" customFormat="1" ht="15" customHeight="1">
      <c r="A1898" s="153" t="s">
        <v>6939</v>
      </c>
      <c r="B1898" s="188" t="s">
        <v>7047</v>
      </c>
      <c r="C1898" s="154" t="s">
        <v>6941</v>
      </c>
      <c r="D1898" s="154">
        <v>26</v>
      </c>
      <c r="E1898" s="154">
        <v>3</v>
      </c>
      <c r="G1898" s="154" t="s">
        <v>7048</v>
      </c>
      <c r="J1898" s="154" t="s">
        <v>27</v>
      </c>
      <c r="K1898" s="154" t="s">
        <v>201</v>
      </c>
      <c r="L1898" s="154">
        <v>1</v>
      </c>
      <c r="N1898" s="154">
        <v>0</v>
      </c>
      <c r="O1898" s="173"/>
      <c r="P1898" s="174">
        <v>1</v>
      </c>
      <c r="Q1898" s="175"/>
      <c r="R1898" s="159">
        <v>1</v>
      </c>
      <c r="S1898" s="160"/>
      <c r="T1898" s="161"/>
      <c r="U1898" s="173"/>
      <c r="V1898" s="176"/>
      <c r="W1898" s="177"/>
      <c r="X1898" s="178"/>
      <c r="Y1898" s="159"/>
      <c r="Z1898" s="161"/>
      <c r="AA1898" s="160"/>
      <c r="AB1898" s="154" t="s">
        <v>1089</v>
      </c>
      <c r="AD1898" s="154" t="s">
        <v>1412</v>
      </c>
      <c r="AF1898" s="154" t="s">
        <v>7049</v>
      </c>
      <c r="AI1898" s="153"/>
      <c r="AQ1898" s="173"/>
      <c r="AR1898" s="174"/>
      <c r="AS1898" s="175"/>
      <c r="AT1898" s="159"/>
      <c r="AU1898" s="161"/>
      <c r="AV1898" s="173"/>
      <c r="AW1898" s="176"/>
      <c r="AX1898" s="177"/>
      <c r="AY1898" s="178"/>
      <c r="AZ1898" s="159"/>
      <c r="BA1898" s="161"/>
      <c r="BB1898" s="160"/>
    </row>
    <row r="1899" spans="1:54" s="154" customFormat="1" ht="15" customHeight="1">
      <c r="A1899" s="153" t="s">
        <v>6939</v>
      </c>
      <c r="B1899" s="189" t="s">
        <v>7050</v>
      </c>
      <c r="C1899" s="154" t="s">
        <v>6941</v>
      </c>
      <c r="D1899" s="154">
        <v>27</v>
      </c>
      <c r="E1899" s="154">
        <v>2</v>
      </c>
      <c r="G1899" s="154" t="s">
        <v>7051</v>
      </c>
      <c r="J1899" s="154" t="s">
        <v>27</v>
      </c>
      <c r="K1899" s="154" t="s">
        <v>200</v>
      </c>
      <c r="L1899" s="154">
        <v>1</v>
      </c>
      <c r="N1899" s="154">
        <v>0</v>
      </c>
      <c r="O1899" s="173"/>
      <c r="P1899" s="174"/>
      <c r="Q1899" s="175"/>
      <c r="R1899" s="159"/>
      <c r="S1899" s="160">
        <v>1</v>
      </c>
      <c r="T1899" s="161"/>
      <c r="U1899" s="173"/>
      <c r="V1899" s="176"/>
      <c r="W1899" s="177"/>
      <c r="X1899" s="178"/>
      <c r="Y1899" s="159"/>
      <c r="Z1899" s="161"/>
      <c r="AA1899" s="160"/>
      <c r="AB1899" s="154" t="s">
        <v>208</v>
      </c>
      <c r="AD1899" s="154" t="s">
        <v>7052</v>
      </c>
      <c r="AF1899" s="154" t="s">
        <v>7053</v>
      </c>
      <c r="AQ1899" s="173"/>
      <c r="AR1899" s="174"/>
      <c r="AS1899" s="175"/>
      <c r="AT1899" s="159"/>
      <c r="AU1899" s="161"/>
      <c r="AV1899" s="173"/>
      <c r="AW1899" s="176"/>
      <c r="AX1899" s="177"/>
      <c r="AY1899" s="178"/>
      <c r="AZ1899" s="159"/>
      <c r="BA1899" s="161"/>
      <c r="BB1899" s="160"/>
    </row>
    <row r="1900" spans="1:54" s="154" customFormat="1" ht="15" customHeight="1">
      <c r="A1900" s="153" t="s">
        <v>6939</v>
      </c>
      <c r="B1900" s="188" t="s">
        <v>7054</v>
      </c>
      <c r="C1900" s="154" t="s">
        <v>6941</v>
      </c>
      <c r="D1900" s="154">
        <v>28</v>
      </c>
      <c r="E1900" s="154">
        <v>2</v>
      </c>
      <c r="G1900" s="154" t="s">
        <v>7055</v>
      </c>
      <c r="J1900" s="154" t="s">
        <v>27</v>
      </c>
      <c r="K1900" s="154" t="s">
        <v>200</v>
      </c>
      <c r="O1900" s="173"/>
      <c r="P1900" s="174"/>
      <c r="Q1900" s="175"/>
      <c r="R1900" s="159"/>
      <c r="S1900" s="160"/>
      <c r="T1900" s="161"/>
      <c r="U1900" s="173"/>
      <c r="V1900" s="176"/>
      <c r="W1900" s="177"/>
      <c r="X1900" s="178"/>
      <c r="Y1900" s="159"/>
      <c r="Z1900" s="161"/>
      <c r="AA1900" s="160"/>
      <c r="AD1900" s="154" t="s">
        <v>3909</v>
      </c>
      <c r="AF1900" s="154" t="s">
        <v>7056</v>
      </c>
      <c r="AQ1900" s="173"/>
      <c r="AR1900" s="174"/>
      <c r="AS1900" s="175"/>
      <c r="AT1900" s="159"/>
      <c r="AU1900" s="161"/>
      <c r="AV1900" s="173"/>
      <c r="AW1900" s="176"/>
      <c r="AX1900" s="177"/>
      <c r="AY1900" s="178"/>
      <c r="AZ1900" s="159"/>
      <c r="BA1900" s="161"/>
      <c r="BB1900" s="160"/>
    </row>
    <row r="1901" spans="1:54" s="154" customFormat="1" ht="15" customHeight="1">
      <c r="A1901" s="153" t="s">
        <v>6939</v>
      </c>
      <c r="B1901" s="188" t="s">
        <v>7057</v>
      </c>
      <c r="C1901" s="154" t="s">
        <v>6941</v>
      </c>
      <c r="D1901" s="154">
        <v>29</v>
      </c>
      <c r="E1901" s="154">
        <v>3</v>
      </c>
      <c r="G1901" s="154" t="s">
        <v>7058</v>
      </c>
      <c r="J1901" s="154" t="s">
        <v>27</v>
      </c>
      <c r="K1901" s="154" t="s">
        <v>200</v>
      </c>
      <c r="L1901" s="154">
        <v>0</v>
      </c>
      <c r="N1901" s="154">
        <v>1</v>
      </c>
      <c r="O1901" s="173">
        <v>1</v>
      </c>
      <c r="P1901" s="174"/>
      <c r="Q1901" s="175"/>
      <c r="R1901" s="159">
        <v>1</v>
      </c>
      <c r="S1901" s="160"/>
      <c r="T1901" s="161"/>
      <c r="U1901" s="173"/>
      <c r="V1901" s="176"/>
      <c r="W1901" s="177"/>
      <c r="X1901" s="178"/>
      <c r="Y1901" s="159"/>
      <c r="Z1901" s="161"/>
      <c r="AA1901" s="160"/>
      <c r="AB1901" s="154" t="s">
        <v>1085</v>
      </c>
      <c r="AD1901" s="154" t="s">
        <v>279</v>
      </c>
      <c r="AF1901" s="154" t="s">
        <v>7059</v>
      </c>
      <c r="AQ1901" s="173"/>
      <c r="AR1901" s="174"/>
      <c r="AS1901" s="175"/>
      <c r="AT1901" s="159"/>
      <c r="AU1901" s="161"/>
      <c r="AV1901" s="173"/>
      <c r="AW1901" s="176"/>
      <c r="AX1901" s="177"/>
      <c r="AY1901" s="178"/>
      <c r="AZ1901" s="159"/>
      <c r="BA1901" s="161"/>
      <c r="BB1901" s="160"/>
    </row>
    <row r="1902" spans="1:54" s="154" customFormat="1" ht="15" customHeight="1">
      <c r="A1902" s="153" t="s">
        <v>6939</v>
      </c>
      <c r="B1902" s="188" t="s">
        <v>7060</v>
      </c>
      <c r="C1902" s="154" t="s">
        <v>6941</v>
      </c>
      <c r="D1902" s="154">
        <v>30</v>
      </c>
      <c r="E1902" s="154">
        <v>1</v>
      </c>
      <c r="G1902" s="154" t="s">
        <v>7061</v>
      </c>
      <c r="H1902" s="154" t="s">
        <v>7062</v>
      </c>
      <c r="I1902" s="154" t="s">
        <v>223</v>
      </c>
      <c r="J1902" s="154" t="s">
        <v>257</v>
      </c>
      <c r="K1902" s="154" t="s">
        <v>202</v>
      </c>
      <c r="L1902" s="154">
        <v>1</v>
      </c>
      <c r="N1902" s="154">
        <v>3</v>
      </c>
      <c r="O1902" s="173"/>
      <c r="P1902" s="174"/>
      <c r="Q1902" s="175"/>
      <c r="R1902" s="159"/>
      <c r="S1902" s="160">
        <v>1</v>
      </c>
      <c r="T1902" s="161">
        <v>2</v>
      </c>
      <c r="U1902" s="173">
        <v>2</v>
      </c>
      <c r="V1902" s="176"/>
      <c r="W1902" s="177"/>
      <c r="X1902" s="178"/>
      <c r="Y1902" s="159"/>
      <c r="Z1902" s="161"/>
      <c r="AA1902" s="160"/>
      <c r="AB1902" s="154" t="s">
        <v>208</v>
      </c>
      <c r="AC1902" s="154" t="s">
        <v>25</v>
      </c>
      <c r="AD1902" s="154" t="s">
        <v>7063</v>
      </c>
      <c r="AF1902" s="154" t="s">
        <v>7064</v>
      </c>
      <c r="AQ1902" s="173"/>
      <c r="AR1902" s="174"/>
      <c r="AS1902" s="175"/>
      <c r="AT1902" s="159"/>
      <c r="AU1902" s="161"/>
      <c r="AV1902" s="173"/>
      <c r="AW1902" s="176"/>
      <c r="AX1902" s="177"/>
      <c r="AY1902" s="178"/>
      <c r="AZ1902" s="159"/>
      <c r="BA1902" s="161"/>
      <c r="BB1902" s="160"/>
    </row>
    <row r="1903" spans="1:54" s="154" customFormat="1" ht="15" customHeight="1">
      <c r="A1903" s="153" t="s">
        <v>6939</v>
      </c>
      <c r="B1903" s="189" t="s">
        <v>7065</v>
      </c>
      <c r="C1903" s="154" t="s">
        <v>6941</v>
      </c>
      <c r="D1903" s="154">
        <v>31</v>
      </c>
      <c r="E1903" s="154">
        <v>1</v>
      </c>
      <c r="G1903" s="154" t="s">
        <v>7066</v>
      </c>
      <c r="I1903" s="154" t="s">
        <v>223</v>
      </c>
      <c r="J1903" s="154" t="s">
        <v>257</v>
      </c>
      <c r="K1903" s="154" t="s">
        <v>202</v>
      </c>
      <c r="N1903" s="154">
        <v>1</v>
      </c>
      <c r="O1903" s="173"/>
      <c r="P1903" s="174">
        <v>1</v>
      </c>
      <c r="Q1903" s="175">
        <v>1</v>
      </c>
      <c r="R1903" s="159"/>
      <c r="S1903" s="160"/>
      <c r="T1903" s="161"/>
      <c r="U1903" s="173"/>
      <c r="V1903" s="176"/>
      <c r="W1903" s="177"/>
      <c r="X1903" s="178"/>
      <c r="Y1903" s="159"/>
      <c r="Z1903" s="161"/>
      <c r="AA1903" s="160"/>
      <c r="AB1903" s="154" t="s">
        <v>1091</v>
      </c>
      <c r="AD1903" s="154" t="s">
        <v>7063</v>
      </c>
      <c r="AF1903" s="154" t="s">
        <v>7067</v>
      </c>
      <c r="AQ1903" s="173"/>
      <c r="AR1903" s="174"/>
      <c r="AS1903" s="175"/>
      <c r="AT1903" s="159"/>
      <c r="AU1903" s="161"/>
      <c r="AV1903" s="173"/>
      <c r="AW1903" s="176"/>
      <c r="AX1903" s="177"/>
      <c r="AY1903" s="178"/>
      <c r="AZ1903" s="159"/>
      <c r="BA1903" s="161"/>
      <c r="BB1903" s="160"/>
    </row>
    <row r="1904" spans="1:54" s="154" customFormat="1" ht="15" customHeight="1">
      <c r="A1904" s="153" t="s">
        <v>6939</v>
      </c>
      <c r="B1904" s="188" t="s">
        <v>7068</v>
      </c>
      <c r="C1904" s="154" t="s">
        <v>6941</v>
      </c>
      <c r="D1904" s="154">
        <v>32</v>
      </c>
      <c r="E1904" s="154">
        <v>1</v>
      </c>
      <c r="G1904" s="154" t="s">
        <v>7069</v>
      </c>
      <c r="I1904" s="154" t="s">
        <v>223</v>
      </c>
      <c r="J1904" s="154" t="s">
        <v>257</v>
      </c>
      <c r="K1904" s="154" t="s">
        <v>202</v>
      </c>
      <c r="N1904" s="154">
        <v>1</v>
      </c>
      <c r="O1904" s="173"/>
      <c r="P1904" s="174">
        <v>1</v>
      </c>
      <c r="Q1904" s="175"/>
      <c r="R1904" s="159">
        <v>1</v>
      </c>
      <c r="S1904" s="160"/>
      <c r="T1904" s="161"/>
      <c r="U1904" s="173"/>
      <c r="V1904" s="176"/>
      <c r="W1904" s="177"/>
      <c r="X1904" s="178"/>
      <c r="Y1904" s="159"/>
      <c r="Z1904" s="161"/>
      <c r="AA1904" s="160"/>
      <c r="AB1904" s="154" t="s">
        <v>1089</v>
      </c>
      <c r="AD1904" s="154" t="s">
        <v>7063</v>
      </c>
      <c r="AF1904" s="154" t="s">
        <v>7070</v>
      </c>
      <c r="AQ1904" s="173"/>
      <c r="AR1904" s="174"/>
      <c r="AS1904" s="175"/>
      <c r="AT1904" s="159"/>
      <c r="AU1904" s="161"/>
      <c r="AV1904" s="173"/>
      <c r="AW1904" s="176"/>
      <c r="AX1904" s="177"/>
      <c r="AY1904" s="178"/>
      <c r="AZ1904" s="159"/>
      <c r="BA1904" s="161"/>
      <c r="BB1904" s="160"/>
    </row>
    <row r="1905" spans="1:59" s="154" customFormat="1" ht="15" customHeight="1">
      <c r="A1905" s="153" t="s">
        <v>6939</v>
      </c>
      <c r="B1905" s="189" t="s">
        <v>7071</v>
      </c>
      <c r="C1905" s="154" t="s">
        <v>6941</v>
      </c>
      <c r="D1905" s="154">
        <v>33</v>
      </c>
      <c r="E1905" s="154">
        <v>1</v>
      </c>
      <c r="G1905" s="154" t="s">
        <v>7072</v>
      </c>
      <c r="I1905" s="154" t="s">
        <v>223</v>
      </c>
      <c r="J1905" s="154" t="s">
        <v>257</v>
      </c>
      <c r="K1905" s="154" t="s">
        <v>202</v>
      </c>
      <c r="N1905" s="154">
        <v>1</v>
      </c>
      <c r="O1905" s="173"/>
      <c r="P1905" s="174"/>
      <c r="Q1905" s="175">
        <v>1</v>
      </c>
      <c r="R1905" s="159">
        <v>1</v>
      </c>
      <c r="S1905" s="160"/>
      <c r="T1905" s="161"/>
      <c r="U1905" s="173"/>
      <c r="V1905" s="176"/>
      <c r="W1905" s="177"/>
      <c r="X1905" s="178"/>
      <c r="Y1905" s="159"/>
      <c r="Z1905" s="161"/>
      <c r="AA1905" s="160"/>
      <c r="AB1905" s="154" t="s">
        <v>1087</v>
      </c>
      <c r="AD1905" s="154" t="s">
        <v>7063</v>
      </c>
      <c r="AF1905" s="154" t="s">
        <v>7073</v>
      </c>
      <c r="AQ1905" s="173"/>
      <c r="AR1905" s="174"/>
      <c r="AS1905" s="175"/>
      <c r="AT1905" s="159"/>
      <c r="AU1905" s="161"/>
      <c r="AV1905" s="173"/>
      <c r="AW1905" s="176"/>
      <c r="AX1905" s="177"/>
      <c r="AY1905" s="178"/>
      <c r="AZ1905" s="159"/>
      <c r="BA1905" s="161"/>
      <c r="BB1905" s="160"/>
    </row>
    <row r="1906" spans="1:59" s="154" customFormat="1" ht="15" customHeight="1">
      <c r="A1906" s="153" t="s">
        <v>6939</v>
      </c>
      <c r="B1906" s="188" t="s">
        <v>7074</v>
      </c>
      <c r="C1906" s="154" t="s">
        <v>6941</v>
      </c>
      <c r="D1906" s="154">
        <v>34</v>
      </c>
      <c r="E1906" s="154">
        <v>3</v>
      </c>
      <c r="G1906" s="154" t="s">
        <v>7075</v>
      </c>
      <c r="J1906" s="154" t="s">
        <v>27</v>
      </c>
      <c r="K1906" s="154" t="s">
        <v>202</v>
      </c>
      <c r="L1906" s="154">
        <v>0</v>
      </c>
      <c r="N1906" s="154">
        <v>-2</v>
      </c>
      <c r="O1906" s="173"/>
      <c r="P1906" s="174"/>
      <c r="Q1906" s="175"/>
      <c r="R1906" s="159"/>
      <c r="S1906" s="160"/>
      <c r="T1906" s="161"/>
      <c r="U1906" s="173"/>
      <c r="V1906" s="176"/>
      <c r="W1906" s="177"/>
      <c r="X1906" s="178"/>
      <c r="Y1906" s="159"/>
      <c r="Z1906" s="161"/>
      <c r="AA1906" s="160"/>
      <c r="AD1906" s="154" t="s">
        <v>664</v>
      </c>
      <c r="AF1906" s="154" t="s">
        <v>7076</v>
      </c>
      <c r="AQ1906" s="173"/>
      <c r="AR1906" s="174"/>
      <c r="AS1906" s="175"/>
      <c r="AT1906" s="159"/>
      <c r="AU1906" s="161"/>
      <c r="AV1906" s="173"/>
      <c r="AW1906" s="176"/>
      <c r="AX1906" s="177"/>
      <c r="AY1906" s="178"/>
      <c r="AZ1906" s="159"/>
      <c r="BA1906" s="161"/>
      <c r="BB1906" s="160"/>
    </row>
    <row r="1907" spans="1:59" s="154" customFormat="1" ht="15" customHeight="1">
      <c r="A1907" s="153" t="s">
        <v>6939</v>
      </c>
      <c r="B1907" s="188" t="s">
        <v>7077</v>
      </c>
      <c r="C1907" s="154" t="s">
        <v>6941</v>
      </c>
      <c r="D1907" s="154">
        <v>35</v>
      </c>
      <c r="E1907" s="154">
        <v>1</v>
      </c>
      <c r="G1907" s="154" t="s">
        <v>7078</v>
      </c>
      <c r="J1907" s="154" t="s">
        <v>28</v>
      </c>
      <c r="K1907" s="154" t="s">
        <v>26</v>
      </c>
      <c r="M1907" s="154" t="s">
        <v>691</v>
      </c>
      <c r="O1907" s="173"/>
      <c r="P1907" s="174"/>
      <c r="Q1907" s="175"/>
      <c r="R1907" s="159"/>
      <c r="S1907" s="160"/>
      <c r="T1907" s="161"/>
      <c r="U1907" s="173"/>
      <c r="V1907" s="176"/>
      <c r="W1907" s="177"/>
      <c r="X1907" s="178"/>
      <c r="Y1907" s="159"/>
      <c r="Z1907" s="161"/>
      <c r="AA1907" s="160"/>
      <c r="AD1907" s="154" t="s">
        <v>1449</v>
      </c>
      <c r="AF1907" s="154" t="s">
        <v>7079</v>
      </c>
      <c r="AQ1907" s="173"/>
      <c r="AR1907" s="174"/>
      <c r="AS1907" s="175"/>
      <c r="AT1907" s="159"/>
      <c r="AU1907" s="161"/>
      <c r="AV1907" s="173"/>
      <c r="AW1907" s="176"/>
      <c r="AX1907" s="177"/>
      <c r="AY1907" s="178"/>
      <c r="AZ1907" s="159"/>
      <c r="BA1907" s="161"/>
      <c r="BB1907" s="160"/>
    </row>
    <row r="1908" spans="1:59" s="154" customFormat="1" ht="15" customHeight="1">
      <c r="A1908" s="153" t="s">
        <v>6939</v>
      </c>
      <c r="B1908" s="188" t="s">
        <v>7080</v>
      </c>
      <c r="C1908" s="154" t="s">
        <v>6941</v>
      </c>
      <c r="D1908" s="154">
        <v>36</v>
      </c>
      <c r="E1908" s="154">
        <v>1</v>
      </c>
      <c r="G1908" s="154" t="s">
        <v>7081</v>
      </c>
      <c r="J1908" s="154" t="s">
        <v>257</v>
      </c>
      <c r="K1908" s="154" t="s">
        <v>26</v>
      </c>
      <c r="M1908" s="154" t="s">
        <v>691</v>
      </c>
      <c r="O1908" s="173"/>
      <c r="P1908" s="174"/>
      <c r="Q1908" s="175"/>
      <c r="R1908" s="159"/>
      <c r="S1908" s="160"/>
      <c r="T1908" s="161"/>
      <c r="U1908" s="173"/>
      <c r="V1908" s="176"/>
      <c r="W1908" s="177"/>
      <c r="X1908" s="178"/>
      <c r="Y1908" s="159"/>
      <c r="Z1908" s="161"/>
      <c r="AA1908" s="160"/>
      <c r="AD1908" s="154" t="s">
        <v>7082</v>
      </c>
      <c r="AF1908" s="154" t="s">
        <v>7083</v>
      </c>
      <c r="AQ1908" s="173"/>
      <c r="AR1908" s="174"/>
      <c r="AS1908" s="175"/>
      <c r="AT1908" s="159"/>
      <c r="AU1908" s="161"/>
      <c r="AV1908" s="173"/>
      <c r="AW1908" s="176"/>
      <c r="AX1908" s="177"/>
      <c r="AY1908" s="178"/>
      <c r="AZ1908" s="159"/>
      <c r="BA1908" s="161"/>
      <c r="BB1908" s="160"/>
    </row>
    <row r="1909" spans="1:59" s="154" customFormat="1" ht="15" customHeight="1">
      <c r="A1909" s="153" t="s">
        <v>6939</v>
      </c>
      <c r="B1909" s="188" t="s">
        <v>7084</v>
      </c>
      <c r="C1909" s="154" t="s">
        <v>6941</v>
      </c>
      <c r="D1909" s="154">
        <v>37</v>
      </c>
      <c r="E1909" s="154">
        <v>1</v>
      </c>
      <c r="G1909" s="154" t="s">
        <v>7085</v>
      </c>
      <c r="J1909" s="154" t="s">
        <v>28</v>
      </c>
      <c r="K1909" s="154" t="s">
        <v>26</v>
      </c>
      <c r="M1909" s="154" t="s">
        <v>691</v>
      </c>
      <c r="O1909" s="173"/>
      <c r="P1909" s="174"/>
      <c r="Q1909" s="175"/>
      <c r="R1909" s="159"/>
      <c r="S1909" s="160"/>
      <c r="T1909" s="161"/>
      <c r="U1909" s="173"/>
      <c r="V1909" s="176"/>
      <c r="W1909" s="177"/>
      <c r="X1909" s="178"/>
      <c r="Y1909" s="159"/>
      <c r="Z1909" s="161"/>
      <c r="AA1909" s="160"/>
      <c r="AD1909" s="154" t="s">
        <v>284</v>
      </c>
      <c r="AF1909" s="154" t="s">
        <v>7086</v>
      </c>
      <c r="AQ1909" s="173"/>
      <c r="AR1909" s="174"/>
      <c r="AS1909" s="175"/>
      <c r="AT1909" s="159"/>
      <c r="AU1909" s="161"/>
      <c r="AV1909" s="173"/>
      <c r="AW1909" s="176"/>
      <c r="AX1909" s="177"/>
      <c r="AY1909" s="178"/>
      <c r="AZ1909" s="159"/>
      <c r="BA1909" s="161"/>
      <c r="BB1909" s="160"/>
    </row>
    <row r="1910" spans="1:59" s="154" customFormat="1" ht="15" customHeight="1">
      <c r="A1910" s="153" t="s">
        <v>6939</v>
      </c>
      <c r="B1910" s="189" t="s">
        <v>7087</v>
      </c>
      <c r="C1910" s="154" t="s">
        <v>6941</v>
      </c>
      <c r="D1910" s="154">
        <v>38</v>
      </c>
      <c r="E1910" s="154">
        <v>1</v>
      </c>
      <c r="G1910" s="154" t="s">
        <v>7088</v>
      </c>
      <c r="J1910" s="154" t="s">
        <v>29</v>
      </c>
      <c r="K1910" s="154" t="s">
        <v>26</v>
      </c>
      <c r="M1910" s="154" t="s">
        <v>691</v>
      </c>
      <c r="O1910" s="173"/>
      <c r="P1910" s="174"/>
      <c r="Q1910" s="175">
        <v>2</v>
      </c>
      <c r="R1910" s="159">
        <v>2</v>
      </c>
      <c r="S1910" s="160"/>
      <c r="T1910" s="161">
        <v>3</v>
      </c>
      <c r="U1910" s="173"/>
      <c r="V1910" s="176"/>
      <c r="W1910" s="177">
        <v>2</v>
      </c>
      <c r="X1910" s="178"/>
      <c r="Y1910" s="159"/>
      <c r="Z1910" s="161"/>
      <c r="AA1910" s="160"/>
      <c r="AD1910" s="154" t="s">
        <v>2784</v>
      </c>
      <c r="AF1910" s="154" t="s">
        <v>7089</v>
      </c>
      <c r="AQ1910" s="173"/>
      <c r="AR1910" s="174"/>
      <c r="AS1910" s="175"/>
      <c r="AT1910" s="159"/>
      <c r="AU1910" s="161"/>
      <c r="AV1910" s="173"/>
      <c r="AW1910" s="176"/>
      <c r="AX1910" s="177"/>
      <c r="AY1910" s="178"/>
      <c r="AZ1910" s="159"/>
      <c r="BA1910" s="161"/>
      <c r="BB1910" s="160"/>
    </row>
    <row r="1911" spans="1:59" s="154" customFormat="1" ht="15" customHeight="1">
      <c r="A1911" s="153" t="s">
        <v>6939</v>
      </c>
      <c r="B1911" s="188" t="s">
        <v>7090</v>
      </c>
      <c r="C1911" s="154" t="s">
        <v>6941</v>
      </c>
      <c r="D1911" s="154">
        <v>39</v>
      </c>
      <c r="E1911" s="154">
        <v>1</v>
      </c>
      <c r="F1911" s="154" t="s">
        <v>7091</v>
      </c>
      <c r="G1911" s="154" t="s">
        <v>7091</v>
      </c>
      <c r="J1911" s="154" t="s">
        <v>618</v>
      </c>
      <c r="K1911" s="154" t="s">
        <v>2426</v>
      </c>
      <c r="O1911" s="173"/>
      <c r="P1911" s="174"/>
      <c r="Q1911" s="175"/>
      <c r="R1911" s="159"/>
      <c r="S1911" s="160"/>
      <c r="T1911" s="161"/>
      <c r="U1911" s="173"/>
      <c r="V1911" s="176"/>
      <c r="W1911" s="177"/>
      <c r="X1911" s="178"/>
      <c r="Y1911" s="159"/>
      <c r="Z1911" s="161"/>
      <c r="AA1911" s="160"/>
      <c r="AF1911" s="154" t="s">
        <v>7092</v>
      </c>
      <c r="AI1911" s="154" t="s">
        <v>7091</v>
      </c>
      <c r="AL1911" s="154" t="s">
        <v>618</v>
      </c>
      <c r="AM1911" s="154" t="s">
        <v>2426</v>
      </c>
      <c r="AQ1911" s="173"/>
      <c r="AR1911" s="174"/>
      <c r="AS1911" s="175"/>
      <c r="AT1911" s="159"/>
      <c r="AU1911" s="161"/>
      <c r="AV1911" s="173"/>
      <c r="AW1911" s="176"/>
      <c r="AX1911" s="177"/>
      <c r="AY1911" s="178"/>
      <c r="AZ1911" s="159"/>
      <c r="BA1911" s="161"/>
      <c r="BB1911" s="160"/>
      <c r="BG1911" s="154" t="s">
        <v>7093</v>
      </c>
    </row>
    <row r="1912" spans="1:59" s="154" customFormat="1" ht="15" customHeight="1">
      <c r="A1912" s="153" t="s">
        <v>6939</v>
      </c>
      <c r="B1912" s="190" t="s">
        <v>7094</v>
      </c>
      <c r="C1912" s="154" t="s">
        <v>6941</v>
      </c>
      <c r="D1912" s="154">
        <v>40</v>
      </c>
      <c r="E1912" s="154">
        <v>1</v>
      </c>
      <c r="F1912" s="154" t="s">
        <v>7091</v>
      </c>
      <c r="G1912" s="154" t="s">
        <v>7095</v>
      </c>
      <c r="J1912" s="154" t="s">
        <v>619</v>
      </c>
      <c r="K1912" s="154" t="s">
        <v>2426</v>
      </c>
      <c r="L1912" s="154">
        <v>1</v>
      </c>
      <c r="O1912" s="173"/>
      <c r="P1912" s="174"/>
      <c r="Q1912" s="175"/>
      <c r="R1912" s="159"/>
      <c r="S1912" s="160"/>
      <c r="T1912" s="161"/>
      <c r="U1912" s="173"/>
      <c r="V1912" s="176"/>
      <c r="W1912" s="177"/>
      <c r="X1912" s="178"/>
      <c r="Y1912" s="159"/>
      <c r="Z1912" s="161">
        <v>19</v>
      </c>
      <c r="AA1912" s="160"/>
      <c r="AF1912" s="154" t="s">
        <v>7096</v>
      </c>
      <c r="AI1912" s="154" t="s">
        <v>7097</v>
      </c>
      <c r="AL1912" s="154" t="s">
        <v>619</v>
      </c>
      <c r="AM1912" s="154" t="s">
        <v>2426</v>
      </c>
      <c r="AN1912" s="154">
        <v>1</v>
      </c>
      <c r="AQ1912" s="173"/>
      <c r="AR1912" s="174"/>
      <c r="AS1912" s="175"/>
      <c r="AT1912" s="159"/>
      <c r="AU1912" s="161"/>
      <c r="AV1912" s="173"/>
      <c r="AW1912" s="176"/>
      <c r="AX1912" s="177"/>
      <c r="AY1912" s="178"/>
      <c r="AZ1912" s="159"/>
      <c r="BA1912" s="161"/>
      <c r="BB1912" s="160"/>
      <c r="BG1912" s="154" t="s">
        <v>7098</v>
      </c>
    </row>
    <row r="1913" spans="1:59" s="154" customFormat="1" ht="15" customHeight="1">
      <c r="A1913" s="153" t="s">
        <v>6939</v>
      </c>
      <c r="B1913" s="187" t="s">
        <v>7099</v>
      </c>
      <c r="C1913" s="154" t="s">
        <v>6941</v>
      </c>
      <c r="D1913" s="154">
        <v>41</v>
      </c>
      <c r="E1913" s="154">
        <v>1</v>
      </c>
      <c r="F1913" s="154" t="s">
        <v>7091</v>
      </c>
      <c r="G1913" s="154" t="s">
        <v>7100</v>
      </c>
      <c r="J1913" s="154" t="s">
        <v>621</v>
      </c>
      <c r="K1913" s="154" t="s">
        <v>2426</v>
      </c>
      <c r="L1913" s="154">
        <v>1</v>
      </c>
      <c r="O1913" s="173"/>
      <c r="P1913" s="174"/>
      <c r="Q1913" s="175"/>
      <c r="R1913" s="159"/>
      <c r="S1913" s="160"/>
      <c r="T1913" s="161"/>
      <c r="U1913" s="173"/>
      <c r="V1913" s="176"/>
      <c r="W1913" s="177"/>
      <c r="X1913" s="178"/>
      <c r="Y1913" s="159" t="s">
        <v>38</v>
      </c>
      <c r="Z1913" s="161"/>
      <c r="AA1913" s="160"/>
      <c r="AF1913" s="154" t="s">
        <v>7101</v>
      </c>
      <c r="AI1913" s="154" t="s">
        <v>7102</v>
      </c>
      <c r="AL1913" s="154" t="s">
        <v>621</v>
      </c>
      <c r="AM1913" s="154" t="s">
        <v>2426</v>
      </c>
      <c r="AN1913" s="154">
        <v>1</v>
      </c>
      <c r="AQ1913" s="173"/>
      <c r="AR1913" s="174"/>
      <c r="AS1913" s="175"/>
      <c r="AT1913" s="159"/>
      <c r="AU1913" s="161"/>
      <c r="AV1913" s="173"/>
      <c r="AW1913" s="176"/>
      <c r="AX1913" s="177"/>
      <c r="AY1913" s="178"/>
      <c r="AZ1913" s="159"/>
      <c r="BA1913" s="161"/>
      <c r="BB1913" s="160"/>
      <c r="BG1913" s="154" t="s">
        <v>7103</v>
      </c>
    </row>
    <row r="1914" spans="1:59" s="154" customFormat="1" ht="15" customHeight="1">
      <c r="A1914" s="153" t="s">
        <v>6939</v>
      </c>
      <c r="B1914" s="187" t="s">
        <v>7104</v>
      </c>
      <c r="C1914" s="154" t="s">
        <v>6941</v>
      </c>
      <c r="D1914" s="154">
        <v>42</v>
      </c>
      <c r="E1914" s="154">
        <v>1</v>
      </c>
      <c r="F1914" s="154" t="s">
        <v>7091</v>
      </c>
      <c r="G1914" s="154" t="s">
        <v>7105</v>
      </c>
      <c r="J1914" s="154" t="s">
        <v>621</v>
      </c>
      <c r="K1914" s="154" t="s">
        <v>2426</v>
      </c>
      <c r="L1914" s="154">
        <v>2</v>
      </c>
      <c r="O1914" s="173"/>
      <c r="P1914" s="174"/>
      <c r="Q1914" s="175"/>
      <c r="R1914" s="159"/>
      <c r="S1914" s="160"/>
      <c r="T1914" s="161"/>
      <c r="U1914" s="173"/>
      <c r="V1914" s="176"/>
      <c r="W1914" s="177"/>
      <c r="X1914" s="178"/>
      <c r="Y1914" s="159" t="s">
        <v>38</v>
      </c>
      <c r="Z1914" s="161"/>
      <c r="AA1914" s="160"/>
      <c r="AF1914" s="154" t="s">
        <v>7106</v>
      </c>
      <c r="AI1914" s="154" t="s">
        <v>7107</v>
      </c>
      <c r="AL1914" s="154" t="s">
        <v>621</v>
      </c>
      <c r="AM1914" s="154" t="s">
        <v>2426</v>
      </c>
      <c r="AN1914" s="154">
        <v>2</v>
      </c>
      <c r="AQ1914" s="173"/>
      <c r="AR1914" s="174"/>
      <c r="AS1914" s="175"/>
      <c r="AT1914" s="159"/>
      <c r="AU1914" s="161"/>
      <c r="AV1914" s="173"/>
      <c r="AW1914" s="176"/>
      <c r="AX1914" s="177"/>
      <c r="AY1914" s="178"/>
      <c r="AZ1914" s="159"/>
      <c r="BA1914" s="161"/>
      <c r="BB1914" s="160"/>
      <c r="BG1914" s="154" t="s">
        <v>7108</v>
      </c>
    </row>
    <row r="1915" spans="1:59" ht="15" customHeight="1">
      <c r="A1915" s="153" t="s">
        <v>6939</v>
      </c>
      <c r="B1915" s="190" t="s">
        <v>7109</v>
      </c>
      <c r="C1915" s="154" t="s">
        <v>6941</v>
      </c>
      <c r="D1915" s="23">
        <v>43</v>
      </c>
      <c r="E1915" s="23">
        <v>1</v>
      </c>
      <c r="F1915" s="154" t="s">
        <v>7091</v>
      </c>
      <c r="G1915" s="154" t="s">
        <v>7110</v>
      </c>
      <c r="J1915" s="23" t="s">
        <v>621</v>
      </c>
      <c r="K1915" s="23" t="s">
        <v>2426</v>
      </c>
      <c r="L1915" s="23">
        <v>3</v>
      </c>
      <c r="N1915" s="191"/>
      <c r="O1915" s="129"/>
      <c r="P1915" s="130"/>
      <c r="Q1915" s="131"/>
      <c r="R1915" s="29"/>
      <c r="S1915" s="135"/>
      <c r="T1915" s="122"/>
      <c r="U1915" s="129"/>
      <c r="V1915" s="136"/>
      <c r="W1915" s="137"/>
      <c r="X1915" s="134"/>
      <c r="Y1915" s="29" t="s">
        <v>38</v>
      </c>
      <c r="Z1915" s="122"/>
      <c r="AA1915" s="135"/>
      <c r="AB1915" s="148"/>
      <c r="AE1915" s="23"/>
      <c r="AF1915" s="23" t="s">
        <v>7111</v>
      </c>
      <c r="AI1915" s="154" t="s">
        <v>7112</v>
      </c>
      <c r="AL1915" s="23" t="s">
        <v>621</v>
      </c>
      <c r="AM1915" s="23" t="s">
        <v>2426</v>
      </c>
      <c r="AN1915" s="23">
        <v>3</v>
      </c>
      <c r="AP1915" s="23"/>
      <c r="AQ1915" s="129"/>
      <c r="AR1915" s="130"/>
      <c r="AS1915" s="131"/>
      <c r="AT1915" s="29"/>
      <c r="AU1915" s="122"/>
      <c r="AV1915" s="129"/>
      <c r="AW1915" s="136"/>
      <c r="AX1915" s="137"/>
      <c r="AY1915" s="134"/>
      <c r="AZ1915" s="29"/>
      <c r="BA1915" s="122"/>
      <c r="BB1915" s="135"/>
      <c r="BF1915" s="23"/>
      <c r="BG1915" s="23" t="s">
        <v>7113</v>
      </c>
    </row>
    <row r="1916" spans="1:59" ht="15" customHeight="1">
      <c r="A1916" s="153" t="s">
        <v>6939</v>
      </c>
      <c r="B1916" s="187" t="s">
        <v>7114</v>
      </c>
      <c r="C1916" s="154" t="s">
        <v>6941</v>
      </c>
      <c r="D1916" s="23">
        <v>44</v>
      </c>
      <c r="E1916" s="23">
        <v>1</v>
      </c>
      <c r="F1916" s="154" t="s">
        <v>7091</v>
      </c>
      <c r="G1916" s="154" t="s">
        <v>7115</v>
      </c>
      <c r="J1916" s="23" t="s">
        <v>621</v>
      </c>
      <c r="K1916" s="23" t="s">
        <v>2426</v>
      </c>
      <c r="L1916" s="23">
        <v>4</v>
      </c>
      <c r="N1916" s="191"/>
      <c r="O1916" s="129"/>
      <c r="P1916" s="130"/>
      <c r="Q1916" s="131"/>
      <c r="R1916" s="29"/>
      <c r="S1916" s="135"/>
      <c r="T1916" s="122"/>
      <c r="U1916" s="129"/>
      <c r="V1916" s="136"/>
      <c r="W1916" s="137"/>
      <c r="X1916" s="134"/>
      <c r="Y1916" s="29" t="s">
        <v>1077</v>
      </c>
      <c r="Z1916" s="122"/>
      <c r="AA1916" s="135"/>
      <c r="AB1916" s="148"/>
      <c r="AE1916" s="23"/>
      <c r="AF1916" s="23" t="s">
        <v>7116</v>
      </c>
      <c r="AI1916" s="154" t="s">
        <v>7117</v>
      </c>
      <c r="AL1916" s="23" t="s">
        <v>621</v>
      </c>
      <c r="AM1916" s="23" t="s">
        <v>2426</v>
      </c>
      <c r="AN1916" s="23">
        <v>4</v>
      </c>
      <c r="AP1916" s="23"/>
      <c r="AQ1916" s="129"/>
      <c r="AR1916" s="130"/>
      <c r="AS1916" s="131"/>
      <c r="AT1916" s="29"/>
      <c r="AU1916" s="122"/>
      <c r="AV1916" s="129"/>
      <c r="AW1916" s="136"/>
      <c r="AX1916" s="137"/>
      <c r="AY1916" s="134"/>
      <c r="AZ1916" s="29"/>
      <c r="BA1916" s="122"/>
      <c r="BB1916" s="135"/>
      <c r="BF1916" s="23"/>
      <c r="BG1916" s="23" t="s">
        <v>7118</v>
      </c>
    </row>
    <row r="1917" spans="1:59" ht="15" customHeight="1">
      <c r="A1917" s="153" t="s">
        <v>6939</v>
      </c>
      <c r="B1917" s="187" t="s">
        <v>7119</v>
      </c>
      <c r="C1917" s="154" t="s">
        <v>6941</v>
      </c>
      <c r="D1917" s="23">
        <v>45</v>
      </c>
      <c r="E1917" s="23">
        <v>1</v>
      </c>
      <c r="F1917" s="154" t="s">
        <v>7091</v>
      </c>
      <c r="G1917" s="154" t="s">
        <v>7120</v>
      </c>
      <c r="J1917" s="23" t="s">
        <v>31</v>
      </c>
      <c r="K1917" s="23" t="s">
        <v>2426</v>
      </c>
      <c r="N1917" s="191"/>
      <c r="O1917" s="129"/>
      <c r="P1917" s="130"/>
      <c r="Q1917" s="131"/>
      <c r="R1917" s="29"/>
      <c r="S1917" s="135"/>
      <c r="T1917" s="122"/>
      <c r="U1917" s="129"/>
      <c r="V1917" s="136"/>
      <c r="W1917" s="137"/>
      <c r="X1917" s="134"/>
      <c r="Y1917" s="29"/>
      <c r="Z1917" s="122"/>
      <c r="AA1917" s="135"/>
      <c r="AB1917" s="148"/>
      <c r="AD1917" s="23" t="s">
        <v>7121</v>
      </c>
      <c r="AE1917" s="23"/>
      <c r="AI1917" s="154" t="s">
        <v>7120</v>
      </c>
      <c r="AJ1917" s="23" t="s">
        <v>7122</v>
      </c>
      <c r="AL1917" s="23" t="s">
        <v>31</v>
      </c>
      <c r="AM1917" s="23" t="s">
        <v>2426</v>
      </c>
      <c r="AP1917" s="23"/>
      <c r="AQ1917" s="129"/>
      <c r="AR1917" s="130"/>
      <c r="AS1917" s="131"/>
      <c r="AT1917" s="29"/>
      <c r="AU1917" s="122"/>
      <c r="AV1917" s="129"/>
      <c r="AW1917" s="136"/>
      <c r="AX1917" s="137"/>
      <c r="AY1917" s="134">
        <v>1</v>
      </c>
      <c r="AZ1917" s="29" t="s">
        <v>1073</v>
      </c>
      <c r="BA1917" s="122"/>
      <c r="BB1917" s="135"/>
      <c r="BE1917" s="23" t="s">
        <v>7121</v>
      </c>
      <c r="BF1917" s="23"/>
      <c r="BG1917" s="23" t="s">
        <v>7123</v>
      </c>
    </row>
    <row r="1918" spans="1:59" ht="15" customHeight="1">
      <c r="A1918" s="153" t="s">
        <v>6939</v>
      </c>
      <c r="B1918" s="187" t="s">
        <v>7124</v>
      </c>
      <c r="C1918" s="154" t="s">
        <v>6941</v>
      </c>
      <c r="D1918" s="23">
        <v>46</v>
      </c>
      <c r="E1918" s="23">
        <v>1</v>
      </c>
      <c r="F1918" s="154" t="s">
        <v>7091</v>
      </c>
      <c r="G1918" s="154" t="s">
        <v>7125</v>
      </c>
      <c r="J1918" s="23" t="s">
        <v>31</v>
      </c>
      <c r="K1918" s="23" t="s">
        <v>2426</v>
      </c>
      <c r="N1918" s="191"/>
      <c r="O1918" s="129"/>
      <c r="P1918" s="130"/>
      <c r="Q1918" s="131"/>
      <c r="R1918" s="29"/>
      <c r="S1918" s="135"/>
      <c r="T1918" s="122"/>
      <c r="U1918" s="129"/>
      <c r="V1918" s="136"/>
      <c r="W1918" s="137"/>
      <c r="X1918" s="134"/>
      <c r="Y1918" s="29"/>
      <c r="Z1918" s="122"/>
      <c r="AA1918" s="135"/>
      <c r="AB1918" s="148"/>
      <c r="AD1918" s="23" t="s">
        <v>7126</v>
      </c>
      <c r="AE1918" s="23"/>
      <c r="AI1918" s="154" t="s">
        <v>7125</v>
      </c>
      <c r="AL1918" s="23" t="s">
        <v>31</v>
      </c>
      <c r="AM1918" s="23" t="s">
        <v>2426</v>
      </c>
      <c r="AP1918" s="23"/>
      <c r="AQ1918" s="129"/>
      <c r="AR1918" s="130"/>
      <c r="AS1918" s="131"/>
      <c r="AT1918" s="29"/>
      <c r="AU1918" s="122"/>
      <c r="AV1918" s="129"/>
      <c r="AW1918" s="136"/>
      <c r="AX1918" s="137"/>
      <c r="AY1918" s="134">
        <v>9</v>
      </c>
      <c r="AZ1918" s="29">
        <v>0</v>
      </c>
      <c r="BA1918" s="122"/>
      <c r="BB1918" s="135"/>
      <c r="BE1918" s="23" t="s">
        <v>7126</v>
      </c>
      <c r="BF1918" s="23"/>
      <c r="BG1918" s="23" t="s">
        <v>7127</v>
      </c>
    </row>
    <row r="1919" spans="1:59" ht="15" customHeight="1">
      <c r="A1919" s="153" t="s">
        <v>6939</v>
      </c>
      <c r="B1919" s="187" t="s">
        <v>7128</v>
      </c>
      <c r="C1919" s="154" t="s">
        <v>6941</v>
      </c>
      <c r="D1919" s="23">
        <v>47</v>
      </c>
      <c r="E1919" s="23">
        <v>1</v>
      </c>
      <c r="F1919" s="154" t="s">
        <v>7091</v>
      </c>
      <c r="G1919" s="154" t="s">
        <v>7129</v>
      </c>
      <c r="J1919" s="23" t="s">
        <v>31</v>
      </c>
      <c r="K1919" s="23" t="s">
        <v>2426</v>
      </c>
      <c r="N1919" s="191"/>
      <c r="O1919" s="129"/>
      <c r="P1919" s="130"/>
      <c r="Q1919" s="131"/>
      <c r="R1919" s="29"/>
      <c r="S1919" s="135"/>
      <c r="T1919" s="122"/>
      <c r="U1919" s="129"/>
      <c r="V1919" s="136"/>
      <c r="W1919" s="137"/>
      <c r="X1919" s="134"/>
      <c r="Y1919" s="29"/>
      <c r="Z1919" s="122"/>
      <c r="AA1919" s="135"/>
      <c r="AB1919" s="148"/>
      <c r="AD1919" s="23" t="s">
        <v>7121</v>
      </c>
      <c r="AE1919" s="23"/>
      <c r="AI1919" s="154" t="s">
        <v>7129</v>
      </c>
      <c r="AJ1919" s="23" t="s">
        <v>7130</v>
      </c>
      <c r="AL1919" s="23" t="s">
        <v>31</v>
      </c>
      <c r="AM1919" s="23" t="s">
        <v>2426</v>
      </c>
      <c r="AP1919" s="23"/>
      <c r="AQ1919" s="129"/>
      <c r="AR1919" s="130"/>
      <c r="AS1919" s="131"/>
      <c r="AT1919" s="29"/>
      <c r="AU1919" s="122"/>
      <c r="AV1919" s="129"/>
      <c r="AW1919" s="136"/>
      <c r="AX1919" s="137"/>
      <c r="AY1919" s="134">
        <v>2</v>
      </c>
      <c r="AZ1919" s="29" t="s">
        <v>1073</v>
      </c>
      <c r="BA1919" s="122"/>
      <c r="BB1919" s="135"/>
      <c r="BE1919" s="23" t="s">
        <v>7121</v>
      </c>
      <c r="BF1919" s="23"/>
      <c r="BG1919" s="23" t="s">
        <v>7131</v>
      </c>
    </row>
    <row r="1920" spans="1:59" ht="15" customHeight="1">
      <c r="A1920" s="153" t="s">
        <v>6939</v>
      </c>
      <c r="B1920" s="187" t="s">
        <v>7132</v>
      </c>
      <c r="C1920" s="154" t="s">
        <v>6941</v>
      </c>
      <c r="D1920" s="23">
        <v>48</v>
      </c>
      <c r="E1920" s="23">
        <v>1</v>
      </c>
      <c r="F1920" s="154" t="s">
        <v>7091</v>
      </c>
      <c r="G1920" s="154" t="s">
        <v>7133</v>
      </c>
      <c r="J1920" s="23" t="s">
        <v>31</v>
      </c>
      <c r="K1920" s="23" t="s">
        <v>2426</v>
      </c>
      <c r="N1920" s="191"/>
      <c r="O1920" s="129"/>
      <c r="P1920" s="130"/>
      <c r="Q1920" s="131"/>
      <c r="R1920" s="29"/>
      <c r="S1920" s="135"/>
      <c r="T1920" s="122"/>
      <c r="U1920" s="129"/>
      <c r="V1920" s="136"/>
      <c r="W1920" s="137"/>
      <c r="X1920" s="134"/>
      <c r="Y1920" s="29"/>
      <c r="Z1920" s="122"/>
      <c r="AA1920" s="135"/>
      <c r="AB1920" s="148"/>
      <c r="AD1920" s="23" t="s">
        <v>7134</v>
      </c>
      <c r="AE1920" s="23"/>
      <c r="AI1920" s="154" t="s">
        <v>7133</v>
      </c>
      <c r="AL1920" s="23" t="s">
        <v>31</v>
      </c>
      <c r="AM1920" s="23" t="s">
        <v>2426</v>
      </c>
      <c r="AP1920" s="23"/>
      <c r="AQ1920" s="129"/>
      <c r="AR1920" s="130"/>
      <c r="AS1920" s="131"/>
      <c r="AT1920" s="29"/>
      <c r="AU1920" s="122"/>
      <c r="AV1920" s="129"/>
      <c r="AW1920" s="136"/>
      <c r="AX1920" s="137"/>
      <c r="AY1920" s="134">
        <v>3</v>
      </c>
      <c r="AZ1920" s="29" t="s">
        <v>1073</v>
      </c>
      <c r="BA1920" s="122"/>
      <c r="BB1920" s="135"/>
      <c r="BE1920" s="23" t="s">
        <v>7134</v>
      </c>
      <c r="BF1920" s="23"/>
      <c r="BG1920" s="23" t="s">
        <v>7135</v>
      </c>
    </row>
    <row r="1921" spans="1:59" s="154" customFormat="1" ht="15" customHeight="1">
      <c r="A1921" s="153" t="s">
        <v>6939</v>
      </c>
      <c r="B1921" s="187" t="s">
        <v>7136</v>
      </c>
      <c r="C1921" s="154" t="s">
        <v>6941</v>
      </c>
      <c r="D1921" s="154">
        <v>49</v>
      </c>
      <c r="E1921" s="154">
        <v>1</v>
      </c>
      <c r="F1921" s="154" t="s">
        <v>7091</v>
      </c>
      <c r="G1921" s="154" t="s">
        <v>7137</v>
      </c>
      <c r="J1921" s="154" t="s">
        <v>31</v>
      </c>
      <c r="K1921" s="154" t="s">
        <v>2426</v>
      </c>
      <c r="O1921" s="173"/>
      <c r="P1921" s="174"/>
      <c r="Q1921" s="175"/>
      <c r="R1921" s="159"/>
      <c r="S1921" s="160"/>
      <c r="T1921" s="161"/>
      <c r="U1921" s="173"/>
      <c r="V1921" s="176"/>
      <c r="W1921" s="177"/>
      <c r="X1921" s="178"/>
      <c r="Y1921" s="159"/>
      <c r="Z1921" s="161"/>
      <c r="AA1921" s="160"/>
      <c r="AD1921" s="154" t="s">
        <v>472</v>
      </c>
      <c r="AI1921" s="154" t="s">
        <v>7137</v>
      </c>
      <c r="AL1921" s="154" t="s">
        <v>31</v>
      </c>
      <c r="AM1921" s="154" t="s">
        <v>2426</v>
      </c>
      <c r="AQ1921" s="173"/>
      <c r="AR1921" s="174"/>
      <c r="AS1921" s="175"/>
      <c r="AT1921" s="159"/>
      <c r="AU1921" s="161"/>
      <c r="AV1921" s="173"/>
      <c r="AW1921" s="176"/>
      <c r="AX1921" s="177"/>
      <c r="AY1921" s="178">
        <v>2</v>
      </c>
      <c r="AZ1921" s="159">
        <v>0</v>
      </c>
      <c r="BA1921" s="161"/>
      <c r="BB1921" s="160"/>
      <c r="BE1921" s="154" t="s">
        <v>472</v>
      </c>
      <c r="BG1921" s="154" t="s">
        <v>7138</v>
      </c>
    </row>
    <row r="1922" spans="1:59" s="154" customFormat="1" ht="15" customHeight="1">
      <c r="A1922" s="153" t="s">
        <v>6939</v>
      </c>
      <c r="B1922" s="187" t="s">
        <v>7139</v>
      </c>
      <c r="C1922" s="154" t="s">
        <v>6941</v>
      </c>
      <c r="D1922" s="154">
        <v>50</v>
      </c>
      <c r="E1922" s="154">
        <v>1</v>
      </c>
      <c r="F1922" s="154" t="s">
        <v>7091</v>
      </c>
      <c r="G1922" s="154" t="s">
        <v>7140</v>
      </c>
      <c r="J1922" s="154" t="s">
        <v>31</v>
      </c>
      <c r="K1922" s="154" t="s">
        <v>2426</v>
      </c>
      <c r="O1922" s="173"/>
      <c r="P1922" s="174"/>
      <c r="Q1922" s="175"/>
      <c r="R1922" s="159"/>
      <c r="S1922" s="160"/>
      <c r="T1922" s="161"/>
      <c r="U1922" s="173"/>
      <c r="V1922" s="176"/>
      <c r="W1922" s="177"/>
      <c r="X1922" s="178"/>
      <c r="Y1922" s="159"/>
      <c r="Z1922" s="161"/>
      <c r="AA1922" s="160"/>
      <c r="AD1922" s="154" t="s">
        <v>472</v>
      </c>
      <c r="AI1922" s="154" t="s">
        <v>7140</v>
      </c>
      <c r="AJ1922" s="154" t="s">
        <v>7141</v>
      </c>
      <c r="AL1922" s="154" t="s">
        <v>31</v>
      </c>
      <c r="AM1922" s="154" t="s">
        <v>2426</v>
      </c>
      <c r="AQ1922" s="173"/>
      <c r="AR1922" s="174"/>
      <c r="AS1922" s="175"/>
      <c r="AT1922" s="159"/>
      <c r="AU1922" s="161"/>
      <c r="AV1922" s="173"/>
      <c r="AW1922" s="176"/>
      <c r="AX1922" s="177"/>
      <c r="AY1922" s="178">
        <v>4</v>
      </c>
      <c r="AZ1922" s="159" t="s">
        <v>1073</v>
      </c>
      <c r="BA1922" s="161"/>
      <c r="BB1922" s="160">
        <v>2</v>
      </c>
      <c r="BE1922" s="154" t="s">
        <v>472</v>
      </c>
      <c r="BG1922" s="154" t="s">
        <v>7142</v>
      </c>
    </row>
    <row r="1923" spans="1:59" s="154" customFormat="1" ht="15" customHeight="1">
      <c r="A1923" s="153" t="s">
        <v>6939</v>
      </c>
      <c r="B1923" s="187" t="s">
        <v>7143</v>
      </c>
      <c r="C1923" s="154" t="s">
        <v>6941</v>
      </c>
      <c r="D1923" s="154">
        <v>51</v>
      </c>
      <c r="E1923" s="154">
        <v>1</v>
      </c>
      <c r="F1923" s="154" t="s">
        <v>7091</v>
      </c>
      <c r="G1923" s="154" t="s">
        <v>7140</v>
      </c>
      <c r="J1923" s="154" t="s">
        <v>31</v>
      </c>
      <c r="K1923" s="154" t="s">
        <v>2426</v>
      </c>
      <c r="O1923" s="173"/>
      <c r="P1923" s="174"/>
      <c r="Q1923" s="175"/>
      <c r="R1923" s="159"/>
      <c r="S1923" s="160"/>
      <c r="T1923" s="161"/>
      <c r="U1923" s="173"/>
      <c r="V1923" s="176"/>
      <c r="W1923" s="177"/>
      <c r="X1923" s="178"/>
      <c r="Y1923" s="159"/>
      <c r="Z1923" s="161"/>
      <c r="AA1923" s="160"/>
      <c r="AD1923" s="154" t="s">
        <v>472</v>
      </c>
      <c r="AI1923" s="154" t="s">
        <v>7140</v>
      </c>
      <c r="AJ1923" s="154" t="s">
        <v>7144</v>
      </c>
      <c r="AL1923" s="154" t="s">
        <v>31</v>
      </c>
      <c r="AM1923" s="154" t="s">
        <v>2426</v>
      </c>
      <c r="AQ1923" s="173"/>
      <c r="AR1923" s="174"/>
      <c r="AS1923" s="175"/>
      <c r="AT1923" s="159"/>
      <c r="AU1923" s="161"/>
      <c r="AV1923" s="173"/>
      <c r="AW1923" s="176"/>
      <c r="AX1923" s="177"/>
      <c r="AY1923" s="178">
        <v>3</v>
      </c>
      <c r="AZ1923" s="159" t="s">
        <v>1073</v>
      </c>
      <c r="BA1923" s="161"/>
      <c r="BB1923" s="160">
        <v>2</v>
      </c>
      <c r="BE1923" s="154" t="s">
        <v>472</v>
      </c>
      <c r="BG1923" s="154" t="s">
        <v>7145</v>
      </c>
    </row>
    <row r="1924" spans="1:59" s="154" customFormat="1" ht="15" customHeight="1">
      <c r="A1924" s="153" t="s">
        <v>6939</v>
      </c>
      <c r="B1924" s="187" t="s">
        <v>7146</v>
      </c>
      <c r="C1924" s="154" t="s">
        <v>6941</v>
      </c>
      <c r="D1924" s="154">
        <v>52</v>
      </c>
      <c r="E1924" s="154">
        <v>1</v>
      </c>
      <c r="F1924" s="154" t="s">
        <v>7091</v>
      </c>
      <c r="G1924" s="154" t="s">
        <v>7140</v>
      </c>
      <c r="J1924" s="154" t="s">
        <v>31</v>
      </c>
      <c r="K1924" s="154" t="s">
        <v>2426</v>
      </c>
      <c r="O1924" s="173"/>
      <c r="P1924" s="174"/>
      <c r="Q1924" s="175"/>
      <c r="R1924" s="159"/>
      <c r="S1924" s="160"/>
      <c r="T1924" s="161"/>
      <c r="U1924" s="173"/>
      <c r="V1924" s="176"/>
      <c r="W1924" s="177"/>
      <c r="X1924" s="178"/>
      <c r="Y1924" s="159"/>
      <c r="Z1924" s="161"/>
      <c r="AA1924" s="160"/>
      <c r="AD1924" s="154" t="s">
        <v>472</v>
      </c>
      <c r="AI1924" s="154" t="s">
        <v>7140</v>
      </c>
      <c r="AJ1924" s="154" t="s">
        <v>7147</v>
      </c>
      <c r="AL1924" s="154" t="s">
        <v>31</v>
      </c>
      <c r="AM1924" s="154" t="s">
        <v>2426</v>
      </c>
      <c r="AQ1924" s="173"/>
      <c r="AR1924" s="174"/>
      <c r="AS1924" s="175"/>
      <c r="AT1924" s="159"/>
      <c r="AU1924" s="161"/>
      <c r="AV1924" s="173"/>
      <c r="AW1924" s="176"/>
      <c r="AX1924" s="177"/>
      <c r="AY1924" s="178">
        <v>1</v>
      </c>
      <c r="AZ1924" s="159" t="s">
        <v>1073</v>
      </c>
      <c r="BA1924" s="161"/>
      <c r="BB1924" s="160">
        <v>1</v>
      </c>
      <c r="BE1924" s="154" t="s">
        <v>472</v>
      </c>
      <c r="BG1924" s="154" t="s">
        <v>7148</v>
      </c>
    </row>
    <row r="1925" spans="1:59" s="154" customFormat="1" ht="15" customHeight="1">
      <c r="A1925" s="153" t="s">
        <v>6939</v>
      </c>
      <c r="B1925" s="187" t="s">
        <v>7149</v>
      </c>
      <c r="C1925" s="154" t="s">
        <v>6941</v>
      </c>
      <c r="D1925" s="154">
        <v>53</v>
      </c>
      <c r="E1925" s="154">
        <v>1</v>
      </c>
      <c r="F1925" s="154" t="s">
        <v>7091</v>
      </c>
      <c r="G1925" s="154" t="s">
        <v>7140</v>
      </c>
      <c r="J1925" s="154" t="s">
        <v>31</v>
      </c>
      <c r="K1925" s="154" t="s">
        <v>2426</v>
      </c>
      <c r="O1925" s="173"/>
      <c r="P1925" s="174"/>
      <c r="Q1925" s="175"/>
      <c r="R1925" s="159"/>
      <c r="S1925" s="160"/>
      <c r="T1925" s="161"/>
      <c r="U1925" s="173"/>
      <c r="V1925" s="176"/>
      <c r="W1925" s="177"/>
      <c r="X1925" s="178"/>
      <c r="Y1925" s="159"/>
      <c r="Z1925" s="161"/>
      <c r="AA1925" s="160"/>
      <c r="AD1925" s="154" t="s">
        <v>472</v>
      </c>
      <c r="AI1925" s="154" t="s">
        <v>7140</v>
      </c>
      <c r="AJ1925" s="154" t="s">
        <v>7150</v>
      </c>
      <c r="AL1925" s="154" t="s">
        <v>31</v>
      </c>
      <c r="AM1925" s="154" t="s">
        <v>2426</v>
      </c>
      <c r="AQ1925" s="173"/>
      <c r="AR1925" s="174"/>
      <c r="AS1925" s="175"/>
      <c r="AT1925" s="159"/>
      <c r="AU1925" s="161"/>
      <c r="AV1925" s="173"/>
      <c r="AW1925" s="176"/>
      <c r="AX1925" s="177"/>
      <c r="AY1925" s="178">
        <v>2</v>
      </c>
      <c r="AZ1925" s="159" t="s">
        <v>1073</v>
      </c>
      <c r="BA1925" s="161"/>
      <c r="BB1925" s="160">
        <v>2</v>
      </c>
      <c r="BE1925" s="154" t="s">
        <v>472</v>
      </c>
      <c r="BG1925" s="154" t="s">
        <v>7151</v>
      </c>
    </row>
    <row r="1926" spans="1:59" s="154" customFormat="1" ht="15" customHeight="1">
      <c r="A1926" s="153" t="s">
        <v>6939</v>
      </c>
      <c r="B1926" s="187" t="s">
        <v>7152</v>
      </c>
      <c r="C1926" s="154" t="s">
        <v>6941</v>
      </c>
      <c r="D1926" s="154">
        <v>54</v>
      </c>
      <c r="E1926" s="154">
        <v>1</v>
      </c>
      <c r="F1926" s="154" t="s">
        <v>7091</v>
      </c>
      <c r="G1926" s="154" t="s">
        <v>7140</v>
      </c>
      <c r="J1926" s="154" t="s">
        <v>31</v>
      </c>
      <c r="K1926" s="154" t="s">
        <v>2426</v>
      </c>
      <c r="O1926" s="173"/>
      <c r="P1926" s="174"/>
      <c r="Q1926" s="175"/>
      <c r="R1926" s="159"/>
      <c r="S1926" s="160"/>
      <c r="T1926" s="161"/>
      <c r="U1926" s="173"/>
      <c r="V1926" s="176"/>
      <c r="W1926" s="177"/>
      <c r="X1926" s="178"/>
      <c r="Y1926" s="159"/>
      <c r="Z1926" s="161"/>
      <c r="AA1926" s="160"/>
      <c r="AD1926" s="154" t="s">
        <v>472</v>
      </c>
      <c r="AI1926" s="154" t="s">
        <v>7140</v>
      </c>
      <c r="AJ1926" s="154" t="s">
        <v>7153</v>
      </c>
      <c r="AL1926" s="154" t="s">
        <v>31</v>
      </c>
      <c r="AM1926" s="154" t="s">
        <v>2426</v>
      </c>
      <c r="AQ1926" s="173"/>
      <c r="AR1926" s="174"/>
      <c r="AS1926" s="175"/>
      <c r="AT1926" s="159"/>
      <c r="AU1926" s="161"/>
      <c r="AV1926" s="173"/>
      <c r="AW1926" s="176"/>
      <c r="AX1926" s="177"/>
      <c r="AY1926" s="178">
        <v>3</v>
      </c>
      <c r="AZ1926" s="159" t="s">
        <v>1073</v>
      </c>
      <c r="BA1926" s="161"/>
      <c r="BB1926" s="160">
        <v>2</v>
      </c>
      <c r="BE1926" s="154" t="s">
        <v>472</v>
      </c>
      <c r="BG1926" s="154" t="s">
        <v>7154</v>
      </c>
    </row>
    <row r="1927" spans="1:59" s="154" customFormat="1" ht="15" customHeight="1">
      <c r="A1927" s="153" t="s">
        <v>6939</v>
      </c>
      <c r="B1927" s="187" t="s">
        <v>7155</v>
      </c>
      <c r="C1927" s="154" t="s">
        <v>6941</v>
      </c>
      <c r="D1927" s="154">
        <v>55</v>
      </c>
      <c r="E1927" s="154">
        <v>1</v>
      </c>
      <c r="F1927" s="154" t="s">
        <v>7091</v>
      </c>
      <c r="G1927" s="154" t="s">
        <v>7140</v>
      </c>
      <c r="J1927" s="154" t="s">
        <v>31</v>
      </c>
      <c r="K1927" s="154" t="s">
        <v>2426</v>
      </c>
      <c r="O1927" s="173"/>
      <c r="P1927" s="174"/>
      <c r="Q1927" s="175"/>
      <c r="R1927" s="159"/>
      <c r="S1927" s="160"/>
      <c r="T1927" s="161"/>
      <c r="U1927" s="173"/>
      <c r="V1927" s="176"/>
      <c r="W1927" s="177"/>
      <c r="X1927" s="178"/>
      <c r="Y1927" s="159"/>
      <c r="Z1927" s="161"/>
      <c r="AA1927" s="160"/>
      <c r="AD1927" s="154" t="s">
        <v>472</v>
      </c>
      <c r="AI1927" s="154" t="s">
        <v>7140</v>
      </c>
      <c r="AJ1927" s="154" t="s">
        <v>7156</v>
      </c>
      <c r="AL1927" s="154" t="s">
        <v>31</v>
      </c>
      <c r="AM1927" s="154" t="s">
        <v>2426</v>
      </c>
      <c r="AQ1927" s="173"/>
      <c r="AR1927" s="174"/>
      <c r="AS1927" s="175"/>
      <c r="AT1927" s="159"/>
      <c r="AU1927" s="161"/>
      <c r="AV1927" s="173"/>
      <c r="AW1927" s="176"/>
      <c r="AX1927" s="177"/>
      <c r="AY1927" s="178">
        <v>5</v>
      </c>
      <c r="AZ1927" s="159" t="s">
        <v>1073</v>
      </c>
      <c r="BA1927" s="161"/>
      <c r="BB1927" s="160">
        <v>2</v>
      </c>
      <c r="BE1927" s="154" t="s">
        <v>472</v>
      </c>
      <c r="BG1927" s="154" t="s">
        <v>7157</v>
      </c>
    </row>
    <row r="1928" spans="1:59" s="154" customFormat="1" ht="15" customHeight="1">
      <c r="A1928" s="153" t="s">
        <v>6939</v>
      </c>
      <c r="B1928" s="187" t="s">
        <v>7158</v>
      </c>
      <c r="C1928" s="154" t="s">
        <v>6941</v>
      </c>
      <c r="D1928" s="154">
        <v>56</v>
      </c>
      <c r="E1928" s="154">
        <v>1</v>
      </c>
      <c r="F1928" s="154" t="s">
        <v>7091</v>
      </c>
      <c r="G1928" s="154" t="s">
        <v>7140</v>
      </c>
      <c r="J1928" s="154" t="s">
        <v>31</v>
      </c>
      <c r="K1928" s="154" t="s">
        <v>2426</v>
      </c>
      <c r="O1928" s="173"/>
      <c r="P1928" s="174"/>
      <c r="Q1928" s="175"/>
      <c r="R1928" s="159"/>
      <c r="S1928" s="160"/>
      <c r="T1928" s="161"/>
      <c r="U1928" s="173"/>
      <c r="V1928" s="176"/>
      <c r="W1928" s="177"/>
      <c r="X1928" s="178"/>
      <c r="Y1928" s="159"/>
      <c r="Z1928" s="161"/>
      <c r="AA1928" s="160"/>
      <c r="AD1928" s="154" t="s">
        <v>472</v>
      </c>
      <c r="AI1928" s="154" t="s">
        <v>7140</v>
      </c>
      <c r="AJ1928" s="154" t="s">
        <v>7159</v>
      </c>
      <c r="AL1928" s="154" t="s">
        <v>31</v>
      </c>
      <c r="AM1928" s="154" t="s">
        <v>2426</v>
      </c>
      <c r="AQ1928" s="173"/>
      <c r="AR1928" s="174"/>
      <c r="AS1928" s="175"/>
      <c r="AT1928" s="159"/>
      <c r="AU1928" s="161"/>
      <c r="AV1928" s="173"/>
      <c r="AW1928" s="176"/>
      <c r="AX1928" s="177"/>
      <c r="AY1928" s="178">
        <v>4</v>
      </c>
      <c r="AZ1928" s="159" t="s">
        <v>1073</v>
      </c>
      <c r="BA1928" s="161"/>
      <c r="BB1928" s="160">
        <v>2</v>
      </c>
      <c r="BE1928" s="154" t="s">
        <v>472</v>
      </c>
      <c r="BG1928" s="154" t="s">
        <v>7160</v>
      </c>
    </row>
    <row r="1929" spans="1:59" s="154" customFormat="1" ht="15" customHeight="1">
      <c r="A1929" s="153" t="s">
        <v>6939</v>
      </c>
      <c r="B1929" s="187" t="s">
        <v>7161</v>
      </c>
      <c r="C1929" s="154" t="s">
        <v>6941</v>
      </c>
      <c r="D1929" s="154">
        <v>57</v>
      </c>
      <c r="E1929" s="154">
        <v>1</v>
      </c>
      <c r="F1929" s="154" t="s">
        <v>7091</v>
      </c>
      <c r="G1929" s="154" t="s">
        <v>7162</v>
      </c>
      <c r="H1929" s="154" t="s">
        <v>7163</v>
      </c>
      <c r="I1929" s="154" t="s">
        <v>223</v>
      </c>
      <c r="J1929" s="154" t="s">
        <v>29</v>
      </c>
      <c r="K1929" s="154" t="s">
        <v>2426</v>
      </c>
      <c r="O1929" s="173"/>
      <c r="P1929" s="174"/>
      <c r="Q1929" s="175">
        <v>2</v>
      </c>
      <c r="R1929" s="159">
        <v>2</v>
      </c>
      <c r="S1929" s="160"/>
      <c r="T1929" s="161">
        <v>3</v>
      </c>
      <c r="U1929" s="173"/>
      <c r="V1929" s="176">
        <v>1</v>
      </c>
      <c r="W1929" s="177"/>
      <c r="X1929" s="178"/>
      <c r="Y1929" s="159"/>
      <c r="Z1929" s="161"/>
      <c r="AA1929" s="160"/>
      <c r="AF1929" s="154" t="s">
        <v>7164</v>
      </c>
      <c r="AQ1929" s="173"/>
      <c r="AR1929" s="174"/>
      <c r="AS1929" s="175"/>
      <c r="AT1929" s="159"/>
      <c r="AU1929" s="161"/>
      <c r="AV1929" s="173"/>
      <c r="AW1929" s="176"/>
      <c r="AX1929" s="177"/>
      <c r="AY1929" s="178"/>
      <c r="AZ1929" s="159"/>
      <c r="BA1929" s="161"/>
      <c r="BB1929" s="160"/>
    </row>
    <row r="1930" spans="1:59" s="154" customFormat="1" ht="15" customHeight="1">
      <c r="A1930" s="153" t="s">
        <v>6939</v>
      </c>
      <c r="B1930" s="187" t="s">
        <v>7165</v>
      </c>
      <c r="C1930" s="154" t="s">
        <v>6941</v>
      </c>
      <c r="D1930" s="154">
        <v>58</v>
      </c>
      <c r="E1930" s="154">
        <v>1</v>
      </c>
      <c r="F1930" s="154" t="s">
        <v>7091</v>
      </c>
      <c r="G1930" s="154" t="s">
        <v>7166</v>
      </c>
      <c r="H1930" s="154" t="s">
        <v>7163</v>
      </c>
      <c r="I1930" s="154" t="s">
        <v>223</v>
      </c>
      <c r="J1930" s="154" t="s">
        <v>29</v>
      </c>
      <c r="K1930" s="154" t="s">
        <v>2426</v>
      </c>
      <c r="O1930" s="173"/>
      <c r="P1930" s="174"/>
      <c r="Q1930" s="175">
        <v>2</v>
      </c>
      <c r="R1930" s="159">
        <v>2</v>
      </c>
      <c r="S1930" s="160"/>
      <c r="T1930" s="161">
        <v>3</v>
      </c>
      <c r="U1930" s="173"/>
      <c r="V1930" s="176"/>
      <c r="W1930" s="177">
        <v>1</v>
      </c>
      <c r="X1930" s="178"/>
      <c r="Y1930" s="159"/>
      <c r="Z1930" s="161"/>
      <c r="AA1930" s="160"/>
      <c r="AD1930" s="154" t="s">
        <v>7167</v>
      </c>
      <c r="AF1930" s="154" t="s">
        <v>7168</v>
      </c>
      <c r="AQ1930" s="173"/>
      <c r="AR1930" s="174"/>
      <c r="AS1930" s="175"/>
      <c r="AT1930" s="159"/>
      <c r="AU1930" s="161"/>
      <c r="AV1930" s="173"/>
      <c r="AW1930" s="176"/>
      <c r="AX1930" s="177"/>
      <c r="AY1930" s="178"/>
      <c r="AZ1930" s="159"/>
      <c r="BA1930" s="161"/>
      <c r="BB1930" s="160"/>
    </row>
    <row r="1931" spans="1:59" s="154" customFormat="1" ht="15" customHeight="1">
      <c r="A1931" s="153" t="s">
        <v>6939</v>
      </c>
      <c r="B1931" s="187" t="s">
        <v>7169</v>
      </c>
      <c r="C1931" s="154" t="s">
        <v>6941</v>
      </c>
      <c r="D1931" s="154">
        <v>59</v>
      </c>
      <c r="E1931" s="154">
        <v>1</v>
      </c>
      <c r="F1931" s="154" t="s">
        <v>7091</v>
      </c>
      <c r="G1931" s="154" t="s">
        <v>7170</v>
      </c>
      <c r="H1931" s="154" t="s">
        <v>7171</v>
      </c>
      <c r="I1931" s="154" t="s">
        <v>223</v>
      </c>
      <c r="J1931" s="154" t="s">
        <v>257</v>
      </c>
      <c r="K1931" s="154" t="s">
        <v>26</v>
      </c>
      <c r="N1931" s="154">
        <v>3</v>
      </c>
      <c r="O1931" s="173"/>
      <c r="P1931" s="174"/>
      <c r="Q1931" s="175">
        <v>1</v>
      </c>
      <c r="R1931" s="159">
        <v>1</v>
      </c>
      <c r="S1931" s="160">
        <v>1</v>
      </c>
      <c r="T1931" s="161">
        <v>3</v>
      </c>
      <c r="U1931" s="173">
        <v>2</v>
      </c>
      <c r="V1931" s="176"/>
      <c r="W1931" s="177"/>
      <c r="X1931" s="178"/>
      <c r="Y1931" s="159"/>
      <c r="Z1931" s="161"/>
      <c r="AA1931" s="160"/>
      <c r="AB1931" s="154" t="s">
        <v>1078</v>
      </c>
      <c r="AC1931" s="154" t="s">
        <v>25</v>
      </c>
      <c r="AD1931" s="154" t="s">
        <v>7172</v>
      </c>
      <c r="AF1931" s="154" t="s">
        <v>7173</v>
      </c>
      <c r="AQ1931" s="173"/>
      <c r="AR1931" s="174"/>
      <c r="AS1931" s="175"/>
      <c r="AT1931" s="159"/>
      <c r="AU1931" s="161"/>
      <c r="AV1931" s="173"/>
      <c r="AW1931" s="176"/>
      <c r="AX1931" s="177"/>
      <c r="AY1931" s="178"/>
      <c r="AZ1931" s="159"/>
      <c r="BA1931" s="161"/>
      <c r="BB1931" s="160"/>
    </row>
    <row r="1932" spans="1:59" s="154" customFormat="1" ht="15" customHeight="1">
      <c r="A1932" s="153" t="s">
        <v>6939</v>
      </c>
      <c r="B1932" s="187" t="s">
        <v>7174</v>
      </c>
      <c r="C1932" s="154" t="s">
        <v>6941</v>
      </c>
      <c r="D1932" s="154">
        <v>60</v>
      </c>
      <c r="E1932" s="154">
        <v>1</v>
      </c>
      <c r="F1932" s="154" t="s">
        <v>7091</v>
      </c>
      <c r="G1932" s="154" t="s">
        <v>7175</v>
      </c>
      <c r="J1932" s="154" t="s">
        <v>29</v>
      </c>
      <c r="K1932" s="154" t="s">
        <v>2426</v>
      </c>
      <c r="O1932" s="173"/>
      <c r="P1932" s="174"/>
      <c r="Q1932" s="175">
        <v>5</v>
      </c>
      <c r="R1932" s="159">
        <v>2</v>
      </c>
      <c r="S1932" s="160"/>
      <c r="T1932" s="161">
        <v>5</v>
      </c>
      <c r="U1932" s="173"/>
      <c r="V1932" s="176">
        <v>3</v>
      </c>
      <c r="W1932" s="177">
        <v>1</v>
      </c>
      <c r="X1932" s="178"/>
      <c r="Y1932" s="159"/>
      <c r="Z1932" s="161"/>
      <c r="AA1932" s="160">
        <v>1</v>
      </c>
      <c r="AD1932" s="154" t="s">
        <v>7176</v>
      </c>
      <c r="AF1932" s="154" t="s">
        <v>7177</v>
      </c>
      <c r="AQ1932" s="173"/>
      <c r="AR1932" s="174"/>
      <c r="AS1932" s="175"/>
      <c r="AT1932" s="159"/>
      <c r="AU1932" s="161"/>
      <c r="AV1932" s="173"/>
      <c r="AW1932" s="176"/>
      <c r="AX1932" s="177"/>
      <c r="AY1932" s="178"/>
      <c r="AZ1932" s="159"/>
      <c r="BA1932" s="161"/>
      <c r="BB1932" s="160"/>
    </row>
    <row r="1933" spans="1:59" s="154" customFormat="1" ht="15" customHeight="1">
      <c r="A1933" s="153" t="s">
        <v>6939</v>
      </c>
      <c r="B1933" s="187" t="s">
        <v>7178</v>
      </c>
      <c r="C1933" s="154" t="s">
        <v>6941</v>
      </c>
      <c r="D1933" s="154">
        <v>61</v>
      </c>
      <c r="E1933" s="154">
        <v>1</v>
      </c>
      <c r="F1933" s="154" t="s">
        <v>7091</v>
      </c>
      <c r="G1933" s="154" t="s">
        <v>7179</v>
      </c>
      <c r="J1933" s="154" t="s">
        <v>29</v>
      </c>
      <c r="K1933" s="154" t="s">
        <v>2426</v>
      </c>
      <c r="O1933" s="173"/>
      <c r="P1933" s="174"/>
      <c r="Q1933" s="175">
        <v>3</v>
      </c>
      <c r="R1933" s="159">
        <v>3</v>
      </c>
      <c r="S1933" s="160"/>
      <c r="T1933" s="161">
        <v>3</v>
      </c>
      <c r="U1933" s="173"/>
      <c r="V1933" s="176">
        <v>1</v>
      </c>
      <c r="W1933" s="177">
        <v>1</v>
      </c>
      <c r="X1933" s="178"/>
      <c r="Y1933" s="159"/>
      <c r="Z1933" s="161"/>
      <c r="AA1933" s="160"/>
      <c r="AD1933" s="154" t="s">
        <v>7180</v>
      </c>
      <c r="AF1933" s="154" t="s">
        <v>7181</v>
      </c>
      <c r="AQ1933" s="173"/>
      <c r="AR1933" s="174"/>
      <c r="AS1933" s="175"/>
      <c r="AT1933" s="159"/>
      <c r="AU1933" s="161"/>
      <c r="AV1933" s="173"/>
      <c r="AW1933" s="176"/>
      <c r="AX1933" s="177"/>
      <c r="AY1933" s="178"/>
      <c r="AZ1933" s="159"/>
      <c r="BA1933" s="161"/>
      <c r="BB1933" s="160"/>
    </row>
    <row r="1934" spans="1:59" s="154" customFormat="1" ht="15" customHeight="1">
      <c r="A1934" s="153" t="s">
        <v>6939</v>
      </c>
      <c r="B1934" s="187" t="s">
        <v>7182</v>
      </c>
      <c r="C1934" s="154" t="s">
        <v>6941</v>
      </c>
      <c r="D1934" s="154">
        <v>62</v>
      </c>
      <c r="E1934" s="154">
        <v>2</v>
      </c>
      <c r="F1934" s="154" t="s">
        <v>7091</v>
      </c>
      <c r="G1934" s="154" t="s">
        <v>5910</v>
      </c>
      <c r="J1934" s="154" t="s">
        <v>28</v>
      </c>
      <c r="K1934" s="154" t="s">
        <v>2426</v>
      </c>
      <c r="O1934" s="173"/>
      <c r="P1934" s="174"/>
      <c r="Q1934" s="175"/>
      <c r="R1934" s="159"/>
      <c r="S1934" s="160"/>
      <c r="T1934" s="161"/>
      <c r="U1934" s="173"/>
      <c r="V1934" s="176"/>
      <c r="W1934" s="177"/>
      <c r="X1934" s="178"/>
      <c r="Y1934" s="159"/>
      <c r="Z1934" s="161"/>
      <c r="AA1934" s="160"/>
      <c r="AD1934" s="154" t="s">
        <v>1191</v>
      </c>
      <c r="AF1934" s="154" t="s">
        <v>7183</v>
      </c>
      <c r="AQ1934" s="173"/>
      <c r="AR1934" s="174"/>
      <c r="AS1934" s="175"/>
      <c r="AT1934" s="159"/>
      <c r="AU1934" s="161"/>
      <c r="AV1934" s="173"/>
      <c r="AW1934" s="176"/>
      <c r="AX1934" s="177"/>
      <c r="AY1934" s="178"/>
      <c r="AZ1934" s="159"/>
      <c r="BA1934" s="161"/>
      <c r="BB1934" s="160"/>
    </row>
    <row r="1935" spans="1:59" s="154" customFormat="1" ht="15" customHeight="1">
      <c r="A1935" s="153" t="s">
        <v>6939</v>
      </c>
      <c r="B1935" s="187" t="s">
        <v>7184</v>
      </c>
      <c r="C1935" s="154" t="s">
        <v>6941</v>
      </c>
      <c r="D1935" s="154">
        <v>63</v>
      </c>
      <c r="E1935" s="154">
        <v>1</v>
      </c>
      <c r="F1935" s="154" t="s">
        <v>7185</v>
      </c>
      <c r="G1935" s="154" t="s">
        <v>7185</v>
      </c>
      <c r="J1935" s="154" t="s">
        <v>618</v>
      </c>
      <c r="K1935" s="154" t="s">
        <v>2426</v>
      </c>
      <c r="O1935" s="173"/>
      <c r="P1935" s="174"/>
      <c r="Q1935" s="175"/>
      <c r="R1935" s="159"/>
      <c r="S1935" s="160"/>
      <c r="T1935" s="161"/>
      <c r="U1935" s="173"/>
      <c r="V1935" s="176"/>
      <c r="W1935" s="177"/>
      <c r="X1935" s="178"/>
      <c r="Y1935" s="159"/>
      <c r="Z1935" s="161"/>
      <c r="AA1935" s="160"/>
      <c r="AF1935" s="154" t="s">
        <v>7186</v>
      </c>
      <c r="AI1935" s="154" t="s">
        <v>7185</v>
      </c>
      <c r="AL1935" s="154" t="s">
        <v>618</v>
      </c>
      <c r="AM1935" s="154" t="s">
        <v>2426</v>
      </c>
      <c r="AQ1935" s="173"/>
      <c r="AR1935" s="174"/>
      <c r="AS1935" s="175"/>
      <c r="AT1935" s="159"/>
      <c r="AU1935" s="161"/>
      <c r="AV1935" s="173"/>
      <c r="AW1935" s="176"/>
      <c r="AX1935" s="177"/>
      <c r="AY1935" s="178"/>
      <c r="AZ1935" s="159"/>
      <c r="BA1935" s="161"/>
      <c r="BB1935" s="160"/>
      <c r="BG1935" s="154" t="s">
        <v>7187</v>
      </c>
    </row>
    <row r="1936" spans="1:59" s="154" customFormat="1" ht="15" customHeight="1">
      <c r="A1936" s="153" t="s">
        <v>6939</v>
      </c>
      <c r="B1936" s="187" t="s">
        <v>7188</v>
      </c>
      <c r="C1936" s="154" t="s">
        <v>6941</v>
      </c>
      <c r="D1936" s="154">
        <v>64</v>
      </c>
      <c r="E1936" s="154">
        <v>1</v>
      </c>
      <c r="F1936" s="154" t="s">
        <v>7185</v>
      </c>
      <c r="G1936" s="154" t="s">
        <v>7189</v>
      </c>
      <c r="J1936" s="154" t="s">
        <v>619</v>
      </c>
      <c r="K1936" s="154" t="s">
        <v>2426</v>
      </c>
      <c r="L1936" s="154">
        <v>1</v>
      </c>
      <c r="O1936" s="173"/>
      <c r="P1936" s="174"/>
      <c r="Q1936" s="175"/>
      <c r="R1936" s="159"/>
      <c r="S1936" s="160"/>
      <c r="T1936" s="161"/>
      <c r="U1936" s="173"/>
      <c r="V1936" s="176"/>
      <c r="W1936" s="177"/>
      <c r="X1936" s="178"/>
      <c r="Y1936" s="159"/>
      <c r="Z1936" s="161">
        <v>2</v>
      </c>
      <c r="AA1936" s="160"/>
      <c r="AI1936" s="154" t="s">
        <v>7190</v>
      </c>
      <c r="AL1936" s="154" t="s">
        <v>619</v>
      </c>
      <c r="AM1936" s="154" t="s">
        <v>2426</v>
      </c>
      <c r="AN1936" s="154">
        <v>1</v>
      </c>
      <c r="AQ1936" s="173"/>
      <c r="AR1936" s="174"/>
      <c r="AS1936" s="175"/>
      <c r="AT1936" s="159"/>
      <c r="AU1936" s="161"/>
      <c r="AV1936" s="173"/>
      <c r="AW1936" s="176"/>
      <c r="AX1936" s="177"/>
      <c r="AY1936" s="178"/>
      <c r="AZ1936" s="159"/>
      <c r="BA1936" s="161"/>
      <c r="BB1936" s="160"/>
      <c r="BG1936" s="154" t="s">
        <v>7191</v>
      </c>
    </row>
    <row r="1937" spans="1:59" s="154" customFormat="1" ht="15" customHeight="1">
      <c r="A1937" s="153" t="s">
        <v>6939</v>
      </c>
      <c r="B1937" s="187" t="s">
        <v>7192</v>
      </c>
      <c r="C1937" s="154" t="s">
        <v>6941</v>
      </c>
      <c r="D1937" s="154">
        <v>65</v>
      </c>
      <c r="E1937" s="154">
        <v>1</v>
      </c>
      <c r="F1937" s="154" t="s">
        <v>7185</v>
      </c>
      <c r="G1937" s="154" t="s">
        <v>7193</v>
      </c>
      <c r="J1937" s="154" t="s">
        <v>619</v>
      </c>
      <c r="K1937" s="154" t="s">
        <v>2426</v>
      </c>
      <c r="L1937" s="154">
        <v>2</v>
      </c>
      <c r="O1937" s="173"/>
      <c r="P1937" s="174"/>
      <c r="Q1937" s="175"/>
      <c r="R1937" s="159"/>
      <c r="S1937" s="160"/>
      <c r="T1937" s="161"/>
      <c r="U1937" s="173"/>
      <c r="V1937" s="176"/>
      <c r="W1937" s="177"/>
      <c r="X1937" s="178"/>
      <c r="Y1937" s="159"/>
      <c r="Z1937" s="161">
        <v>6</v>
      </c>
      <c r="AA1937" s="160"/>
      <c r="AF1937" s="154" t="s">
        <v>7194</v>
      </c>
      <c r="AI1937" s="154" t="s">
        <v>7195</v>
      </c>
      <c r="AL1937" s="154" t="s">
        <v>619</v>
      </c>
      <c r="AM1937" s="154" t="s">
        <v>2426</v>
      </c>
      <c r="AN1937" s="154">
        <v>2</v>
      </c>
      <c r="AQ1937" s="173"/>
      <c r="AR1937" s="174"/>
      <c r="AS1937" s="175"/>
      <c r="AT1937" s="159"/>
      <c r="AU1937" s="161"/>
      <c r="AV1937" s="173"/>
      <c r="AW1937" s="176"/>
      <c r="AX1937" s="177"/>
      <c r="AY1937" s="178"/>
      <c r="AZ1937" s="159"/>
      <c r="BA1937" s="161"/>
      <c r="BB1937" s="160"/>
      <c r="BG1937" s="154" t="s">
        <v>7196</v>
      </c>
    </row>
    <row r="1938" spans="1:59" s="154" customFormat="1" ht="15" customHeight="1">
      <c r="A1938" s="153" t="s">
        <v>6939</v>
      </c>
      <c r="B1938" s="187" t="s">
        <v>7197</v>
      </c>
      <c r="C1938" s="154" t="s">
        <v>6941</v>
      </c>
      <c r="D1938" s="154">
        <v>66</v>
      </c>
      <c r="E1938" s="154">
        <v>1</v>
      </c>
      <c r="F1938" s="154" t="s">
        <v>7185</v>
      </c>
      <c r="G1938" s="154" t="s">
        <v>7198</v>
      </c>
      <c r="J1938" s="154" t="s">
        <v>619</v>
      </c>
      <c r="K1938" s="154" t="s">
        <v>2426</v>
      </c>
      <c r="L1938" s="154">
        <v>3</v>
      </c>
      <c r="O1938" s="173"/>
      <c r="P1938" s="174"/>
      <c r="Q1938" s="175"/>
      <c r="R1938" s="159"/>
      <c r="S1938" s="160"/>
      <c r="T1938" s="161"/>
      <c r="U1938" s="173"/>
      <c r="V1938" s="176"/>
      <c r="W1938" s="177"/>
      <c r="X1938" s="178"/>
      <c r="Y1938" s="159"/>
      <c r="Z1938" s="161">
        <v>8</v>
      </c>
      <c r="AA1938" s="160"/>
      <c r="AF1938" s="154" t="s">
        <v>7199</v>
      </c>
      <c r="AI1938" s="154" t="s">
        <v>7200</v>
      </c>
      <c r="AL1938" s="154" t="s">
        <v>619</v>
      </c>
      <c r="AM1938" s="154" t="s">
        <v>2426</v>
      </c>
      <c r="AN1938" s="154">
        <v>3</v>
      </c>
      <c r="AQ1938" s="173"/>
      <c r="AR1938" s="174"/>
      <c r="AS1938" s="175"/>
      <c r="AT1938" s="159"/>
      <c r="AU1938" s="161"/>
      <c r="AV1938" s="173"/>
      <c r="AW1938" s="176"/>
      <c r="AX1938" s="177"/>
      <c r="AY1938" s="178"/>
      <c r="AZ1938" s="159"/>
      <c r="BA1938" s="161"/>
      <c r="BB1938" s="160"/>
      <c r="BG1938" s="154" t="s">
        <v>7201</v>
      </c>
    </row>
    <row r="1939" spans="1:59" s="154" customFormat="1" ht="15" customHeight="1">
      <c r="A1939" s="153" t="s">
        <v>6939</v>
      </c>
      <c r="B1939" s="187" t="s">
        <v>7202</v>
      </c>
      <c r="C1939" s="154" t="s">
        <v>6941</v>
      </c>
      <c r="D1939" s="154">
        <v>67</v>
      </c>
      <c r="E1939" s="154">
        <v>1</v>
      </c>
      <c r="F1939" s="154" t="s">
        <v>7185</v>
      </c>
      <c r="G1939" s="154" t="s">
        <v>7203</v>
      </c>
      <c r="J1939" s="154" t="s">
        <v>621</v>
      </c>
      <c r="K1939" s="154" t="s">
        <v>2426</v>
      </c>
      <c r="L1939" s="154">
        <v>1</v>
      </c>
      <c r="O1939" s="173"/>
      <c r="P1939" s="174"/>
      <c r="Q1939" s="175"/>
      <c r="R1939" s="159"/>
      <c r="S1939" s="160"/>
      <c r="T1939" s="161"/>
      <c r="U1939" s="173"/>
      <c r="V1939" s="176"/>
      <c r="W1939" s="177"/>
      <c r="X1939" s="178"/>
      <c r="Y1939" s="159" t="s">
        <v>4883</v>
      </c>
      <c r="Z1939" s="161"/>
      <c r="AA1939" s="160"/>
      <c r="AI1939" s="154" t="s">
        <v>7204</v>
      </c>
      <c r="AL1939" s="154" t="s">
        <v>621</v>
      </c>
      <c r="AM1939" s="154" t="s">
        <v>2426</v>
      </c>
      <c r="AN1939" s="154">
        <v>1</v>
      </c>
      <c r="AQ1939" s="173"/>
      <c r="AR1939" s="174"/>
      <c r="AS1939" s="175"/>
      <c r="AT1939" s="159"/>
      <c r="AU1939" s="161"/>
      <c r="AV1939" s="173"/>
      <c r="AW1939" s="176"/>
      <c r="AX1939" s="177"/>
      <c r="AY1939" s="178"/>
      <c r="AZ1939" s="159"/>
      <c r="BA1939" s="161"/>
      <c r="BB1939" s="160"/>
      <c r="BG1939" s="154" t="s">
        <v>7205</v>
      </c>
    </row>
    <row r="1940" spans="1:59" s="154" customFormat="1" ht="15" customHeight="1">
      <c r="A1940" s="153" t="s">
        <v>6939</v>
      </c>
      <c r="B1940" s="187" t="s">
        <v>7206</v>
      </c>
      <c r="C1940" s="154" t="s">
        <v>6941</v>
      </c>
      <c r="D1940" s="154">
        <v>68</v>
      </c>
      <c r="E1940" s="154">
        <v>1</v>
      </c>
      <c r="F1940" s="154" t="s">
        <v>7185</v>
      </c>
      <c r="G1940" s="154" t="s">
        <v>7207</v>
      </c>
      <c r="J1940" s="154" t="s">
        <v>621</v>
      </c>
      <c r="K1940" s="154" t="s">
        <v>2426</v>
      </c>
      <c r="L1940" s="154">
        <v>2</v>
      </c>
      <c r="O1940" s="173"/>
      <c r="P1940" s="174"/>
      <c r="Q1940" s="175"/>
      <c r="R1940" s="159"/>
      <c r="S1940" s="160"/>
      <c r="T1940" s="161"/>
      <c r="U1940" s="173"/>
      <c r="V1940" s="176"/>
      <c r="W1940" s="177"/>
      <c r="X1940" s="178"/>
      <c r="Y1940" s="159" t="s">
        <v>38</v>
      </c>
      <c r="Z1940" s="161"/>
      <c r="AA1940" s="160"/>
      <c r="AF1940" s="154" t="s">
        <v>7208</v>
      </c>
      <c r="AI1940" s="154" t="s">
        <v>7209</v>
      </c>
      <c r="AL1940" s="154" t="s">
        <v>621</v>
      </c>
      <c r="AM1940" s="154" t="s">
        <v>2426</v>
      </c>
      <c r="AN1940" s="154">
        <v>2</v>
      </c>
      <c r="AQ1940" s="173"/>
      <c r="AR1940" s="174"/>
      <c r="AS1940" s="175"/>
      <c r="AT1940" s="159"/>
      <c r="AU1940" s="161"/>
      <c r="AV1940" s="173"/>
      <c r="AW1940" s="176"/>
      <c r="AX1940" s="177"/>
      <c r="AY1940" s="178"/>
      <c r="AZ1940" s="159"/>
      <c r="BA1940" s="161"/>
      <c r="BB1940" s="160"/>
      <c r="BG1940" s="154" t="s">
        <v>2328</v>
      </c>
    </row>
    <row r="1941" spans="1:59" s="154" customFormat="1" ht="15" customHeight="1">
      <c r="A1941" s="153" t="s">
        <v>6939</v>
      </c>
      <c r="B1941" s="187" t="s">
        <v>7210</v>
      </c>
      <c r="C1941" s="154" t="s">
        <v>6941</v>
      </c>
      <c r="D1941" s="154">
        <v>69</v>
      </c>
      <c r="E1941" s="154">
        <v>1</v>
      </c>
      <c r="F1941" s="154" t="s">
        <v>7185</v>
      </c>
      <c r="G1941" s="154" t="s">
        <v>7211</v>
      </c>
      <c r="J1941" s="154" t="s">
        <v>621</v>
      </c>
      <c r="K1941" s="154" t="s">
        <v>2426</v>
      </c>
      <c r="L1941" s="154">
        <v>3</v>
      </c>
      <c r="O1941" s="173"/>
      <c r="P1941" s="174"/>
      <c r="Q1941" s="175"/>
      <c r="R1941" s="159"/>
      <c r="S1941" s="160"/>
      <c r="T1941" s="161"/>
      <c r="U1941" s="173"/>
      <c r="V1941" s="176"/>
      <c r="W1941" s="177"/>
      <c r="X1941" s="178"/>
      <c r="Y1941" s="159" t="s">
        <v>38</v>
      </c>
      <c r="Z1941" s="161"/>
      <c r="AA1941" s="160"/>
      <c r="AF1941" s="154" t="s">
        <v>7212</v>
      </c>
      <c r="AI1941" s="154" t="s">
        <v>7213</v>
      </c>
      <c r="AL1941" s="154" t="s">
        <v>621</v>
      </c>
      <c r="AM1941" s="154" t="s">
        <v>2426</v>
      </c>
      <c r="AN1941" s="154">
        <v>3</v>
      </c>
      <c r="AQ1941" s="173"/>
      <c r="AR1941" s="174"/>
      <c r="AS1941" s="175"/>
      <c r="AT1941" s="159"/>
      <c r="AU1941" s="161"/>
      <c r="AV1941" s="173"/>
      <c r="AW1941" s="176"/>
      <c r="AX1941" s="177"/>
      <c r="AY1941" s="178"/>
      <c r="AZ1941" s="159"/>
      <c r="BA1941" s="161"/>
      <c r="BB1941" s="160"/>
      <c r="BG1941" s="154" t="s">
        <v>7214</v>
      </c>
    </row>
    <row r="1942" spans="1:59" s="154" customFormat="1" ht="15" customHeight="1">
      <c r="A1942" s="153" t="s">
        <v>6939</v>
      </c>
      <c r="B1942" s="187" t="s">
        <v>7215</v>
      </c>
      <c r="C1942" s="154" t="s">
        <v>6941</v>
      </c>
      <c r="D1942" s="154">
        <v>70</v>
      </c>
      <c r="E1942" s="154">
        <v>1</v>
      </c>
      <c r="F1942" s="154" t="s">
        <v>7185</v>
      </c>
      <c r="G1942" s="154" t="s">
        <v>7216</v>
      </c>
      <c r="J1942" s="154" t="s">
        <v>31</v>
      </c>
      <c r="K1942" s="154" t="s">
        <v>2426</v>
      </c>
      <c r="O1942" s="173"/>
      <c r="P1942" s="174"/>
      <c r="Q1942" s="175"/>
      <c r="R1942" s="159"/>
      <c r="S1942" s="160"/>
      <c r="T1942" s="161"/>
      <c r="U1942" s="173"/>
      <c r="V1942" s="176"/>
      <c r="W1942" s="177"/>
      <c r="X1942" s="178"/>
      <c r="Y1942" s="159"/>
      <c r="Z1942" s="161"/>
      <c r="AA1942" s="160"/>
      <c r="AD1942" s="154" t="s">
        <v>7217</v>
      </c>
      <c r="AI1942" s="154" t="s">
        <v>7216</v>
      </c>
      <c r="AL1942" s="154" t="s">
        <v>31</v>
      </c>
      <c r="AM1942" s="154" t="s">
        <v>2426</v>
      </c>
      <c r="AQ1942" s="173"/>
      <c r="AR1942" s="174"/>
      <c r="AS1942" s="175"/>
      <c r="AT1942" s="159"/>
      <c r="AU1942" s="161"/>
      <c r="AV1942" s="173"/>
      <c r="AW1942" s="176"/>
      <c r="AX1942" s="177"/>
      <c r="AY1942" s="178">
        <v>3</v>
      </c>
      <c r="AZ1942" s="159" t="s">
        <v>1073</v>
      </c>
      <c r="BA1942" s="161"/>
      <c r="BB1942" s="160"/>
      <c r="BE1942" s="154" t="s">
        <v>7217</v>
      </c>
      <c r="BG1942" s="154" t="s">
        <v>7218</v>
      </c>
    </row>
    <row r="1943" spans="1:59" s="154" customFormat="1" ht="15" customHeight="1">
      <c r="A1943" s="153" t="s">
        <v>6939</v>
      </c>
      <c r="B1943" s="187" t="s">
        <v>7219</v>
      </c>
      <c r="C1943" s="154" t="s">
        <v>6941</v>
      </c>
      <c r="D1943" s="154">
        <v>71</v>
      </c>
      <c r="E1943" s="154">
        <v>1</v>
      </c>
      <c r="F1943" s="154" t="s">
        <v>7185</v>
      </c>
      <c r="G1943" s="154" t="s">
        <v>7220</v>
      </c>
      <c r="J1943" s="154" t="s">
        <v>31</v>
      </c>
      <c r="K1943" s="154" t="s">
        <v>2426</v>
      </c>
      <c r="O1943" s="173"/>
      <c r="P1943" s="174"/>
      <c r="Q1943" s="175"/>
      <c r="R1943" s="159"/>
      <c r="S1943" s="160"/>
      <c r="T1943" s="161"/>
      <c r="U1943" s="173"/>
      <c r="V1943" s="176"/>
      <c r="W1943" s="177"/>
      <c r="X1943" s="178"/>
      <c r="Y1943" s="159"/>
      <c r="Z1943" s="161"/>
      <c r="AA1943" s="160"/>
      <c r="AD1943" s="154" t="s">
        <v>7217</v>
      </c>
      <c r="AI1943" s="154" t="s">
        <v>7220</v>
      </c>
      <c r="AL1943" s="154" t="s">
        <v>31</v>
      </c>
      <c r="AM1943" s="154" t="s">
        <v>2426</v>
      </c>
      <c r="AQ1943" s="173"/>
      <c r="AR1943" s="174"/>
      <c r="AS1943" s="175"/>
      <c r="AT1943" s="159"/>
      <c r="AU1943" s="161"/>
      <c r="AV1943" s="173"/>
      <c r="AW1943" s="176"/>
      <c r="AX1943" s="177"/>
      <c r="AY1943" s="178">
        <v>2</v>
      </c>
      <c r="AZ1943" s="159" t="s">
        <v>1073</v>
      </c>
      <c r="BA1943" s="161"/>
      <c r="BB1943" s="160">
        <v>1</v>
      </c>
      <c r="BE1943" s="154" t="s">
        <v>7217</v>
      </c>
      <c r="BG1943" s="154" t="s">
        <v>7221</v>
      </c>
    </row>
    <row r="1944" spans="1:59" s="154" customFormat="1" ht="15" customHeight="1">
      <c r="A1944" s="153" t="s">
        <v>6939</v>
      </c>
      <c r="B1944" s="187" t="s">
        <v>7222</v>
      </c>
      <c r="C1944" s="154" t="s">
        <v>6941</v>
      </c>
      <c r="D1944" s="154">
        <v>72</v>
      </c>
      <c r="E1944" s="154">
        <v>1</v>
      </c>
      <c r="F1944" s="154" t="s">
        <v>7185</v>
      </c>
      <c r="G1944" s="154" t="s">
        <v>7223</v>
      </c>
      <c r="J1944" s="154" t="s">
        <v>31</v>
      </c>
      <c r="K1944" s="154" t="s">
        <v>2426</v>
      </c>
      <c r="O1944" s="173"/>
      <c r="P1944" s="174"/>
      <c r="Q1944" s="175"/>
      <c r="R1944" s="159"/>
      <c r="S1944" s="160"/>
      <c r="T1944" s="161"/>
      <c r="U1944" s="173"/>
      <c r="V1944" s="176"/>
      <c r="W1944" s="177"/>
      <c r="X1944" s="178"/>
      <c r="Y1944" s="159"/>
      <c r="Z1944" s="161"/>
      <c r="AA1944" s="160"/>
      <c r="AD1944" s="154" t="s">
        <v>7217</v>
      </c>
      <c r="AI1944" s="154" t="s">
        <v>7223</v>
      </c>
      <c r="AL1944" s="154" t="s">
        <v>31</v>
      </c>
      <c r="AM1944" s="154" t="s">
        <v>2426</v>
      </c>
      <c r="AQ1944" s="173"/>
      <c r="AR1944" s="174"/>
      <c r="AS1944" s="175"/>
      <c r="AT1944" s="159"/>
      <c r="AU1944" s="161"/>
      <c r="AV1944" s="173"/>
      <c r="AW1944" s="176"/>
      <c r="AX1944" s="177"/>
      <c r="AY1944" s="178">
        <v>4</v>
      </c>
      <c r="AZ1944" s="159" t="s">
        <v>1111</v>
      </c>
      <c r="BA1944" s="161"/>
      <c r="BB1944" s="160">
        <v>2</v>
      </c>
      <c r="BE1944" s="154" t="s">
        <v>7217</v>
      </c>
      <c r="BG1944" s="154" t="s">
        <v>7224</v>
      </c>
    </row>
    <row r="1945" spans="1:59" s="154" customFormat="1" ht="15" customHeight="1">
      <c r="A1945" s="153" t="s">
        <v>6939</v>
      </c>
      <c r="B1945" s="187" t="s">
        <v>7225</v>
      </c>
      <c r="C1945" s="154" t="s">
        <v>6941</v>
      </c>
      <c r="D1945" s="154">
        <v>73</v>
      </c>
      <c r="E1945" s="154">
        <v>1</v>
      </c>
      <c r="F1945" s="154" t="s">
        <v>7185</v>
      </c>
      <c r="G1945" s="154" t="s">
        <v>7226</v>
      </c>
      <c r="J1945" s="154" t="s">
        <v>31</v>
      </c>
      <c r="K1945" s="154" t="s">
        <v>2426</v>
      </c>
      <c r="O1945" s="173"/>
      <c r="P1945" s="174"/>
      <c r="Q1945" s="175"/>
      <c r="R1945" s="159"/>
      <c r="S1945" s="160"/>
      <c r="T1945" s="161"/>
      <c r="U1945" s="173"/>
      <c r="V1945" s="176"/>
      <c r="W1945" s="177"/>
      <c r="X1945" s="178"/>
      <c r="Y1945" s="159"/>
      <c r="Z1945" s="161"/>
      <c r="AA1945" s="160"/>
      <c r="AD1945" s="154" t="s">
        <v>7217</v>
      </c>
      <c r="AI1945" s="154" t="s">
        <v>7226</v>
      </c>
      <c r="AL1945" s="154" t="s">
        <v>31</v>
      </c>
      <c r="AM1945" s="154" t="s">
        <v>2426</v>
      </c>
      <c r="AQ1945" s="173"/>
      <c r="AR1945" s="174"/>
      <c r="AS1945" s="175"/>
      <c r="AT1945" s="159"/>
      <c r="AU1945" s="161"/>
      <c r="AV1945" s="173"/>
      <c r="AW1945" s="176"/>
      <c r="AX1945" s="177"/>
      <c r="AY1945" s="178">
        <v>3</v>
      </c>
      <c r="AZ1945" s="159" t="s">
        <v>1111</v>
      </c>
      <c r="BA1945" s="161"/>
      <c r="BB1945" s="160">
        <v>2</v>
      </c>
      <c r="BE1945" s="154" t="s">
        <v>7217</v>
      </c>
      <c r="BG1945" s="154" t="s">
        <v>7227</v>
      </c>
    </row>
    <row r="1946" spans="1:59" s="154" customFormat="1" ht="15" customHeight="1">
      <c r="A1946" s="153" t="s">
        <v>6939</v>
      </c>
      <c r="B1946" s="187" t="s">
        <v>7228</v>
      </c>
      <c r="C1946" s="154" t="s">
        <v>6941</v>
      </c>
      <c r="D1946" s="154">
        <v>74</v>
      </c>
      <c r="E1946" s="154">
        <v>1</v>
      </c>
      <c r="F1946" s="154" t="s">
        <v>7185</v>
      </c>
      <c r="G1946" s="154" t="s">
        <v>7229</v>
      </c>
      <c r="J1946" s="154" t="s">
        <v>31</v>
      </c>
      <c r="K1946" s="154" t="s">
        <v>2426</v>
      </c>
      <c r="O1946" s="173"/>
      <c r="P1946" s="174"/>
      <c r="Q1946" s="175"/>
      <c r="R1946" s="159"/>
      <c r="S1946" s="160"/>
      <c r="T1946" s="161"/>
      <c r="U1946" s="173"/>
      <c r="V1946" s="176"/>
      <c r="W1946" s="177"/>
      <c r="X1946" s="178"/>
      <c r="Y1946" s="159"/>
      <c r="Z1946" s="161"/>
      <c r="AA1946" s="160"/>
      <c r="AD1946" s="154" t="s">
        <v>7217</v>
      </c>
      <c r="AI1946" s="154" t="s">
        <v>7229</v>
      </c>
      <c r="AL1946" s="154" t="s">
        <v>31</v>
      </c>
      <c r="AM1946" s="154" t="s">
        <v>2426</v>
      </c>
      <c r="AQ1946" s="173"/>
      <c r="AR1946" s="174"/>
      <c r="AS1946" s="175"/>
      <c r="AT1946" s="159"/>
      <c r="AU1946" s="161"/>
      <c r="AV1946" s="173"/>
      <c r="AW1946" s="176"/>
      <c r="AX1946" s="177"/>
      <c r="AY1946" s="178">
        <v>3</v>
      </c>
      <c r="AZ1946" s="159" t="s">
        <v>1073</v>
      </c>
      <c r="BA1946" s="161"/>
      <c r="BB1946" s="160">
        <v>1</v>
      </c>
      <c r="BE1946" s="154" t="s">
        <v>7217</v>
      </c>
      <c r="BG1946" s="154" t="s">
        <v>7230</v>
      </c>
    </row>
    <row r="1947" spans="1:59" s="154" customFormat="1" ht="15" customHeight="1">
      <c r="A1947" s="153" t="s">
        <v>6939</v>
      </c>
      <c r="B1947" s="187" t="s">
        <v>7231</v>
      </c>
      <c r="C1947" s="154" t="s">
        <v>6941</v>
      </c>
      <c r="D1947" s="154">
        <v>75</v>
      </c>
      <c r="E1947" s="154">
        <v>1</v>
      </c>
      <c r="F1947" s="154" t="s">
        <v>7185</v>
      </c>
      <c r="G1947" s="154" t="s">
        <v>7232</v>
      </c>
      <c r="J1947" s="154" t="s">
        <v>31</v>
      </c>
      <c r="K1947" s="154" t="s">
        <v>2426</v>
      </c>
      <c r="O1947" s="173"/>
      <c r="P1947" s="174"/>
      <c r="Q1947" s="175"/>
      <c r="R1947" s="159"/>
      <c r="S1947" s="160"/>
      <c r="T1947" s="161"/>
      <c r="U1947" s="173"/>
      <c r="V1947" s="176"/>
      <c r="W1947" s="177"/>
      <c r="X1947" s="178"/>
      <c r="Y1947" s="159"/>
      <c r="Z1947" s="161"/>
      <c r="AA1947" s="160"/>
      <c r="AD1947" s="154" t="s">
        <v>7233</v>
      </c>
      <c r="AI1947" s="154" t="s">
        <v>7234</v>
      </c>
      <c r="AL1947" s="154" t="s">
        <v>31</v>
      </c>
      <c r="AM1947" s="154" t="s">
        <v>2426</v>
      </c>
      <c r="AQ1947" s="173"/>
      <c r="AR1947" s="174"/>
      <c r="AS1947" s="175"/>
      <c r="AT1947" s="159"/>
      <c r="AU1947" s="161"/>
      <c r="AV1947" s="173"/>
      <c r="AW1947" s="176"/>
      <c r="AX1947" s="177"/>
      <c r="AY1947" s="178">
        <v>5</v>
      </c>
      <c r="AZ1947" s="159" t="s">
        <v>1073</v>
      </c>
      <c r="BA1947" s="161"/>
      <c r="BB1947" s="160">
        <v>2</v>
      </c>
      <c r="BE1947" s="154" t="s">
        <v>7233</v>
      </c>
      <c r="BG1947" s="154" t="s">
        <v>7235</v>
      </c>
    </row>
    <row r="1948" spans="1:59" s="154" customFormat="1" ht="15" customHeight="1">
      <c r="A1948" s="153" t="s">
        <v>6939</v>
      </c>
      <c r="B1948" s="187" t="s">
        <v>7236</v>
      </c>
      <c r="C1948" s="154" t="s">
        <v>6941</v>
      </c>
      <c r="D1948" s="154">
        <v>76</v>
      </c>
      <c r="E1948" s="154">
        <v>1</v>
      </c>
      <c r="F1948" s="154" t="s">
        <v>7185</v>
      </c>
      <c r="G1948" s="154" t="s">
        <v>7237</v>
      </c>
      <c r="J1948" s="154" t="s">
        <v>31</v>
      </c>
      <c r="K1948" s="154" t="s">
        <v>2426</v>
      </c>
      <c r="O1948" s="173"/>
      <c r="P1948" s="174"/>
      <c r="Q1948" s="175"/>
      <c r="R1948" s="159"/>
      <c r="S1948" s="160"/>
      <c r="T1948" s="161"/>
      <c r="U1948" s="173"/>
      <c r="V1948" s="176"/>
      <c r="W1948" s="177"/>
      <c r="X1948" s="178"/>
      <c r="Y1948" s="159"/>
      <c r="Z1948" s="161"/>
      <c r="AA1948" s="160"/>
      <c r="AD1948" s="154" t="s">
        <v>7233</v>
      </c>
      <c r="AI1948" s="154" t="s">
        <v>7234</v>
      </c>
      <c r="AL1948" s="154" t="s">
        <v>31</v>
      </c>
      <c r="AM1948" s="154" t="s">
        <v>2426</v>
      </c>
      <c r="AQ1948" s="173"/>
      <c r="AR1948" s="174"/>
      <c r="AS1948" s="175"/>
      <c r="AT1948" s="159"/>
      <c r="AU1948" s="161"/>
      <c r="AV1948" s="173"/>
      <c r="AW1948" s="176"/>
      <c r="AX1948" s="177"/>
      <c r="AY1948" s="178">
        <v>2</v>
      </c>
      <c r="AZ1948" s="159" t="s">
        <v>1073</v>
      </c>
      <c r="BA1948" s="161"/>
      <c r="BB1948" s="160">
        <v>2</v>
      </c>
      <c r="BE1948" s="154" t="s">
        <v>7233</v>
      </c>
      <c r="BG1948" s="154" t="s">
        <v>7238</v>
      </c>
    </row>
    <row r="1949" spans="1:59" s="154" customFormat="1" ht="15" customHeight="1">
      <c r="A1949" s="153" t="s">
        <v>6939</v>
      </c>
      <c r="B1949" s="187" t="s">
        <v>7239</v>
      </c>
      <c r="C1949" s="154" t="s">
        <v>6941</v>
      </c>
      <c r="D1949" s="154">
        <v>77</v>
      </c>
      <c r="E1949" s="154">
        <v>1</v>
      </c>
      <c r="F1949" s="154" t="s">
        <v>7185</v>
      </c>
      <c r="G1949" s="154" t="s">
        <v>7240</v>
      </c>
      <c r="J1949" s="154" t="s">
        <v>31</v>
      </c>
      <c r="K1949" s="154" t="s">
        <v>2426</v>
      </c>
      <c r="O1949" s="173"/>
      <c r="P1949" s="174"/>
      <c r="Q1949" s="175"/>
      <c r="R1949" s="159"/>
      <c r="S1949" s="160"/>
      <c r="T1949" s="161"/>
      <c r="U1949" s="173"/>
      <c r="V1949" s="176"/>
      <c r="W1949" s="177"/>
      <c r="X1949" s="178"/>
      <c r="Y1949" s="159"/>
      <c r="Z1949" s="161"/>
      <c r="AA1949" s="160"/>
      <c r="AD1949" s="154" t="s">
        <v>7233</v>
      </c>
      <c r="AI1949" s="154" t="s">
        <v>7234</v>
      </c>
      <c r="AL1949" s="154" t="s">
        <v>31</v>
      </c>
      <c r="AM1949" s="154" t="s">
        <v>2426</v>
      </c>
      <c r="AQ1949" s="173"/>
      <c r="AR1949" s="174"/>
      <c r="AS1949" s="175"/>
      <c r="AT1949" s="159"/>
      <c r="AU1949" s="161"/>
      <c r="AV1949" s="173"/>
      <c r="AW1949" s="176"/>
      <c r="AX1949" s="177"/>
      <c r="AY1949" s="178">
        <v>4</v>
      </c>
      <c r="AZ1949" s="159">
        <v>0</v>
      </c>
      <c r="BA1949" s="161"/>
      <c r="BB1949" s="160"/>
      <c r="BE1949" s="154" t="s">
        <v>7233</v>
      </c>
      <c r="BG1949" s="154" t="s">
        <v>7241</v>
      </c>
    </row>
    <row r="1950" spans="1:59" s="154" customFormat="1" ht="15" customHeight="1">
      <c r="A1950" s="153" t="s">
        <v>6939</v>
      </c>
      <c r="B1950" s="187" t="s">
        <v>7242</v>
      </c>
      <c r="C1950" s="154" t="s">
        <v>6941</v>
      </c>
      <c r="D1950" s="154">
        <v>78</v>
      </c>
      <c r="E1950" s="154">
        <v>1</v>
      </c>
      <c r="F1950" s="154" t="s">
        <v>7185</v>
      </c>
      <c r="G1950" s="154" t="s">
        <v>7243</v>
      </c>
      <c r="J1950" s="154" t="s">
        <v>2702</v>
      </c>
      <c r="K1950" s="154" t="s">
        <v>2426</v>
      </c>
      <c r="O1950" s="173"/>
      <c r="P1950" s="174"/>
      <c r="Q1950" s="175"/>
      <c r="R1950" s="159"/>
      <c r="S1950" s="160"/>
      <c r="T1950" s="161"/>
      <c r="U1950" s="173"/>
      <c r="V1950" s="176"/>
      <c r="W1950" s="177"/>
      <c r="X1950" s="178"/>
      <c r="Y1950" s="159"/>
      <c r="Z1950" s="161"/>
      <c r="AA1950" s="160"/>
      <c r="AF1950" s="154" t="s">
        <v>7244</v>
      </c>
      <c r="AI1950" s="154" t="s">
        <v>7245</v>
      </c>
      <c r="AL1950" s="154" t="s">
        <v>2702</v>
      </c>
      <c r="AM1950" s="154" t="s">
        <v>2426</v>
      </c>
      <c r="AQ1950" s="173"/>
      <c r="AR1950" s="174"/>
      <c r="AS1950" s="175"/>
      <c r="AT1950" s="159"/>
      <c r="AU1950" s="161"/>
      <c r="AV1950" s="173"/>
      <c r="AW1950" s="176"/>
      <c r="AX1950" s="177"/>
      <c r="AY1950" s="178"/>
      <c r="AZ1950" s="159"/>
      <c r="BA1950" s="161"/>
      <c r="BB1950" s="160"/>
      <c r="BG1950" s="154" t="s">
        <v>7246</v>
      </c>
    </row>
    <row r="1951" spans="1:59" s="154" customFormat="1" ht="15" customHeight="1">
      <c r="A1951" s="153" t="s">
        <v>6939</v>
      </c>
      <c r="B1951" s="187" t="s">
        <v>7247</v>
      </c>
      <c r="C1951" s="154" t="s">
        <v>6941</v>
      </c>
      <c r="D1951" s="154">
        <v>79</v>
      </c>
      <c r="E1951" s="154">
        <v>1</v>
      </c>
      <c r="F1951" s="154" t="s">
        <v>7185</v>
      </c>
      <c r="G1951" s="154" t="s">
        <v>7170</v>
      </c>
      <c r="H1951" s="154" t="s">
        <v>7248</v>
      </c>
      <c r="I1951" s="154" t="s">
        <v>223</v>
      </c>
      <c r="J1951" s="154" t="s">
        <v>257</v>
      </c>
      <c r="K1951" s="154" t="s">
        <v>26</v>
      </c>
      <c r="N1951" s="154">
        <v>3</v>
      </c>
      <c r="O1951" s="173">
        <v>1</v>
      </c>
      <c r="P1951" s="174">
        <v>1</v>
      </c>
      <c r="Q1951" s="175"/>
      <c r="R1951" s="159"/>
      <c r="S1951" s="160">
        <v>1</v>
      </c>
      <c r="T1951" s="161">
        <v>2</v>
      </c>
      <c r="U1951" s="173">
        <v>3</v>
      </c>
      <c r="V1951" s="176"/>
      <c r="W1951" s="177"/>
      <c r="X1951" s="178"/>
      <c r="Y1951" s="159"/>
      <c r="Z1951" s="161"/>
      <c r="AA1951" s="160"/>
      <c r="AB1951" s="154" t="s">
        <v>1079</v>
      </c>
      <c r="AC1951" s="154" t="s">
        <v>25</v>
      </c>
      <c r="AD1951" s="154" t="s">
        <v>7172</v>
      </c>
      <c r="AF1951" s="154" t="s">
        <v>7249</v>
      </c>
      <c r="AQ1951" s="173"/>
      <c r="AR1951" s="174"/>
      <c r="AS1951" s="175"/>
      <c r="AT1951" s="159"/>
      <c r="AU1951" s="161"/>
      <c r="AV1951" s="173"/>
      <c r="AW1951" s="176"/>
      <c r="AX1951" s="177"/>
      <c r="AY1951" s="178"/>
      <c r="AZ1951" s="159"/>
      <c r="BA1951" s="161"/>
      <c r="BB1951" s="160"/>
    </row>
    <row r="1952" spans="1:59" s="154" customFormat="1" ht="15" customHeight="1">
      <c r="A1952" s="153" t="s">
        <v>6939</v>
      </c>
      <c r="B1952" s="187" t="s">
        <v>7250</v>
      </c>
      <c r="C1952" s="154" t="s">
        <v>6941</v>
      </c>
      <c r="D1952" s="154">
        <v>80</v>
      </c>
      <c r="E1952" s="154">
        <v>1</v>
      </c>
      <c r="F1952" s="154" t="s">
        <v>7185</v>
      </c>
      <c r="G1952" s="154" t="s">
        <v>7251</v>
      </c>
      <c r="H1952" s="154" t="s">
        <v>7252</v>
      </c>
      <c r="I1952" s="154" t="s">
        <v>223</v>
      </c>
      <c r="J1952" s="154" t="s">
        <v>257</v>
      </c>
      <c r="K1952" s="154" t="s">
        <v>26</v>
      </c>
      <c r="O1952" s="173"/>
      <c r="P1952" s="174"/>
      <c r="Q1952" s="175"/>
      <c r="R1952" s="159"/>
      <c r="S1952" s="160"/>
      <c r="T1952" s="161">
        <v>1</v>
      </c>
      <c r="U1952" s="173">
        <v>3</v>
      </c>
      <c r="V1952" s="176"/>
      <c r="W1952" s="177"/>
      <c r="X1952" s="178"/>
      <c r="Y1952" s="159"/>
      <c r="Z1952" s="161"/>
      <c r="AA1952" s="160"/>
      <c r="AD1952" s="154" t="s">
        <v>7253</v>
      </c>
      <c r="AF1952" s="154" t="s">
        <v>7254</v>
      </c>
      <c r="AQ1952" s="173"/>
      <c r="AR1952" s="174"/>
      <c r="AS1952" s="175"/>
      <c r="AT1952" s="159"/>
      <c r="AU1952" s="161"/>
      <c r="AV1952" s="173"/>
      <c r="AW1952" s="176"/>
      <c r="AX1952" s="177"/>
      <c r="AY1952" s="178"/>
      <c r="AZ1952" s="159"/>
      <c r="BA1952" s="161"/>
      <c r="BB1952" s="160"/>
    </row>
    <row r="1953" spans="1:58" s="154" customFormat="1" ht="15" customHeight="1">
      <c r="A1953" s="153" t="s">
        <v>6939</v>
      </c>
      <c r="B1953" s="187" t="s">
        <v>7255</v>
      </c>
      <c r="C1953" s="154" t="s">
        <v>6941</v>
      </c>
      <c r="D1953" s="154">
        <v>81</v>
      </c>
      <c r="E1953" s="154">
        <v>2</v>
      </c>
      <c r="F1953" s="154" t="s">
        <v>7185</v>
      </c>
      <c r="G1953" s="154" t="s">
        <v>7256</v>
      </c>
      <c r="J1953" s="154" t="s">
        <v>29</v>
      </c>
      <c r="K1953" s="154" t="s">
        <v>2426</v>
      </c>
      <c r="O1953" s="173"/>
      <c r="P1953" s="174"/>
      <c r="Q1953" s="175"/>
      <c r="R1953" s="159">
        <v>2</v>
      </c>
      <c r="S1953" s="160"/>
      <c r="T1953" s="161"/>
      <c r="U1953" s="173"/>
      <c r="V1953" s="176"/>
      <c r="W1953" s="177"/>
      <c r="X1953" s="178"/>
      <c r="Y1953" s="159"/>
      <c r="Z1953" s="161"/>
      <c r="AA1953" s="160"/>
      <c r="AD1953" s="154" t="s">
        <v>7257</v>
      </c>
      <c r="AF1953" s="154" t="s">
        <v>7258</v>
      </c>
      <c r="AQ1953" s="173"/>
      <c r="AR1953" s="174"/>
      <c r="AS1953" s="175"/>
      <c r="AT1953" s="159"/>
      <c r="AU1953" s="161"/>
      <c r="AV1953" s="173"/>
      <c r="AW1953" s="176"/>
      <c r="AX1953" s="177"/>
      <c r="AY1953" s="178"/>
      <c r="AZ1953" s="159"/>
      <c r="BA1953" s="161"/>
      <c r="BB1953" s="160"/>
    </row>
    <row r="1954" spans="1:58" s="154" customFormat="1" ht="15" customHeight="1">
      <c r="A1954" s="153" t="s">
        <v>6939</v>
      </c>
      <c r="B1954" s="187" t="s">
        <v>7259</v>
      </c>
      <c r="C1954" s="154" t="s">
        <v>6941</v>
      </c>
      <c r="D1954" s="154">
        <v>82</v>
      </c>
      <c r="E1954" s="154">
        <v>2</v>
      </c>
      <c r="F1954" s="154" t="s">
        <v>7185</v>
      </c>
      <c r="G1954" s="154" t="s">
        <v>7260</v>
      </c>
      <c r="J1954" s="154" t="s">
        <v>29</v>
      </c>
      <c r="K1954" s="154" t="s">
        <v>2426</v>
      </c>
      <c r="O1954" s="173"/>
      <c r="P1954" s="174"/>
      <c r="Q1954" s="175">
        <v>2</v>
      </c>
      <c r="R1954" s="159">
        <v>2</v>
      </c>
      <c r="S1954" s="160"/>
      <c r="T1954" s="161">
        <v>2</v>
      </c>
      <c r="U1954" s="173"/>
      <c r="V1954" s="176">
        <v>1</v>
      </c>
      <c r="W1954" s="177">
        <v>1</v>
      </c>
      <c r="X1954" s="178"/>
      <c r="Y1954" s="159"/>
      <c r="Z1954" s="161"/>
      <c r="AA1954" s="160"/>
      <c r="AD1954" s="154" t="s">
        <v>7261</v>
      </c>
      <c r="AF1954" s="154" t="s">
        <v>7262</v>
      </c>
      <c r="AQ1954" s="173"/>
      <c r="AR1954" s="174"/>
      <c r="AS1954" s="175"/>
      <c r="AT1954" s="159"/>
      <c r="AU1954" s="161"/>
      <c r="AV1954" s="173"/>
      <c r="AW1954" s="176"/>
      <c r="AX1954" s="177"/>
      <c r="AY1954" s="178"/>
      <c r="AZ1954" s="159"/>
      <c r="BA1954" s="161"/>
      <c r="BB1954" s="160"/>
    </row>
    <row r="1955" spans="1:58" s="154" customFormat="1" ht="15" customHeight="1">
      <c r="A1955" s="153" t="s">
        <v>6939</v>
      </c>
      <c r="B1955" s="187" t="s">
        <v>7263</v>
      </c>
      <c r="C1955" s="154" t="s">
        <v>6941</v>
      </c>
      <c r="D1955" s="154">
        <v>83</v>
      </c>
      <c r="E1955" s="154">
        <v>3</v>
      </c>
      <c r="F1955" s="154" t="s">
        <v>7185</v>
      </c>
      <c r="G1955" s="154" t="s">
        <v>7264</v>
      </c>
      <c r="J1955" s="154" t="s">
        <v>28</v>
      </c>
      <c r="K1955" s="154" t="s">
        <v>2426</v>
      </c>
      <c r="O1955" s="173"/>
      <c r="P1955" s="174"/>
      <c r="Q1955" s="175"/>
      <c r="R1955" s="159"/>
      <c r="S1955" s="160"/>
      <c r="T1955" s="161"/>
      <c r="U1955" s="173"/>
      <c r="V1955" s="176"/>
      <c r="W1955" s="177"/>
      <c r="X1955" s="178"/>
      <c r="Y1955" s="159"/>
      <c r="Z1955" s="161"/>
      <c r="AA1955" s="160"/>
      <c r="AD1955" s="154" t="s">
        <v>479</v>
      </c>
      <c r="AF1955" s="154" t="s">
        <v>7265</v>
      </c>
      <c r="AQ1955" s="173"/>
      <c r="AR1955" s="174"/>
      <c r="AS1955" s="175"/>
      <c r="AT1955" s="159"/>
      <c r="AU1955" s="161"/>
      <c r="AV1955" s="173"/>
      <c r="AW1955" s="176"/>
      <c r="AX1955" s="177"/>
      <c r="AY1955" s="178"/>
      <c r="AZ1955" s="159"/>
      <c r="BA1955" s="161"/>
      <c r="BB1955" s="160"/>
    </row>
    <row r="1956" spans="1:58" s="154" customFormat="1" ht="15" customHeight="1">
      <c r="A1956" s="153" t="s">
        <v>6939</v>
      </c>
      <c r="B1956" s="187" t="s">
        <v>7266</v>
      </c>
      <c r="C1956" s="154" t="s">
        <v>6941</v>
      </c>
      <c r="D1956" s="154">
        <v>84</v>
      </c>
      <c r="E1956" s="154">
        <v>2</v>
      </c>
      <c r="F1956" s="154" t="s">
        <v>7267</v>
      </c>
      <c r="G1956" s="154" t="s">
        <v>7268</v>
      </c>
      <c r="J1956" s="154" t="s">
        <v>29</v>
      </c>
      <c r="K1956" s="154" t="s">
        <v>2426</v>
      </c>
      <c r="O1956" s="173"/>
      <c r="P1956" s="174"/>
      <c r="Q1956" s="175">
        <v>4</v>
      </c>
      <c r="R1956" s="159">
        <v>3</v>
      </c>
      <c r="S1956" s="160"/>
      <c r="T1956" s="161">
        <v>5</v>
      </c>
      <c r="U1956" s="173"/>
      <c r="V1956" s="176">
        <v>1</v>
      </c>
      <c r="W1956" s="177">
        <v>2</v>
      </c>
      <c r="X1956" s="178"/>
      <c r="Y1956" s="159"/>
      <c r="Z1956" s="161"/>
      <c r="AA1956" s="160">
        <v>1</v>
      </c>
      <c r="AD1956" s="154" t="s">
        <v>7269</v>
      </c>
      <c r="AF1956" s="154" t="s">
        <v>7270</v>
      </c>
      <c r="AQ1956" s="173"/>
      <c r="AR1956" s="174"/>
      <c r="AS1956" s="175"/>
      <c r="AT1956" s="159"/>
      <c r="AU1956" s="161"/>
      <c r="AV1956" s="173"/>
      <c r="AW1956" s="176"/>
      <c r="AX1956" s="177"/>
      <c r="AY1956" s="178"/>
      <c r="AZ1956" s="159"/>
      <c r="BA1956" s="161"/>
      <c r="BB1956" s="160"/>
    </row>
    <row r="1957" spans="1:58" s="154" customFormat="1" ht="15" customHeight="1">
      <c r="A1957" s="153" t="s">
        <v>6939</v>
      </c>
      <c r="B1957" s="187" t="s">
        <v>7271</v>
      </c>
      <c r="C1957" s="154" t="s">
        <v>6941</v>
      </c>
      <c r="D1957" s="154">
        <v>85</v>
      </c>
      <c r="E1957" s="154">
        <v>2</v>
      </c>
      <c r="F1957" s="154" t="s">
        <v>7267</v>
      </c>
      <c r="G1957" s="154" t="s">
        <v>7272</v>
      </c>
      <c r="J1957" s="154" t="s">
        <v>28</v>
      </c>
      <c r="K1957" s="154" t="s">
        <v>2426</v>
      </c>
      <c r="O1957" s="173"/>
      <c r="P1957" s="174"/>
      <c r="Q1957" s="175"/>
      <c r="R1957" s="159"/>
      <c r="S1957" s="160"/>
      <c r="T1957" s="161"/>
      <c r="U1957" s="173"/>
      <c r="V1957" s="176"/>
      <c r="W1957" s="177"/>
      <c r="X1957" s="178"/>
      <c r="Y1957" s="159"/>
      <c r="Z1957" s="161"/>
      <c r="AA1957" s="160"/>
      <c r="AD1957" s="154" t="s">
        <v>1663</v>
      </c>
      <c r="AF1957" s="154" t="s">
        <v>7273</v>
      </c>
      <c r="AQ1957" s="173"/>
      <c r="AR1957" s="174"/>
      <c r="AS1957" s="175"/>
      <c r="AT1957" s="159"/>
      <c r="AU1957" s="161"/>
      <c r="AV1957" s="173"/>
      <c r="AW1957" s="176"/>
      <c r="AX1957" s="177"/>
      <c r="AY1957" s="178"/>
      <c r="AZ1957" s="159"/>
      <c r="BA1957" s="161"/>
      <c r="BB1957" s="160"/>
    </row>
    <row r="1958" spans="1:58" s="154" customFormat="1" ht="15" customHeight="1">
      <c r="A1958" s="153" t="s">
        <v>6939</v>
      </c>
      <c r="B1958" s="187" t="s">
        <v>7274</v>
      </c>
      <c r="C1958" s="154" t="s">
        <v>6941</v>
      </c>
      <c r="D1958" s="154">
        <v>86</v>
      </c>
      <c r="E1958" s="154">
        <v>1</v>
      </c>
      <c r="F1958" s="154" t="s">
        <v>7275</v>
      </c>
      <c r="G1958" s="154" t="s">
        <v>7276</v>
      </c>
      <c r="I1958" s="154" t="s">
        <v>223</v>
      </c>
      <c r="J1958" s="154" t="s">
        <v>29</v>
      </c>
      <c r="K1958" s="154" t="s">
        <v>2426</v>
      </c>
      <c r="O1958" s="173"/>
      <c r="P1958" s="174"/>
      <c r="Q1958" s="175">
        <v>3</v>
      </c>
      <c r="R1958" s="159">
        <v>3</v>
      </c>
      <c r="S1958" s="160"/>
      <c r="T1958" s="161">
        <v>5</v>
      </c>
      <c r="U1958" s="173"/>
      <c r="V1958" s="176">
        <v>1</v>
      </c>
      <c r="W1958" s="177">
        <v>1</v>
      </c>
      <c r="X1958" s="178"/>
      <c r="Y1958" s="159"/>
      <c r="Z1958" s="161"/>
      <c r="AA1958" s="160">
        <v>1</v>
      </c>
      <c r="AD1958" s="154" t="s">
        <v>7277</v>
      </c>
      <c r="AF1958" s="154" t="s">
        <v>7278</v>
      </c>
      <c r="AQ1958" s="173"/>
      <c r="AR1958" s="174"/>
      <c r="AS1958" s="175"/>
      <c r="AT1958" s="159"/>
      <c r="AU1958" s="161"/>
      <c r="AV1958" s="173"/>
      <c r="AW1958" s="176"/>
      <c r="AX1958" s="177"/>
      <c r="AY1958" s="178"/>
      <c r="AZ1958" s="159"/>
      <c r="BA1958" s="161"/>
      <c r="BB1958" s="160"/>
    </row>
    <row r="1959" spans="1:58" s="154" customFormat="1" ht="15" customHeight="1">
      <c r="A1959" s="153" t="s">
        <v>6939</v>
      </c>
      <c r="B1959" s="190" t="s">
        <v>7279</v>
      </c>
      <c r="C1959" s="154" t="s">
        <v>6941</v>
      </c>
      <c r="D1959" s="154">
        <v>87</v>
      </c>
      <c r="E1959" s="154">
        <v>1</v>
      </c>
      <c r="F1959" s="154" t="s">
        <v>7275</v>
      </c>
      <c r="G1959" s="154" t="s">
        <v>7280</v>
      </c>
      <c r="J1959" s="154" t="s">
        <v>28</v>
      </c>
      <c r="K1959" s="154" t="s">
        <v>2426</v>
      </c>
      <c r="O1959" s="173"/>
      <c r="P1959" s="174"/>
      <c r="Q1959" s="175"/>
      <c r="R1959" s="159"/>
      <c r="S1959" s="160"/>
      <c r="T1959" s="161"/>
      <c r="U1959" s="173"/>
      <c r="V1959" s="176"/>
      <c r="W1959" s="177"/>
      <c r="X1959" s="178"/>
      <c r="Y1959" s="159"/>
      <c r="Z1959" s="161"/>
      <c r="AA1959" s="160"/>
      <c r="AD1959" s="154" t="s">
        <v>481</v>
      </c>
      <c r="AF1959" s="154" t="s">
        <v>7281</v>
      </c>
      <c r="AQ1959" s="173"/>
      <c r="AR1959" s="174"/>
      <c r="AS1959" s="175"/>
      <c r="AT1959" s="159"/>
      <c r="AU1959" s="161"/>
      <c r="AV1959" s="173"/>
      <c r="AW1959" s="176"/>
      <c r="AX1959" s="177"/>
      <c r="AY1959" s="178"/>
      <c r="AZ1959" s="159"/>
      <c r="BA1959" s="161"/>
      <c r="BB1959" s="160"/>
    </row>
    <row r="1960" spans="1:58" s="154" customFormat="1" ht="15" customHeight="1">
      <c r="A1960" s="153" t="s">
        <v>6939</v>
      </c>
      <c r="B1960" s="190" t="s">
        <v>7282</v>
      </c>
      <c r="C1960" s="154" t="s">
        <v>6941</v>
      </c>
      <c r="D1960" s="154">
        <v>88</v>
      </c>
      <c r="E1960" s="154">
        <v>1</v>
      </c>
      <c r="F1960" s="154" t="s">
        <v>7275</v>
      </c>
      <c r="G1960" s="154" t="s">
        <v>7283</v>
      </c>
      <c r="J1960" s="154" t="s">
        <v>28</v>
      </c>
      <c r="K1960" s="154" t="s">
        <v>2426</v>
      </c>
      <c r="O1960" s="173"/>
      <c r="P1960" s="174"/>
      <c r="Q1960" s="175"/>
      <c r="R1960" s="159"/>
      <c r="S1960" s="160"/>
      <c r="T1960" s="161"/>
      <c r="U1960" s="173"/>
      <c r="V1960" s="176"/>
      <c r="W1960" s="177"/>
      <c r="X1960" s="178"/>
      <c r="Y1960" s="159"/>
      <c r="Z1960" s="161"/>
      <c r="AA1960" s="160"/>
      <c r="AD1960" s="154" t="s">
        <v>481</v>
      </c>
      <c r="AF1960" s="154" t="s">
        <v>7284</v>
      </c>
      <c r="AQ1960" s="173"/>
      <c r="AR1960" s="174"/>
      <c r="AS1960" s="175"/>
      <c r="AT1960" s="159"/>
      <c r="AU1960" s="161"/>
      <c r="AV1960" s="173"/>
      <c r="AW1960" s="176"/>
      <c r="AX1960" s="177"/>
      <c r="AY1960" s="178"/>
      <c r="AZ1960" s="159"/>
      <c r="BA1960" s="161"/>
      <c r="BB1960" s="160"/>
    </row>
    <row r="1961" spans="1:58" s="154" customFormat="1" ht="15" customHeight="1">
      <c r="A1961" s="153" t="s">
        <v>6939</v>
      </c>
      <c r="B1961" s="187" t="s">
        <v>7285</v>
      </c>
      <c r="C1961" s="154" t="s">
        <v>6941</v>
      </c>
      <c r="D1961" s="154">
        <v>89</v>
      </c>
      <c r="E1961" s="154">
        <v>1</v>
      </c>
      <c r="F1961" s="154" t="s">
        <v>7275</v>
      </c>
      <c r="G1961" s="154" t="s">
        <v>7286</v>
      </c>
      <c r="J1961" s="154" t="s">
        <v>28</v>
      </c>
      <c r="K1961" s="154" t="s">
        <v>2426</v>
      </c>
      <c r="O1961" s="173"/>
      <c r="P1961" s="174"/>
      <c r="Q1961" s="175"/>
      <c r="R1961" s="159"/>
      <c r="S1961" s="160"/>
      <c r="T1961" s="161"/>
      <c r="U1961" s="173"/>
      <c r="V1961" s="176"/>
      <c r="W1961" s="177"/>
      <c r="X1961" s="178"/>
      <c r="Y1961" s="159"/>
      <c r="Z1961" s="161"/>
      <c r="AA1961" s="160"/>
      <c r="AD1961" s="154" t="s">
        <v>481</v>
      </c>
      <c r="AF1961" s="154" t="s">
        <v>7287</v>
      </c>
      <c r="AQ1961" s="173"/>
      <c r="AR1961" s="174"/>
      <c r="AS1961" s="175"/>
      <c r="AT1961" s="159"/>
      <c r="AU1961" s="161"/>
      <c r="AV1961" s="173"/>
      <c r="AW1961" s="176"/>
      <c r="AX1961" s="177"/>
      <c r="AY1961" s="178"/>
      <c r="AZ1961" s="159"/>
      <c r="BA1961" s="161"/>
      <c r="BB1961" s="160"/>
    </row>
    <row r="1962" spans="1:58" s="154" customFormat="1" ht="15" customHeight="1">
      <c r="A1962" s="153" t="s">
        <v>6939</v>
      </c>
      <c r="B1962" s="187" t="s">
        <v>7288</v>
      </c>
      <c r="C1962" s="154" t="s">
        <v>6941</v>
      </c>
      <c r="D1962" s="154">
        <v>90</v>
      </c>
      <c r="E1962" s="154">
        <v>3</v>
      </c>
      <c r="F1962" s="154" t="s">
        <v>7289</v>
      </c>
      <c r="G1962" s="154" t="s">
        <v>7289</v>
      </c>
      <c r="J1962" s="154" t="s">
        <v>28</v>
      </c>
      <c r="K1962" s="154" t="s">
        <v>2426</v>
      </c>
      <c r="O1962" s="173"/>
      <c r="P1962" s="174"/>
      <c r="Q1962" s="175"/>
      <c r="R1962" s="159"/>
      <c r="S1962" s="160"/>
      <c r="T1962" s="161"/>
      <c r="U1962" s="173"/>
      <c r="V1962" s="176"/>
      <c r="W1962" s="177"/>
      <c r="X1962" s="178"/>
      <c r="Y1962" s="159"/>
      <c r="Z1962" s="161"/>
      <c r="AA1962" s="160"/>
      <c r="AD1962" s="154" t="s">
        <v>481</v>
      </c>
      <c r="AF1962" s="154" t="s">
        <v>7290</v>
      </c>
      <c r="AQ1962" s="173"/>
      <c r="AR1962" s="174"/>
      <c r="AS1962" s="175"/>
      <c r="AT1962" s="159"/>
      <c r="AU1962" s="161"/>
      <c r="AV1962" s="173"/>
      <c r="AW1962" s="176"/>
      <c r="AX1962" s="177"/>
      <c r="AY1962" s="178"/>
      <c r="AZ1962" s="159"/>
      <c r="BA1962" s="161"/>
      <c r="BB1962" s="160"/>
    </row>
    <row r="1963" spans="1:58" ht="15" customHeight="1">
      <c r="A1963" s="153" t="s">
        <v>6939</v>
      </c>
      <c r="B1963" s="187" t="s">
        <v>7291</v>
      </c>
      <c r="C1963" s="154" t="s">
        <v>6941</v>
      </c>
      <c r="D1963" s="23">
        <v>91</v>
      </c>
      <c r="E1963" s="23">
        <v>3</v>
      </c>
      <c r="F1963" s="154" t="s">
        <v>7292</v>
      </c>
      <c r="G1963" s="23" t="s">
        <v>7293</v>
      </c>
      <c r="J1963" s="23" t="s">
        <v>29</v>
      </c>
      <c r="K1963" s="23" t="s">
        <v>2426</v>
      </c>
      <c r="N1963" s="191"/>
      <c r="O1963" s="129"/>
      <c r="P1963" s="130"/>
      <c r="Q1963" s="131">
        <v>2</v>
      </c>
      <c r="R1963" s="29">
        <v>3</v>
      </c>
      <c r="S1963" s="135"/>
      <c r="T1963" s="122">
        <v>2</v>
      </c>
      <c r="U1963" s="129"/>
      <c r="V1963" s="136">
        <v>1</v>
      </c>
      <c r="W1963" s="137">
        <v>1</v>
      </c>
      <c r="X1963" s="134"/>
      <c r="Y1963" s="29"/>
      <c r="Z1963" s="122"/>
      <c r="AA1963" s="135"/>
      <c r="AB1963" s="148"/>
      <c r="AD1963" s="23" t="s">
        <v>7294</v>
      </c>
      <c r="AE1963" s="23"/>
      <c r="AF1963" s="23" t="s">
        <v>7295</v>
      </c>
      <c r="AP1963" s="23"/>
      <c r="AQ1963" s="129"/>
      <c r="AR1963" s="130"/>
      <c r="AS1963" s="131"/>
      <c r="AT1963" s="29"/>
      <c r="AU1963" s="122"/>
      <c r="AV1963" s="129"/>
      <c r="AW1963" s="136"/>
      <c r="AX1963" s="137"/>
      <c r="AY1963" s="134"/>
      <c r="AZ1963" s="29"/>
      <c r="BA1963" s="122"/>
      <c r="BB1963" s="135"/>
      <c r="BF1963" s="23"/>
    </row>
    <row r="1964" spans="1:58" ht="15" customHeight="1">
      <c r="A1964" s="153" t="s">
        <v>6939</v>
      </c>
      <c r="B1964" s="190" t="s">
        <v>7296</v>
      </c>
      <c r="C1964" s="154" t="s">
        <v>6941</v>
      </c>
      <c r="D1964" s="23">
        <v>92</v>
      </c>
      <c r="E1964" s="23">
        <v>1</v>
      </c>
      <c r="F1964" s="154" t="s">
        <v>7292</v>
      </c>
      <c r="G1964" s="23" t="s">
        <v>7297</v>
      </c>
      <c r="J1964" s="23" t="s">
        <v>29</v>
      </c>
      <c r="K1964" s="23" t="s">
        <v>2426</v>
      </c>
      <c r="N1964" s="191"/>
      <c r="O1964" s="129"/>
      <c r="P1964" s="130"/>
      <c r="Q1964" s="131">
        <v>4</v>
      </c>
      <c r="R1964" s="29">
        <v>2</v>
      </c>
      <c r="S1964" s="135"/>
      <c r="T1964" s="122">
        <v>6</v>
      </c>
      <c r="U1964" s="129"/>
      <c r="V1964" s="136">
        <v>2</v>
      </c>
      <c r="W1964" s="137">
        <v>2</v>
      </c>
      <c r="X1964" s="134"/>
      <c r="Y1964" s="29"/>
      <c r="Z1964" s="122"/>
      <c r="AA1964" s="135"/>
      <c r="AB1964" s="148"/>
      <c r="AD1964" s="23" t="s">
        <v>7176</v>
      </c>
      <c r="AE1964" s="23"/>
      <c r="AF1964" s="23" t="s">
        <v>7298</v>
      </c>
      <c r="AP1964" s="23"/>
      <c r="AQ1964" s="129"/>
      <c r="AR1964" s="130"/>
      <c r="AS1964" s="131"/>
      <c r="AT1964" s="29"/>
      <c r="AU1964" s="122"/>
      <c r="AV1964" s="129"/>
      <c r="AW1964" s="136"/>
      <c r="AX1964" s="137"/>
      <c r="AY1964" s="134"/>
      <c r="AZ1964" s="29"/>
      <c r="BA1964" s="122"/>
      <c r="BB1964" s="135"/>
      <c r="BF1964" s="23"/>
    </row>
    <row r="1965" spans="1:58" ht="15" customHeight="1">
      <c r="A1965" s="153" t="s">
        <v>6939</v>
      </c>
      <c r="B1965" s="187" t="s">
        <v>7299</v>
      </c>
      <c r="C1965" s="154" t="s">
        <v>6941</v>
      </c>
      <c r="D1965" s="23">
        <v>93</v>
      </c>
      <c r="E1965" s="23">
        <v>2</v>
      </c>
      <c r="F1965" s="154" t="s">
        <v>7300</v>
      </c>
      <c r="G1965" s="23" t="s">
        <v>7300</v>
      </c>
      <c r="J1965" s="23" t="s">
        <v>28</v>
      </c>
      <c r="K1965" s="23" t="s">
        <v>2426</v>
      </c>
      <c r="N1965" s="191"/>
      <c r="O1965" s="129"/>
      <c r="P1965" s="130"/>
      <c r="Q1965" s="131"/>
      <c r="R1965" s="29"/>
      <c r="S1965" s="135"/>
      <c r="T1965" s="122"/>
      <c r="U1965" s="129"/>
      <c r="V1965" s="136"/>
      <c r="W1965" s="137"/>
      <c r="X1965" s="134"/>
      <c r="Y1965" s="29"/>
      <c r="Z1965" s="122"/>
      <c r="AA1965" s="135"/>
      <c r="AB1965" s="148"/>
      <c r="AD1965" s="23" t="s">
        <v>439</v>
      </c>
      <c r="AE1965" s="23"/>
      <c r="AF1965" s="23" t="s">
        <v>7301</v>
      </c>
      <c r="AP1965" s="23"/>
      <c r="AQ1965" s="129"/>
      <c r="AR1965" s="130"/>
      <c r="AS1965" s="131"/>
      <c r="AT1965" s="29"/>
      <c r="AU1965" s="122"/>
      <c r="AV1965" s="129"/>
      <c r="AW1965" s="136"/>
      <c r="AX1965" s="137"/>
      <c r="AY1965" s="134"/>
      <c r="AZ1965" s="29"/>
      <c r="BA1965" s="122"/>
      <c r="BB1965" s="135"/>
      <c r="BF1965" s="23"/>
    </row>
    <row r="1966" spans="1:58" ht="15" customHeight="1">
      <c r="A1966" s="153" t="s">
        <v>6939</v>
      </c>
      <c r="B1966" s="187" t="s">
        <v>7302</v>
      </c>
      <c r="C1966" s="154" t="s">
        <v>6941</v>
      </c>
      <c r="D1966" s="23">
        <v>94</v>
      </c>
      <c r="E1966" s="23">
        <v>2</v>
      </c>
      <c r="F1966" s="154" t="s">
        <v>7300</v>
      </c>
      <c r="G1966" s="23" t="s">
        <v>7303</v>
      </c>
      <c r="J1966" s="23" t="s">
        <v>28</v>
      </c>
      <c r="K1966" s="23" t="s">
        <v>2426</v>
      </c>
      <c r="N1966" s="191"/>
      <c r="O1966" s="129"/>
      <c r="P1966" s="130"/>
      <c r="Q1966" s="131"/>
      <c r="R1966" s="29"/>
      <c r="S1966" s="135"/>
      <c r="T1966" s="122"/>
      <c r="U1966" s="129"/>
      <c r="V1966" s="136"/>
      <c r="W1966" s="137"/>
      <c r="X1966" s="134"/>
      <c r="Y1966" s="29"/>
      <c r="Z1966" s="122"/>
      <c r="AA1966" s="135"/>
      <c r="AB1966" s="148"/>
      <c r="AD1966" s="23" t="s">
        <v>481</v>
      </c>
      <c r="AE1966" s="23"/>
      <c r="AF1966" s="23" t="s">
        <v>7304</v>
      </c>
      <c r="AP1966" s="23"/>
      <c r="AQ1966" s="129"/>
      <c r="AR1966" s="130"/>
      <c r="AS1966" s="131"/>
      <c r="AT1966" s="29"/>
      <c r="AU1966" s="122"/>
      <c r="AV1966" s="129"/>
      <c r="AW1966" s="136"/>
      <c r="AX1966" s="137"/>
      <c r="AY1966" s="134"/>
      <c r="AZ1966" s="29"/>
      <c r="BA1966" s="122"/>
      <c r="BB1966" s="135"/>
      <c r="BF1966" s="23"/>
    </row>
    <row r="1967" spans="1:58" ht="15" customHeight="1">
      <c r="A1967" s="153" t="s">
        <v>6939</v>
      </c>
      <c r="B1967" s="187" t="s">
        <v>7305</v>
      </c>
      <c r="C1967" s="154" t="s">
        <v>6941</v>
      </c>
      <c r="D1967" s="23">
        <v>95</v>
      </c>
      <c r="E1967" s="23">
        <v>2</v>
      </c>
      <c r="F1967" s="154" t="s">
        <v>7300</v>
      </c>
      <c r="G1967" s="23" t="s">
        <v>7306</v>
      </c>
      <c r="J1967" s="23" t="s">
        <v>28</v>
      </c>
      <c r="K1967" s="23" t="s">
        <v>2426</v>
      </c>
      <c r="N1967" s="191"/>
      <c r="O1967" s="129"/>
      <c r="P1967" s="130"/>
      <c r="Q1967" s="131"/>
      <c r="R1967" s="29"/>
      <c r="S1967" s="135"/>
      <c r="T1967" s="122"/>
      <c r="U1967" s="129"/>
      <c r="V1967" s="136"/>
      <c r="W1967" s="137"/>
      <c r="X1967" s="134"/>
      <c r="Y1967" s="29"/>
      <c r="Z1967" s="122"/>
      <c r="AA1967" s="135"/>
      <c r="AB1967" s="148"/>
      <c r="AD1967" s="23" t="s">
        <v>439</v>
      </c>
      <c r="AE1967" s="23"/>
      <c r="AF1967" s="23" t="s">
        <v>7307</v>
      </c>
      <c r="AP1967" s="23"/>
      <c r="AQ1967" s="129"/>
      <c r="AR1967" s="130"/>
      <c r="AS1967" s="131"/>
      <c r="AT1967" s="29"/>
      <c r="AU1967" s="122"/>
      <c r="AV1967" s="129"/>
      <c r="AW1967" s="136"/>
      <c r="AX1967" s="137"/>
      <c r="AY1967" s="134"/>
      <c r="AZ1967" s="29"/>
      <c r="BA1967" s="122"/>
      <c r="BB1967" s="135"/>
      <c r="BF1967" s="23"/>
    </row>
    <row r="1968" spans="1:58" s="154" customFormat="1" ht="15" customHeight="1">
      <c r="A1968" s="153" t="s">
        <v>6939</v>
      </c>
      <c r="B1968" s="187" t="s">
        <v>7308</v>
      </c>
      <c r="C1968" s="154" t="s">
        <v>6941</v>
      </c>
      <c r="D1968" s="154">
        <v>96</v>
      </c>
      <c r="E1968" s="154">
        <v>2</v>
      </c>
      <c r="F1968" s="154" t="s">
        <v>7309</v>
      </c>
      <c r="G1968" s="154" t="s">
        <v>7310</v>
      </c>
      <c r="J1968" s="154" t="s">
        <v>28</v>
      </c>
      <c r="K1968" s="154" t="s">
        <v>2426</v>
      </c>
      <c r="O1968" s="173"/>
      <c r="P1968" s="174"/>
      <c r="Q1968" s="175"/>
      <c r="R1968" s="159"/>
      <c r="S1968" s="160"/>
      <c r="T1968" s="161"/>
      <c r="U1968" s="173"/>
      <c r="V1968" s="176"/>
      <c r="W1968" s="177"/>
      <c r="X1968" s="178"/>
      <c r="Y1968" s="159"/>
      <c r="Z1968" s="161"/>
      <c r="AA1968" s="160"/>
      <c r="AD1968" s="154" t="s">
        <v>1663</v>
      </c>
      <c r="AF1968" s="154" t="s">
        <v>7311</v>
      </c>
      <c r="AQ1968" s="173"/>
      <c r="AR1968" s="174"/>
      <c r="AS1968" s="175"/>
      <c r="AT1968" s="159"/>
      <c r="AU1968" s="161"/>
      <c r="AV1968" s="173"/>
      <c r="AW1968" s="176"/>
      <c r="AX1968" s="177"/>
      <c r="AY1968" s="178"/>
      <c r="AZ1968" s="159"/>
      <c r="BA1968" s="161"/>
      <c r="BB1968" s="160"/>
    </row>
    <row r="1969" spans="1:58" s="154" customFormat="1" ht="15" customHeight="1">
      <c r="A1969" s="153" t="s">
        <v>6939</v>
      </c>
      <c r="B1969" s="187" t="s">
        <v>7312</v>
      </c>
      <c r="C1969" s="154" t="s">
        <v>6941</v>
      </c>
      <c r="D1969" s="154">
        <v>97</v>
      </c>
      <c r="E1969" s="154">
        <v>2</v>
      </c>
      <c r="F1969" s="154" t="s">
        <v>7309</v>
      </c>
      <c r="G1969" s="154" t="s">
        <v>7313</v>
      </c>
      <c r="J1969" s="154" t="s">
        <v>28</v>
      </c>
      <c r="K1969" s="154" t="s">
        <v>2426</v>
      </c>
      <c r="O1969" s="173"/>
      <c r="P1969" s="174"/>
      <c r="Q1969" s="175"/>
      <c r="R1969" s="159"/>
      <c r="S1969" s="160"/>
      <c r="T1969" s="161"/>
      <c r="U1969" s="173"/>
      <c r="V1969" s="176"/>
      <c r="W1969" s="177"/>
      <c r="X1969" s="178"/>
      <c r="Y1969" s="159"/>
      <c r="Z1969" s="161"/>
      <c r="AA1969" s="160"/>
      <c r="AD1969" s="154" t="s">
        <v>1663</v>
      </c>
      <c r="AF1969" s="154" t="s">
        <v>7314</v>
      </c>
      <c r="AQ1969" s="173"/>
      <c r="AR1969" s="174"/>
      <c r="AS1969" s="175"/>
      <c r="AT1969" s="159"/>
      <c r="AU1969" s="161"/>
      <c r="AV1969" s="173"/>
      <c r="AW1969" s="176"/>
      <c r="AX1969" s="177"/>
      <c r="AY1969" s="178"/>
      <c r="AZ1969" s="159"/>
      <c r="BA1969" s="161"/>
      <c r="BB1969" s="160"/>
    </row>
    <row r="1970" spans="1:58" s="154" customFormat="1" ht="15" customHeight="1">
      <c r="A1970" s="153" t="s">
        <v>6939</v>
      </c>
      <c r="B1970" s="187" t="s">
        <v>7315</v>
      </c>
      <c r="C1970" s="154" t="s">
        <v>6941</v>
      </c>
      <c r="D1970" s="154">
        <v>98</v>
      </c>
      <c r="E1970" s="154">
        <v>2</v>
      </c>
      <c r="F1970" s="154" t="s">
        <v>7316</v>
      </c>
      <c r="G1970" s="154" t="s">
        <v>7317</v>
      </c>
      <c r="J1970" s="154" t="s">
        <v>28</v>
      </c>
      <c r="K1970" s="154" t="s">
        <v>2426</v>
      </c>
      <c r="O1970" s="173"/>
      <c r="P1970" s="174"/>
      <c r="Q1970" s="175"/>
      <c r="R1970" s="159"/>
      <c r="S1970" s="160"/>
      <c r="T1970" s="161"/>
      <c r="U1970" s="173"/>
      <c r="V1970" s="176"/>
      <c r="W1970" s="177"/>
      <c r="X1970" s="178"/>
      <c r="Y1970" s="159"/>
      <c r="Z1970" s="161"/>
      <c r="AA1970" s="160"/>
      <c r="AD1970" s="154" t="s">
        <v>481</v>
      </c>
      <c r="AF1970" s="154" t="s">
        <v>7318</v>
      </c>
      <c r="AQ1970" s="173"/>
      <c r="AR1970" s="174"/>
      <c r="AS1970" s="175"/>
      <c r="AT1970" s="159"/>
      <c r="AU1970" s="161"/>
      <c r="AV1970" s="173"/>
      <c r="AW1970" s="176"/>
      <c r="AX1970" s="177"/>
      <c r="AY1970" s="178"/>
      <c r="AZ1970" s="159"/>
      <c r="BA1970" s="161"/>
      <c r="BB1970" s="160"/>
    </row>
    <row r="1971" spans="1:58" s="154" customFormat="1" ht="15" customHeight="1">
      <c r="A1971" s="153" t="s">
        <v>6939</v>
      </c>
      <c r="B1971" s="187" t="s">
        <v>7319</v>
      </c>
      <c r="C1971" s="154" t="s">
        <v>6941</v>
      </c>
      <c r="D1971" s="154">
        <v>99</v>
      </c>
      <c r="E1971" s="154">
        <v>2</v>
      </c>
      <c r="F1971" s="154" t="s">
        <v>7316</v>
      </c>
      <c r="G1971" s="154" t="s">
        <v>7320</v>
      </c>
      <c r="J1971" s="154" t="s">
        <v>28</v>
      </c>
      <c r="K1971" s="154" t="s">
        <v>2426</v>
      </c>
      <c r="O1971" s="173"/>
      <c r="P1971" s="174"/>
      <c r="Q1971" s="175"/>
      <c r="R1971" s="159"/>
      <c r="S1971" s="160"/>
      <c r="T1971" s="161"/>
      <c r="U1971" s="173"/>
      <c r="V1971" s="176"/>
      <c r="W1971" s="177"/>
      <c r="X1971" s="178"/>
      <c r="Y1971" s="159"/>
      <c r="Z1971" s="161"/>
      <c r="AA1971" s="160"/>
      <c r="AD1971" s="154" t="s">
        <v>481</v>
      </c>
      <c r="AF1971" s="154" t="s">
        <v>7321</v>
      </c>
      <c r="AQ1971" s="173"/>
      <c r="AR1971" s="174"/>
      <c r="AS1971" s="175"/>
      <c r="AT1971" s="159"/>
      <c r="AU1971" s="161"/>
      <c r="AV1971" s="173"/>
      <c r="AW1971" s="176"/>
      <c r="AX1971" s="177"/>
      <c r="AY1971" s="178"/>
      <c r="AZ1971" s="159"/>
      <c r="BA1971" s="161"/>
      <c r="BB1971" s="160"/>
    </row>
    <row r="1972" spans="1:58" s="154" customFormat="1" ht="15" customHeight="1">
      <c r="A1972" s="153" t="s">
        <v>6939</v>
      </c>
      <c r="B1972" s="190" t="s">
        <v>7322</v>
      </c>
      <c r="C1972" s="154" t="s">
        <v>6941</v>
      </c>
      <c r="D1972" s="154">
        <v>100</v>
      </c>
      <c r="E1972" s="154">
        <v>2</v>
      </c>
      <c r="F1972" s="154" t="s">
        <v>7316</v>
      </c>
      <c r="G1972" s="154" t="s">
        <v>7323</v>
      </c>
      <c r="J1972" s="154" t="s">
        <v>28</v>
      </c>
      <c r="K1972" s="154" t="s">
        <v>2426</v>
      </c>
      <c r="O1972" s="173"/>
      <c r="P1972" s="174"/>
      <c r="Q1972" s="175"/>
      <c r="R1972" s="159"/>
      <c r="S1972" s="160"/>
      <c r="T1972" s="161"/>
      <c r="U1972" s="173"/>
      <c r="V1972" s="176"/>
      <c r="W1972" s="177"/>
      <c r="X1972" s="178"/>
      <c r="Y1972" s="159"/>
      <c r="Z1972" s="161"/>
      <c r="AA1972" s="160"/>
      <c r="AD1972" s="154" t="s">
        <v>1663</v>
      </c>
      <c r="AF1972" s="154" t="s">
        <v>7324</v>
      </c>
      <c r="AQ1972" s="173"/>
      <c r="AR1972" s="174"/>
      <c r="AS1972" s="175"/>
      <c r="AT1972" s="159"/>
      <c r="AU1972" s="161"/>
      <c r="AV1972" s="173"/>
      <c r="AW1972" s="176"/>
      <c r="AX1972" s="177"/>
      <c r="AY1972" s="178"/>
      <c r="AZ1972" s="159"/>
      <c r="BA1972" s="161"/>
      <c r="BB1972" s="160"/>
    </row>
    <row r="1973" spans="1:58" s="154" customFormat="1" ht="15" customHeight="1">
      <c r="A1973" s="153" t="s">
        <v>6939</v>
      </c>
      <c r="B1973" s="187" t="s">
        <v>7325</v>
      </c>
      <c r="C1973" s="154" t="s">
        <v>6941</v>
      </c>
      <c r="D1973" s="154">
        <v>101</v>
      </c>
      <c r="E1973" s="154">
        <v>1</v>
      </c>
      <c r="F1973" s="154" t="s">
        <v>7326</v>
      </c>
      <c r="G1973" s="154" t="s">
        <v>7327</v>
      </c>
      <c r="J1973" s="154" t="s">
        <v>29</v>
      </c>
      <c r="K1973" s="154" t="s">
        <v>2426</v>
      </c>
      <c r="O1973" s="173"/>
      <c r="P1973" s="174"/>
      <c r="Q1973" s="175">
        <v>3</v>
      </c>
      <c r="R1973" s="159">
        <v>3</v>
      </c>
      <c r="S1973" s="160"/>
      <c r="T1973" s="161">
        <v>4</v>
      </c>
      <c r="U1973" s="173"/>
      <c r="V1973" s="176">
        <v>1</v>
      </c>
      <c r="W1973" s="177">
        <v>1</v>
      </c>
      <c r="X1973" s="178"/>
      <c r="Y1973" s="159"/>
      <c r="Z1973" s="161"/>
      <c r="AA1973" s="160"/>
      <c r="AD1973" s="154" t="s">
        <v>7269</v>
      </c>
      <c r="AF1973" s="154" t="s">
        <v>7328</v>
      </c>
      <c r="AQ1973" s="173"/>
      <c r="AR1973" s="174"/>
      <c r="AS1973" s="175"/>
      <c r="AT1973" s="159"/>
      <c r="AU1973" s="161"/>
      <c r="AV1973" s="173"/>
      <c r="AW1973" s="176"/>
      <c r="AX1973" s="177"/>
      <c r="AY1973" s="178"/>
      <c r="AZ1973" s="159"/>
      <c r="BA1973" s="161"/>
      <c r="BB1973" s="160"/>
    </row>
    <row r="1974" spans="1:58" s="154" customFormat="1" ht="15" customHeight="1">
      <c r="A1974" s="153" t="s">
        <v>6939</v>
      </c>
      <c r="B1974" s="187" t="s">
        <v>7329</v>
      </c>
      <c r="C1974" s="154" t="s">
        <v>6941</v>
      </c>
      <c r="D1974" s="154">
        <v>102</v>
      </c>
      <c r="E1974" s="154">
        <v>3</v>
      </c>
      <c r="F1974" s="154" t="s">
        <v>7326</v>
      </c>
      <c r="G1974" s="154" t="s">
        <v>7330</v>
      </c>
      <c r="J1974" s="154" t="s">
        <v>29</v>
      </c>
      <c r="K1974" s="154" t="s">
        <v>2426</v>
      </c>
      <c r="O1974" s="173"/>
      <c r="P1974" s="174"/>
      <c r="Q1974" s="175">
        <v>1</v>
      </c>
      <c r="R1974" s="159">
        <v>-2</v>
      </c>
      <c r="S1974" s="160"/>
      <c r="T1974" s="161">
        <v>1</v>
      </c>
      <c r="U1974" s="173"/>
      <c r="V1974" s="176">
        <v>1</v>
      </c>
      <c r="W1974" s="177"/>
      <c r="X1974" s="178"/>
      <c r="Y1974" s="159"/>
      <c r="Z1974" s="161"/>
      <c r="AA1974" s="160"/>
      <c r="AD1974" s="154" t="s">
        <v>7331</v>
      </c>
      <c r="AF1974" s="154" t="s">
        <v>7332</v>
      </c>
      <c r="AQ1974" s="173"/>
      <c r="AR1974" s="174"/>
      <c r="AS1974" s="175"/>
      <c r="AT1974" s="159"/>
      <c r="AU1974" s="161"/>
      <c r="AV1974" s="173"/>
      <c r="AW1974" s="176"/>
      <c r="AX1974" s="177"/>
      <c r="AY1974" s="178"/>
      <c r="AZ1974" s="159"/>
      <c r="BA1974" s="161"/>
      <c r="BB1974" s="160"/>
    </row>
    <row r="1975" spans="1:58" s="154" customFormat="1" ht="15" customHeight="1">
      <c r="A1975" s="153" t="s">
        <v>6939</v>
      </c>
      <c r="B1975" s="187" t="s">
        <v>7333</v>
      </c>
      <c r="C1975" s="154" t="s">
        <v>6941</v>
      </c>
      <c r="D1975" s="154">
        <v>103</v>
      </c>
      <c r="E1975" s="154">
        <v>2</v>
      </c>
      <c r="F1975" s="154" t="s">
        <v>7326</v>
      </c>
      <c r="G1975" s="154" t="s">
        <v>7334</v>
      </c>
      <c r="J1975" s="154" t="s">
        <v>28</v>
      </c>
      <c r="K1975" s="154" t="s">
        <v>2426</v>
      </c>
      <c r="O1975" s="173"/>
      <c r="P1975" s="174"/>
      <c r="Q1975" s="175"/>
      <c r="R1975" s="159"/>
      <c r="S1975" s="160"/>
      <c r="T1975" s="161"/>
      <c r="U1975" s="173"/>
      <c r="V1975" s="176"/>
      <c r="W1975" s="177"/>
      <c r="X1975" s="178"/>
      <c r="Y1975" s="159"/>
      <c r="Z1975" s="161"/>
      <c r="AA1975" s="160"/>
      <c r="AD1975" s="154" t="s">
        <v>834</v>
      </c>
      <c r="AF1975" s="154" t="s">
        <v>7335</v>
      </c>
      <c r="AQ1975" s="173"/>
      <c r="AR1975" s="174"/>
      <c r="AS1975" s="175"/>
      <c r="AT1975" s="159"/>
      <c r="AU1975" s="161"/>
      <c r="AV1975" s="173"/>
      <c r="AW1975" s="176"/>
      <c r="AX1975" s="177"/>
      <c r="AY1975" s="178"/>
      <c r="AZ1975" s="159"/>
      <c r="BA1975" s="161"/>
      <c r="BB1975" s="160"/>
    </row>
    <row r="1976" spans="1:58" s="154" customFormat="1" ht="15" customHeight="1">
      <c r="A1976" s="153" t="s">
        <v>6939</v>
      </c>
      <c r="B1976" s="187" t="s">
        <v>7336</v>
      </c>
      <c r="C1976" s="154" t="s">
        <v>6941</v>
      </c>
      <c r="D1976" s="154">
        <v>104</v>
      </c>
      <c r="E1976" s="154">
        <v>2</v>
      </c>
      <c r="F1976" s="154" t="s">
        <v>7337</v>
      </c>
      <c r="G1976" s="154" t="s">
        <v>7338</v>
      </c>
      <c r="J1976" s="154" t="s">
        <v>28</v>
      </c>
      <c r="K1976" s="154" t="s">
        <v>2426</v>
      </c>
      <c r="O1976" s="173"/>
      <c r="P1976" s="174"/>
      <c r="Q1976" s="175"/>
      <c r="R1976" s="159"/>
      <c r="S1976" s="160"/>
      <c r="T1976" s="161"/>
      <c r="U1976" s="173"/>
      <c r="V1976" s="176"/>
      <c r="W1976" s="177"/>
      <c r="X1976" s="178"/>
      <c r="Y1976" s="159"/>
      <c r="Z1976" s="161"/>
      <c r="AA1976" s="160"/>
      <c r="AD1976" s="154" t="s">
        <v>1196</v>
      </c>
      <c r="AF1976" s="154" t="s">
        <v>7339</v>
      </c>
      <c r="AQ1976" s="173"/>
      <c r="AR1976" s="174"/>
      <c r="AS1976" s="175"/>
      <c r="AT1976" s="159"/>
      <c r="AU1976" s="161"/>
      <c r="AV1976" s="173"/>
      <c r="AW1976" s="176"/>
      <c r="AX1976" s="177"/>
      <c r="AY1976" s="178"/>
      <c r="AZ1976" s="159"/>
      <c r="BA1976" s="161"/>
      <c r="BB1976" s="160"/>
    </row>
    <row r="1977" spans="1:58" s="154" customFormat="1" ht="15" customHeight="1">
      <c r="A1977" s="153" t="s">
        <v>6939</v>
      </c>
      <c r="B1977" s="187" t="s">
        <v>7340</v>
      </c>
      <c r="C1977" s="154" t="s">
        <v>6941</v>
      </c>
      <c r="D1977" s="154">
        <v>105</v>
      </c>
      <c r="E1977" s="154">
        <v>2</v>
      </c>
      <c r="F1977" s="154" t="s">
        <v>7337</v>
      </c>
      <c r="G1977" s="154" t="s">
        <v>7341</v>
      </c>
      <c r="J1977" s="154" t="s">
        <v>29</v>
      </c>
      <c r="K1977" s="154" t="s">
        <v>2426</v>
      </c>
      <c r="O1977" s="173"/>
      <c r="P1977" s="174"/>
      <c r="Q1977" s="175">
        <v>2</v>
      </c>
      <c r="R1977" s="159">
        <v>5</v>
      </c>
      <c r="S1977" s="160"/>
      <c r="T1977" s="161">
        <v>4</v>
      </c>
      <c r="U1977" s="173"/>
      <c r="V1977" s="176">
        <v>1</v>
      </c>
      <c r="W1977" s="177"/>
      <c r="X1977" s="178"/>
      <c r="Y1977" s="159"/>
      <c r="Z1977" s="161"/>
      <c r="AA1977" s="160"/>
      <c r="AD1977" s="154" t="s">
        <v>852</v>
      </c>
      <c r="AF1977" s="154" t="s">
        <v>7342</v>
      </c>
      <c r="AQ1977" s="173"/>
      <c r="AR1977" s="174"/>
      <c r="AS1977" s="175"/>
      <c r="AT1977" s="159"/>
      <c r="AU1977" s="161"/>
      <c r="AV1977" s="173"/>
      <c r="AW1977" s="176"/>
      <c r="AX1977" s="177"/>
      <c r="AY1977" s="178"/>
      <c r="AZ1977" s="159"/>
      <c r="BA1977" s="161"/>
      <c r="BB1977" s="160"/>
    </row>
    <row r="1978" spans="1:58" s="154" customFormat="1" ht="15" customHeight="1">
      <c r="A1978" s="153" t="s">
        <v>6939</v>
      </c>
      <c r="B1978" s="187" t="s">
        <v>7343</v>
      </c>
      <c r="C1978" s="154" t="s">
        <v>6941</v>
      </c>
      <c r="D1978" s="154">
        <v>106</v>
      </c>
      <c r="E1978" s="154">
        <v>2</v>
      </c>
      <c r="F1978" s="154" t="s">
        <v>7344</v>
      </c>
      <c r="G1978" s="154" t="s">
        <v>7345</v>
      </c>
      <c r="J1978" s="154" t="s">
        <v>29</v>
      </c>
      <c r="K1978" s="154" t="s">
        <v>2426</v>
      </c>
      <c r="O1978" s="173"/>
      <c r="P1978" s="174"/>
      <c r="Q1978" s="175">
        <v>3</v>
      </c>
      <c r="R1978" s="159">
        <v>1</v>
      </c>
      <c r="S1978" s="160"/>
      <c r="T1978" s="161">
        <v>1</v>
      </c>
      <c r="U1978" s="173"/>
      <c r="V1978" s="176">
        <v>1</v>
      </c>
      <c r="W1978" s="177"/>
      <c r="X1978" s="178"/>
      <c r="Y1978" s="159"/>
      <c r="Z1978" s="161"/>
      <c r="AA1978" s="160"/>
      <c r="AD1978" s="154" t="s">
        <v>7346</v>
      </c>
      <c r="AF1978" s="154" t="s">
        <v>7347</v>
      </c>
      <c r="AQ1978" s="173"/>
      <c r="AR1978" s="174"/>
      <c r="AS1978" s="175"/>
      <c r="AT1978" s="159"/>
      <c r="AU1978" s="161"/>
      <c r="AV1978" s="173"/>
      <c r="AW1978" s="176"/>
      <c r="AX1978" s="177"/>
      <c r="AY1978" s="178"/>
      <c r="AZ1978" s="159"/>
      <c r="BA1978" s="161"/>
      <c r="BB1978" s="160"/>
    </row>
    <row r="1979" spans="1:58" s="154" customFormat="1" ht="15" customHeight="1">
      <c r="A1979" s="153" t="s">
        <v>6939</v>
      </c>
      <c r="B1979" s="187" t="s">
        <v>7348</v>
      </c>
      <c r="C1979" s="154" t="s">
        <v>6941</v>
      </c>
      <c r="D1979" s="154">
        <v>107</v>
      </c>
      <c r="E1979" s="154">
        <v>2</v>
      </c>
      <c r="F1979" s="154" t="s">
        <v>7344</v>
      </c>
      <c r="G1979" s="154" t="s">
        <v>7349</v>
      </c>
      <c r="J1979" s="154" t="s">
        <v>29</v>
      </c>
      <c r="K1979" s="154" t="s">
        <v>2426</v>
      </c>
      <c r="O1979" s="173"/>
      <c r="P1979" s="174"/>
      <c r="Q1979" s="175">
        <v>1</v>
      </c>
      <c r="R1979" s="159">
        <v>3</v>
      </c>
      <c r="S1979" s="160"/>
      <c r="T1979" s="161">
        <v>1</v>
      </c>
      <c r="U1979" s="173"/>
      <c r="V1979" s="176"/>
      <c r="W1979" s="177">
        <v>1</v>
      </c>
      <c r="X1979" s="178"/>
      <c r="Y1979" s="159"/>
      <c r="Z1979" s="161"/>
      <c r="AA1979" s="160"/>
      <c r="AD1979" s="154" t="s">
        <v>7346</v>
      </c>
      <c r="AF1979" s="154" t="s">
        <v>7350</v>
      </c>
      <c r="AQ1979" s="173"/>
      <c r="AR1979" s="174"/>
      <c r="AS1979" s="175"/>
      <c r="AT1979" s="159"/>
      <c r="AU1979" s="161"/>
      <c r="AV1979" s="173"/>
      <c r="AW1979" s="176"/>
      <c r="AX1979" s="177"/>
      <c r="AY1979" s="178"/>
      <c r="AZ1979" s="159"/>
      <c r="BA1979" s="161"/>
      <c r="BB1979" s="160"/>
    </row>
    <row r="1980" spans="1:58" s="154" customFormat="1" ht="15" customHeight="1">
      <c r="A1980" s="153" t="s">
        <v>6939</v>
      </c>
      <c r="B1980" s="190" t="s">
        <v>7351</v>
      </c>
      <c r="C1980" s="154" t="s">
        <v>6941</v>
      </c>
      <c r="D1980" s="154">
        <v>108</v>
      </c>
      <c r="E1980" s="154">
        <v>1</v>
      </c>
      <c r="F1980" s="154" t="s">
        <v>7344</v>
      </c>
      <c r="G1980" s="154" t="s">
        <v>7352</v>
      </c>
      <c r="J1980" s="154" t="s">
        <v>29</v>
      </c>
      <c r="K1980" s="154" t="s">
        <v>2426</v>
      </c>
      <c r="O1980" s="173"/>
      <c r="P1980" s="174"/>
      <c r="Q1980" s="175">
        <v>2</v>
      </c>
      <c r="R1980" s="159">
        <v>2</v>
      </c>
      <c r="S1980" s="160"/>
      <c r="T1980" s="161">
        <v>1</v>
      </c>
      <c r="U1980" s="173"/>
      <c r="V1980" s="176">
        <v>1</v>
      </c>
      <c r="W1980" s="177">
        <v>1</v>
      </c>
      <c r="X1980" s="178"/>
      <c r="Y1980" s="159"/>
      <c r="Z1980" s="161"/>
      <c r="AA1980" s="160"/>
      <c r="AD1980" s="154" t="s">
        <v>7346</v>
      </c>
      <c r="AF1980" s="154" t="s">
        <v>7353</v>
      </c>
      <c r="AQ1980" s="173"/>
      <c r="AR1980" s="174"/>
      <c r="AS1980" s="175"/>
      <c r="AT1980" s="159"/>
      <c r="AU1980" s="161"/>
      <c r="AV1980" s="173"/>
      <c r="AW1980" s="176"/>
      <c r="AX1980" s="177"/>
      <c r="AY1980" s="178"/>
      <c r="AZ1980" s="159"/>
      <c r="BA1980" s="161"/>
      <c r="BB1980" s="160"/>
    </row>
    <row r="1981" spans="1:58" s="154" customFormat="1" ht="15" customHeight="1">
      <c r="A1981" s="153" t="s">
        <v>6939</v>
      </c>
      <c r="B1981" s="187" t="s">
        <v>7354</v>
      </c>
      <c r="C1981" s="154" t="s">
        <v>6941</v>
      </c>
      <c r="D1981" s="154">
        <v>109</v>
      </c>
      <c r="E1981" s="154">
        <v>1</v>
      </c>
      <c r="F1981" s="154" t="s">
        <v>7344</v>
      </c>
      <c r="G1981" s="154" t="s">
        <v>7355</v>
      </c>
      <c r="J1981" s="154" t="s">
        <v>28</v>
      </c>
      <c r="K1981" s="154" t="s">
        <v>2426</v>
      </c>
      <c r="O1981" s="173"/>
      <c r="P1981" s="174"/>
      <c r="Q1981" s="175"/>
      <c r="R1981" s="159"/>
      <c r="S1981" s="160"/>
      <c r="T1981" s="161"/>
      <c r="U1981" s="173"/>
      <c r="V1981" s="176"/>
      <c r="W1981" s="177"/>
      <c r="X1981" s="178"/>
      <c r="Y1981" s="159"/>
      <c r="Z1981" s="161"/>
      <c r="AA1981" s="160"/>
      <c r="AD1981" s="154" t="s">
        <v>479</v>
      </c>
      <c r="AF1981" s="154" t="s">
        <v>7356</v>
      </c>
      <c r="AQ1981" s="173"/>
      <c r="AR1981" s="174"/>
      <c r="AS1981" s="175"/>
      <c r="AT1981" s="159"/>
      <c r="AU1981" s="161"/>
      <c r="AV1981" s="173"/>
      <c r="AW1981" s="176"/>
      <c r="AX1981" s="177"/>
      <c r="AY1981" s="178"/>
      <c r="AZ1981" s="159"/>
      <c r="BA1981" s="161"/>
      <c r="BB1981" s="160"/>
    </row>
    <row r="1982" spans="1:58" ht="15" customHeight="1">
      <c r="A1982" s="153" t="s">
        <v>6939</v>
      </c>
      <c r="B1982" s="187" t="s">
        <v>7357</v>
      </c>
      <c r="C1982" s="154" t="s">
        <v>6941</v>
      </c>
      <c r="D1982" s="23">
        <v>995</v>
      </c>
      <c r="E1982" s="23">
        <v>1</v>
      </c>
      <c r="G1982" s="154" t="s">
        <v>6942</v>
      </c>
      <c r="J1982" s="23" t="s">
        <v>861</v>
      </c>
      <c r="K1982" s="23" t="s">
        <v>198</v>
      </c>
      <c r="N1982" s="191"/>
      <c r="O1982" s="129"/>
      <c r="P1982" s="130"/>
      <c r="Q1982" s="131"/>
      <c r="R1982" s="29"/>
      <c r="S1982" s="135"/>
      <c r="T1982" s="122"/>
      <c r="U1982" s="129"/>
      <c r="V1982" s="136"/>
      <c r="W1982" s="137"/>
      <c r="X1982" s="134"/>
      <c r="Y1982" s="29"/>
      <c r="Z1982" s="122"/>
      <c r="AA1982" s="135"/>
      <c r="AB1982" s="148"/>
      <c r="AE1982" s="23"/>
      <c r="AI1982" s="154" t="s">
        <v>6942</v>
      </c>
      <c r="AL1982" s="23" t="s">
        <v>861</v>
      </c>
      <c r="AM1982" s="23" t="s">
        <v>198</v>
      </c>
      <c r="AP1982" s="23"/>
      <c r="AQ1982" s="129"/>
      <c r="AR1982" s="130"/>
      <c r="AS1982" s="131"/>
      <c r="AT1982" s="29"/>
      <c r="AU1982" s="122"/>
      <c r="AV1982" s="129"/>
      <c r="AW1982" s="136"/>
      <c r="AX1982" s="137"/>
      <c r="AY1982" s="134"/>
      <c r="AZ1982" s="29"/>
      <c r="BA1982" s="122"/>
      <c r="BB1982" s="135"/>
      <c r="BF1982" s="23"/>
    </row>
    <row r="1983" spans="1:58" ht="15" customHeight="1">
      <c r="A1983" s="153" t="s">
        <v>6939</v>
      </c>
      <c r="B1983" s="187" t="s">
        <v>7358</v>
      </c>
      <c r="C1983" s="154" t="s">
        <v>6941</v>
      </c>
      <c r="D1983" s="23">
        <v>996</v>
      </c>
      <c r="E1983" s="23">
        <v>1</v>
      </c>
      <c r="G1983" s="154" t="s">
        <v>6948</v>
      </c>
      <c r="J1983" s="23" t="s">
        <v>861</v>
      </c>
      <c r="K1983" s="23" t="s">
        <v>199</v>
      </c>
      <c r="N1983" s="191"/>
      <c r="O1983" s="129"/>
      <c r="P1983" s="130"/>
      <c r="Q1983" s="131"/>
      <c r="R1983" s="29"/>
      <c r="S1983" s="135"/>
      <c r="T1983" s="122"/>
      <c r="U1983" s="129"/>
      <c r="V1983" s="136"/>
      <c r="W1983" s="137"/>
      <c r="X1983" s="134"/>
      <c r="Y1983" s="29"/>
      <c r="Z1983" s="122"/>
      <c r="AA1983" s="135"/>
      <c r="AB1983" s="148"/>
      <c r="AE1983" s="23"/>
      <c r="AI1983" s="154" t="s">
        <v>6948</v>
      </c>
      <c r="AL1983" s="23" t="s">
        <v>861</v>
      </c>
      <c r="AM1983" s="23" t="s">
        <v>199</v>
      </c>
      <c r="AP1983" s="23"/>
      <c r="AQ1983" s="129"/>
      <c r="AR1983" s="130"/>
      <c r="AS1983" s="131"/>
      <c r="AT1983" s="29"/>
      <c r="AU1983" s="122"/>
      <c r="AV1983" s="129"/>
      <c r="AW1983" s="136"/>
      <c r="AX1983" s="137"/>
      <c r="AY1983" s="134"/>
      <c r="AZ1983" s="29"/>
      <c r="BA1983" s="122"/>
      <c r="BB1983" s="135"/>
      <c r="BF1983" s="23"/>
    </row>
    <row r="1984" spans="1:58" ht="15" customHeight="1">
      <c r="A1984" s="153" t="s">
        <v>6939</v>
      </c>
      <c r="B1984" s="187" t="s">
        <v>7359</v>
      </c>
      <c r="C1984" s="154" t="s">
        <v>6941</v>
      </c>
      <c r="D1984" s="23">
        <v>997</v>
      </c>
      <c r="E1984" s="23">
        <v>1</v>
      </c>
      <c r="G1984" s="154" t="s">
        <v>6954</v>
      </c>
      <c r="J1984" s="23" t="s">
        <v>861</v>
      </c>
      <c r="K1984" s="23" t="s">
        <v>201</v>
      </c>
      <c r="N1984" s="191"/>
      <c r="O1984" s="129"/>
      <c r="P1984" s="130"/>
      <c r="Q1984" s="131"/>
      <c r="R1984" s="29"/>
      <c r="S1984" s="135"/>
      <c r="T1984" s="122"/>
      <c r="U1984" s="129"/>
      <c r="V1984" s="136"/>
      <c r="W1984" s="137"/>
      <c r="X1984" s="134"/>
      <c r="Y1984" s="29"/>
      <c r="Z1984" s="122"/>
      <c r="AA1984" s="135"/>
      <c r="AB1984" s="148"/>
      <c r="AE1984" s="23"/>
      <c r="AI1984" s="154" t="s">
        <v>6954</v>
      </c>
      <c r="AL1984" s="23" t="s">
        <v>861</v>
      </c>
      <c r="AM1984" s="23" t="s">
        <v>201</v>
      </c>
      <c r="AP1984" s="23"/>
      <c r="AQ1984" s="129"/>
      <c r="AR1984" s="130"/>
      <c r="AS1984" s="131"/>
      <c r="AT1984" s="29"/>
      <c r="AU1984" s="122"/>
      <c r="AV1984" s="129"/>
      <c r="AW1984" s="136"/>
      <c r="AX1984" s="137"/>
      <c r="AY1984" s="134"/>
      <c r="AZ1984" s="29"/>
      <c r="BA1984" s="122"/>
      <c r="BB1984" s="135"/>
      <c r="BF1984" s="23"/>
    </row>
    <row r="1985" spans="1:59" ht="15" customHeight="1">
      <c r="A1985" s="153" t="s">
        <v>6939</v>
      </c>
      <c r="B1985" s="187" t="s">
        <v>7360</v>
      </c>
      <c r="C1985" s="154" t="s">
        <v>6941</v>
      </c>
      <c r="D1985" s="23">
        <v>998</v>
      </c>
      <c r="E1985" s="23">
        <v>1</v>
      </c>
      <c r="G1985" s="154" t="s">
        <v>6960</v>
      </c>
      <c r="J1985" s="23" t="s">
        <v>861</v>
      </c>
      <c r="K1985" s="23" t="s">
        <v>200</v>
      </c>
      <c r="N1985" s="191"/>
      <c r="O1985" s="129"/>
      <c r="P1985" s="130"/>
      <c r="Q1985" s="131"/>
      <c r="R1985" s="29"/>
      <c r="S1985" s="135"/>
      <c r="T1985" s="122"/>
      <c r="U1985" s="129"/>
      <c r="V1985" s="136"/>
      <c r="W1985" s="137"/>
      <c r="X1985" s="134"/>
      <c r="Y1985" s="29"/>
      <c r="Z1985" s="122"/>
      <c r="AA1985" s="135"/>
      <c r="AB1985" s="148"/>
      <c r="AE1985" s="23"/>
      <c r="AI1985" s="154" t="s">
        <v>6960</v>
      </c>
      <c r="AL1985" s="23" t="s">
        <v>861</v>
      </c>
      <c r="AM1985" s="23" t="s">
        <v>200</v>
      </c>
      <c r="AP1985" s="23"/>
      <c r="AQ1985" s="129"/>
      <c r="AR1985" s="130"/>
      <c r="AS1985" s="131"/>
      <c r="AT1985" s="29"/>
      <c r="AU1985" s="122"/>
      <c r="AV1985" s="129"/>
      <c r="AW1985" s="136"/>
      <c r="AX1985" s="137"/>
      <c r="AY1985" s="134"/>
      <c r="AZ1985" s="29"/>
      <c r="BA1985" s="122"/>
      <c r="BB1985" s="135"/>
      <c r="BF1985" s="23"/>
    </row>
    <row r="1986" spans="1:59" ht="15" customHeight="1">
      <c r="A1986" s="153" t="s">
        <v>6939</v>
      </c>
      <c r="B1986" s="187" t="s">
        <v>7361</v>
      </c>
      <c r="C1986" s="154" t="s">
        <v>6941</v>
      </c>
      <c r="D1986" s="23">
        <v>999</v>
      </c>
      <c r="E1986" s="23">
        <v>1</v>
      </c>
      <c r="G1986" s="154" t="s">
        <v>6966</v>
      </c>
      <c r="J1986" s="23" t="s">
        <v>861</v>
      </c>
      <c r="K1986" s="23" t="s">
        <v>202</v>
      </c>
      <c r="N1986" s="191"/>
      <c r="O1986" s="129"/>
      <c r="P1986" s="130"/>
      <c r="Q1986" s="131"/>
      <c r="R1986" s="29"/>
      <c r="S1986" s="135"/>
      <c r="T1986" s="122"/>
      <c r="U1986" s="129"/>
      <c r="V1986" s="136"/>
      <c r="W1986" s="137"/>
      <c r="X1986" s="134"/>
      <c r="Y1986" s="29"/>
      <c r="Z1986" s="122"/>
      <c r="AA1986" s="135"/>
      <c r="AB1986" s="148"/>
      <c r="AE1986" s="23"/>
      <c r="AI1986" s="154" t="s">
        <v>6966</v>
      </c>
      <c r="AL1986" s="23" t="s">
        <v>861</v>
      </c>
      <c r="AM1986" s="23" t="s">
        <v>202</v>
      </c>
      <c r="AP1986" s="23"/>
      <c r="AQ1986" s="129"/>
      <c r="AR1986" s="130"/>
      <c r="AS1986" s="131"/>
      <c r="AT1986" s="29"/>
      <c r="AU1986" s="122"/>
      <c r="AV1986" s="129"/>
      <c r="AW1986" s="136"/>
      <c r="AX1986" s="137"/>
      <c r="AY1986" s="134"/>
      <c r="AZ1986" s="29"/>
      <c r="BA1986" s="122"/>
      <c r="BB1986" s="135"/>
      <c r="BF1986" s="23"/>
    </row>
    <row r="1987" spans="1:59" s="154" customFormat="1" ht="15" customHeight="1">
      <c r="A1987" s="153" t="s">
        <v>7362</v>
      </c>
      <c r="B1987" s="187" t="s">
        <v>7363</v>
      </c>
      <c r="C1987" s="154" t="s">
        <v>7364</v>
      </c>
      <c r="D1987" s="154">
        <v>1</v>
      </c>
      <c r="E1987" s="154">
        <v>1</v>
      </c>
      <c r="F1987" s="154" t="s">
        <v>7365</v>
      </c>
      <c r="G1987" s="154" t="s">
        <v>7365</v>
      </c>
      <c r="J1987" s="154" t="s">
        <v>618</v>
      </c>
      <c r="K1987" s="154" t="s">
        <v>2426</v>
      </c>
      <c r="O1987" s="173"/>
      <c r="P1987" s="174"/>
      <c r="Q1987" s="175"/>
      <c r="R1987" s="159"/>
      <c r="S1987" s="160"/>
      <c r="T1987" s="161"/>
      <c r="U1987" s="173"/>
      <c r="V1987" s="176"/>
      <c r="W1987" s="177"/>
      <c r="X1987" s="178"/>
      <c r="Y1987" s="159"/>
      <c r="Z1987" s="161"/>
      <c r="AA1987" s="160"/>
      <c r="AF1987" s="154" t="s">
        <v>7366</v>
      </c>
      <c r="AI1987" s="154" t="s">
        <v>7365</v>
      </c>
      <c r="AL1987" s="154" t="s">
        <v>618</v>
      </c>
      <c r="AM1987" s="154" t="s">
        <v>2426</v>
      </c>
      <c r="AQ1987" s="173"/>
      <c r="AR1987" s="174"/>
      <c r="AS1987" s="175"/>
      <c r="AT1987" s="159"/>
      <c r="AU1987" s="161"/>
      <c r="AV1987" s="173"/>
      <c r="AW1987" s="176"/>
      <c r="AX1987" s="177"/>
      <c r="AY1987" s="178"/>
      <c r="AZ1987" s="159"/>
      <c r="BA1987" s="161"/>
      <c r="BB1987" s="160"/>
      <c r="BG1987" s="154" t="s">
        <v>7367</v>
      </c>
    </row>
    <row r="1988" spans="1:59" s="154" customFormat="1" ht="15" customHeight="1">
      <c r="A1988" s="153" t="s">
        <v>7362</v>
      </c>
      <c r="B1988" s="187" t="s">
        <v>7368</v>
      </c>
      <c r="C1988" s="154" t="s">
        <v>7364</v>
      </c>
      <c r="D1988" s="154">
        <v>2</v>
      </c>
      <c r="E1988" s="154">
        <v>1</v>
      </c>
      <c r="F1988" s="154" t="s">
        <v>7365</v>
      </c>
      <c r="G1988" s="154" t="s">
        <v>7369</v>
      </c>
      <c r="J1988" s="154" t="s">
        <v>619</v>
      </c>
      <c r="K1988" s="154" t="s">
        <v>2426</v>
      </c>
      <c r="L1988" s="154">
        <v>1</v>
      </c>
      <c r="O1988" s="173"/>
      <c r="P1988" s="174"/>
      <c r="Q1988" s="175"/>
      <c r="R1988" s="159"/>
      <c r="S1988" s="160"/>
      <c r="T1988" s="161"/>
      <c r="U1988" s="173"/>
      <c r="V1988" s="176"/>
      <c r="W1988" s="177"/>
      <c r="X1988" s="178"/>
      <c r="Y1988" s="159"/>
      <c r="Z1988" s="161">
        <v>7</v>
      </c>
      <c r="AA1988" s="160"/>
      <c r="AF1988" s="154" t="s">
        <v>7370</v>
      </c>
      <c r="AI1988" s="154" t="s">
        <v>7371</v>
      </c>
      <c r="AL1988" s="154" t="s">
        <v>619</v>
      </c>
      <c r="AM1988" s="154" t="s">
        <v>2426</v>
      </c>
      <c r="AN1988" s="154">
        <v>1</v>
      </c>
      <c r="AQ1988" s="173"/>
      <c r="AR1988" s="174"/>
      <c r="AS1988" s="175"/>
      <c r="AT1988" s="159"/>
      <c r="AU1988" s="161"/>
      <c r="AV1988" s="173"/>
      <c r="AW1988" s="176"/>
      <c r="AX1988" s="177"/>
      <c r="AY1988" s="178"/>
      <c r="AZ1988" s="159"/>
      <c r="BA1988" s="161"/>
      <c r="BB1988" s="160"/>
      <c r="BG1988" s="154" t="s">
        <v>7372</v>
      </c>
    </row>
    <row r="1989" spans="1:59" s="154" customFormat="1" ht="15" customHeight="1">
      <c r="A1989" s="153" t="s">
        <v>7362</v>
      </c>
      <c r="B1989" s="188" t="s">
        <v>7373</v>
      </c>
      <c r="C1989" s="154" t="s">
        <v>7364</v>
      </c>
      <c r="D1989" s="154">
        <v>3</v>
      </c>
      <c r="E1989" s="154">
        <v>1</v>
      </c>
      <c r="F1989" s="154" t="s">
        <v>7365</v>
      </c>
      <c r="G1989" s="154" t="s">
        <v>7374</v>
      </c>
      <c r="J1989" s="154" t="s">
        <v>619</v>
      </c>
      <c r="K1989" s="154" t="s">
        <v>2426</v>
      </c>
      <c r="L1989" s="154">
        <v>2</v>
      </c>
      <c r="O1989" s="173"/>
      <c r="P1989" s="174"/>
      <c r="Q1989" s="175"/>
      <c r="R1989" s="159"/>
      <c r="S1989" s="160"/>
      <c r="T1989" s="161"/>
      <c r="U1989" s="173"/>
      <c r="V1989" s="176"/>
      <c r="W1989" s="177"/>
      <c r="X1989" s="178"/>
      <c r="Y1989" s="159"/>
      <c r="Z1989" s="161">
        <v>6</v>
      </c>
      <c r="AA1989" s="160"/>
      <c r="AF1989" s="154" t="s">
        <v>7375</v>
      </c>
      <c r="AI1989" s="154" t="s">
        <v>7376</v>
      </c>
      <c r="AL1989" s="154" t="s">
        <v>619</v>
      </c>
      <c r="AM1989" s="154" t="s">
        <v>2426</v>
      </c>
      <c r="AN1989" s="154">
        <v>2</v>
      </c>
      <c r="AQ1989" s="173"/>
      <c r="AR1989" s="174"/>
      <c r="AS1989" s="175"/>
      <c r="AT1989" s="159"/>
      <c r="AU1989" s="161"/>
      <c r="AV1989" s="173"/>
      <c r="AW1989" s="176"/>
      <c r="AX1989" s="177"/>
      <c r="AY1989" s="178"/>
      <c r="AZ1989" s="159"/>
      <c r="BA1989" s="161"/>
      <c r="BB1989" s="160"/>
      <c r="BG1989" s="154" t="s">
        <v>7377</v>
      </c>
    </row>
    <row r="1990" spans="1:59" s="154" customFormat="1" ht="15" customHeight="1">
      <c r="A1990" s="153" t="s">
        <v>7362</v>
      </c>
      <c r="B1990" s="188" t="s">
        <v>7378</v>
      </c>
      <c r="C1990" s="154" t="s">
        <v>7364</v>
      </c>
      <c r="D1990" s="154">
        <v>4</v>
      </c>
      <c r="E1990" s="154">
        <v>1</v>
      </c>
      <c r="F1990" s="154" t="s">
        <v>7365</v>
      </c>
      <c r="G1990" s="154" t="s">
        <v>7379</v>
      </c>
      <c r="J1990" s="154" t="s">
        <v>619</v>
      </c>
      <c r="K1990" s="154" t="s">
        <v>2426</v>
      </c>
      <c r="L1990" s="154">
        <v>3</v>
      </c>
      <c r="O1990" s="173"/>
      <c r="P1990" s="174"/>
      <c r="Q1990" s="175"/>
      <c r="R1990" s="159"/>
      <c r="S1990" s="160"/>
      <c r="T1990" s="161"/>
      <c r="U1990" s="173"/>
      <c r="V1990" s="176"/>
      <c r="W1990" s="177"/>
      <c r="X1990" s="178"/>
      <c r="Y1990" s="159"/>
      <c r="Z1990" s="161">
        <v>5</v>
      </c>
      <c r="AA1990" s="160"/>
      <c r="AF1990" s="154" t="s">
        <v>7380</v>
      </c>
      <c r="AI1990" s="154" t="s">
        <v>7365</v>
      </c>
      <c r="AL1990" s="154" t="s">
        <v>619</v>
      </c>
      <c r="AM1990" s="154" t="s">
        <v>2426</v>
      </c>
      <c r="AN1990" s="154">
        <v>3</v>
      </c>
      <c r="AQ1990" s="173"/>
      <c r="AR1990" s="174"/>
      <c r="AS1990" s="175"/>
      <c r="AT1990" s="159"/>
      <c r="AU1990" s="161"/>
      <c r="AV1990" s="173"/>
      <c r="AW1990" s="176"/>
      <c r="AX1990" s="177"/>
      <c r="AY1990" s="178"/>
      <c r="AZ1990" s="159"/>
      <c r="BA1990" s="161"/>
      <c r="BB1990" s="160"/>
      <c r="BG1990" s="154" t="s">
        <v>7381</v>
      </c>
    </row>
    <row r="1991" spans="1:59" s="154" customFormat="1" ht="15" customHeight="1">
      <c r="A1991" s="153" t="s">
        <v>7362</v>
      </c>
      <c r="B1991" s="188" t="s">
        <v>7382</v>
      </c>
      <c r="C1991" s="154" t="s">
        <v>7364</v>
      </c>
      <c r="D1991" s="154">
        <v>5</v>
      </c>
      <c r="E1991" s="154">
        <v>1</v>
      </c>
      <c r="F1991" s="154" t="s">
        <v>7365</v>
      </c>
      <c r="G1991" s="154" t="s">
        <v>7383</v>
      </c>
      <c r="J1991" s="154" t="s">
        <v>621</v>
      </c>
      <c r="K1991" s="154" t="s">
        <v>2426</v>
      </c>
      <c r="L1991" s="154">
        <v>1</v>
      </c>
      <c r="O1991" s="173"/>
      <c r="P1991" s="174"/>
      <c r="Q1991" s="175"/>
      <c r="R1991" s="159"/>
      <c r="S1991" s="160"/>
      <c r="T1991" s="161"/>
      <c r="U1991" s="173"/>
      <c r="V1991" s="176"/>
      <c r="W1991" s="177"/>
      <c r="X1991" s="178"/>
      <c r="Y1991" s="159" t="s">
        <v>38</v>
      </c>
      <c r="Z1991" s="161"/>
      <c r="AA1991" s="160"/>
      <c r="AF1991" s="154" t="s">
        <v>7384</v>
      </c>
      <c r="AI1991" s="154" t="s">
        <v>7385</v>
      </c>
      <c r="AL1991" s="154" t="s">
        <v>621</v>
      </c>
      <c r="AM1991" s="154" t="s">
        <v>2426</v>
      </c>
      <c r="AN1991" s="154">
        <v>1</v>
      </c>
      <c r="AQ1991" s="173"/>
      <c r="AR1991" s="174"/>
      <c r="AS1991" s="175"/>
      <c r="AT1991" s="159"/>
      <c r="AU1991" s="161"/>
      <c r="AV1991" s="173"/>
      <c r="AW1991" s="176"/>
      <c r="AX1991" s="177"/>
      <c r="AY1991" s="178"/>
      <c r="AZ1991" s="159"/>
      <c r="BA1991" s="161"/>
      <c r="BB1991" s="160"/>
      <c r="BG1991" s="154" t="s">
        <v>7386</v>
      </c>
    </row>
    <row r="1992" spans="1:59" s="154" customFormat="1" ht="15" customHeight="1">
      <c r="A1992" s="153" t="s">
        <v>7362</v>
      </c>
      <c r="B1992" s="189" t="s">
        <v>7387</v>
      </c>
      <c r="C1992" s="154" t="s">
        <v>7364</v>
      </c>
      <c r="D1992" s="154">
        <v>6</v>
      </c>
      <c r="E1992" s="154">
        <v>1</v>
      </c>
      <c r="F1992" s="154" t="s">
        <v>7365</v>
      </c>
      <c r="G1992" s="154" t="s">
        <v>7388</v>
      </c>
      <c r="J1992" s="154" t="s">
        <v>621</v>
      </c>
      <c r="K1992" s="154" t="s">
        <v>2426</v>
      </c>
      <c r="L1992" s="154">
        <v>2</v>
      </c>
      <c r="O1992" s="173"/>
      <c r="P1992" s="174"/>
      <c r="Q1992" s="175"/>
      <c r="R1992" s="159"/>
      <c r="S1992" s="160"/>
      <c r="T1992" s="161"/>
      <c r="U1992" s="173"/>
      <c r="V1992" s="176"/>
      <c r="W1992" s="177"/>
      <c r="X1992" s="178"/>
      <c r="Y1992" s="159" t="s">
        <v>1112</v>
      </c>
      <c r="Z1992" s="161"/>
      <c r="AA1992" s="160"/>
      <c r="AF1992" s="154" t="s">
        <v>7389</v>
      </c>
      <c r="AI1992" s="154" t="s">
        <v>7390</v>
      </c>
      <c r="AL1992" s="154" t="s">
        <v>621</v>
      </c>
      <c r="AM1992" s="154" t="s">
        <v>2426</v>
      </c>
      <c r="AN1992" s="154">
        <v>2</v>
      </c>
      <c r="AQ1992" s="173"/>
      <c r="AR1992" s="174"/>
      <c r="AS1992" s="175"/>
      <c r="AT1992" s="159"/>
      <c r="AU1992" s="161"/>
      <c r="AV1992" s="173"/>
      <c r="AW1992" s="176"/>
      <c r="AX1992" s="177"/>
      <c r="AY1992" s="178"/>
      <c r="AZ1992" s="159"/>
      <c r="BA1992" s="161"/>
      <c r="BB1992" s="160"/>
      <c r="BG1992" s="154" t="s">
        <v>7391</v>
      </c>
    </row>
    <row r="1993" spans="1:59" s="154" customFormat="1" ht="15" customHeight="1">
      <c r="A1993" s="153" t="s">
        <v>7362</v>
      </c>
      <c r="B1993" s="189" t="s">
        <v>7392</v>
      </c>
      <c r="C1993" s="154" t="s">
        <v>7364</v>
      </c>
      <c r="D1993" s="154">
        <v>7</v>
      </c>
      <c r="E1993" s="154">
        <v>1</v>
      </c>
      <c r="F1993" s="154" t="s">
        <v>7365</v>
      </c>
      <c r="G1993" s="154" t="s">
        <v>7393</v>
      </c>
      <c r="J1993" s="154" t="s">
        <v>621</v>
      </c>
      <c r="K1993" s="154" t="s">
        <v>2426</v>
      </c>
      <c r="L1993" s="154">
        <v>3</v>
      </c>
      <c r="O1993" s="173"/>
      <c r="P1993" s="174"/>
      <c r="Q1993" s="175"/>
      <c r="R1993" s="159"/>
      <c r="S1993" s="160"/>
      <c r="T1993" s="161"/>
      <c r="U1993" s="173"/>
      <c r="V1993" s="176"/>
      <c r="W1993" s="177"/>
      <c r="X1993" s="178"/>
      <c r="Y1993" s="159" t="s">
        <v>38</v>
      </c>
      <c r="Z1993" s="161"/>
      <c r="AA1993" s="160"/>
      <c r="AF1993" s="154" t="s">
        <v>7394</v>
      </c>
      <c r="AI1993" s="154" t="s">
        <v>7395</v>
      </c>
      <c r="AL1993" s="154" t="s">
        <v>621</v>
      </c>
      <c r="AM1993" s="154" t="s">
        <v>2426</v>
      </c>
      <c r="AN1993" s="154">
        <v>3</v>
      </c>
      <c r="AQ1993" s="173"/>
      <c r="AR1993" s="174"/>
      <c r="AS1993" s="175"/>
      <c r="AT1993" s="159"/>
      <c r="AU1993" s="161"/>
      <c r="AV1993" s="173"/>
      <c r="AW1993" s="176"/>
      <c r="AX1993" s="177"/>
      <c r="AY1993" s="178"/>
      <c r="AZ1993" s="159"/>
      <c r="BA1993" s="161"/>
      <c r="BB1993" s="160"/>
      <c r="BG1993" s="154" t="s">
        <v>7396</v>
      </c>
    </row>
    <row r="1994" spans="1:59" s="154" customFormat="1" ht="15" customHeight="1">
      <c r="A1994" s="153" t="s">
        <v>7362</v>
      </c>
      <c r="B1994" s="188" t="s">
        <v>7397</v>
      </c>
      <c r="C1994" s="154" t="s">
        <v>7364</v>
      </c>
      <c r="D1994" s="154">
        <v>8</v>
      </c>
      <c r="E1994" s="154">
        <v>1</v>
      </c>
      <c r="F1994" s="154" t="s">
        <v>7365</v>
      </c>
      <c r="G1994" s="154" t="s">
        <v>7398</v>
      </c>
      <c r="J1994" s="154" t="s">
        <v>31</v>
      </c>
      <c r="K1994" s="154" t="s">
        <v>2426</v>
      </c>
      <c r="O1994" s="173"/>
      <c r="P1994" s="174"/>
      <c r="Q1994" s="175"/>
      <c r="R1994" s="159"/>
      <c r="S1994" s="160"/>
      <c r="T1994" s="161"/>
      <c r="U1994" s="173"/>
      <c r="V1994" s="176"/>
      <c r="W1994" s="177"/>
      <c r="X1994" s="178"/>
      <c r="Y1994" s="159"/>
      <c r="Z1994" s="161"/>
      <c r="AA1994" s="160"/>
      <c r="AD1994" s="154" t="s">
        <v>7399</v>
      </c>
      <c r="AI1994" s="154" t="s">
        <v>7398</v>
      </c>
      <c r="AL1994" s="154" t="s">
        <v>31</v>
      </c>
      <c r="AM1994" s="154" t="s">
        <v>2426</v>
      </c>
      <c r="AQ1994" s="173"/>
      <c r="AR1994" s="174"/>
      <c r="AS1994" s="175"/>
      <c r="AT1994" s="159"/>
      <c r="AU1994" s="161"/>
      <c r="AV1994" s="173"/>
      <c r="AW1994" s="176"/>
      <c r="AX1994" s="177"/>
      <c r="AY1994" s="178">
        <v>3</v>
      </c>
      <c r="AZ1994" s="159" t="s">
        <v>1111</v>
      </c>
      <c r="BA1994" s="161"/>
      <c r="BB1994" s="160"/>
      <c r="BE1994" s="154" t="s">
        <v>7399</v>
      </c>
      <c r="BG1994" s="154" t="s">
        <v>7400</v>
      </c>
    </row>
    <row r="1995" spans="1:59" s="154" customFormat="1" ht="15" customHeight="1">
      <c r="A1995" s="153" t="s">
        <v>7362</v>
      </c>
      <c r="B1995" s="188" t="s">
        <v>7401</v>
      </c>
      <c r="C1995" s="154" t="s">
        <v>7364</v>
      </c>
      <c r="D1995" s="154">
        <v>9</v>
      </c>
      <c r="E1995" s="154">
        <v>1</v>
      </c>
      <c r="F1995" s="154" t="s">
        <v>7365</v>
      </c>
      <c r="G1995" s="154" t="s">
        <v>7402</v>
      </c>
      <c r="J1995" s="154" t="s">
        <v>31</v>
      </c>
      <c r="K1995" s="154" t="s">
        <v>2426</v>
      </c>
      <c r="N1995" s="172"/>
      <c r="O1995" s="173"/>
      <c r="P1995" s="174"/>
      <c r="Q1995" s="175"/>
      <c r="R1995" s="159"/>
      <c r="S1995" s="160"/>
      <c r="T1995" s="161"/>
      <c r="U1995" s="173"/>
      <c r="V1995" s="176"/>
      <c r="W1995" s="177"/>
      <c r="X1995" s="178"/>
      <c r="Y1995" s="159"/>
      <c r="Z1995" s="161"/>
      <c r="AA1995" s="160"/>
      <c r="AD1995" s="154" t="s">
        <v>7399</v>
      </c>
      <c r="AI1995" s="154" t="s">
        <v>7402</v>
      </c>
      <c r="AL1995" s="154" t="s">
        <v>31</v>
      </c>
      <c r="AM1995" s="154" t="s">
        <v>2426</v>
      </c>
      <c r="AQ1995" s="173"/>
      <c r="AR1995" s="174"/>
      <c r="AS1995" s="175"/>
      <c r="AT1995" s="159"/>
      <c r="AU1995" s="161"/>
      <c r="AV1995" s="173"/>
      <c r="AW1995" s="176"/>
      <c r="AX1995" s="177"/>
      <c r="AY1995" s="178">
        <v>2</v>
      </c>
      <c r="AZ1995" s="159" t="s">
        <v>1073</v>
      </c>
      <c r="BA1995" s="161"/>
      <c r="BB1995" s="160"/>
      <c r="BE1995" s="154" t="s">
        <v>7399</v>
      </c>
      <c r="BG1995" s="154" t="s">
        <v>7403</v>
      </c>
    </row>
    <row r="1996" spans="1:59" s="154" customFormat="1" ht="15" customHeight="1">
      <c r="A1996" s="153" t="s">
        <v>7362</v>
      </c>
      <c r="B1996" s="188" t="s">
        <v>7404</v>
      </c>
      <c r="C1996" s="154" t="s">
        <v>7364</v>
      </c>
      <c r="D1996" s="154">
        <v>10</v>
      </c>
      <c r="E1996" s="154">
        <v>1</v>
      </c>
      <c r="F1996" s="154" t="s">
        <v>7365</v>
      </c>
      <c r="G1996" s="154" t="s">
        <v>7405</v>
      </c>
      <c r="J1996" s="154" t="s">
        <v>31</v>
      </c>
      <c r="K1996" s="154" t="s">
        <v>2426</v>
      </c>
      <c r="O1996" s="173"/>
      <c r="P1996" s="174"/>
      <c r="Q1996" s="175"/>
      <c r="R1996" s="159"/>
      <c r="S1996" s="160"/>
      <c r="T1996" s="161"/>
      <c r="U1996" s="173"/>
      <c r="V1996" s="176"/>
      <c r="W1996" s="177"/>
      <c r="X1996" s="178"/>
      <c r="Y1996" s="159"/>
      <c r="Z1996" s="161"/>
      <c r="AA1996" s="160"/>
      <c r="AD1996" s="154" t="s">
        <v>7399</v>
      </c>
      <c r="AI1996" s="154" t="s">
        <v>7405</v>
      </c>
      <c r="AL1996" s="154" t="s">
        <v>31</v>
      </c>
      <c r="AM1996" s="154" t="s">
        <v>2426</v>
      </c>
      <c r="AQ1996" s="173"/>
      <c r="AR1996" s="174"/>
      <c r="AS1996" s="175"/>
      <c r="AT1996" s="159"/>
      <c r="AU1996" s="161"/>
      <c r="AV1996" s="173"/>
      <c r="AW1996" s="176"/>
      <c r="AX1996" s="177"/>
      <c r="AY1996" s="178">
        <v>1</v>
      </c>
      <c r="AZ1996" s="159" t="s">
        <v>1073</v>
      </c>
      <c r="BA1996" s="161"/>
      <c r="BB1996" s="160"/>
      <c r="BE1996" s="154" t="s">
        <v>7399</v>
      </c>
      <c r="BG1996" s="154" t="s">
        <v>7406</v>
      </c>
    </row>
    <row r="1997" spans="1:59" s="154" customFormat="1" ht="15" customHeight="1">
      <c r="A1997" s="153" t="s">
        <v>7362</v>
      </c>
      <c r="B1997" s="188" t="s">
        <v>7407</v>
      </c>
      <c r="C1997" s="154" t="s">
        <v>7364</v>
      </c>
      <c r="D1997" s="154">
        <v>11</v>
      </c>
      <c r="E1997" s="154">
        <v>1</v>
      </c>
      <c r="F1997" s="154" t="s">
        <v>7365</v>
      </c>
      <c r="G1997" s="154" t="s">
        <v>7408</v>
      </c>
      <c r="J1997" s="154" t="s">
        <v>31</v>
      </c>
      <c r="K1997" s="154" t="s">
        <v>2426</v>
      </c>
      <c r="O1997" s="173"/>
      <c r="P1997" s="174"/>
      <c r="Q1997" s="175"/>
      <c r="R1997" s="159"/>
      <c r="S1997" s="160"/>
      <c r="T1997" s="161"/>
      <c r="U1997" s="173"/>
      <c r="V1997" s="176"/>
      <c r="W1997" s="177"/>
      <c r="X1997" s="178"/>
      <c r="Y1997" s="159"/>
      <c r="Z1997" s="161"/>
      <c r="AA1997" s="160"/>
      <c r="AD1997" s="154" t="s">
        <v>7399</v>
      </c>
      <c r="AI1997" s="154" t="s">
        <v>7408</v>
      </c>
      <c r="AL1997" s="154" t="s">
        <v>31</v>
      </c>
      <c r="AM1997" s="154" t="s">
        <v>2426</v>
      </c>
      <c r="AQ1997" s="173"/>
      <c r="AR1997" s="174"/>
      <c r="AS1997" s="175"/>
      <c r="AT1997" s="159"/>
      <c r="AU1997" s="161"/>
      <c r="AV1997" s="173"/>
      <c r="AW1997" s="176"/>
      <c r="AX1997" s="177"/>
      <c r="AY1997" s="178">
        <v>4</v>
      </c>
      <c r="AZ1997" s="159" t="s">
        <v>1073</v>
      </c>
      <c r="BA1997" s="161"/>
      <c r="BB1997" s="160"/>
      <c r="BE1997" s="154" t="s">
        <v>7399</v>
      </c>
      <c r="BG1997" s="154" t="s">
        <v>7409</v>
      </c>
    </row>
    <row r="1998" spans="1:59" s="154" customFormat="1" ht="15" customHeight="1">
      <c r="A1998" s="153" t="s">
        <v>7362</v>
      </c>
      <c r="B1998" s="188" t="s">
        <v>7410</v>
      </c>
      <c r="C1998" s="154" t="s">
        <v>7364</v>
      </c>
      <c r="D1998" s="154">
        <v>12</v>
      </c>
      <c r="E1998" s="154">
        <v>1</v>
      </c>
      <c r="F1998" s="154" t="s">
        <v>7365</v>
      </c>
      <c r="G1998" s="154" t="s">
        <v>7411</v>
      </c>
      <c r="J1998" s="154" t="s">
        <v>31</v>
      </c>
      <c r="K1998" s="154" t="s">
        <v>2426</v>
      </c>
      <c r="O1998" s="173"/>
      <c r="P1998" s="174"/>
      <c r="Q1998" s="175"/>
      <c r="R1998" s="159"/>
      <c r="S1998" s="160"/>
      <c r="T1998" s="161"/>
      <c r="U1998" s="173"/>
      <c r="V1998" s="176"/>
      <c r="W1998" s="177"/>
      <c r="X1998" s="178"/>
      <c r="Y1998" s="159"/>
      <c r="Z1998" s="161"/>
      <c r="AA1998" s="160"/>
      <c r="AD1998" s="154" t="s">
        <v>7399</v>
      </c>
      <c r="AI1998" s="154" t="s">
        <v>7411</v>
      </c>
      <c r="AL1998" s="154" t="s">
        <v>31</v>
      </c>
      <c r="AM1998" s="154" t="s">
        <v>2426</v>
      </c>
      <c r="AQ1998" s="173"/>
      <c r="AR1998" s="174"/>
      <c r="AS1998" s="175"/>
      <c r="AT1998" s="159"/>
      <c r="AU1998" s="161"/>
      <c r="AV1998" s="173"/>
      <c r="AW1998" s="176"/>
      <c r="AX1998" s="177"/>
      <c r="AY1998" s="178">
        <v>3</v>
      </c>
      <c r="AZ1998" s="159" t="s">
        <v>1073</v>
      </c>
      <c r="BA1998" s="161"/>
      <c r="BB1998" s="160"/>
      <c r="BE1998" s="154" t="s">
        <v>7399</v>
      </c>
      <c r="BG1998" s="154" t="s">
        <v>7412</v>
      </c>
    </row>
    <row r="1999" spans="1:59" s="154" customFormat="1" ht="15" customHeight="1">
      <c r="A1999" s="153" t="s">
        <v>7362</v>
      </c>
      <c r="B1999" s="188" t="s">
        <v>7413</v>
      </c>
      <c r="C1999" s="154" t="s">
        <v>7364</v>
      </c>
      <c r="D1999" s="154">
        <v>13</v>
      </c>
      <c r="E1999" s="154">
        <v>1</v>
      </c>
      <c r="F1999" s="154" t="s">
        <v>7365</v>
      </c>
      <c r="G1999" s="154" t="s">
        <v>7414</v>
      </c>
      <c r="H1999" s="154" t="s">
        <v>7415</v>
      </c>
      <c r="I1999" s="154" t="s">
        <v>223</v>
      </c>
      <c r="J1999" s="154" t="s">
        <v>29</v>
      </c>
      <c r="K1999" s="154" t="s">
        <v>2426</v>
      </c>
      <c r="O1999" s="173"/>
      <c r="P1999" s="174"/>
      <c r="Q1999" s="175">
        <v>4</v>
      </c>
      <c r="R1999" s="159">
        <v>4</v>
      </c>
      <c r="S1999" s="160"/>
      <c r="T1999" s="161" t="s">
        <v>1077</v>
      </c>
      <c r="U1999" s="173"/>
      <c r="V1999" s="176"/>
      <c r="W1999" s="177">
        <v>2</v>
      </c>
      <c r="X1999" s="178"/>
      <c r="Y1999" s="159"/>
      <c r="Z1999" s="161"/>
      <c r="AA1999" s="160">
        <v>1</v>
      </c>
      <c r="AD1999" s="154" t="s">
        <v>7416</v>
      </c>
      <c r="AF1999" s="154" t="s">
        <v>7417</v>
      </c>
      <c r="AQ1999" s="173"/>
      <c r="AR1999" s="174"/>
      <c r="AS1999" s="175"/>
      <c r="AT1999" s="159"/>
      <c r="AU1999" s="161"/>
      <c r="AV1999" s="173"/>
      <c r="AW1999" s="176"/>
      <c r="AX1999" s="177"/>
      <c r="AY1999" s="178"/>
      <c r="AZ1999" s="159"/>
      <c r="BA1999" s="161"/>
      <c r="BB1999" s="160"/>
    </row>
    <row r="2000" spans="1:59" s="154" customFormat="1" ht="15" customHeight="1">
      <c r="A2000" s="153" t="s">
        <v>7362</v>
      </c>
      <c r="B2000" s="189" t="s">
        <v>7418</v>
      </c>
      <c r="C2000" s="154" t="s">
        <v>7364</v>
      </c>
      <c r="D2000" s="154">
        <v>14</v>
      </c>
      <c r="E2000" s="154">
        <v>3</v>
      </c>
      <c r="F2000" s="154" t="s">
        <v>7365</v>
      </c>
      <c r="G2000" s="154" t="s">
        <v>7419</v>
      </c>
      <c r="J2000" s="154" t="s">
        <v>29</v>
      </c>
      <c r="K2000" s="154" t="s">
        <v>2426</v>
      </c>
      <c r="O2000" s="173"/>
      <c r="P2000" s="174"/>
      <c r="Q2000" s="175">
        <v>2</v>
      </c>
      <c r="R2000" s="159">
        <v>2</v>
      </c>
      <c r="S2000" s="160"/>
      <c r="T2000" s="161">
        <v>2</v>
      </c>
      <c r="U2000" s="173"/>
      <c r="V2000" s="176">
        <v>1</v>
      </c>
      <c r="W2000" s="177"/>
      <c r="X2000" s="178"/>
      <c r="Y2000" s="159"/>
      <c r="Z2000" s="161"/>
      <c r="AA2000" s="160"/>
      <c r="AD2000" s="154" t="s">
        <v>467</v>
      </c>
      <c r="AF2000" s="154" t="s">
        <v>7420</v>
      </c>
      <c r="AQ2000" s="173"/>
      <c r="AR2000" s="174"/>
      <c r="AS2000" s="175"/>
      <c r="AT2000" s="159"/>
      <c r="AU2000" s="161"/>
      <c r="AV2000" s="173"/>
      <c r="AW2000" s="176"/>
      <c r="AX2000" s="177"/>
      <c r="AY2000" s="178"/>
      <c r="AZ2000" s="159"/>
      <c r="BA2000" s="161"/>
      <c r="BB2000" s="160"/>
    </row>
    <row r="2001" spans="1:59" s="154" customFormat="1" ht="15" customHeight="1">
      <c r="A2001" s="153" t="s">
        <v>7362</v>
      </c>
      <c r="B2001" s="188" t="s">
        <v>7421</v>
      </c>
      <c r="C2001" s="154" t="s">
        <v>7364</v>
      </c>
      <c r="D2001" s="154">
        <v>15</v>
      </c>
      <c r="E2001" s="154">
        <v>2</v>
      </c>
      <c r="F2001" s="154" t="s">
        <v>7365</v>
      </c>
      <c r="G2001" s="154" t="s">
        <v>7422</v>
      </c>
      <c r="J2001" s="154" t="s">
        <v>29</v>
      </c>
      <c r="K2001" s="154" t="s">
        <v>2426</v>
      </c>
      <c r="O2001" s="173"/>
      <c r="P2001" s="174"/>
      <c r="Q2001" s="175">
        <v>-2</v>
      </c>
      <c r="R2001" s="159">
        <v>3</v>
      </c>
      <c r="S2001" s="160"/>
      <c r="T2001" s="161">
        <v>3</v>
      </c>
      <c r="U2001" s="173"/>
      <c r="V2001" s="176"/>
      <c r="W2001" s="177">
        <v>1</v>
      </c>
      <c r="X2001" s="178"/>
      <c r="Y2001" s="159"/>
      <c r="Z2001" s="161"/>
      <c r="AA2001" s="160"/>
      <c r="AD2001" s="154" t="s">
        <v>7423</v>
      </c>
      <c r="AF2001" s="154" t="s">
        <v>7424</v>
      </c>
      <c r="AQ2001" s="173"/>
      <c r="AR2001" s="174"/>
      <c r="AS2001" s="175"/>
      <c r="AT2001" s="159"/>
      <c r="AU2001" s="161"/>
      <c r="AV2001" s="173"/>
      <c r="AW2001" s="176"/>
      <c r="AX2001" s="177"/>
      <c r="AY2001" s="178"/>
      <c r="AZ2001" s="159"/>
      <c r="BA2001" s="161"/>
      <c r="BB2001" s="160"/>
    </row>
    <row r="2002" spans="1:59" s="154" customFormat="1" ht="15" customHeight="1">
      <c r="A2002" s="153" t="s">
        <v>7362</v>
      </c>
      <c r="B2002" s="188" t="s">
        <v>7425</v>
      </c>
      <c r="C2002" s="154" t="s">
        <v>7364</v>
      </c>
      <c r="D2002" s="154">
        <v>16</v>
      </c>
      <c r="E2002" s="154">
        <v>1</v>
      </c>
      <c r="F2002" s="154" t="s">
        <v>7426</v>
      </c>
      <c r="G2002" s="154" t="s">
        <v>7426</v>
      </c>
      <c r="J2002" s="154" t="s">
        <v>618</v>
      </c>
      <c r="K2002" s="154" t="s">
        <v>2426</v>
      </c>
      <c r="O2002" s="173"/>
      <c r="P2002" s="174"/>
      <c r="Q2002" s="175"/>
      <c r="R2002" s="159"/>
      <c r="S2002" s="160"/>
      <c r="T2002" s="161"/>
      <c r="U2002" s="173"/>
      <c r="V2002" s="176"/>
      <c r="W2002" s="177"/>
      <c r="X2002" s="178"/>
      <c r="Y2002" s="159"/>
      <c r="Z2002" s="161"/>
      <c r="AA2002" s="160"/>
      <c r="AF2002" s="154" t="s">
        <v>7427</v>
      </c>
      <c r="AI2002" s="154" t="s">
        <v>7426</v>
      </c>
      <c r="AL2002" s="154" t="s">
        <v>618</v>
      </c>
      <c r="AM2002" s="154" t="s">
        <v>2426</v>
      </c>
      <c r="AQ2002" s="173"/>
      <c r="AR2002" s="174"/>
      <c r="AS2002" s="175"/>
      <c r="AT2002" s="159"/>
      <c r="AU2002" s="161"/>
      <c r="AV2002" s="173"/>
      <c r="AW2002" s="176"/>
      <c r="AX2002" s="177"/>
      <c r="AY2002" s="178"/>
      <c r="AZ2002" s="159"/>
      <c r="BA2002" s="161"/>
      <c r="BB2002" s="160"/>
      <c r="BG2002" s="154" t="s">
        <v>7428</v>
      </c>
    </row>
    <row r="2003" spans="1:59" s="154" customFormat="1" ht="15" customHeight="1">
      <c r="A2003" s="153" t="s">
        <v>7362</v>
      </c>
      <c r="B2003" s="188" t="s">
        <v>7429</v>
      </c>
      <c r="C2003" s="154" t="s">
        <v>7364</v>
      </c>
      <c r="D2003" s="154">
        <v>17</v>
      </c>
      <c r="E2003" s="154">
        <v>1</v>
      </c>
      <c r="F2003" s="154" t="s">
        <v>7426</v>
      </c>
      <c r="G2003" s="154" t="s">
        <v>7430</v>
      </c>
      <c r="J2003" s="154" t="s">
        <v>619</v>
      </c>
      <c r="K2003" s="154" t="s">
        <v>2426</v>
      </c>
      <c r="L2003" s="154">
        <v>1</v>
      </c>
      <c r="O2003" s="173"/>
      <c r="P2003" s="174"/>
      <c r="Q2003" s="175"/>
      <c r="R2003" s="159"/>
      <c r="S2003" s="160"/>
      <c r="T2003" s="161"/>
      <c r="U2003" s="173"/>
      <c r="V2003" s="176"/>
      <c r="W2003" s="177"/>
      <c r="X2003" s="178"/>
      <c r="Y2003" s="159"/>
      <c r="Z2003" s="161">
        <v>6</v>
      </c>
      <c r="AA2003" s="160"/>
      <c r="AI2003" s="154" t="s">
        <v>7431</v>
      </c>
      <c r="AL2003" s="154" t="s">
        <v>619</v>
      </c>
      <c r="AM2003" s="154" t="s">
        <v>2426</v>
      </c>
      <c r="AN2003" s="154">
        <v>1</v>
      </c>
      <c r="AQ2003" s="173"/>
      <c r="AR2003" s="174"/>
      <c r="AS2003" s="175"/>
      <c r="AT2003" s="159"/>
      <c r="AU2003" s="161"/>
      <c r="AV2003" s="173"/>
      <c r="AW2003" s="176"/>
      <c r="AX2003" s="177"/>
      <c r="AY2003" s="178"/>
      <c r="AZ2003" s="159"/>
      <c r="BA2003" s="161"/>
      <c r="BB2003" s="160"/>
      <c r="BG2003" s="154" t="s">
        <v>7432</v>
      </c>
    </row>
    <row r="2004" spans="1:59" s="154" customFormat="1" ht="15" customHeight="1">
      <c r="A2004" s="153" t="s">
        <v>7362</v>
      </c>
      <c r="B2004" s="189" t="s">
        <v>7433</v>
      </c>
      <c r="C2004" s="154" t="s">
        <v>7364</v>
      </c>
      <c r="D2004" s="154">
        <v>18</v>
      </c>
      <c r="E2004" s="154">
        <v>1</v>
      </c>
      <c r="F2004" s="154" t="s">
        <v>7426</v>
      </c>
      <c r="G2004" s="154" t="s">
        <v>7434</v>
      </c>
      <c r="J2004" s="154" t="s">
        <v>619</v>
      </c>
      <c r="K2004" s="154" t="s">
        <v>2426</v>
      </c>
      <c r="L2004" s="154">
        <v>2</v>
      </c>
      <c r="O2004" s="173"/>
      <c r="P2004" s="174"/>
      <c r="Q2004" s="175"/>
      <c r="R2004" s="159"/>
      <c r="S2004" s="160"/>
      <c r="T2004" s="161"/>
      <c r="U2004" s="173"/>
      <c r="V2004" s="176"/>
      <c r="W2004" s="177"/>
      <c r="X2004" s="178"/>
      <c r="Y2004" s="159"/>
      <c r="Z2004" s="161">
        <v>12</v>
      </c>
      <c r="AA2004" s="160"/>
      <c r="AF2004" s="154" t="s">
        <v>7435</v>
      </c>
      <c r="AI2004" s="154" t="s">
        <v>7436</v>
      </c>
      <c r="AL2004" s="154" t="s">
        <v>619</v>
      </c>
      <c r="AM2004" s="154" t="s">
        <v>2426</v>
      </c>
      <c r="AN2004" s="154">
        <v>2</v>
      </c>
      <c r="AQ2004" s="173"/>
      <c r="AR2004" s="174"/>
      <c r="AS2004" s="175"/>
      <c r="AT2004" s="159"/>
      <c r="AU2004" s="161"/>
      <c r="AV2004" s="173"/>
      <c r="AW2004" s="176"/>
      <c r="AX2004" s="177"/>
      <c r="AY2004" s="178"/>
      <c r="AZ2004" s="159"/>
      <c r="BA2004" s="161"/>
      <c r="BB2004" s="160"/>
      <c r="BG2004" s="154" t="s">
        <v>7437</v>
      </c>
    </row>
    <row r="2005" spans="1:59" s="154" customFormat="1" ht="15" customHeight="1">
      <c r="A2005" s="153" t="s">
        <v>7362</v>
      </c>
      <c r="B2005" s="188" t="s">
        <v>7438</v>
      </c>
      <c r="C2005" s="154" t="s">
        <v>7364</v>
      </c>
      <c r="D2005" s="154">
        <v>19</v>
      </c>
      <c r="E2005" s="154">
        <v>1</v>
      </c>
      <c r="F2005" s="154" t="s">
        <v>7426</v>
      </c>
      <c r="G2005" s="154" t="s">
        <v>7439</v>
      </c>
      <c r="J2005" s="154" t="s">
        <v>621</v>
      </c>
      <c r="K2005" s="154" t="s">
        <v>2426</v>
      </c>
      <c r="L2005" s="154">
        <v>1</v>
      </c>
      <c r="O2005" s="173"/>
      <c r="P2005" s="174"/>
      <c r="Q2005" s="175"/>
      <c r="R2005" s="159"/>
      <c r="S2005" s="160"/>
      <c r="T2005" s="161"/>
      <c r="U2005" s="173"/>
      <c r="V2005" s="176"/>
      <c r="W2005" s="177"/>
      <c r="X2005" s="178"/>
      <c r="Y2005" s="159" t="s">
        <v>1111</v>
      </c>
      <c r="Z2005" s="161"/>
      <c r="AA2005" s="160"/>
      <c r="AF2005" s="154" t="s">
        <v>3936</v>
      </c>
      <c r="AI2005" s="154" t="s">
        <v>7440</v>
      </c>
      <c r="AL2005" s="154" t="s">
        <v>621</v>
      </c>
      <c r="AM2005" s="154" t="s">
        <v>2426</v>
      </c>
      <c r="AN2005" s="154">
        <v>1</v>
      </c>
      <c r="AQ2005" s="173"/>
      <c r="AR2005" s="174"/>
      <c r="AS2005" s="175"/>
      <c r="AT2005" s="159"/>
      <c r="AU2005" s="161"/>
      <c r="AV2005" s="173"/>
      <c r="AW2005" s="176"/>
      <c r="AX2005" s="177"/>
      <c r="AY2005" s="178"/>
      <c r="AZ2005" s="159"/>
      <c r="BA2005" s="161"/>
      <c r="BB2005" s="160"/>
      <c r="BG2005" s="154" t="s">
        <v>7441</v>
      </c>
    </row>
    <row r="2006" spans="1:59" s="154" customFormat="1" ht="15" customHeight="1">
      <c r="A2006" s="153" t="s">
        <v>7362</v>
      </c>
      <c r="B2006" s="188" t="s">
        <v>7442</v>
      </c>
      <c r="C2006" s="154" t="s">
        <v>7364</v>
      </c>
      <c r="D2006" s="154">
        <v>20</v>
      </c>
      <c r="E2006" s="154">
        <v>1</v>
      </c>
      <c r="F2006" s="154" t="s">
        <v>7426</v>
      </c>
      <c r="G2006" s="154" t="s">
        <v>7443</v>
      </c>
      <c r="J2006" s="154" t="s">
        <v>621</v>
      </c>
      <c r="K2006" s="154" t="s">
        <v>2426</v>
      </c>
      <c r="L2006" s="154">
        <v>2</v>
      </c>
      <c r="O2006" s="173"/>
      <c r="P2006" s="174"/>
      <c r="Q2006" s="175"/>
      <c r="R2006" s="159"/>
      <c r="S2006" s="160"/>
      <c r="T2006" s="161"/>
      <c r="U2006" s="173"/>
      <c r="V2006" s="176"/>
      <c r="W2006" s="177"/>
      <c r="X2006" s="178"/>
      <c r="Y2006" s="159" t="s">
        <v>1073</v>
      </c>
      <c r="Z2006" s="161"/>
      <c r="AA2006" s="160"/>
      <c r="AF2006" s="154" t="s">
        <v>7444</v>
      </c>
      <c r="AI2006" s="154" t="s">
        <v>7445</v>
      </c>
      <c r="AL2006" s="154" t="s">
        <v>621</v>
      </c>
      <c r="AM2006" s="154" t="s">
        <v>2426</v>
      </c>
      <c r="AN2006" s="154">
        <v>2</v>
      </c>
      <c r="AQ2006" s="173"/>
      <c r="AR2006" s="174"/>
      <c r="AS2006" s="175"/>
      <c r="AT2006" s="159"/>
      <c r="AU2006" s="161"/>
      <c r="AV2006" s="173"/>
      <c r="AW2006" s="176"/>
      <c r="AX2006" s="177"/>
      <c r="AY2006" s="178"/>
      <c r="AZ2006" s="159"/>
      <c r="BA2006" s="161"/>
      <c r="BB2006" s="160"/>
      <c r="BG2006" s="154" t="s">
        <v>7446</v>
      </c>
    </row>
    <row r="2007" spans="1:59" s="154" customFormat="1" ht="15" customHeight="1">
      <c r="A2007" s="153" t="s">
        <v>7362</v>
      </c>
      <c r="B2007" s="188" t="s">
        <v>7447</v>
      </c>
      <c r="C2007" s="154" t="s">
        <v>7364</v>
      </c>
      <c r="D2007" s="154">
        <v>21</v>
      </c>
      <c r="E2007" s="154">
        <v>1</v>
      </c>
      <c r="F2007" s="154" t="s">
        <v>7426</v>
      </c>
      <c r="G2007" s="154" t="s">
        <v>7426</v>
      </c>
      <c r="J2007" s="154" t="s">
        <v>621</v>
      </c>
      <c r="K2007" s="154" t="s">
        <v>2426</v>
      </c>
      <c r="L2007" s="154">
        <v>3</v>
      </c>
      <c r="O2007" s="173"/>
      <c r="P2007" s="174"/>
      <c r="Q2007" s="175"/>
      <c r="R2007" s="159"/>
      <c r="S2007" s="160"/>
      <c r="T2007" s="161"/>
      <c r="U2007" s="173"/>
      <c r="V2007" s="176"/>
      <c r="W2007" s="177"/>
      <c r="X2007" s="178"/>
      <c r="Y2007" s="159" t="s">
        <v>38</v>
      </c>
      <c r="Z2007" s="161"/>
      <c r="AA2007" s="160"/>
      <c r="AF2007" s="154" t="s">
        <v>7448</v>
      </c>
      <c r="AI2007" s="154" t="s">
        <v>7449</v>
      </c>
      <c r="AL2007" s="154" t="s">
        <v>621</v>
      </c>
      <c r="AM2007" s="154" t="s">
        <v>2426</v>
      </c>
      <c r="AN2007" s="154">
        <v>3</v>
      </c>
      <c r="AQ2007" s="173"/>
      <c r="AR2007" s="174"/>
      <c r="AS2007" s="175"/>
      <c r="AT2007" s="159"/>
      <c r="AU2007" s="161"/>
      <c r="AV2007" s="173"/>
      <c r="AW2007" s="176"/>
      <c r="AX2007" s="177"/>
      <c r="AY2007" s="178"/>
      <c r="AZ2007" s="159"/>
      <c r="BA2007" s="161"/>
      <c r="BB2007" s="160"/>
      <c r="BG2007" s="154" t="s">
        <v>7450</v>
      </c>
    </row>
    <row r="2008" spans="1:59" s="154" customFormat="1" ht="15" customHeight="1">
      <c r="A2008" s="153" t="s">
        <v>7362</v>
      </c>
      <c r="B2008" s="188" t="s">
        <v>7451</v>
      </c>
      <c r="C2008" s="154" t="s">
        <v>7364</v>
      </c>
      <c r="D2008" s="154">
        <v>22</v>
      </c>
      <c r="E2008" s="154">
        <v>1</v>
      </c>
      <c r="F2008" s="154" t="s">
        <v>7426</v>
      </c>
      <c r="G2008" s="154" t="s">
        <v>7452</v>
      </c>
      <c r="J2008" s="154" t="s">
        <v>31</v>
      </c>
      <c r="K2008" s="154" t="s">
        <v>2426</v>
      </c>
      <c r="O2008" s="173"/>
      <c r="P2008" s="174"/>
      <c r="Q2008" s="175"/>
      <c r="R2008" s="159"/>
      <c r="S2008" s="160"/>
      <c r="T2008" s="161"/>
      <c r="U2008" s="173"/>
      <c r="V2008" s="176"/>
      <c r="W2008" s="177"/>
      <c r="X2008" s="178">
        <v>4</v>
      </c>
      <c r="Y2008" s="159">
        <v>0</v>
      </c>
      <c r="Z2008" s="161"/>
      <c r="AA2008" s="160"/>
      <c r="AD2008" s="154" t="s">
        <v>2482</v>
      </c>
      <c r="AF2008" s="154" t="s">
        <v>7453</v>
      </c>
      <c r="AQ2008" s="173"/>
      <c r="AR2008" s="174"/>
      <c r="AS2008" s="175"/>
      <c r="AT2008" s="159"/>
      <c r="AU2008" s="161"/>
      <c r="AV2008" s="173"/>
      <c r="AW2008" s="176"/>
      <c r="AX2008" s="177"/>
      <c r="AY2008" s="178"/>
      <c r="AZ2008" s="159"/>
      <c r="BA2008" s="161"/>
      <c r="BB2008" s="160"/>
    </row>
    <row r="2009" spans="1:59" s="154" customFormat="1" ht="15" customHeight="1">
      <c r="A2009" s="153" t="s">
        <v>7362</v>
      </c>
      <c r="B2009" s="188" t="s">
        <v>7454</v>
      </c>
      <c r="C2009" s="154" t="s">
        <v>7364</v>
      </c>
      <c r="D2009" s="154">
        <v>23</v>
      </c>
      <c r="E2009" s="154">
        <v>1</v>
      </c>
      <c r="F2009" s="154" t="s">
        <v>7426</v>
      </c>
      <c r="G2009" s="154" t="s">
        <v>7455</v>
      </c>
      <c r="J2009" s="154" t="s">
        <v>31</v>
      </c>
      <c r="K2009" s="154" t="s">
        <v>2426</v>
      </c>
      <c r="O2009" s="173"/>
      <c r="P2009" s="174"/>
      <c r="Q2009" s="175"/>
      <c r="R2009" s="159"/>
      <c r="S2009" s="160"/>
      <c r="T2009" s="161"/>
      <c r="U2009" s="173"/>
      <c r="V2009" s="176"/>
      <c r="W2009" s="177"/>
      <c r="X2009" s="178">
        <v>5</v>
      </c>
      <c r="Y2009" s="159" t="s">
        <v>1073</v>
      </c>
      <c r="Z2009" s="161"/>
      <c r="AA2009" s="160">
        <v>1</v>
      </c>
      <c r="AD2009" s="154" t="s">
        <v>7456</v>
      </c>
      <c r="AF2009" s="154" t="s">
        <v>7457</v>
      </c>
      <c r="AQ2009" s="173"/>
      <c r="AR2009" s="174"/>
      <c r="AS2009" s="175"/>
      <c r="AT2009" s="159"/>
      <c r="AU2009" s="161"/>
      <c r="AV2009" s="173"/>
      <c r="AW2009" s="176"/>
      <c r="AX2009" s="177"/>
      <c r="AY2009" s="178"/>
      <c r="AZ2009" s="159"/>
      <c r="BA2009" s="161"/>
      <c r="BB2009" s="160"/>
    </row>
    <row r="2010" spans="1:59" s="154" customFormat="1" ht="15" customHeight="1">
      <c r="A2010" s="153" t="s">
        <v>7362</v>
      </c>
      <c r="B2010" s="189" t="s">
        <v>7458</v>
      </c>
      <c r="C2010" s="154" t="s">
        <v>7364</v>
      </c>
      <c r="D2010" s="154">
        <v>24</v>
      </c>
      <c r="E2010" s="154">
        <v>1</v>
      </c>
      <c r="F2010" s="154" t="s">
        <v>7426</v>
      </c>
      <c r="G2010" s="154" t="s">
        <v>7459</v>
      </c>
      <c r="J2010" s="154" t="s">
        <v>31</v>
      </c>
      <c r="K2010" s="154" t="s">
        <v>2426</v>
      </c>
      <c r="O2010" s="173"/>
      <c r="P2010" s="174"/>
      <c r="Q2010" s="175"/>
      <c r="R2010" s="159"/>
      <c r="S2010" s="160"/>
      <c r="T2010" s="161"/>
      <c r="U2010" s="173"/>
      <c r="V2010" s="176"/>
      <c r="W2010" s="177"/>
      <c r="X2010" s="178">
        <v>2</v>
      </c>
      <c r="Y2010" s="159" t="s">
        <v>1073</v>
      </c>
      <c r="Z2010" s="161"/>
      <c r="AA2010" s="160"/>
      <c r="AD2010" s="154" t="s">
        <v>7456</v>
      </c>
      <c r="AF2010" s="154" t="s">
        <v>7460</v>
      </c>
      <c r="AQ2010" s="173"/>
      <c r="AR2010" s="174"/>
      <c r="AS2010" s="175"/>
      <c r="AT2010" s="159"/>
      <c r="AU2010" s="161"/>
      <c r="AV2010" s="173"/>
      <c r="AW2010" s="176"/>
      <c r="AX2010" s="177"/>
      <c r="AY2010" s="178"/>
      <c r="AZ2010" s="159"/>
      <c r="BA2010" s="161"/>
      <c r="BB2010" s="160"/>
    </row>
    <row r="2011" spans="1:59" s="154" customFormat="1" ht="15" customHeight="1">
      <c r="A2011" s="153" t="s">
        <v>7362</v>
      </c>
      <c r="B2011" s="188" t="s">
        <v>7461</v>
      </c>
      <c r="C2011" s="154" t="s">
        <v>7364</v>
      </c>
      <c r="D2011" s="154">
        <v>25</v>
      </c>
      <c r="E2011" s="154">
        <v>1</v>
      </c>
      <c r="F2011" s="154" t="s">
        <v>7426</v>
      </c>
      <c r="G2011" s="154" t="s">
        <v>7462</v>
      </c>
      <c r="J2011" s="154" t="s">
        <v>31</v>
      </c>
      <c r="K2011" s="154" t="s">
        <v>2426</v>
      </c>
      <c r="O2011" s="173"/>
      <c r="P2011" s="174"/>
      <c r="Q2011" s="175"/>
      <c r="R2011" s="159"/>
      <c r="S2011" s="160"/>
      <c r="T2011" s="161"/>
      <c r="U2011" s="173"/>
      <c r="V2011" s="176"/>
      <c r="W2011" s="177"/>
      <c r="X2011" s="178">
        <v>3</v>
      </c>
      <c r="Y2011" s="159" t="s">
        <v>1073</v>
      </c>
      <c r="Z2011" s="161"/>
      <c r="AA2011" s="160"/>
      <c r="AD2011" s="154" t="s">
        <v>7456</v>
      </c>
      <c r="AF2011" s="154" t="s">
        <v>7463</v>
      </c>
      <c r="AQ2011" s="173"/>
      <c r="AR2011" s="174"/>
      <c r="AS2011" s="175"/>
      <c r="AT2011" s="159"/>
      <c r="AU2011" s="161"/>
      <c r="AV2011" s="173"/>
      <c r="AW2011" s="176"/>
      <c r="AX2011" s="177"/>
      <c r="AY2011" s="178"/>
      <c r="AZ2011" s="159"/>
      <c r="BA2011" s="161"/>
      <c r="BB2011" s="160"/>
    </row>
    <row r="2012" spans="1:59" s="154" customFormat="1" ht="15" customHeight="1">
      <c r="A2012" s="153" t="s">
        <v>7362</v>
      </c>
      <c r="B2012" s="188" t="s">
        <v>7464</v>
      </c>
      <c r="C2012" s="154" t="s">
        <v>7364</v>
      </c>
      <c r="D2012" s="154">
        <v>26</v>
      </c>
      <c r="E2012" s="154">
        <v>1</v>
      </c>
      <c r="F2012" s="154" t="s">
        <v>7426</v>
      </c>
      <c r="G2012" s="154" t="s">
        <v>7465</v>
      </c>
      <c r="J2012" s="154" t="s">
        <v>31</v>
      </c>
      <c r="K2012" s="154" t="s">
        <v>2426</v>
      </c>
      <c r="O2012" s="173"/>
      <c r="P2012" s="174"/>
      <c r="Q2012" s="175"/>
      <c r="R2012" s="159"/>
      <c r="S2012" s="160"/>
      <c r="T2012" s="161"/>
      <c r="U2012" s="173"/>
      <c r="V2012" s="176"/>
      <c r="W2012" s="177"/>
      <c r="X2012" s="178">
        <v>1</v>
      </c>
      <c r="Y2012" s="159" t="s">
        <v>1073</v>
      </c>
      <c r="Z2012" s="161"/>
      <c r="AA2012" s="160"/>
      <c r="AD2012" s="154" t="s">
        <v>7456</v>
      </c>
      <c r="AF2012" s="154" t="s">
        <v>7466</v>
      </c>
      <c r="AI2012" s="153"/>
      <c r="AQ2012" s="173"/>
      <c r="AR2012" s="174"/>
      <c r="AS2012" s="175"/>
      <c r="AT2012" s="159"/>
      <c r="AU2012" s="161"/>
      <c r="AV2012" s="173"/>
      <c r="AW2012" s="176"/>
      <c r="AX2012" s="177"/>
      <c r="AY2012" s="178"/>
      <c r="AZ2012" s="159"/>
      <c r="BA2012" s="161"/>
      <c r="BB2012" s="160"/>
    </row>
    <row r="2013" spans="1:59" s="154" customFormat="1" ht="15" customHeight="1">
      <c r="A2013" s="153" t="s">
        <v>7362</v>
      </c>
      <c r="B2013" s="189" t="s">
        <v>7467</v>
      </c>
      <c r="C2013" s="154" t="s">
        <v>7364</v>
      </c>
      <c r="D2013" s="154">
        <v>27</v>
      </c>
      <c r="E2013" s="154">
        <v>1</v>
      </c>
      <c r="F2013" s="154" t="s">
        <v>7426</v>
      </c>
      <c r="G2013" s="154" t="s">
        <v>7468</v>
      </c>
      <c r="H2013" s="154" t="s">
        <v>7469</v>
      </c>
      <c r="I2013" s="154" t="s">
        <v>223</v>
      </c>
      <c r="J2013" s="154" t="s">
        <v>29</v>
      </c>
      <c r="K2013" s="154" t="s">
        <v>2426</v>
      </c>
      <c r="O2013" s="173"/>
      <c r="P2013" s="174"/>
      <c r="Q2013" s="175">
        <v>4</v>
      </c>
      <c r="R2013" s="159">
        <v>4</v>
      </c>
      <c r="S2013" s="160"/>
      <c r="T2013" s="161">
        <v>5</v>
      </c>
      <c r="U2013" s="173"/>
      <c r="V2013" s="176">
        <v>2</v>
      </c>
      <c r="W2013" s="177">
        <v>2</v>
      </c>
      <c r="X2013" s="178"/>
      <c r="Y2013" s="159"/>
      <c r="Z2013" s="161"/>
      <c r="AA2013" s="160"/>
      <c r="AD2013" s="154" t="s">
        <v>7470</v>
      </c>
      <c r="AF2013" s="154" t="s">
        <v>7471</v>
      </c>
      <c r="AQ2013" s="173"/>
      <c r="AR2013" s="174"/>
      <c r="AS2013" s="175"/>
      <c r="AT2013" s="159"/>
      <c r="AU2013" s="161"/>
      <c r="AV2013" s="173"/>
      <c r="AW2013" s="176"/>
      <c r="AX2013" s="177"/>
      <c r="AY2013" s="178"/>
      <c r="AZ2013" s="159"/>
      <c r="BA2013" s="161"/>
      <c r="BB2013" s="160"/>
    </row>
    <row r="2014" spans="1:59" s="154" customFormat="1" ht="15" customHeight="1">
      <c r="A2014" s="153" t="s">
        <v>7362</v>
      </c>
      <c r="B2014" s="188" t="s">
        <v>7472</v>
      </c>
      <c r="C2014" s="154" t="s">
        <v>7364</v>
      </c>
      <c r="D2014" s="154">
        <v>28</v>
      </c>
      <c r="E2014" s="154">
        <v>1</v>
      </c>
      <c r="F2014" s="154" t="s">
        <v>7426</v>
      </c>
      <c r="G2014" s="154" t="s">
        <v>7473</v>
      </c>
      <c r="J2014" s="154" t="s">
        <v>31</v>
      </c>
      <c r="K2014" s="154" t="s">
        <v>2426</v>
      </c>
      <c r="O2014" s="173"/>
      <c r="P2014" s="174"/>
      <c r="Q2014" s="175"/>
      <c r="R2014" s="159"/>
      <c r="S2014" s="160"/>
      <c r="T2014" s="161"/>
      <c r="U2014" s="173"/>
      <c r="V2014" s="176"/>
      <c r="W2014" s="177"/>
      <c r="X2014" s="178">
        <v>4</v>
      </c>
      <c r="Y2014" s="159" t="s">
        <v>1073</v>
      </c>
      <c r="Z2014" s="161"/>
      <c r="AA2014" s="160"/>
      <c r="AD2014" s="154" t="s">
        <v>7474</v>
      </c>
      <c r="AQ2014" s="173"/>
      <c r="AR2014" s="174"/>
      <c r="AS2014" s="175"/>
      <c r="AT2014" s="159"/>
      <c r="AU2014" s="161"/>
      <c r="AV2014" s="173"/>
      <c r="AW2014" s="176"/>
      <c r="AX2014" s="177"/>
      <c r="AY2014" s="178"/>
      <c r="AZ2014" s="159"/>
      <c r="BA2014" s="161"/>
      <c r="BB2014" s="160"/>
    </row>
    <row r="2015" spans="1:59" s="154" customFormat="1" ht="15" customHeight="1">
      <c r="A2015" s="153" t="s">
        <v>7362</v>
      </c>
      <c r="B2015" s="188" t="s">
        <v>7475</v>
      </c>
      <c r="C2015" s="154" t="s">
        <v>7364</v>
      </c>
      <c r="D2015" s="154">
        <v>29</v>
      </c>
      <c r="E2015" s="154">
        <v>2</v>
      </c>
      <c r="F2015" s="154" t="s">
        <v>7426</v>
      </c>
      <c r="G2015" s="154" t="s">
        <v>7476</v>
      </c>
      <c r="J2015" s="154" t="s">
        <v>29</v>
      </c>
      <c r="K2015" s="154" t="s">
        <v>2426</v>
      </c>
      <c r="O2015" s="173"/>
      <c r="P2015" s="174"/>
      <c r="Q2015" s="175">
        <v>5</v>
      </c>
      <c r="R2015" s="159">
        <v>3</v>
      </c>
      <c r="S2015" s="160"/>
      <c r="T2015" s="161">
        <v>5</v>
      </c>
      <c r="U2015" s="173"/>
      <c r="V2015" s="176">
        <v>2</v>
      </c>
      <c r="W2015" s="177">
        <v>1</v>
      </c>
      <c r="X2015" s="178"/>
      <c r="Y2015" s="159"/>
      <c r="Z2015" s="161"/>
      <c r="AA2015" s="160"/>
      <c r="AD2015" s="154" t="s">
        <v>7477</v>
      </c>
      <c r="AF2015" s="154" t="s">
        <v>7478</v>
      </c>
      <c r="AQ2015" s="173"/>
      <c r="AR2015" s="174"/>
      <c r="AS2015" s="175"/>
      <c r="AT2015" s="159"/>
      <c r="AU2015" s="161"/>
      <c r="AV2015" s="173"/>
      <c r="AW2015" s="176"/>
      <c r="AX2015" s="177"/>
      <c r="AY2015" s="178"/>
      <c r="AZ2015" s="159"/>
      <c r="BA2015" s="161"/>
      <c r="BB2015" s="160"/>
    </row>
    <row r="2016" spans="1:59" s="154" customFormat="1" ht="15" customHeight="1">
      <c r="A2016" s="153" t="s">
        <v>7362</v>
      </c>
      <c r="B2016" s="188" t="s">
        <v>7479</v>
      </c>
      <c r="C2016" s="154" t="s">
        <v>7364</v>
      </c>
      <c r="D2016" s="154">
        <v>30</v>
      </c>
      <c r="E2016" s="154">
        <v>2</v>
      </c>
      <c r="F2016" s="154" t="s">
        <v>7426</v>
      </c>
      <c r="G2016" s="154" t="s">
        <v>7480</v>
      </c>
      <c r="J2016" s="154" t="s">
        <v>29</v>
      </c>
      <c r="K2016" s="154" t="s">
        <v>2426</v>
      </c>
      <c r="O2016" s="173"/>
      <c r="P2016" s="174"/>
      <c r="Q2016" s="175">
        <v>2</v>
      </c>
      <c r="R2016" s="159">
        <v>3</v>
      </c>
      <c r="S2016" s="160"/>
      <c r="T2016" s="161">
        <v>2</v>
      </c>
      <c r="U2016" s="173"/>
      <c r="V2016" s="176"/>
      <c r="W2016" s="177">
        <v>1</v>
      </c>
      <c r="X2016" s="178"/>
      <c r="Y2016" s="159"/>
      <c r="Z2016" s="161"/>
      <c r="AA2016" s="160"/>
      <c r="AD2016" s="154" t="s">
        <v>467</v>
      </c>
      <c r="AF2016" s="154" t="s">
        <v>7481</v>
      </c>
      <c r="AQ2016" s="173"/>
      <c r="AR2016" s="174"/>
      <c r="AS2016" s="175"/>
      <c r="AT2016" s="159"/>
      <c r="AU2016" s="161"/>
      <c r="AV2016" s="173"/>
      <c r="AW2016" s="176"/>
      <c r="AX2016" s="177"/>
      <c r="AY2016" s="178"/>
      <c r="AZ2016" s="159"/>
      <c r="BA2016" s="161"/>
      <c r="BB2016" s="160"/>
    </row>
    <row r="2017" spans="1:59" s="154" customFormat="1" ht="15" customHeight="1">
      <c r="A2017" s="153" t="s">
        <v>7362</v>
      </c>
      <c r="B2017" s="189" t="s">
        <v>7482</v>
      </c>
      <c r="C2017" s="154" t="s">
        <v>7364</v>
      </c>
      <c r="D2017" s="154">
        <v>31</v>
      </c>
      <c r="E2017" s="154">
        <v>1</v>
      </c>
      <c r="F2017" s="154" t="s">
        <v>7483</v>
      </c>
      <c r="G2017" s="154" t="s">
        <v>7484</v>
      </c>
      <c r="H2017" s="154" t="s">
        <v>7485</v>
      </c>
      <c r="I2017" s="154" t="s">
        <v>223</v>
      </c>
      <c r="J2017" s="154" t="s">
        <v>29</v>
      </c>
      <c r="K2017" s="154" t="s">
        <v>2426</v>
      </c>
      <c r="O2017" s="173"/>
      <c r="P2017" s="174"/>
      <c r="Q2017" s="175">
        <v>4</v>
      </c>
      <c r="R2017" s="159">
        <v>2</v>
      </c>
      <c r="S2017" s="160"/>
      <c r="T2017" s="161">
        <v>4</v>
      </c>
      <c r="U2017" s="173"/>
      <c r="V2017" s="176"/>
      <c r="W2017" s="177">
        <v>2</v>
      </c>
      <c r="X2017" s="178"/>
      <c r="Y2017" s="159"/>
      <c r="Z2017" s="161"/>
      <c r="AA2017" s="160">
        <v>1</v>
      </c>
      <c r="AD2017" s="154" t="s">
        <v>7486</v>
      </c>
      <c r="AF2017" s="154" t="s">
        <v>7487</v>
      </c>
      <c r="AQ2017" s="173"/>
      <c r="AR2017" s="174"/>
      <c r="AS2017" s="175"/>
      <c r="AT2017" s="159"/>
      <c r="AU2017" s="161"/>
      <c r="AV2017" s="173"/>
      <c r="AW2017" s="176"/>
      <c r="AX2017" s="177"/>
      <c r="AY2017" s="178"/>
      <c r="AZ2017" s="159"/>
      <c r="BA2017" s="161"/>
      <c r="BB2017" s="160"/>
    </row>
    <row r="2018" spans="1:59" s="154" customFormat="1" ht="15" customHeight="1">
      <c r="A2018" s="153" t="s">
        <v>7362</v>
      </c>
      <c r="B2018" s="188" t="s">
        <v>7488</v>
      </c>
      <c r="C2018" s="154" t="s">
        <v>7364</v>
      </c>
      <c r="D2018" s="154">
        <v>32</v>
      </c>
      <c r="E2018" s="154">
        <v>1</v>
      </c>
      <c r="F2018" s="154" t="s">
        <v>7483</v>
      </c>
      <c r="G2018" s="154" t="s">
        <v>7489</v>
      </c>
      <c r="H2018" s="154" t="s">
        <v>7490</v>
      </c>
      <c r="I2018" s="154" t="s">
        <v>223</v>
      </c>
      <c r="J2018" s="154" t="s">
        <v>29</v>
      </c>
      <c r="K2018" s="154" t="s">
        <v>2426</v>
      </c>
      <c r="O2018" s="173"/>
      <c r="P2018" s="174"/>
      <c r="Q2018" s="175">
        <v>3</v>
      </c>
      <c r="R2018" s="159">
        <v>3</v>
      </c>
      <c r="S2018" s="160"/>
      <c r="T2018" s="161">
        <v>1</v>
      </c>
      <c r="U2018" s="173"/>
      <c r="V2018" s="176">
        <v>1</v>
      </c>
      <c r="W2018" s="177">
        <v>1</v>
      </c>
      <c r="X2018" s="178"/>
      <c r="Y2018" s="159"/>
      <c r="Z2018" s="161"/>
      <c r="AA2018" s="160">
        <v>1</v>
      </c>
      <c r="AD2018" s="154" t="s">
        <v>7486</v>
      </c>
      <c r="AF2018" s="154" t="s">
        <v>7491</v>
      </c>
      <c r="AQ2018" s="173"/>
      <c r="AR2018" s="174"/>
      <c r="AS2018" s="175"/>
      <c r="AT2018" s="159"/>
      <c r="AU2018" s="161"/>
      <c r="AV2018" s="173"/>
      <c r="AW2018" s="176"/>
      <c r="AX2018" s="177"/>
      <c r="AY2018" s="178"/>
      <c r="AZ2018" s="159"/>
      <c r="BA2018" s="161"/>
      <c r="BB2018" s="160"/>
    </row>
    <row r="2019" spans="1:59" s="154" customFormat="1" ht="15" customHeight="1">
      <c r="A2019" s="153" t="s">
        <v>7362</v>
      </c>
      <c r="B2019" s="189" t="s">
        <v>7492</v>
      </c>
      <c r="C2019" s="154" t="s">
        <v>7364</v>
      </c>
      <c r="D2019" s="154">
        <v>33</v>
      </c>
      <c r="E2019" s="154">
        <v>1</v>
      </c>
      <c r="F2019" s="154" t="s">
        <v>7483</v>
      </c>
      <c r="G2019" s="154" t="s">
        <v>7493</v>
      </c>
      <c r="H2019" s="154" t="s">
        <v>7494</v>
      </c>
      <c r="I2019" s="154" t="s">
        <v>223</v>
      </c>
      <c r="J2019" s="154" t="s">
        <v>29</v>
      </c>
      <c r="K2019" s="154" t="s">
        <v>2426</v>
      </c>
      <c r="O2019" s="173"/>
      <c r="P2019" s="174"/>
      <c r="Q2019" s="175">
        <v>5</v>
      </c>
      <c r="R2019" s="159">
        <v>3</v>
      </c>
      <c r="S2019" s="160"/>
      <c r="T2019" s="161">
        <v>3</v>
      </c>
      <c r="U2019" s="173"/>
      <c r="V2019" s="176">
        <v>2</v>
      </c>
      <c r="W2019" s="177"/>
      <c r="X2019" s="178"/>
      <c r="Y2019" s="159"/>
      <c r="Z2019" s="161"/>
      <c r="AA2019" s="160">
        <v>1</v>
      </c>
      <c r="AD2019" s="154" t="s">
        <v>7486</v>
      </c>
      <c r="AF2019" s="154" t="s">
        <v>7495</v>
      </c>
      <c r="AQ2019" s="173"/>
      <c r="AR2019" s="174"/>
      <c r="AS2019" s="175"/>
      <c r="AT2019" s="159"/>
      <c r="AU2019" s="161"/>
      <c r="AV2019" s="173"/>
      <c r="AW2019" s="176"/>
      <c r="AX2019" s="177"/>
      <c r="AY2019" s="178"/>
      <c r="AZ2019" s="159"/>
      <c r="BA2019" s="161"/>
      <c r="BB2019" s="160"/>
    </row>
    <row r="2020" spans="1:59" s="154" customFormat="1" ht="15" customHeight="1">
      <c r="A2020" s="153" t="s">
        <v>7362</v>
      </c>
      <c r="B2020" s="188" t="s">
        <v>7496</v>
      </c>
      <c r="C2020" s="154" t="s">
        <v>7364</v>
      </c>
      <c r="D2020" s="154">
        <v>34</v>
      </c>
      <c r="E2020" s="154">
        <v>1</v>
      </c>
      <c r="F2020" s="154" t="s">
        <v>7483</v>
      </c>
      <c r="G2020" s="154" t="s">
        <v>7497</v>
      </c>
      <c r="H2020" s="154" t="s">
        <v>7498</v>
      </c>
      <c r="I2020" s="154" t="s">
        <v>223</v>
      </c>
      <c r="J2020" s="154" t="s">
        <v>29</v>
      </c>
      <c r="K2020" s="154" t="s">
        <v>2426</v>
      </c>
      <c r="O2020" s="173"/>
      <c r="P2020" s="174"/>
      <c r="Q2020" s="175">
        <v>3</v>
      </c>
      <c r="R2020" s="159">
        <v>2</v>
      </c>
      <c r="S2020" s="160"/>
      <c r="T2020" s="161">
        <v>4</v>
      </c>
      <c r="U2020" s="173"/>
      <c r="V2020" s="176">
        <v>1</v>
      </c>
      <c r="W2020" s="177"/>
      <c r="X2020" s="178"/>
      <c r="Y2020" s="159"/>
      <c r="Z2020" s="161"/>
      <c r="AA2020" s="160">
        <v>1</v>
      </c>
      <c r="AD2020" s="154" t="s">
        <v>7486</v>
      </c>
      <c r="AF2020" s="154" t="s">
        <v>7499</v>
      </c>
      <c r="AQ2020" s="173"/>
      <c r="AR2020" s="174"/>
      <c r="AS2020" s="175"/>
      <c r="AT2020" s="159"/>
      <c r="AU2020" s="161"/>
      <c r="AV2020" s="173"/>
      <c r="AW2020" s="176"/>
      <c r="AX2020" s="177"/>
      <c r="AY2020" s="178"/>
      <c r="AZ2020" s="159"/>
      <c r="BA2020" s="161"/>
      <c r="BB2020" s="160"/>
    </row>
    <row r="2021" spans="1:59" s="154" customFormat="1" ht="15" customHeight="1">
      <c r="A2021" s="153" t="s">
        <v>7362</v>
      </c>
      <c r="B2021" s="188" t="s">
        <v>7500</v>
      </c>
      <c r="C2021" s="154" t="s">
        <v>7364</v>
      </c>
      <c r="D2021" s="154">
        <v>35</v>
      </c>
      <c r="E2021" s="154">
        <v>1</v>
      </c>
      <c r="F2021" s="154" t="s">
        <v>7483</v>
      </c>
      <c r="G2021" s="154" t="s">
        <v>7501</v>
      </c>
      <c r="H2021" s="154" t="s">
        <v>7502</v>
      </c>
      <c r="I2021" s="154" t="s">
        <v>223</v>
      </c>
      <c r="J2021" s="154" t="s">
        <v>29</v>
      </c>
      <c r="K2021" s="154" t="s">
        <v>2426</v>
      </c>
      <c r="O2021" s="173"/>
      <c r="P2021" s="174"/>
      <c r="Q2021" s="175">
        <v>4</v>
      </c>
      <c r="R2021" s="159">
        <v>4</v>
      </c>
      <c r="S2021" s="160"/>
      <c r="T2021" s="161">
        <v>6</v>
      </c>
      <c r="U2021" s="173"/>
      <c r="V2021" s="176"/>
      <c r="W2021" s="177"/>
      <c r="X2021" s="178"/>
      <c r="Y2021" s="159"/>
      <c r="Z2021" s="161"/>
      <c r="AA2021" s="160">
        <v>1</v>
      </c>
      <c r="AD2021" s="154" t="s">
        <v>7486</v>
      </c>
      <c r="AF2021" s="154" t="s">
        <v>7503</v>
      </c>
      <c r="AQ2021" s="173"/>
      <c r="AR2021" s="174"/>
      <c r="AS2021" s="175"/>
      <c r="AT2021" s="159"/>
      <c r="AU2021" s="161"/>
      <c r="AV2021" s="173"/>
      <c r="AW2021" s="176"/>
      <c r="AX2021" s="177"/>
      <c r="AY2021" s="178"/>
      <c r="AZ2021" s="159"/>
      <c r="BA2021" s="161"/>
      <c r="BB2021" s="160"/>
    </row>
    <row r="2022" spans="1:59" s="154" customFormat="1" ht="15" customHeight="1">
      <c r="A2022" s="153" t="s">
        <v>7362</v>
      </c>
      <c r="B2022" s="188" t="s">
        <v>7504</v>
      </c>
      <c r="C2022" s="154" t="s">
        <v>7364</v>
      </c>
      <c r="D2022" s="154">
        <v>36</v>
      </c>
      <c r="E2022" s="154">
        <v>1</v>
      </c>
      <c r="F2022" s="154" t="s">
        <v>7483</v>
      </c>
      <c r="G2022" s="154" t="s">
        <v>7505</v>
      </c>
      <c r="H2022" s="154" t="s">
        <v>7506</v>
      </c>
      <c r="I2022" s="154" t="s">
        <v>223</v>
      </c>
      <c r="J2022" s="154" t="s">
        <v>29</v>
      </c>
      <c r="K2022" s="154" t="s">
        <v>2426</v>
      </c>
      <c r="O2022" s="173"/>
      <c r="P2022" s="174"/>
      <c r="Q2022" s="175">
        <v>3</v>
      </c>
      <c r="R2022" s="159">
        <v>4</v>
      </c>
      <c r="S2022" s="160"/>
      <c r="T2022" s="161">
        <v>4</v>
      </c>
      <c r="U2022" s="173"/>
      <c r="V2022" s="176"/>
      <c r="W2022" s="177">
        <v>1</v>
      </c>
      <c r="X2022" s="178"/>
      <c r="Y2022" s="159"/>
      <c r="Z2022" s="161"/>
      <c r="AA2022" s="160">
        <v>1</v>
      </c>
      <c r="AD2022" s="154" t="s">
        <v>7486</v>
      </c>
      <c r="AF2022" s="154" t="s">
        <v>7507</v>
      </c>
      <c r="AQ2022" s="173"/>
      <c r="AR2022" s="174"/>
      <c r="AS2022" s="175"/>
      <c r="AT2022" s="159"/>
      <c r="AU2022" s="161"/>
      <c r="AV2022" s="173"/>
      <c r="AW2022" s="176"/>
      <c r="AX2022" s="177"/>
      <c r="AY2022" s="178"/>
      <c r="AZ2022" s="159"/>
      <c r="BA2022" s="161"/>
      <c r="BB2022" s="160"/>
    </row>
    <row r="2023" spans="1:59" s="154" customFormat="1" ht="15" customHeight="1">
      <c r="A2023" s="153" t="s">
        <v>7362</v>
      </c>
      <c r="B2023" s="188" t="s">
        <v>7508</v>
      </c>
      <c r="C2023" s="154" t="s">
        <v>7364</v>
      </c>
      <c r="D2023" s="154">
        <v>37</v>
      </c>
      <c r="E2023" s="154">
        <v>1</v>
      </c>
      <c r="F2023" s="154" t="s">
        <v>7509</v>
      </c>
      <c r="G2023" s="154" t="s">
        <v>3949</v>
      </c>
      <c r="J2023" s="154" t="s">
        <v>31</v>
      </c>
      <c r="K2023" s="154" t="s">
        <v>2426</v>
      </c>
      <c r="O2023" s="173"/>
      <c r="P2023" s="174"/>
      <c r="Q2023" s="175"/>
      <c r="R2023" s="159"/>
      <c r="S2023" s="160"/>
      <c r="T2023" s="161"/>
      <c r="U2023" s="173"/>
      <c r="V2023" s="176"/>
      <c r="W2023" s="177"/>
      <c r="X2023" s="178"/>
      <c r="Y2023" s="159"/>
      <c r="Z2023" s="161"/>
      <c r="AA2023" s="160"/>
      <c r="AD2023" s="154" t="s">
        <v>7510</v>
      </c>
      <c r="AI2023" s="154" t="s">
        <v>3949</v>
      </c>
      <c r="AL2023" s="154" t="s">
        <v>31</v>
      </c>
      <c r="AM2023" s="154" t="s">
        <v>2426</v>
      </c>
      <c r="AQ2023" s="173"/>
      <c r="AR2023" s="174"/>
      <c r="AS2023" s="175"/>
      <c r="AT2023" s="159"/>
      <c r="AU2023" s="161"/>
      <c r="AV2023" s="173"/>
      <c r="AW2023" s="176"/>
      <c r="AX2023" s="177"/>
      <c r="AY2023" s="178">
        <v>2</v>
      </c>
      <c r="AZ2023" s="159">
        <v>0</v>
      </c>
      <c r="BA2023" s="161"/>
      <c r="BB2023" s="160"/>
      <c r="BE2023" s="154" t="s">
        <v>7510</v>
      </c>
      <c r="BG2023" s="154" t="s">
        <v>7511</v>
      </c>
    </row>
    <row r="2024" spans="1:59" s="154" customFormat="1" ht="15" customHeight="1">
      <c r="A2024" s="153" t="s">
        <v>7362</v>
      </c>
      <c r="B2024" s="189" t="s">
        <v>7512</v>
      </c>
      <c r="C2024" s="154" t="s">
        <v>7364</v>
      </c>
      <c r="D2024" s="154">
        <v>38</v>
      </c>
      <c r="E2024" s="154">
        <v>1</v>
      </c>
      <c r="F2024" s="154" t="s">
        <v>7509</v>
      </c>
      <c r="G2024" s="154" t="s">
        <v>7513</v>
      </c>
      <c r="J2024" s="154" t="s">
        <v>31</v>
      </c>
      <c r="K2024" s="154" t="s">
        <v>2426</v>
      </c>
      <c r="O2024" s="173"/>
      <c r="P2024" s="174"/>
      <c r="Q2024" s="175"/>
      <c r="R2024" s="159"/>
      <c r="S2024" s="160"/>
      <c r="T2024" s="161"/>
      <c r="U2024" s="173"/>
      <c r="V2024" s="176"/>
      <c r="W2024" s="177"/>
      <c r="X2024" s="178">
        <v>2</v>
      </c>
      <c r="Y2024" s="159" t="s">
        <v>1073</v>
      </c>
      <c r="Z2024" s="161"/>
      <c r="AA2024" s="160"/>
      <c r="AD2024" s="154" t="s">
        <v>7514</v>
      </c>
      <c r="AF2024" s="154" t="s">
        <v>7515</v>
      </c>
      <c r="AQ2024" s="173"/>
      <c r="AR2024" s="174"/>
      <c r="AS2024" s="175"/>
      <c r="AT2024" s="159"/>
      <c r="AU2024" s="161"/>
      <c r="AV2024" s="173"/>
      <c r="AW2024" s="176"/>
      <c r="AX2024" s="177"/>
      <c r="AY2024" s="178"/>
      <c r="AZ2024" s="159"/>
      <c r="BA2024" s="161"/>
      <c r="BB2024" s="160"/>
    </row>
    <row r="2025" spans="1:59" s="154" customFormat="1" ht="15" customHeight="1">
      <c r="A2025" s="153" t="s">
        <v>7362</v>
      </c>
      <c r="B2025" s="188" t="s">
        <v>7516</v>
      </c>
      <c r="C2025" s="154" t="s">
        <v>7364</v>
      </c>
      <c r="D2025" s="154">
        <v>39</v>
      </c>
      <c r="E2025" s="154">
        <v>1</v>
      </c>
      <c r="F2025" s="154" t="s">
        <v>7509</v>
      </c>
      <c r="G2025" s="154" t="s">
        <v>7517</v>
      </c>
      <c r="J2025" s="154" t="s">
        <v>31</v>
      </c>
      <c r="K2025" s="154" t="s">
        <v>2426</v>
      </c>
      <c r="O2025" s="173"/>
      <c r="P2025" s="174"/>
      <c r="Q2025" s="175"/>
      <c r="R2025" s="159"/>
      <c r="S2025" s="160"/>
      <c r="T2025" s="161"/>
      <c r="U2025" s="173"/>
      <c r="V2025" s="176"/>
      <c r="W2025" s="177"/>
      <c r="X2025" s="178">
        <v>7</v>
      </c>
      <c r="Y2025" s="159">
        <v>0</v>
      </c>
      <c r="Z2025" s="161"/>
      <c r="AA2025" s="160"/>
      <c r="AD2025" s="154" t="s">
        <v>7514</v>
      </c>
      <c r="AF2025" s="154" t="s">
        <v>7518</v>
      </c>
      <c r="AQ2025" s="173"/>
      <c r="AR2025" s="174"/>
      <c r="AS2025" s="175"/>
      <c r="AT2025" s="159"/>
      <c r="AU2025" s="161"/>
      <c r="AV2025" s="173"/>
      <c r="AW2025" s="176"/>
      <c r="AX2025" s="177"/>
      <c r="AY2025" s="178"/>
      <c r="AZ2025" s="159"/>
      <c r="BA2025" s="161"/>
      <c r="BB2025" s="160"/>
    </row>
    <row r="2026" spans="1:59" s="154" customFormat="1" ht="15" customHeight="1">
      <c r="A2026" s="153" t="s">
        <v>7362</v>
      </c>
      <c r="B2026" s="190" t="s">
        <v>7519</v>
      </c>
      <c r="C2026" s="154" t="s">
        <v>7364</v>
      </c>
      <c r="D2026" s="154">
        <v>40</v>
      </c>
      <c r="E2026" s="154">
        <v>1</v>
      </c>
      <c r="F2026" s="154" t="s">
        <v>7509</v>
      </c>
      <c r="G2026" s="154" t="s">
        <v>7520</v>
      </c>
      <c r="J2026" s="154" t="s">
        <v>31</v>
      </c>
      <c r="K2026" s="154" t="s">
        <v>2426</v>
      </c>
      <c r="O2026" s="173"/>
      <c r="P2026" s="174"/>
      <c r="Q2026" s="175"/>
      <c r="R2026" s="159"/>
      <c r="S2026" s="160"/>
      <c r="T2026" s="161"/>
      <c r="U2026" s="173"/>
      <c r="V2026" s="176"/>
      <c r="W2026" s="177"/>
      <c r="X2026" s="178">
        <v>3</v>
      </c>
      <c r="Y2026" s="159" t="s">
        <v>1073</v>
      </c>
      <c r="Z2026" s="161"/>
      <c r="AA2026" s="160"/>
      <c r="AD2026" s="154" t="s">
        <v>7514</v>
      </c>
      <c r="AF2026" s="154" t="s">
        <v>7521</v>
      </c>
      <c r="AQ2026" s="173"/>
      <c r="AR2026" s="174"/>
      <c r="AS2026" s="175"/>
      <c r="AT2026" s="159"/>
      <c r="AU2026" s="161"/>
      <c r="AV2026" s="173"/>
      <c r="AW2026" s="176"/>
      <c r="AX2026" s="177"/>
      <c r="AY2026" s="178"/>
      <c r="AZ2026" s="159"/>
      <c r="BA2026" s="161"/>
      <c r="BB2026" s="160"/>
    </row>
    <row r="2027" spans="1:59" s="154" customFormat="1" ht="15" customHeight="1">
      <c r="A2027" s="153" t="s">
        <v>7362</v>
      </c>
      <c r="B2027" s="187" t="s">
        <v>7522</v>
      </c>
      <c r="C2027" s="154" t="s">
        <v>7364</v>
      </c>
      <c r="D2027" s="154">
        <v>41</v>
      </c>
      <c r="E2027" s="154">
        <v>1</v>
      </c>
      <c r="F2027" s="154" t="s">
        <v>7509</v>
      </c>
      <c r="G2027" s="154" t="s">
        <v>7523</v>
      </c>
      <c r="J2027" s="154" t="s">
        <v>31</v>
      </c>
      <c r="K2027" s="154" t="s">
        <v>2426</v>
      </c>
      <c r="O2027" s="173"/>
      <c r="P2027" s="174"/>
      <c r="Q2027" s="175"/>
      <c r="R2027" s="159"/>
      <c r="S2027" s="160"/>
      <c r="T2027" s="161"/>
      <c r="U2027" s="173"/>
      <c r="V2027" s="176"/>
      <c r="W2027" s="177"/>
      <c r="X2027" s="178">
        <v>4</v>
      </c>
      <c r="Y2027" s="159" t="s">
        <v>1073</v>
      </c>
      <c r="Z2027" s="161"/>
      <c r="AA2027" s="160"/>
      <c r="AD2027" s="154" t="s">
        <v>7524</v>
      </c>
      <c r="AF2027" s="154" t="s">
        <v>7525</v>
      </c>
      <c r="AQ2027" s="173"/>
      <c r="AR2027" s="174"/>
      <c r="AS2027" s="175"/>
      <c r="AT2027" s="159"/>
      <c r="AU2027" s="161"/>
      <c r="AV2027" s="173"/>
      <c r="AW2027" s="176"/>
      <c r="AX2027" s="177"/>
      <c r="AY2027" s="178"/>
      <c r="AZ2027" s="159"/>
      <c r="BA2027" s="161"/>
      <c r="BB2027" s="160"/>
    </row>
    <row r="2028" spans="1:59" s="154" customFormat="1" ht="15" customHeight="1">
      <c r="A2028" s="153" t="s">
        <v>7362</v>
      </c>
      <c r="B2028" s="187" t="s">
        <v>7526</v>
      </c>
      <c r="C2028" s="154" t="s">
        <v>7364</v>
      </c>
      <c r="D2028" s="154">
        <v>42</v>
      </c>
      <c r="E2028" s="154">
        <v>1</v>
      </c>
      <c r="F2028" s="154" t="s">
        <v>7509</v>
      </c>
      <c r="G2028" s="154" t="s">
        <v>7527</v>
      </c>
      <c r="J2028" s="154" t="s">
        <v>31</v>
      </c>
      <c r="K2028" s="154" t="s">
        <v>2426</v>
      </c>
      <c r="O2028" s="173"/>
      <c r="P2028" s="174"/>
      <c r="Q2028" s="175"/>
      <c r="R2028" s="159"/>
      <c r="S2028" s="160"/>
      <c r="T2028" s="161"/>
      <c r="U2028" s="173"/>
      <c r="V2028" s="176"/>
      <c r="W2028" s="177"/>
      <c r="X2028" s="178">
        <v>-2</v>
      </c>
      <c r="Y2028" s="159" t="s">
        <v>1073</v>
      </c>
      <c r="Z2028" s="161"/>
      <c r="AA2028" s="160"/>
      <c r="AD2028" s="154" t="s">
        <v>7528</v>
      </c>
      <c r="AF2028" s="154" t="s">
        <v>7529</v>
      </c>
      <c r="AQ2028" s="173"/>
      <c r="AR2028" s="174"/>
      <c r="AS2028" s="175"/>
      <c r="AT2028" s="159"/>
      <c r="AU2028" s="161"/>
      <c r="AV2028" s="173"/>
      <c r="AW2028" s="176"/>
      <c r="AX2028" s="177"/>
      <c r="AY2028" s="178"/>
      <c r="AZ2028" s="159"/>
      <c r="BA2028" s="161"/>
      <c r="BB2028" s="160"/>
    </row>
    <row r="2029" spans="1:59" ht="15" customHeight="1">
      <c r="A2029" s="153" t="s">
        <v>7362</v>
      </c>
      <c r="B2029" s="190" t="s">
        <v>7530</v>
      </c>
      <c r="C2029" s="154" t="s">
        <v>7364</v>
      </c>
      <c r="D2029" s="23">
        <v>43</v>
      </c>
      <c r="E2029" s="23">
        <v>1</v>
      </c>
      <c r="F2029" s="154" t="s">
        <v>7509</v>
      </c>
      <c r="G2029" s="154" t="s">
        <v>7531</v>
      </c>
      <c r="J2029" s="23" t="s">
        <v>31</v>
      </c>
      <c r="K2029" s="23" t="s">
        <v>2426</v>
      </c>
      <c r="N2029" s="191"/>
      <c r="O2029" s="129"/>
      <c r="P2029" s="130"/>
      <c r="Q2029" s="131"/>
      <c r="R2029" s="29"/>
      <c r="S2029" s="135"/>
      <c r="T2029" s="122"/>
      <c r="U2029" s="129"/>
      <c r="V2029" s="136"/>
      <c r="W2029" s="137"/>
      <c r="X2029" s="134">
        <v>5</v>
      </c>
      <c r="Y2029" s="29" t="s">
        <v>1073</v>
      </c>
      <c r="Z2029" s="122"/>
      <c r="AA2029" s="135"/>
      <c r="AB2029" s="148"/>
      <c r="AD2029" s="23" t="s">
        <v>7514</v>
      </c>
      <c r="AE2029" s="23"/>
      <c r="AF2029" s="23" t="s">
        <v>7532</v>
      </c>
      <c r="AI2029" s="154"/>
      <c r="AP2029" s="23"/>
      <c r="AQ2029" s="129"/>
      <c r="AR2029" s="130"/>
      <c r="AS2029" s="131"/>
      <c r="AT2029" s="29"/>
      <c r="AU2029" s="122"/>
      <c r="AV2029" s="129"/>
      <c r="AW2029" s="136"/>
      <c r="AX2029" s="137"/>
      <c r="AY2029" s="134"/>
      <c r="AZ2029" s="29"/>
      <c r="BA2029" s="122"/>
      <c r="BB2029" s="135"/>
      <c r="BF2029" s="23"/>
    </row>
    <row r="2030" spans="1:59" ht="15" customHeight="1">
      <c r="A2030" s="153" t="s">
        <v>7362</v>
      </c>
      <c r="B2030" s="187" t="s">
        <v>7533</v>
      </c>
      <c r="C2030" s="154" t="s">
        <v>7364</v>
      </c>
      <c r="D2030" s="23">
        <v>44</v>
      </c>
      <c r="E2030" s="23">
        <v>1</v>
      </c>
      <c r="F2030" s="154" t="s">
        <v>7509</v>
      </c>
      <c r="G2030" s="154" t="s">
        <v>7534</v>
      </c>
      <c r="J2030" s="23" t="s">
        <v>31</v>
      </c>
      <c r="K2030" s="23" t="s">
        <v>2426</v>
      </c>
      <c r="N2030" s="191"/>
      <c r="O2030" s="129"/>
      <c r="P2030" s="130"/>
      <c r="Q2030" s="131"/>
      <c r="R2030" s="29"/>
      <c r="S2030" s="135"/>
      <c r="T2030" s="122"/>
      <c r="U2030" s="129"/>
      <c r="V2030" s="136"/>
      <c r="W2030" s="137"/>
      <c r="X2030" s="134">
        <v>3</v>
      </c>
      <c r="Y2030" s="29" t="s">
        <v>1073</v>
      </c>
      <c r="Z2030" s="122"/>
      <c r="AA2030" s="135"/>
      <c r="AB2030" s="148"/>
      <c r="AD2030" s="23" t="s">
        <v>7528</v>
      </c>
      <c r="AE2030" s="23"/>
      <c r="AF2030" s="23" t="s">
        <v>7535</v>
      </c>
      <c r="AI2030" s="154"/>
      <c r="AP2030" s="23"/>
      <c r="AQ2030" s="129"/>
      <c r="AR2030" s="130"/>
      <c r="AS2030" s="131"/>
      <c r="AT2030" s="29"/>
      <c r="AU2030" s="122"/>
      <c r="AV2030" s="129"/>
      <c r="AW2030" s="136"/>
      <c r="AX2030" s="137"/>
      <c r="AY2030" s="134"/>
      <c r="AZ2030" s="29"/>
      <c r="BA2030" s="122"/>
      <c r="BB2030" s="135"/>
      <c r="BF2030" s="23"/>
    </row>
    <row r="2031" spans="1:59" ht="15" customHeight="1">
      <c r="A2031" s="153" t="s">
        <v>7362</v>
      </c>
      <c r="B2031" s="187" t="s">
        <v>7536</v>
      </c>
      <c r="C2031" s="154" t="s">
        <v>7364</v>
      </c>
      <c r="D2031" s="23">
        <v>45</v>
      </c>
      <c r="E2031" s="23">
        <v>2</v>
      </c>
      <c r="F2031" s="154" t="s">
        <v>7509</v>
      </c>
      <c r="G2031" s="154" t="s">
        <v>7537</v>
      </c>
      <c r="J2031" s="23" t="s">
        <v>29</v>
      </c>
      <c r="K2031" s="23" t="s">
        <v>2426</v>
      </c>
      <c r="N2031" s="191"/>
      <c r="O2031" s="129"/>
      <c r="P2031" s="130"/>
      <c r="Q2031" s="131">
        <v>4</v>
      </c>
      <c r="R2031" s="29">
        <v>2</v>
      </c>
      <c r="S2031" s="135"/>
      <c r="T2031" s="122">
        <v>4</v>
      </c>
      <c r="U2031" s="129"/>
      <c r="V2031" s="136">
        <v>1</v>
      </c>
      <c r="W2031" s="137"/>
      <c r="X2031" s="134"/>
      <c r="Y2031" s="29"/>
      <c r="Z2031" s="122"/>
      <c r="AA2031" s="135"/>
      <c r="AB2031" s="148"/>
      <c r="AD2031" s="23" t="s">
        <v>7423</v>
      </c>
      <c r="AE2031" s="23"/>
      <c r="AF2031" s="23" t="s">
        <v>7538</v>
      </c>
      <c r="AI2031" s="154"/>
      <c r="AP2031" s="23"/>
      <c r="AQ2031" s="129"/>
      <c r="AR2031" s="130"/>
      <c r="AS2031" s="131"/>
      <c r="AT2031" s="29"/>
      <c r="AU2031" s="122"/>
      <c r="AV2031" s="129"/>
      <c r="AW2031" s="136"/>
      <c r="AX2031" s="137"/>
      <c r="AY2031" s="134"/>
      <c r="AZ2031" s="29"/>
      <c r="BA2031" s="122"/>
      <c r="BB2031" s="135"/>
      <c r="BF2031" s="23"/>
    </row>
    <row r="2032" spans="1:59" ht="15" customHeight="1">
      <c r="A2032" s="153" t="s">
        <v>7362</v>
      </c>
      <c r="B2032" s="187" t="s">
        <v>7539</v>
      </c>
      <c r="C2032" s="154" t="s">
        <v>7364</v>
      </c>
      <c r="D2032" s="23">
        <v>46</v>
      </c>
      <c r="E2032" s="23">
        <v>2</v>
      </c>
      <c r="F2032" s="154" t="s">
        <v>7509</v>
      </c>
      <c r="G2032" s="154" t="s">
        <v>7540</v>
      </c>
      <c r="J2032" s="23" t="s">
        <v>29</v>
      </c>
      <c r="K2032" s="23" t="s">
        <v>2426</v>
      </c>
      <c r="N2032" s="191"/>
      <c r="O2032" s="129"/>
      <c r="P2032" s="130"/>
      <c r="Q2032" s="131">
        <v>3</v>
      </c>
      <c r="R2032" s="29">
        <v>2</v>
      </c>
      <c r="S2032" s="135"/>
      <c r="T2032" s="122">
        <v>5</v>
      </c>
      <c r="U2032" s="129"/>
      <c r="V2032" s="136">
        <v>1</v>
      </c>
      <c r="W2032" s="137">
        <v>1</v>
      </c>
      <c r="X2032" s="134"/>
      <c r="Y2032" s="29"/>
      <c r="Z2032" s="122"/>
      <c r="AA2032" s="135"/>
      <c r="AB2032" s="148"/>
      <c r="AD2032" s="23" t="s">
        <v>2784</v>
      </c>
      <c r="AE2032" s="23"/>
      <c r="AF2032" s="23" t="s">
        <v>7541</v>
      </c>
      <c r="AI2032" s="154"/>
      <c r="AP2032" s="23"/>
      <c r="AQ2032" s="129"/>
      <c r="AR2032" s="130"/>
      <c r="AS2032" s="131"/>
      <c r="AT2032" s="29"/>
      <c r="AU2032" s="122"/>
      <c r="AV2032" s="129"/>
      <c r="AW2032" s="136"/>
      <c r="AX2032" s="137"/>
      <c r="AY2032" s="134"/>
      <c r="AZ2032" s="29"/>
      <c r="BA2032" s="122"/>
      <c r="BB2032" s="135"/>
      <c r="BF2032" s="23"/>
    </row>
    <row r="2033" spans="1:58" ht="15" customHeight="1">
      <c r="A2033" s="153" t="s">
        <v>7362</v>
      </c>
      <c r="B2033" s="187" t="s">
        <v>7542</v>
      </c>
      <c r="C2033" s="154" t="s">
        <v>7364</v>
      </c>
      <c r="D2033" s="23">
        <v>47</v>
      </c>
      <c r="E2033" s="23">
        <v>3</v>
      </c>
      <c r="F2033" s="154" t="s">
        <v>7509</v>
      </c>
      <c r="G2033" s="154" t="s">
        <v>7543</v>
      </c>
      <c r="J2033" s="23" t="s">
        <v>28</v>
      </c>
      <c r="K2033" s="23" t="s">
        <v>2426</v>
      </c>
      <c r="N2033" s="191"/>
      <c r="O2033" s="129"/>
      <c r="P2033" s="130"/>
      <c r="Q2033" s="131"/>
      <c r="R2033" s="29"/>
      <c r="S2033" s="135"/>
      <c r="T2033" s="122"/>
      <c r="U2033" s="129"/>
      <c r="V2033" s="136"/>
      <c r="W2033" s="137"/>
      <c r="X2033" s="134"/>
      <c r="Y2033" s="29"/>
      <c r="Z2033" s="122"/>
      <c r="AA2033" s="135"/>
      <c r="AB2033" s="148"/>
      <c r="AD2033" s="23" t="s">
        <v>1663</v>
      </c>
      <c r="AE2033" s="23"/>
      <c r="AF2033" s="23" t="s">
        <v>7544</v>
      </c>
      <c r="AI2033" s="154"/>
      <c r="AP2033" s="23"/>
      <c r="AQ2033" s="129"/>
      <c r="AR2033" s="130"/>
      <c r="AS2033" s="131"/>
      <c r="AT2033" s="29"/>
      <c r="AU2033" s="122"/>
      <c r="AV2033" s="129"/>
      <c r="AW2033" s="136"/>
      <c r="AX2033" s="137"/>
      <c r="AY2033" s="134"/>
      <c r="AZ2033" s="29"/>
      <c r="BA2033" s="122"/>
      <c r="BB2033" s="135"/>
      <c r="BF2033" s="23"/>
    </row>
    <row r="2034" spans="1:58" ht="15" customHeight="1">
      <c r="A2034" s="153" t="s">
        <v>7362</v>
      </c>
      <c r="B2034" s="187" t="s">
        <v>7545</v>
      </c>
      <c r="C2034" s="154" t="s">
        <v>7364</v>
      </c>
      <c r="D2034" s="23">
        <v>48</v>
      </c>
      <c r="E2034" s="23">
        <v>3</v>
      </c>
      <c r="F2034" s="154" t="s">
        <v>7509</v>
      </c>
      <c r="G2034" s="154" t="s">
        <v>7546</v>
      </c>
      <c r="J2034" s="23" t="s">
        <v>28</v>
      </c>
      <c r="K2034" s="23" t="s">
        <v>2426</v>
      </c>
      <c r="N2034" s="191"/>
      <c r="O2034" s="129"/>
      <c r="P2034" s="130"/>
      <c r="Q2034" s="131"/>
      <c r="R2034" s="29"/>
      <c r="S2034" s="135"/>
      <c r="T2034" s="122"/>
      <c r="U2034" s="129"/>
      <c r="V2034" s="136"/>
      <c r="W2034" s="137"/>
      <c r="X2034" s="134"/>
      <c r="Y2034" s="29"/>
      <c r="Z2034" s="122"/>
      <c r="AA2034" s="135"/>
      <c r="AB2034" s="148"/>
      <c r="AD2034" s="23" t="s">
        <v>479</v>
      </c>
      <c r="AE2034" s="23"/>
      <c r="AF2034" s="23" t="s">
        <v>7547</v>
      </c>
      <c r="AI2034" s="154"/>
      <c r="AP2034" s="23"/>
      <c r="AQ2034" s="129"/>
      <c r="AR2034" s="130"/>
      <c r="AS2034" s="131"/>
      <c r="AT2034" s="29"/>
      <c r="AU2034" s="122"/>
      <c r="AV2034" s="129"/>
      <c r="AW2034" s="136"/>
      <c r="AX2034" s="137"/>
      <c r="AY2034" s="134"/>
      <c r="AZ2034" s="29"/>
      <c r="BA2034" s="122"/>
      <c r="BB2034" s="135"/>
      <c r="BF2034" s="23"/>
    </row>
    <row r="2035" spans="1:58" s="154" customFormat="1" ht="15" customHeight="1">
      <c r="A2035" s="153" t="s">
        <v>7362</v>
      </c>
      <c r="B2035" s="187" t="s">
        <v>7548</v>
      </c>
      <c r="C2035" s="154" t="s">
        <v>7364</v>
      </c>
      <c r="D2035" s="154">
        <v>49</v>
      </c>
      <c r="E2035" s="154">
        <v>3</v>
      </c>
      <c r="F2035" s="154" t="s">
        <v>7509</v>
      </c>
      <c r="G2035" s="154" t="s">
        <v>7549</v>
      </c>
      <c r="J2035" s="154" t="s">
        <v>28</v>
      </c>
      <c r="K2035" s="154" t="s">
        <v>2426</v>
      </c>
      <c r="O2035" s="173"/>
      <c r="P2035" s="174"/>
      <c r="Q2035" s="175"/>
      <c r="R2035" s="159"/>
      <c r="S2035" s="160"/>
      <c r="T2035" s="161"/>
      <c r="U2035" s="173"/>
      <c r="V2035" s="176"/>
      <c r="W2035" s="177"/>
      <c r="X2035" s="178"/>
      <c r="Y2035" s="159"/>
      <c r="Z2035" s="161"/>
      <c r="AA2035" s="160"/>
      <c r="AD2035" s="154" t="s">
        <v>1196</v>
      </c>
      <c r="AF2035" s="154" t="s">
        <v>7550</v>
      </c>
      <c r="AQ2035" s="173"/>
      <c r="AR2035" s="174"/>
      <c r="AS2035" s="175"/>
      <c r="AT2035" s="159"/>
      <c r="AU2035" s="161"/>
      <c r="AV2035" s="173"/>
      <c r="AW2035" s="176"/>
      <c r="AX2035" s="177"/>
      <c r="AY2035" s="178"/>
      <c r="AZ2035" s="159"/>
      <c r="BA2035" s="161"/>
      <c r="BB2035" s="160"/>
    </row>
    <row r="2036" spans="1:58" s="154" customFormat="1" ht="15" customHeight="1">
      <c r="A2036" s="153" t="s">
        <v>7362</v>
      </c>
      <c r="B2036" s="187" t="s">
        <v>7551</v>
      </c>
      <c r="C2036" s="154" t="s">
        <v>7364</v>
      </c>
      <c r="D2036" s="154">
        <v>50</v>
      </c>
      <c r="E2036" s="154">
        <v>3</v>
      </c>
      <c r="F2036" s="154" t="s">
        <v>7509</v>
      </c>
      <c r="G2036" s="154" t="s">
        <v>7552</v>
      </c>
      <c r="J2036" s="154" t="s">
        <v>28</v>
      </c>
      <c r="K2036" s="154" t="s">
        <v>2426</v>
      </c>
      <c r="O2036" s="173"/>
      <c r="P2036" s="174"/>
      <c r="Q2036" s="175"/>
      <c r="R2036" s="159"/>
      <c r="S2036" s="160"/>
      <c r="T2036" s="161"/>
      <c r="U2036" s="173"/>
      <c r="V2036" s="176"/>
      <c r="W2036" s="177"/>
      <c r="X2036" s="178"/>
      <c r="Y2036" s="159"/>
      <c r="Z2036" s="161"/>
      <c r="AA2036" s="160"/>
      <c r="AD2036" s="154" t="s">
        <v>1663</v>
      </c>
      <c r="AF2036" s="154" t="s">
        <v>7553</v>
      </c>
      <c r="AQ2036" s="173"/>
      <c r="AR2036" s="174"/>
      <c r="AS2036" s="175"/>
      <c r="AT2036" s="159"/>
      <c r="AU2036" s="161"/>
      <c r="AV2036" s="173"/>
      <c r="AW2036" s="176"/>
      <c r="AX2036" s="177"/>
      <c r="AY2036" s="178"/>
      <c r="AZ2036" s="159"/>
      <c r="BA2036" s="161"/>
      <c r="BB2036" s="160"/>
    </row>
    <row r="2037" spans="1:58" s="154" customFormat="1" ht="15" customHeight="1">
      <c r="A2037" s="153" t="s">
        <v>7362</v>
      </c>
      <c r="B2037" s="187" t="s">
        <v>7554</v>
      </c>
      <c r="C2037" s="154" t="s">
        <v>7364</v>
      </c>
      <c r="D2037" s="154">
        <v>51</v>
      </c>
      <c r="E2037" s="154">
        <v>2</v>
      </c>
      <c r="F2037" s="154" t="s">
        <v>7509</v>
      </c>
      <c r="G2037" s="154" t="s">
        <v>7555</v>
      </c>
      <c r="J2037" s="154" t="s">
        <v>28</v>
      </c>
      <c r="K2037" s="154" t="s">
        <v>2426</v>
      </c>
      <c r="O2037" s="173"/>
      <c r="P2037" s="174"/>
      <c r="Q2037" s="175"/>
      <c r="R2037" s="159"/>
      <c r="S2037" s="160"/>
      <c r="T2037" s="161"/>
      <c r="U2037" s="173"/>
      <c r="V2037" s="176"/>
      <c r="W2037" s="177"/>
      <c r="X2037" s="178"/>
      <c r="Y2037" s="159"/>
      <c r="Z2037" s="161"/>
      <c r="AA2037" s="160"/>
      <c r="AD2037" s="154" t="s">
        <v>7556</v>
      </c>
      <c r="AF2037" s="154" t="s">
        <v>7557</v>
      </c>
      <c r="AQ2037" s="173"/>
      <c r="AR2037" s="174"/>
      <c r="AS2037" s="175"/>
      <c r="AT2037" s="159"/>
      <c r="AU2037" s="161"/>
      <c r="AV2037" s="173"/>
      <c r="AW2037" s="176"/>
      <c r="AX2037" s="177"/>
      <c r="AY2037" s="178"/>
      <c r="AZ2037" s="159"/>
      <c r="BA2037" s="161"/>
      <c r="BB2037" s="160"/>
    </row>
    <row r="2038" spans="1:58" s="154" customFormat="1" ht="15" customHeight="1">
      <c r="A2038" s="153" t="s">
        <v>7362</v>
      </c>
      <c r="B2038" s="187" t="s">
        <v>7558</v>
      </c>
      <c r="C2038" s="154" t="s">
        <v>7364</v>
      </c>
      <c r="D2038" s="154">
        <v>52</v>
      </c>
      <c r="E2038" s="154">
        <v>2</v>
      </c>
      <c r="F2038" s="154" t="s">
        <v>7509</v>
      </c>
      <c r="G2038" s="154" t="s">
        <v>7559</v>
      </c>
      <c r="J2038" s="154" t="s">
        <v>28</v>
      </c>
      <c r="K2038" s="154" t="s">
        <v>2426</v>
      </c>
      <c r="O2038" s="173"/>
      <c r="P2038" s="174"/>
      <c r="Q2038" s="175"/>
      <c r="R2038" s="159"/>
      <c r="S2038" s="160"/>
      <c r="T2038" s="161"/>
      <c r="U2038" s="173"/>
      <c r="V2038" s="176"/>
      <c r="W2038" s="177"/>
      <c r="X2038" s="178"/>
      <c r="Y2038" s="159"/>
      <c r="Z2038" s="161"/>
      <c r="AA2038" s="160"/>
      <c r="AD2038" s="154" t="s">
        <v>7556</v>
      </c>
      <c r="AF2038" s="154" t="s">
        <v>7560</v>
      </c>
      <c r="AQ2038" s="173"/>
      <c r="AR2038" s="174"/>
      <c r="AS2038" s="175"/>
      <c r="AT2038" s="159"/>
      <c r="AU2038" s="161"/>
      <c r="AV2038" s="173"/>
      <c r="AW2038" s="176"/>
      <c r="AX2038" s="177"/>
      <c r="AY2038" s="178"/>
      <c r="AZ2038" s="159"/>
      <c r="BA2038" s="161"/>
      <c r="BB2038" s="160"/>
    </row>
    <row r="2039" spans="1:58" s="154" customFormat="1" ht="15" customHeight="1">
      <c r="A2039" s="153" t="s">
        <v>7362</v>
      </c>
      <c r="B2039" s="187" t="s">
        <v>7561</v>
      </c>
      <c r="C2039" s="154" t="s">
        <v>7364</v>
      </c>
      <c r="D2039" s="154">
        <v>53</v>
      </c>
      <c r="E2039" s="154">
        <v>2</v>
      </c>
      <c r="F2039" s="154" t="s">
        <v>7509</v>
      </c>
      <c r="G2039" s="154" t="s">
        <v>7562</v>
      </c>
      <c r="J2039" s="154" t="s">
        <v>28</v>
      </c>
      <c r="K2039" s="154" t="s">
        <v>2426</v>
      </c>
      <c r="O2039" s="173"/>
      <c r="P2039" s="174"/>
      <c r="Q2039" s="175"/>
      <c r="R2039" s="159"/>
      <c r="S2039" s="160"/>
      <c r="T2039" s="161"/>
      <c r="U2039" s="173"/>
      <c r="V2039" s="176"/>
      <c r="W2039" s="177"/>
      <c r="X2039" s="178"/>
      <c r="Y2039" s="159"/>
      <c r="Z2039" s="161"/>
      <c r="AA2039" s="160">
        <v>1</v>
      </c>
      <c r="AD2039" s="154" t="s">
        <v>1663</v>
      </c>
      <c r="AF2039" s="154" t="s">
        <v>7563</v>
      </c>
      <c r="AQ2039" s="173"/>
      <c r="AR2039" s="174"/>
      <c r="AS2039" s="175"/>
      <c r="AT2039" s="159"/>
      <c r="AU2039" s="161"/>
      <c r="AV2039" s="173"/>
      <c r="AW2039" s="176"/>
      <c r="AX2039" s="177"/>
      <c r="AY2039" s="178"/>
      <c r="AZ2039" s="159"/>
      <c r="BA2039" s="161"/>
      <c r="BB2039" s="160"/>
    </row>
    <row r="2040" spans="1:58" s="154" customFormat="1" ht="15" customHeight="1">
      <c r="A2040" s="153" t="s">
        <v>7362</v>
      </c>
      <c r="B2040" s="187" t="s">
        <v>7564</v>
      </c>
      <c r="C2040" s="154" t="s">
        <v>7364</v>
      </c>
      <c r="D2040" s="154">
        <v>54</v>
      </c>
      <c r="E2040" s="154">
        <v>3</v>
      </c>
      <c r="F2040" s="154" t="s">
        <v>7509</v>
      </c>
      <c r="G2040" s="154" t="s">
        <v>7565</v>
      </c>
      <c r="J2040" s="154" t="s">
        <v>28</v>
      </c>
      <c r="K2040" s="154" t="s">
        <v>2426</v>
      </c>
      <c r="O2040" s="173"/>
      <c r="P2040" s="174"/>
      <c r="Q2040" s="175"/>
      <c r="R2040" s="159"/>
      <c r="S2040" s="160"/>
      <c r="T2040" s="161"/>
      <c r="U2040" s="173"/>
      <c r="V2040" s="176"/>
      <c r="W2040" s="177"/>
      <c r="X2040" s="178"/>
      <c r="Y2040" s="159"/>
      <c r="Z2040" s="161"/>
      <c r="AA2040" s="160"/>
      <c r="AD2040" s="154" t="s">
        <v>7556</v>
      </c>
      <c r="AF2040" s="154" t="s">
        <v>7566</v>
      </c>
      <c r="AQ2040" s="173"/>
      <c r="AR2040" s="174"/>
      <c r="AS2040" s="175"/>
      <c r="AT2040" s="159"/>
      <c r="AU2040" s="161"/>
      <c r="AV2040" s="173"/>
      <c r="AW2040" s="176"/>
      <c r="AX2040" s="177"/>
      <c r="AY2040" s="178"/>
      <c r="AZ2040" s="159"/>
      <c r="BA2040" s="161"/>
      <c r="BB2040" s="160"/>
    </row>
    <row r="2041" spans="1:58" s="154" customFormat="1" ht="15" customHeight="1">
      <c r="A2041" s="153" t="s">
        <v>7362</v>
      </c>
      <c r="B2041" s="187" t="s">
        <v>7567</v>
      </c>
      <c r="C2041" s="154" t="s">
        <v>7364</v>
      </c>
      <c r="D2041" s="154">
        <v>55</v>
      </c>
      <c r="E2041" s="154">
        <v>1</v>
      </c>
      <c r="F2041" s="154" t="s">
        <v>7568</v>
      </c>
      <c r="G2041" s="154" t="s">
        <v>7569</v>
      </c>
      <c r="H2041" s="154" t="s">
        <v>7570</v>
      </c>
      <c r="J2041" s="154" t="s">
        <v>257</v>
      </c>
      <c r="K2041" s="154" t="s">
        <v>26</v>
      </c>
      <c r="N2041" s="154">
        <v>4</v>
      </c>
      <c r="O2041" s="173"/>
      <c r="P2041" s="174"/>
      <c r="Q2041" s="175">
        <v>1</v>
      </c>
      <c r="R2041" s="159">
        <v>1</v>
      </c>
      <c r="S2041" s="160">
        <v>1</v>
      </c>
      <c r="T2041" s="161">
        <v>4</v>
      </c>
      <c r="U2041" s="173">
        <v>2</v>
      </c>
      <c r="V2041" s="176"/>
      <c r="W2041" s="177"/>
      <c r="X2041" s="178"/>
      <c r="Y2041" s="159"/>
      <c r="Z2041" s="161"/>
      <c r="AA2041" s="160"/>
      <c r="AB2041" s="154" t="s">
        <v>1078</v>
      </c>
      <c r="AC2041" s="154" t="s">
        <v>25</v>
      </c>
      <c r="AD2041" s="154" t="s">
        <v>7571</v>
      </c>
      <c r="AF2041" s="154" t="s">
        <v>7572</v>
      </c>
      <c r="AQ2041" s="173"/>
      <c r="AR2041" s="174"/>
      <c r="AS2041" s="175"/>
      <c r="AT2041" s="159"/>
      <c r="AU2041" s="161"/>
      <c r="AV2041" s="173"/>
      <c r="AW2041" s="176"/>
      <c r="AX2041" s="177"/>
      <c r="AY2041" s="178"/>
      <c r="AZ2041" s="159"/>
      <c r="BA2041" s="161"/>
      <c r="BB2041" s="160"/>
    </row>
    <row r="2042" spans="1:58" s="154" customFormat="1" ht="15" customHeight="1">
      <c r="A2042" s="153" t="s">
        <v>7362</v>
      </c>
      <c r="B2042" s="187" t="s">
        <v>7573</v>
      </c>
      <c r="C2042" s="154" t="s">
        <v>7364</v>
      </c>
      <c r="D2042" s="154">
        <v>56</v>
      </c>
      <c r="E2042" s="154">
        <v>1</v>
      </c>
      <c r="F2042" s="154" t="s">
        <v>7568</v>
      </c>
      <c r="G2042" s="154" t="s">
        <v>7574</v>
      </c>
      <c r="H2042" s="154" t="s">
        <v>7575</v>
      </c>
      <c r="J2042" s="154" t="s">
        <v>257</v>
      </c>
      <c r="K2042" s="154" t="s">
        <v>26</v>
      </c>
      <c r="N2042" s="154">
        <v>3</v>
      </c>
      <c r="O2042" s="173">
        <v>1</v>
      </c>
      <c r="P2042" s="174">
        <v>1</v>
      </c>
      <c r="Q2042" s="175"/>
      <c r="R2042" s="159"/>
      <c r="S2042" s="160">
        <v>1</v>
      </c>
      <c r="T2042" s="161"/>
      <c r="U2042" s="173">
        <v>3</v>
      </c>
      <c r="V2042" s="176"/>
      <c r="W2042" s="177"/>
      <c r="X2042" s="178"/>
      <c r="Y2042" s="159"/>
      <c r="Z2042" s="161"/>
      <c r="AA2042" s="160"/>
      <c r="AB2042" s="154" t="s">
        <v>1079</v>
      </c>
      <c r="AC2042" s="154" t="s">
        <v>275</v>
      </c>
      <c r="AD2042" s="154" t="s">
        <v>276</v>
      </c>
      <c r="AF2042" s="154" t="s">
        <v>7576</v>
      </c>
      <c r="AQ2042" s="173"/>
      <c r="AR2042" s="174"/>
      <c r="AS2042" s="175"/>
      <c r="AT2042" s="159"/>
      <c r="AU2042" s="161"/>
      <c r="AV2042" s="173"/>
      <c r="AW2042" s="176"/>
      <c r="AX2042" s="177"/>
      <c r="AY2042" s="178"/>
      <c r="AZ2042" s="159"/>
      <c r="BA2042" s="161"/>
      <c r="BB2042" s="160"/>
    </row>
    <row r="2043" spans="1:58" s="154" customFormat="1" ht="15" customHeight="1">
      <c r="A2043" s="153" t="s">
        <v>7362</v>
      </c>
      <c r="B2043" s="187" t="s">
        <v>7577</v>
      </c>
      <c r="C2043" s="154" t="s">
        <v>7364</v>
      </c>
      <c r="D2043" s="154">
        <v>57</v>
      </c>
      <c r="E2043" s="154">
        <v>1</v>
      </c>
      <c r="F2043" s="154" t="s">
        <v>7578</v>
      </c>
      <c r="G2043" s="154" t="s">
        <v>7579</v>
      </c>
      <c r="H2043" s="154" t="s">
        <v>7580</v>
      </c>
      <c r="I2043" s="154" t="s">
        <v>223</v>
      </c>
      <c r="J2043" s="154" t="s">
        <v>257</v>
      </c>
      <c r="K2043" s="154" t="s">
        <v>26</v>
      </c>
      <c r="N2043" s="154">
        <v>4</v>
      </c>
      <c r="O2043" s="173">
        <v>1</v>
      </c>
      <c r="P2043" s="174"/>
      <c r="Q2043" s="175">
        <v>1</v>
      </c>
      <c r="R2043" s="159"/>
      <c r="S2043" s="160">
        <v>1</v>
      </c>
      <c r="T2043" s="161"/>
      <c r="U2043" s="173"/>
      <c r="V2043" s="176"/>
      <c r="W2043" s="177"/>
      <c r="X2043" s="178"/>
      <c r="Y2043" s="159"/>
      <c r="Z2043" s="161"/>
      <c r="AA2043" s="160"/>
      <c r="AB2043" s="154" t="s">
        <v>1081</v>
      </c>
      <c r="AC2043" s="154" t="s">
        <v>322</v>
      </c>
      <c r="AD2043" s="154" t="s">
        <v>7581</v>
      </c>
      <c r="AF2043" s="154" t="s">
        <v>7582</v>
      </c>
      <c r="AQ2043" s="173"/>
      <c r="AR2043" s="174"/>
      <c r="AS2043" s="175"/>
      <c r="AT2043" s="159"/>
      <c r="AU2043" s="161"/>
      <c r="AV2043" s="173"/>
      <c r="AW2043" s="176"/>
      <c r="AX2043" s="177"/>
      <c r="AY2043" s="178"/>
      <c r="AZ2043" s="159"/>
      <c r="BA2043" s="161"/>
      <c r="BB2043" s="160"/>
    </row>
    <row r="2044" spans="1:58" s="154" customFormat="1" ht="15" customHeight="1">
      <c r="A2044" s="153" t="s">
        <v>7362</v>
      </c>
      <c r="B2044" s="187" t="s">
        <v>7583</v>
      </c>
      <c r="C2044" s="154" t="s">
        <v>7364</v>
      </c>
      <c r="D2044" s="154">
        <v>58</v>
      </c>
      <c r="E2044" s="154">
        <v>1</v>
      </c>
      <c r="F2044" s="154" t="s">
        <v>7578</v>
      </c>
      <c r="G2044" s="154" t="s">
        <v>7584</v>
      </c>
      <c r="H2044" s="154" t="s">
        <v>7585</v>
      </c>
      <c r="J2044" s="154" t="s">
        <v>257</v>
      </c>
      <c r="K2044" s="154" t="s">
        <v>26</v>
      </c>
      <c r="N2044" s="154">
        <v>4</v>
      </c>
      <c r="O2044" s="173"/>
      <c r="P2044" s="174">
        <v>1</v>
      </c>
      <c r="Q2044" s="175"/>
      <c r="R2044" s="159">
        <v>1</v>
      </c>
      <c r="S2044" s="160">
        <v>1</v>
      </c>
      <c r="T2044" s="161"/>
      <c r="U2044" s="173"/>
      <c r="V2044" s="176"/>
      <c r="W2044" s="177"/>
      <c r="X2044" s="178"/>
      <c r="Y2044" s="159"/>
      <c r="Z2044" s="161"/>
      <c r="AA2044" s="160"/>
      <c r="AB2044" s="154" t="s">
        <v>7586</v>
      </c>
      <c r="AD2044" s="154" t="s">
        <v>7587</v>
      </c>
      <c r="AF2044" s="154" t="s">
        <v>7588</v>
      </c>
      <c r="AQ2044" s="173"/>
      <c r="AR2044" s="174"/>
      <c r="AS2044" s="175"/>
      <c r="AT2044" s="159"/>
      <c r="AU2044" s="161"/>
      <c r="AV2044" s="173"/>
      <c r="AW2044" s="176"/>
      <c r="AX2044" s="177"/>
      <c r="AY2044" s="178"/>
      <c r="AZ2044" s="159"/>
      <c r="BA2044" s="161"/>
      <c r="BB2044" s="160"/>
    </row>
    <row r="2045" spans="1:58" s="154" customFormat="1" ht="15" customHeight="1">
      <c r="A2045" s="153" t="s">
        <v>7589</v>
      </c>
      <c r="B2045" s="187" t="s">
        <v>7590</v>
      </c>
      <c r="C2045" s="154" t="s">
        <v>7591</v>
      </c>
      <c r="D2045" s="154">
        <v>1</v>
      </c>
      <c r="E2045" s="154">
        <v>2</v>
      </c>
      <c r="G2045" s="154" t="s">
        <v>2580</v>
      </c>
      <c r="J2045" s="154" t="s">
        <v>257</v>
      </c>
      <c r="K2045" s="154" t="s">
        <v>198</v>
      </c>
      <c r="L2045" s="154">
        <v>2</v>
      </c>
      <c r="N2045" s="154">
        <v>2</v>
      </c>
      <c r="O2045" s="173"/>
      <c r="P2045" s="174"/>
      <c r="Q2045" s="175">
        <v>2</v>
      </c>
      <c r="R2045" s="159"/>
      <c r="S2045" s="160"/>
      <c r="T2045" s="161"/>
      <c r="U2045" s="173"/>
      <c r="V2045" s="176"/>
      <c r="W2045" s="177"/>
      <c r="X2045" s="178"/>
      <c r="Y2045" s="159"/>
      <c r="Z2045" s="161"/>
      <c r="AA2045" s="160"/>
      <c r="AB2045" s="154" t="s">
        <v>1088</v>
      </c>
      <c r="AC2045" s="154" t="s">
        <v>258</v>
      </c>
      <c r="AD2045" s="154" t="s">
        <v>259</v>
      </c>
      <c r="AF2045" s="154" t="s">
        <v>7592</v>
      </c>
      <c r="AQ2045" s="173"/>
      <c r="AR2045" s="174"/>
      <c r="AS2045" s="175"/>
      <c r="AT2045" s="159"/>
      <c r="AU2045" s="161"/>
      <c r="AV2045" s="173"/>
      <c r="AW2045" s="176"/>
      <c r="AX2045" s="177"/>
      <c r="AY2045" s="178"/>
      <c r="AZ2045" s="159"/>
      <c r="BA2045" s="161"/>
      <c r="BB2045" s="160"/>
    </row>
    <row r="2046" spans="1:58" s="154" customFormat="1" ht="15" customHeight="1">
      <c r="A2046" s="153" t="s">
        <v>7589</v>
      </c>
      <c r="B2046" s="187" t="s">
        <v>7593</v>
      </c>
      <c r="C2046" s="154" t="s">
        <v>7591</v>
      </c>
      <c r="D2046" s="154">
        <v>2</v>
      </c>
      <c r="E2046" s="154">
        <v>2</v>
      </c>
      <c r="G2046" s="154" t="s">
        <v>3637</v>
      </c>
      <c r="J2046" s="154" t="s">
        <v>27</v>
      </c>
      <c r="K2046" s="154" t="s">
        <v>198</v>
      </c>
      <c r="L2046" s="154">
        <v>0</v>
      </c>
      <c r="N2046" s="154">
        <v>1</v>
      </c>
      <c r="O2046" s="173"/>
      <c r="P2046" s="174"/>
      <c r="Q2046" s="175">
        <v>1</v>
      </c>
      <c r="R2046" s="159">
        <v>1</v>
      </c>
      <c r="S2046" s="160"/>
      <c r="T2046" s="161"/>
      <c r="U2046" s="173"/>
      <c r="V2046" s="176"/>
      <c r="W2046" s="177"/>
      <c r="X2046" s="178"/>
      <c r="Y2046" s="159"/>
      <c r="Z2046" s="161"/>
      <c r="AA2046" s="160"/>
      <c r="AB2046" s="154" t="s">
        <v>1087</v>
      </c>
      <c r="AD2046" s="154" t="s">
        <v>307</v>
      </c>
      <c r="AF2046" s="154" t="s">
        <v>7594</v>
      </c>
      <c r="AQ2046" s="173"/>
      <c r="AR2046" s="174"/>
      <c r="AS2046" s="175"/>
      <c r="AT2046" s="159"/>
      <c r="AU2046" s="161"/>
      <c r="AV2046" s="173"/>
      <c r="AW2046" s="176"/>
      <c r="AX2046" s="177"/>
      <c r="AY2046" s="178"/>
      <c r="AZ2046" s="159"/>
      <c r="BA2046" s="161"/>
      <c r="BB2046" s="160"/>
    </row>
    <row r="2047" spans="1:58" s="154" customFormat="1" ht="15" customHeight="1">
      <c r="A2047" s="153" t="s">
        <v>7589</v>
      </c>
      <c r="B2047" s="188" t="s">
        <v>7595</v>
      </c>
      <c r="C2047" s="154" t="s">
        <v>7591</v>
      </c>
      <c r="D2047" s="154">
        <v>3</v>
      </c>
      <c r="E2047" s="154">
        <v>2</v>
      </c>
      <c r="G2047" s="154" t="s">
        <v>3244</v>
      </c>
      <c r="J2047" s="154" t="s">
        <v>27</v>
      </c>
      <c r="K2047" s="154" t="s">
        <v>199</v>
      </c>
      <c r="L2047" s="154">
        <v>4</v>
      </c>
      <c r="N2047" s="154">
        <v>2</v>
      </c>
      <c r="O2047" s="173">
        <v>3</v>
      </c>
      <c r="P2047" s="174"/>
      <c r="Q2047" s="175"/>
      <c r="R2047" s="159"/>
      <c r="S2047" s="160"/>
      <c r="T2047" s="161"/>
      <c r="U2047" s="173"/>
      <c r="V2047" s="176"/>
      <c r="W2047" s="177"/>
      <c r="X2047" s="178"/>
      <c r="Y2047" s="159"/>
      <c r="Z2047" s="161"/>
      <c r="AA2047" s="160"/>
      <c r="AB2047" s="154" t="s">
        <v>7596</v>
      </c>
      <c r="AD2047" s="154" t="s">
        <v>340</v>
      </c>
      <c r="AF2047" s="154" t="s">
        <v>7597</v>
      </c>
      <c r="AQ2047" s="173"/>
      <c r="AR2047" s="174"/>
      <c r="AS2047" s="175"/>
      <c r="AT2047" s="159"/>
      <c r="AU2047" s="161"/>
      <c r="AV2047" s="173"/>
      <c r="AW2047" s="176"/>
      <c r="AX2047" s="177"/>
      <c r="AY2047" s="178"/>
      <c r="AZ2047" s="159"/>
      <c r="BA2047" s="161"/>
      <c r="BB2047" s="160"/>
    </row>
    <row r="2048" spans="1:58" s="154" customFormat="1" ht="15" customHeight="1">
      <c r="A2048" s="153" t="s">
        <v>7589</v>
      </c>
      <c r="B2048" s="188" t="s">
        <v>7598</v>
      </c>
      <c r="C2048" s="154" t="s">
        <v>7591</v>
      </c>
      <c r="D2048" s="154">
        <v>4</v>
      </c>
      <c r="E2048" s="154">
        <v>2</v>
      </c>
      <c r="G2048" s="154" t="s">
        <v>2590</v>
      </c>
      <c r="H2048" s="154" t="s">
        <v>7599</v>
      </c>
      <c r="J2048" s="154" t="s">
        <v>257</v>
      </c>
      <c r="K2048" s="154" t="s">
        <v>199</v>
      </c>
      <c r="L2048" s="154">
        <v>3</v>
      </c>
      <c r="N2048" s="154">
        <v>2</v>
      </c>
      <c r="O2048" s="173"/>
      <c r="P2048" s="174">
        <v>1</v>
      </c>
      <c r="Q2048" s="175">
        <v>1</v>
      </c>
      <c r="R2048" s="159"/>
      <c r="S2048" s="160"/>
      <c r="T2048" s="161"/>
      <c r="U2048" s="173"/>
      <c r="V2048" s="176"/>
      <c r="W2048" s="177"/>
      <c r="X2048" s="178"/>
      <c r="Y2048" s="159"/>
      <c r="Z2048" s="161"/>
      <c r="AA2048" s="160"/>
      <c r="AB2048" s="154" t="s">
        <v>1091</v>
      </c>
      <c r="AC2048" s="154" t="s">
        <v>378</v>
      </c>
      <c r="AD2048" s="154" t="s">
        <v>279</v>
      </c>
      <c r="AF2048" s="154" t="s">
        <v>7600</v>
      </c>
      <c r="AQ2048" s="173"/>
      <c r="AR2048" s="174"/>
      <c r="AS2048" s="175"/>
      <c r="AT2048" s="159"/>
      <c r="AU2048" s="161"/>
      <c r="AV2048" s="173"/>
      <c r="AW2048" s="176"/>
      <c r="AX2048" s="177"/>
      <c r="AY2048" s="178"/>
      <c r="AZ2048" s="159"/>
      <c r="BA2048" s="161"/>
      <c r="BB2048" s="160"/>
    </row>
    <row r="2049" spans="1:59" s="154" customFormat="1" ht="15" customHeight="1">
      <c r="A2049" s="153" t="s">
        <v>7589</v>
      </c>
      <c r="B2049" s="188" t="s">
        <v>7601</v>
      </c>
      <c r="C2049" s="154" t="s">
        <v>7591</v>
      </c>
      <c r="D2049" s="154">
        <v>5</v>
      </c>
      <c r="E2049" s="154">
        <v>2</v>
      </c>
      <c r="G2049" s="154" t="s">
        <v>2598</v>
      </c>
      <c r="J2049" s="154" t="s">
        <v>257</v>
      </c>
      <c r="K2049" s="154" t="s">
        <v>201</v>
      </c>
      <c r="L2049" s="154">
        <v>3</v>
      </c>
      <c r="N2049" s="154">
        <v>2</v>
      </c>
      <c r="O2049" s="173"/>
      <c r="P2049" s="174"/>
      <c r="Q2049" s="175"/>
      <c r="R2049" s="159">
        <v>2</v>
      </c>
      <c r="S2049" s="160"/>
      <c r="T2049" s="161"/>
      <c r="U2049" s="173"/>
      <c r="V2049" s="176"/>
      <c r="W2049" s="177"/>
      <c r="X2049" s="178"/>
      <c r="Y2049" s="159"/>
      <c r="Z2049" s="161"/>
      <c r="AA2049" s="160"/>
      <c r="AB2049" s="154" t="s">
        <v>1095</v>
      </c>
      <c r="AD2049" s="154" t="s">
        <v>289</v>
      </c>
      <c r="AF2049" s="154" t="s">
        <v>7602</v>
      </c>
      <c r="AQ2049" s="173"/>
      <c r="AR2049" s="174"/>
      <c r="AS2049" s="175"/>
      <c r="AT2049" s="159"/>
      <c r="AU2049" s="161"/>
      <c r="AV2049" s="173"/>
      <c r="AW2049" s="176"/>
      <c r="AX2049" s="177"/>
      <c r="AY2049" s="178"/>
      <c r="AZ2049" s="159"/>
      <c r="BA2049" s="161"/>
      <c r="BB2049" s="160"/>
    </row>
    <row r="2050" spans="1:59" s="154" customFormat="1" ht="15" customHeight="1">
      <c r="A2050" s="153" t="s">
        <v>7589</v>
      </c>
      <c r="B2050" s="189" t="s">
        <v>7603</v>
      </c>
      <c r="C2050" s="154" t="s">
        <v>7591</v>
      </c>
      <c r="D2050" s="154">
        <v>6</v>
      </c>
      <c r="E2050" s="154">
        <v>2</v>
      </c>
      <c r="G2050" s="154" t="s">
        <v>3513</v>
      </c>
      <c r="J2050" s="154" t="s">
        <v>257</v>
      </c>
      <c r="K2050" s="154" t="s">
        <v>201</v>
      </c>
      <c r="L2050" s="154">
        <v>1</v>
      </c>
      <c r="N2050" s="154">
        <v>3</v>
      </c>
      <c r="O2050" s="173">
        <v>1</v>
      </c>
      <c r="P2050" s="174"/>
      <c r="Q2050" s="175"/>
      <c r="R2050" s="159"/>
      <c r="S2050" s="160"/>
      <c r="T2050" s="161"/>
      <c r="U2050" s="173"/>
      <c r="V2050" s="176"/>
      <c r="W2050" s="177"/>
      <c r="X2050" s="178"/>
      <c r="Y2050" s="159"/>
      <c r="Z2050" s="161"/>
      <c r="AA2050" s="160"/>
      <c r="AB2050" s="154" t="s">
        <v>204</v>
      </c>
      <c r="AC2050" s="154" t="s">
        <v>378</v>
      </c>
      <c r="AD2050" s="154" t="s">
        <v>279</v>
      </c>
      <c r="AF2050" s="154" t="s">
        <v>7604</v>
      </c>
      <c r="AQ2050" s="173"/>
      <c r="AR2050" s="174"/>
      <c r="AS2050" s="175"/>
      <c r="AT2050" s="159"/>
      <c r="AU2050" s="161"/>
      <c r="AV2050" s="173"/>
      <c r="AW2050" s="176"/>
      <c r="AX2050" s="177"/>
      <c r="AY2050" s="178"/>
      <c r="AZ2050" s="159"/>
      <c r="BA2050" s="161"/>
      <c r="BB2050" s="160"/>
    </row>
    <row r="2051" spans="1:59" s="154" customFormat="1" ht="15" customHeight="1">
      <c r="A2051" s="153" t="s">
        <v>7589</v>
      </c>
      <c r="B2051" s="189" t="s">
        <v>7605</v>
      </c>
      <c r="C2051" s="154" t="s">
        <v>7591</v>
      </c>
      <c r="D2051" s="154">
        <v>7</v>
      </c>
      <c r="E2051" s="154">
        <v>2</v>
      </c>
      <c r="G2051" s="154" t="s">
        <v>2608</v>
      </c>
      <c r="J2051" s="154" t="s">
        <v>257</v>
      </c>
      <c r="K2051" s="154" t="s">
        <v>200</v>
      </c>
      <c r="L2051" s="154">
        <v>2</v>
      </c>
      <c r="N2051" s="154">
        <v>0</v>
      </c>
      <c r="O2051" s="173">
        <v>1</v>
      </c>
      <c r="P2051" s="174">
        <v>1</v>
      </c>
      <c r="Q2051" s="175"/>
      <c r="R2051" s="159"/>
      <c r="S2051" s="160"/>
      <c r="T2051" s="161"/>
      <c r="U2051" s="173"/>
      <c r="V2051" s="176"/>
      <c r="W2051" s="177"/>
      <c r="X2051" s="178"/>
      <c r="Y2051" s="159"/>
      <c r="Z2051" s="161"/>
      <c r="AA2051" s="160"/>
      <c r="AB2051" s="154" t="s">
        <v>1092</v>
      </c>
      <c r="AC2051" s="154" t="s">
        <v>378</v>
      </c>
      <c r="AD2051" s="154" t="s">
        <v>279</v>
      </c>
      <c r="AF2051" s="154" t="s">
        <v>7606</v>
      </c>
      <c r="AQ2051" s="173"/>
      <c r="AR2051" s="174"/>
      <c r="AS2051" s="175"/>
      <c r="AT2051" s="159"/>
      <c r="AU2051" s="161"/>
      <c r="AV2051" s="173"/>
      <c r="AW2051" s="176"/>
      <c r="AX2051" s="177"/>
      <c r="AY2051" s="178"/>
      <c r="AZ2051" s="159"/>
      <c r="BA2051" s="161"/>
      <c r="BB2051" s="160"/>
    </row>
    <row r="2052" spans="1:59" s="154" customFormat="1" ht="15" customHeight="1">
      <c r="A2052" s="153" t="s">
        <v>7589</v>
      </c>
      <c r="B2052" s="188" t="s">
        <v>7607</v>
      </c>
      <c r="C2052" s="154" t="s">
        <v>7591</v>
      </c>
      <c r="D2052" s="154">
        <v>8</v>
      </c>
      <c r="E2052" s="154">
        <v>2</v>
      </c>
      <c r="G2052" s="154" t="s">
        <v>3103</v>
      </c>
      <c r="J2052" s="154" t="s">
        <v>27</v>
      </c>
      <c r="K2052" s="154" t="s">
        <v>200</v>
      </c>
      <c r="L2052" s="154">
        <v>3</v>
      </c>
      <c r="N2052" s="154">
        <v>3</v>
      </c>
      <c r="O2052" s="173">
        <v>1</v>
      </c>
      <c r="P2052" s="174"/>
      <c r="Q2052" s="175">
        <v>2</v>
      </c>
      <c r="R2052" s="159"/>
      <c r="S2052" s="160"/>
      <c r="T2052" s="161"/>
      <c r="U2052" s="173"/>
      <c r="V2052" s="176"/>
      <c r="W2052" s="177"/>
      <c r="X2052" s="178"/>
      <c r="Y2052" s="159"/>
      <c r="Z2052" s="161"/>
      <c r="AA2052" s="160"/>
      <c r="AB2052" s="154" t="s">
        <v>7608</v>
      </c>
      <c r="AD2052" s="154" t="s">
        <v>279</v>
      </c>
      <c r="AF2052" s="154" t="s">
        <v>7609</v>
      </c>
      <c r="AQ2052" s="173"/>
      <c r="AR2052" s="174"/>
      <c r="AS2052" s="175"/>
      <c r="AT2052" s="159"/>
      <c r="AU2052" s="161"/>
      <c r="AV2052" s="173"/>
      <c r="AW2052" s="176"/>
      <c r="AX2052" s="177"/>
      <c r="AY2052" s="178"/>
      <c r="AZ2052" s="159"/>
      <c r="BA2052" s="161"/>
      <c r="BB2052" s="160"/>
    </row>
    <row r="2053" spans="1:59" s="154" customFormat="1" ht="15" customHeight="1">
      <c r="A2053" s="153" t="s">
        <v>7589</v>
      </c>
      <c r="B2053" s="188" t="s">
        <v>7610</v>
      </c>
      <c r="C2053" s="154" t="s">
        <v>7591</v>
      </c>
      <c r="D2053" s="154">
        <v>9</v>
      </c>
      <c r="E2053" s="154">
        <v>2</v>
      </c>
      <c r="G2053" s="154" t="s">
        <v>2617</v>
      </c>
      <c r="J2053" s="154" t="s">
        <v>257</v>
      </c>
      <c r="K2053" s="154" t="s">
        <v>202</v>
      </c>
      <c r="L2053" s="154">
        <v>2</v>
      </c>
      <c r="N2053" s="172">
        <v>1</v>
      </c>
      <c r="O2053" s="173"/>
      <c r="P2053" s="174">
        <v>2</v>
      </c>
      <c r="Q2053" s="175"/>
      <c r="R2053" s="159"/>
      <c r="S2053" s="160"/>
      <c r="T2053" s="161"/>
      <c r="U2053" s="173"/>
      <c r="V2053" s="176"/>
      <c r="W2053" s="177"/>
      <c r="X2053" s="178"/>
      <c r="Y2053" s="159"/>
      <c r="Z2053" s="161"/>
      <c r="AA2053" s="160"/>
      <c r="AB2053" s="154" t="s">
        <v>1084</v>
      </c>
      <c r="AC2053" s="154" t="s">
        <v>258</v>
      </c>
      <c r="AD2053" s="154" t="s">
        <v>325</v>
      </c>
      <c r="AF2053" s="154" t="s">
        <v>7611</v>
      </c>
      <c r="AQ2053" s="173"/>
      <c r="AR2053" s="174"/>
      <c r="AS2053" s="175"/>
      <c r="AT2053" s="159"/>
      <c r="AU2053" s="161"/>
      <c r="AV2053" s="173"/>
      <c r="AW2053" s="176"/>
      <c r="AX2053" s="177"/>
      <c r="AY2053" s="178"/>
      <c r="AZ2053" s="159"/>
      <c r="BA2053" s="161"/>
      <c r="BB2053" s="160"/>
    </row>
    <row r="2054" spans="1:59" s="154" customFormat="1" ht="15" customHeight="1">
      <c r="A2054" s="153" t="s">
        <v>7589</v>
      </c>
      <c r="B2054" s="188" t="s">
        <v>7612</v>
      </c>
      <c r="C2054" s="154" t="s">
        <v>7591</v>
      </c>
      <c r="D2054" s="154">
        <v>10</v>
      </c>
      <c r="E2054" s="154">
        <v>2</v>
      </c>
      <c r="G2054" s="154" t="s">
        <v>2619</v>
      </c>
      <c r="J2054" s="154" t="s">
        <v>257</v>
      </c>
      <c r="K2054" s="154" t="s">
        <v>202</v>
      </c>
      <c r="L2054" s="154">
        <v>2</v>
      </c>
      <c r="N2054" s="154">
        <v>1</v>
      </c>
      <c r="O2054" s="173"/>
      <c r="P2054" s="174"/>
      <c r="Q2054" s="175">
        <v>2</v>
      </c>
      <c r="R2054" s="159"/>
      <c r="S2054" s="160"/>
      <c r="T2054" s="161"/>
      <c r="U2054" s="173"/>
      <c r="V2054" s="176"/>
      <c r="W2054" s="177"/>
      <c r="X2054" s="178"/>
      <c r="Y2054" s="159"/>
      <c r="Z2054" s="161"/>
      <c r="AA2054" s="160"/>
      <c r="AB2054" s="154" t="s">
        <v>1088</v>
      </c>
      <c r="AC2054" s="154" t="s">
        <v>258</v>
      </c>
      <c r="AD2054" s="154" t="s">
        <v>2620</v>
      </c>
      <c r="AF2054" s="154" t="s">
        <v>7613</v>
      </c>
      <c r="AQ2054" s="173"/>
      <c r="AR2054" s="174"/>
      <c r="AS2054" s="175"/>
      <c r="AT2054" s="159"/>
      <c r="AU2054" s="161"/>
      <c r="AV2054" s="173"/>
      <c r="AW2054" s="176"/>
      <c r="AX2054" s="177"/>
      <c r="AY2054" s="178"/>
      <c r="AZ2054" s="159"/>
      <c r="BA2054" s="161"/>
      <c r="BB2054" s="160"/>
    </row>
    <row r="2055" spans="1:59" s="154" customFormat="1" ht="15" customHeight="1">
      <c r="A2055" s="153" t="s">
        <v>7589</v>
      </c>
      <c r="B2055" s="188" t="s">
        <v>7614</v>
      </c>
      <c r="C2055" s="154" t="s">
        <v>7591</v>
      </c>
      <c r="D2055" s="154">
        <v>11</v>
      </c>
      <c r="E2055" s="154">
        <v>1</v>
      </c>
      <c r="G2055" s="154" t="s">
        <v>7615</v>
      </c>
      <c r="J2055" s="154" t="s">
        <v>28</v>
      </c>
      <c r="K2055" s="154" t="s">
        <v>26</v>
      </c>
      <c r="M2055" s="154" t="s">
        <v>691</v>
      </c>
      <c r="O2055" s="173"/>
      <c r="P2055" s="174"/>
      <c r="Q2055" s="175"/>
      <c r="R2055" s="159"/>
      <c r="S2055" s="160"/>
      <c r="T2055" s="161"/>
      <c r="U2055" s="173"/>
      <c r="V2055" s="176"/>
      <c r="W2055" s="177"/>
      <c r="X2055" s="178"/>
      <c r="Y2055" s="159"/>
      <c r="Z2055" s="161"/>
      <c r="AA2055" s="160"/>
      <c r="AD2055" s="154" t="s">
        <v>3331</v>
      </c>
      <c r="AF2055" s="154" t="s">
        <v>7616</v>
      </c>
      <c r="AQ2055" s="173"/>
      <c r="AR2055" s="174"/>
      <c r="AS2055" s="175"/>
      <c r="AT2055" s="159"/>
      <c r="AU2055" s="161"/>
      <c r="AV2055" s="173"/>
      <c r="AW2055" s="176"/>
      <c r="AX2055" s="177"/>
      <c r="AY2055" s="178"/>
      <c r="AZ2055" s="159"/>
      <c r="BA2055" s="161"/>
      <c r="BB2055" s="160"/>
    </row>
    <row r="2056" spans="1:59" s="154" customFormat="1" ht="15" customHeight="1">
      <c r="A2056" s="153" t="s">
        <v>7589</v>
      </c>
      <c r="B2056" s="188" t="s">
        <v>7617</v>
      </c>
      <c r="C2056" s="154" t="s">
        <v>7591</v>
      </c>
      <c r="D2056" s="154">
        <v>12</v>
      </c>
      <c r="E2056" s="154">
        <v>1</v>
      </c>
      <c r="G2056" s="154" t="s">
        <v>7618</v>
      </c>
      <c r="J2056" s="154" t="s">
        <v>28</v>
      </c>
      <c r="K2056" s="154" t="s">
        <v>26</v>
      </c>
      <c r="M2056" s="154" t="s">
        <v>691</v>
      </c>
      <c r="O2056" s="173"/>
      <c r="P2056" s="174"/>
      <c r="Q2056" s="175"/>
      <c r="R2056" s="159"/>
      <c r="S2056" s="160"/>
      <c r="T2056" s="161"/>
      <c r="U2056" s="173"/>
      <c r="V2056" s="176"/>
      <c r="W2056" s="177"/>
      <c r="X2056" s="178"/>
      <c r="Y2056" s="159"/>
      <c r="Z2056" s="161"/>
      <c r="AA2056" s="160"/>
      <c r="AD2056" s="154" t="s">
        <v>3331</v>
      </c>
      <c r="AF2056" s="154" t="s">
        <v>7619</v>
      </c>
      <c r="AQ2056" s="173"/>
      <c r="AR2056" s="174"/>
      <c r="AS2056" s="175"/>
      <c r="AT2056" s="159"/>
      <c r="AU2056" s="161"/>
      <c r="AV2056" s="173"/>
      <c r="AW2056" s="176"/>
      <c r="AX2056" s="177"/>
      <c r="AY2056" s="178"/>
      <c r="AZ2056" s="159"/>
      <c r="BA2056" s="161"/>
      <c r="BB2056" s="160"/>
    </row>
    <row r="2057" spans="1:59" s="154" customFormat="1" ht="15" customHeight="1">
      <c r="A2057" s="153" t="s">
        <v>7589</v>
      </c>
      <c r="B2057" s="188" t="s">
        <v>7620</v>
      </c>
      <c r="C2057" s="154" t="s">
        <v>7591</v>
      </c>
      <c r="D2057" s="154">
        <v>13</v>
      </c>
      <c r="E2057" s="154">
        <v>1</v>
      </c>
      <c r="G2057" s="154" t="s">
        <v>7621</v>
      </c>
      <c r="J2057" s="154" t="s">
        <v>28</v>
      </c>
      <c r="K2057" s="154" t="s">
        <v>26</v>
      </c>
      <c r="M2057" s="154" t="s">
        <v>691</v>
      </c>
      <c r="O2057" s="173"/>
      <c r="P2057" s="174"/>
      <c r="Q2057" s="175"/>
      <c r="R2057" s="159"/>
      <c r="S2057" s="160"/>
      <c r="T2057" s="161"/>
      <c r="U2057" s="173"/>
      <c r="V2057" s="176"/>
      <c r="W2057" s="177"/>
      <c r="X2057" s="178"/>
      <c r="Y2057" s="159"/>
      <c r="Z2057" s="161"/>
      <c r="AA2057" s="160"/>
      <c r="AD2057" s="154" t="s">
        <v>3331</v>
      </c>
      <c r="AF2057" s="154" t="s">
        <v>7622</v>
      </c>
      <c r="AQ2057" s="173"/>
      <c r="AR2057" s="174"/>
      <c r="AS2057" s="175"/>
      <c r="AT2057" s="159"/>
      <c r="AU2057" s="161"/>
      <c r="AV2057" s="173"/>
      <c r="AW2057" s="176"/>
      <c r="AX2057" s="177"/>
      <c r="AY2057" s="178"/>
      <c r="AZ2057" s="159"/>
      <c r="BA2057" s="161"/>
      <c r="BB2057" s="160"/>
    </row>
    <row r="2058" spans="1:59" s="154" customFormat="1" ht="15" customHeight="1">
      <c r="A2058" s="153" t="s">
        <v>7589</v>
      </c>
      <c r="B2058" s="189" t="s">
        <v>7623</v>
      </c>
      <c r="C2058" s="154" t="s">
        <v>7591</v>
      </c>
      <c r="D2058" s="154">
        <v>14</v>
      </c>
      <c r="E2058" s="154">
        <v>1</v>
      </c>
      <c r="F2058" s="154" t="s">
        <v>7624</v>
      </c>
      <c r="G2058" s="154" t="s">
        <v>7624</v>
      </c>
      <c r="J2058" s="154" t="s">
        <v>618</v>
      </c>
      <c r="K2058" s="154" t="s">
        <v>2426</v>
      </c>
      <c r="O2058" s="173"/>
      <c r="P2058" s="174"/>
      <c r="Q2058" s="175"/>
      <c r="R2058" s="159"/>
      <c r="S2058" s="160"/>
      <c r="T2058" s="161"/>
      <c r="U2058" s="173"/>
      <c r="V2058" s="176"/>
      <c r="W2058" s="177"/>
      <c r="X2058" s="178"/>
      <c r="Y2058" s="159"/>
      <c r="Z2058" s="161"/>
      <c r="AA2058" s="160"/>
      <c r="AD2058" s="154" t="s">
        <v>7625</v>
      </c>
      <c r="AF2058" s="154" t="s">
        <v>7626</v>
      </c>
      <c r="AI2058" s="154" t="s">
        <v>7624</v>
      </c>
      <c r="AL2058" s="154" t="s">
        <v>618</v>
      </c>
      <c r="AM2058" s="154" t="s">
        <v>2426</v>
      </c>
      <c r="AQ2058" s="173"/>
      <c r="AR2058" s="174"/>
      <c r="AS2058" s="175"/>
      <c r="AT2058" s="159"/>
      <c r="AU2058" s="161"/>
      <c r="AV2058" s="173"/>
      <c r="AW2058" s="176"/>
      <c r="AX2058" s="177"/>
      <c r="AY2058" s="178"/>
      <c r="AZ2058" s="159"/>
      <c r="BA2058" s="161"/>
      <c r="BB2058" s="160"/>
      <c r="BE2058" s="154" t="s">
        <v>7625</v>
      </c>
      <c r="BG2058" s="154" t="s">
        <v>7627</v>
      </c>
    </row>
    <row r="2059" spans="1:59" s="154" customFormat="1" ht="15" customHeight="1">
      <c r="A2059" s="153" t="s">
        <v>7589</v>
      </c>
      <c r="B2059" s="188" t="s">
        <v>7628</v>
      </c>
      <c r="C2059" s="154" t="s">
        <v>7591</v>
      </c>
      <c r="D2059" s="154">
        <v>15</v>
      </c>
      <c r="E2059" s="154">
        <v>1</v>
      </c>
      <c r="F2059" s="154" t="s">
        <v>7624</v>
      </c>
      <c r="G2059" s="154" t="s">
        <v>2649</v>
      </c>
      <c r="J2059" s="154" t="s">
        <v>621</v>
      </c>
      <c r="K2059" s="154" t="s">
        <v>2426</v>
      </c>
      <c r="O2059" s="173"/>
      <c r="P2059" s="174"/>
      <c r="Q2059" s="175"/>
      <c r="R2059" s="159"/>
      <c r="S2059" s="160"/>
      <c r="T2059" s="161"/>
      <c r="U2059" s="173"/>
      <c r="V2059" s="176"/>
      <c r="W2059" s="177"/>
      <c r="X2059" s="178"/>
      <c r="Y2059" s="159" t="s">
        <v>38</v>
      </c>
      <c r="Z2059" s="161"/>
      <c r="AA2059" s="160"/>
      <c r="AF2059" s="154" t="s">
        <v>2650</v>
      </c>
      <c r="AI2059" s="154" t="s">
        <v>7629</v>
      </c>
      <c r="AL2059" s="154" t="s">
        <v>621</v>
      </c>
      <c r="AM2059" s="154" t="s">
        <v>2426</v>
      </c>
      <c r="AQ2059" s="173"/>
      <c r="AR2059" s="174"/>
      <c r="AS2059" s="175"/>
      <c r="AT2059" s="159"/>
      <c r="AU2059" s="161"/>
      <c r="AV2059" s="173"/>
      <c r="AW2059" s="176"/>
      <c r="AX2059" s="177"/>
      <c r="AY2059" s="178"/>
      <c r="AZ2059" s="159"/>
      <c r="BA2059" s="161"/>
      <c r="BB2059" s="160"/>
      <c r="BG2059" s="154" t="s">
        <v>7630</v>
      </c>
    </row>
    <row r="2060" spans="1:59" s="154" customFormat="1" ht="15" customHeight="1">
      <c r="A2060" s="153" t="s">
        <v>7589</v>
      </c>
      <c r="B2060" s="188" t="s">
        <v>7631</v>
      </c>
      <c r="C2060" s="154" t="s">
        <v>7591</v>
      </c>
      <c r="D2060" s="154">
        <v>16</v>
      </c>
      <c r="E2060" s="154">
        <v>1</v>
      </c>
      <c r="F2060" s="154" t="s">
        <v>7624</v>
      </c>
      <c r="G2060" s="154" t="s">
        <v>2649</v>
      </c>
      <c r="J2060" s="154" t="s">
        <v>621</v>
      </c>
      <c r="K2060" s="154" t="s">
        <v>2426</v>
      </c>
      <c r="O2060" s="173"/>
      <c r="P2060" s="174"/>
      <c r="Q2060" s="175"/>
      <c r="R2060" s="159"/>
      <c r="S2060" s="160"/>
      <c r="T2060" s="161"/>
      <c r="U2060" s="173"/>
      <c r="V2060" s="176"/>
      <c r="W2060" s="177"/>
      <c r="X2060" s="178"/>
      <c r="Y2060" s="159" t="s">
        <v>38</v>
      </c>
      <c r="Z2060" s="161"/>
      <c r="AA2060" s="160"/>
      <c r="AF2060" s="154" t="s">
        <v>2650</v>
      </c>
      <c r="AI2060" s="154" t="s">
        <v>7632</v>
      </c>
      <c r="AL2060" s="154" t="s">
        <v>621</v>
      </c>
      <c r="AM2060" s="154" t="s">
        <v>2426</v>
      </c>
      <c r="AQ2060" s="173"/>
      <c r="AR2060" s="174"/>
      <c r="AS2060" s="175"/>
      <c r="AT2060" s="159"/>
      <c r="AU2060" s="161"/>
      <c r="AV2060" s="173"/>
      <c r="AW2060" s="176"/>
      <c r="AX2060" s="177"/>
      <c r="AY2060" s="178"/>
      <c r="AZ2060" s="159"/>
      <c r="BA2060" s="161"/>
      <c r="BB2060" s="160"/>
      <c r="BG2060" s="154" t="s">
        <v>7633</v>
      </c>
    </row>
    <row r="2061" spans="1:59" s="154" customFormat="1" ht="15" customHeight="1">
      <c r="A2061" s="153" t="s">
        <v>7589</v>
      </c>
      <c r="B2061" s="188" t="s">
        <v>7634</v>
      </c>
      <c r="C2061" s="154" t="s">
        <v>7591</v>
      </c>
      <c r="D2061" s="154">
        <v>17</v>
      </c>
      <c r="E2061" s="154">
        <v>1</v>
      </c>
      <c r="F2061" s="154" t="s">
        <v>7624</v>
      </c>
      <c r="G2061" s="154" t="s">
        <v>2649</v>
      </c>
      <c r="J2061" s="154" t="s">
        <v>621</v>
      </c>
      <c r="K2061" s="154" t="s">
        <v>2426</v>
      </c>
      <c r="O2061" s="173"/>
      <c r="P2061" s="174"/>
      <c r="Q2061" s="175"/>
      <c r="R2061" s="159"/>
      <c r="S2061" s="160"/>
      <c r="T2061" s="161"/>
      <c r="U2061" s="173"/>
      <c r="V2061" s="176"/>
      <c r="W2061" s="177"/>
      <c r="X2061" s="178"/>
      <c r="Y2061" s="159" t="s">
        <v>38</v>
      </c>
      <c r="Z2061" s="161"/>
      <c r="AA2061" s="160"/>
      <c r="AF2061" s="154" t="s">
        <v>2650</v>
      </c>
      <c r="AI2061" s="154" t="s">
        <v>7635</v>
      </c>
      <c r="AL2061" s="154" t="s">
        <v>621</v>
      </c>
      <c r="AM2061" s="154" t="s">
        <v>2426</v>
      </c>
      <c r="AQ2061" s="173"/>
      <c r="AR2061" s="174"/>
      <c r="AS2061" s="175"/>
      <c r="AT2061" s="159"/>
      <c r="AU2061" s="161"/>
      <c r="AV2061" s="173"/>
      <c r="AW2061" s="176"/>
      <c r="AX2061" s="177"/>
      <c r="AY2061" s="178"/>
      <c r="AZ2061" s="159"/>
      <c r="BA2061" s="161"/>
      <c r="BB2061" s="160"/>
      <c r="BG2061" s="154" t="s">
        <v>7636</v>
      </c>
    </row>
    <row r="2062" spans="1:59" s="154" customFormat="1" ht="15" customHeight="1">
      <c r="A2062" s="153" t="s">
        <v>7589</v>
      </c>
      <c r="B2062" s="189" t="s">
        <v>7637</v>
      </c>
      <c r="C2062" s="154" t="s">
        <v>7591</v>
      </c>
      <c r="D2062" s="154">
        <v>18</v>
      </c>
      <c r="E2062" s="154">
        <v>1</v>
      </c>
      <c r="F2062" s="154" t="s">
        <v>7624</v>
      </c>
      <c r="G2062" s="154" t="s">
        <v>7638</v>
      </c>
      <c r="J2062" s="154" t="s">
        <v>31</v>
      </c>
      <c r="K2062" s="154" t="s">
        <v>2426</v>
      </c>
      <c r="O2062" s="173"/>
      <c r="P2062" s="174"/>
      <c r="Q2062" s="175"/>
      <c r="R2062" s="159"/>
      <c r="S2062" s="160"/>
      <c r="T2062" s="161"/>
      <c r="U2062" s="173"/>
      <c r="V2062" s="176"/>
      <c r="W2062" s="177"/>
      <c r="X2062" s="178"/>
      <c r="Y2062" s="159"/>
      <c r="Z2062" s="161"/>
      <c r="AA2062" s="160"/>
      <c r="AD2062" s="154" t="s">
        <v>2668</v>
      </c>
      <c r="AI2062" s="154" t="s">
        <v>2667</v>
      </c>
      <c r="AL2062" s="154" t="s">
        <v>31</v>
      </c>
      <c r="AM2062" s="154" t="s">
        <v>2426</v>
      </c>
      <c r="AQ2062" s="173"/>
      <c r="AR2062" s="174"/>
      <c r="AS2062" s="175"/>
      <c r="AT2062" s="159"/>
      <c r="AU2062" s="161"/>
      <c r="AV2062" s="173"/>
      <c r="AW2062" s="176"/>
      <c r="AX2062" s="177"/>
      <c r="AY2062" s="178">
        <v>2</v>
      </c>
      <c r="AZ2062" s="159" t="s">
        <v>1073</v>
      </c>
      <c r="BA2062" s="161"/>
      <c r="BB2062" s="160">
        <v>1</v>
      </c>
      <c r="BE2062" s="154" t="s">
        <v>2668</v>
      </c>
      <c r="BG2062" s="154" t="s">
        <v>7639</v>
      </c>
    </row>
    <row r="2063" spans="1:59" s="154" customFormat="1" ht="15" customHeight="1">
      <c r="A2063" s="153" t="s">
        <v>7589</v>
      </c>
      <c r="B2063" s="188" t="s">
        <v>7640</v>
      </c>
      <c r="C2063" s="154" t="s">
        <v>7591</v>
      </c>
      <c r="D2063" s="154">
        <v>19</v>
      </c>
      <c r="E2063" s="154">
        <v>1</v>
      </c>
      <c r="F2063" s="154" t="s">
        <v>7624</v>
      </c>
      <c r="G2063" s="154" t="s">
        <v>7641</v>
      </c>
      <c r="J2063" s="154" t="s">
        <v>31</v>
      </c>
      <c r="K2063" s="154" t="s">
        <v>2426</v>
      </c>
      <c r="O2063" s="173"/>
      <c r="P2063" s="174"/>
      <c r="Q2063" s="175"/>
      <c r="R2063" s="159"/>
      <c r="S2063" s="160"/>
      <c r="T2063" s="161"/>
      <c r="U2063" s="173"/>
      <c r="V2063" s="176"/>
      <c r="W2063" s="177"/>
      <c r="X2063" s="178"/>
      <c r="Y2063" s="159"/>
      <c r="Z2063" s="161"/>
      <c r="AA2063" s="160"/>
      <c r="AD2063" s="154" t="s">
        <v>2668</v>
      </c>
      <c r="AI2063" s="154" t="s">
        <v>2675</v>
      </c>
      <c r="AL2063" s="154" t="s">
        <v>31</v>
      </c>
      <c r="AM2063" s="154" t="s">
        <v>2426</v>
      </c>
      <c r="AQ2063" s="173"/>
      <c r="AR2063" s="174"/>
      <c r="AS2063" s="175"/>
      <c r="AT2063" s="159"/>
      <c r="AU2063" s="161"/>
      <c r="AV2063" s="173"/>
      <c r="AW2063" s="176"/>
      <c r="AX2063" s="177"/>
      <c r="AY2063" s="178">
        <v>7</v>
      </c>
      <c r="AZ2063" s="159" t="s">
        <v>1073</v>
      </c>
      <c r="BA2063" s="161"/>
      <c r="BB2063" s="160">
        <v>1</v>
      </c>
      <c r="BE2063" s="154" t="s">
        <v>2668</v>
      </c>
      <c r="BG2063" s="154" t="s">
        <v>7642</v>
      </c>
    </row>
    <row r="2064" spans="1:59" s="154" customFormat="1" ht="15" customHeight="1">
      <c r="A2064" s="153" t="s">
        <v>7589</v>
      </c>
      <c r="B2064" s="188" t="s">
        <v>7643</v>
      </c>
      <c r="C2064" s="154" t="s">
        <v>7591</v>
      </c>
      <c r="D2064" s="154">
        <v>20</v>
      </c>
      <c r="E2064" s="154">
        <v>1</v>
      </c>
      <c r="F2064" s="154" t="s">
        <v>7624</v>
      </c>
      <c r="G2064" s="154" t="s">
        <v>7644</v>
      </c>
      <c r="H2064" s="154" t="s">
        <v>7645</v>
      </c>
      <c r="I2064" s="154" t="s">
        <v>223</v>
      </c>
      <c r="J2064" s="154" t="s">
        <v>29</v>
      </c>
      <c r="K2064" s="154" t="s">
        <v>2426</v>
      </c>
      <c r="O2064" s="173"/>
      <c r="P2064" s="174"/>
      <c r="Q2064" s="175">
        <v>1</v>
      </c>
      <c r="R2064" s="159">
        <v>3</v>
      </c>
      <c r="S2064" s="160"/>
      <c r="T2064" s="161">
        <v>3</v>
      </c>
      <c r="U2064" s="173"/>
      <c r="V2064" s="176"/>
      <c r="W2064" s="177">
        <v>1</v>
      </c>
      <c r="X2064" s="178"/>
      <c r="Y2064" s="159"/>
      <c r="Z2064" s="161"/>
      <c r="AA2064" s="160"/>
      <c r="AD2064" s="154" t="s">
        <v>7646</v>
      </c>
      <c r="AF2064" s="154" t="s">
        <v>7647</v>
      </c>
      <c r="AQ2064" s="173"/>
      <c r="AR2064" s="174"/>
      <c r="AS2064" s="175"/>
      <c r="AT2064" s="159"/>
      <c r="AU2064" s="161"/>
      <c r="AV2064" s="173"/>
      <c r="AW2064" s="176"/>
      <c r="AX2064" s="177"/>
      <c r="AY2064" s="178"/>
      <c r="AZ2064" s="159"/>
      <c r="BA2064" s="161"/>
      <c r="BB2064" s="160"/>
    </row>
    <row r="2065" spans="1:59" s="154" customFormat="1" ht="15" customHeight="1">
      <c r="A2065" s="153" t="s">
        <v>7589</v>
      </c>
      <c r="B2065" s="188" t="s">
        <v>7648</v>
      </c>
      <c r="C2065" s="154" t="s">
        <v>7591</v>
      </c>
      <c r="D2065" s="154">
        <v>21</v>
      </c>
      <c r="E2065" s="154">
        <v>1</v>
      </c>
      <c r="F2065" s="154" t="s">
        <v>7649</v>
      </c>
      <c r="G2065" s="154" t="s">
        <v>7649</v>
      </c>
      <c r="J2065" s="154" t="s">
        <v>618</v>
      </c>
      <c r="K2065" s="154" t="s">
        <v>2426</v>
      </c>
      <c r="O2065" s="173"/>
      <c r="P2065" s="174"/>
      <c r="Q2065" s="175"/>
      <c r="R2065" s="159"/>
      <c r="S2065" s="160"/>
      <c r="T2065" s="161"/>
      <c r="U2065" s="173"/>
      <c r="V2065" s="176"/>
      <c r="W2065" s="177"/>
      <c r="X2065" s="178"/>
      <c r="Y2065" s="159"/>
      <c r="Z2065" s="161"/>
      <c r="AA2065" s="160"/>
      <c r="AD2065" s="154" t="s">
        <v>7625</v>
      </c>
      <c r="AF2065" s="154" t="s">
        <v>7650</v>
      </c>
      <c r="AI2065" s="154" t="s">
        <v>7649</v>
      </c>
      <c r="AL2065" s="154" t="s">
        <v>618</v>
      </c>
      <c r="AM2065" s="154" t="s">
        <v>2426</v>
      </c>
      <c r="AQ2065" s="173"/>
      <c r="AR2065" s="174"/>
      <c r="AS2065" s="175"/>
      <c r="AT2065" s="159"/>
      <c r="AU2065" s="161"/>
      <c r="AV2065" s="173"/>
      <c r="AW2065" s="176"/>
      <c r="AX2065" s="177"/>
      <c r="AY2065" s="178"/>
      <c r="AZ2065" s="159"/>
      <c r="BA2065" s="161"/>
      <c r="BB2065" s="160"/>
      <c r="BE2065" s="154" t="s">
        <v>7625</v>
      </c>
      <c r="BG2065" s="154" t="s">
        <v>7651</v>
      </c>
    </row>
    <row r="2066" spans="1:59" s="154" customFormat="1" ht="15" customHeight="1">
      <c r="A2066" s="153" t="s">
        <v>7589</v>
      </c>
      <c r="B2066" s="188" t="s">
        <v>7652</v>
      </c>
      <c r="C2066" s="154" t="s">
        <v>7591</v>
      </c>
      <c r="D2066" s="154">
        <v>22</v>
      </c>
      <c r="E2066" s="154">
        <v>1</v>
      </c>
      <c r="F2066" s="154" t="s">
        <v>7649</v>
      </c>
      <c r="G2066" s="154" t="s">
        <v>7653</v>
      </c>
      <c r="J2066" s="154" t="s">
        <v>619</v>
      </c>
      <c r="K2066" s="154" t="s">
        <v>2426</v>
      </c>
      <c r="O2066" s="173"/>
      <c r="P2066" s="174"/>
      <c r="Q2066" s="175"/>
      <c r="R2066" s="159"/>
      <c r="S2066" s="160"/>
      <c r="T2066" s="161"/>
      <c r="U2066" s="173"/>
      <c r="V2066" s="176"/>
      <c r="W2066" s="177"/>
      <c r="X2066" s="178"/>
      <c r="Y2066" s="159"/>
      <c r="Z2066" s="161">
        <v>3</v>
      </c>
      <c r="AA2066" s="160"/>
      <c r="AI2066" s="154" t="s">
        <v>7654</v>
      </c>
      <c r="AL2066" s="154" t="s">
        <v>619</v>
      </c>
      <c r="AM2066" s="154" t="s">
        <v>2426</v>
      </c>
      <c r="AQ2066" s="173"/>
      <c r="AR2066" s="174"/>
      <c r="AS2066" s="175"/>
      <c r="AT2066" s="159"/>
      <c r="AU2066" s="161"/>
      <c r="AV2066" s="173"/>
      <c r="AW2066" s="176"/>
      <c r="AX2066" s="177"/>
      <c r="AY2066" s="178"/>
      <c r="AZ2066" s="159"/>
      <c r="BA2066" s="161"/>
      <c r="BB2066" s="160"/>
      <c r="BG2066" s="154" t="s">
        <v>7655</v>
      </c>
    </row>
    <row r="2067" spans="1:59" s="154" customFormat="1" ht="15" customHeight="1">
      <c r="A2067" s="153" t="s">
        <v>7589</v>
      </c>
      <c r="B2067" s="188" t="s">
        <v>7656</v>
      </c>
      <c r="C2067" s="154" t="s">
        <v>7591</v>
      </c>
      <c r="D2067" s="154">
        <v>23</v>
      </c>
      <c r="E2067" s="154">
        <v>2</v>
      </c>
      <c r="F2067" s="154" t="s">
        <v>7649</v>
      </c>
      <c r="G2067" s="154" t="s">
        <v>7657</v>
      </c>
      <c r="J2067" s="154" t="s">
        <v>29</v>
      </c>
      <c r="K2067" s="154" t="s">
        <v>2426</v>
      </c>
      <c r="O2067" s="173"/>
      <c r="P2067" s="174"/>
      <c r="Q2067" s="175">
        <v>3</v>
      </c>
      <c r="R2067" s="159">
        <v>4</v>
      </c>
      <c r="S2067" s="160"/>
      <c r="T2067" s="161">
        <v>5</v>
      </c>
      <c r="U2067" s="173"/>
      <c r="V2067" s="176">
        <v>1</v>
      </c>
      <c r="W2067" s="177"/>
      <c r="X2067" s="178"/>
      <c r="Y2067" s="159"/>
      <c r="Z2067" s="161"/>
      <c r="AA2067" s="160">
        <v>0</v>
      </c>
      <c r="AD2067" s="154" t="s">
        <v>7658</v>
      </c>
      <c r="AF2067" s="154" t="s">
        <v>7659</v>
      </c>
      <c r="AQ2067" s="173"/>
      <c r="AR2067" s="174"/>
      <c r="AS2067" s="175"/>
      <c r="AT2067" s="159"/>
      <c r="AU2067" s="161"/>
      <c r="AV2067" s="173"/>
      <c r="AW2067" s="176"/>
      <c r="AX2067" s="177"/>
      <c r="AY2067" s="178"/>
      <c r="AZ2067" s="159"/>
      <c r="BA2067" s="161"/>
      <c r="BB2067" s="160"/>
    </row>
    <row r="2068" spans="1:59" s="154" customFormat="1" ht="15" customHeight="1">
      <c r="A2068" s="153" t="s">
        <v>7589</v>
      </c>
      <c r="B2068" s="189" t="s">
        <v>7660</v>
      </c>
      <c r="C2068" s="154" t="s">
        <v>7591</v>
      </c>
      <c r="D2068" s="154">
        <v>23</v>
      </c>
      <c r="E2068" s="154">
        <v>1</v>
      </c>
      <c r="F2068" s="154" t="s">
        <v>7649</v>
      </c>
      <c r="G2068" s="154" t="s">
        <v>2757</v>
      </c>
      <c r="H2068" s="154" t="s">
        <v>7661</v>
      </c>
      <c r="I2068" s="154" t="s">
        <v>223</v>
      </c>
      <c r="J2068" s="154" t="s">
        <v>29</v>
      </c>
      <c r="K2068" s="154" t="s">
        <v>2426</v>
      </c>
      <c r="O2068" s="173"/>
      <c r="P2068" s="174"/>
      <c r="Q2068" s="175">
        <v>4</v>
      </c>
      <c r="R2068" s="159">
        <v>2</v>
      </c>
      <c r="S2068" s="160"/>
      <c r="T2068" s="161">
        <v>3</v>
      </c>
      <c r="U2068" s="173"/>
      <c r="V2068" s="176">
        <v>1</v>
      </c>
      <c r="W2068" s="177">
        <v>1</v>
      </c>
      <c r="X2068" s="178"/>
      <c r="Y2068" s="159"/>
      <c r="Z2068" s="161"/>
      <c r="AA2068" s="160">
        <v>1</v>
      </c>
      <c r="AD2068" s="154" t="s">
        <v>7662</v>
      </c>
      <c r="AF2068" s="154" t="s">
        <v>7663</v>
      </c>
      <c r="AQ2068" s="173"/>
      <c r="AR2068" s="174"/>
      <c r="AS2068" s="175"/>
      <c r="AT2068" s="159"/>
      <c r="AU2068" s="161"/>
      <c r="AV2068" s="173"/>
      <c r="AW2068" s="176"/>
      <c r="AX2068" s="177"/>
      <c r="AY2068" s="178"/>
      <c r="AZ2068" s="159"/>
      <c r="BA2068" s="161"/>
      <c r="BB2068" s="160"/>
    </row>
    <row r="2069" spans="1:59" s="154" customFormat="1" ht="15" customHeight="1">
      <c r="A2069" s="153" t="s">
        <v>7589</v>
      </c>
      <c r="B2069" s="188" t="s">
        <v>7664</v>
      </c>
      <c r="C2069" s="154" t="s">
        <v>7591</v>
      </c>
      <c r="D2069" s="154">
        <v>25</v>
      </c>
      <c r="E2069" s="154">
        <v>1</v>
      </c>
      <c r="F2069" s="154" t="s">
        <v>7649</v>
      </c>
      <c r="G2069" s="154" t="s">
        <v>2757</v>
      </c>
      <c r="H2069" s="154" t="s">
        <v>7665</v>
      </c>
      <c r="I2069" s="154" t="s">
        <v>223</v>
      </c>
      <c r="J2069" s="154" t="s">
        <v>257</v>
      </c>
      <c r="K2069" s="154" t="s">
        <v>26</v>
      </c>
      <c r="O2069" s="173"/>
      <c r="P2069" s="174"/>
      <c r="Q2069" s="175"/>
      <c r="R2069" s="159"/>
      <c r="S2069" s="160"/>
      <c r="T2069" s="161"/>
      <c r="U2069" s="173"/>
      <c r="V2069" s="176"/>
      <c r="W2069" s="177"/>
      <c r="X2069" s="178"/>
      <c r="Y2069" s="159"/>
      <c r="Z2069" s="161"/>
      <c r="AA2069" s="160"/>
      <c r="AD2069" s="154" t="s">
        <v>7666</v>
      </c>
      <c r="AF2069" s="154" t="s">
        <v>7667</v>
      </c>
      <c r="AQ2069" s="173"/>
      <c r="AR2069" s="174"/>
      <c r="AS2069" s="175"/>
      <c r="AT2069" s="159"/>
      <c r="AU2069" s="161"/>
      <c r="AV2069" s="173"/>
      <c r="AW2069" s="176"/>
      <c r="AX2069" s="177"/>
      <c r="AY2069" s="178"/>
      <c r="AZ2069" s="159"/>
      <c r="BA2069" s="161"/>
      <c r="BB2069" s="160"/>
    </row>
    <row r="2070" spans="1:59" s="154" customFormat="1" ht="15" customHeight="1">
      <c r="A2070" s="153" t="s">
        <v>7589</v>
      </c>
      <c r="B2070" s="188" t="s">
        <v>7668</v>
      </c>
      <c r="C2070" s="154" t="s">
        <v>7591</v>
      </c>
      <c r="D2070" s="154">
        <v>26</v>
      </c>
      <c r="E2070" s="154">
        <v>2</v>
      </c>
      <c r="F2070" s="154" t="s">
        <v>7649</v>
      </c>
      <c r="G2070" s="154" t="s">
        <v>7669</v>
      </c>
      <c r="J2070" s="154" t="s">
        <v>257</v>
      </c>
      <c r="K2070" s="154" t="s">
        <v>26</v>
      </c>
      <c r="O2070" s="173"/>
      <c r="P2070" s="174"/>
      <c r="Q2070" s="175"/>
      <c r="R2070" s="159"/>
      <c r="S2070" s="160"/>
      <c r="T2070" s="161"/>
      <c r="U2070" s="173"/>
      <c r="V2070" s="176"/>
      <c r="W2070" s="177"/>
      <c r="X2070" s="178"/>
      <c r="Y2070" s="159"/>
      <c r="Z2070" s="161"/>
      <c r="AA2070" s="160"/>
      <c r="AF2070" s="154" t="s">
        <v>7670</v>
      </c>
      <c r="AI2070" s="153"/>
      <c r="AQ2070" s="173"/>
      <c r="AR2070" s="174"/>
      <c r="AS2070" s="175"/>
      <c r="AT2070" s="159"/>
      <c r="AU2070" s="161"/>
      <c r="AV2070" s="173"/>
      <c r="AW2070" s="176"/>
      <c r="AX2070" s="177"/>
      <c r="AY2070" s="178"/>
      <c r="AZ2070" s="159"/>
      <c r="BA2070" s="161"/>
      <c r="BB2070" s="160"/>
    </row>
    <row r="2071" spans="1:59" s="154" customFormat="1" ht="15" customHeight="1">
      <c r="A2071" s="153" t="s">
        <v>7589</v>
      </c>
      <c r="B2071" s="189" t="s">
        <v>7671</v>
      </c>
      <c r="C2071" s="154" t="s">
        <v>7591</v>
      </c>
      <c r="D2071" s="154">
        <v>27</v>
      </c>
      <c r="E2071" s="154">
        <v>1</v>
      </c>
      <c r="F2071" s="154" t="s">
        <v>7649</v>
      </c>
      <c r="G2071" s="154" t="s">
        <v>7672</v>
      </c>
      <c r="J2071" s="154" t="s">
        <v>28</v>
      </c>
      <c r="K2071" s="154" t="s">
        <v>2426</v>
      </c>
      <c r="O2071" s="173"/>
      <c r="P2071" s="174"/>
      <c r="Q2071" s="175"/>
      <c r="R2071" s="159"/>
      <c r="S2071" s="160"/>
      <c r="T2071" s="161"/>
      <c r="U2071" s="173"/>
      <c r="V2071" s="176"/>
      <c r="W2071" s="177"/>
      <c r="X2071" s="178"/>
      <c r="Y2071" s="159"/>
      <c r="Z2071" s="161"/>
      <c r="AA2071" s="160">
        <v>0</v>
      </c>
      <c r="AD2071" s="154" t="s">
        <v>481</v>
      </c>
      <c r="AF2071" s="154" t="s">
        <v>7673</v>
      </c>
      <c r="AQ2071" s="173"/>
      <c r="AR2071" s="174"/>
      <c r="AS2071" s="175"/>
      <c r="AT2071" s="159"/>
      <c r="AU2071" s="161"/>
      <c r="AV2071" s="173"/>
      <c r="AW2071" s="176"/>
      <c r="AX2071" s="177"/>
      <c r="AY2071" s="178"/>
      <c r="AZ2071" s="159"/>
      <c r="BA2071" s="161"/>
      <c r="BB2071" s="160"/>
    </row>
    <row r="2072" spans="1:59" s="154" customFormat="1" ht="15" customHeight="1">
      <c r="A2072" s="153" t="s">
        <v>7589</v>
      </c>
      <c r="B2072" s="188" t="s">
        <v>7674</v>
      </c>
      <c r="C2072" s="154" t="s">
        <v>7591</v>
      </c>
      <c r="D2072" s="154">
        <v>28</v>
      </c>
      <c r="E2072" s="154">
        <v>1</v>
      </c>
      <c r="F2072" s="154" t="s">
        <v>7675</v>
      </c>
      <c r="G2072" s="154" t="s">
        <v>7675</v>
      </c>
      <c r="J2072" s="154" t="s">
        <v>618</v>
      </c>
      <c r="K2072" s="154" t="s">
        <v>2426</v>
      </c>
      <c r="O2072" s="173"/>
      <c r="P2072" s="174"/>
      <c r="Q2072" s="175"/>
      <c r="R2072" s="159"/>
      <c r="S2072" s="160"/>
      <c r="T2072" s="161"/>
      <c r="U2072" s="173"/>
      <c r="V2072" s="176"/>
      <c r="W2072" s="177"/>
      <c r="X2072" s="178"/>
      <c r="Y2072" s="159"/>
      <c r="Z2072" s="161"/>
      <c r="AA2072" s="160"/>
      <c r="AD2072" s="154" t="s">
        <v>7625</v>
      </c>
      <c r="AF2072" s="154" t="s">
        <v>7676</v>
      </c>
      <c r="AI2072" s="154" t="s">
        <v>7675</v>
      </c>
      <c r="AL2072" s="154" t="s">
        <v>618</v>
      </c>
      <c r="AM2072" s="154" t="s">
        <v>2426</v>
      </c>
      <c r="AQ2072" s="173"/>
      <c r="AR2072" s="174"/>
      <c r="AS2072" s="175"/>
      <c r="AT2072" s="159"/>
      <c r="AU2072" s="161"/>
      <c r="AV2072" s="173"/>
      <c r="AW2072" s="176"/>
      <c r="AX2072" s="177"/>
      <c r="AY2072" s="178"/>
      <c r="AZ2072" s="159"/>
      <c r="BA2072" s="161"/>
      <c r="BB2072" s="160"/>
      <c r="BE2072" s="154" t="s">
        <v>7625</v>
      </c>
      <c r="BG2072" s="154" t="s">
        <v>7677</v>
      </c>
    </row>
    <row r="2073" spans="1:59" s="154" customFormat="1" ht="15" customHeight="1">
      <c r="A2073" s="153" t="s">
        <v>7589</v>
      </c>
      <c r="B2073" s="188" t="s">
        <v>7678</v>
      </c>
      <c r="C2073" s="154" t="s">
        <v>7591</v>
      </c>
      <c r="D2073" s="154">
        <v>29</v>
      </c>
      <c r="E2073" s="154">
        <v>1</v>
      </c>
      <c r="F2073" s="154" t="s">
        <v>7675</v>
      </c>
      <c r="G2073" s="154" t="s">
        <v>1467</v>
      </c>
      <c r="J2073" s="154" t="s">
        <v>31</v>
      </c>
      <c r="K2073" s="154" t="s">
        <v>2426</v>
      </c>
      <c r="O2073" s="173"/>
      <c r="P2073" s="174"/>
      <c r="Q2073" s="175"/>
      <c r="R2073" s="159"/>
      <c r="S2073" s="160"/>
      <c r="T2073" s="161"/>
      <c r="U2073" s="173"/>
      <c r="V2073" s="176"/>
      <c r="W2073" s="177"/>
      <c r="X2073" s="178"/>
      <c r="Y2073" s="159"/>
      <c r="Z2073" s="161"/>
      <c r="AA2073" s="160"/>
      <c r="AD2073" s="154" t="s">
        <v>7679</v>
      </c>
      <c r="AI2073" s="154" t="s">
        <v>1467</v>
      </c>
      <c r="AL2073" s="154" t="s">
        <v>31</v>
      </c>
      <c r="AM2073" s="154" t="s">
        <v>2426</v>
      </c>
      <c r="AQ2073" s="173"/>
      <c r="AR2073" s="174"/>
      <c r="AS2073" s="175"/>
      <c r="AT2073" s="159"/>
      <c r="AU2073" s="161"/>
      <c r="AV2073" s="173"/>
      <c r="AW2073" s="176"/>
      <c r="AX2073" s="177"/>
      <c r="AY2073" s="178">
        <v>3</v>
      </c>
      <c r="AZ2073" s="159">
        <v>0</v>
      </c>
      <c r="BA2073" s="161"/>
      <c r="BB2073" s="160"/>
      <c r="BE2073" s="154" t="s">
        <v>7679</v>
      </c>
      <c r="BG2073" s="154" t="s">
        <v>7680</v>
      </c>
    </row>
    <row r="2074" spans="1:59" s="154" customFormat="1" ht="15" customHeight="1">
      <c r="A2074" s="153" t="s">
        <v>7589</v>
      </c>
      <c r="B2074" s="188" t="s">
        <v>7681</v>
      </c>
      <c r="C2074" s="154" t="s">
        <v>7591</v>
      </c>
      <c r="D2074" s="154">
        <v>30</v>
      </c>
      <c r="E2074" s="154">
        <v>1</v>
      </c>
      <c r="F2074" s="154" t="s">
        <v>7675</v>
      </c>
      <c r="G2074" s="154" t="s">
        <v>744</v>
      </c>
      <c r="J2074" s="154" t="s">
        <v>31</v>
      </c>
      <c r="K2074" s="154" t="s">
        <v>2426</v>
      </c>
      <c r="O2074" s="173"/>
      <c r="P2074" s="174"/>
      <c r="Q2074" s="175"/>
      <c r="R2074" s="159"/>
      <c r="S2074" s="160"/>
      <c r="T2074" s="161"/>
      <c r="U2074" s="173"/>
      <c r="V2074" s="176"/>
      <c r="W2074" s="177"/>
      <c r="X2074" s="178"/>
      <c r="Y2074" s="159"/>
      <c r="Z2074" s="161"/>
      <c r="AA2074" s="160"/>
      <c r="AD2074" s="154" t="s">
        <v>7679</v>
      </c>
      <c r="AI2074" s="154" t="s">
        <v>744</v>
      </c>
      <c r="AJ2074" s="154" t="s">
        <v>7682</v>
      </c>
      <c r="AL2074" s="154" t="s">
        <v>31</v>
      </c>
      <c r="AM2074" s="154" t="s">
        <v>2426</v>
      </c>
      <c r="AQ2074" s="173"/>
      <c r="AR2074" s="174"/>
      <c r="AS2074" s="175"/>
      <c r="AT2074" s="159"/>
      <c r="AU2074" s="161"/>
      <c r="AV2074" s="173"/>
      <c r="AW2074" s="176"/>
      <c r="AX2074" s="177"/>
      <c r="AY2074" s="178">
        <v>3</v>
      </c>
      <c r="AZ2074" s="159" t="s">
        <v>1073</v>
      </c>
      <c r="BA2074" s="161"/>
      <c r="BB2074" s="160"/>
      <c r="BE2074" s="154" t="s">
        <v>7679</v>
      </c>
      <c r="BG2074" s="154" t="s">
        <v>3017</v>
      </c>
    </row>
    <row r="2075" spans="1:59" s="154" customFormat="1" ht="15" customHeight="1">
      <c r="A2075" s="153" t="s">
        <v>7589</v>
      </c>
      <c r="B2075" s="189" t="s">
        <v>7683</v>
      </c>
      <c r="C2075" s="154" t="s">
        <v>7591</v>
      </c>
      <c r="D2075" s="154">
        <v>31</v>
      </c>
      <c r="E2075" s="154">
        <v>1</v>
      </c>
      <c r="F2075" s="154" t="s">
        <v>7675</v>
      </c>
      <c r="G2075" s="154" t="s">
        <v>744</v>
      </c>
      <c r="J2075" s="154" t="s">
        <v>31</v>
      </c>
      <c r="K2075" s="154" t="s">
        <v>2426</v>
      </c>
      <c r="O2075" s="173"/>
      <c r="P2075" s="174"/>
      <c r="Q2075" s="175"/>
      <c r="R2075" s="159"/>
      <c r="S2075" s="160"/>
      <c r="T2075" s="161"/>
      <c r="U2075" s="173"/>
      <c r="V2075" s="176"/>
      <c r="W2075" s="177"/>
      <c r="X2075" s="178"/>
      <c r="Y2075" s="159"/>
      <c r="Z2075" s="161"/>
      <c r="AA2075" s="160"/>
      <c r="AD2075" s="154" t="s">
        <v>7679</v>
      </c>
      <c r="AI2075" s="154" t="s">
        <v>744</v>
      </c>
      <c r="AJ2075" s="154" t="s">
        <v>7684</v>
      </c>
      <c r="AL2075" s="154" t="s">
        <v>31</v>
      </c>
      <c r="AM2075" s="154" t="s">
        <v>2426</v>
      </c>
      <c r="AQ2075" s="173"/>
      <c r="AR2075" s="174"/>
      <c r="AS2075" s="175"/>
      <c r="AT2075" s="159"/>
      <c r="AU2075" s="161"/>
      <c r="AV2075" s="173"/>
      <c r="AW2075" s="176"/>
      <c r="AX2075" s="177"/>
      <c r="AY2075" s="178">
        <v>5</v>
      </c>
      <c r="AZ2075" s="159" t="s">
        <v>1111</v>
      </c>
      <c r="BA2075" s="161"/>
      <c r="BB2075" s="160"/>
      <c r="BE2075" s="154" t="s">
        <v>7679</v>
      </c>
      <c r="BG2075" s="154" t="s">
        <v>3017</v>
      </c>
    </row>
    <row r="2076" spans="1:59" s="154" customFormat="1" ht="15" customHeight="1">
      <c r="A2076" s="153" t="s">
        <v>7589</v>
      </c>
      <c r="B2076" s="188" t="s">
        <v>7685</v>
      </c>
      <c r="C2076" s="154" t="s">
        <v>7591</v>
      </c>
      <c r="D2076" s="154">
        <v>32</v>
      </c>
      <c r="E2076" s="154">
        <v>1</v>
      </c>
      <c r="F2076" s="154" t="s">
        <v>7675</v>
      </c>
      <c r="G2076" s="154" t="s">
        <v>744</v>
      </c>
      <c r="J2076" s="154" t="s">
        <v>31</v>
      </c>
      <c r="K2076" s="154" t="s">
        <v>2426</v>
      </c>
      <c r="O2076" s="173"/>
      <c r="P2076" s="174"/>
      <c r="Q2076" s="175"/>
      <c r="R2076" s="159"/>
      <c r="S2076" s="160"/>
      <c r="T2076" s="161"/>
      <c r="U2076" s="173"/>
      <c r="V2076" s="176"/>
      <c r="W2076" s="177"/>
      <c r="X2076" s="178"/>
      <c r="Y2076" s="159"/>
      <c r="Z2076" s="161"/>
      <c r="AA2076" s="160"/>
      <c r="AD2076" s="154" t="s">
        <v>7679</v>
      </c>
      <c r="AI2076" s="154" t="s">
        <v>744</v>
      </c>
      <c r="AJ2076" s="154" t="s">
        <v>7686</v>
      </c>
      <c r="AL2076" s="154" t="s">
        <v>31</v>
      </c>
      <c r="AM2076" s="154" t="s">
        <v>2426</v>
      </c>
      <c r="AQ2076" s="173"/>
      <c r="AR2076" s="174"/>
      <c r="AS2076" s="175"/>
      <c r="AT2076" s="159"/>
      <c r="AU2076" s="161"/>
      <c r="AV2076" s="173"/>
      <c r="AW2076" s="176"/>
      <c r="AX2076" s="177"/>
      <c r="AY2076" s="178">
        <v>1</v>
      </c>
      <c r="AZ2076" s="159" t="s">
        <v>1073</v>
      </c>
      <c r="BA2076" s="161"/>
      <c r="BB2076" s="160"/>
      <c r="BE2076" s="154" t="s">
        <v>7679</v>
      </c>
      <c r="BG2076" s="154" t="s">
        <v>3017</v>
      </c>
    </row>
    <row r="2077" spans="1:59" s="154" customFormat="1" ht="15" customHeight="1">
      <c r="A2077" s="153" t="s">
        <v>7589</v>
      </c>
      <c r="B2077" s="189" t="s">
        <v>7687</v>
      </c>
      <c r="C2077" s="154" t="s">
        <v>7591</v>
      </c>
      <c r="D2077" s="154">
        <v>33</v>
      </c>
      <c r="E2077" s="154">
        <v>2</v>
      </c>
      <c r="F2077" s="154" t="s">
        <v>7675</v>
      </c>
      <c r="G2077" s="154" t="s">
        <v>7688</v>
      </c>
      <c r="J2077" s="154" t="s">
        <v>29</v>
      </c>
      <c r="K2077" s="154" t="s">
        <v>2426</v>
      </c>
      <c r="O2077" s="173"/>
      <c r="P2077" s="174"/>
      <c r="Q2077" s="175">
        <v>5</v>
      </c>
      <c r="R2077" s="159">
        <v>3</v>
      </c>
      <c r="S2077" s="160"/>
      <c r="T2077" s="161">
        <v>3</v>
      </c>
      <c r="U2077" s="173"/>
      <c r="V2077" s="176">
        <v>1</v>
      </c>
      <c r="W2077" s="177">
        <v>1</v>
      </c>
      <c r="X2077" s="178"/>
      <c r="Y2077" s="159"/>
      <c r="Z2077" s="161"/>
      <c r="AA2077" s="160">
        <v>0</v>
      </c>
      <c r="AD2077" s="154" t="s">
        <v>467</v>
      </c>
      <c r="AF2077" s="154" t="s">
        <v>7689</v>
      </c>
      <c r="AQ2077" s="173"/>
      <c r="AR2077" s="174"/>
      <c r="AS2077" s="175"/>
      <c r="AT2077" s="159"/>
      <c r="AU2077" s="161"/>
      <c r="AV2077" s="173"/>
      <c r="AW2077" s="176"/>
      <c r="AX2077" s="177"/>
      <c r="AY2077" s="178"/>
      <c r="AZ2077" s="159"/>
      <c r="BA2077" s="161"/>
      <c r="BB2077" s="160"/>
    </row>
    <row r="2078" spans="1:59" s="154" customFormat="1" ht="15" customHeight="1">
      <c r="A2078" s="153" t="s">
        <v>7589</v>
      </c>
      <c r="B2078" s="188" t="s">
        <v>7690</v>
      </c>
      <c r="C2078" s="154" t="s">
        <v>7591</v>
      </c>
      <c r="D2078" s="154">
        <v>34</v>
      </c>
      <c r="E2078" s="154">
        <v>1</v>
      </c>
      <c r="F2078" s="154" t="s">
        <v>7691</v>
      </c>
      <c r="G2078" s="154" t="s">
        <v>7691</v>
      </c>
      <c r="J2078" s="154" t="s">
        <v>618</v>
      </c>
      <c r="K2078" s="154" t="s">
        <v>2426</v>
      </c>
      <c r="O2078" s="173"/>
      <c r="P2078" s="174"/>
      <c r="Q2078" s="175"/>
      <c r="R2078" s="159"/>
      <c r="S2078" s="160"/>
      <c r="T2078" s="161"/>
      <c r="U2078" s="173"/>
      <c r="V2078" s="176"/>
      <c r="W2078" s="177"/>
      <c r="X2078" s="178"/>
      <c r="Y2078" s="159"/>
      <c r="Z2078" s="161"/>
      <c r="AA2078" s="160"/>
      <c r="AD2078" s="154" t="s">
        <v>7625</v>
      </c>
      <c r="AF2078" s="154" t="s">
        <v>7692</v>
      </c>
      <c r="AI2078" s="154" t="s">
        <v>7691</v>
      </c>
      <c r="AL2078" s="154" t="s">
        <v>618</v>
      </c>
      <c r="AM2078" s="154" t="s">
        <v>2426</v>
      </c>
      <c r="AQ2078" s="173"/>
      <c r="AR2078" s="174"/>
      <c r="AS2078" s="175"/>
      <c r="AT2078" s="159"/>
      <c r="AU2078" s="161"/>
      <c r="AV2078" s="173"/>
      <c r="AW2078" s="176"/>
      <c r="AX2078" s="177"/>
      <c r="AY2078" s="178"/>
      <c r="AZ2078" s="159"/>
      <c r="BA2078" s="161"/>
      <c r="BB2078" s="160"/>
      <c r="BE2078" s="154" t="s">
        <v>7625</v>
      </c>
      <c r="BG2078" s="154" t="s">
        <v>7693</v>
      </c>
    </row>
    <row r="2079" spans="1:59" s="154" customFormat="1" ht="15" customHeight="1">
      <c r="A2079" s="153" t="s">
        <v>7589</v>
      </c>
      <c r="B2079" s="188" t="s">
        <v>7694</v>
      </c>
      <c r="C2079" s="154" t="s">
        <v>7591</v>
      </c>
      <c r="D2079" s="154">
        <v>35</v>
      </c>
      <c r="E2079" s="154">
        <v>1</v>
      </c>
      <c r="F2079" s="154" t="s">
        <v>7691</v>
      </c>
      <c r="G2079" s="154" t="s">
        <v>7695</v>
      </c>
      <c r="J2079" s="154" t="s">
        <v>621</v>
      </c>
      <c r="K2079" s="154" t="s">
        <v>2426</v>
      </c>
      <c r="O2079" s="173"/>
      <c r="P2079" s="174"/>
      <c r="Q2079" s="175"/>
      <c r="R2079" s="159"/>
      <c r="S2079" s="160"/>
      <c r="T2079" s="161"/>
      <c r="U2079" s="173"/>
      <c r="V2079" s="176"/>
      <c r="W2079" s="177"/>
      <c r="X2079" s="178"/>
      <c r="Y2079" s="159" t="s">
        <v>38</v>
      </c>
      <c r="Z2079" s="161"/>
      <c r="AA2079" s="160"/>
      <c r="AF2079" s="154" t="s">
        <v>7696</v>
      </c>
      <c r="AI2079" s="154" t="s">
        <v>7697</v>
      </c>
      <c r="AL2079" s="154" t="s">
        <v>621</v>
      </c>
      <c r="AM2079" s="154" t="s">
        <v>2426</v>
      </c>
      <c r="AQ2079" s="173"/>
      <c r="AR2079" s="174"/>
      <c r="AS2079" s="175"/>
      <c r="AT2079" s="159"/>
      <c r="AU2079" s="161"/>
      <c r="AV2079" s="173"/>
      <c r="AW2079" s="176"/>
      <c r="AX2079" s="177"/>
      <c r="AY2079" s="178"/>
      <c r="AZ2079" s="159"/>
      <c r="BA2079" s="161"/>
      <c r="BB2079" s="160"/>
      <c r="BG2079" s="154" t="s">
        <v>7698</v>
      </c>
    </row>
    <row r="2080" spans="1:59" s="154" customFormat="1" ht="15" customHeight="1">
      <c r="A2080" s="153" t="s">
        <v>7589</v>
      </c>
      <c r="B2080" s="188" t="s">
        <v>7699</v>
      </c>
      <c r="C2080" s="154" t="s">
        <v>7591</v>
      </c>
      <c r="D2080" s="154">
        <v>36</v>
      </c>
      <c r="E2080" s="154">
        <v>1</v>
      </c>
      <c r="F2080" s="154" t="s">
        <v>7691</v>
      </c>
      <c r="G2080" s="154" t="s">
        <v>7700</v>
      </c>
      <c r="J2080" s="154" t="s">
        <v>621</v>
      </c>
      <c r="K2080" s="154" t="s">
        <v>2426</v>
      </c>
      <c r="O2080" s="173"/>
      <c r="P2080" s="174"/>
      <c r="Q2080" s="175"/>
      <c r="R2080" s="159"/>
      <c r="S2080" s="160"/>
      <c r="T2080" s="161"/>
      <c r="U2080" s="173"/>
      <c r="V2080" s="176"/>
      <c r="W2080" s="177"/>
      <c r="X2080" s="178"/>
      <c r="Y2080" s="159" t="s">
        <v>38</v>
      </c>
      <c r="Z2080" s="161"/>
      <c r="AA2080" s="160"/>
      <c r="AF2080" s="154" t="s">
        <v>7696</v>
      </c>
      <c r="AI2080" s="154" t="s">
        <v>7701</v>
      </c>
      <c r="AL2080" s="154" t="s">
        <v>621</v>
      </c>
      <c r="AM2080" s="154" t="s">
        <v>2426</v>
      </c>
      <c r="AQ2080" s="173"/>
      <c r="AR2080" s="174"/>
      <c r="AS2080" s="175"/>
      <c r="AT2080" s="159"/>
      <c r="AU2080" s="161"/>
      <c r="AV2080" s="173"/>
      <c r="AW2080" s="176"/>
      <c r="AX2080" s="177"/>
      <c r="AY2080" s="178"/>
      <c r="AZ2080" s="159"/>
      <c r="BA2080" s="161"/>
      <c r="BB2080" s="160"/>
      <c r="BG2080" s="154" t="s">
        <v>7702</v>
      </c>
    </row>
    <row r="2081" spans="1:59" s="154" customFormat="1" ht="15" customHeight="1">
      <c r="A2081" s="153" t="s">
        <v>7589</v>
      </c>
      <c r="B2081" s="188" t="s">
        <v>7703</v>
      </c>
      <c r="C2081" s="154" t="s">
        <v>7591</v>
      </c>
      <c r="D2081" s="154">
        <v>37</v>
      </c>
      <c r="E2081" s="154">
        <v>1</v>
      </c>
      <c r="F2081" s="154" t="s">
        <v>7691</v>
      </c>
      <c r="G2081" s="154" t="s">
        <v>7704</v>
      </c>
      <c r="J2081" s="154" t="s">
        <v>29</v>
      </c>
      <c r="K2081" s="154" t="s">
        <v>2426</v>
      </c>
      <c r="O2081" s="173"/>
      <c r="P2081" s="174"/>
      <c r="Q2081" s="175">
        <v>4</v>
      </c>
      <c r="R2081" s="159">
        <v>4</v>
      </c>
      <c r="S2081" s="160"/>
      <c r="T2081" s="161">
        <v>4</v>
      </c>
      <c r="U2081" s="173"/>
      <c r="V2081" s="176">
        <v>1</v>
      </c>
      <c r="W2081" s="177">
        <v>1</v>
      </c>
      <c r="X2081" s="178"/>
      <c r="Y2081" s="159"/>
      <c r="Z2081" s="161"/>
      <c r="AA2081" s="160">
        <v>1</v>
      </c>
      <c r="AD2081" s="154" t="s">
        <v>7705</v>
      </c>
      <c r="AF2081" s="154" t="s">
        <v>7706</v>
      </c>
      <c r="AQ2081" s="173"/>
      <c r="AR2081" s="174"/>
      <c r="AS2081" s="175"/>
      <c r="AT2081" s="159"/>
      <c r="AU2081" s="161"/>
      <c r="AV2081" s="173"/>
      <c r="AW2081" s="176"/>
      <c r="AX2081" s="177"/>
      <c r="AY2081" s="178"/>
      <c r="AZ2081" s="159"/>
      <c r="BA2081" s="161"/>
      <c r="BB2081" s="160"/>
    </row>
    <row r="2082" spans="1:59" s="154" customFormat="1" ht="15" customHeight="1">
      <c r="A2082" s="153" t="s">
        <v>7589</v>
      </c>
      <c r="B2082" s="189" t="s">
        <v>7707</v>
      </c>
      <c r="C2082" s="154" t="s">
        <v>7591</v>
      </c>
      <c r="D2082" s="154">
        <v>38</v>
      </c>
      <c r="E2082" s="154">
        <v>1</v>
      </c>
      <c r="F2082" s="154" t="s">
        <v>7691</v>
      </c>
      <c r="G2082" s="154" t="s">
        <v>7708</v>
      </c>
      <c r="J2082" s="154" t="s">
        <v>28</v>
      </c>
      <c r="K2082" s="154" t="s">
        <v>2426</v>
      </c>
      <c r="O2082" s="173"/>
      <c r="P2082" s="174"/>
      <c r="Q2082" s="175"/>
      <c r="R2082" s="159"/>
      <c r="S2082" s="160"/>
      <c r="T2082" s="161"/>
      <c r="U2082" s="173"/>
      <c r="V2082" s="176"/>
      <c r="W2082" s="177"/>
      <c r="X2082" s="178"/>
      <c r="Y2082" s="159"/>
      <c r="Z2082" s="161"/>
      <c r="AA2082" s="160">
        <v>1</v>
      </c>
      <c r="AF2082" s="154" t="s">
        <v>7709</v>
      </c>
      <c r="AQ2082" s="173"/>
      <c r="AR2082" s="174"/>
      <c r="AS2082" s="175"/>
      <c r="AT2082" s="159"/>
      <c r="AU2082" s="161"/>
      <c r="AV2082" s="173"/>
      <c r="AW2082" s="176"/>
      <c r="AX2082" s="177"/>
      <c r="AY2082" s="178"/>
      <c r="AZ2082" s="159"/>
      <c r="BA2082" s="161"/>
      <c r="BB2082" s="160"/>
    </row>
    <row r="2083" spans="1:59" s="154" customFormat="1" ht="15" customHeight="1">
      <c r="A2083" s="153" t="s">
        <v>7589</v>
      </c>
      <c r="B2083" s="188" t="s">
        <v>7710</v>
      </c>
      <c r="C2083" s="154" t="s">
        <v>7591</v>
      </c>
      <c r="D2083" s="154">
        <v>39</v>
      </c>
      <c r="E2083" s="154">
        <v>1</v>
      </c>
      <c r="F2083" s="154" t="s">
        <v>7691</v>
      </c>
      <c r="G2083" s="154" t="s">
        <v>7711</v>
      </c>
      <c r="J2083" s="154" t="s">
        <v>28</v>
      </c>
      <c r="K2083" s="154" t="s">
        <v>2426</v>
      </c>
      <c r="O2083" s="173"/>
      <c r="P2083" s="174"/>
      <c r="Q2083" s="175"/>
      <c r="R2083" s="159"/>
      <c r="S2083" s="160"/>
      <c r="T2083" s="161"/>
      <c r="U2083" s="173"/>
      <c r="V2083" s="176"/>
      <c r="W2083" s="177"/>
      <c r="X2083" s="178"/>
      <c r="Y2083" s="159"/>
      <c r="Z2083" s="161"/>
      <c r="AA2083" s="160"/>
      <c r="AD2083" s="154" t="s">
        <v>481</v>
      </c>
      <c r="AF2083" s="154" t="s">
        <v>7712</v>
      </c>
      <c r="AQ2083" s="173"/>
      <c r="AR2083" s="174"/>
      <c r="AS2083" s="175"/>
      <c r="AT2083" s="159"/>
      <c r="AU2083" s="161"/>
      <c r="AV2083" s="173"/>
      <c r="AW2083" s="176"/>
      <c r="AX2083" s="177"/>
      <c r="AY2083" s="178"/>
      <c r="AZ2083" s="159"/>
      <c r="BA2083" s="161"/>
      <c r="BB2083" s="160"/>
    </row>
    <row r="2084" spans="1:59" s="154" customFormat="1" ht="15" customHeight="1">
      <c r="A2084" s="153" t="s">
        <v>7589</v>
      </c>
      <c r="B2084" s="190" t="s">
        <v>7713</v>
      </c>
      <c r="C2084" s="154" t="s">
        <v>7591</v>
      </c>
      <c r="D2084" s="154">
        <v>40</v>
      </c>
      <c r="E2084" s="154">
        <v>1</v>
      </c>
      <c r="F2084" s="154" t="s">
        <v>7714</v>
      </c>
      <c r="G2084" s="154" t="s">
        <v>7714</v>
      </c>
      <c r="J2084" s="154" t="s">
        <v>618</v>
      </c>
      <c r="K2084" s="154" t="s">
        <v>2426</v>
      </c>
      <c r="O2084" s="173"/>
      <c r="P2084" s="174"/>
      <c r="Q2084" s="175"/>
      <c r="R2084" s="159"/>
      <c r="S2084" s="160"/>
      <c r="T2084" s="161"/>
      <c r="U2084" s="173"/>
      <c r="V2084" s="176"/>
      <c r="W2084" s="177"/>
      <c r="X2084" s="178"/>
      <c r="Y2084" s="159"/>
      <c r="Z2084" s="161"/>
      <c r="AA2084" s="160"/>
      <c r="AD2084" s="154" t="s">
        <v>7625</v>
      </c>
      <c r="AF2084" s="154" t="s">
        <v>7715</v>
      </c>
      <c r="AI2084" s="154" t="s">
        <v>7714</v>
      </c>
      <c r="AL2084" s="154" t="s">
        <v>618</v>
      </c>
      <c r="AM2084" s="154" t="s">
        <v>2426</v>
      </c>
      <c r="AQ2084" s="173"/>
      <c r="AR2084" s="174"/>
      <c r="AS2084" s="175"/>
      <c r="AT2084" s="159"/>
      <c r="AU2084" s="161"/>
      <c r="AV2084" s="173"/>
      <c r="AW2084" s="176"/>
      <c r="AX2084" s="177"/>
      <c r="AY2084" s="178"/>
      <c r="AZ2084" s="159"/>
      <c r="BA2084" s="161"/>
      <c r="BB2084" s="160"/>
      <c r="BE2084" s="154" t="s">
        <v>7625</v>
      </c>
      <c r="BG2084" s="154" t="s">
        <v>7716</v>
      </c>
    </row>
    <row r="2085" spans="1:59" s="154" customFormat="1" ht="15" customHeight="1">
      <c r="A2085" s="153" t="s">
        <v>7589</v>
      </c>
      <c r="B2085" s="187" t="s">
        <v>7717</v>
      </c>
      <c r="C2085" s="154" t="s">
        <v>7591</v>
      </c>
      <c r="D2085" s="154">
        <v>41</v>
      </c>
      <c r="E2085" s="154">
        <v>1</v>
      </c>
      <c r="F2085" s="154" t="s">
        <v>7714</v>
      </c>
      <c r="G2085" s="154" t="s">
        <v>3290</v>
      </c>
      <c r="J2085" s="154" t="s">
        <v>31</v>
      </c>
      <c r="K2085" s="154" t="s">
        <v>2426</v>
      </c>
      <c r="O2085" s="173"/>
      <c r="P2085" s="174"/>
      <c r="Q2085" s="175"/>
      <c r="R2085" s="159"/>
      <c r="S2085" s="160"/>
      <c r="T2085" s="161"/>
      <c r="U2085" s="173"/>
      <c r="V2085" s="176"/>
      <c r="W2085" s="177"/>
      <c r="X2085" s="178"/>
      <c r="Y2085" s="159"/>
      <c r="Z2085" s="161"/>
      <c r="AA2085" s="160"/>
      <c r="AD2085" s="154" t="s">
        <v>3291</v>
      </c>
      <c r="AI2085" s="154" t="s">
        <v>3290</v>
      </c>
      <c r="AL2085" s="154" t="s">
        <v>31</v>
      </c>
      <c r="AM2085" s="154" t="s">
        <v>2426</v>
      </c>
      <c r="AQ2085" s="173"/>
      <c r="AR2085" s="174"/>
      <c r="AS2085" s="175"/>
      <c r="AT2085" s="159"/>
      <c r="AU2085" s="161"/>
      <c r="AV2085" s="173"/>
      <c r="AW2085" s="176"/>
      <c r="AX2085" s="177"/>
      <c r="AY2085" s="178">
        <v>1</v>
      </c>
      <c r="AZ2085" s="159" t="s">
        <v>1073</v>
      </c>
      <c r="BA2085" s="161"/>
      <c r="BB2085" s="160"/>
      <c r="BE2085" s="154" t="s">
        <v>3291</v>
      </c>
      <c r="BG2085" s="154" t="s">
        <v>7718</v>
      </c>
    </row>
    <row r="2086" spans="1:59" s="154" customFormat="1" ht="15" customHeight="1">
      <c r="A2086" s="153" t="s">
        <v>7589</v>
      </c>
      <c r="B2086" s="187" t="s">
        <v>7719</v>
      </c>
      <c r="C2086" s="154" t="s">
        <v>7591</v>
      </c>
      <c r="D2086" s="154">
        <v>42</v>
      </c>
      <c r="E2086" s="154">
        <v>1</v>
      </c>
      <c r="F2086" s="154" t="s">
        <v>7714</v>
      </c>
      <c r="G2086" s="154" t="s">
        <v>3296</v>
      </c>
      <c r="J2086" s="154" t="s">
        <v>31</v>
      </c>
      <c r="K2086" s="154" t="s">
        <v>2426</v>
      </c>
      <c r="O2086" s="173"/>
      <c r="P2086" s="174"/>
      <c r="Q2086" s="175"/>
      <c r="R2086" s="159"/>
      <c r="S2086" s="160"/>
      <c r="T2086" s="161"/>
      <c r="U2086" s="173"/>
      <c r="V2086" s="176"/>
      <c r="W2086" s="177"/>
      <c r="X2086" s="178"/>
      <c r="Y2086" s="159"/>
      <c r="Z2086" s="161"/>
      <c r="AA2086" s="160"/>
      <c r="AD2086" s="154" t="s">
        <v>3298</v>
      </c>
      <c r="AI2086" s="154" t="s">
        <v>3296</v>
      </c>
      <c r="AJ2086" s="154" t="s">
        <v>3297</v>
      </c>
      <c r="AL2086" s="154" t="s">
        <v>31</v>
      </c>
      <c r="AM2086" s="154" t="s">
        <v>2426</v>
      </c>
      <c r="AQ2086" s="173"/>
      <c r="AR2086" s="174"/>
      <c r="AS2086" s="175"/>
      <c r="AT2086" s="159"/>
      <c r="AU2086" s="161"/>
      <c r="AV2086" s="173"/>
      <c r="AW2086" s="176"/>
      <c r="AX2086" s="177"/>
      <c r="AY2086" s="178">
        <v>5</v>
      </c>
      <c r="AZ2086" s="159" t="s">
        <v>1073</v>
      </c>
      <c r="BA2086" s="161"/>
      <c r="BB2086" s="160">
        <v>1</v>
      </c>
      <c r="BE2086" s="154" t="s">
        <v>3298</v>
      </c>
      <c r="BG2086" s="154" t="s">
        <v>7720</v>
      </c>
    </row>
    <row r="2087" spans="1:59" ht="15" customHeight="1">
      <c r="A2087" s="153" t="s">
        <v>7589</v>
      </c>
      <c r="B2087" s="190" t="s">
        <v>7721</v>
      </c>
      <c r="C2087" s="154" t="s">
        <v>7591</v>
      </c>
      <c r="D2087" s="23">
        <v>43</v>
      </c>
      <c r="E2087" s="23">
        <v>1</v>
      </c>
      <c r="F2087" s="154" t="s">
        <v>7714</v>
      </c>
      <c r="G2087" s="154" t="s">
        <v>3305</v>
      </c>
      <c r="J2087" s="23" t="s">
        <v>31</v>
      </c>
      <c r="K2087" s="23" t="s">
        <v>2426</v>
      </c>
      <c r="N2087" s="191"/>
      <c r="O2087" s="129"/>
      <c r="P2087" s="130"/>
      <c r="Q2087" s="131"/>
      <c r="R2087" s="29"/>
      <c r="S2087" s="135"/>
      <c r="T2087" s="122"/>
      <c r="U2087" s="129"/>
      <c r="V2087" s="136"/>
      <c r="W2087" s="137"/>
      <c r="X2087" s="134"/>
      <c r="Y2087" s="29"/>
      <c r="Z2087" s="122"/>
      <c r="AA2087" s="135"/>
      <c r="AB2087" s="148"/>
      <c r="AD2087" s="23" t="s">
        <v>3298</v>
      </c>
      <c r="AE2087" s="23"/>
      <c r="AI2087" s="154" t="s">
        <v>3305</v>
      </c>
      <c r="AL2087" s="23" t="s">
        <v>31</v>
      </c>
      <c r="AM2087" s="23" t="s">
        <v>2426</v>
      </c>
      <c r="AP2087" s="23"/>
      <c r="AQ2087" s="129"/>
      <c r="AR2087" s="130"/>
      <c r="AS2087" s="131"/>
      <c r="AT2087" s="29"/>
      <c r="AU2087" s="122"/>
      <c r="AV2087" s="129"/>
      <c r="AW2087" s="136"/>
      <c r="AX2087" s="137"/>
      <c r="AY2087" s="134">
        <v>2</v>
      </c>
      <c r="AZ2087" s="29" t="s">
        <v>1111</v>
      </c>
      <c r="BA2087" s="122"/>
      <c r="BB2087" s="135">
        <v>1</v>
      </c>
      <c r="BE2087" s="23" t="s">
        <v>3298</v>
      </c>
      <c r="BF2087" s="23"/>
      <c r="BG2087" s="23" t="s">
        <v>7722</v>
      </c>
    </row>
    <row r="2088" spans="1:59" ht="15" customHeight="1">
      <c r="A2088" s="153" t="s">
        <v>7589</v>
      </c>
      <c r="B2088" s="187" t="s">
        <v>7723</v>
      </c>
      <c r="C2088" s="154" t="s">
        <v>7591</v>
      </c>
      <c r="D2088" s="23">
        <v>44</v>
      </c>
      <c r="E2088" s="23">
        <v>1</v>
      </c>
      <c r="F2088" s="154" t="s">
        <v>7714</v>
      </c>
      <c r="G2088" s="154" t="s">
        <v>3307</v>
      </c>
      <c r="J2088" s="23" t="s">
        <v>31</v>
      </c>
      <c r="K2088" s="23" t="s">
        <v>2426</v>
      </c>
      <c r="N2088" s="191"/>
      <c r="O2088" s="129"/>
      <c r="P2088" s="130"/>
      <c r="Q2088" s="131"/>
      <c r="R2088" s="29"/>
      <c r="S2088" s="135"/>
      <c r="T2088" s="122"/>
      <c r="U2088" s="129"/>
      <c r="V2088" s="136"/>
      <c r="W2088" s="137"/>
      <c r="X2088" s="134"/>
      <c r="Y2088" s="29"/>
      <c r="Z2088" s="122"/>
      <c r="AA2088" s="135"/>
      <c r="AB2088" s="148"/>
      <c r="AD2088" s="23" t="s">
        <v>3298</v>
      </c>
      <c r="AE2088" s="23"/>
      <c r="AI2088" s="154" t="s">
        <v>3307</v>
      </c>
      <c r="AL2088" s="23" t="s">
        <v>31</v>
      </c>
      <c r="AM2088" s="23" t="s">
        <v>2426</v>
      </c>
      <c r="AP2088" s="23"/>
      <c r="AQ2088" s="129"/>
      <c r="AR2088" s="130"/>
      <c r="AS2088" s="131"/>
      <c r="AT2088" s="29"/>
      <c r="AU2088" s="122"/>
      <c r="AV2088" s="129"/>
      <c r="AW2088" s="136"/>
      <c r="AX2088" s="137"/>
      <c r="AY2088" s="134">
        <v>3</v>
      </c>
      <c r="AZ2088" s="29" t="s">
        <v>1073</v>
      </c>
      <c r="BA2088" s="122"/>
      <c r="BB2088" s="135">
        <v>1</v>
      </c>
      <c r="BE2088" s="23" t="s">
        <v>3298</v>
      </c>
      <c r="BF2088" s="23"/>
      <c r="BG2088" s="23" t="s">
        <v>7724</v>
      </c>
    </row>
    <row r="2089" spans="1:59" ht="15" customHeight="1">
      <c r="A2089" s="153" t="s">
        <v>7589</v>
      </c>
      <c r="B2089" s="187" t="s">
        <v>7725</v>
      </c>
      <c r="C2089" s="154" t="s">
        <v>7591</v>
      </c>
      <c r="D2089" s="23">
        <v>45</v>
      </c>
      <c r="E2089" s="23">
        <v>1</v>
      </c>
      <c r="F2089" s="154" t="s">
        <v>7714</v>
      </c>
      <c r="G2089" s="154" t="s">
        <v>3312</v>
      </c>
      <c r="J2089" s="23" t="s">
        <v>31</v>
      </c>
      <c r="K2089" s="23" t="s">
        <v>2426</v>
      </c>
      <c r="N2089" s="191"/>
      <c r="O2089" s="129"/>
      <c r="P2089" s="130"/>
      <c r="Q2089" s="131"/>
      <c r="R2089" s="29"/>
      <c r="S2089" s="135"/>
      <c r="T2089" s="122"/>
      <c r="U2089" s="129"/>
      <c r="V2089" s="136"/>
      <c r="W2089" s="137"/>
      <c r="X2089" s="134"/>
      <c r="Y2089" s="29"/>
      <c r="Z2089" s="122"/>
      <c r="AA2089" s="135"/>
      <c r="AB2089" s="148"/>
      <c r="AD2089" s="23" t="s">
        <v>3291</v>
      </c>
      <c r="AE2089" s="23"/>
      <c r="AI2089" s="154" t="s">
        <v>3312</v>
      </c>
      <c r="AL2089" s="23" t="s">
        <v>31</v>
      </c>
      <c r="AM2089" s="23" t="s">
        <v>2426</v>
      </c>
      <c r="AP2089" s="23"/>
      <c r="AQ2089" s="129"/>
      <c r="AR2089" s="130"/>
      <c r="AS2089" s="131"/>
      <c r="AT2089" s="29"/>
      <c r="AU2089" s="122"/>
      <c r="AV2089" s="129"/>
      <c r="AW2089" s="136"/>
      <c r="AX2089" s="137"/>
      <c r="AY2089" s="134">
        <v>4</v>
      </c>
      <c r="AZ2089" s="29" t="s">
        <v>1073</v>
      </c>
      <c r="BA2089" s="122"/>
      <c r="BB2089" s="135"/>
      <c r="BE2089" s="23" t="s">
        <v>3291</v>
      </c>
      <c r="BF2089" s="23"/>
      <c r="BG2089" s="23" t="s">
        <v>7726</v>
      </c>
    </row>
    <row r="2090" spans="1:59" ht="15" customHeight="1">
      <c r="A2090" s="153" t="s">
        <v>7589</v>
      </c>
      <c r="B2090" s="187" t="s">
        <v>7727</v>
      </c>
      <c r="C2090" s="154" t="s">
        <v>7591</v>
      </c>
      <c r="D2090" s="23">
        <v>46</v>
      </c>
      <c r="E2090" s="23">
        <v>1</v>
      </c>
      <c r="F2090" s="154" t="s">
        <v>7714</v>
      </c>
      <c r="G2090" s="154" t="s">
        <v>3314</v>
      </c>
      <c r="J2090" s="23" t="s">
        <v>31</v>
      </c>
      <c r="K2090" s="23" t="s">
        <v>2426</v>
      </c>
      <c r="N2090" s="191"/>
      <c r="O2090" s="129"/>
      <c r="P2090" s="130"/>
      <c r="Q2090" s="131"/>
      <c r="R2090" s="29"/>
      <c r="S2090" s="135"/>
      <c r="T2090" s="122"/>
      <c r="U2090" s="129"/>
      <c r="V2090" s="136"/>
      <c r="W2090" s="137"/>
      <c r="X2090" s="134"/>
      <c r="Y2090" s="29"/>
      <c r="Z2090" s="122"/>
      <c r="AA2090" s="135"/>
      <c r="AB2090" s="148"/>
      <c r="AD2090" s="23" t="s">
        <v>3298</v>
      </c>
      <c r="AE2090" s="23"/>
      <c r="AI2090" s="154" t="s">
        <v>3314</v>
      </c>
      <c r="AL2090" s="23" t="s">
        <v>31</v>
      </c>
      <c r="AM2090" s="23" t="s">
        <v>2426</v>
      </c>
      <c r="AP2090" s="23"/>
      <c r="AQ2090" s="129"/>
      <c r="AR2090" s="130"/>
      <c r="AS2090" s="131"/>
      <c r="AT2090" s="29"/>
      <c r="AU2090" s="122"/>
      <c r="AV2090" s="129"/>
      <c r="AW2090" s="136"/>
      <c r="AX2090" s="137"/>
      <c r="AY2090" s="134">
        <v>2</v>
      </c>
      <c r="AZ2090" s="29" t="s">
        <v>1073</v>
      </c>
      <c r="BA2090" s="122"/>
      <c r="BB2090" s="135">
        <v>1</v>
      </c>
      <c r="BE2090" s="23" t="s">
        <v>3298</v>
      </c>
      <c r="BF2090" s="23"/>
      <c r="BG2090" s="23" t="s">
        <v>7728</v>
      </c>
    </row>
    <row r="2091" spans="1:59" ht="15" customHeight="1">
      <c r="A2091" s="153" t="s">
        <v>7589</v>
      </c>
      <c r="B2091" s="187" t="s">
        <v>7729</v>
      </c>
      <c r="C2091" s="154" t="s">
        <v>7591</v>
      </c>
      <c r="D2091" s="23">
        <v>47</v>
      </c>
      <c r="E2091" s="23">
        <v>2</v>
      </c>
      <c r="F2091" s="154" t="s">
        <v>7714</v>
      </c>
      <c r="G2091" s="154" t="s">
        <v>7730</v>
      </c>
      <c r="J2091" s="23" t="s">
        <v>28</v>
      </c>
      <c r="K2091" s="23" t="s">
        <v>2426</v>
      </c>
      <c r="N2091" s="191"/>
      <c r="O2091" s="129"/>
      <c r="P2091" s="130"/>
      <c r="Q2091" s="131"/>
      <c r="R2091" s="29"/>
      <c r="S2091" s="135"/>
      <c r="T2091" s="122"/>
      <c r="U2091" s="129"/>
      <c r="V2091" s="136"/>
      <c r="W2091" s="137"/>
      <c r="X2091" s="134"/>
      <c r="Y2091" s="29"/>
      <c r="Z2091" s="122"/>
      <c r="AA2091" s="135"/>
      <c r="AB2091" s="148"/>
      <c r="AD2091" s="23" t="s">
        <v>1196</v>
      </c>
      <c r="AE2091" s="23"/>
      <c r="AF2091" s="23" t="s">
        <v>7731</v>
      </c>
      <c r="AI2091" s="154"/>
      <c r="AP2091" s="23"/>
      <c r="AQ2091" s="129"/>
      <c r="AR2091" s="130"/>
      <c r="AS2091" s="131"/>
      <c r="AT2091" s="29"/>
      <c r="AU2091" s="122"/>
      <c r="AV2091" s="129"/>
      <c r="AW2091" s="136"/>
      <c r="AX2091" s="137"/>
      <c r="AY2091" s="134"/>
      <c r="AZ2091" s="29"/>
      <c r="BA2091" s="122"/>
      <c r="BB2091" s="135"/>
      <c r="BF2091" s="23"/>
    </row>
    <row r="2092" spans="1:59" ht="15" customHeight="1">
      <c r="A2092" s="153" t="s">
        <v>7589</v>
      </c>
      <c r="B2092" s="187" t="s">
        <v>7732</v>
      </c>
      <c r="C2092" s="154" t="s">
        <v>7591</v>
      </c>
      <c r="D2092" s="23">
        <v>48</v>
      </c>
      <c r="E2092" s="23">
        <v>1</v>
      </c>
      <c r="F2092" s="154" t="s">
        <v>7733</v>
      </c>
      <c r="G2092" s="154" t="s">
        <v>7733</v>
      </c>
      <c r="J2092" s="23" t="s">
        <v>618</v>
      </c>
      <c r="K2092" s="23" t="s">
        <v>2426</v>
      </c>
      <c r="N2092" s="191"/>
      <c r="O2092" s="129"/>
      <c r="P2092" s="130"/>
      <c r="Q2092" s="131"/>
      <c r="R2092" s="29"/>
      <c r="S2092" s="135"/>
      <c r="T2092" s="122"/>
      <c r="U2092" s="129"/>
      <c r="V2092" s="136"/>
      <c r="W2092" s="137"/>
      <c r="X2092" s="134"/>
      <c r="Y2092" s="29"/>
      <c r="Z2092" s="122"/>
      <c r="AA2092" s="135"/>
      <c r="AB2092" s="148"/>
      <c r="AD2092" s="23" t="s">
        <v>7625</v>
      </c>
      <c r="AE2092" s="23"/>
      <c r="AF2092" s="23" t="s">
        <v>7734</v>
      </c>
      <c r="AI2092" s="154" t="s">
        <v>7733</v>
      </c>
      <c r="AL2092" s="23" t="s">
        <v>618</v>
      </c>
      <c r="AM2092" s="23" t="s">
        <v>2426</v>
      </c>
      <c r="AP2092" s="23"/>
      <c r="AQ2092" s="129"/>
      <c r="AR2092" s="130"/>
      <c r="AS2092" s="131"/>
      <c r="AT2092" s="29"/>
      <c r="AU2092" s="122"/>
      <c r="AV2092" s="129"/>
      <c r="AW2092" s="136"/>
      <c r="AX2092" s="137"/>
      <c r="AY2092" s="134"/>
      <c r="AZ2092" s="29"/>
      <c r="BA2092" s="122"/>
      <c r="BB2092" s="135"/>
      <c r="BE2092" s="23" t="s">
        <v>7625</v>
      </c>
      <c r="BF2092" s="23"/>
      <c r="BG2092" s="23" t="s">
        <v>7735</v>
      </c>
    </row>
    <row r="2093" spans="1:59" s="154" customFormat="1" ht="15" customHeight="1">
      <c r="A2093" s="153" t="s">
        <v>7589</v>
      </c>
      <c r="B2093" s="187" t="s">
        <v>7736</v>
      </c>
      <c r="C2093" s="154" t="s">
        <v>7591</v>
      </c>
      <c r="D2093" s="154">
        <v>49</v>
      </c>
      <c r="E2093" s="154">
        <v>1</v>
      </c>
      <c r="F2093" s="154" t="s">
        <v>7733</v>
      </c>
      <c r="G2093" s="154" t="s">
        <v>3992</v>
      </c>
      <c r="J2093" s="154" t="s">
        <v>31</v>
      </c>
      <c r="K2093" s="154" t="s">
        <v>2426</v>
      </c>
      <c r="O2093" s="173"/>
      <c r="P2093" s="174"/>
      <c r="Q2093" s="175"/>
      <c r="R2093" s="159"/>
      <c r="S2093" s="160"/>
      <c r="T2093" s="161"/>
      <c r="U2093" s="173"/>
      <c r="V2093" s="176"/>
      <c r="W2093" s="177"/>
      <c r="X2093" s="178"/>
      <c r="Y2093" s="159"/>
      <c r="Z2093" s="161"/>
      <c r="AA2093" s="160"/>
      <c r="AI2093" s="154" t="s">
        <v>3446</v>
      </c>
      <c r="AL2093" s="154" t="s">
        <v>31</v>
      </c>
      <c r="AM2093" s="154" t="s">
        <v>2426</v>
      </c>
      <c r="AQ2093" s="173"/>
      <c r="AR2093" s="174"/>
      <c r="AS2093" s="175"/>
      <c r="AT2093" s="159"/>
      <c r="AU2093" s="161"/>
      <c r="AV2093" s="173"/>
      <c r="AW2093" s="176"/>
      <c r="AX2093" s="177"/>
      <c r="AY2093" s="178">
        <v>5</v>
      </c>
      <c r="AZ2093" s="159" t="s">
        <v>1073</v>
      </c>
      <c r="BA2093" s="161"/>
      <c r="BB2093" s="160"/>
      <c r="BG2093" s="154" t="s">
        <v>3447</v>
      </c>
    </row>
    <row r="2094" spans="1:59" s="154" customFormat="1" ht="15" customHeight="1">
      <c r="A2094" s="153" t="s">
        <v>7589</v>
      </c>
      <c r="B2094" s="190" t="s">
        <v>7737</v>
      </c>
      <c r="C2094" s="154" t="s">
        <v>7591</v>
      </c>
      <c r="D2094" s="154">
        <v>50</v>
      </c>
      <c r="E2094" s="154">
        <v>1</v>
      </c>
      <c r="F2094" s="154" t="s">
        <v>7733</v>
      </c>
      <c r="G2094" s="154" t="s">
        <v>7738</v>
      </c>
      <c r="J2094" s="154" t="s">
        <v>31</v>
      </c>
      <c r="K2094" s="154" t="s">
        <v>2426</v>
      </c>
      <c r="O2094" s="173"/>
      <c r="P2094" s="174"/>
      <c r="Q2094" s="175"/>
      <c r="R2094" s="159"/>
      <c r="S2094" s="160"/>
      <c r="T2094" s="161"/>
      <c r="U2094" s="173"/>
      <c r="V2094" s="176"/>
      <c r="W2094" s="177"/>
      <c r="X2094" s="178"/>
      <c r="Y2094" s="159"/>
      <c r="Z2094" s="161"/>
      <c r="AA2094" s="160"/>
      <c r="AI2094" s="154" t="s">
        <v>3446</v>
      </c>
      <c r="AL2094" s="154" t="s">
        <v>31</v>
      </c>
      <c r="AM2094" s="154" t="s">
        <v>2426</v>
      </c>
      <c r="AQ2094" s="173"/>
      <c r="AR2094" s="174"/>
      <c r="AS2094" s="175"/>
      <c r="AT2094" s="159"/>
      <c r="AU2094" s="161"/>
      <c r="AV2094" s="173"/>
      <c r="AW2094" s="176"/>
      <c r="AX2094" s="177"/>
      <c r="AY2094" s="178">
        <v>1</v>
      </c>
      <c r="AZ2094" s="159" t="s">
        <v>1073</v>
      </c>
      <c r="BA2094" s="161"/>
      <c r="BB2094" s="160"/>
      <c r="BG2094" s="154" t="s">
        <v>3447</v>
      </c>
    </row>
    <row r="2095" spans="1:59" s="154" customFormat="1" ht="15" customHeight="1">
      <c r="A2095" s="153" t="s">
        <v>7589</v>
      </c>
      <c r="B2095" s="187" t="s">
        <v>7739</v>
      </c>
      <c r="C2095" s="154" t="s">
        <v>7591</v>
      </c>
      <c r="D2095" s="154">
        <v>51</v>
      </c>
      <c r="E2095" s="154">
        <v>1</v>
      </c>
      <c r="F2095" s="154" t="s">
        <v>7733</v>
      </c>
      <c r="G2095" s="154" t="s">
        <v>7740</v>
      </c>
      <c r="J2095" s="154" t="s">
        <v>31</v>
      </c>
      <c r="K2095" s="154" t="s">
        <v>2426</v>
      </c>
      <c r="O2095" s="173"/>
      <c r="P2095" s="174"/>
      <c r="Q2095" s="175"/>
      <c r="R2095" s="159"/>
      <c r="S2095" s="160"/>
      <c r="T2095" s="161"/>
      <c r="U2095" s="173"/>
      <c r="V2095" s="176"/>
      <c r="W2095" s="177"/>
      <c r="X2095" s="178"/>
      <c r="Y2095" s="159"/>
      <c r="Z2095" s="161"/>
      <c r="AA2095" s="160"/>
      <c r="AI2095" s="154" t="s">
        <v>3446</v>
      </c>
      <c r="AL2095" s="154" t="s">
        <v>31</v>
      </c>
      <c r="AM2095" s="154" t="s">
        <v>2426</v>
      </c>
      <c r="AQ2095" s="173"/>
      <c r="AR2095" s="174"/>
      <c r="AS2095" s="175"/>
      <c r="AT2095" s="159"/>
      <c r="AU2095" s="161"/>
      <c r="AV2095" s="173"/>
      <c r="AW2095" s="176"/>
      <c r="AX2095" s="177"/>
      <c r="AY2095" s="178">
        <v>6</v>
      </c>
      <c r="AZ2095" s="159">
        <v>0</v>
      </c>
      <c r="BA2095" s="161"/>
      <c r="BB2095" s="160"/>
      <c r="BG2095" s="154" t="s">
        <v>3447</v>
      </c>
    </row>
    <row r="2096" spans="1:59" s="154" customFormat="1" ht="15" customHeight="1">
      <c r="A2096" s="153" t="s">
        <v>7589</v>
      </c>
      <c r="B2096" s="187" t="s">
        <v>7741</v>
      </c>
      <c r="C2096" s="154" t="s">
        <v>7591</v>
      </c>
      <c r="D2096" s="154">
        <v>52</v>
      </c>
      <c r="E2096" s="154">
        <v>1</v>
      </c>
      <c r="F2096" s="154" t="s">
        <v>7733</v>
      </c>
      <c r="G2096" s="154" t="s">
        <v>7742</v>
      </c>
      <c r="J2096" s="154" t="s">
        <v>31</v>
      </c>
      <c r="K2096" s="154" t="s">
        <v>2426</v>
      </c>
      <c r="O2096" s="173"/>
      <c r="P2096" s="174"/>
      <c r="Q2096" s="175"/>
      <c r="R2096" s="159"/>
      <c r="S2096" s="160"/>
      <c r="T2096" s="161"/>
      <c r="U2096" s="173"/>
      <c r="V2096" s="176"/>
      <c r="W2096" s="177"/>
      <c r="X2096" s="178"/>
      <c r="Y2096" s="159"/>
      <c r="Z2096" s="161"/>
      <c r="AA2096" s="160"/>
      <c r="AI2096" s="154" t="s">
        <v>3446</v>
      </c>
      <c r="AL2096" s="154" t="s">
        <v>31</v>
      </c>
      <c r="AM2096" s="154" t="s">
        <v>2426</v>
      </c>
      <c r="AQ2096" s="173"/>
      <c r="AR2096" s="174"/>
      <c r="AS2096" s="175"/>
      <c r="AT2096" s="159"/>
      <c r="AU2096" s="161"/>
      <c r="AV2096" s="173"/>
      <c r="AW2096" s="176"/>
      <c r="AX2096" s="177"/>
      <c r="AY2096" s="178">
        <v>4</v>
      </c>
      <c r="AZ2096" s="159" t="s">
        <v>1073</v>
      </c>
      <c r="BA2096" s="161"/>
      <c r="BB2096" s="160"/>
      <c r="BG2096" s="154" t="s">
        <v>3447</v>
      </c>
    </row>
    <row r="2097" spans="1:59" s="154" customFormat="1" ht="15" customHeight="1">
      <c r="A2097" s="153" t="s">
        <v>7589</v>
      </c>
      <c r="B2097" s="187" t="s">
        <v>7743</v>
      </c>
      <c r="C2097" s="154" t="s">
        <v>7591</v>
      </c>
      <c r="D2097" s="154">
        <v>53</v>
      </c>
      <c r="E2097" s="154">
        <v>1</v>
      </c>
      <c r="F2097" s="154" t="s">
        <v>7733</v>
      </c>
      <c r="G2097" s="154" t="s">
        <v>7744</v>
      </c>
      <c r="J2097" s="154" t="s">
        <v>29</v>
      </c>
      <c r="K2097" s="154" t="s">
        <v>2426</v>
      </c>
      <c r="O2097" s="173"/>
      <c r="P2097" s="174"/>
      <c r="Q2097" s="175">
        <v>4</v>
      </c>
      <c r="R2097" s="159">
        <v>1</v>
      </c>
      <c r="S2097" s="160"/>
      <c r="T2097" s="161">
        <v>4</v>
      </c>
      <c r="U2097" s="173"/>
      <c r="V2097" s="176">
        <v>3</v>
      </c>
      <c r="W2097" s="177">
        <v>3</v>
      </c>
      <c r="X2097" s="178"/>
      <c r="Y2097" s="159"/>
      <c r="Z2097" s="161"/>
      <c r="AA2097" s="160"/>
      <c r="AD2097" s="154" t="s">
        <v>2784</v>
      </c>
      <c r="AF2097" s="154" t="s">
        <v>7745</v>
      </c>
      <c r="AQ2097" s="173"/>
      <c r="AR2097" s="174"/>
      <c r="AS2097" s="175"/>
      <c r="AT2097" s="159"/>
      <c r="AU2097" s="161"/>
      <c r="AV2097" s="173"/>
      <c r="AW2097" s="176"/>
      <c r="AX2097" s="177"/>
      <c r="AY2097" s="178"/>
      <c r="AZ2097" s="159"/>
      <c r="BA2097" s="161"/>
      <c r="BB2097" s="160"/>
    </row>
    <row r="2098" spans="1:59" s="154" customFormat="1" ht="15" customHeight="1">
      <c r="A2098" s="153" t="s">
        <v>7589</v>
      </c>
      <c r="B2098" s="187" t="s">
        <v>7746</v>
      </c>
      <c r="C2098" s="154" t="s">
        <v>7591</v>
      </c>
      <c r="D2098" s="154">
        <v>54</v>
      </c>
      <c r="E2098" s="154">
        <v>1</v>
      </c>
      <c r="F2098" s="154" t="s">
        <v>7747</v>
      </c>
      <c r="G2098" s="154" t="s">
        <v>7747</v>
      </c>
      <c r="J2098" s="154" t="s">
        <v>618</v>
      </c>
      <c r="K2098" s="154" t="s">
        <v>2426</v>
      </c>
      <c r="O2098" s="173"/>
      <c r="P2098" s="174"/>
      <c r="Q2098" s="175"/>
      <c r="R2098" s="159"/>
      <c r="S2098" s="160"/>
      <c r="T2098" s="161"/>
      <c r="U2098" s="173"/>
      <c r="V2098" s="176"/>
      <c r="W2098" s="177"/>
      <c r="X2098" s="178"/>
      <c r="Y2098" s="159"/>
      <c r="Z2098" s="161"/>
      <c r="AA2098" s="160"/>
      <c r="AD2098" s="154" t="s">
        <v>7625</v>
      </c>
      <c r="AF2098" s="154" t="s">
        <v>7748</v>
      </c>
      <c r="AI2098" s="154" t="s">
        <v>7747</v>
      </c>
      <c r="AL2098" s="154" t="s">
        <v>618</v>
      </c>
      <c r="AM2098" s="154" t="s">
        <v>2426</v>
      </c>
      <c r="AQ2098" s="173"/>
      <c r="AR2098" s="174"/>
      <c r="AS2098" s="175"/>
      <c r="AT2098" s="159"/>
      <c r="AU2098" s="161"/>
      <c r="AV2098" s="173"/>
      <c r="AW2098" s="176"/>
      <c r="AX2098" s="177"/>
      <c r="AY2098" s="178"/>
      <c r="AZ2098" s="159"/>
      <c r="BA2098" s="161"/>
      <c r="BB2098" s="160"/>
      <c r="BE2098" s="154" t="s">
        <v>7625</v>
      </c>
      <c r="BG2098" s="154" t="s">
        <v>7749</v>
      </c>
    </row>
    <row r="2099" spans="1:59" s="154" customFormat="1" ht="15" customHeight="1">
      <c r="A2099" s="153" t="s">
        <v>7589</v>
      </c>
      <c r="B2099" s="187" t="s">
        <v>7750</v>
      </c>
      <c r="C2099" s="154" t="s">
        <v>7591</v>
      </c>
      <c r="D2099" s="154">
        <v>55</v>
      </c>
      <c r="E2099" s="154">
        <v>1</v>
      </c>
      <c r="F2099" s="154" t="s">
        <v>7747</v>
      </c>
      <c r="G2099" s="154" t="s">
        <v>3601</v>
      </c>
      <c r="J2099" s="154" t="s">
        <v>31</v>
      </c>
      <c r="K2099" s="154" t="s">
        <v>2426</v>
      </c>
      <c r="O2099" s="173"/>
      <c r="P2099" s="174"/>
      <c r="Q2099" s="175"/>
      <c r="R2099" s="159"/>
      <c r="S2099" s="160"/>
      <c r="T2099" s="161"/>
      <c r="U2099" s="173"/>
      <c r="V2099" s="176"/>
      <c r="W2099" s="177"/>
      <c r="X2099" s="178"/>
      <c r="Y2099" s="159"/>
      <c r="Z2099" s="161"/>
      <c r="AA2099" s="160"/>
      <c r="AI2099" s="154" t="s">
        <v>3601</v>
      </c>
      <c r="AL2099" s="154" t="s">
        <v>31</v>
      </c>
      <c r="AM2099" s="154" t="s">
        <v>2426</v>
      </c>
      <c r="AQ2099" s="173"/>
      <c r="AR2099" s="174"/>
      <c r="AS2099" s="175"/>
      <c r="AT2099" s="159"/>
      <c r="AU2099" s="161"/>
      <c r="AV2099" s="173"/>
      <c r="AW2099" s="176"/>
      <c r="AX2099" s="177"/>
      <c r="AY2099" s="178">
        <v>1</v>
      </c>
      <c r="AZ2099" s="159" t="s">
        <v>1073</v>
      </c>
      <c r="BA2099" s="161"/>
      <c r="BB2099" s="160"/>
      <c r="BG2099" s="154" t="s">
        <v>7751</v>
      </c>
    </row>
    <row r="2100" spans="1:59" s="154" customFormat="1" ht="15" customHeight="1">
      <c r="A2100" s="153" t="s">
        <v>7589</v>
      </c>
      <c r="B2100" s="187" t="s">
        <v>7752</v>
      </c>
      <c r="C2100" s="154" t="s">
        <v>7591</v>
      </c>
      <c r="D2100" s="154">
        <v>56</v>
      </c>
      <c r="E2100" s="154">
        <v>1</v>
      </c>
      <c r="F2100" s="154" t="s">
        <v>7747</v>
      </c>
      <c r="G2100" s="154" t="s">
        <v>3604</v>
      </c>
      <c r="J2100" s="154" t="s">
        <v>31</v>
      </c>
      <c r="K2100" s="154" t="s">
        <v>2426</v>
      </c>
      <c r="O2100" s="173"/>
      <c r="P2100" s="174"/>
      <c r="Q2100" s="175"/>
      <c r="R2100" s="159"/>
      <c r="S2100" s="160"/>
      <c r="T2100" s="161"/>
      <c r="U2100" s="173"/>
      <c r="V2100" s="176"/>
      <c r="W2100" s="177"/>
      <c r="X2100" s="178"/>
      <c r="Y2100" s="159"/>
      <c r="Z2100" s="161"/>
      <c r="AA2100" s="160"/>
      <c r="AI2100" s="154" t="s">
        <v>3604</v>
      </c>
      <c r="AL2100" s="154" t="s">
        <v>31</v>
      </c>
      <c r="AM2100" s="154" t="s">
        <v>2426</v>
      </c>
      <c r="AQ2100" s="173"/>
      <c r="AR2100" s="174"/>
      <c r="AS2100" s="175"/>
      <c r="AT2100" s="159"/>
      <c r="AU2100" s="161"/>
      <c r="AV2100" s="173"/>
      <c r="AW2100" s="176"/>
      <c r="AX2100" s="177"/>
      <c r="AY2100" s="178">
        <v>3</v>
      </c>
      <c r="AZ2100" s="159" t="s">
        <v>1073</v>
      </c>
      <c r="BA2100" s="161"/>
      <c r="BB2100" s="160"/>
      <c r="BG2100" s="154" t="s">
        <v>7753</v>
      </c>
    </row>
    <row r="2101" spans="1:59" s="154" customFormat="1" ht="15" customHeight="1">
      <c r="A2101" s="153" t="s">
        <v>7589</v>
      </c>
      <c r="B2101" s="187" t="s">
        <v>7754</v>
      </c>
      <c r="C2101" s="154" t="s">
        <v>7591</v>
      </c>
      <c r="D2101" s="154">
        <v>57</v>
      </c>
      <c r="E2101" s="154">
        <v>1</v>
      </c>
      <c r="F2101" s="154" t="s">
        <v>7747</v>
      </c>
      <c r="G2101" s="154" t="s">
        <v>7755</v>
      </c>
      <c r="J2101" s="154" t="s">
        <v>28</v>
      </c>
      <c r="K2101" s="154" t="s">
        <v>2426</v>
      </c>
      <c r="O2101" s="173"/>
      <c r="P2101" s="174"/>
      <c r="Q2101" s="175"/>
      <c r="R2101" s="159"/>
      <c r="S2101" s="160"/>
      <c r="T2101" s="161"/>
      <c r="U2101" s="173"/>
      <c r="V2101" s="176"/>
      <c r="W2101" s="177"/>
      <c r="X2101" s="178"/>
      <c r="Y2101" s="159"/>
      <c r="Z2101" s="161"/>
      <c r="AA2101" s="160"/>
      <c r="AF2101" s="154" t="s">
        <v>7756</v>
      </c>
      <c r="AQ2101" s="173"/>
      <c r="AR2101" s="174"/>
      <c r="AS2101" s="175"/>
      <c r="AT2101" s="159"/>
      <c r="AU2101" s="161"/>
      <c r="AV2101" s="173"/>
      <c r="AW2101" s="176"/>
      <c r="AX2101" s="177"/>
      <c r="AY2101" s="178"/>
      <c r="AZ2101" s="159"/>
      <c r="BA2101" s="161"/>
      <c r="BB2101" s="160"/>
    </row>
    <row r="2102" spans="1:59" s="154" customFormat="1" ht="15" customHeight="1">
      <c r="A2102" s="153" t="s">
        <v>7589</v>
      </c>
      <c r="B2102" s="187" t="s">
        <v>7757</v>
      </c>
      <c r="C2102" s="154" t="s">
        <v>7591</v>
      </c>
      <c r="D2102" s="154">
        <v>58</v>
      </c>
      <c r="E2102" s="154">
        <v>1</v>
      </c>
      <c r="F2102" s="154" t="s">
        <v>7747</v>
      </c>
      <c r="G2102" s="154" t="s">
        <v>7758</v>
      </c>
      <c r="J2102" s="154" t="s">
        <v>28</v>
      </c>
      <c r="K2102" s="154" t="s">
        <v>2426</v>
      </c>
      <c r="O2102" s="173"/>
      <c r="P2102" s="174"/>
      <c r="Q2102" s="175"/>
      <c r="R2102" s="159"/>
      <c r="S2102" s="160"/>
      <c r="T2102" s="161"/>
      <c r="U2102" s="173"/>
      <c r="V2102" s="176"/>
      <c r="W2102" s="177"/>
      <c r="X2102" s="178"/>
      <c r="Y2102" s="159"/>
      <c r="Z2102" s="161"/>
      <c r="AA2102" s="160"/>
      <c r="AF2102" s="154" t="s">
        <v>7759</v>
      </c>
      <c r="AQ2102" s="173"/>
      <c r="AR2102" s="174"/>
      <c r="AS2102" s="175"/>
      <c r="AT2102" s="159"/>
      <c r="AU2102" s="161"/>
      <c r="AV2102" s="173"/>
      <c r="AW2102" s="176"/>
      <c r="AX2102" s="177"/>
      <c r="AY2102" s="178"/>
      <c r="AZ2102" s="159"/>
      <c r="BA2102" s="161"/>
      <c r="BB2102" s="160"/>
    </row>
    <row r="2103" spans="1:59" s="154" customFormat="1" ht="15" customHeight="1">
      <c r="A2103" s="153" t="s">
        <v>7589</v>
      </c>
      <c r="B2103" s="187" t="s">
        <v>7760</v>
      </c>
      <c r="C2103" s="154" t="s">
        <v>7591</v>
      </c>
      <c r="D2103" s="154">
        <v>59</v>
      </c>
      <c r="E2103" s="154">
        <v>1</v>
      </c>
      <c r="F2103" s="154" t="s">
        <v>7761</v>
      </c>
      <c r="G2103" s="154" t="s">
        <v>7761</v>
      </c>
      <c r="J2103" s="154" t="s">
        <v>618</v>
      </c>
      <c r="K2103" s="154" t="s">
        <v>2426</v>
      </c>
      <c r="O2103" s="173"/>
      <c r="P2103" s="174"/>
      <c r="Q2103" s="175"/>
      <c r="R2103" s="159"/>
      <c r="S2103" s="160"/>
      <c r="T2103" s="161"/>
      <c r="U2103" s="173"/>
      <c r="V2103" s="176"/>
      <c r="W2103" s="177"/>
      <c r="X2103" s="178"/>
      <c r="Y2103" s="159"/>
      <c r="Z2103" s="161"/>
      <c r="AA2103" s="160"/>
      <c r="AD2103" s="154" t="s">
        <v>7625</v>
      </c>
      <c r="AF2103" s="154" t="s">
        <v>7762</v>
      </c>
      <c r="AI2103" s="154" t="s">
        <v>7761</v>
      </c>
      <c r="AL2103" s="154" t="s">
        <v>618</v>
      </c>
      <c r="AM2103" s="154" t="s">
        <v>2426</v>
      </c>
      <c r="AQ2103" s="173"/>
      <c r="AR2103" s="174"/>
      <c r="AS2103" s="175"/>
      <c r="AT2103" s="159"/>
      <c r="AU2103" s="161"/>
      <c r="AV2103" s="173"/>
      <c r="AW2103" s="176"/>
      <c r="AX2103" s="177"/>
      <c r="AY2103" s="178"/>
      <c r="AZ2103" s="159"/>
      <c r="BA2103" s="161"/>
      <c r="BB2103" s="160"/>
      <c r="BE2103" s="154" t="s">
        <v>7625</v>
      </c>
      <c r="BG2103" s="154" t="s">
        <v>7763</v>
      </c>
    </row>
    <row r="2104" spans="1:59" s="154" customFormat="1" ht="15" customHeight="1">
      <c r="A2104" s="153" t="s">
        <v>7589</v>
      </c>
      <c r="B2104" s="187" t="s">
        <v>7764</v>
      </c>
      <c r="C2104" s="154" t="s">
        <v>7591</v>
      </c>
      <c r="D2104" s="154">
        <v>60</v>
      </c>
      <c r="E2104" s="154">
        <v>1</v>
      </c>
      <c r="F2104" s="154" t="s">
        <v>7761</v>
      </c>
      <c r="G2104" s="154" t="s">
        <v>3774</v>
      </c>
      <c r="H2104" s="154" t="s">
        <v>7765</v>
      </c>
      <c r="J2104" s="154" t="s">
        <v>31</v>
      </c>
      <c r="K2104" s="154" t="s">
        <v>2426</v>
      </c>
      <c r="O2104" s="173"/>
      <c r="P2104" s="174"/>
      <c r="Q2104" s="175"/>
      <c r="R2104" s="159"/>
      <c r="S2104" s="160"/>
      <c r="T2104" s="161"/>
      <c r="U2104" s="173"/>
      <c r="V2104" s="176"/>
      <c r="W2104" s="177"/>
      <c r="X2104" s="178">
        <v>1</v>
      </c>
      <c r="Y2104" s="159" t="s">
        <v>1073</v>
      </c>
      <c r="Z2104" s="161"/>
      <c r="AA2104" s="160"/>
      <c r="AD2104" s="154" t="s">
        <v>2466</v>
      </c>
      <c r="AF2104" s="154" t="s">
        <v>7766</v>
      </c>
      <c r="AQ2104" s="173"/>
      <c r="AR2104" s="174"/>
      <c r="AS2104" s="175"/>
      <c r="AT2104" s="159"/>
      <c r="AU2104" s="161"/>
      <c r="AV2104" s="173"/>
      <c r="AW2104" s="176"/>
      <c r="AX2104" s="177"/>
      <c r="AY2104" s="178"/>
      <c r="AZ2104" s="159"/>
      <c r="BA2104" s="161"/>
      <c r="BB2104" s="160"/>
    </row>
    <row r="2105" spans="1:59" s="154" customFormat="1" ht="15" customHeight="1">
      <c r="A2105" s="153" t="s">
        <v>7589</v>
      </c>
      <c r="B2105" s="187" t="s">
        <v>7767</v>
      </c>
      <c r="C2105" s="154" t="s">
        <v>7591</v>
      </c>
      <c r="D2105" s="154">
        <v>61</v>
      </c>
      <c r="E2105" s="154">
        <v>1</v>
      </c>
      <c r="F2105" s="154" t="s">
        <v>7761</v>
      </c>
      <c r="G2105" s="154" t="s">
        <v>7768</v>
      </c>
      <c r="J2105" s="154" t="s">
        <v>31</v>
      </c>
      <c r="K2105" s="154" t="s">
        <v>2426</v>
      </c>
      <c r="O2105" s="173"/>
      <c r="P2105" s="174"/>
      <c r="Q2105" s="175"/>
      <c r="R2105" s="159"/>
      <c r="S2105" s="160"/>
      <c r="T2105" s="161"/>
      <c r="U2105" s="173"/>
      <c r="V2105" s="176"/>
      <c r="W2105" s="177"/>
      <c r="X2105" s="178">
        <v>3</v>
      </c>
      <c r="Y2105" s="159" t="s">
        <v>1111</v>
      </c>
      <c r="Z2105" s="161"/>
      <c r="AA2105" s="160"/>
      <c r="AD2105" s="154" t="s">
        <v>7769</v>
      </c>
      <c r="AF2105" s="154" t="s">
        <v>7770</v>
      </c>
      <c r="AQ2105" s="173"/>
      <c r="AR2105" s="174"/>
      <c r="AS2105" s="175"/>
      <c r="AT2105" s="159"/>
      <c r="AU2105" s="161"/>
      <c r="AV2105" s="173"/>
      <c r="AW2105" s="176"/>
      <c r="AX2105" s="177"/>
      <c r="AY2105" s="178"/>
      <c r="AZ2105" s="159"/>
      <c r="BA2105" s="161"/>
      <c r="BB2105" s="160"/>
    </row>
    <row r="2106" spans="1:59" s="154" customFormat="1" ht="15" customHeight="1">
      <c r="A2106" s="153" t="s">
        <v>7589</v>
      </c>
      <c r="B2106" s="187" t="s">
        <v>7771</v>
      </c>
      <c r="C2106" s="154" t="s">
        <v>7591</v>
      </c>
      <c r="D2106" s="154">
        <v>62</v>
      </c>
      <c r="E2106" s="154">
        <v>1</v>
      </c>
      <c r="F2106" s="154" t="s">
        <v>7761</v>
      </c>
      <c r="G2106" s="154" t="s">
        <v>7772</v>
      </c>
      <c r="J2106" s="154" t="s">
        <v>31</v>
      </c>
      <c r="K2106" s="154" t="s">
        <v>2426</v>
      </c>
      <c r="O2106" s="173"/>
      <c r="P2106" s="174"/>
      <c r="Q2106" s="175"/>
      <c r="R2106" s="159"/>
      <c r="S2106" s="160"/>
      <c r="T2106" s="161"/>
      <c r="U2106" s="173"/>
      <c r="V2106" s="176"/>
      <c r="W2106" s="177"/>
      <c r="X2106" s="178">
        <v>2</v>
      </c>
      <c r="Y2106" s="159" t="s">
        <v>1111</v>
      </c>
      <c r="Z2106" s="161"/>
      <c r="AA2106" s="160"/>
      <c r="AD2106" s="154" t="s">
        <v>2466</v>
      </c>
      <c r="AF2106" s="154" t="s">
        <v>7773</v>
      </c>
      <c r="AQ2106" s="173"/>
      <c r="AR2106" s="174"/>
      <c r="AS2106" s="175"/>
      <c r="AT2106" s="159"/>
      <c r="AU2106" s="161"/>
      <c r="AV2106" s="173"/>
      <c r="AW2106" s="176"/>
      <c r="AX2106" s="177"/>
      <c r="AY2106" s="178"/>
      <c r="AZ2106" s="159"/>
      <c r="BA2106" s="161"/>
      <c r="BB2106" s="160"/>
    </row>
    <row r="2107" spans="1:59" s="154" customFormat="1" ht="15" customHeight="1">
      <c r="A2107" s="153" t="s">
        <v>7589</v>
      </c>
      <c r="B2107" s="187" t="s">
        <v>7774</v>
      </c>
      <c r="C2107" s="154" t="s">
        <v>7591</v>
      </c>
      <c r="D2107" s="154">
        <v>63</v>
      </c>
      <c r="E2107" s="154">
        <v>1</v>
      </c>
      <c r="F2107" s="154" t="s">
        <v>7761</v>
      </c>
      <c r="G2107" s="154" t="s">
        <v>7775</v>
      </c>
      <c r="J2107" s="154" t="s">
        <v>31</v>
      </c>
      <c r="K2107" s="154" t="s">
        <v>2426</v>
      </c>
      <c r="O2107" s="173"/>
      <c r="P2107" s="174"/>
      <c r="Q2107" s="175"/>
      <c r="R2107" s="159"/>
      <c r="S2107" s="160"/>
      <c r="T2107" s="161"/>
      <c r="U2107" s="173"/>
      <c r="V2107" s="176"/>
      <c r="W2107" s="177"/>
      <c r="X2107" s="178"/>
      <c r="Y2107" s="159"/>
      <c r="Z2107" s="161"/>
      <c r="AA2107" s="160"/>
      <c r="AI2107" s="154" t="s">
        <v>7775</v>
      </c>
      <c r="AL2107" s="154" t="s">
        <v>31</v>
      </c>
      <c r="AM2107" s="154" t="s">
        <v>2426</v>
      </c>
      <c r="AQ2107" s="173"/>
      <c r="AR2107" s="174"/>
      <c r="AS2107" s="175"/>
      <c r="AT2107" s="159"/>
      <c r="AU2107" s="161"/>
      <c r="AV2107" s="173"/>
      <c r="AW2107" s="176"/>
      <c r="AX2107" s="177"/>
      <c r="AY2107" s="178">
        <v>4</v>
      </c>
      <c r="AZ2107" s="159" t="s">
        <v>1111</v>
      </c>
      <c r="BA2107" s="161"/>
      <c r="BB2107" s="160"/>
      <c r="BG2107" s="154" t="s">
        <v>7776</v>
      </c>
    </row>
    <row r="2108" spans="1:59" s="154" customFormat="1" ht="15" customHeight="1">
      <c r="A2108" s="153" t="s">
        <v>7589</v>
      </c>
      <c r="B2108" s="187" t="s">
        <v>7777</v>
      </c>
      <c r="C2108" s="154" t="s">
        <v>7591</v>
      </c>
      <c r="D2108" s="154">
        <v>64</v>
      </c>
      <c r="E2108" s="154">
        <v>1</v>
      </c>
      <c r="F2108" s="154" t="s">
        <v>7761</v>
      </c>
      <c r="G2108" s="154" t="s">
        <v>7778</v>
      </c>
      <c r="J2108" s="154" t="s">
        <v>29</v>
      </c>
      <c r="K2108" s="154" t="s">
        <v>2426</v>
      </c>
      <c r="O2108" s="173"/>
      <c r="P2108" s="174"/>
      <c r="Q2108" s="175">
        <v>6</v>
      </c>
      <c r="R2108" s="159">
        <v>2</v>
      </c>
      <c r="S2108" s="160"/>
      <c r="T2108" s="161">
        <v>4</v>
      </c>
      <c r="U2108" s="173"/>
      <c r="V2108" s="176"/>
      <c r="W2108" s="177"/>
      <c r="X2108" s="178"/>
      <c r="Y2108" s="159"/>
      <c r="Z2108" s="161"/>
      <c r="AA2108" s="160"/>
      <c r="AD2108" s="154" t="s">
        <v>1135</v>
      </c>
      <c r="AF2108" s="154" t="s">
        <v>7779</v>
      </c>
      <c r="AQ2108" s="173"/>
      <c r="AR2108" s="174"/>
      <c r="AS2108" s="175"/>
      <c r="AT2108" s="159"/>
      <c r="AU2108" s="161"/>
      <c r="AV2108" s="173"/>
      <c r="AW2108" s="176"/>
      <c r="AX2108" s="177"/>
      <c r="AY2108" s="178"/>
      <c r="AZ2108" s="159"/>
      <c r="BA2108" s="161"/>
      <c r="BB2108" s="160"/>
    </row>
    <row r="2109" spans="1:59" s="154" customFormat="1" ht="15" customHeight="1">
      <c r="A2109" s="153" t="s">
        <v>7589</v>
      </c>
      <c r="B2109" s="187" t="s">
        <v>7780</v>
      </c>
      <c r="C2109" s="154" t="s">
        <v>7591</v>
      </c>
      <c r="D2109" s="154">
        <v>65</v>
      </c>
      <c r="E2109" s="154">
        <v>3</v>
      </c>
      <c r="F2109" s="154" t="s">
        <v>7781</v>
      </c>
      <c r="G2109" s="154" t="s">
        <v>7781</v>
      </c>
      <c r="J2109" s="154" t="s">
        <v>28</v>
      </c>
      <c r="K2109" s="154" t="s">
        <v>2426</v>
      </c>
      <c r="O2109" s="173"/>
      <c r="P2109" s="174"/>
      <c r="Q2109" s="175"/>
      <c r="R2109" s="159"/>
      <c r="S2109" s="160"/>
      <c r="T2109" s="161"/>
      <c r="U2109" s="173"/>
      <c r="V2109" s="176"/>
      <c r="W2109" s="177"/>
      <c r="X2109" s="178"/>
      <c r="Y2109" s="159"/>
      <c r="Z2109" s="161"/>
      <c r="AA2109" s="160"/>
      <c r="AD2109" s="154" t="s">
        <v>439</v>
      </c>
      <c r="AF2109" s="154" t="s">
        <v>7782</v>
      </c>
      <c r="AQ2109" s="173"/>
      <c r="AR2109" s="174"/>
      <c r="AS2109" s="175"/>
      <c r="AT2109" s="159"/>
      <c r="AU2109" s="161"/>
      <c r="AV2109" s="173"/>
      <c r="AW2109" s="176"/>
      <c r="AX2109" s="177"/>
      <c r="AY2109" s="178"/>
      <c r="AZ2109" s="159"/>
      <c r="BA2109" s="161"/>
      <c r="BB2109" s="160"/>
    </row>
    <row r="2110" spans="1:59" s="154" customFormat="1" ht="15" customHeight="1">
      <c r="A2110" s="153" t="s">
        <v>7589</v>
      </c>
      <c r="B2110" s="187" t="s">
        <v>7783</v>
      </c>
      <c r="C2110" s="154" t="s">
        <v>7591</v>
      </c>
      <c r="D2110" s="154">
        <v>66</v>
      </c>
      <c r="E2110" s="154">
        <v>2</v>
      </c>
      <c r="F2110" s="154" t="s">
        <v>7784</v>
      </c>
      <c r="G2110" s="154" t="s">
        <v>7785</v>
      </c>
      <c r="J2110" s="154" t="s">
        <v>28</v>
      </c>
      <c r="K2110" s="154" t="s">
        <v>2426</v>
      </c>
      <c r="O2110" s="173"/>
      <c r="P2110" s="174"/>
      <c r="Q2110" s="175"/>
      <c r="R2110" s="159"/>
      <c r="S2110" s="160"/>
      <c r="T2110" s="161"/>
      <c r="U2110" s="173"/>
      <c r="V2110" s="176"/>
      <c r="W2110" s="177"/>
      <c r="X2110" s="178"/>
      <c r="Y2110" s="159"/>
      <c r="Z2110" s="161"/>
      <c r="AA2110" s="160"/>
      <c r="AD2110" s="154" t="s">
        <v>481</v>
      </c>
      <c r="AF2110" s="154" t="s">
        <v>7786</v>
      </c>
      <c r="AQ2110" s="173"/>
      <c r="AR2110" s="174"/>
      <c r="AS2110" s="175"/>
      <c r="AT2110" s="159"/>
      <c r="AU2110" s="161"/>
      <c r="AV2110" s="173"/>
      <c r="AW2110" s="176"/>
      <c r="AX2110" s="177"/>
      <c r="AY2110" s="178"/>
      <c r="AZ2110" s="159"/>
      <c r="BA2110" s="161"/>
      <c r="BB2110" s="160"/>
    </row>
    <row r="2111" spans="1:59" s="154" customFormat="1" ht="15" customHeight="1">
      <c r="A2111" s="153" t="s">
        <v>7589</v>
      </c>
      <c r="B2111" s="187" t="s">
        <v>7787</v>
      </c>
      <c r="C2111" s="154" t="s">
        <v>7591</v>
      </c>
      <c r="D2111" s="154">
        <v>67</v>
      </c>
      <c r="E2111" s="154">
        <v>2</v>
      </c>
      <c r="F2111" s="154" t="s">
        <v>7784</v>
      </c>
      <c r="G2111" s="154" t="s">
        <v>7788</v>
      </c>
      <c r="J2111" s="154" t="s">
        <v>28</v>
      </c>
      <c r="K2111" s="154" t="s">
        <v>2426</v>
      </c>
      <c r="O2111" s="173"/>
      <c r="P2111" s="174"/>
      <c r="Q2111" s="175"/>
      <c r="R2111" s="159"/>
      <c r="S2111" s="160"/>
      <c r="T2111" s="161"/>
      <c r="U2111" s="173"/>
      <c r="V2111" s="176"/>
      <c r="W2111" s="177"/>
      <c r="X2111" s="178"/>
      <c r="Y2111" s="159"/>
      <c r="Z2111" s="161"/>
      <c r="AA2111" s="160"/>
      <c r="AD2111" s="154" t="s">
        <v>481</v>
      </c>
      <c r="AF2111" s="154" t="s">
        <v>7789</v>
      </c>
      <c r="AQ2111" s="173"/>
      <c r="AR2111" s="174"/>
      <c r="AS2111" s="175"/>
      <c r="AT2111" s="159"/>
      <c r="AU2111" s="161"/>
      <c r="AV2111" s="173"/>
      <c r="AW2111" s="176"/>
      <c r="AX2111" s="177"/>
      <c r="AY2111" s="178"/>
      <c r="AZ2111" s="159"/>
      <c r="BA2111" s="161"/>
      <c r="BB2111" s="160"/>
    </row>
    <row r="2112" spans="1:59" s="154" customFormat="1" ht="15" customHeight="1">
      <c r="A2112" s="153" t="s">
        <v>7589</v>
      </c>
      <c r="B2112" s="187" t="s">
        <v>7790</v>
      </c>
      <c r="C2112" s="154" t="s">
        <v>7591</v>
      </c>
      <c r="D2112" s="154">
        <v>68</v>
      </c>
      <c r="E2112" s="154">
        <v>2</v>
      </c>
      <c r="F2112" s="154" t="s">
        <v>7784</v>
      </c>
      <c r="G2112" s="154" t="s">
        <v>7791</v>
      </c>
      <c r="J2112" s="154" t="s">
        <v>29</v>
      </c>
      <c r="K2112" s="154" t="s">
        <v>2426</v>
      </c>
      <c r="O2112" s="173"/>
      <c r="P2112" s="174"/>
      <c r="Q2112" s="175">
        <v>3</v>
      </c>
      <c r="R2112" s="159">
        <v>3</v>
      </c>
      <c r="S2112" s="160"/>
      <c r="T2112" s="161">
        <v>2</v>
      </c>
      <c r="U2112" s="173"/>
      <c r="V2112" s="176"/>
      <c r="W2112" s="177">
        <v>1</v>
      </c>
      <c r="X2112" s="178"/>
      <c r="Y2112" s="159"/>
      <c r="Z2112" s="161"/>
      <c r="AA2112" s="160"/>
      <c r="AD2112" s="154" t="s">
        <v>30</v>
      </c>
      <c r="AF2112" s="154" t="s">
        <v>7792</v>
      </c>
      <c r="AQ2112" s="173"/>
      <c r="AR2112" s="174"/>
      <c r="AS2112" s="175"/>
      <c r="AT2112" s="159"/>
      <c r="AU2112" s="161"/>
      <c r="AV2112" s="173"/>
      <c r="AW2112" s="176"/>
      <c r="AX2112" s="177"/>
      <c r="AY2112" s="178"/>
      <c r="AZ2112" s="159"/>
      <c r="BA2112" s="161"/>
      <c r="BB2112" s="160"/>
    </row>
    <row r="2113" spans="1:54" s="154" customFormat="1" ht="15" customHeight="1">
      <c r="A2113" s="153" t="s">
        <v>7589</v>
      </c>
      <c r="B2113" s="187" t="s">
        <v>7793</v>
      </c>
      <c r="C2113" s="154" t="s">
        <v>7591</v>
      </c>
      <c r="D2113" s="154">
        <v>69</v>
      </c>
      <c r="E2113" s="154">
        <v>2</v>
      </c>
      <c r="F2113" s="154" t="s">
        <v>7794</v>
      </c>
      <c r="G2113" s="154" t="s">
        <v>7795</v>
      </c>
      <c r="J2113" s="154" t="s">
        <v>29</v>
      </c>
      <c r="K2113" s="154" t="s">
        <v>2426</v>
      </c>
      <c r="O2113" s="173"/>
      <c r="P2113" s="174"/>
      <c r="Q2113" s="175">
        <v>2</v>
      </c>
      <c r="R2113" s="159">
        <v>5</v>
      </c>
      <c r="S2113" s="160"/>
      <c r="T2113" s="161">
        <v>3</v>
      </c>
      <c r="U2113" s="173"/>
      <c r="V2113" s="176">
        <v>2</v>
      </c>
      <c r="W2113" s="177">
        <v>1</v>
      </c>
      <c r="X2113" s="178"/>
      <c r="Y2113" s="159"/>
      <c r="Z2113" s="161"/>
      <c r="AA2113" s="160"/>
      <c r="AD2113" s="154" t="s">
        <v>836</v>
      </c>
      <c r="AF2113" s="154" t="s">
        <v>7796</v>
      </c>
      <c r="AQ2113" s="173"/>
      <c r="AR2113" s="174"/>
      <c r="AS2113" s="175"/>
      <c r="AT2113" s="159"/>
      <c r="AU2113" s="161"/>
      <c r="AV2113" s="173"/>
      <c r="AW2113" s="176"/>
      <c r="AX2113" s="177"/>
      <c r="AY2113" s="178"/>
      <c r="AZ2113" s="159"/>
      <c r="BA2113" s="161"/>
      <c r="BB2113" s="160"/>
    </row>
    <row r="2114" spans="1:54" s="154" customFormat="1" ht="15" customHeight="1">
      <c r="A2114" s="153" t="s">
        <v>7589</v>
      </c>
      <c r="B2114" s="187" t="s">
        <v>7797</v>
      </c>
      <c r="C2114" s="154" t="s">
        <v>7591</v>
      </c>
      <c r="D2114" s="154">
        <v>70</v>
      </c>
      <c r="E2114" s="154">
        <v>2</v>
      </c>
      <c r="F2114" s="154" t="s">
        <v>7794</v>
      </c>
      <c r="G2114" s="154" t="s">
        <v>7798</v>
      </c>
      <c r="J2114" s="154" t="s">
        <v>28</v>
      </c>
      <c r="K2114" s="154" t="s">
        <v>2426</v>
      </c>
      <c r="O2114" s="173"/>
      <c r="P2114" s="174"/>
      <c r="Q2114" s="175"/>
      <c r="R2114" s="159"/>
      <c r="S2114" s="160"/>
      <c r="T2114" s="161"/>
      <c r="U2114" s="173"/>
      <c r="V2114" s="176"/>
      <c r="W2114" s="177"/>
      <c r="X2114" s="178"/>
      <c r="Y2114" s="159"/>
      <c r="Z2114" s="161"/>
      <c r="AA2114" s="160"/>
      <c r="AD2114" s="154" t="s">
        <v>1622</v>
      </c>
      <c r="AF2114" s="154" t="s">
        <v>7799</v>
      </c>
      <c r="AQ2114" s="173"/>
      <c r="AR2114" s="174"/>
      <c r="AS2114" s="175"/>
      <c r="AT2114" s="159"/>
      <c r="AU2114" s="161"/>
      <c r="AV2114" s="173"/>
      <c r="AW2114" s="176"/>
      <c r="AX2114" s="177"/>
      <c r="AY2114" s="178"/>
      <c r="AZ2114" s="159"/>
      <c r="BA2114" s="161"/>
      <c r="BB2114" s="160"/>
    </row>
    <row r="2115" spans="1:54" s="154" customFormat="1" ht="15" customHeight="1">
      <c r="A2115" s="153" t="s">
        <v>7589</v>
      </c>
      <c r="B2115" s="187" t="s">
        <v>7800</v>
      </c>
      <c r="C2115" s="154" t="s">
        <v>7591</v>
      </c>
      <c r="D2115" s="154">
        <v>71</v>
      </c>
      <c r="E2115" s="154">
        <v>1</v>
      </c>
      <c r="F2115" s="154" t="s">
        <v>7801</v>
      </c>
      <c r="G2115" s="154" t="s">
        <v>7802</v>
      </c>
      <c r="J2115" s="154" t="s">
        <v>28</v>
      </c>
      <c r="K2115" s="154" t="s">
        <v>2426</v>
      </c>
      <c r="O2115" s="173"/>
      <c r="P2115" s="174"/>
      <c r="Q2115" s="175"/>
      <c r="R2115" s="159"/>
      <c r="S2115" s="160"/>
      <c r="T2115" s="161"/>
      <c r="U2115" s="173"/>
      <c r="V2115" s="176"/>
      <c r="W2115" s="177"/>
      <c r="X2115" s="178"/>
      <c r="Y2115" s="159"/>
      <c r="Z2115" s="161"/>
      <c r="AA2115" s="160"/>
      <c r="AD2115" s="154" t="s">
        <v>481</v>
      </c>
      <c r="AF2115" s="154" t="s">
        <v>7803</v>
      </c>
      <c r="AQ2115" s="173"/>
      <c r="AR2115" s="174"/>
      <c r="AS2115" s="175"/>
      <c r="AT2115" s="159"/>
      <c r="AU2115" s="161"/>
      <c r="AV2115" s="173"/>
      <c r="AW2115" s="176"/>
      <c r="AX2115" s="177"/>
      <c r="AY2115" s="178"/>
      <c r="AZ2115" s="159"/>
      <c r="BA2115" s="161"/>
      <c r="BB2115" s="160"/>
    </row>
    <row r="2116" spans="1:54" s="154" customFormat="1" ht="15" customHeight="1">
      <c r="A2116" s="153" t="s">
        <v>7589</v>
      </c>
      <c r="B2116" s="187" t="s">
        <v>7804</v>
      </c>
      <c r="C2116" s="154" t="s">
        <v>7591</v>
      </c>
      <c r="D2116" s="154">
        <v>72</v>
      </c>
      <c r="E2116" s="154">
        <v>1</v>
      </c>
      <c r="F2116" s="154" t="s">
        <v>7801</v>
      </c>
      <c r="G2116" s="154" t="s">
        <v>7805</v>
      </c>
      <c r="J2116" s="154" t="s">
        <v>28</v>
      </c>
      <c r="K2116" s="154" t="s">
        <v>2426</v>
      </c>
      <c r="O2116" s="173"/>
      <c r="P2116" s="174"/>
      <c r="Q2116" s="175"/>
      <c r="R2116" s="159"/>
      <c r="S2116" s="160"/>
      <c r="T2116" s="161"/>
      <c r="U2116" s="173"/>
      <c r="V2116" s="176"/>
      <c r="W2116" s="177"/>
      <c r="X2116" s="178"/>
      <c r="Y2116" s="159"/>
      <c r="Z2116" s="161"/>
      <c r="AA2116" s="160"/>
      <c r="AD2116" s="154" t="s">
        <v>481</v>
      </c>
      <c r="AF2116" s="154" t="s">
        <v>7806</v>
      </c>
      <c r="AQ2116" s="173"/>
      <c r="AR2116" s="174"/>
      <c r="AS2116" s="175"/>
      <c r="AT2116" s="159"/>
      <c r="AU2116" s="161"/>
      <c r="AV2116" s="173"/>
      <c r="AW2116" s="176"/>
      <c r="AX2116" s="177"/>
      <c r="AY2116" s="178"/>
      <c r="AZ2116" s="159"/>
      <c r="BA2116" s="161"/>
      <c r="BB2116" s="160"/>
    </row>
    <row r="2117" spans="1:54" s="154" customFormat="1" ht="15" customHeight="1">
      <c r="A2117" s="153" t="s">
        <v>7589</v>
      </c>
      <c r="B2117" s="187" t="s">
        <v>7807</v>
      </c>
      <c r="C2117" s="154" t="s">
        <v>7591</v>
      </c>
      <c r="D2117" s="154">
        <v>73</v>
      </c>
      <c r="E2117" s="154">
        <v>1</v>
      </c>
      <c r="F2117" s="154" t="s">
        <v>7801</v>
      </c>
      <c r="G2117" s="154" t="s">
        <v>7808</v>
      </c>
      <c r="J2117" s="154" t="s">
        <v>28</v>
      </c>
      <c r="K2117" s="154" t="s">
        <v>2426</v>
      </c>
      <c r="O2117" s="173"/>
      <c r="P2117" s="174"/>
      <c r="Q2117" s="175"/>
      <c r="R2117" s="159"/>
      <c r="S2117" s="160"/>
      <c r="T2117" s="161"/>
      <c r="U2117" s="173"/>
      <c r="V2117" s="176"/>
      <c r="W2117" s="177"/>
      <c r="X2117" s="178"/>
      <c r="Y2117" s="159"/>
      <c r="Z2117" s="161"/>
      <c r="AA2117" s="160"/>
      <c r="AD2117" s="154" t="s">
        <v>481</v>
      </c>
      <c r="AF2117" s="154" t="s">
        <v>7809</v>
      </c>
      <c r="AQ2117" s="173"/>
      <c r="AR2117" s="174"/>
      <c r="AS2117" s="175"/>
      <c r="AT2117" s="159"/>
      <c r="AU2117" s="161"/>
      <c r="AV2117" s="173"/>
      <c r="AW2117" s="176"/>
      <c r="AX2117" s="177"/>
      <c r="AY2117" s="178"/>
      <c r="AZ2117" s="159"/>
      <c r="BA2117" s="161"/>
      <c r="BB2117" s="160"/>
    </row>
    <row r="2118" spans="1:54" s="154" customFormat="1" ht="15" customHeight="1">
      <c r="A2118" s="153" t="s">
        <v>7589</v>
      </c>
      <c r="B2118" s="187" t="s">
        <v>7810</v>
      </c>
      <c r="C2118" s="154" t="s">
        <v>7591</v>
      </c>
      <c r="D2118" s="154">
        <v>74</v>
      </c>
      <c r="E2118" s="154">
        <v>1</v>
      </c>
      <c r="F2118" s="154" t="s">
        <v>7801</v>
      </c>
      <c r="G2118" s="154" t="s">
        <v>7811</v>
      </c>
      <c r="J2118" s="154" t="s">
        <v>28</v>
      </c>
      <c r="K2118" s="154" t="s">
        <v>2426</v>
      </c>
      <c r="O2118" s="173"/>
      <c r="P2118" s="174"/>
      <c r="Q2118" s="175"/>
      <c r="R2118" s="159"/>
      <c r="S2118" s="160"/>
      <c r="T2118" s="161"/>
      <c r="U2118" s="173"/>
      <c r="V2118" s="176"/>
      <c r="W2118" s="177"/>
      <c r="X2118" s="178"/>
      <c r="Y2118" s="159"/>
      <c r="Z2118" s="161"/>
      <c r="AA2118" s="160"/>
      <c r="AD2118" s="154" t="s">
        <v>481</v>
      </c>
      <c r="AF2118" s="154" t="s">
        <v>7812</v>
      </c>
      <c r="AQ2118" s="173"/>
      <c r="AR2118" s="174"/>
      <c r="AS2118" s="175"/>
      <c r="AT2118" s="159"/>
      <c r="AU2118" s="161"/>
      <c r="AV2118" s="173"/>
      <c r="AW2118" s="176"/>
      <c r="AX2118" s="177"/>
      <c r="AY2118" s="178"/>
      <c r="AZ2118" s="159"/>
      <c r="BA2118" s="161"/>
      <c r="BB2118" s="160"/>
    </row>
    <row r="2119" spans="1:54" s="154" customFormat="1" ht="15" customHeight="1">
      <c r="A2119" s="153" t="s">
        <v>7589</v>
      </c>
      <c r="B2119" s="187" t="s">
        <v>7813</v>
      </c>
      <c r="C2119" s="154" t="s">
        <v>7591</v>
      </c>
      <c r="D2119" s="154">
        <v>75</v>
      </c>
      <c r="E2119" s="154">
        <v>2</v>
      </c>
      <c r="F2119" s="154" t="s">
        <v>7801</v>
      </c>
      <c r="G2119" s="154" t="s">
        <v>7801</v>
      </c>
      <c r="J2119" s="154" t="s">
        <v>28</v>
      </c>
      <c r="K2119" s="154" t="s">
        <v>2426</v>
      </c>
      <c r="O2119" s="173"/>
      <c r="P2119" s="174"/>
      <c r="Q2119" s="175"/>
      <c r="R2119" s="159"/>
      <c r="S2119" s="160"/>
      <c r="T2119" s="161"/>
      <c r="U2119" s="173"/>
      <c r="V2119" s="176"/>
      <c r="W2119" s="177"/>
      <c r="X2119" s="178"/>
      <c r="Y2119" s="159"/>
      <c r="Z2119" s="161"/>
      <c r="AA2119" s="160"/>
      <c r="AD2119" s="154" t="s">
        <v>481</v>
      </c>
      <c r="AF2119" s="154" t="s">
        <v>7814</v>
      </c>
      <c r="AQ2119" s="173"/>
      <c r="AR2119" s="174"/>
      <c r="AS2119" s="175"/>
      <c r="AT2119" s="159"/>
      <c r="AU2119" s="161"/>
      <c r="AV2119" s="173"/>
      <c r="AW2119" s="176"/>
      <c r="AX2119" s="177"/>
      <c r="AY2119" s="178"/>
      <c r="AZ2119" s="159"/>
      <c r="BA2119" s="161"/>
      <c r="BB2119" s="160"/>
    </row>
    <row r="2120" spans="1:54" s="154" customFormat="1" ht="15" customHeight="1">
      <c r="A2120" s="153" t="s">
        <v>7589</v>
      </c>
      <c r="B2120" s="187" t="s">
        <v>7815</v>
      </c>
      <c r="C2120" s="154" t="s">
        <v>7591</v>
      </c>
      <c r="D2120" s="154">
        <v>76</v>
      </c>
      <c r="E2120" s="154">
        <v>3</v>
      </c>
      <c r="F2120" s="154" t="s">
        <v>7816</v>
      </c>
      <c r="G2120" s="154" t="s">
        <v>7817</v>
      </c>
      <c r="J2120" s="154" t="s">
        <v>28</v>
      </c>
      <c r="K2120" s="154" t="s">
        <v>2426</v>
      </c>
      <c r="O2120" s="173"/>
      <c r="P2120" s="174"/>
      <c r="Q2120" s="175"/>
      <c r="R2120" s="159"/>
      <c r="S2120" s="160"/>
      <c r="T2120" s="161"/>
      <c r="U2120" s="173"/>
      <c r="V2120" s="176"/>
      <c r="W2120" s="177"/>
      <c r="X2120" s="178"/>
      <c r="Y2120" s="159"/>
      <c r="Z2120" s="161"/>
      <c r="AA2120" s="160"/>
      <c r="AD2120" s="154" t="s">
        <v>481</v>
      </c>
      <c r="AF2120" s="154" t="s">
        <v>7818</v>
      </c>
      <c r="AQ2120" s="173"/>
      <c r="AR2120" s="174"/>
      <c r="AS2120" s="175"/>
      <c r="AT2120" s="159"/>
      <c r="AU2120" s="161"/>
      <c r="AV2120" s="173"/>
      <c r="AW2120" s="176"/>
      <c r="AX2120" s="177"/>
      <c r="AY2120" s="178"/>
      <c r="AZ2120" s="159"/>
      <c r="BA2120" s="161"/>
      <c r="BB2120" s="160"/>
    </row>
    <row r="2121" spans="1:54" s="154" customFormat="1" ht="15" customHeight="1">
      <c r="A2121" s="153" t="s">
        <v>7589</v>
      </c>
      <c r="B2121" s="187" t="s">
        <v>7819</v>
      </c>
      <c r="C2121" s="154" t="s">
        <v>7591</v>
      </c>
      <c r="D2121" s="154">
        <v>77</v>
      </c>
      <c r="E2121" s="154">
        <v>2</v>
      </c>
      <c r="F2121" s="154" t="s">
        <v>7816</v>
      </c>
      <c r="G2121" s="154" t="s">
        <v>7820</v>
      </c>
      <c r="J2121" s="154" t="s">
        <v>28</v>
      </c>
      <c r="K2121" s="154" t="s">
        <v>2426</v>
      </c>
      <c r="O2121" s="173"/>
      <c r="P2121" s="174"/>
      <c r="Q2121" s="175"/>
      <c r="R2121" s="159"/>
      <c r="S2121" s="160"/>
      <c r="T2121" s="161"/>
      <c r="U2121" s="173"/>
      <c r="V2121" s="176"/>
      <c r="W2121" s="177"/>
      <c r="X2121" s="178"/>
      <c r="Y2121" s="159"/>
      <c r="Z2121" s="161"/>
      <c r="AA2121" s="160"/>
      <c r="AD2121" s="154" t="s">
        <v>481</v>
      </c>
      <c r="AF2121" s="154" t="s">
        <v>7821</v>
      </c>
      <c r="AQ2121" s="173"/>
      <c r="AR2121" s="174"/>
      <c r="AS2121" s="175"/>
      <c r="AT2121" s="159"/>
      <c r="AU2121" s="161"/>
      <c r="AV2121" s="173"/>
      <c r="AW2121" s="176"/>
      <c r="AX2121" s="177"/>
      <c r="AY2121" s="178"/>
      <c r="AZ2121" s="159"/>
      <c r="BA2121" s="161"/>
      <c r="BB2121" s="160"/>
    </row>
    <row r="2122" spans="1:54" s="154" customFormat="1" ht="15" customHeight="1">
      <c r="A2122" s="153" t="s">
        <v>7589</v>
      </c>
      <c r="B2122" s="187" t="s">
        <v>7822</v>
      </c>
      <c r="C2122" s="154" t="s">
        <v>7591</v>
      </c>
      <c r="D2122" s="154">
        <v>78</v>
      </c>
      <c r="E2122" s="154">
        <v>2</v>
      </c>
      <c r="F2122" s="154" t="s">
        <v>7816</v>
      </c>
      <c r="G2122" s="154" t="s">
        <v>7823</v>
      </c>
      <c r="J2122" s="154" t="s">
        <v>28</v>
      </c>
      <c r="K2122" s="154" t="s">
        <v>2426</v>
      </c>
      <c r="O2122" s="173"/>
      <c r="P2122" s="174"/>
      <c r="Q2122" s="175"/>
      <c r="R2122" s="159"/>
      <c r="S2122" s="160"/>
      <c r="T2122" s="161"/>
      <c r="U2122" s="173"/>
      <c r="V2122" s="176"/>
      <c r="W2122" s="177"/>
      <c r="X2122" s="178"/>
      <c r="Y2122" s="159"/>
      <c r="Z2122" s="161"/>
      <c r="AA2122" s="160"/>
      <c r="AD2122" s="154" t="s">
        <v>481</v>
      </c>
      <c r="AF2122" s="154" t="s">
        <v>7824</v>
      </c>
      <c r="AQ2122" s="173"/>
      <c r="AR2122" s="174"/>
      <c r="AS2122" s="175"/>
      <c r="AT2122" s="159"/>
      <c r="AU2122" s="161"/>
      <c r="AV2122" s="173"/>
      <c r="AW2122" s="176"/>
      <c r="AX2122" s="177"/>
      <c r="AY2122" s="178"/>
      <c r="AZ2122" s="159"/>
      <c r="BA2122" s="161"/>
      <c r="BB2122" s="160"/>
    </row>
  </sheetData>
  <sortState xmlns:xlrd2="http://schemas.microsoft.com/office/spreadsheetml/2017/richdata2"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AM2123:AM1048576 K2123:K1048576">
    <cfRule type="cellIs" dxfId="3317" priority="5821" operator="equal">
      <formula>"Seeker"</formula>
    </cfRule>
    <cfRule type="cellIs" dxfId="3316" priority="5822" operator="equal">
      <formula>"Neutral"</formula>
    </cfRule>
    <cfRule type="cellIs" dxfId="3315" priority="5823" operator="equal">
      <formula>"Rogue"</formula>
    </cfRule>
    <cfRule type="cellIs" dxfId="3314" priority="5824" operator="equal">
      <formula>"Guardian"</formula>
    </cfRule>
    <cfRule type="cellIs" dxfId="3313" priority="5825" operator="equal">
      <formula>"Survivor"</formula>
    </cfRule>
    <cfRule type="cellIs" dxfId="3312" priority="5826" operator="equal">
      <formula>"Mystic"</formula>
    </cfRule>
  </conditionalFormatting>
  <conditionalFormatting sqref="K2:K99 K101:K104 K234:K347">
    <cfRule type="cellIs" dxfId="3311" priority="5815" operator="equal">
      <formula>"seeker"</formula>
    </cfRule>
    <cfRule type="cellIs" dxfId="3310" priority="5816" operator="equal">
      <formula>"neutral"</formula>
    </cfRule>
    <cfRule type="cellIs" dxfId="3309" priority="5817" operator="equal">
      <formula>"rogue"</formula>
    </cfRule>
    <cfRule type="cellIs" dxfId="3308" priority="5818" operator="equal">
      <formula>"Guardian"</formula>
    </cfRule>
    <cfRule type="cellIs" dxfId="3307" priority="5819" operator="equal">
      <formula>"Survivor"</formula>
    </cfRule>
    <cfRule type="cellIs" dxfId="3306" priority="5820" operator="equal">
      <formula>"Mystic"</formula>
    </cfRule>
  </conditionalFormatting>
  <conditionalFormatting sqref="K134:K152 K158:K169 K171:K193 K105:K122 K195:K232 K124:K132">
    <cfRule type="cellIs" dxfId="3305" priority="5809" operator="equal">
      <formula>"seeker"</formula>
    </cfRule>
    <cfRule type="cellIs" dxfId="3304" priority="5810" operator="equal">
      <formula>"neutral"</formula>
    </cfRule>
    <cfRule type="cellIs" dxfId="3303" priority="5811" operator="equal">
      <formula>"rogue"</formula>
    </cfRule>
    <cfRule type="cellIs" dxfId="3302" priority="5812" operator="equal">
      <formula>"Guardian"</formula>
    </cfRule>
    <cfRule type="cellIs" dxfId="3301" priority="5813" operator="equal">
      <formula>"Survivor"</formula>
    </cfRule>
    <cfRule type="cellIs" dxfId="3300" priority="5814" operator="equal">
      <formula>"Mystic"</formula>
    </cfRule>
  </conditionalFormatting>
  <conditionalFormatting sqref="K100">
    <cfRule type="cellIs" dxfId="3299" priority="5803" operator="equal">
      <formula>"seeker"</formula>
    </cfRule>
    <cfRule type="cellIs" dxfId="3298" priority="5804" operator="equal">
      <formula>"neutral"</formula>
    </cfRule>
    <cfRule type="cellIs" dxfId="3297" priority="5805" operator="equal">
      <formula>"rogue"</formula>
    </cfRule>
    <cfRule type="cellIs" dxfId="3296" priority="5806" operator="equal">
      <formula>"Guardian"</formula>
    </cfRule>
    <cfRule type="cellIs" dxfId="3295" priority="5807" operator="equal">
      <formula>"Survivor"</formula>
    </cfRule>
    <cfRule type="cellIs" dxfId="3294" priority="5808" operator="equal">
      <formula>"Mystic"</formula>
    </cfRule>
  </conditionalFormatting>
  <conditionalFormatting sqref="AM112:AM116">
    <cfRule type="cellIs" dxfId="3293" priority="5797" operator="equal">
      <formula>"seeker"</formula>
    </cfRule>
    <cfRule type="cellIs" dxfId="3292" priority="5798" operator="equal">
      <formula>"neutral"</formula>
    </cfRule>
    <cfRule type="cellIs" dxfId="3291" priority="5799" operator="equal">
      <formula>"rogue"</formula>
    </cfRule>
    <cfRule type="cellIs" dxfId="3290" priority="5800" operator="equal">
      <formula>"Guardian"</formula>
    </cfRule>
    <cfRule type="cellIs" dxfId="3289" priority="5801" operator="equal">
      <formula>"Survivor"</formula>
    </cfRule>
    <cfRule type="cellIs" dxfId="3288" priority="5802" operator="equal">
      <formula>"Mystic"</formula>
    </cfRule>
  </conditionalFormatting>
  <conditionalFormatting sqref="AM130:AM131">
    <cfRule type="cellIs" dxfId="3287" priority="5791" operator="equal">
      <formula>"seeker"</formula>
    </cfRule>
    <cfRule type="cellIs" dxfId="3286" priority="5792" operator="equal">
      <formula>"neutral"</formula>
    </cfRule>
    <cfRule type="cellIs" dxfId="3285" priority="5793" operator="equal">
      <formula>"rogue"</formula>
    </cfRule>
    <cfRule type="cellIs" dxfId="3284" priority="5794" operator="equal">
      <formula>"Guardian"</formula>
    </cfRule>
    <cfRule type="cellIs" dxfId="3283" priority="5795" operator="equal">
      <formula>"Survivor"</formula>
    </cfRule>
    <cfRule type="cellIs" dxfId="3282" priority="5796" operator="equal">
      <formula>"Mystic"</formula>
    </cfRule>
  </conditionalFormatting>
  <conditionalFormatting sqref="AL133">
    <cfRule type="cellIs" dxfId="3281" priority="5785" operator="equal">
      <formula>"Seeker"</formula>
    </cfRule>
    <cfRule type="cellIs" dxfId="3280" priority="5786" operator="equal">
      <formula>"Neutral"</formula>
    </cfRule>
    <cfRule type="cellIs" dxfId="3279" priority="5787" operator="equal">
      <formula>"Rogue"</formula>
    </cfRule>
    <cfRule type="cellIs" dxfId="3278" priority="5788" operator="equal">
      <formula>"Guardian"</formula>
    </cfRule>
    <cfRule type="cellIs" dxfId="3277" priority="5789" operator="equal">
      <formula>"Survivor"</formula>
    </cfRule>
    <cfRule type="cellIs" dxfId="3276" priority="5790" operator="equal">
      <formula>"Mystic"</formula>
    </cfRule>
  </conditionalFormatting>
  <conditionalFormatting sqref="K133">
    <cfRule type="cellIs" dxfId="3275" priority="5779" operator="equal">
      <formula>"seeker"</formula>
    </cfRule>
    <cfRule type="cellIs" dxfId="3274" priority="5780" operator="equal">
      <formula>"neutral"</formula>
    </cfRule>
    <cfRule type="cellIs" dxfId="3273" priority="5781" operator="equal">
      <formula>"rogue"</formula>
    </cfRule>
    <cfRule type="cellIs" dxfId="3272" priority="5782" operator="equal">
      <formula>"Guardian"</formula>
    </cfRule>
    <cfRule type="cellIs" dxfId="3271" priority="5783" operator="equal">
      <formula>"Survivor"</formula>
    </cfRule>
    <cfRule type="cellIs" dxfId="3270" priority="5784" operator="equal">
      <formula>"Mystic"</formula>
    </cfRule>
  </conditionalFormatting>
  <conditionalFormatting sqref="AM151:AM152 AM158:AM159">
    <cfRule type="cellIs" dxfId="3269" priority="5773" operator="equal">
      <formula>"seeker"</formula>
    </cfRule>
    <cfRule type="cellIs" dxfId="3268" priority="5774" operator="equal">
      <formula>"neutral"</formula>
    </cfRule>
    <cfRule type="cellIs" dxfId="3267" priority="5775" operator="equal">
      <formula>"rogue"</formula>
    </cfRule>
    <cfRule type="cellIs" dxfId="3266" priority="5776" operator="equal">
      <formula>"Guardian"</formula>
    </cfRule>
    <cfRule type="cellIs" dxfId="3265" priority="5777" operator="equal">
      <formula>"Survivor"</formula>
    </cfRule>
    <cfRule type="cellIs" dxfId="3264" priority="5778" operator="equal">
      <formula>"Mystic"</formula>
    </cfRule>
  </conditionalFormatting>
  <conditionalFormatting sqref="K153">
    <cfRule type="cellIs" dxfId="3263" priority="5767" operator="equal">
      <formula>"seeker"</formula>
    </cfRule>
    <cfRule type="cellIs" dxfId="3262" priority="5768" operator="equal">
      <formula>"neutral"</formula>
    </cfRule>
    <cfRule type="cellIs" dxfId="3261" priority="5769" operator="equal">
      <formula>"rogue"</formula>
    </cfRule>
    <cfRule type="cellIs" dxfId="3260" priority="5770" operator="equal">
      <formula>"Guardian"</formula>
    </cfRule>
    <cfRule type="cellIs" dxfId="3259" priority="5771" operator="equal">
      <formula>"Survivor"</formula>
    </cfRule>
    <cfRule type="cellIs" dxfId="3258" priority="5772" operator="equal">
      <formula>"Mystic"</formula>
    </cfRule>
  </conditionalFormatting>
  <conditionalFormatting sqref="AM153">
    <cfRule type="cellIs" dxfId="3257" priority="5761" operator="equal">
      <formula>"seeker"</formula>
    </cfRule>
    <cfRule type="cellIs" dxfId="3256" priority="5762" operator="equal">
      <formula>"neutral"</formula>
    </cfRule>
    <cfRule type="cellIs" dxfId="3255" priority="5763" operator="equal">
      <formula>"rogue"</formula>
    </cfRule>
    <cfRule type="cellIs" dxfId="3254" priority="5764" operator="equal">
      <formula>"Guardian"</formula>
    </cfRule>
    <cfRule type="cellIs" dxfId="3253" priority="5765" operator="equal">
      <formula>"Survivor"</formula>
    </cfRule>
    <cfRule type="cellIs" dxfId="3252" priority="5766" operator="equal">
      <formula>"Mystic"</formula>
    </cfRule>
  </conditionalFormatting>
  <conditionalFormatting sqref="K154">
    <cfRule type="cellIs" dxfId="3251" priority="5755" operator="equal">
      <formula>"seeker"</formula>
    </cfRule>
    <cfRule type="cellIs" dxfId="3250" priority="5756" operator="equal">
      <formula>"neutral"</formula>
    </cfRule>
    <cfRule type="cellIs" dxfId="3249" priority="5757" operator="equal">
      <formula>"rogue"</formula>
    </cfRule>
    <cfRule type="cellIs" dxfId="3248" priority="5758" operator="equal">
      <formula>"Guardian"</formula>
    </cfRule>
    <cfRule type="cellIs" dxfId="3247" priority="5759" operator="equal">
      <formula>"Survivor"</formula>
    </cfRule>
    <cfRule type="cellIs" dxfId="3246" priority="5760" operator="equal">
      <formula>"Mystic"</formula>
    </cfRule>
  </conditionalFormatting>
  <conditionalFormatting sqref="AM154">
    <cfRule type="cellIs" dxfId="3245" priority="5749" operator="equal">
      <formula>"seeker"</formula>
    </cfRule>
    <cfRule type="cellIs" dxfId="3244" priority="5750" operator="equal">
      <formula>"neutral"</formula>
    </cfRule>
    <cfRule type="cellIs" dxfId="3243" priority="5751" operator="equal">
      <formula>"rogue"</formula>
    </cfRule>
    <cfRule type="cellIs" dxfId="3242" priority="5752" operator="equal">
      <formula>"Guardian"</formula>
    </cfRule>
    <cfRule type="cellIs" dxfId="3241" priority="5753" operator="equal">
      <formula>"Survivor"</formula>
    </cfRule>
    <cfRule type="cellIs" dxfId="3240" priority="5754" operator="equal">
      <formula>"Mystic"</formula>
    </cfRule>
  </conditionalFormatting>
  <conditionalFormatting sqref="K155">
    <cfRule type="cellIs" dxfId="3239" priority="5743" operator="equal">
      <formula>"seeker"</formula>
    </cfRule>
    <cfRule type="cellIs" dxfId="3238" priority="5744" operator="equal">
      <formula>"neutral"</formula>
    </cfRule>
    <cfRule type="cellIs" dxfId="3237" priority="5745" operator="equal">
      <formula>"rogue"</formula>
    </cfRule>
    <cfRule type="cellIs" dxfId="3236" priority="5746" operator="equal">
      <formula>"Guardian"</formula>
    </cfRule>
    <cfRule type="cellIs" dxfId="3235" priority="5747" operator="equal">
      <formula>"Survivor"</formula>
    </cfRule>
    <cfRule type="cellIs" dxfId="3234" priority="5748" operator="equal">
      <formula>"Mystic"</formula>
    </cfRule>
  </conditionalFormatting>
  <conditionalFormatting sqref="AM155">
    <cfRule type="cellIs" dxfId="3233" priority="5737" operator="equal">
      <formula>"seeker"</formula>
    </cfRule>
    <cfRule type="cellIs" dxfId="3232" priority="5738" operator="equal">
      <formula>"neutral"</formula>
    </cfRule>
    <cfRule type="cellIs" dxfId="3231" priority="5739" operator="equal">
      <formula>"rogue"</formula>
    </cfRule>
    <cfRule type="cellIs" dxfId="3230" priority="5740" operator="equal">
      <formula>"Guardian"</formula>
    </cfRule>
    <cfRule type="cellIs" dxfId="3229" priority="5741" operator="equal">
      <formula>"Survivor"</formula>
    </cfRule>
    <cfRule type="cellIs" dxfId="3228" priority="5742" operator="equal">
      <formula>"Mystic"</formula>
    </cfRule>
  </conditionalFormatting>
  <conditionalFormatting sqref="K156">
    <cfRule type="cellIs" dxfId="3227" priority="5731" operator="equal">
      <formula>"seeker"</formula>
    </cfRule>
    <cfRule type="cellIs" dxfId="3226" priority="5732" operator="equal">
      <formula>"neutral"</formula>
    </cfRule>
    <cfRule type="cellIs" dxfId="3225" priority="5733" operator="equal">
      <formula>"rogue"</formula>
    </cfRule>
    <cfRule type="cellIs" dxfId="3224" priority="5734" operator="equal">
      <formula>"Guardian"</formula>
    </cfRule>
    <cfRule type="cellIs" dxfId="3223" priority="5735" operator="equal">
      <formula>"Survivor"</formula>
    </cfRule>
    <cfRule type="cellIs" dxfId="3222" priority="5736" operator="equal">
      <formula>"Mystic"</formula>
    </cfRule>
  </conditionalFormatting>
  <conditionalFormatting sqref="AM156">
    <cfRule type="cellIs" dxfId="3221" priority="5725" operator="equal">
      <formula>"seeker"</formula>
    </cfRule>
    <cfRule type="cellIs" dxfId="3220" priority="5726" operator="equal">
      <formula>"neutral"</formula>
    </cfRule>
    <cfRule type="cellIs" dxfId="3219" priority="5727" operator="equal">
      <formula>"rogue"</formula>
    </cfRule>
    <cfRule type="cellIs" dxfId="3218" priority="5728" operator="equal">
      <formula>"Guardian"</formula>
    </cfRule>
    <cfRule type="cellIs" dxfId="3217" priority="5729" operator="equal">
      <formula>"Survivor"</formula>
    </cfRule>
    <cfRule type="cellIs" dxfId="3216" priority="5730" operator="equal">
      <formula>"Mystic"</formula>
    </cfRule>
  </conditionalFormatting>
  <conditionalFormatting sqref="K157">
    <cfRule type="cellIs" dxfId="3215" priority="5719" operator="equal">
      <formula>"seeker"</formula>
    </cfRule>
    <cfRule type="cellIs" dxfId="3214" priority="5720" operator="equal">
      <formula>"neutral"</formula>
    </cfRule>
    <cfRule type="cellIs" dxfId="3213" priority="5721" operator="equal">
      <formula>"rogue"</formula>
    </cfRule>
    <cfRule type="cellIs" dxfId="3212" priority="5722" operator="equal">
      <formula>"Guardian"</formula>
    </cfRule>
    <cfRule type="cellIs" dxfId="3211" priority="5723" operator="equal">
      <formula>"Survivor"</formula>
    </cfRule>
    <cfRule type="cellIs" dxfId="3210" priority="5724" operator="equal">
      <formula>"Mystic"</formula>
    </cfRule>
  </conditionalFormatting>
  <conditionalFormatting sqref="AM157">
    <cfRule type="cellIs" dxfId="3209" priority="5713" operator="equal">
      <formula>"seeker"</formula>
    </cfRule>
    <cfRule type="cellIs" dxfId="3208" priority="5714" operator="equal">
      <formula>"neutral"</formula>
    </cfRule>
    <cfRule type="cellIs" dxfId="3207" priority="5715" operator="equal">
      <formula>"rogue"</formula>
    </cfRule>
    <cfRule type="cellIs" dxfId="3206" priority="5716" operator="equal">
      <formula>"Guardian"</formula>
    </cfRule>
    <cfRule type="cellIs" dxfId="3205" priority="5717" operator="equal">
      <formula>"Survivor"</formula>
    </cfRule>
    <cfRule type="cellIs" dxfId="3204" priority="5718" operator="equal">
      <formula>"Mystic"</formula>
    </cfRule>
  </conditionalFormatting>
  <conditionalFormatting sqref="K170">
    <cfRule type="cellIs" dxfId="3203" priority="5707" operator="equal">
      <formula>"seeker"</formula>
    </cfRule>
    <cfRule type="cellIs" dxfId="3202" priority="5708" operator="equal">
      <formula>"neutral"</formula>
    </cfRule>
    <cfRule type="cellIs" dxfId="3201" priority="5709" operator="equal">
      <formula>"rogue"</formula>
    </cfRule>
    <cfRule type="cellIs" dxfId="3200" priority="5710" operator="equal">
      <formula>"Guardian"</formula>
    </cfRule>
    <cfRule type="cellIs" dxfId="3199" priority="5711" operator="equal">
      <formula>"Survivor"</formula>
    </cfRule>
    <cfRule type="cellIs" dxfId="3198" priority="5712" operator="equal">
      <formula>"Mystic"</formula>
    </cfRule>
  </conditionalFormatting>
  <conditionalFormatting sqref="AL190">
    <cfRule type="cellIs" dxfId="3197" priority="5695" operator="equal">
      <formula>"Seeker"</formula>
    </cfRule>
    <cfRule type="cellIs" dxfId="3196" priority="5696" operator="equal">
      <formula>"Neutral"</formula>
    </cfRule>
    <cfRule type="cellIs" dxfId="3195" priority="5697" operator="equal">
      <formula>"Rogue"</formula>
    </cfRule>
    <cfRule type="cellIs" dxfId="3194" priority="5698" operator="equal">
      <formula>"Guardian"</formula>
    </cfRule>
    <cfRule type="cellIs" dxfId="3193" priority="5699" operator="equal">
      <formula>"Survivor"</formula>
    </cfRule>
    <cfRule type="cellIs" dxfId="3192" priority="5700" operator="equal">
      <formula>"Mystic"</formula>
    </cfRule>
  </conditionalFormatting>
  <conditionalFormatting sqref="AM191">
    <cfRule type="cellIs" dxfId="3191" priority="5689" operator="equal">
      <formula>"seeker"</formula>
    </cfRule>
    <cfRule type="cellIs" dxfId="3190" priority="5690" operator="equal">
      <formula>"neutral"</formula>
    </cfRule>
    <cfRule type="cellIs" dxfId="3189" priority="5691" operator="equal">
      <formula>"rogue"</formula>
    </cfRule>
    <cfRule type="cellIs" dxfId="3188" priority="5692" operator="equal">
      <formula>"Guardian"</formula>
    </cfRule>
    <cfRule type="cellIs" dxfId="3187" priority="5693" operator="equal">
      <formula>"Survivor"</formula>
    </cfRule>
    <cfRule type="cellIs" dxfId="3186" priority="5694" operator="equal">
      <formula>"Mystic"</formula>
    </cfRule>
  </conditionalFormatting>
  <conditionalFormatting sqref="AM193">
    <cfRule type="cellIs" dxfId="3185" priority="5683" operator="equal">
      <formula>"seeker"</formula>
    </cfRule>
    <cfRule type="cellIs" dxfId="3184" priority="5684" operator="equal">
      <formula>"neutral"</formula>
    </cfRule>
    <cfRule type="cellIs" dxfId="3183" priority="5685" operator="equal">
      <formula>"rogue"</formula>
    </cfRule>
    <cfRule type="cellIs" dxfId="3182" priority="5686" operator="equal">
      <formula>"Guardian"</formula>
    </cfRule>
    <cfRule type="cellIs" dxfId="3181" priority="5687" operator="equal">
      <formula>"Survivor"</formula>
    </cfRule>
    <cfRule type="cellIs" dxfId="3180" priority="5688" operator="equal">
      <formula>"Mystic"</formula>
    </cfRule>
  </conditionalFormatting>
  <conditionalFormatting sqref="K194">
    <cfRule type="cellIs" dxfId="3179" priority="5677" operator="equal">
      <formula>"seeker"</formula>
    </cfRule>
    <cfRule type="cellIs" dxfId="3178" priority="5678" operator="equal">
      <formula>"neutral"</formula>
    </cfRule>
    <cfRule type="cellIs" dxfId="3177" priority="5679" operator="equal">
      <formula>"rogue"</formula>
    </cfRule>
    <cfRule type="cellIs" dxfId="3176" priority="5680" operator="equal">
      <formula>"Guardian"</formula>
    </cfRule>
    <cfRule type="cellIs" dxfId="3175" priority="5681" operator="equal">
      <formula>"Survivor"</formula>
    </cfRule>
    <cfRule type="cellIs" dxfId="3174" priority="5682" operator="equal">
      <formula>"Mystic"</formula>
    </cfRule>
  </conditionalFormatting>
  <conditionalFormatting sqref="AM195">
    <cfRule type="cellIs" dxfId="3173" priority="5671" operator="equal">
      <formula>"seeker"</formula>
    </cfRule>
    <cfRule type="cellIs" dxfId="3172" priority="5672" operator="equal">
      <formula>"neutral"</formula>
    </cfRule>
    <cfRule type="cellIs" dxfId="3171" priority="5673" operator="equal">
      <formula>"rogue"</formula>
    </cfRule>
    <cfRule type="cellIs" dxfId="3170" priority="5674" operator="equal">
      <formula>"Guardian"</formula>
    </cfRule>
    <cfRule type="cellIs" dxfId="3169" priority="5675" operator="equal">
      <formula>"Survivor"</formula>
    </cfRule>
    <cfRule type="cellIs" dxfId="3168" priority="5676" operator="equal">
      <formula>"Mystic"</formula>
    </cfRule>
  </conditionalFormatting>
  <conditionalFormatting sqref="AM194">
    <cfRule type="cellIs" dxfId="3167" priority="5665" operator="equal">
      <formula>"seeker"</formula>
    </cfRule>
    <cfRule type="cellIs" dxfId="3166" priority="5666" operator="equal">
      <formula>"neutral"</formula>
    </cfRule>
    <cfRule type="cellIs" dxfId="3165" priority="5667" operator="equal">
      <formula>"rogue"</formula>
    </cfRule>
    <cfRule type="cellIs" dxfId="3164" priority="5668" operator="equal">
      <formula>"Guardian"</formula>
    </cfRule>
    <cfRule type="cellIs" dxfId="3163" priority="5669" operator="equal">
      <formula>"Survivor"</formula>
    </cfRule>
    <cfRule type="cellIs" dxfId="3162" priority="5670" operator="equal">
      <formula>"Mystic"</formula>
    </cfRule>
  </conditionalFormatting>
  <conditionalFormatting sqref="AL3">
    <cfRule type="cellIs" dxfId="3161" priority="5659" operator="equal">
      <formula>"Seeker"</formula>
    </cfRule>
    <cfRule type="cellIs" dxfId="3160" priority="5660" operator="equal">
      <formula>"Neutral"</formula>
    </cfRule>
    <cfRule type="cellIs" dxfId="3159" priority="5661" operator="equal">
      <formula>"Rogue"</formula>
    </cfRule>
    <cfRule type="cellIs" dxfId="3158" priority="5662" operator="equal">
      <formula>"Guardian"</formula>
    </cfRule>
    <cfRule type="cellIs" dxfId="3157" priority="5663" operator="equal">
      <formula>"Survivor"</formula>
    </cfRule>
    <cfRule type="cellIs" dxfId="3156" priority="5664" operator="equal">
      <formula>"Mystic"</formula>
    </cfRule>
  </conditionalFormatting>
  <conditionalFormatting sqref="AL4">
    <cfRule type="cellIs" dxfId="3155" priority="5653" operator="equal">
      <formula>"Seeker"</formula>
    </cfRule>
    <cfRule type="cellIs" dxfId="3154" priority="5654" operator="equal">
      <formula>"Neutral"</formula>
    </cfRule>
    <cfRule type="cellIs" dxfId="3153" priority="5655" operator="equal">
      <formula>"Rogue"</formula>
    </cfRule>
    <cfRule type="cellIs" dxfId="3152" priority="5656" operator="equal">
      <formula>"Guardian"</formula>
    </cfRule>
    <cfRule type="cellIs" dxfId="3151" priority="5657" operator="equal">
      <formula>"Survivor"</formula>
    </cfRule>
    <cfRule type="cellIs" dxfId="3150" priority="5658" operator="equal">
      <formula>"Mystic"</formula>
    </cfRule>
  </conditionalFormatting>
  <conditionalFormatting sqref="AL5">
    <cfRule type="cellIs" dxfId="3149" priority="5647" operator="equal">
      <formula>"Seeker"</formula>
    </cfRule>
    <cfRule type="cellIs" dxfId="3148" priority="5648" operator="equal">
      <formula>"Neutral"</formula>
    </cfRule>
    <cfRule type="cellIs" dxfId="3147" priority="5649" operator="equal">
      <formula>"Rogue"</formula>
    </cfRule>
    <cfRule type="cellIs" dxfId="3146" priority="5650" operator="equal">
      <formula>"Guardian"</formula>
    </cfRule>
    <cfRule type="cellIs" dxfId="3145" priority="5651" operator="equal">
      <formula>"Survivor"</formula>
    </cfRule>
    <cfRule type="cellIs" dxfId="3144" priority="5652" operator="equal">
      <formula>"Mystic"</formula>
    </cfRule>
  </conditionalFormatting>
  <conditionalFormatting sqref="AL6">
    <cfRule type="cellIs" dxfId="3143" priority="5641" operator="equal">
      <formula>"Seeker"</formula>
    </cfRule>
    <cfRule type="cellIs" dxfId="3142" priority="5642" operator="equal">
      <formula>"Neutral"</formula>
    </cfRule>
    <cfRule type="cellIs" dxfId="3141" priority="5643" operator="equal">
      <formula>"Rogue"</formula>
    </cfRule>
    <cfRule type="cellIs" dxfId="3140" priority="5644" operator="equal">
      <formula>"Guardian"</formula>
    </cfRule>
    <cfRule type="cellIs" dxfId="3139" priority="5645" operator="equal">
      <formula>"Survivor"</formula>
    </cfRule>
    <cfRule type="cellIs" dxfId="3138" priority="5646" operator="equal">
      <formula>"Mystic"</formula>
    </cfRule>
  </conditionalFormatting>
  <conditionalFormatting sqref="AL122">
    <cfRule type="cellIs" dxfId="3137" priority="5635" operator="equal">
      <formula>"Seeker"</formula>
    </cfRule>
    <cfRule type="cellIs" dxfId="3136" priority="5636" operator="equal">
      <formula>"Neutral"</formula>
    </cfRule>
    <cfRule type="cellIs" dxfId="3135" priority="5637" operator="equal">
      <formula>"Rogue"</formula>
    </cfRule>
    <cfRule type="cellIs" dxfId="3134" priority="5638" operator="equal">
      <formula>"Guardian"</formula>
    </cfRule>
    <cfRule type="cellIs" dxfId="3133" priority="5639" operator="equal">
      <formula>"Survivor"</formula>
    </cfRule>
    <cfRule type="cellIs" dxfId="3132" priority="5640" operator="equal">
      <formula>"Mystic"</formula>
    </cfRule>
  </conditionalFormatting>
  <conditionalFormatting sqref="AL123">
    <cfRule type="cellIs" dxfId="3131" priority="5629" operator="equal">
      <formula>"Seeker"</formula>
    </cfRule>
    <cfRule type="cellIs" dxfId="3130" priority="5630" operator="equal">
      <formula>"Neutral"</formula>
    </cfRule>
    <cfRule type="cellIs" dxfId="3129" priority="5631" operator="equal">
      <formula>"Rogue"</formula>
    </cfRule>
    <cfRule type="cellIs" dxfId="3128" priority="5632" operator="equal">
      <formula>"Guardian"</formula>
    </cfRule>
    <cfRule type="cellIs" dxfId="3127" priority="5633" operator="equal">
      <formula>"Survivor"</formula>
    </cfRule>
    <cfRule type="cellIs" dxfId="3126" priority="5634" operator="equal">
      <formula>"Mystic"</formula>
    </cfRule>
  </conditionalFormatting>
  <conditionalFormatting sqref="J123">
    <cfRule type="cellIs" dxfId="3125" priority="5623" operator="equal">
      <formula>"Seeker"</formula>
    </cfRule>
    <cfRule type="cellIs" dxfId="3124" priority="5624" operator="equal">
      <formula>"Neutral"</formula>
    </cfRule>
    <cfRule type="cellIs" dxfId="3123" priority="5625" operator="equal">
      <formula>"Rogue"</formula>
    </cfRule>
    <cfRule type="cellIs" dxfId="3122" priority="5626" operator="equal">
      <formula>"Guardian"</formula>
    </cfRule>
    <cfRule type="cellIs" dxfId="3121" priority="5627" operator="equal">
      <formula>"Survivor"</formula>
    </cfRule>
    <cfRule type="cellIs" dxfId="3120" priority="5628" operator="equal">
      <formula>"Mystic"</formula>
    </cfRule>
  </conditionalFormatting>
  <conditionalFormatting sqref="AM253">
    <cfRule type="cellIs" dxfId="3119" priority="5617" operator="equal">
      <formula>"seeker"</formula>
    </cfRule>
    <cfRule type="cellIs" dxfId="3118" priority="5618" operator="equal">
      <formula>"neutral"</formula>
    </cfRule>
    <cfRule type="cellIs" dxfId="3117" priority="5619" operator="equal">
      <formula>"rogue"</formula>
    </cfRule>
    <cfRule type="cellIs" dxfId="3116" priority="5620" operator="equal">
      <formula>"Guardian"</formula>
    </cfRule>
    <cfRule type="cellIs" dxfId="3115" priority="5621" operator="equal">
      <formula>"Survivor"</formula>
    </cfRule>
    <cfRule type="cellIs" dxfId="3114" priority="5622" operator="equal">
      <formula>"Mystic"</formula>
    </cfRule>
  </conditionalFormatting>
  <conditionalFormatting sqref="AM254">
    <cfRule type="cellIs" dxfId="3113" priority="5611" operator="equal">
      <formula>"seeker"</formula>
    </cfRule>
    <cfRule type="cellIs" dxfId="3112" priority="5612" operator="equal">
      <formula>"neutral"</formula>
    </cfRule>
    <cfRule type="cellIs" dxfId="3111" priority="5613" operator="equal">
      <formula>"rogue"</formula>
    </cfRule>
    <cfRule type="cellIs" dxfId="3110" priority="5614" operator="equal">
      <formula>"Guardian"</formula>
    </cfRule>
    <cfRule type="cellIs" dxfId="3109" priority="5615" operator="equal">
      <formula>"Survivor"</formula>
    </cfRule>
    <cfRule type="cellIs" dxfId="3108" priority="5616" operator="equal">
      <formula>"Mystic"</formula>
    </cfRule>
  </conditionalFormatting>
  <conditionalFormatting sqref="AM255">
    <cfRule type="cellIs" dxfId="3107" priority="5605" operator="equal">
      <formula>"seeker"</formula>
    </cfRule>
    <cfRule type="cellIs" dxfId="3106" priority="5606" operator="equal">
      <formula>"neutral"</formula>
    </cfRule>
    <cfRule type="cellIs" dxfId="3105" priority="5607" operator="equal">
      <formula>"rogue"</formula>
    </cfRule>
    <cfRule type="cellIs" dxfId="3104" priority="5608" operator="equal">
      <formula>"Guardian"</formula>
    </cfRule>
    <cfRule type="cellIs" dxfId="3103" priority="5609" operator="equal">
      <formula>"Survivor"</formula>
    </cfRule>
    <cfRule type="cellIs" dxfId="3102" priority="5610" operator="equal">
      <formula>"Mystic"</formula>
    </cfRule>
  </conditionalFormatting>
  <conditionalFormatting sqref="AM256">
    <cfRule type="cellIs" dxfId="3101" priority="5599" operator="equal">
      <formula>"seeker"</formula>
    </cfRule>
    <cfRule type="cellIs" dxfId="3100" priority="5600" operator="equal">
      <formula>"neutral"</formula>
    </cfRule>
    <cfRule type="cellIs" dxfId="3099" priority="5601" operator="equal">
      <formula>"rogue"</formula>
    </cfRule>
    <cfRule type="cellIs" dxfId="3098" priority="5602" operator="equal">
      <formula>"Guardian"</formula>
    </cfRule>
    <cfRule type="cellIs" dxfId="3097" priority="5603" operator="equal">
      <formula>"Survivor"</formula>
    </cfRule>
    <cfRule type="cellIs" dxfId="3096" priority="5604" operator="equal">
      <formula>"Mystic"</formula>
    </cfRule>
  </conditionalFormatting>
  <conditionalFormatting sqref="AM252">
    <cfRule type="cellIs" dxfId="3095" priority="5593" operator="equal">
      <formula>"seeker"</formula>
    </cfRule>
    <cfRule type="cellIs" dxfId="3094" priority="5594" operator="equal">
      <formula>"neutral"</formula>
    </cfRule>
    <cfRule type="cellIs" dxfId="3093" priority="5595" operator="equal">
      <formula>"rogue"</formula>
    </cfRule>
    <cfRule type="cellIs" dxfId="3092" priority="5596" operator="equal">
      <formula>"Guardian"</formula>
    </cfRule>
    <cfRule type="cellIs" dxfId="3091" priority="5597" operator="equal">
      <formula>"Survivor"</formula>
    </cfRule>
    <cfRule type="cellIs" dxfId="3090" priority="5598" operator="equal">
      <formula>"Mystic"</formula>
    </cfRule>
  </conditionalFormatting>
  <conditionalFormatting sqref="AM383:AM387">
    <cfRule type="cellIs" dxfId="3089" priority="5587" operator="equal">
      <formula>"Seeker"</formula>
    </cfRule>
    <cfRule type="cellIs" dxfId="3088" priority="5588" operator="equal">
      <formula>"Neutral"</formula>
    </cfRule>
    <cfRule type="cellIs" dxfId="3087" priority="5589" operator="equal">
      <formula>"Rogue"</formula>
    </cfRule>
    <cfRule type="cellIs" dxfId="3086" priority="5590" operator="equal">
      <formula>"Guardian"</formula>
    </cfRule>
    <cfRule type="cellIs" dxfId="3085" priority="5591" operator="equal">
      <formula>"Survivor"</formula>
    </cfRule>
    <cfRule type="cellIs" dxfId="3084" priority="5592" operator="equal">
      <formula>"Mystic"</formula>
    </cfRule>
  </conditionalFormatting>
  <conditionalFormatting sqref="K383:K387">
    <cfRule type="cellIs" dxfId="3083" priority="5581" operator="equal">
      <formula>"seeker"</formula>
    </cfRule>
    <cfRule type="cellIs" dxfId="3082" priority="5582" operator="equal">
      <formula>"neutral"</formula>
    </cfRule>
    <cfRule type="cellIs" dxfId="3081" priority="5583" operator="equal">
      <formula>"rogue"</formula>
    </cfRule>
    <cfRule type="cellIs" dxfId="3080" priority="5584" operator="equal">
      <formula>"Guardian"</formula>
    </cfRule>
    <cfRule type="cellIs" dxfId="3079" priority="5585" operator="equal">
      <formula>"Survivor"</formula>
    </cfRule>
    <cfRule type="cellIs" dxfId="3078" priority="5586" operator="equal">
      <formula>"Mystic"</formula>
    </cfRule>
  </conditionalFormatting>
  <conditionalFormatting sqref="AM233">
    <cfRule type="cellIs" dxfId="3077" priority="5575" operator="equal">
      <formula>"Seeker"</formula>
    </cfRule>
    <cfRule type="cellIs" dxfId="3076" priority="5576" operator="equal">
      <formula>"Neutral"</formula>
    </cfRule>
    <cfRule type="cellIs" dxfId="3075" priority="5577" operator="equal">
      <formula>"Rogue"</formula>
    </cfRule>
    <cfRule type="cellIs" dxfId="3074" priority="5578" operator="equal">
      <formula>"Guardian"</formula>
    </cfRule>
    <cfRule type="cellIs" dxfId="3073" priority="5579" operator="equal">
      <formula>"Survivor"</formula>
    </cfRule>
    <cfRule type="cellIs" dxfId="3072" priority="5580" operator="equal">
      <formula>"Mystic"</formula>
    </cfRule>
  </conditionalFormatting>
  <conditionalFormatting sqref="K233">
    <cfRule type="cellIs" dxfId="3071" priority="5569" operator="equal">
      <formula>"seeker"</formula>
    </cfRule>
    <cfRule type="cellIs" dxfId="3070" priority="5570" operator="equal">
      <formula>"neutral"</formula>
    </cfRule>
    <cfRule type="cellIs" dxfId="3069" priority="5571" operator="equal">
      <formula>"rogue"</formula>
    </cfRule>
    <cfRule type="cellIs" dxfId="3068" priority="5572" operator="equal">
      <formula>"Guardian"</formula>
    </cfRule>
    <cfRule type="cellIs" dxfId="3067" priority="5573" operator="equal">
      <formula>"Survivor"</formula>
    </cfRule>
    <cfRule type="cellIs" dxfId="3066" priority="5574" operator="equal">
      <formula>"Mystic"</formula>
    </cfRule>
  </conditionalFormatting>
  <conditionalFormatting sqref="K388:K429 AM388:AM429">
    <cfRule type="cellIs" dxfId="3065" priority="5563" operator="equal">
      <formula>"seeker"</formula>
    </cfRule>
    <cfRule type="cellIs" dxfId="3064" priority="5564" operator="equal">
      <formula>"neutral"</formula>
    </cfRule>
    <cfRule type="cellIs" dxfId="3063" priority="5565" operator="equal">
      <formula>"rogue"</formula>
    </cfRule>
    <cfRule type="cellIs" dxfId="3062" priority="5566" operator="equal">
      <formula>"Guardian"</formula>
    </cfRule>
    <cfRule type="cellIs" dxfId="3061" priority="5567" operator="equal">
      <formula>"Survivor"</formula>
    </cfRule>
    <cfRule type="cellIs" dxfId="3060" priority="5568" operator="equal">
      <formula>"Mystic"</formula>
    </cfRule>
  </conditionalFormatting>
  <conditionalFormatting sqref="K430:K466 AM430:AM442 AM450:AM466">
    <cfRule type="cellIs" dxfId="3059" priority="5557" operator="equal">
      <formula>"seeker"</formula>
    </cfRule>
    <cfRule type="cellIs" dxfId="3058" priority="5558" operator="equal">
      <formula>"neutral"</formula>
    </cfRule>
    <cfRule type="cellIs" dxfId="3057" priority="5559" operator="equal">
      <formula>"rogue"</formula>
    </cfRule>
    <cfRule type="cellIs" dxfId="3056" priority="5560" operator="equal">
      <formula>"Guardian"</formula>
    </cfRule>
    <cfRule type="cellIs" dxfId="3055" priority="5561" operator="equal">
      <formula>"Survivor"</formula>
    </cfRule>
    <cfRule type="cellIs" dxfId="3054" priority="5562" operator="equal">
      <formula>"Mystic"</formula>
    </cfRule>
  </conditionalFormatting>
  <conditionalFormatting sqref="AM443:AM449">
    <cfRule type="cellIs" dxfId="3053" priority="5551" operator="equal">
      <formula>"seeker"</formula>
    </cfRule>
    <cfRule type="cellIs" dxfId="3052" priority="5552" operator="equal">
      <formula>"neutral"</formula>
    </cfRule>
    <cfRule type="cellIs" dxfId="3051" priority="5553" operator="equal">
      <formula>"rogue"</formula>
    </cfRule>
    <cfRule type="cellIs" dxfId="3050" priority="5554" operator="equal">
      <formula>"Guardian"</formula>
    </cfRule>
    <cfRule type="cellIs" dxfId="3049" priority="5555" operator="equal">
      <formula>"Survivor"</formula>
    </cfRule>
    <cfRule type="cellIs" dxfId="3048" priority="5556" operator="equal">
      <formula>"Mystic"</formula>
    </cfRule>
  </conditionalFormatting>
  <conditionalFormatting sqref="AL737">
    <cfRule type="cellIs" dxfId="3047" priority="5515" operator="equal">
      <formula>"Seeker"</formula>
    </cfRule>
    <cfRule type="cellIs" dxfId="3046" priority="5516" operator="equal">
      <formula>"Neutral"</formula>
    </cfRule>
    <cfRule type="cellIs" dxfId="3045" priority="5517" operator="equal">
      <formula>"Rogue"</formula>
    </cfRule>
    <cfRule type="cellIs" dxfId="3044" priority="5518" operator="equal">
      <formula>"Guardian"</formula>
    </cfRule>
    <cfRule type="cellIs" dxfId="3043" priority="5519" operator="equal">
      <formula>"Survivor"</formula>
    </cfRule>
    <cfRule type="cellIs" dxfId="3042" priority="5520" operator="equal">
      <formula>"Mystic"</formula>
    </cfRule>
  </conditionalFormatting>
  <conditionalFormatting sqref="AL733 AL738:AL746 AL767:AL773">
    <cfRule type="cellIs" dxfId="3041" priority="5545" operator="equal">
      <formula>"Seeker"</formula>
    </cfRule>
    <cfRule type="cellIs" dxfId="3040" priority="5546" operator="equal">
      <formula>"Neutral"</formula>
    </cfRule>
    <cfRule type="cellIs" dxfId="3039" priority="5547" operator="equal">
      <formula>"Rogue"</formula>
    </cfRule>
    <cfRule type="cellIs" dxfId="3038" priority="5548" operator="equal">
      <formula>"Guardian"</formula>
    </cfRule>
    <cfRule type="cellIs" dxfId="3037" priority="5549" operator="equal">
      <formula>"Survivor"</formula>
    </cfRule>
    <cfRule type="cellIs" dxfId="3036" priority="5550" operator="equal">
      <formula>"Mystic"</formula>
    </cfRule>
  </conditionalFormatting>
  <conditionalFormatting sqref="K733:K773">
    <cfRule type="cellIs" dxfId="3035" priority="5539" operator="equal">
      <formula>"seeker"</formula>
    </cfRule>
    <cfRule type="cellIs" dxfId="3034" priority="5540" operator="equal">
      <formula>"neutral"</formula>
    </cfRule>
    <cfRule type="cellIs" dxfId="3033" priority="5541" operator="equal">
      <formula>"rogue"</formula>
    </cfRule>
    <cfRule type="cellIs" dxfId="3032" priority="5542" operator="equal">
      <formula>"Guardian"</formula>
    </cfRule>
    <cfRule type="cellIs" dxfId="3031" priority="5543" operator="equal">
      <formula>"Survivor"</formula>
    </cfRule>
    <cfRule type="cellIs" dxfId="3030" priority="5544" operator="equal">
      <formula>"Mystic"</formula>
    </cfRule>
  </conditionalFormatting>
  <conditionalFormatting sqref="AL734">
    <cfRule type="cellIs" dxfId="3029" priority="5533" operator="equal">
      <formula>"Seeker"</formula>
    </cfRule>
    <cfRule type="cellIs" dxfId="3028" priority="5534" operator="equal">
      <formula>"Neutral"</formula>
    </cfRule>
    <cfRule type="cellIs" dxfId="3027" priority="5535" operator="equal">
      <formula>"Rogue"</formula>
    </cfRule>
    <cfRule type="cellIs" dxfId="3026" priority="5536" operator="equal">
      <formula>"Guardian"</formula>
    </cfRule>
    <cfRule type="cellIs" dxfId="3025" priority="5537" operator="equal">
      <formula>"Survivor"</formula>
    </cfRule>
    <cfRule type="cellIs" dxfId="3024" priority="5538" operator="equal">
      <formula>"Mystic"</formula>
    </cfRule>
  </conditionalFormatting>
  <conditionalFormatting sqref="AL735">
    <cfRule type="cellIs" dxfId="3023" priority="5527" operator="equal">
      <formula>"Seeker"</formula>
    </cfRule>
    <cfRule type="cellIs" dxfId="3022" priority="5528" operator="equal">
      <formula>"Neutral"</formula>
    </cfRule>
    <cfRule type="cellIs" dxfId="3021" priority="5529" operator="equal">
      <formula>"Rogue"</formula>
    </cfRule>
    <cfRule type="cellIs" dxfId="3020" priority="5530" operator="equal">
      <formula>"Guardian"</formula>
    </cfRule>
    <cfRule type="cellIs" dxfId="3019" priority="5531" operator="equal">
      <formula>"Survivor"</formula>
    </cfRule>
    <cfRule type="cellIs" dxfId="3018" priority="5532" operator="equal">
      <formula>"Mystic"</formula>
    </cfRule>
  </conditionalFormatting>
  <conditionalFormatting sqref="AL736">
    <cfRule type="cellIs" dxfId="3017" priority="5521" operator="equal">
      <formula>"Seeker"</formula>
    </cfRule>
    <cfRule type="cellIs" dxfId="3016" priority="5522" operator="equal">
      <formula>"Neutral"</formula>
    </cfRule>
    <cfRule type="cellIs" dxfId="3015" priority="5523" operator="equal">
      <formula>"Rogue"</formula>
    </cfRule>
    <cfRule type="cellIs" dxfId="3014" priority="5524" operator="equal">
      <formula>"Guardian"</formula>
    </cfRule>
    <cfRule type="cellIs" dxfId="3013" priority="5525" operator="equal">
      <formula>"Survivor"</formula>
    </cfRule>
    <cfRule type="cellIs" dxfId="3012" priority="5526" operator="equal">
      <formula>"Mystic"</formula>
    </cfRule>
  </conditionalFormatting>
  <conditionalFormatting sqref="AM727:AM731">
    <cfRule type="cellIs" dxfId="3011" priority="5509" operator="equal">
      <formula>"Seeker"</formula>
    </cfRule>
    <cfRule type="cellIs" dxfId="3010" priority="5510" operator="equal">
      <formula>"Neutral"</formula>
    </cfRule>
    <cfRule type="cellIs" dxfId="3009" priority="5511" operator="equal">
      <formula>"Rogue"</formula>
    </cfRule>
    <cfRule type="cellIs" dxfId="3008" priority="5512" operator="equal">
      <formula>"Guardian"</formula>
    </cfRule>
    <cfRule type="cellIs" dxfId="3007" priority="5513" operator="equal">
      <formula>"Survivor"</formula>
    </cfRule>
    <cfRule type="cellIs" dxfId="3006" priority="5514" operator="equal">
      <formula>"Mystic"</formula>
    </cfRule>
  </conditionalFormatting>
  <conditionalFormatting sqref="K727:K731">
    <cfRule type="cellIs" dxfId="3005" priority="5503" operator="equal">
      <formula>"seeker"</formula>
    </cfRule>
    <cfRule type="cellIs" dxfId="3004" priority="5504" operator="equal">
      <formula>"neutral"</formula>
    </cfRule>
    <cfRule type="cellIs" dxfId="3003" priority="5505" operator="equal">
      <formula>"rogue"</formula>
    </cfRule>
    <cfRule type="cellIs" dxfId="3002" priority="5506" operator="equal">
      <formula>"Guardian"</formula>
    </cfRule>
    <cfRule type="cellIs" dxfId="3001" priority="5507" operator="equal">
      <formula>"Survivor"</formula>
    </cfRule>
    <cfRule type="cellIs" dxfId="3000" priority="5508" operator="equal">
      <formula>"Mystic"</formula>
    </cfRule>
  </conditionalFormatting>
  <conditionalFormatting sqref="AM732">
    <cfRule type="cellIs" dxfId="2999" priority="5497" operator="equal">
      <formula>"Seeker"</formula>
    </cfRule>
    <cfRule type="cellIs" dxfId="2998" priority="5498" operator="equal">
      <formula>"Neutral"</formula>
    </cfRule>
    <cfRule type="cellIs" dxfId="2997" priority="5499" operator="equal">
      <formula>"Rogue"</formula>
    </cfRule>
    <cfRule type="cellIs" dxfId="2996" priority="5500" operator="equal">
      <formula>"Guardian"</formula>
    </cfRule>
    <cfRule type="cellIs" dxfId="2995" priority="5501" operator="equal">
      <formula>"Survivor"</formula>
    </cfRule>
    <cfRule type="cellIs" dxfId="2994" priority="5502" operator="equal">
      <formula>"Mystic"</formula>
    </cfRule>
  </conditionalFormatting>
  <conditionalFormatting sqref="K732">
    <cfRule type="cellIs" dxfId="2993" priority="5491" operator="equal">
      <formula>"seeker"</formula>
    </cfRule>
    <cfRule type="cellIs" dxfId="2992" priority="5492" operator="equal">
      <formula>"neutral"</formula>
    </cfRule>
    <cfRule type="cellIs" dxfId="2991" priority="5493" operator="equal">
      <formula>"rogue"</formula>
    </cfRule>
    <cfRule type="cellIs" dxfId="2990" priority="5494" operator="equal">
      <formula>"Guardian"</formula>
    </cfRule>
    <cfRule type="cellIs" dxfId="2989" priority="5495" operator="equal">
      <formula>"Survivor"</formula>
    </cfRule>
    <cfRule type="cellIs" dxfId="2988" priority="5496" operator="equal">
      <formula>"Mystic"</formula>
    </cfRule>
  </conditionalFormatting>
  <conditionalFormatting sqref="AL863 AL865:AL881 AL855:AL860">
    <cfRule type="cellIs" dxfId="2987" priority="5485" operator="equal">
      <formula>"Seeker"</formula>
    </cfRule>
    <cfRule type="cellIs" dxfId="2986" priority="5486" operator="equal">
      <formula>"Neutral"</formula>
    </cfRule>
    <cfRule type="cellIs" dxfId="2985" priority="5487" operator="equal">
      <formula>"Rogue"</formula>
    </cfRule>
    <cfRule type="cellIs" dxfId="2984" priority="5488" operator="equal">
      <formula>"Guardian"</formula>
    </cfRule>
    <cfRule type="cellIs" dxfId="2983" priority="5489" operator="equal">
      <formula>"Survivor"</formula>
    </cfRule>
    <cfRule type="cellIs" dxfId="2982" priority="5490" operator="equal">
      <formula>"Mystic"</formula>
    </cfRule>
  </conditionalFormatting>
  <conditionalFormatting sqref="K865:K883 K889 K855:K863">
    <cfRule type="cellIs" dxfId="2981" priority="5479" operator="equal">
      <formula>"seeker"</formula>
    </cfRule>
    <cfRule type="cellIs" dxfId="2980" priority="5480" operator="equal">
      <formula>"neutral"</formula>
    </cfRule>
    <cfRule type="cellIs" dxfId="2979" priority="5481" operator="equal">
      <formula>"rogue"</formula>
    </cfRule>
    <cfRule type="cellIs" dxfId="2978" priority="5482" operator="equal">
      <formula>"Guardian"</formula>
    </cfRule>
    <cfRule type="cellIs" dxfId="2977" priority="5483" operator="equal">
      <formula>"Survivor"</formula>
    </cfRule>
    <cfRule type="cellIs" dxfId="2976" priority="5484" operator="equal">
      <formula>"Mystic"</formula>
    </cfRule>
  </conditionalFormatting>
  <conditionalFormatting sqref="AM861:AM862">
    <cfRule type="cellIs" dxfId="2975" priority="5473" operator="equal">
      <formula>"seeker"</formula>
    </cfRule>
    <cfRule type="cellIs" dxfId="2974" priority="5474" operator="equal">
      <formula>"neutral"</formula>
    </cfRule>
    <cfRule type="cellIs" dxfId="2973" priority="5475" operator="equal">
      <formula>"rogue"</formula>
    </cfRule>
    <cfRule type="cellIs" dxfId="2972" priority="5476" operator="equal">
      <formula>"Guardian"</formula>
    </cfRule>
    <cfRule type="cellIs" dxfId="2971" priority="5477" operator="equal">
      <formula>"Survivor"</formula>
    </cfRule>
    <cfRule type="cellIs" dxfId="2970" priority="5478" operator="equal">
      <formula>"Mystic"</formula>
    </cfRule>
  </conditionalFormatting>
  <conditionalFormatting sqref="AL864">
    <cfRule type="cellIs" dxfId="2969" priority="5467" operator="equal">
      <formula>"Seeker"</formula>
    </cfRule>
    <cfRule type="cellIs" dxfId="2968" priority="5468" operator="equal">
      <formula>"Neutral"</formula>
    </cfRule>
    <cfRule type="cellIs" dxfId="2967" priority="5469" operator="equal">
      <formula>"Rogue"</formula>
    </cfRule>
    <cfRule type="cellIs" dxfId="2966" priority="5470" operator="equal">
      <formula>"Guardian"</formula>
    </cfRule>
    <cfRule type="cellIs" dxfId="2965" priority="5471" operator="equal">
      <formula>"Survivor"</formula>
    </cfRule>
    <cfRule type="cellIs" dxfId="2964" priority="5472" operator="equal">
      <formula>"Mystic"</formula>
    </cfRule>
  </conditionalFormatting>
  <conditionalFormatting sqref="K864">
    <cfRule type="cellIs" dxfId="2963" priority="5461" operator="equal">
      <formula>"seeker"</formula>
    </cfRule>
    <cfRule type="cellIs" dxfId="2962" priority="5462" operator="equal">
      <formula>"neutral"</formula>
    </cfRule>
    <cfRule type="cellIs" dxfId="2961" priority="5463" operator="equal">
      <formula>"rogue"</formula>
    </cfRule>
    <cfRule type="cellIs" dxfId="2960" priority="5464" operator="equal">
      <formula>"Guardian"</formula>
    </cfRule>
    <cfRule type="cellIs" dxfId="2959" priority="5465" operator="equal">
      <formula>"Survivor"</formula>
    </cfRule>
    <cfRule type="cellIs" dxfId="2958" priority="5466" operator="equal">
      <formula>"Mystic"</formula>
    </cfRule>
  </conditionalFormatting>
  <conditionalFormatting sqref="AM882:AM883 AM889">
    <cfRule type="cellIs" dxfId="2957" priority="5455" operator="equal">
      <formula>"seeker"</formula>
    </cfRule>
    <cfRule type="cellIs" dxfId="2956" priority="5456" operator="equal">
      <formula>"neutral"</formula>
    </cfRule>
    <cfRule type="cellIs" dxfId="2955" priority="5457" operator="equal">
      <formula>"rogue"</formula>
    </cfRule>
    <cfRule type="cellIs" dxfId="2954" priority="5458" operator="equal">
      <formula>"Guardian"</formula>
    </cfRule>
    <cfRule type="cellIs" dxfId="2953" priority="5459" operator="equal">
      <formula>"Survivor"</formula>
    </cfRule>
    <cfRule type="cellIs" dxfId="2952" priority="5460" operator="equal">
      <formula>"Mystic"</formula>
    </cfRule>
  </conditionalFormatting>
  <conditionalFormatting sqref="K884">
    <cfRule type="cellIs" dxfId="2951" priority="5449" operator="equal">
      <formula>"seeker"</formula>
    </cfRule>
    <cfRule type="cellIs" dxfId="2950" priority="5450" operator="equal">
      <formula>"neutral"</formula>
    </cfRule>
    <cfRule type="cellIs" dxfId="2949" priority="5451" operator="equal">
      <formula>"rogue"</formula>
    </cfRule>
    <cfRule type="cellIs" dxfId="2948" priority="5452" operator="equal">
      <formula>"Guardian"</formula>
    </cfRule>
    <cfRule type="cellIs" dxfId="2947" priority="5453" operator="equal">
      <formula>"Survivor"</formula>
    </cfRule>
    <cfRule type="cellIs" dxfId="2946" priority="5454" operator="equal">
      <formula>"Mystic"</formula>
    </cfRule>
  </conditionalFormatting>
  <conditionalFormatting sqref="AM884">
    <cfRule type="cellIs" dxfId="2945" priority="5443" operator="equal">
      <formula>"seeker"</formula>
    </cfRule>
    <cfRule type="cellIs" dxfId="2944" priority="5444" operator="equal">
      <formula>"neutral"</formula>
    </cfRule>
    <cfRule type="cellIs" dxfId="2943" priority="5445" operator="equal">
      <formula>"rogue"</formula>
    </cfRule>
    <cfRule type="cellIs" dxfId="2942" priority="5446" operator="equal">
      <formula>"Guardian"</formula>
    </cfRule>
    <cfRule type="cellIs" dxfId="2941" priority="5447" operator="equal">
      <formula>"Survivor"</formula>
    </cfRule>
    <cfRule type="cellIs" dxfId="2940" priority="5448" operator="equal">
      <formula>"Mystic"</formula>
    </cfRule>
  </conditionalFormatting>
  <conditionalFormatting sqref="K885">
    <cfRule type="cellIs" dxfId="2939" priority="5437" operator="equal">
      <formula>"seeker"</formula>
    </cfRule>
    <cfRule type="cellIs" dxfId="2938" priority="5438" operator="equal">
      <formula>"neutral"</formula>
    </cfRule>
    <cfRule type="cellIs" dxfId="2937" priority="5439" operator="equal">
      <formula>"rogue"</formula>
    </cfRule>
    <cfRule type="cellIs" dxfId="2936" priority="5440" operator="equal">
      <formula>"Guardian"</formula>
    </cfRule>
    <cfRule type="cellIs" dxfId="2935" priority="5441" operator="equal">
      <formula>"Survivor"</formula>
    </cfRule>
    <cfRule type="cellIs" dxfId="2934" priority="5442" operator="equal">
      <formula>"Mystic"</formula>
    </cfRule>
  </conditionalFormatting>
  <conditionalFormatting sqref="AM885">
    <cfRule type="cellIs" dxfId="2933" priority="5431" operator="equal">
      <formula>"seeker"</formula>
    </cfRule>
    <cfRule type="cellIs" dxfId="2932" priority="5432" operator="equal">
      <formula>"neutral"</formula>
    </cfRule>
    <cfRule type="cellIs" dxfId="2931" priority="5433" operator="equal">
      <formula>"rogue"</formula>
    </cfRule>
    <cfRule type="cellIs" dxfId="2930" priority="5434" operator="equal">
      <formula>"Guardian"</formula>
    </cfRule>
    <cfRule type="cellIs" dxfId="2929" priority="5435" operator="equal">
      <formula>"Survivor"</formula>
    </cfRule>
    <cfRule type="cellIs" dxfId="2928" priority="5436" operator="equal">
      <formula>"Mystic"</formula>
    </cfRule>
  </conditionalFormatting>
  <conditionalFormatting sqref="K886">
    <cfRule type="cellIs" dxfId="2927" priority="5425" operator="equal">
      <formula>"seeker"</formula>
    </cfRule>
    <cfRule type="cellIs" dxfId="2926" priority="5426" operator="equal">
      <formula>"neutral"</formula>
    </cfRule>
    <cfRule type="cellIs" dxfId="2925" priority="5427" operator="equal">
      <formula>"rogue"</formula>
    </cfRule>
    <cfRule type="cellIs" dxfId="2924" priority="5428" operator="equal">
      <formula>"Guardian"</formula>
    </cfRule>
    <cfRule type="cellIs" dxfId="2923" priority="5429" operator="equal">
      <formula>"Survivor"</formula>
    </cfRule>
    <cfRule type="cellIs" dxfId="2922" priority="5430" operator="equal">
      <formula>"Mystic"</formula>
    </cfRule>
  </conditionalFormatting>
  <conditionalFormatting sqref="AM886">
    <cfRule type="cellIs" dxfId="2921" priority="5419" operator="equal">
      <formula>"seeker"</formula>
    </cfRule>
    <cfRule type="cellIs" dxfId="2920" priority="5420" operator="equal">
      <formula>"neutral"</formula>
    </cfRule>
    <cfRule type="cellIs" dxfId="2919" priority="5421" operator="equal">
      <formula>"rogue"</formula>
    </cfRule>
    <cfRule type="cellIs" dxfId="2918" priority="5422" operator="equal">
      <formula>"Guardian"</formula>
    </cfRule>
    <cfRule type="cellIs" dxfId="2917" priority="5423" operator="equal">
      <formula>"Survivor"</formula>
    </cfRule>
    <cfRule type="cellIs" dxfId="2916" priority="5424" operator="equal">
      <formula>"Mystic"</formula>
    </cfRule>
  </conditionalFormatting>
  <conditionalFormatting sqref="K887">
    <cfRule type="cellIs" dxfId="2915" priority="5413" operator="equal">
      <formula>"seeker"</formula>
    </cfRule>
    <cfRule type="cellIs" dxfId="2914" priority="5414" operator="equal">
      <formula>"neutral"</formula>
    </cfRule>
    <cfRule type="cellIs" dxfId="2913" priority="5415" operator="equal">
      <formula>"rogue"</formula>
    </cfRule>
    <cfRule type="cellIs" dxfId="2912" priority="5416" operator="equal">
      <formula>"Guardian"</formula>
    </cfRule>
    <cfRule type="cellIs" dxfId="2911" priority="5417" operator="equal">
      <formula>"Survivor"</formula>
    </cfRule>
    <cfRule type="cellIs" dxfId="2910" priority="5418" operator="equal">
      <formula>"Mystic"</formula>
    </cfRule>
  </conditionalFormatting>
  <conditionalFormatting sqref="AM887">
    <cfRule type="cellIs" dxfId="2909" priority="5407" operator="equal">
      <formula>"seeker"</formula>
    </cfRule>
    <cfRule type="cellIs" dxfId="2908" priority="5408" operator="equal">
      <formula>"neutral"</formula>
    </cfRule>
    <cfRule type="cellIs" dxfId="2907" priority="5409" operator="equal">
      <formula>"rogue"</formula>
    </cfRule>
    <cfRule type="cellIs" dxfId="2906" priority="5410" operator="equal">
      <formula>"Guardian"</formula>
    </cfRule>
    <cfRule type="cellIs" dxfId="2905" priority="5411" operator="equal">
      <formula>"Survivor"</formula>
    </cfRule>
    <cfRule type="cellIs" dxfId="2904" priority="5412" operator="equal">
      <formula>"Mystic"</formula>
    </cfRule>
  </conditionalFormatting>
  <conditionalFormatting sqref="K888">
    <cfRule type="cellIs" dxfId="2903" priority="5401" operator="equal">
      <formula>"seeker"</formula>
    </cfRule>
    <cfRule type="cellIs" dxfId="2902" priority="5402" operator="equal">
      <formula>"neutral"</formula>
    </cfRule>
    <cfRule type="cellIs" dxfId="2901" priority="5403" operator="equal">
      <formula>"rogue"</formula>
    </cfRule>
    <cfRule type="cellIs" dxfId="2900" priority="5404" operator="equal">
      <formula>"Guardian"</formula>
    </cfRule>
    <cfRule type="cellIs" dxfId="2899" priority="5405" operator="equal">
      <formula>"Survivor"</formula>
    </cfRule>
    <cfRule type="cellIs" dxfId="2898" priority="5406" operator="equal">
      <formula>"Mystic"</formula>
    </cfRule>
  </conditionalFormatting>
  <conditionalFormatting sqref="AM888">
    <cfRule type="cellIs" dxfId="2897" priority="5395" operator="equal">
      <formula>"seeker"</formula>
    </cfRule>
    <cfRule type="cellIs" dxfId="2896" priority="5396" operator="equal">
      <formula>"neutral"</formula>
    </cfRule>
    <cfRule type="cellIs" dxfId="2895" priority="5397" operator="equal">
      <formula>"rogue"</formula>
    </cfRule>
    <cfRule type="cellIs" dxfId="2894" priority="5398" operator="equal">
      <formula>"Guardian"</formula>
    </cfRule>
    <cfRule type="cellIs" dxfId="2893" priority="5399" operator="equal">
      <formula>"Survivor"</formula>
    </cfRule>
    <cfRule type="cellIs" dxfId="2892" priority="5400" operator="equal">
      <formula>"Mystic"</formula>
    </cfRule>
  </conditionalFormatting>
  <conditionalFormatting sqref="AM955:AM960 K933:K957 K960 K963 AM963 AM965:AM977 K965:K977">
    <cfRule type="cellIs" dxfId="2891" priority="5353" operator="equal">
      <formula>"seeker"</formula>
    </cfRule>
    <cfRule type="cellIs" dxfId="2890" priority="5354" operator="equal">
      <formula>"neutral"</formula>
    </cfRule>
    <cfRule type="cellIs" dxfId="2889" priority="5355" operator="equal">
      <formula>"rogue"</formula>
    </cfRule>
    <cfRule type="cellIs" dxfId="2888" priority="5356" operator="equal">
      <formula>"Guardian"</formula>
    </cfRule>
    <cfRule type="cellIs" dxfId="2887" priority="5357" operator="equal">
      <formula>"Survivor"</formula>
    </cfRule>
    <cfRule type="cellIs" dxfId="2886" priority="5358" operator="equal">
      <formula>"Mystic"</formula>
    </cfRule>
  </conditionalFormatting>
  <conditionalFormatting sqref="AL937">
    <cfRule type="cellIs" dxfId="2885" priority="5323" operator="equal">
      <formula>"Seeker"</formula>
    </cfRule>
    <cfRule type="cellIs" dxfId="2884" priority="5324" operator="equal">
      <formula>"Neutral"</formula>
    </cfRule>
    <cfRule type="cellIs" dxfId="2883" priority="5325" operator="equal">
      <formula>"Rogue"</formula>
    </cfRule>
    <cfRule type="cellIs" dxfId="2882" priority="5326" operator="equal">
      <formula>"Guardian"</formula>
    </cfRule>
    <cfRule type="cellIs" dxfId="2881" priority="5327" operator="equal">
      <formula>"Survivor"</formula>
    </cfRule>
    <cfRule type="cellIs" dxfId="2880" priority="5328" operator="equal">
      <formula>"Mystic"</formula>
    </cfRule>
  </conditionalFormatting>
  <conditionalFormatting sqref="AL933 AL938:AL944">
    <cfRule type="cellIs" dxfId="2879" priority="5347" operator="equal">
      <formula>"Seeker"</formula>
    </cfRule>
    <cfRule type="cellIs" dxfId="2878" priority="5348" operator="equal">
      <formula>"Neutral"</formula>
    </cfRule>
    <cfRule type="cellIs" dxfId="2877" priority="5349" operator="equal">
      <formula>"Rogue"</formula>
    </cfRule>
    <cfRule type="cellIs" dxfId="2876" priority="5350" operator="equal">
      <formula>"Guardian"</formula>
    </cfRule>
    <cfRule type="cellIs" dxfId="2875" priority="5351" operator="equal">
      <formula>"Survivor"</formula>
    </cfRule>
    <cfRule type="cellIs" dxfId="2874" priority="5352" operator="equal">
      <formula>"Mystic"</formula>
    </cfRule>
  </conditionalFormatting>
  <conditionalFormatting sqref="AL934">
    <cfRule type="cellIs" dxfId="2873" priority="5341" operator="equal">
      <formula>"Seeker"</formula>
    </cfRule>
    <cfRule type="cellIs" dxfId="2872" priority="5342" operator="equal">
      <formula>"Neutral"</formula>
    </cfRule>
    <cfRule type="cellIs" dxfId="2871" priority="5343" operator="equal">
      <formula>"Rogue"</formula>
    </cfRule>
    <cfRule type="cellIs" dxfId="2870" priority="5344" operator="equal">
      <formula>"Guardian"</formula>
    </cfRule>
    <cfRule type="cellIs" dxfId="2869" priority="5345" operator="equal">
      <formula>"Survivor"</formula>
    </cfRule>
    <cfRule type="cellIs" dxfId="2868" priority="5346" operator="equal">
      <formula>"Mystic"</formula>
    </cfRule>
  </conditionalFormatting>
  <conditionalFormatting sqref="AL935">
    <cfRule type="cellIs" dxfId="2867" priority="5335" operator="equal">
      <formula>"Seeker"</formula>
    </cfRule>
    <cfRule type="cellIs" dxfId="2866" priority="5336" operator="equal">
      <formula>"Neutral"</formula>
    </cfRule>
    <cfRule type="cellIs" dxfId="2865" priority="5337" operator="equal">
      <formula>"Rogue"</formula>
    </cfRule>
    <cfRule type="cellIs" dxfId="2864" priority="5338" operator="equal">
      <formula>"Guardian"</formula>
    </cfRule>
    <cfRule type="cellIs" dxfId="2863" priority="5339" operator="equal">
      <formula>"Survivor"</formula>
    </cfRule>
    <cfRule type="cellIs" dxfId="2862" priority="5340" operator="equal">
      <formula>"Mystic"</formula>
    </cfRule>
  </conditionalFormatting>
  <conditionalFormatting sqref="AL936">
    <cfRule type="cellIs" dxfId="2861" priority="5329" operator="equal">
      <formula>"Seeker"</formula>
    </cfRule>
    <cfRule type="cellIs" dxfId="2860" priority="5330" operator="equal">
      <formula>"Neutral"</formula>
    </cfRule>
    <cfRule type="cellIs" dxfId="2859" priority="5331" operator="equal">
      <formula>"Rogue"</formula>
    </cfRule>
    <cfRule type="cellIs" dxfId="2858" priority="5332" operator="equal">
      <formula>"Guardian"</formula>
    </cfRule>
    <cfRule type="cellIs" dxfId="2857" priority="5333" operator="equal">
      <formula>"Survivor"</formula>
    </cfRule>
    <cfRule type="cellIs" dxfId="2856" priority="5334" operator="equal">
      <formula>"Mystic"</formula>
    </cfRule>
  </conditionalFormatting>
  <conditionalFormatting sqref="K958">
    <cfRule type="cellIs" dxfId="2855" priority="5317" operator="equal">
      <formula>"seeker"</formula>
    </cfRule>
    <cfRule type="cellIs" dxfId="2854" priority="5318" operator="equal">
      <formula>"neutral"</formula>
    </cfRule>
    <cfRule type="cellIs" dxfId="2853" priority="5319" operator="equal">
      <formula>"rogue"</formula>
    </cfRule>
    <cfRule type="cellIs" dxfId="2852" priority="5320" operator="equal">
      <formula>"Guardian"</formula>
    </cfRule>
    <cfRule type="cellIs" dxfId="2851" priority="5321" operator="equal">
      <formula>"Survivor"</formula>
    </cfRule>
    <cfRule type="cellIs" dxfId="2850" priority="5322" operator="equal">
      <formula>"Mystic"</formula>
    </cfRule>
  </conditionalFormatting>
  <conditionalFormatting sqref="K959">
    <cfRule type="cellIs" dxfId="2849" priority="5311" operator="equal">
      <formula>"seeker"</formula>
    </cfRule>
    <cfRule type="cellIs" dxfId="2848" priority="5312" operator="equal">
      <formula>"neutral"</formula>
    </cfRule>
    <cfRule type="cellIs" dxfId="2847" priority="5313" operator="equal">
      <formula>"rogue"</formula>
    </cfRule>
    <cfRule type="cellIs" dxfId="2846" priority="5314" operator="equal">
      <formula>"Guardian"</formula>
    </cfRule>
    <cfRule type="cellIs" dxfId="2845" priority="5315" operator="equal">
      <formula>"Survivor"</formula>
    </cfRule>
    <cfRule type="cellIs" dxfId="2844" priority="5316" operator="equal">
      <formula>"Mystic"</formula>
    </cfRule>
  </conditionalFormatting>
  <conditionalFormatting sqref="AM961 K961">
    <cfRule type="cellIs" dxfId="2843" priority="5305" operator="equal">
      <formula>"seeker"</formula>
    </cfRule>
    <cfRule type="cellIs" dxfId="2842" priority="5306" operator="equal">
      <formula>"neutral"</formula>
    </cfRule>
    <cfRule type="cellIs" dxfId="2841" priority="5307" operator="equal">
      <formula>"rogue"</formula>
    </cfRule>
    <cfRule type="cellIs" dxfId="2840" priority="5308" operator="equal">
      <formula>"Guardian"</formula>
    </cfRule>
    <cfRule type="cellIs" dxfId="2839" priority="5309" operator="equal">
      <formula>"Survivor"</formula>
    </cfRule>
    <cfRule type="cellIs" dxfId="2838" priority="5310" operator="equal">
      <formula>"Mystic"</formula>
    </cfRule>
  </conditionalFormatting>
  <conditionalFormatting sqref="AM962 K962">
    <cfRule type="cellIs" dxfId="2837" priority="5299" operator="equal">
      <formula>"seeker"</formula>
    </cfRule>
    <cfRule type="cellIs" dxfId="2836" priority="5300" operator="equal">
      <formula>"neutral"</formula>
    </cfRule>
    <cfRule type="cellIs" dxfId="2835" priority="5301" operator="equal">
      <formula>"rogue"</formula>
    </cfRule>
    <cfRule type="cellIs" dxfId="2834" priority="5302" operator="equal">
      <formula>"Guardian"</formula>
    </cfRule>
    <cfRule type="cellIs" dxfId="2833" priority="5303" operator="equal">
      <formula>"Survivor"</formula>
    </cfRule>
    <cfRule type="cellIs" dxfId="2832" priority="5304" operator="equal">
      <formula>"Mystic"</formula>
    </cfRule>
  </conditionalFormatting>
  <conditionalFormatting sqref="K964 AM964">
    <cfRule type="cellIs" dxfId="2831" priority="5293" operator="equal">
      <formula>"seeker"</formula>
    </cfRule>
    <cfRule type="cellIs" dxfId="2830" priority="5294" operator="equal">
      <formula>"neutral"</formula>
    </cfRule>
    <cfRule type="cellIs" dxfId="2829" priority="5295" operator="equal">
      <formula>"rogue"</formula>
    </cfRule>
    <cfRule type="cellIs" dxfId="2828" priority="5296" operator="equal">
      <formula>"Guardian"</formula>
    </cfRule>
    <cfRule type="cellIs" dxfId="2827" priority="5297" operator="equal">
      <formula>"Survivor"</formula>
    </cfRule>
    <cfRule type="cellIs" dxfId="2826" priority="5298" operator="equal">
      <formula>"Mystic"</formula>
    </cfRule>
  </conditionalFormatting>
  <conditionalFormatting sqref="K1009">
    <cfRule type="cellIs" dxfId="2825" priority="3907" operator="equal">
      <formula>"seeker"</formula>
    </cfRule>
    <cfRule type="cellIs" dxfId="2824" priority="3908" operator="equal">
      <formula>"neutral"</formula>
    </cfRule>
    <cfRule type="cellIs" dxfId="2823" priority="3909" operator="equal">
      <formula>"rogue"</formula>
    </cfRule>
    <cfRule type="cellIs" dxfId="2822" priority="3910" operator="equal">
      <formula>"Guardian"</formula>
    </cfRule>
    <cfRule type="cellIs" dxfId="2821" priority="3911" operator="equal">
      <formula>"Survivor"</formula>
    </cfRule>
    <cfRule type="cellIs" dxfId="2820" priority="3912" operator="equal">
      <formula>"Mystic"</formula>
    </cfRule>
  </conditionalFormatting>
  <conditionalFormatting sqref="K1020">
    <cfRule type="cellIs" dxfId="2819" priority="3895" operator="equal">
      <formula>"seeker"</formula>
    </cfRule>
    <cfRule type="cellIs" dxfId="2818" priority="3896" operator="equal">
      <formula>"neutral"</formula>
    </cfRule>
    <cfRule type="cellIs" dxfId="2817" priority="3897" operator="equal">
      <formula>"rogue"</formula>
    </cfRule>
    <cfRule type="cellIs" dxfId="2816" priority="3898" operator="equal">
      <formula>"Guardian"</formula>
    </cfRule>
    <cfRule type="cellIs" dxfId="2815" priority="3899" operator="equal">
      <formula>"Survivor"</formula>
    </cfRule>
    <cfRule type="cellIs" dxfId="2814" priority="3900" operator="equal">
      <formula>"Mystic"</formula>
    </cfRule>
  </conditionalFormatting>
  <conditionalFormatting sqref="AL1090:AL1096">
    <cfRule type="cellIs" dxfId="2813" priority="3871" operator="equal">
      <formula>"Seeker"</formula>
    </cfRule>
    <cfRule type="cellIs" dxfId="2812" priority="3872" operator="equal">
      <formula>"Neutral"</formula>
    </cfRule>
    <cfRule type="cellIs" dxfId="2811" priority="3873" operator="equal">
      <formula>"Rogue"</formula>
    </cfRule>
    <cfRule type="cellIs" dxfId="2810" priority="3874" operator="equal">
      <formula>"Guardian"</formula>
    </cfRule>
    <cfRule type="cellIs" dxfId="2809" priority="3875" operator="equal">
      <formula>"Survivor"</formula>
    </cfRule>
    <cfRule type="cellIs" dxfId="2808" priority="3876" operator="equal">
      <formula>"Mystic"</formula>
    </cfRule>
  </conditionalFormatting>
  <conditionalFormatting sqref="K1085">
    <cfRule type="cellIs" dxfId="2807" priority="3859" operator="equal">
      <formula>"Seeker"</formula>
    </cfRule>
    <cfRule type="cellIs" dxfId="2806" priority="3860" operator="equal">
      <formula>"Neutral"</formula>
    </cfRule>
    <cfRule type="cellIs" dxfId="2805" priority="3861" operator="equal">
      <formula>"Rogue"</formula>
    </cfRule>
    <cfRule type="cellIs" dxfId="2804" priority="3862" operator="equal">
      <formula>"Guardian"</formula>
    </cfRule>
    <cfRule type="cellIs" dxfId="2803" priority="3863" operator="equal">
      <formula>"Survivor"</formula>
    </cfRule>
    <cfRule type="cellIs" dxfId="2802" priority="3864" operator="equal">
      <formula>"Mystic"</formula>
    </cfRule>
  </conditionalFormatting>
  <conditionalFormatting sqref="K1107">
    <cfRule type="cellIs" dxfId="2801" priority="3817" operator="equal">
      <formula>"seeker"</formula>
    </cfRule>
    <cfRule type="cellIs" dxfId="2800" priority="3818" operator="equal">
      <formula>"neutral"</formula>
    </cfRule>
    <cfRule type="cellIs" dxfId="2799" priority="3819" operator="equal">
      <formula>"rogue"</formula>
    </cfRule>
    <cfRule type="cellIs" dxfId="2798" priority="3820" operator="equal">
      <formula>"Guardian"</formula>
    </cfRule>
    <cfRule type="cellIs" dxfId="2797" priority="3821" operator="equal">
      <formula>"Survivor"</formula>
    </cfRule>
    <cfRule type="cellIs" dxfId="2796" priority="3822" operator="equal">
      <formula>"Mystic"</formula>
    </cfRule>
  </conditionalFormatting>
  <conditionalFormatting sqref="AM1107">
    <cfRule type="cellIs" dxfId="2795" priority="3811" operator="equal">
      <formula>"seeker"</formula>
    </cfRule>
    <cfRule type="cellIs" dxfId="2794" priority="3812" operator="equal">
      <formula>"neutral"</formula>
    </cfRule>
    <cfRule type="cellIs" dxfId="2793" priority="3813" operator="equal">
      <formula>"rogue"</formula>
    </cfRule>
    <cfRule type="cellIs" dxfId="2792" priority="3814" operator="equal">
      <formula>"Guardian"</formula>
    </cfRule>
    <cfRule type="cellIs" dxfId="2791" priority="3815" operator="equal">
      <formula>"Survivor"</formula>
    </cfRule>
    <cfRule type="cellIs" dxfId="2790" priority="3816" operator="equal">
      <formula>"Mystic"</formula>
    </cfRule>
  </conditionalFormatting>
  <conditionalFormatting sqref="AM1108">
    <cfRule type="cellIs" dxfId="2789" priority="3799" operator="equal">
      <formula>"seeker"</formula>
    </cfRule>
    <cfRule type="cellIs" dxfId="2788" priority="3800" operator="equal">
      <formula>"neutral"</formula>
    </cfRule>
    <cfRule type="cellIs" dxfId="2787" priority="3801" operator="equal">
      <formula>"rogue"</formula>
    </cfRule>
    <cfRule type="cellIs" dxfId="2786" priority="3802" operator="equal">
      <formula>"Guardian"</formula>
    </cfRule>
    <cfRule type="cellIs" dxfId="2785" priority="3803" operator="equal">
      <formula>"Survivor"</formula>
    </cfRule>
    <cfRule type="cellIs" dxfId="2784" priority="3804" operator="equal">
      <formula>"Mystic"</formula>
    </cfRule>
  </conditionalFormatting>
  <conditionalFormatting sqref="K1109">
    <cfRule type="cellIs" dxfId="2783" priority="3793" operator="equal">
      <formula>"seeker"</formula>
    </cfRule>
    <cfRule type="cellIs" dxfId="2782" priority="3794" operator="equal">
      <formula>"neutral"</formula>
    </cfRule>
    <cfRule type="cellIs" dxfId="2781" priority="3795" operator="equal">
      <formula>"rogue"</formula>
    </cfRule>
    <cfRule type="cellIs" dxfId="2780" priority="3796" operator="equal">
      <formula>"Guardian"</formula>
    </cfRule>
    <cfRule type="cellIs" dxfId="2779" priority="3797" operator="equal">
      <formula>"Survivor"</formula>
    </cfRule>
    <cfRule type="cellIs" dxfId="2778" priority="3798" operator="equal">
      <formula>"Mystic"</formula>
    </cfRule>
  </conditionalFormatting>
  <conditionalFormatting sqref="AM1162">
    <cfRule type="cellIs" dxfId="2777" priority="3649" operator="equal">
      <formula>"seeker"</formula>
    </cfRule>
    <cfRule type="cellIs" dxfId="2776" priority="3650" operator="equal">
      <formula>"neutral"</formula>
    </cfRule>
    <cfRule type="cellIs" dxfId="2775" priority="3651" operator="equal">
      <formula>"rogue"</formula>
    </cfRule>
    <cfRule type="cellIs" dxfId="2774" priority="3652" operator="equal">
      <formula>"Guardian"</formula>
    </cfRule>
    <cfRule type="cellIs" dxfId="2773" priority="3653" operator="equal">
      <formula>"Survivor"</formula>
    </cfRule>
    <cfRule type="cellIs" dxfId="2772" priority="3654" operator="equal">
      <formula>"Mystic"</formula>
    </cfRule>
  </conditionalFormatting>
  <conditionalFormatting sqref="K1110">
    <cfRule type="cellIs" dxfId="2771" priority="3787" operator="equal">
      <formula>"seeker"</formula>
    </cfRule>
    <cfRule type="cellIs" dxfId="2770" priority="3788" operator="equal">
      <formula>"neutral"</formula>
    </cfRule>
    <cfRule type="cellIs" dxfId="2769" priority="3789" operator="equal">
      <formula>"rogue"</formula>
    </cfRule>
    <cfRule type="cellIs" dxfId="2768" priority="3790" operator="equal">
      <formula>"Guardian"</formula>
    </cfRule>
    <cfRule type="cellIs" dxfId="2767" priority="3791" operator="equal">
      <formula>"Survivor"</formula>
    </cfRule>
    <cfRule type="cellIs" dxfId="2766" priority="3792" operator="equal">
      <formula>"Mystic"</formula>
    </cfRule>
  </conditionalFormatting>
  <conditionalFormatting sqref="K1118">
    <cfRule type="cellIs" dxfId="2765" priority="3769" operator="equal">
      <formula>"seeker"</formula>
    </cfRule>
    <cfRule type="cellIs" dxfId="2764" priority="3770" operator="equal">
      <formula>"neutral"</formula>
    </cfRule>
    <cfRule type="cellIs" dxfId="2763" priority="3771" operator="equal">
      <formula>"rogue"</formula>
    </cfRule>
    <cfRule type="cellIs" dxfId="2762" priority="3772" operator="equal">
      <formula>"Guardian"</formula>
    </cfRule>
    <cfRule type="cellIs" dxfId="2761" priority="3773" operator="equal">
      <formula>"Survivor"</formula>
    </cfRule>
    <cfRule type="cellIs" dxfId="2760" priority="3774" operator="equal">
      <formula>"Mystic"</formula>
    </cfRule>
  </conditionalFormatting>
  <conditionalFormatting sqref="K1128">
    <cfRule type="cellIs" dxfId="2759" priority="3763" operator="equal">
      <formula>"seeker"</formula>
    </cfRule>
    <cfRule type="cellIs" dxfId="2758" priority="3764" operator="equal">
      <formula>"neutral"</formula>
    </cfRule>
    <cfRule type="cellIs" dxfId="2757" priority="3765" operator="equal">
      <formula>"rogue"</formula>
    </cfRule>
    <cfRule type="cellIs" dxfId="2756" priority="3766" operator="equal">
      <formula>"Guardian"</formula>
    </cfRule>
    <cfRule type="cellIs" dxfId="2755" priority="3767" operator="equal">
      <formula>"Survivor"</formula>
    </cfRule>
    <cfRule type="cellIs" dxfId="2754" priority="3768" operator="equal">
      <formula>"Mystic"</formula>
    </cfRule>
  </conditionalFormatting>
  <conditionalFormatting sqref="AL1128">
    <cfRule type="cellIs" dxfId="2753" priority="3757" operator="equal">
      <formula>"Seeker"</formula>
    </cfRule>
    <cfRule type="cellIs" dxfId="2752" priority="3758" operator="equal">
      <formula>"Neutral"</formula>
    </cfRule>
    <cfRule type="cellIs" dxfId="2751" priority="3759" operator="equal">
      <formula>"Rogue"</formula>
    </cfRule>
    <cfRule type="cellIs" dxfId="2750" priority="3760" operator="equal">
      <formula>"Guardian"</formula>
    </cfRule>
    <cfRule type="cellIs" dxfId="2749" priority="3761" operator="equal">
      <formula>"Survivor"</formula>
    </cfRule>
    <cfRule type="cellIs" dxfId="2748" priority="3762" operator="equal">
      <formula>"Mystic"</formula>
    </cfRule>
  </conditionalFormatting>
  <conditionalFormatting sqref="AM1104">
    <cfRule type="cellIs" dxfId="2747" priority="3751" operator="equal">
      <formula>"seeker"</formula>
    </cfRule>
    <cfRule type="cellIs" dxfId="2746" priority="3752" operator="equal">
      <formula>"neutral"</formula>
    </cfRule>
    <cfRule type="cellIs" dxfId="2745" priority="3753" operator="equal">
      <formula>"rogue"</formula>
    </cfRule>
    <cfRule type="cellIs" dxfId="2744" priority="3754" operator="equal">
      <formula>"Guardian"</formula>
    </cfRule>
    <cfRule type="cellIs" dxfId="2743" priority="3755" operator="equal">
      <formula>"Survivor"</formula>
    </cfRule>
    <cfRule type="cellIs" dxfId="2742" priority="3756" operator="equal">
      <formula>"Mystic"</formula>
    </cfRule>
  </conditionalFormatting>
  <conditionalFormatting sqref="AL1136:AL1142">
    <cfRule type="cellIs" dxfId="2741" priority="3739" operator="equal">
      <formula>"Seeker"</formula>
    </cfRule>
    <cfRule type="cellIs" dxfId="2740" priority="3740" operator="equal">
      <formula>"Neutral"</formula>
    </cfRule>
    <cfRule type="cellIs" dxfId="2739" priority="3741" operator="equal">
      <formula>"Rogue"</formula>
    </cfRule>
    <cfRule type="cellIs" dxfId="2738" priority="3742" operator="equal">
      <formula>"Guardian"</formula>
    </cfRule>
    <cfRule type="cellIs" dxfId="2737" priority="3743" operator="equal">
      <formula>"Survivor"</formula>
    </cfRule>
    <cfRule type="cellIs" dxfId="2736" priority="3744" operator="equal">
      <formula>"Mystic"</formula>
    </cfRule>
  </conditionalFormatting>
  <conditionalFormatting sqref="K1131">
    <cfRule type="cellIs" dxfId="2735" priority="3727" operator="equal">
      <formula>"Seeker"</formula>
    </cfRule>
    <cfRule type="cellIs" dxfId="2734" priority="3728" operator="equal">
      <formula>"Neutral"</formula>
    </cfRule>
    <cfRule type="cellIs" dxfId="2733" priority="3729" operator="equal">
      <formula>"Rogue"</formula>
    </cfRule>
    <cfRule type="cellIs" dxfId="2732" priority="3730" operator="equal">
      <formula>"Guardian"</formula>
    </cfRule>
    <cfRule type="cellIs" dxfId="2731" priority="3731" operator="equal">
      <formula>"Survivor"</formula>
    </cfRule>
    <cfRule type="cellIs" dxfId="2730" priority="3732" operator="equal">
      <formula>"Mystic"</formula>
    </cfRule>
  </conditionalFormatting>
  <conditionalFormatting sqref="K1153">
    <cfRule type="cellIs" dxfId="2729" priority="3685" operator="equal">
      <formula>"seeker"</formula>
    </cfRule>
    <cfRule type="cellIs" dxfId="2728" priority="3686" operator="equal">
      <formula>"neutral"</formula>
    </cfRule>
    <cfRule type="cellIs" dxfId="2727" priority="3687" operator="equal">
      <formula>"rogue"</formula>
    </cfRule>
    <cfRule type="cellIs" dxfId="2726" priority="3688" operator="equal">
      <formula>"Guardian"</formula>
    </cfRule>
    <cfRule type="cellIs" dxfId="2725" priority="3689" operator="equal">
      <formula>"Survivor"</formula>
    </cfRule>
    <cfRule type="cellIs" dxfId="2724" priority="3690" operator="equal">
      <formula>"Mystic"</formula>
    </cfRule>
  </conditionalFormatting>
  <conditionalFormatting sqref="AM1153">
    <cfRule type="cellIs" dxfId="2723" priority="3679" operator="equal">
      <formula>"seeker"</formula>
    </cfRule>
    <cfRule type="cellIs" dxfId="2722" priority="3680" operator="equal">
      <formula>"neutral"</formula>
    </cfRule>
    <cfRule type="cellIs" dxfId="2721" priority="3681" operator="equal">
      <formula>"rogue"</formula>
    </cfRule>
    <cfRule type="cellIs" dxfId="2720" priority="3682" operator="equal">
      <formula>"Guardian"</formula>
    </cfRule>
    <cfRule type="cellIs" dxfId="2719" priority="3683" operator="equal">
      <formula>"Survivor"</formula>
    </cfRule>
    <cfRule type="cellIs" dxfId="2718" priority="3684" operator="equal">
      <formula>"Mystic"</formula>
    </cfRule>
  </conditionalFormatting>
  <conditionalFormatting sqref="AM1154">
    <cfRule type="cellIs" dxfId="2717" priority="3667" operator="equal">
      <formula>"seeker"</formula>
    </cfRule>
    <cfRule type="cellIs" dxfId="2716" priority="3668" operator="equal">
      <formula>"neutral"</formula>
    </cfRule>
    <cfRule type="cellIs" dxfId="2715" priority="3669" operator="equal">
      <formula>"rogue"</formula>
    </cfRule>
    <cfRule type="cellIs" dxfId="2714" priority="3670" operator="equal">
      <formula>"Guardian"</formula>
    </cfRule>
    <cfRule type="cellIs" dxfId="2713" priority="3671" operator="equal">
      <formula>"Survivor"</formula>
    </cfRule>
    <cfRule type="cellIs" dxfId="2712" priority="3672" operator="equal">
      <formula>"Mystic"</formula>
    </cfRule>
  </conditionalFormatting>
  <conditionalFormatting sqref="K1155">
    <cfRule type="cellIs" dxfId="2711" priority="3661" operator="equal">
      <formula>"seeker"</formula>
    </cfRule>
    <cfRule type="cellIs" dxfId="2710" priority="3662" operator="equal">
      <formula>"neutral"</formula>
    </cfRule>
    <cfRule type="cellIs" dxfId="2709" priority="3663" operator="equal">
      <formula>"rogue"</formula>
    </cfRule>
    <cfRule type="cellIs" dxfId="2708" priority="3664" operator="equal">
      <formula>"Guardian"</formula>
    </cfRule>
    <cfRule type="cellIs" dxfId="2707" priority="3665" operator="equal">
      <formula>"Survivor"</formula>
    </cfRule>
    <cfRule type="cellIs" dxfId="2706" priority="3666" operator="equal">
      <formula>"Mystic"</formula>
    </cfRule>
  </conditionalFormatting>
  <conditionalFormatting sqref="AM1081:AM1084">
    <cfRule type="cellIs" dxfId="2705" priority="4039" operator="equal">
      <formula>"seeker"</formula>
    </cfRule>
    <cfRule type="cellIs" dxfId="2704" priority="4040" operator="equal">
      <formula>"neutral"</formula>
    </cfRule>
    <cfRule type="cellIs" dxfId="2703" priority="4041" operator="equal">
      <formula>"rogue"</formula>
    </cfRule>
    <cfRule type="cellIs" dxfId="2702" priority="4042" operator="equal">
      <formula>"Guardian"</formula>
    </cfRule>
    <cfRule type="cellIs" dxfId="2701" priority="4043" operator="equal">
      <formula>"Survivor"</formula>
    </cfRule>
    <cfRule type="cellIs" dxfId="2700" priority="4044" operator="equal">
      <formula>"Mystic"</formula>
    </cfRule>
  </conditionalFormatting>
  <conditionalFormatting sqref="AM1080">
    <cfRule type="cellIs" dxfId="2699" priority="4033" operator="equal">
      <formula>"Seeker"</formula>
    </cfRule>
    <cfRule type="cellIs" dxfId="2698" priority="4034" operator="equal">
      <formula>"Neutral"</formula>
    </cfRule>
    <cfRule type="cellIs" dxfId="2697" priority="4035" operator="equal">
      <formula>"Rogue"</formula>
    </cfRule>
    <cfRule type="cellIs" dxfId="2696" priority="4036" operator="equal">
      <formula>"Guardian"</formula>
    </cfRule>
    <cfRule type="cellIs" dxfId="2695" priority="4037" operator="equal">
      <formula>"Survivor"</formula>
    </cfRule>
    <cfRule type="cellIs" dxfId="2694" priority="4038" operator="equal">
      <formula>"Mystic"</formula>
    </cfRule>
  </conditionalFormatting>
  <conditionalFormatting sqref="K1081:K1084">
    <cfRule type="cellIs" dxfId="2693" priority="4027" operator="equal">
      <formula>"seeker"</formula>
    </cfRule>
    <cfRule type="cellIs" dxfId="2692" priority="4028" operator="equal">
      <formula>"neutral"</formula>
    </cfRule>
    <cfRule type="cellIs" dxfId="2691" priority="4029" operator="equal">
      <formula>"rogue"</formula>
    </cfRule>
    <cfRule type="cellIs" dxfId="2690" priority="4030" operator="equal">
      <formula>"Guardian"</formula>
    </cfRule>
    <cfRule type="cellIs" dxfId="2689" priority="4031" operator="equal">
      <formula>"Survivor"</formula>
    </cfRule>
    <cfRule type="cellIs" dxfId="2688" priority="4032" operator="equal">
      <formula>"Mystic"</formula>
    </cfRule>
  </conditionalFormatting>
  <conditionalFormatting sqref="K1080">
    <cfRule type="cellIs" dxfId="2687" priority="4021" operator="equal">
      <formula>"Seeker"</formula>
    </cfRule>
    <cfRule type="cellIs" dxfId="2686" priority="4022" operator="equal">
      <formula>"Neutral"</formula>
    </cfRule>
    <cfRule type="cellIs" dxfId="2685" priority="4023" operator="equal">
      <formula>"Rogue"</formula>
    </cfRule>
    <cfRule type="cellIs" dxfId="2684" priority="4024" operator="equal">
      <formula>"Guardian"</formula>
    </cfRule>
    <cfRule type="cellIs" dxfId="2683" priority="4025" operator="equal">
      <formula>"Survivor"</formula>
    </cfRule>
    <cfRule type="cellIs" dxfId="2682" priority="4026" operator="equal">
      <formula>"Mystic"</formula>
    </cfRule>
  </conditionalFormatting>
  <conditionalFormatting sqref="AM1000:AM1005 AM1008 AM1010:AM1019 K979:K993 K998:K1002 K1010:K1019 AM1021:AM1030 K1021:K1030 AM1032:AM1079 K1032:K1079">
    <cfRule type="cellIs" dxfId="2681" priority="4015" operator="equal">
      <formula>"seeker"</formula>
    </cfRule>
    <cfRule type="cellIs" dxfId="2680" priority="4016" operator="equal">
      <formula>"neutral"</formula>
    </cfRule>
    <cfRule type="cellIs" dxfId="2679" priority="4017" operator="equal">
      <formula>"rogue"</formula>
    </cfRule>
    <cfRule type="cellIs" dxfId="2678" priority="4018" operator="equal">
      <formula>"Guardian"</formula>
    </cfRule>
    <cfRule type="cellIs" dxfId="2677" priority="4019" operator="equal">
      <formula>"Survivor"</formula>
    </cfRule>
    <cfRule type="cellIs" dxfId="2676" priority="4020" operator="equal">
      <formula>"Mystic"</formula>
    </cfRule>
  </conditionalFormatting>
  <conditionalFormatting sqref="AL983:AL989">
    <cfRule type="cellIs" dxfId="2675" priority="4009" operator="equal">
      <formula>"Seeker"</formula>
    </cfRule>
    <cfRule type="cellIs" dxfId="2674" priority="4010" operator="equal">
      <formula>"Neutral"</formula>
    </cfRule>
    <cfRule type="cellIs" dxfId="2673" priority="4011" operator="equal">
      <formula>"Rogue"</formula>
    </cfRule>
    <cfRule type="cellIs" dxfId="2672" priority="4012" operator="equal">
      <formula>"Guardian"</formula>
    </cfRule>
    <cfRule type="cellIs" dxfId="2671" priority="4013" operator="equal">
      <formula>"Survivor"</formula>
    </cfRule>
    <cfRule type="cellIs" dxfId="2670" priority="4014" operator="equal">
      <formula>"Mystic"</formula>
    </cfRule>
  </conditionalFormatting>
  <conditionalFormatting sqref="AM1006">
    <cfRule type="cellIs" dxfId="2669" priority="4003" operator="equal">
      <formula>"seeker"</formula>
    </cfRule>
    <cfRule type="cellIs" dxfId="2668" priority="4004" operator="equal">
      <formula>"neutral"</formula>
    </cfRule>
    <cfRule type="cellIs" dxfId="2667" priority="4005" operator="equal">
      <formula>"rogue"</formula>
    </cfRule>
    <cfRule type="cellIs" dxfId="2666" priority="4006" operator="equal">
      <formula>"Guardian"</formula>
    </cfRule>
    <cfRule type="cellIs" dxfId="2665" priority="4007" operator="equal">
      <formula>"Survivor"</formula>
    </cfRule>
    <cfRule type="cellIs" dxfId="2664" priority="4008" operator="equal">
      <formula>"Mystic"</formula>
    </cfRule>
  </conditionalFormatting>
  <conditionalFormatting sqref="AM1007">
    <cfRule type="cellIs" dxfId="2663" priority="3997" operator="equal">
      <formula>"seeker"</formula>
    </cfRule>
    <cfRule type="cellIs" dxfId="2662" priority="3998" operator="equal">
      <formula>"neutral"</formula>
    </cfRule>
    <cfRule type="cellIs" dxfId="2661" priority="3999" operator="equal">
      <formula>"rogue"</formula>
    </cfRule>
    <cfRule type="cellIs" dxfId="2660" priority="4000" operator="equal">
      <formula>"Guardian"</formula>
    </cfRule>
    <cfRule type="cellIs" dxfId="2659" priority="4001" operator="equal">
      <formula>"Survivor"</formula>
    </cfRule>
    <cfRule type="cellIs" dxfId="2658" priority="4002" operator="equal">
      <formula>"Mystic"</formula>
    </cfRule>
  </conditionalFormatting>
  <conditionalFormatting sqref="AM1009">
    <cfRule type="cellIs" dxfId="2657" priority="3991" operator="equal">
      <formula>"seeker"</formula>
    </cfRule>
    <cfRule type="cellIs" dxfId="2656" priority="3992" operator="equal">
      <formula>"neutral"</formula>
    </cfRule>
    <cfRule type="cellIs" dxfId="2655" priority="3993" operator="equal">
      <formula>"rogue"</formula>
    </cfRule>
    <cfRule type="cellIs" dxfId="2654" priority="3994" operator="equal">
      <formula>"Guardian"</formula>
    </cfRule>
    <cfRule type="cellIs" dxfId="2653" priority="3995" operator="equal">
      <formula>"Survivor"</formula>
    </cfRule>
    <cfRule type="cellIs" dxfId="2652" priority="3996" operator="equal">
      <formula>"Mystic"</formula>
    </cfRule>
  </conditionalFormatting>
  <conditionalFormatting sqref="K978">
    <cfRule type="cellIs" dxfId="2651" priority="3985" operator="equal">
      <formula>"Seeker"</formula>
    </cfRule>
    <cfRule type="cellIs" dxfId="2650" priority="3986" operator="equal">
      <formula>"Neutral"</formula>
    </cfRule>
    <cfRule type="cellIs" dxfId="2649" priority="3987" operator="equal">
      <formula>"Rogue"</formula>
    </cfRule>
    <cfRule type="cellIs" dxfId="2648" priority="3988" operator="equal">
      <formula>"Guardian"</formula>
    </cfRule>
    <cfRule type="cellIs" dxfId="2647" priority="3989" operator="equal">
      <formula>"Survivor"</formula>
    </cfRule>
    <cfRule type="cellIs" dxfId="2646" priority="3990" operator="equal">
      <formula>"Mystic"</formula>
    </cfRule>
  </conditionalFormatting>
  <conditionalFormatting sqref="AM979:AM982">
    <cfRule type="cellIs" dxfId="2645" priority="3979" operator="equal">
      <formula>"seeker"</formula>
    </cfRule>
    <cfRule type="cellIs" dxfId="2644" priority="3980" operator="equal">
      <formula>"neutral"</formula>
    </cfRule>
    <cfRule type="cellIs" dxfId="2643" priority="3981" operator="equal">
      <formula>"rogue"</formula>
    </cfRule>
    <cfRule type="cellIs" dxfId="2642" priority="3982" operator="equal">
      <formula>"Guardian"</formula>
    </cfRule>
    <cfRule type="cellIs" dxfId="2641" priority="3983" operator="equal">
      <formula>"Survivor"</formula>
    </cfRule>
    <cfRule type="cellIs" dxfId="2640" priority="3984" operator="equal">
      <formula>"Mystic"</formula>
    </cfRule>
  </conditionalFormatting>
  <conditionalFormatting sqref="AM978">
    <cfRule type="cellIs" dxfId="2639" priority="3973" operator="equal">
      <formula>"Seeker"</formula>
    </cfRule>
    <cfRule type="cellIs" dxfId="2638" priority="3974" operator="equal">
      <formula>"Neutral"</formula>
    </cfRule>
    <cfRule type="cellIs" dxfId="2637" priority="3975" operator="equal">
      <formula>"Rogue"</formula>
    </cfRule>
    <cfRule type="cellIs" dxfId="2636" priority="3976" operator="equal">
      <formula>"Guardian"</formula>
    </cfRule>
    <cfRule type="cellIs" dxfId="2635" priority="3977" operator="equal">
      <formula>"Survivor"</formula>
    </cfRule>
    <cfRule type="cellIs" dxfId="2634" priority="3978" operator="equal">
      <formula>"Mystic"</formula>
    </cfRule>
  </conditionalFormatting>
  <conditionalFormatting sqref="K994">
    <cfRule type="cellIs" dxfId="2633" priority="3967" operator="equal">
      <formula>"Seeker"</formula>
    </cfRule>
    <cfRule type="cellIs" dxfId="2632" priority="3968" operator="equal">
      <formula>"Neutral"</formula>
    </cfRule>
    <cfRule type="cellIs" dxfId="2631" priority="3969" operator="equal">
      <formula>"Rogue"</formula>
    </cfRule>
    <cfRule type="cellIs" dxfId="2630" priority="3970" operator="equal">
      <formula>"Guardian"</formula>
    </cfRule>
    <cfRule type="cellIs" dxfId="2629" priority="3971" operator="equal">
      <formula>"Survivor"</formula>
    </cfRule>
    <cfRule type="cellIs" dxfId="2628" priority="3972" operator="equal">
      <formula>"Mystic"</formula>
    </cfRule>
  </conditionalFormatting>
  <conditionalFormatting sqref="K995">
    <cfRule type="cellIs" dxfId="2627" priority="3961" operator="equal">
      <formula>"Seeker"</formula>
    </cfRule>
    <cfRule type="cellIs" dxfId="2626" priority="3962" operator="equal">
      <formula>"Neutral"</formula>
    </cfRule>
    <cfRule type="cellIs" dxfId="2625" priority="3963" operator="equal">
      <formula>"Rogue"</formula>
    </cfRule>
    <cfRule type="cellIs" dxfId="2624" priority="3964" operator="equal">
      <formula>"Guardian"</formula>
    </cfRule>
    <cfRule type="cellIs" dxfId="2623" priority="3965" operator="equal">
      <formula>"Survivor"</formula>
    </cfRule>
    <cfRule type="cellIs" dxfId="2622" priority="3966" operator="equal">
      <formula>"Mystic"</formula>
    </cfRule>
  </conditionalFormatting>
  <conditionalFormatting sqref="K996">
    <cfRule type="cellIs" dxfId="2621" priority="3955" operator="equal">
      <formula>"Seeker"</formula>
    </cfRule>
    <cfRule type="cellIs" dxfId="2620" priority="3956" operator="equal">
      <formula>"Neutral"</formula>
    </cfRule>
    <cfRule type="cellIs" dxfId="2619" priority="3957" operator="equal">
      <formula>"Rogue"</formula>
    </cfRule>
    <cfRule type="cellIs" dxfId="2618" priority="3958" operator="equal">
      <formula>"Guardian"</formula>
    </cfRule>
    <cfRule type="cellIs" dxfId="2617" priority="3959" operator="equal">
      <formula>"Survivor"</formula>
    </cfRule>
    <cfRule type="cellIs" dxfId="2616" priority="3960" operator="equal">
      <formula>"Mystic"</formula>
    </cfRule>
  </conditionalFormatting>
  <conditionalFormatting sqref="K997">
    <cfRule type="cellIs" dxfId="2615" priority="3949" operator="equal">
      <formula>"Seeker"</formula>
    </cfRule>
    <cfRule type="cellIs" dxfId="2614" priority="3950" operator="equal">
      <formula>"Neutral"</formula>
    </cfRule>
    <cfRule type="cellIs" dxfId="2613" priority="3951" operator="equal">
      <formula>"Rogue"</formula>
    </cfRule>
    <cfRule type="cellIs" dxfId="2612" priority="3952" operator="equal">
      <formula>"Guardian"</formula>
    </cfRule>
    <cfRule type="cellIs" dxfId="2611" priority="3953" operator="equal">
      <formula>"Survivor"</formula>
    </cfRule>
    <cfRule type="cellIs" dxfId="2610" priority="3954" operator="equal">
      <formula>"Mystic"</formula>
    </cfRule>
  </conditionalFormatting>
  <conditionalFormatting sqref="K1003">
    <cfRule type="cellIs" dxfId="2609" priority="3943" operator="equal">
      <formula>"seeker"</formula>
    </cfRule>
    <cfRule type="cellIs" dxfId="2608" priority="3944" operator="equal">
      <formula>"neutral"</formula>
    </cfRule>
    <cfRule type="cellIs" dxfId="2607" priority="3945" operator="equal">
      <formula>"rogue"</formula>
    </cfRule>
    <cfRule type="cellIs" dxfId="2606" priority="3946" operator="equal">
      <formula>"Guardian"</formula>
    </cfRule>
    <cfRule type="cellIs" dxfId="2605" priority="3947" operator="equal">
      <formula>"Survivor"</formula>
    </cfRule>
    <cfRule type="cellIs" dxfId="2604" priority="3948" operator="equal">
      <formula>"Mystic"</formula>
    </cfRule>
  </conditionalFormatting>
  <conditionalFormatting sqref="K1004">
    <cfRule type="cellIs" dxfId="2603" priority="3937" operator="equal">
      <formula>"seeker"</formula>
    </cfRule>
    <cfRule type="cellIs" dxfId="2602" priority="3938" operator="equal">
      <formula>"neutral"</formula>
    </cfRule>
    <cfRule type="cellIs" dxfId="2601" priority="3939" operator="equal">
      <formula>"rogue"</formula>
    </cfRule>
    <cfRule type="cellIs" dxfId="2600" priority="3940" operator="equal">
      <formula>"Guardian"</formula>
    </cfRule>
    <cfRule type="cellIs" dxfId="2599" priority="3941" operator="equal">
      <formula>"Survivor"</formula>
    </cfRule>
    <cfRule type="cellIs" dxfId="2598" priority="3942" operator="equal">
      <formula>"Mystic"</formula>
    </cfRule>
  </conditionalFormatting>
  <conditionalFormatting sqref="K1005">
    <cfRule type="cellIs" dxfId="2597" priority="3931" operator="equal">
      <formula>"seeker"</formula>
    </cfRule>
    <cfRule type="cellIs" dxfId="2596" priority="3932" operator="equal">
      <formula>"neutral"</formula>
    </cfRule>
    <cfRule type="cellIs" dxfId="2595" priority="3933" operator="equal">
      <formula>"rogue"</formula>
    </cfRule>
    <cfRule type="cellIs" dxfId="2594" priority="3934" operator="equal">
      <formula>"Guardian"</formula>
    </cfRule>
    <cfRule type="cellIs" dxfId="2593" priority="3935" operator="equal">
      <formula>"Survivor"</formula>
    </cfRule>
    <cfRule type="cellIs" dxfId="2592" priority="3936" operator="equal">
      <formula>"Mystic"</formula>
    </cfRule>
  </conditionalFormatting>
  <conditionalFormatting sqref="K1006">
    <cfRule type="cellIs" dxfId="2591" priority="3925" operator="equal">
      <formula>"seeker"</formula>
    </cfRule>
    <cfRule type="cellIs" dxfId="2590" priority="3926" operator="equal">
      <formula>"neutral"</formula>
    </cfRule>
    <cfRule type="cellIs" dxfId="2589" priority="3927" operator="equal">
      <formula>"rogue"</formula>
    </cfRule>
    <cfRule type="cellIs" dxfId="2588" priority="3928" operator="equal">
      <formula>"Guardian"</formula>
    </cfRule>
    <cfRule type="cellIs" dxfId="2587" priority="3929" operator="equal">
      <formula>"Survivor"</formula>
    </cfRule>
    <cfRule type="cellIs" dxfId="2586" priority="3930" operator="equal">
      <formula>"Mystic"</formula>
    </cfRule>
  </conditionalFormatting>
  <conditionalFormatting sqref="K1007">
    <cfRule type="cellIs" dxfId="2585" priority="3919" operator="equal">
      <formula>"seeker"</formula>
    </cfRule>
    <cfRule type="cellIs" dxfId="2584" priority="3920" operator="equal">
      <formula>"neutral"</formula>
    </cfRule>
    <cfRule type="cellIs" dxfId="2583" priority="3921" operator="equal">
      <formula>"rogue"</formula>
    </cfRule>
    <cfRule type="cellIs" dxfId="2582" priority="3922" operator="equal">
      <formula>"Guardian"</formula>
    </cfRule>
    <cfRule type="cellIs" dxfId="2581" priority="3923" operator="equal">
      <formula>"Survivor"</formula>
    </cfRule>
    <cfRule type="cellIs" dxfId="2580" priority="3924" operator="equal">
      <formula>"Mystic"</formula>
    </cfRule>
  </conditionalFormatting>
  <conditionalFormatting sqref="K1008">
    <cfRule type="cellIs" dxfId="2579" priority="3913" operator="equal">
      <formula>"seeker"</formula>
    </cfRule>
    <cfRule type="cellIs" dxfId="2578" priority="3914" operator="equal">
      <formula>"neutral"</formula>
    </cfRule>
    <cfRule type="cellIs" dxfId="2577" priority="3915" operator="equal">
      <formula>"rogue"</formula>
    </cfRule>
    <cfRule type="cellIs" dxfId="2576" priority="3916" operator="equal">
      <formula>"Guardian"</formula>
    </cfRule>
    <cfRule type="cellIs" dxfId="2575" priority="3917" operator="equal">
      <formula>"Survivor"</formula>
    </cfRule>
    <cfRule type="cellIs" dxfId="2574" priority="3918" operator="equal">
      <formula>"Mystic"</formula>
    </cfRule>
  </conditionalFormatting>
  <conditionalFormatting sqref="AL1020">
    <cfRule type="cellIs" dxfId="2573" priority="3901" operator="equal">
      <formula>"Seeker"</formula>
    </cfRule>
    <cfRule type="cellIs" dxfId="2572" priority="3902" operator="equal">
      <formula>"Neutral"</formula>
    </cfRule>
    <cfRule type="cellIs" dxfId="2571" priority="3903" operator="equal">
      <formula>"Rogue"</formula>
    </cfRule>
    <cfRule type="cellIs" dxfId="2570" priority="3904" operator="equal">
      <formula>"Guardian"</formula>
    </cfRule>
    <cfRule type="cellIs" dxfId="2569" priority="3905" operator="equal">
      <formula>"Survivor"</formula>
    </cfRule>
    <cfRule type="cellIs" dxfId="2568" priority="3906" operator="equal">
      <formula>"Mystic"</formula>
    </cfRule>
  </conditionalFormatting>
  <conditionalFormatting sqref="K1031">
    <cfRule type="cellIs" dxfId="2567" priority="3889" operator="equal">
      <formula>"seeker"</formula>
    </cfRule>
    <cfRule type="cellIs" dxfId="2566" priority="3890" operator="equal">
      <formula>"neutral"</formula>
    </cfRule>
    <cfRule type="cellIs" dxfId="2565" priority="3891" operator="equal">
      <formula>"rogue"</formula>
    </cfRule>
    <cfRule type="cellIs" dxfId="2564" priority="3892" operator="equal">
      <formula>"Guardian"</formula>
    </cfRule>
    <cfRule type="cellIs" dxfId="2563" priority="3893" operator="equal">
      <formula>"Survivor"</formula>
    </cfRule>
    <cfRule type="cellIs" dxfId="2562" priority="3894" operator="equal">
      <formula>"Mystic"</formula>
    </cfRule>
  </conditionalFormatting>
  <conditionalFormatting sqref="AL1031">
    <cfRule type="cellIs" dxfId="2561" priority="3883" operator="equal">
      <formula>"Seeker"</formula>
    </cfRule>
    <cfRule type="cellIs" dxfId="2560" priority="3884" operator="equal">
      <formula>"Neutral"</formula>
    </cfRule>
    <cfRule type="cellIs" dxfId="2559" priority="3885" operator="equal">
      <formula>"Rogue"</formula>
    </cfRule>
    <cfRule type="cellIs" dxfId="2558" priority="3886" operator="equal">
      <formula>"Guardian"</formula>
    </cfRule>
    <cfRule type="cellIs" dxfId="2557" priority="3887" operator="equal">
      <formula>"Survivor"</formula>
    </cfRule>
    <cfRule type="cellIs" dxfId="2556" priority="3888" operator="equal">
      <formula>"Mystic"</formula>
    </cfRule>
  </conditionalFormatting>
  <conditionalFormatting sqref="AM1129:AM1130 K1129:K1130 K1086:K1099 AM1099 AM1105:AM1106 K1103:K1106 K1111:K1117 AM1111:AM1117 K1119:K1127 AM1119:AM1127">
    <cfRule type="cellIs" dxfId="2555" priority="3877" operator="equal">
      <formula>"seeker"</formula>
    </cfRule>
    <cfRule type="cellIs" dxfId="2554" priority="3878" operator="equal">
      <formula>"neutral"</formula>
    </cfRule>
    <cfRule type="cellIs" dxfId="2553" priority="3879" operator="equal">
      <formula>"rogue"</formula>
    </cfRule>
    <cfRule type="cellIs" dxfId="2552" priority="3880" operator="equal">
      <formula>"Guardian"</formula>
    </cfRule>
    <cfRule type="cellIs" dxfId="2551" priority="3881" operator="equal">
      <formula>"Survivor"</formula>
    </cfRule>
    <cfRule type="cellIs" dxfId="2550" priority="3882" operator="equal">
      <formula>"Mystic"</formula>
    </cfRule>
  </conditionalFormatting>
  <conditionalFormatting sqref="AM1109">
    <cfRule type="cellIs" dxfId="2549" priority="3865" operator="equal">
      <formula>"seeker"</formula>
    </cfRule>
    <cfRule type="cellIs" dxfId="2548" priority="3866" operator="equal">
      <formula>"neutral"</formula>
    </cfRule>
    <cfRule type="cellIs" dxfId="2547" priority="3867" operator="equal">
      <formula>"rogue"</formula>
    </cfRule>
    <cfRule type="cellIs" dxfId="2546" priority="3868" operator="equal">
      <formula>"Guardian"</formula>
    </cfRule>
    <cfRule type="cellIs" dxfId="2545" priority="3869" operator="equal">
      <formula>"Survivor"</formula>
    </cfRule>
    <cfRule type="cellIs" dxfId="2544" priority="3870" operator="equal">
      <formula>"Mystic"</formula>
    </cfRule>
  </conditionalFormatting>
  <conditionalFormatting sqref="AM1086:AM1089">
    <cfRule type="cellIs" dxfId="2543" priority="3853" operator="equal">
      <formula>"seeker"</formula>
    </cfRule>
    <cfRule type="cellIs" dxfId="2542" priority="3854" operator="equal">
      <formula>"neutral"</formula>
    </cfRule>
    <cfRule type="cellIs" dxfId="2541" priority="3855" operator="equal">
      <formula>"rogue"</formula>
    </cfRule>
    <cfRule type="cellIs" dxfId="2540" priority="3856" operator="equal">
      <formula>"Guardian"</formula>
    </cfRule>
    <cfRule type="cellIs" dxfId="2539" priority="3857" operator="equal">
      <formula>"Survivor"</formula>
    </cfRule>
    <cfRule type="cellIs" dxfId="2538" priority="3858" operator="equal">
      <formula>"Mystic"</formula>
    </cfRule>
  </conditionalFormatting>
  <conditionalFormatting sqref="AM1085">
    <cfRule type="cellIs" dxfId="2537" priority="3847" operator="equal">
      <formula>"Seeker"</formula>
    </cfRule>
    <cfRule type="cellIs" dxfId="2536" priority="3848" operator="equal">
      <formula>"Neutral"</formula>
    </cfRule>
    <cfRule type="cellIs" dxfId="2535" priority="3849" operator="equal">
      <formula>"Rogue"</formula>
    </cfRule>
    <cfRule type="cellIs" dxfId="2534" priority="3850" operator="equal">
      <formula>"Guardian"</formula>
    </cfRule>
    <cfRule type="cellIs" dxfId="2533" priority="3851" operator="equal">
      <formula>"Survivor"</formula>
    </cfRule>
    <cfRule type="cellIs" dxfId="2532" priority="3852" operator="equal">
      <formula>"Mystic"</formula>
    </cfRule>
  </conditionalFormatting>
  <conditionalFormatting sqref="K1100">
    <cfRule type="cellIs" dxfId="2531" priority="3841" operator="equal">
      <formula>"Seeker"</formula>
    </cfRule>
    <cfRule type="cellIs" dxfId="2530" priority="3842" operator="equal">
      <formula>"Neutral"</formula>
    </cfRule>
    <cfRule type="cellIs" dxfId="2529" priority="3843" operator="equal">
      <formula>"Rogue"</formula>
    </cfRule>
    <cfRule type="cellIs" dxfId="2528" priority="3844" operator="equal">
      <formula>"Guardian"</formula>
    </cfRule>
    <cfRule type="cellIs" dxfId="2527" priority="3845" operator="equal">
      <formula>"Survivor"</formula>
    </cfRule>
    <cfRule type="cellIs" dxfId="2526" priority="3846" operator="equal">
      <formula>"Mystic"</formula>
    </cfRule>
  </conditionalFormatting>
  <conditionalFormatting sqref="AM1100">
    <cfRule type="cellIs" dxfId="2525" priority="3835" operator="equal">
      <formula>"Seeker"</formula>
    </cfRule>
    <cfRule type="cellIs" dxfId="2524" priority="3836" operator="equal">
      <formula>"Neutral"</formula>
    </cfRule>
    <cfRule type="cellIs" dxfId="2523" priority="3837" operator="equal">
      <formula>"Rogue"</formula>
    </cfRule>
    <cfRule type="cellIs" dxfId="2522" priority="3838" operator="equal">
      <formula>"Guardian"</formula>
    </cfRule>
    <cfRule type="cellIs" dxfId="2521" priority="3839" operator="equal">
      <formula>"Survivor"</formula>
    </cfRule>
    <cfRule type="cellIs" dxfId="2520" priority="3840" operator="equal">
      <formula>"Mystic"</formula>
    </cfRule>
  </conditionalFormatting>
  <conditionalFormatting sqref="K1101">
    <cfRule type="cellIs" dxfId="2519" priority="3829" operator="equal">
      <formula>"Seeker"</formula>
    </cfRule>
    <cfRule type="cellIs" dxfId="2518" priority="3830" operator="equal">
      <formula>"Neutral"</formula>
    </cfRule>
    <cfRule type="cellIs" dxfId="2517" priority="3831" operator="equal">
      <formula>"Rogue"</formula>
    </cfRule>
    <cfRule type="cellIs" dxfId="2516" priority="3832" operator="equal">
      <formula>"Guardian"</formula>
    </cfRule>
    <cfRule type="cellIs" dxfId="2515" priority="3833" operator="equal">
      <formula>"Survivor"</formula>
    </cfRule>
    <cfRule type="cellIs" dxfId="2514" priority="3834" operator="equal">
      <formula>"Mystic"</formula>
    </cfRule>
  </conditionalFormatting>
  <conditionalFormatting sqref="K1102">
    <cfRule type="cellIs" dxfId="2513" priority="3823" operator="equal">
      <formula>"Seeker"</formula>
    </cfRule>
    <cfRule type="cellIs" dxfId="2512" priority="3824" operator="equal">
      <formula>"Neutral"</formula>
    </cfRule>
    <cfRule type="cellIs" dxfId="2511" priority="3825" operator="equal">
      <formula>"Rogue"</formula>
    </cfRule>
    <cfRule type="cellIs" dxfId="2510" priority="3826" operator="equal">
      <formula>"Guardian"</formula>
    </cfRule>
    <cfRule type="cellIs" dxfId="2509" priority="3827" operator="equal">
      <formula>"Survivor"</formula>
    </cfRule>
    <cfRule type="cellIs" dxfId="2508" priority="3828" operator="equal">
      <formula>"Mystic"</formula>
    </cfRule>
  </conditionalFormatting>
  <conditionalFormatting sqref="K1108">
    <cfRule type="cellIs" dxfId="2507" priority="3805" operator="equal">
      <formula>"seeker"</formula>
    </cfRule>
    <cfRule type="cellIs" dxfId="2506" priority="3806" operator="equal">
      <formula>"neutral"</formula>
    </cfRule>
    <cfRule type="cellIs" dxfId="2505" priority="3807" operator="equal">
      <formula>"rogue"</formula>
    </cfRule>
    <cfRule type="cellIs" dxfId="2504" priority="3808" operator="equal">
      <formula>"Guardian"</formula>
    </cfRule>
    <cfRule type="cellIs" dxfId="2503" priority="3809" operator="equal">
      <formula>"Survivor"</formula>
    </cfRule>
    <cfRule type="cellIs" dxfId="2502" priority="3810" operator="equal">
      <formula>"Mystic"</formula>
    </cfRule>
  </conditionalFormatting>
  <conditionalFormatting sqref="AM1110">
    <cfRule type="cellIs" dxfId="2501" priority="3781" operator="equal">
      <formula>"seeker"</formula>
    </cfRule>
    <cfRule type="cellIs" dxfId="2500" priority="3782" operator="equal">
      <formula>"neutral"</formula>
    </cfRule>
    <cfRule type="cellIs" dxfId="2499" priority="3783" operator="equal">
      <formula>"rogue"</formula>
    </cfRule>
    <cfRule type="cellIs" dxfId="2498" priority="3784" operator="equal">
      <formula>"Guardian"</formula>
    </cfRule>
    <cfRule type="cellIs" dxfId="2497" priority="3785" operator="equal">
      <formula>"Survivor"</formula>
    </cfRule>
    <cfRule type="cellIs" dxfId="2496" priority="3786" operator="equal">
      <formula>"Mystic"</formula>
    </cfRule>
  </conditionalFormatting>
  <conditionalFormatting sqref="AL1118">
    <cfRule type="cellIs" dxfId="2495" priority="3775" operator="equal">
      <formula>"Seeker"</formula>
    </cfRule>
    <cfRule type="cellIs" dxfId="2494" priority="3776" operator="equal">
      <formula>"Neutral"</formula>
    </cfRule>
    <cfRule type="cellIs" dxfId="2493" priority="3777" operator="equal">
      <formula>"Rogue"</formula>
    </cfRule>
    <cfRule type="cellIs" dxfId="2492" priority="3778" operator="equal">
      <formula>"Guardian"</formula>
    </cfRule>
    <cfRule type="cellIs" dxfId="2491" priority="3779" operator="equal">
      <formula>"Survivor"</formula>
    </cfRule>
    <cfRule type="cellIs" dxfId="2490" priority="3780" operator="equal">
      <formula>"Mystic"</formula>
    </cfRule>
  </conditionalFormatting>
  <conditionalFormatting sqref="AM1173:AM1176 K1173:K1176 K1132:K1145 AM1145 AM1151:AM1152 K1149:K1152 AM1163:AM1171 K1157:K1171 AM1156:AM1161">
    <cfRule type="cellIs" dxfId="2489" priority="3745" operator="equal">
      <formula>"seeker"</formula>
    </cfRule>
    <cfRule type="cellIs" dxfId="2488" priority="3746" operator="equal">
      <formula>"neutral"</formula>
    </cfRule>
    <cfRule type="cellIs" dxfId="2487" priority="3747" operator="equal">
      <formula>"rogue"</formula>
    </cfRule>
    <cfRule type="cellIs" dxfId="2486" priority="3748" operator="equal">
      <formula>"Guardian"</formula>
    </cfRule>
    <cfRule type="cellIs" dxfId="2485" priority="3749" operator="equal">
      <formula>"Survivor"</formula>
    </cfRule>
    <cfRule type="cellIs" dxfId="2484" priority="3750" operator="equal">
      <formula>"Mystic"</formula>
    </cfRule>
  </conditionalFormatting>
  <conditionalFormatting sqref="AM1155">
    <cfRule type="cellIs" dxfId="2483" priority="3733" operator="equal">
      <formula>"seeker"</formula>
    </cfRule>
    <cfRule type="cellIs" dxfId="2482" priority="3734" operator="equal">
      <formula>"neutral"</formula>
    </cfRule>
    <cfRule type="cellIs" dxfId="2481" priority="3735" operator="equal">
      <formula>"rogue"</formula>
    </cfRule>
    <cfRule type="cellIs" dxfId="2480" priority="3736" operator="equal">
      <formula>"Guardian"</formula>
    </cfRule>
    <cfRule type="cellIs" dxfId="2479" priority="3737" operator="equal">
      <formula>"Survivor"</formula>
    </cfRule>
    <cfRule type="cellIs" dxfId="2478" priority="3738" operator="equal">
      <formula>"Mystic"</formula>
    </cfRule>
  </conditionalFormatting>
  <conditionalFormatting sqref="AM1132:AM1135">
    <cfRule type="cellIs" dxfId="2477" priority="3721" operator="equal">
      <formula>"seeker"</formula>
    </cfRule>
    <cfRule type="cellIs" dxfId="2476" priority="3722" operator="equal">
      <formula>"neutral"</formula>
    </cfRule>
    <cfRule type="cellIs" dxfId="2475" priority="3723" operator="equal">
      <formula>"rogue"</formula>
    </cfRule>
    <cfRule type="cellIs" dxfId="2474" priority="3724" operator="equal">
      <formula>"Guardian"</formula>
    </cfRule>
    <cfRule type="cellIs" dxfId="2473" priority="3725" operator="equal">
      <formula>"Survivor"</formula>
    </cfRule>
    <cfRule type="cellIs" dxfId="2472" priority="3726" operator="equal">
      <formula>"Mystic"</formula>
    </cfRule>
  </conditionalFormatting>
  <conditionalFormatting sqref="AM1131">
    <cfRule type="cellIs" dxfId="2471" priority="3715" operator="equal">
      <formula>"Seeker"</formula>
    </cfRule>
    <cfRule type="cellIs" dxfId="2470" priority="3716" operator="equal">
      <formula>"Neutral"</formula>
    </cfRule>
    <cfRule type="cellIs" dxfId="2469" priority="3717" operator="equal">
      <formula>"Rogue"</formula>
    </cfRule>
    <cfRule type="cellIs" dxfId="2468" priority="3718" operator="equal">
      <formula>"Guardian"</formula>
    </cfRule>
    <cfRule type="cellIs" dxfId="2467" priority="3719" operator="equal">
      <formula>"Survivor"</formula>
    </cfRule>
    <cfRule type="cellIs" dxfId="2466" priority="3720" operator="equal">
      <formula>"Mystic"</formula>
    </cfRule>
  </conditionalFormatting>
  <conditionalFormatting sqref="K1146">
    <cfRule type="cellIs" dxfId="2465" priority="3709" operator="equal">
      <formula>"Seeker"</formula>
    </cfRule>
    <cfRule type="cellIs" dxfId="2464" priority="3710" operator="equal">
      <formula>"Neutral"</formula>
    </cfRule>
    <cfRule type="cellIs" dxfId="2463" priority="3711" operator="equal">
      <formula>"Rogue"</formula>
    </cfRule>
    <cfRule type="cellIs" dxfId="2462" priority="3712" operator="equal">
      <formula>"Guardian"</formula>
    </cfRule>
    <cfRule type="cellIs" dxfId="2461" priority="3713" operator="equal">
      <formula>"Survivor"</formula>
    </cfRule>
    <cfRule type="cellIs" dxfId="2460" priority="3714" operator="equal">
      <formula>"Mystic"</formula>
    </cfRule>
  </conditionalFormatting>
  <conditionalFormatting sqref="AM1146">
    <cfRule type="cellIs" dxfId="2459" priority="3703" operator="equal">
      <formula>"Seeker"</formula>
    </cfRule>
    <cfRule type="cellIs" dxfId="2458" priority="3704" operator="equal">
      <formula>"Neutral"</formula>
    </cfRule>
    <cfRule type="cellIs" dxfId="2457" priority="3705" operator="equal">
      <formula>"Rogue"</formula>
    </cfRule>
    <cfRule type="cellIs" dxfId="2456" priority="3706" operator="equal">
      <formula>"Guardian"</formula>
    </cfRule>
    <cfRule type="cellIs" dxfId="2455" priority="3707" operator="equal">
      <formula>"Survivor"</formula>
    </cfRule>
    <cfRule type="cellIs" dxfId="2454" priority="3708" operator="equal">
      <formula>"Mystic"</formula>
    </cfRule>
  </conditionalFormatting>
  <conditionalFormatting sqref="K1147">
    <cfRule type="cellIs" dxfId="2453" priority="3697" operator="equal">
      <formula>"Seeker"</formula>
    </cfRule>
    <cfRule type="cellIs" dxfId="2452" priority="3698" operator="equal">
      <formula>"Neutral"</formula>
    </cfRule>
    <cfRule type="cellIs" dxfId="2451" priority="3699" operator="equal">
      <formula>"Rogue"</formula>
    </cfRule>
    <cfRule type="cellIs" dxfId="2450" priority="3700" operator="equal">
      <formula>"Guardian"</formula>
    </cfRule>
    <cfRule type="cellIs" dxfId="2449" priority="3701" operator="equal">
      <formula>"Survivor"</formula>
    </cfRule>
    <cfRule type="cellIs" dxfId="2448" priority="3702" operator="equal">
      <formula>"Mystic"</formula>
    </cfRule>
  </conditionalFormatting>
  <conditionalFormatting sqref="K1148">
    <cfRule type="cellIs" dxfId="2447" priority="3691" operator="equal">
      <formula>"Seeker"</formula>
    </cfRule>
    <cfRule type="cellIs" dxfId="2446" priority="3692" operator="equal">
      <formula>"Neutral"</formula>
    </cfRule>
    <cfRule type="cellIs" dxfId="2445" priority="3693" operator="equal">
      <formula>"Rogue"</formula>
    </cfRule>
    <cfRule type="cellIs" dxfId="2444" priority="3694" operator="equal">
      <formula>"Guardian"</formula>
    </cfRule>
    <cfRule type="cellIs" dxfId="2443" priority="3695" operator="equal">
      <formula>"Survivor"</formula>
    </cfRule>
    <cfRule type="cellIs" dxfId="2442" priority="3696" operator="equal">
      <formula>"Mystic"</formula>
    </cfRule>
  </conditionalFormatting>
  <conditionalFormatting sqref="K1154">
    <cfRule type="cellIs" dxfId="2441" priority="3673" operator="equal">
      <formula>"seeker"</formula>
    </cfRule>
    <cfRule type="cellIs" dxfId="2440" priority="3674" operator="equal">
      <formula>"neutral"</formula>
    </cfRule>
    <cfRule type="cellIs" dxfId="2439" priority="3675" operator="equal">
      <formula>"rogue"</formula>
    </cfRule>
    <cfRule type="cellIs" dxfId="2438" priority="3676" operator="equal">
      <formula>"Guardian"</formula>
    </cfRule>
    <cfRule type="cellIs" dxfId="2437" priority="3677" operator="equal">
      <formula>"Survivor"</formula>
    </cfRule>
    <cfRule type="cellIs" dxfId="2436" priority="3678" operator="equal">
      <formula>"Mystic"</formula>
    </cfRule>
  </conditionalFormatting>
  <conditionalFormatting sqref="K1156">
    <cfRule type="cellIs" dxfId="2435" priority="3655" operator="equal">
      <formula>"seeker"</formula>
    </cfRule>
    <cfRule type="cellIs" dxfId="2434" priority="3656" operator="equal">
      <formula>"neutral"</formula>
    </cfRule>
    <cfRule type="cellIs" dxfId="2433" priority="3657" operator="equal">
      <formula>"rogue"</formula>
    </cfRule>
    <cfRule type="cellIs" dxfId="2432" priority="3658" operator="equal">
      <formula>"Guardian"</formula>
    </cfRule>
    <cfRule type="cellIs" dxfId="2431" priority="3659" operator="equal">
      <formula>"Survivor"</formula>
    </cfRule>
    <cfRule type="cellIs" dxfId="2430" priority="3660" operator="equal">
      <formula>"Mystic"</formula>
    </cfRule>
  </conditionalFormatting>
  <conditionalFormatting sqref="K1172">
    <cfRule type="cellIs" dxfId="2429" priority="3643" operator="equal">
      <formula>"seeker"</formula>
    </cfRule>
    <cfRule type="cellIs" dxfId="2428" priority="3644" operator="equal">
      <formula>"neutral"</formula>
    </cfRule>
    <cfRule type="cellIs" dxfId="2427" priority="3645" operator="equal">
      <formula>"rogue"</formula>
    </cfRule>
    <cfRule type="cellIs" dxfId="2426" priority="3646" operator="equal">
      <formula>"Guardian"</formula>
    </cfRule>
    <cfRule type="cellIs" dxfId="2425" priority="3647" operator="equal">
      <formula>"Survivor"</formula>
    </cfRule>
    <cfRule type="cellIs" dxfId="2424" priority="3648" operator="equal">
      <formula>"Mystic"</formula>
    </cfRule>
  </conditionalFormatting>
  <conditionalFormatting sqref="AL1172">
    <cfRule type="cellIs" dxfId="2423" priority="3637" operator="equal">
      <formula>"Seeker"</formula>
    </cfRule>
    <cfRule type="cellIs" dxfId="2422" priority="3638" operator="equal">
      <formula>"Neutral"</formula>
    </cfRule>
    <cfRule type="cellIs" dxfId="2421" priority="3639" operator="equal">
      <formula>"Rogue"</formula>
    </cfRule>
    <cfRule type="cellIs" dxfId="2420" priority="3640" operator="equal">
      <formula>"Guardian"</formula>
    </cfRule>
    <cfRule type="cellIs" dxfId="2419" priority="3641" operator="equal">
      <formula>"Survivor"</formula>
    </cfRule>
    <cfRule type="cellIs" dxfId="2418" priority="3642" operator="equal">
      <formula>"Mystic"</formula>
    </cfRule>
  </conditionalFormatting>
  <conditionalFormatting sqref="AM1150">
    <cfRule type="cellIs" dxfId="2417" priority="3631" operator="equal">
      <formula>"seeker"</formula>
    </cfRule>
    <cfRule type="cellIs" dxfId="2416" priority="3632" operator="equal">
      <formula>"neutral"</formula>
    </cfRule>
    <cfRule type="cellIs" dxfId="2415" priority="3633" operator="equal">
      <formula>"rogue"</formula>
    </cfRule>
    <cfRule type="cellIs" dxfId="2414" priority="3634" operator="equal">
      <formula>"Guardian"</formula>
    </cfRule>
    <cfRule type="cellIs" dxfId="2413" priority="3635" operator="equal">
      <formula>"Survivor"</formula>
    </cfRule>
    <cfRule type="cellIs" dxfId="2412" priority="3636" operator="equal">
      <formula>"Mystic"</formula>
    </cfRule>
  </conditionalFormatting>
  <conditionalFormatting sqref="AM1219 K1219 K1178:K1191 AM1191 AM1197:AM1198 K1195:K1198 AM1209:AM1217 K1203:K1217 AM1202:AM1207">
    <cfRule type="cellIs" dxfId="2411" priority="3385" operator="equal">
      <formula>"seeker"</formula>
    </cfRule>
    <cfRule type="cellIs" dxfId="2410" priority="3386" operator="equal">
      <formula>"neutral"</formula>
    </cfRule>
    <cfRule type="cellIs" dxfId="2409" priority="3387" operator="equal">
      <formula>"rogue"</formula>
    </cfRule>
    <cfRule type="cellIs" dxfId="2408" priority="3388" operator="equal">
      <formula>"Guardian"</formula>
    </cfRule>
    <cfRule type="cellIs" dxfId="2407" priority="3389" operator="equal">
      <formula>"Survivor"</formula>
    </cfRule>
    <cfRule type="cellIs" dxfId="2406" priority="3390" operator="equal">
      <formula>"Mystic"</formula>
    </cfRule>
  </conditionalFormatting>
  <conditionalFormatting sqref="AL1182:AL1188">
    <cfRule type="cellIs" dxfId="2405" priority="3379" operator="equal">
      <formula>"Seeker"</formula>
    </cfRule>
    <cfRule type="cellIs" dxfId="2404" priority="3380" operator="equal">
      <formula>"Neutral"</formula>
    </cfRule>
    <cfRule type="cellIs" dxfId="2403" priority="3381" operator="equal">
      <formula>"Rogue"</formula>
    </cfRule>
    <cfRule type="cellIs" dxfId="2402" priority="3382" operator="equal">
      <formula>"Guardian"</formula>
    </cfRule>
    <cfRule type="cellIs" dxfId="2401" priority="3383" operator="equal">
      <formula>"Survivor"</formula>
    </cfRule>
    <cfRule type="cellIs" dxfId="2400" priority="3384" operator="equal">
      <formula>"Mystic"</formula>
    </cfRule>
  </conditionalFormatting>
  <conditionalFormatting sqref="AM1201">
    <cfRule type="cellIs" dxfId="2399" priority="3373" operator="equal">
      <formula>"seeker"</formula>
    </cfRule>
    <cfRule type="cellIs" dxfId="2398" priority="3374" operator="equal">
      <formula>"neutral"</formula>
    </cfRule>
    <cfRule type="cellIs" dxfId="2397" priority="3375" operator="equal">
      <formula>"rogue"</formula>
    </cfRule>
    <cfRule type="cellIs" dxfId="2396" priority="3376" operator="equal">
      <formula>"Guardian"</formula>
    </cfRule>
    <cfRule type="cellIs" dxfId="2395" priority="3377" operator="equal">
      <formula>"Survivor"</formula>
    </cfRule>
    <cfRule type="cellIs" dxfId="2394" priority="3378" operator="equal">
      <formula>"Mystic"</formula>
    </cfRule>
  </conditionalFormatting>
  <conditionalFormatting sqref="K1177">
    <cfRule type="cellIs" dxfId="2393" priority="3367" operator="equal">
      <formula>"Seeker"</formula>
    </cfRule>
    <cfRule type="cellIs" dxfId="2392" priority="3368" operator="equal">
      <formula>"Neutral"</formula>
    </cfRule>
    <cfRule type="cellIs" dxfId="2391" priority="3369" operator="equal">
      <formula>"Rogue"</formula>
    </cfRule>
    <cfRule type="cellIs" dxfId="2390" priority="3370" operator="equal">
      <formula>"Guardian"</formula>
    </cfRule>
    <cfRule type="cellIs" dxfId="2389" priority="3371" operator="equal">
      <formula>"Survivor"</formula>
    </cfRule>
    <cfRule type="cellIs" dxfId="2388" priority="3372" operator="equal">
      <formula>"Mystic"</formula>
    </cfRule>
  </conditionalFormatting>
  <conditionalFormatting sqref="AM1178:AM1181">
    <cfRule type="cellIs" dxfId="2387" priority="3361" operator="equal">
      <formula>"seeker"</formula>
    </cfRule>
    <cfRule type="cellIs" dxfId="2386" priority="3362" operator="equal">
      <formula>"neutral"</formula>
    </cfRule>
    <cfRule type="cellIs" dxfId="2385" priority="3363" operator="equal">
      <formula>"rogue"</formula>
    </cfRule>
    <cfRule type="cellIs" dxfId="2384" priority="3364" operator="equal">
      <formula>"Guardian"</formula>
    </cfRule>
    <cfRule type="cellIs" dxfId="2383" priority="3365" operator="equal">
      <formula>"Survivor"</formula>
    </cfRule>
    <cfRule type="cellIs" dxfId="2382" priority="3366" operator="equal">
      <formula>"Mystic"</formula>
    </cfRule>
  </conditionalFormatting>
  <conditionalFormatting sqref="AM1177">
    <cfRule type="cellIs" dxfId="2381" priority="3355" operator="equal">
      <formula>"Seeker"</formula>
    </cfRule>
    <cfRule type="cellIs" dxfId="2380" priority="3356" operator="equal">
      <formula>"Neutral"</formula>
    </cfRule>
    <cfRule type="cellIs" dxfId="2379" priority="3357" operator="equal">
      <formula>"Rogue"</formula>
    </cfRule>
    <cfRule type="cellIs" dxfId="2378" priority="3358" operator="equal">
      <formula>"Guardian"</formula>
    </cfRule>
    <cfRule type="cellIs" dxfId="2377" priority="3359" operator="equal">
      <formula>"Survivor"</formula>
    </cfRule>
    <cfRule type="cellIs" dxfId="2376" priority="3360" operator="equal">
      <formula>"Mystic"</formula>
    </cfRule>
  </conditionalFormatting>
  <conditionalFormatting sqref="K1192">
    <cfRule type="cellIs" dxfId="2375" priority="3349" operator="equal">
      <formula>"Seeker"</formula>
    </cfRule>
    <cfRule type="cellIs" dxfId="2374" priority="3350" operator="equal">
      <formula>"Neutral"</formula>
    </cfRule>
    <cfRule type="cellIs" dxfId="2373" priority="3351" operator="equal">
      <formula>"Rogue"</formula>
    </cfRule>
    <cfRule type="cellIs" dxfId="2372" priority="3352" operator="equal">
      <formula>"Guardian"</formula>
    </cfRule>
    <cfRule type="cellIs" dxfId="2371" priority="3353" operator="equal">
      <formula>"Survivor"</formula>
    </cfRule>
    <cfRule type="cellIs" dxfId="2370" priority="3354" operator="equal">
      <formula>"Mystic"</formula>
    </cfRule>
  </conditionalFormatting>
  <conditionalFormatting sqref="AM1192">
    <cfRule type="cellIs" dxfId="2369" priority="3343" operator="equal">
      <formula>"Seeker"</formula>
    </cfRule>
    <cfRule type="cellIs" dxfId="2368" priority="3344" operator="equal">
      <formula>"Neutral"</formula>
    </cfRule>
    <cfRule type="cellIs" dxfId="2367" priority="3345" operator="equal">
      <formula>"Rogue"</formula>
    </cfRule>
    <cfRule type="cellIs" dxfId="2366" priority="3346" operator="equal">
      <formula>"Guardian"</formula>
    </cfRule>
    <cfRule type="cellIs" dxfId="2365" priority="3347" operator="equal">
      <formula>"Survivor"</formula>
    </cfRule>
    <cfRule type="cellIs" dxfId="2364" priority="3348" operator="equal">
      <formula>"Mystic"</formula>
    </cfRule>
  </conditionalFormatting>
  <conditionalFormatting sqref="K1193">
    <cfRule type="cellIs" dxfId="2363" priority="3337" operator="equal">
      <formula>"Seeker"</formula>
    </cfRule>
    <cfRule type="cellIs" dxfId="2362" priority="3338" operator="equal">
      <formula>"Neutral"</formula>
    </cfRule>
    <cfRule type="cellIs" dxfId="2361" priority="3339" operator="equal">
      <formula>"Rogue"</formula>
    </cfRule>
    <cfRule type="cellIs" dxfId="2360" priority="3340" operator="equal">
      <formula>"Guardian"</formula>
    </cfRule>
    <cfRule type="cellIs" dxfId="2359" priority="3341" operator="equal">
      <formula>"Survivor"</formula>
    </cfRule>
    <cfRule type="cellIs" dxfId="2358" priority="3342" operator="equal">
      <formula>"Mystic"</formula>
    </cfRule>
  </conditionalFormatting>
  <conditionalFormatting sqref="K1194">
    <cfRule type="cellIs" dxfId="2357" priority="3331" operator="equal">
      <formula>"Seeker"</formula>
    </cfRule>
    <cfRule type="cellIs" dxfId="2356" priority="3332" operator="equal">
      <formula>"Neutral"</formula>
    </cfRule>
    <cfRule type="cellIs" dxfId="2355" priority="3333" operator="equal">
      <formula>"Rogue"</formula>
    </cfRule>
    <cfRule type="cellIs" dxfId="2354" priority="3334" operator="equal">
      <formula>"Guardian"</formula>
    </cfRule>
    <cfRule type="cellIs" dxfId="2353" priority="3335" operator="equal">
      <formula>"Survivor"</formula>
    </cfRule>
    <cfRule type="cellIs" dxfId="2352" priority="3336" operator="equal">
      <formula>"Mystic"</formula>
    </cfRule>
  </conditionalFormatting>
  <conditionalFormatting sqref="K1199">
    <cfRule type="cellIs" dxfId="2351" priority="3325" operator="equal">
      <formula>"seeker"</formula>
    </cfRule>
    <cfRule type="cellIs" dxfId="2350" priority="3326" operator="equal">
      <formula>"neutral"</formula>
    </cfRule>
    <cfRule type="cellIs" dxfId="2349" priority="3327" operator="equal">
      <formula>"rogue"</formula>
    </cfRule>
    <cfRule type="cellIs" dxfId="2348" priority="3328" operator="equal">
      <formula>"Guardian"</formula>
    </cfRule>
    <cfRule type="cellIs" dxfId="2347" priority="3329" operator="equal">
      <formula>"Survivor"</formula>
    </cfRule>
    <cfRule type="cellIs" dxfId="2346" priority="3330" operator="equal">
      <formula>"Mystic"</formula>
    </cfRule>
  </conditionalFormatting>
  <conditionalFormatting sqref="AM1199">
    <cfRule type="cellIs" dxfId="2345" priority="3319" operator="equal">
      <formula>"seeker"</formula>
    </cfRule>
    <cfRule type="cellIs" dxfId="2344" priority="3320" operator="equal">
      <formula>"neutral"</formula>
    </cfRule>
    <cfRule type="cellIs" dxfId="2343" priority="3321" operator="equal">
      <formula>"rogue"</formula>
    </cfRule>
    <cfRule type="cellIs" dxfId="2342" priority="3322" operator="equal">
      <formula>"Guardian"</formula>
    </cfRule>
    <cfRule type="cellIs" dxfId="2341" priority="3323" operator="equal">
      <formula>"Survivor"</formula>
    </cfRule>
    <cfRule type="cellIs" dxfId="2340" priority="3324" operator="equal">
      <formula>"Mystic"</formula>
    </cfRule>
  </conditionalFormatting>
  <conditionalFormatting sqref="K1200">
    <cfRule type="cellIs" dxfId="2339" priority="3313" operator="equal">
      <formula>"seeker"</formula>
    </cfRule>
    <cfRule type="cellIs" dxfId="2338" priority="3314" operator="equal">
      <formula>"neutral"</formula>
    </cfRule>
    <cfRule type="cellIs" dxfId="2337" priority="3315" operator="equal">
      <formula>"rogue"</formula>
    </cfRule>
    <cfRule type="cellIs" dxfId="2336" priority="3316" operator="equal">
      <formula>"Guardian"</formula>
    </cfRule>
    <cfRule type="cellIs" dxfId="2335" priority="3317" operator="equal">
      <formula>"Survivor"</formula>
    </cfRule>
    <cfRule type="cellIs" dxfId="2334" priority="3318" operator="equal">
      <formula>"Mystic"</formula>
    </cfRule>
  </conditionalFormatting>
  <conditionalFormatting sqref="AM1200">
    <cfRule type="cellIs" dxfId="2333" priority="3307" operator="equal">
      <formula>"seeker"</formula>
    </cfRule>
    <cfRule type="cellIs" dxfId="2332" priority="3308" operator="equal">
      <formula>"neutral"</formula>
    </cfRule>
    <cfRule type="cellIs" dxfId="2331" priority="3309" operator="equal">
      <formula>"rogue"</formula>
    </cfRule>
    <cfRule type="cellIs" dxfId="2330" priority="3310" operator="equal">
      <formula>"Guardian"</formula>
    </cfRule>
    <cfRule type="cellIs" dxfId="2329" priority="3311" operator="equal">
      <formula>"Survivor"</formula>
    </cfRule>
    <cfRule type="cellIs" dxfId="2328" priority="3312" operator="equal">
      <formula>"Mystic"</formula>
    </cfRule>
  </conditionalFormatting>
  <conditionalFormatting sqref="K1201">
    <cfRule type="cellIs" dxfId="2327" priority="3301" operator="equal">
      <formula>"seeker"</formula>
    </cfRule>
    <cfRule type="cellIs" dxfId="2326" priority="3302" operator="equal">
      <formula>"neutral"</formula>
    </cfRule>
    <cfRule type="cellIs" dxfId="2325" priority="3303" operator="equal">
      <formula>"rogue"</formula>
    </cfRule>
    <cfRule type="cellIs" dxfId="2324" priority="3304" operator="equal">
      <formula>"Guardian"</formula>
    </cfRule>
    <cfRule type="cellIs" dxfId="2323" priority="3305" operator="equal">
      <formula>"Survivor"</formula>
    </cfRule>
    <cfRule type="cellIs" dxfId="2322" priority="3306" operator="equal">
      <formula>"Mystic"</formula>
    </cfRule>
  </conditionalFormatting>
  <conditionalFormatting sqref="K1202">
    <cfRule type="cellIs" dxfId="2321" priority="3295" operator="equal">
      <formula>"seeker"</formula>
    </cfRule>
    <cfRule type="cellIs" dxfId="2320" priority="3296" operator="equal">
      <formula>"neutral"</formula>
    </cfRule>
    <cfRule type="cellIs" dxfId="2319" priority="3297" operator="equal">
      <formula>"rogue"</formula>
    </cfRule>
    <cfRule type="cellIs" dxfId="2318" priority="3298" operator="equal">
      <formula>"Guardian"</formula>
    </cfRule>
    <cfRule type="cellIs" dxfId="2317" priority="3299" operator="equal">
      <formula>"Survivor"</formula>
    </cfRule>
    <cfRule type="cellIs" dxfId="2316" priority="3300" operator="equal">
      <formula>"Mystic"</formula>
    </cfRule>
  </conditionalFormatting>
  <conditionalFormatting sqref="AM1208">
    <cfRule type="cellIs" dxfId="2315" priority="3289" operator="equal">
      <formula>"seeker"</formula>
    </cfRule>
    <cfRule type="cellIs" dxfId="2314" priority="3290" operator="equal">
      <formula>"neutral"</formula>
    </cfRule>
    <cfRule type="cellIs" dxfId="2313" priority="3291" operator="equal">
      <formula>"rogue"</formula>
    </cfRule>
    <cfRule type="cellIs" dxfId="2312" priority="3292" operator="equal">
      <formula>"Guardian"</formula>
    </cfRule>
    <cfRule type="cellIs" dxfId="2311" priority="3293" operator="equal">
      <formula>"Survivor"</formula>
    </cfRule>
    <cfRule type="cellIs" dxfId="2310" priority="3294" operator="equal">
      <formula>"Mystic"</formula>
    </cfRule>
  </conditionalFormatting>
  <conditionalFormatting sqref="K1218">
    <cfRule type="cellIs" dxfId="2309" priority="3283" operator="equal">
      <formula>"seeker"</formula>
    </cfRule>
    <cfRule type="cellIs" dxfId="2308" priority="3284" operator="equal">
      <formula>"neutral"</formula>
    </cfRule>
    <cfRule type="cellIs" dxfId="2307" priority="3285" operator="equal">
      <formula>"rogue"</formula>
    </cfRule>
    <cfRule type="cellIs" dxfId="2306" priority="3286" operator="equal">
      <formula>"Guardian"</formula>
    </cfRule>
    <cfRule type="cellIs" dxfId="2305" priority="3287" operator="equal">
      <formula>"Survivor"</formula>
    </cfRule>
    <cfRule type="cellIs" dxfId="2304" priority="3288" operator="equal">
      <formula>"Mystic"</formula>
    </cfRule>
  </conditionalFormatting>
  <conditionalFormatting sqref="AL1218">
    <cfRule type="cellIs" dxfId="2303" priority="3277" operator="equal">
      <formula>"Seeker"</formula>
    </cfRule>
    <cfRule type="cellIs" dxfId="2302" priority="3278" operator="equal">
      <formula>"Neutral"</formula>
    </cfRule>
    <cfRule type="cellIs" dxfId="2301" priority="3279" operator="equal">
      <formula>"Rogue"</formula>
    </cfRule>
    <cfRule type="cellIs" dxfId="2300" priority="3280" operator="equal">
      <formula>"Guardian"</formula>
    </cfRule>
    <cfRule type="cellIs" dxfId="2299" priority="3281" operator="equal">
      <formula>"Survivor"</formula>
    </cfRule>
    <cfRule type="cellIs" dxfId="2298" priority="3282" operator="equal">
      <formula>"Mystic"</formula>
    </cfRule>
  </conditionalFormatting>
  <conditionalFormatting sqref="AM1196">
    <cfRule type="cellIs" dxfId="2297" priority="3271" operator="equal">
      <formula>"seeker"</formula>
    </cfRule>
    <cfRule type="cellIs" dxfId="2296" priority="3272" operator="equal">
      <formula>"neutral"</formula>
    </cfRule>
    <cfRule type="cellIs" dxfId="2295" priority="3273" operator="equal">
      <formula>"rogue"</formula>
    </cfRule>
    <cfRule type="cellIs" dxfId="2294" priority="3274" operator="equal">
      <formula>"Guardian"</formula>
    </cfRule>
    <cfRule type="cellIs" dxfId="2293" priority="3275" operator="equal">
      <formula>"Survivor"</formula>
    </cfRule>
    <cfRule type="cellIs" dxfId="2292" priority="3276" operator="equal">
      <formula>"Mystic"</formula>
    </cfRule>
  </conditionalFormatting>
  <conditionalFormatting sqref="K1221:K1232">
    <cfRule type="cellIs" dxfId="2291" priority="3265" operator="equal">
      <formula>"seeker"</formula>
    </cfRule>
    <cfRule type="cellIs" dxfId="2290" priority="3266" operator="equal">
      <formula>"neutral"</formula>
    </cfRule>
    <cfRule type="cellIs" dxfId="2289" priority="3267" operator="equal">
      <formula>"rogue"</formula>
    </cfRule>
    <cfRule type="cellIs" dxfId="2288" priority="3268" operator="equal">
      <formula>"Guardian"</formula>
    </cfRule>
    <cfRule type="cellIs" dxfId="2287" priority="3269" operator="equal">
      <formula>"Survivor"</formula>
    </cfRule>
    <cfRule type="cellIs" dxfId="2286" priority="3270" operator="equal">
      <formula>"Mystic"</formula>
    </cfRule>
  </conditionalFormatting>
  <conditionalFormatting sqref="AL1225:AL1231">
    <cfRule type="cellIs" dxfId="2285" priority="3259" operator="equal">
      <formula>"Seeker"</formula>
    </cfRule>
    <cfRule type="cellIs" dxfId="2284" priority="3260" operator="equal">
      <formula>"Neutral"</formula>
    </cfRule>
    <cfRule type="cellIs" dxfId="2283" priority="3261" operator="equal">
      <formula>"Rogue"</formula>
    </cfRule>
    <cfRule type="cellIs" dxfId="2282" priority="3262" operator="equal">
      <formula>"Guardian"</formula>
    </cfRule>
    <cfRule type="cellIs" dxfId="2281" priority="3263" operator="equal">
      <formula>"Survivor"</formula>
    </cfRule>
    <cfRule type="cellIs" dxfId="2280" priority="3264" operator="equal">
      <formula>"Mystic"</formula>
    </cfRule>
  </conditionalFormatting>
  <conditionalFormatting sqref="K1220">
    <cfRule type="cellIs" dxfId="2279" priority="3253" operator="equal">
      <formula>"Seeker"</formula>
    </cfRule>
    <cfRule type="cellIs" dxfId="2278" priority="3254" operator="equal">
      <formula>"Neutral"</formula>
    </cfRule>
    <cfRule type="cellIs" dxfId="2277" priority="3255" operator="equal">
      <formula>"Rogue"</formula>
    </cfRule>
    <cfRule type="cellIs" dxfId="2276" priority="3256" operator="equal">
      <formula>"Guardian"</formula>
    </cfRule>
    <cfRule type="cellIs" dxfId="2275" priority="3257" operator="equal">
      <formula>"Survivor"</formula>
    </cfRule>
    <cfRule type="cellIs" dxfId="2274" priority="3258" operator="equal">
      <formula>"Mystic"</formula>
    </cfRule>
  </conditionalFormatting>
  <conditionalFormatting sqref="AM1221:AM1224">
    <cfRule type="cellIs" dxfId="2273" priority="3247" operator="equal">
      <formula>"seeker"</formula>
    </cfRule>
    <cfRule type="cellIs" dxfId="2272" priority="3248" operator="equal">
      <formula>"neutral"</formula>
    </cfRule>
    <cfRule type="cellIs" dxfId="2271" priority="3249" operator="equal">
      <formula>"rogue"</formula>
    </cfRule>
    <cfRule type="cellIs" dxfId="2270" priority="3250" operator="equal">
      <formula>"Guardian"</formula>
    </cfRule>
    <cfRule type="cellIs" dxfId="2269" priority="3251" operator="equal">
      <formula>"Survivor"</formula>
    </cfRule>
    <cfRule type="cellIs" dxfId="2268" priority="3252" operator="equal">
      <formula>"Mystic"</formula>
    </cfRule>
  </conditionalFormatting>
  <conditionalFormatting sqref="AM1220">
    <cfRule type="cellIs" dxfId="2267" priority="3241" operator="equal">
      <formula>"Seeker"</formula>
    </cfRule>
    <cfRule type="cellIs" dxfId="2266" priority="3242" operator="equal">
      <formula>"Neutral"</formula>
    </cfRule>
    <cfRule type="cellIs" dxfId="2265" priority="3243" operator="equal">
      <formula>"Rogue"</formula>
    </cfRule>
    <cfRule type="cellIs" dxfId="2264" priority="3244" operator="equal">
      <formula>"Guardian"</formula>
    </cfRule>
    <cfRule type="cellIs" dxfId="2263" priority="3245" operator="equal">
      <formula>"Survivor"</formula>
    </cfRule>
    <cfRule type="cellIs" dxfId="2262" priority="3246" operator="equal">
      <formula>"Mystic"</formula>
    </cfRule>
  </conditionalFormatting>
  <conditionalFormatting sqref="AM1275:AM1292 K1275:K1292 K1234:K1247 AM1247 AM1253:AM1254 K1251:K1254 AM1265:AM1273 K1259:K1273 AM1258:AM1263">
    <cfRule type="cellIs" dxfId="2261" priority="3115" operator="equal">
      <formula>"seeker"</formula>
    </cfRule>
    <cfRule type="cellIs" dxfId="2260" priority="3116" operator="equal">
      <formula>"neutral"</formula>
    </cfRule>
    <cfRule type="cellIs" dxfId="2259" priority="3117" operator="equal">
      <formula>"rogue"</formula>
    </cfRule>
    <cfRule type="cellIs" dxfId="2258" priority="3118" operator="equal">
      <formula>"Guardian"</formula>
    </cfRule>
    <cfRule type="cellIs" dxfId="2257" priority="3119" operator="equal">
      <formula>"Survivor"</formula>
    </cfRule>
    <cfRule type="cellIs" dxfId="2256" priority="3120" operator="equal">
      <formula>"Mystic"</formula>
    </cfRule>
  </conditionalFormatting>
  <conditionalFormatting sqref="AL1238:AL1244">
    <cfRule type="cellIs" dxfId="2255" priority="3109" operator="equal">
      <formula>"Seeker"</formula>
    </cfRule>
    <cfRule type="cellIs" dxfId="2254" priority="3110" operator="equal">
      <formula>"Neutral"</formula>
    </cfRule>
    <cfRule type="cellIs" dxfId="2253" priority="3111" operator="equal">
      <formula>"Rogue"</formula>
    </cfRule>
    <cfRule type="cellIs" dxfId="2252" priority="3112" operator="equal">
      <formula>"Guardian"</formula>
    </cfRule>
    <cfRule type="cellIs" dxfId="2251" priority="3113" operator="equal">
      <formula>"Survivor"</formula>
    </cfRule>
    <cfRule type="cellIs" dxfId="2250" priority="3114" operator="equal">
      <formula>"Mystic"</formula>
    </cfRule>
  </conditionalFormatting>
  <conditionalFormatting sqref="AM1257">
    <cfRule type="cellIs" dxfId="2249" priority="3103" operator="equal">
      <formula>"seeker"</formula>
    </cfRule>
    <cfRule type="cellIs" dxfId="2248" priority="3104" operator="equal">
      <formula>"neutral"</formula>
    </cfRule>
    <cfRule type="cellIs" dxfId="2247" priority="3105" operator="equal">
      <formula>"rogue"</formula>
    </cfRule>
    <cfRule type="cellIs" dxfId="2246" priority="3106" operator="equal">
      <formula>"Guardian"</formula>
    </cfRule>
    <cfRule type="cellIs" dxfId="2245" priority="3107" operator="equal">
      <formula>"Survivor"</formula>
    </cfRule>
    <cfRule type="cellIs" dxfId="2244" priority="3108" operator="equal">
      <formula>"Mystic"</formula>
    </cfRule>
  </conditionalFormatting>
  <conditionalFormatting sqref="K1233">
    <cfRule type="cellIs" dxfId="2243" priority="3097" operator="equal">
      <formula>"Seeker"</formula>
    </cfRule>
    <cfRule type="cellIs" dxfId="2242" priority="3098" operator="equal">
      <formula>"Neutral"</formula>
    </cfRule>
    <cfRule type="cellIs" dxfId="2241" priority="3099" operator="equal">
      <formula>"Rogue"</formula>
    </cfRule>
    <cfRule type="cellIs" dxfId="2240" priority="3100" operator="equal">
      <formula>"Guardian"</formula>
    </cfRule>
    <cfRule type="cellIs" dxfId="2239" priority="3101" operator="equal">
      <formula>"Survivor"</formula>
    </cfRule>
    <cfRule type="cellIs" dxfId="2238" priority="3102" operator="equal">
      <formula>"Mystic"</formula>
    </cfRule>
  </conditionalFormatting>
  <conditionalFormatting sqref="AM1234:AM1237">
    <cfRule type="cellIs" dxfId="2237" priority="3091" operator="equal">
      <formula>"seeker"</formula>
    </cfRule>
    <cfRule type="cellIs" dxfId="2236" priority="3092" operator="equal">
      <formula>"neutral"</formula>
    </cfRule>
    <cfRule type="cellIs" dxfId="2235" priority="3093" operator="equal">
      <formula>"rogue"</formula>
    </cfRule>
    <cfRule type="cellIs" dxfId="2234" priority="3094" operator="equal">
      <formula>"Guardian"</formula>
    </cfRule>
    <cfRule type="cellIs" dxfId="2233" priority="3095" operator="equal">
      <formula>"Survivor"</formula>
    </cfRule>
    <cfRule type="cellIs" dxfId="2232" priority="3096" operator="equal">
      <formula>"Mystic"</formula>
    </cfRule>
  </conditionalFormatting>
  <conditionalFormatting sqref="AM1233">
    <cfRule type="cellIs" dxfId="2231" priority="3085" operator="equal">
      <formula>"Seeker"</formula>
    </cfRule>
    <cfRule type="cellIs" dxfId="2230" priority="3086" operator="equal">
      <formula>"Neutral"</formula>
    </cfRule>
    <cfRule type="cellIs" dxfId="2229" priority="3087" operator="equal">
      <formula>"Rogue"</formula>
    </cfRule>
    <cfRule type="cellIs" dxfId="2228" priority="3088" operator="equal">
      <formula>"Guardian"</formula>
    </cfRule>
    <cfRule type="cellIs" dxfId="2227" priority="3089" operator="equal">
      <formula>"Survivor"</formula>
    </cfRule>
    <cfRule type="cellIs" dxfId="2226" priority="3090" operator="equal">
      <formula>"Mystic"</formula>
    </cfRule>
  </conditionalFormatting>
  <conditionalFormatting sqref="K1248">
    <cfRule type="cellIs" dxfId="2225" priority="3079" operator="equal">
      <formula>"Seeker"</formula>
    </cfRule>
    <cfRule type="cellIs" dxfId="2224" priority="3080" operator="equal">
      <formula>"Neutral"</formula>
    </cfRule>
    <cfRule type="cellIs" dxfId="2223" priority="3081" operator="equal">
      <formula>"Rogue"</formula>
    </cfRule>
    <cfRule type="cellIs" dxfId="2222" priority="3082" operator="equal">
      <formula>"Guardian"</formula>
    </cfRule>
    <cfRule type="cellIs" dxfId="2221" priority="3083" operator="equal">
      <formula>"Survivor"</formula>
    </cfRule>
    <cfRule type="cellIs" dxfId="2220" priority="3084" operator="equal">
      <formula>"Mystic"</formula>
    </cfRule>
  </conditionalFormatting>
  <conditionalFormatting sqref="AM1248">
    <cfRule type="cellIs" dxfId="2219" priority="3073" operator="equal">
      <formula>"Seeker"</formula>
    </cfRule>
    <cfRule type="cellIs" dxfId="2218" priority="3074" operator="equal">
      <formula>"Neutral"</formula>
    </cfRule>
    <cfRule type="cellIs" dxfId="2217" priority="3075" operator="equal">
      <formula>"Rogue"</formula>
    </cfRule>
    <cfRule type="cellIs" dxfId="2216" priority="3076" operator="equal">
      <formula>"Guardian"</formula>
    </cfRule>
    <cfRule type="cellIs" dxfId="2215" priority="3077" operator="equal">
      <formula>"Survivor"</formula>
    </cfRule>
    <cfRule type="cellIs" dxfId="2214" priority="3078" operator="equal">
      <formula>"Mystic"</formula>
    </cfRule>
  </conditionalFormatting>
  <conditionalFormatting sqref="K1249">
    <cfRule type="cellIs" dxfId="2213" priority="3067" operator="equal">
      <formula>"Seeker"</formula>
    </cfRule>
    <cfRule type="cellIs" dxfId="2212" priority="3068" operator="equal">
      <formula>"Neutral"</formula>
    </cfRule>
    <cfRule type="cellIs" dxfId="2211" priority="3069" operator="equal">
      <formula>"Rogue"</formula>
    </cfRule>
    <cfRule type="cellIs" dxfId="2210" priority="3070" operator="equal">
      <formula>"Guardian"</formula>
    </cfRule>
    <cfRule type="cellIs" dxfId="2209" priority="3071" operator="equal">
      <formula>"Survivor"</formula>
    </cfRule>
    <cfRule type="cellIs" dxfId="2208" priority="3072" operator="equal">
      <formula>"Mystic"</formula>
    </cfRule>
  </conditionalFormatting>
  <conditionalFormatting sqref="K1250">
    <cfRule type="cellIs" dxfId="2207" priority="3061" operator="equal">
      <formula>"Seeker"</formula>
    </cfRule>
    <cfRule type="cellIs" dxfId="2206" priority="3062" operator="equal">
      <formula>"Neutral"</formula>
    </cfRule>
    <cfRule type="cellIs" dxfId="2205" priority="3063" operator="equal">
      <formula>"Rogue"</formula>
    </cfRule>
    <cfRule type="cellIs" dxfId="2204" priority="3064" operator="equal">
      <formula>"Guardian"</formula>
    </cfRule>
    <cfRule type="cellIs" dxfId="2203" priority="3065" operator="equal">
      <formula>"Survivor"</formula>
    </cfRule>
    <cfRule type="cellIs" dxfId="2202" priority="3066" operator="equal">
      <formula>"Mystic"</formula>
    </cfRule>
  </conditionalFormatting>
  <conditionalFormatting sqref="K1255">
    <cfRule type="cellIs" dxfId="2201" priority="3055" operator="equal">
      <formula>"seeker"</formula>
    </cfRule>
    <cfRule type="cellIs" dxfId="2200" priority="3056" operator="equal">
      <formula>"neutral"</formula>
    </cfRule>
    <cfRule type="cellIs" dxfId="2199" priority="3057" operator="equal">
      <formula>"rogue"</formula>
    </cfRule>
    <cfRule type="cellIs" dxfId="2198" priority="3058" operator="equal">
      <formula>"Guardian"</formula>
    </cfRule>
    <cfRule type="cellIs" dxfId="2197" priority="3059" operator="equal">
      <formula>"Survivor"</formula>
    </cfRule>
    <cfRule type="cellIs" dxfId="2196" priority="3060" operator="equal">
      <formula>"Mystic"</formula>
    </cfRule>
  </conditionalFormatting>
  <conditionalFormatting sqref="AM1255">
    <cfRule type="cellIs" dxfId="2195" priority="3049" operator="equal">
      <formula>"seeker"</formula>
    </cfRule>
    <cfRule type="cellIs" dxfId="2194" priority="3050" operator="equal">
      <formula>"neutral"</formula>
    </cfRule>
    <cfRule type="cellIs" dxfId="2193" priority="3051" operator="equal">
      <formula>"rogue"</formula>
    </cfRule>
    <cfRule type="cellIs" dxfId="2192" priority="3052" operator="equal">
      <formula>"Guardian"</formula>
    </cfRule>
    <cfRule type="cellIs" dxfId="2191" priority="3053" operator="equal">
      <formula>"Survivor"</formula>
    </cfRule>
    <cfRule type="cellIs" dxfId="2190" priority="3054" operator="equal">
      <formula>"Mystic"</formula>
    </cfRule>
  </conditionalFormatting>
  <conditionalFormatting sqref="K1256">
    <cfRule type="cellIs" dxfId="2189" priority="3043" operator="equal">
      <formula>"seeker"</formula>
    </cfRule>
    <cfRule type="cellIs" dxfId="2188" priority="3044" operator="equal">
      <formula>"neutral"</formula>
    </cfRule>
    <cfRule type="cellIs" dxfId="2187" priority="3045" operator="equal">
      <formula>"rogue"</formula>
    </cfRule>
    <cfRule type="cellIs" dxfId="2186" priority="3046" operator="equal">
      <formula>"Guardian"</formula>
    </cfRule>
    <cfRule type="cellIs" dxfId="2185" priority="3047" operator="equal">
      <formula>"Survivor"</formula>
    </cfRule>
    <cfRule type="cellIs" dxfId="2184" priority="3048" operator="equal">
      <formula>"Mystic"</formula>
    </cfRule>
  </conditionalFormatting>
  <conditionalFormatting sqref="AM1256">
    <cfRule type="cellIs" dxfId="2183" priority="3037" operator="equal">
      <formula>"seeker"</formula>
    </cfRule>
    <cfRule type="cellIs" dxfId="2182" priority="3038" operator="equal">
      <formula>"neutral"</formula>
    </cfRule>
    <cfRule type="cellIs" dxfId="2181" priority="3039" operator="equal">
      <formula>"rogue"</formula>
    </cfRule>
    <cfRule type="cellIs" dxfId="2180" priority="3040" operator="equal">
      <formula>"Guardian"</formula>
    </cfRule>
    <cfRule type="cellIs" dxfId="2179" priority="3041" operator="equal">
      <formula>"Survivor"</formula>
    </cfRule>
    <cfRule type="cellIs" dxfId="2178" priority="3042" operator="equal">
      <formula>"Mystic"</formula>
    </cfRule>
  </conditionalFormatting>
  <conditionalFormatting sqref="K1257">
    <cfRule type="cellIs" dxfId="2177" priority="3031" operator="equal">
      <formula>"seeker"</formula>
    </cfRule>
    <cfRule type="cellIs" dxfId="2176" priority="3032" operator="equal">
      <formula>"neutral"</formula>
    </cfRule>
    <cfRule type="cellIs" dxfId="2175" priority="3033" operator="equal">
      <formula>"rogue"</formula>
    </cfRule>
    <cfRule type="cellIs" dxfId="2174" priority="3034" operator="equal">
      <formula>"Guardian"</formula>
    </cfRule>
    <cfRule type="cellIs" dxfId="2173" priority="3035" operator="equal">
      <formula>"Survivor"</formula>
    </cfRule>
    <cfRule type="cellIs" dxfId="2172" priority="3036" operator="equal">
      <formula>"Mystic"</formula>
    </cfRule>
  </conditionalFormatting>
  <conditionalFormatting sqref="K1258">
    <cfRule type="cellIs" dxfId="2171" priority="3025" operator="equal">
      <formula>"seeker"</formula>
    </cfRule>
    <cfRule type="cellIs" dxfId="2170" priority="3026" operator="equal">
      <formula>"neutral"</formula>
    </cfRule>
    <cfRule type="cellIs" dxfId="2169" priority="3027" operator="equal">
      <formula>"rogue"</formula>
    </cfRule>
    <cfRule type="cellIs" dxfId="2168" priority="3028" operator="equal">
      <formula>"Guardian"</formula>
    </cfRule>
    <cfRule type="cellIs" dxfId="2167" priority="3029" operator="equal">
      <formula>"Survivor"</formula>
    </cfRule>
    <cfRule type="cellIs" dxfId="2166" priority="3030" operator="equal">
      <formula>"Mystic"</formula>
    </cfRule>
  </conditionalFormatting>
  <conditionalFormatting sqref="AM1264">
    <cfRule type="cellIs" dxfId="2165" priority="3019" operator="equal">
      <formula>"seeker"</formula>
    </cfRule>
    <cfRule type="cellIs" dxfId="2164" priority="3020" operator="equal">
      <formula>"neutral"</formula>
    </cfRule>
    <cfRule type="cellIs" dxfId="2163" priority="3021" operator="equal">
      <formula>"rogue"</formula>
    </cfRule>
    <cfRule type="cellIs" dxfId="2162" priority="3022" operator="equal">
      <formula>"Guardian"</formula>
    </cfRule>
    <cfRule type="cellIs" dxfId="2161" priority="3023" operator="equal">
      <formula>"Survivor"</formula>
    </cfRule>
    <cfRule type="cellIs" dxfId="2160" priority="3024" operator="equal">
      <formula>"Mystic"</formula>
    </cfRule>
  </conditionalFormatting>
  <conditionalFormatting sqref="K1274">
    <cfRule type="cellIs" dxfId="2159" priority="3013" operator="equal">
      <formula>"seeker"</formula>
    </cfRule>
    <cfRule type="cellIs" dxfId="2158" priority="3014" operator="equal">
      <formula>"neutral"</formula>
    </cfRule>
    <cfRule type="cellIs" dxfId="2157" priority="3015" operator="equal">
      <formula>"rogue"</formula>
    </cfRule>
    <cfRule type="cellIs" dxfId="2156" priority="3016" operator="equal">
      <formula>"Guardian"</formula>
    </cfRule>
    <cfRule type="cellIs" dxfId="2155" priority="3017" operator="equal">
      <formula>"Survivor"</formula>
    </cfRule>
    <cfRule type="cellIs" dxfId="2154" priority="3018" operator="equal">
      <formula>"Mystic"</formula>
    </cfRule>
  </conditionalFormatting>
  <conditionalFormatting sqref="AL1274">
    <cfRule type="cellIs" dxfId="2153" priority="3007" operator="equal">
      <formula>"Seeker"</formula>
    </cfRule>
    <cfRule type="cellIs" dxfId="2152" priority="3008" operator="equal">
      <formula>"Neutral"</formula>
    </cfRule>
    <cfRule type="cellIs" dxfId="2151" priority="3009" operator="equal">
      <formula>"Rogue"</formula>
    </cfRule>
    <cfRule type="cellIs" dxfId="2150" priority="3010" operator="equal">
      <formula>"Guardian"</formula>
    </cfRule>
    <cfRule type="cellIs" dxfId="2149" priority="3011" operator="equal">
      <formula>"Survivor"</formula>
    </cfRule>
    <cfRule type="cellIs" dxfId="2148" priority="3012" operator="equal">
      <formula>"Mystic"</formula>
    </cfRule>
  </conditionalFormatting>
  <conditionalFormatting sqref="AM1252">
    <cfRule type="cellIs" dxfId="2147" priority="3001" operator="equal">
      <formula>"seeker"</formula>
    </cfRule>
    <cfRule type="cellIs" dxfId="2146" priority="3002" operator="equal">
      <formula>"neutral"</formula>
    </cfRule>
    <cfRule type="cellIs" dxfId="2145" priority="3003" operator="equal">
      <formula>"rogue"</formula>
    </cfRule>
    <cfRule type="cellIs" dxfId="2144" priority="3004" operator="equal">
      <formula>"Guardian"</formula>
    </cfRule>
    <cfRule type="cellIs" dxfId="2143" priority="3005" operator="equal">
      <formula>"Survivor"</formula>
    </cfRule>
    <cfRule type="cellIs" dxfId="2142" priority="3006" operator="equal">
      <formula>"Mystic"</formula>
    </cfRule>
  </conditionalFormatting>
  <conditionalFormatting sqref="K1294:K1307 AM1307 AM1313:AM1314 K1311:K1314 AM1325:AM1331 K1319:K1331 AM1318:AM1323">
    <cfRule type="cellIs" dxfId="2141" priority="2995" operator="equal">
      <formula>"seeker"</formula>
    </cfRule>
    <cfRule type="cellIs" dxfId="2140" priority="2996" operator="equal">
      <formula>"neutral"</formula>
    </cfRule>
    <cfRule type="cellIs" dxfId="2139" priority="2997" operator="equal">
      <formula>"rogue"</formula>
    </cfRule>
    <cfRule type="cellIs" dxfId="2138" priority="2998" operator="equal">
      <formula>"Guardian"</formula>
    </cfRule>
    <cfRule type="cellIs" dxfId="2137" priority="2999" operator="equal">
      <formula>"Survivor"</formula>
    </cfRule>
    <cfRule type="cellIs" dxfId="2136" priority="3000" operator="equal">
      <formula>"Mystic"</formula>
    </cfRule>
  </conditionalFormatting>
  <conditionalFormatting sqref="AL1298:AL1304">
    <cfRule type="cellIs" dxfId="2135" priority="2989" operator="equal">
      <formula>"Seeker"</formula>
    </cfRule>
    <cfRule type="cellIs" dxfId="2134" priority="2990" operator="equal">
      <formula>"Neutral"</formula>
    </cfRule>
    <cfRule type="cellIs" dxfId="2133" priority="2991" operator="equal">
      <formula>"Rogue"</formula>
    </cfRule>
    <cfRule type="cellIs" dxfId="2132" priority="2992" operator="equal">
      <formula>"Guardian"</formula>
    </cfRule>
    <cfRule type="cellIs" dxfId="2131" priority="2993" operator="equal">
      <formula>"Survivor"</formula>
    </cfRule>
    <cfRule type="cellIs" dxfId="2130" priority="2994" operator="equal">
      <formula>"Mystic"</formula>
    </cfRule>
  </conditionalFormatting>
  <conditionalFormatting sqref="AM1317">
    <cfRule type="cellIs" dxfId="2129" priority="2983" operator="equal">
      <formula>"seeker"</formula>
    </cfRule>
    <cfRule type="cellIs" dxfId="2128" priority="2984" operator="equal">
      <formula>"neutral"</formula>
    </cfRule>
    <cfRule type="cellIs" dxfId="2127" priority="2985" operator="equal">
      <formula>"rogue"</formula>
    </cfRule>
    <cfRule type="cellIs" dxfId="2126" priority="2986" operator="equal">
      <formula>"Guardian"</formula>
    </cfRule>
    <cfRule type="cellIs" dxfId="2125" priority="2987" operator="equal">
      <formula>"Survivor"</formula>
    </cfRule>
    <cfRule type="cellIs" dxfId="2124" priority="2988" operator="equal">
      <formula>"Mystic"</formula>
    </cfRule>
  </conditionalFormatting>
  <conditionalFormatting sqref="K1293">
    <cfRule type="cellIs" dxfId="2123" priority="2977" operator="equal">
      <formula>"Seeker"</formula>
    </cfRule>
    <cfRule type="cellIs" dxfId="2122" priority="2978" operator="equal">
      <formula>"Neutral"</formula>
    </cfRule>
    <cfRule type="cellIs" dxfId="2121" priority="2979" operator="equal">
      <formula>"Rogue"</formula>
    </cfRule>
    <cfRule type="cellIs" dxfId="2120" priority="2980" operator="equal">
      <formula>"Guardian"</formula>
    </cfRule>
    <cfRule type="cellIs" dxfId="2119" priority="2981" operator="equal">
      <formula>"Survivor"</formula>
    </cfRule>
    <cfRule type="cellIs" dxfId="2118" priority="2982" operator="equal">
      <formula>"Mystic"</formula>
    </cfRule>
  </conditionalFormatting>
  <conditionalFormatting sqref="AM1294:AM1297">
    <cfRule type="cellIs" dxfId="2117" priority="2971" operator="equal">
      <formula>"seeker"</formula>
    </cfRule>
    <cfRule type="cellIs" dxfId="2116" priority="2972" operator="equal">
      <formula>"neutral"</formula>
    </cfRule>
    <cfRule type="cellIs" dxfId="2115" priority="2973" operator="equal">
      <formula>"rogue"</formula>
    </cfRule>
    <cfRule type="cellIs" dxfId="2114" priority="2974" operator="equal">
      <formula>"Guardian"</formula>
    </cfRule>
    <cfRule type="cellIs" dxfId="2113" priority="2975" operator="equal">
      <formula>"Survivor"</formula>
    </cfRule>
    <cfRule type="cellIs" dxfId="2112" priority="2976" operator="equal">
      <formula>"Mystic"</formula>
    </cfRule>
  </conditionalFormatting>
  <conditionalFormatting sqref="AM1293">
    <cfRule type="cellIs" dxfId="2111" priority="2965" operator="equal">
      <formula>"Seeker"</formula>
    </cfRule>
    <cfRule type="cellIs" dxfId="2110" priority="2966" operator="equal">
      <formula>"Neutral"</formula>
    </cfRule>
    <cfRule type="cellIs" dxfId="2109" priority="2967" operator="equal">
      <formula>"Rogue"</formula>
    </cfRule>
    <cfRule type="cellIs" dxfId="2108" priority="2968" operator="equal">
      <formula>"Guardian"</formula>
    </cfRule>
    <cfRule type="cellIs" dxfId="2107" priority="2969" operator="equal">
      <formula>"Survivor"</formula>
    </cfRule>
    <cfRule type="cellIs" dxfId="2106" priority="2970" operator="equal">
      <formula>"Mystic"</formula>
    </cfRule>
  </conditionalFormatting>
  <conditionalFormatting sqref="K1308">
    <cfRule type="cellIs" dxfId="2105" priority="2959" operator="equal">
      <formula>"Seeker"</formula>
    </cfRule>
    <cfRule type="cellIs" dxfId="2104" priority="2960" operator="equal">
      <formula>"Neutral"</formula>
    </cfRule>
    <cfRule type="cellIs" dxfId="2103" priority="2961" operator="equal">
      <formula>"Rogue"</formula>
    </cfRule>
    <cfRule type="cellIs" dxfId="2102" priority="2962" operator="equal">
      <formula>"Guardian"</formula>
    </cfRule>
    <cfRule type="cellIs" dxfId="2101" priority="2963" operator="equal">
      <formula>"Survivor"</formula>
    </cfRule>
    <cfRule type="cellIs" dxfId="2100" priority="2964" operator="equal">
      <formula>"Mystic"</formula>
    </cfRule>
  </conditionalFormatting>
  <conditionalFormatting sqref="AM1308">
    <cfRule type="cellIs" dxfId="2099" priority="2953" operator="equal">
      <formula>"Seeker"</formula>
    </cfRule>
    <cfRule type="cellIs" dxfId="2098" priority="2954" operator="equal">
      <formula>"Neutral"</formula>
    </cfRule>
    <cfRule type="cellIs" dxfId="2097" priority="2955" operator="equal">
      <formula>"Rogue"</formula>
    </cfRule>
    <cfRule type="cellIs" dxfId="2096" priority="2956" operator="equal">
      <formula>"Guardian"</formula>
    </cfRule>
    <cfRule type="cellIs" dxfId="2095" priority="2957" operator="equal">
      <formula>"Survivor"</formula>
    </cfRule>
    <cfRule type="cellIs" dxfId="2094" priority="2958" operator="equal">
      <formula>"Mystic"</formula>
    </cfRule>
  </conditionalFormatting>
  <conditionalFormatting sqref="K1309">
    <cfRule type="cellIs" dxfId="2093" priority="2947" operator="equal">
      <formula>"Seeker"</formula>
    </cfRule>
    <cfRule type="cellIs" dxfId="2092" priority="2948" operator="equal">
      <formula>"Neutral"</formula>
    </cfRule>
    <cfRule type="cellIs" dxfId="2091" priority="2949" operator="equal">
      <formula>"Rogue"</formula>
    </cfRule>
    <cfRule type="cellIs" dxfId="2090" priority="2950" operator="equal">
      <formula>"Guardian"</formula>
    </cfRule>
    <cfRule type="cellIs" dxfId="2089" priority="2951" operator="equal">
      <formula>"Survivor"</formula>
    </cfRule>
    <cfRule type="cellIs" dxfId="2088" priority="2952" operator="equal">
      <formula>"Mystic"</formula>
    </cfRule>
  </conditionalFormatting>
  <conditionalFormatting sqref="K1310">
    <cfRule type="cellIs" dxfId="2087" priority="2941" operator="equal">
      <formula>"Seeker"</formula>
    </cfRule>
    <cfRule type="cellIs" dxfId="2086" priority="2942" operator="equal">
      <formula>"Neutral"</formula>
    </cfRule>
    <cfRule type="cellIs" dxfId="2085" priority="2943" operator="equal">
      <formula>"Rogue"</formula>
    </cfRule>
    <cfRule type="cellIs" dxfId="2084" priority="2944" operator="equal">
      <formula>"Guardian"</formula>
    </cfRule>
    <cfRule type="cellIs" dxfId="2083" priority="2945" operator="equal">
      <formula>"Survivor"</formula>
    </cfRule>
    <cfRule type="cellIs" dxfId="2082" priority="2946" operator="equal">
      <formula>"Mystic"</formula>
    </cfRule>
  </conditionalFormatting>
  <conditionalFormatting sqref="K1315">
    <cfRule type="cellIs" dxfId="2081" priority="2935" operator="equal">
      <formula>"seeker"</formula>
    </cfRule>
    <cfRule type="cellIs" dxfId="2080" priority="2936" operator="equal">
      <formula>"neutral"</formula>
    </cfRule>
    <cfRule type="cellIs" dxfId="2079" priority="2937" operator="equal">
      <formula>"rogue"</formula>
    </cfRule>
    <cfRule type="cellIs" dxfId="2078" priority="2938" operator="equal">
      <formula>"Guardian"</formula>
    </cfRule>
    <cfRule type="cellIs" dxfId="2077" priority="2939" operator="equal">
      <formula>"Survivor"</formula>
    </cfRule>
    <cfRule type="cellIs" dxfId="2076" priority="2940" operator="equal">
      <formula>"Mystic"</formula>
    </cfRule>
  </conditionalFormatting>
  <conditionalFormatting sqref="AM1315">
    <cfRule type="cellIs" dxfId="2075" priority="2929" operator="equal">
      <formula>"seeker"</formula>
    </cfRule>
    <cfRule type="cellIs" dxfId="2074" priority="2930" operator="equal">
      <formula>"neutral"</formula>
    </cfRule>
    <cfRule type="cellIs" dxfId="2073" priority="2931" operator="equal">
      <formula>"rogue"</formula>
    </cfRule>
    <cfRule type="cellIs" dxfId="2072" priority="2932" operator="equal">
      <formula>"Guardian"</formula>
    </cfRule>
    <cfRule type="cellIs" dxfId="2071" priority="2933" operator="equal">
      <formula>"Survivor"</formula>
    </cfRule>
    <cfRule type="cellIs" dxfId="2070" priority="2934" operator="equal">
      <formula>"Mystic"</formula>
    </cfRule>
  </conditionalFormatting>
  <conditionalFormatting sqref="K1316">
    <cfRule type="cellIs" dxfId="2069" priority="2923" operator="equal">
      <formula>"seeker"</formula>
    </cfRule>
    <cfRule type="cellIs" dxfId="2068" priority="2924" operator="equal">
      <formula>"neutral"</formula>
    </cfRule>
    <cfRule type="cellIs" dxfId="2067" priority="2925" operator="equal">
      <formula>"rogue"</formula>
    </cfRule>
    <cfRule type="cellIs" dxfId="2066" priority="2926" operator="equal">
      <formula>"Guardian"</formula>
    </cfRule>
    <cfRule type="cellIs" dxfId="2065" priority="2927" operator="equal">
      <formula>"Survivor"</formula>
    </cfRule>
    <cfRule type="cellIs" dxfId="2064" priority="2928" operator="equal">
      <formula>"Mystic"</formula>
    </cfRule>
  </conditionalFormatting>
  <conditionalFormatting sqref="AM1316">
    <cfRule type="cellIs" dxfId="2063" priority="2917" operator="equal">
      <formula>"seeker"</formula>
    </cfRule>
    <cfRule type="cellIs" dxfId="2062" priority="2918" operator="equal">
      <formula>"neutral"</formula>
    </cfRule>
    <cfRule type="cellIs" dxfId="2061" priority="2919" operator="equal">
      <formula>"rogue"</formula>
    </cfRule>
    <cfRule type="cellIs" dxfId="2060" priority="2920" operator="equal">
      <formula>"Guardian"</formula>
    </cfRule>
    <cfRule type="cellIs" dxfId="2059" priority="2921" operator="equal">
      <formula>"Survivor"</formula>
    </cfRule>
    <cfRule type="cellIs" dxfId="2058" priority="2922" operator="equal">
      <formula>"Mystic"</formula>
    </cfRule>
  </conditionalFormatting>
  <conditionalFormatting sqref="K1317">
    <cfRule type="cellIs" dxfId="2057" priority="2911" operator="equal">
      <formula>"seeker"</formula>
    </cfRule>
    <cfRule type="cellIs" dxfId="2056" priority="2912" operator="equal">
      <formula>"neutral"</formula>
    </cfRule>
    <cfRule type="cellIs" dxfId="2055" priority="2913" operator="equal">
      <formula>"rogue"</formula>
    </cfRule>
    <cfRule type="cellIs" dxfId="2054" priority="2914" operator="equal">
      <formula>"Guardian"</formula>
    </cfRule>
    <cfRule type="cellIs" dxfId="2053" priority="2915" operator="equal">
      <formula>"Survivor"</formula>
    </cfRule>
    <cfRule type="cellIs" dxfId="2052" priority="2916" operator="equal">
      <formula>"Mystic"</formula>
    </cfRule>
  </conditionalFormatting>
  <conditionalFormatting sqref="K1318">
    <cfRule type="cellIs" dxfId="2051" priority="2905" operator="equal">
      <formula>"seeker"</formula>
    </cfRule>
    <cfRule type="cellIs" dxfId="2050" priority="2906" operator="equal">
      <formula>"neutral"</formula>
    </cfRule>
    <cfRule type="cellIs" dxfId="2049" priority="2907" operator="equal">
      <formula>"rogue"</formula>
    </cfRule>
    <cfRule type="cellIs" dxfId="2048" priority="2908" operator="equal">
      <formula>"Guardian"</formula>
    </cfRule>
    <cfRule type="cellIs" dxfId="2047" priority="2909" operator="equal">
      <formula>"Survivor"</formula>
    </cfRule>
    <cfRule type="cellIs" dxfId="2046" priority="2910" operator="equal">
      <formula>"Mystic"</formula>
    </cfRule>
  </conditionalFormatting>
  <conditionalFormatting sqref="AM1324">
    <cfRule type="cellIs" dxfId="2045" priority="2899" operator="equal">
      <formula>"seeker"</formula>
    </cfRule>
    <cfRule type="cellIs" dxfId="2044" priority="2900" operator="equal">
      <formula>"neutral"</formula>
    </cfRule>
    <cfRule type="cellIs" dxfId="2043" priority="2901" operator="equal">
      <formula>"rogue"</formula>
    </cfRule>
    <cfRule type="cellIs" dxfId="2042" priority="2902" operator="equal">
      <formula>"Guardian"</formula>
    </cfRule>
    <cfRule type="cellIs" dxfId="2041" priority="2903" operator="equal">
      <formula>"Survivor"</formula>
    </cfRule>
    <cfRule type="cellIs" dxfId="2040" priority="2904" operator="equal">
      <formula>"Mystic"</formula>
    </cfRule>
  </conditionalFormatting>
  <conditionalFormatting sqref="AM1312">
    <cfRule type="cellIs" dxfId="2039" priority="2893" operator="equal">
      <formula>"seeker"</formula>
    </cfRule>
    <cfRule type="cellIs" dxfId="2038" priority="2894" operator="equal">
      <formula>"neutral"</formula>
    </cfRule>
    <cfRule type="cellIs" dxfId="2037" priority="2895" operator="equal">
      <formula>"rogue"</formula>
    </cfRule>
    <cfRule type="cellIs" dxfId="2036" priority="2896" operator="equal">
      <formula>"Guardian"</formula>
    </cfRule>
    <cfRule type="cellIs" dxfId="2035" priority="2897" operator="equal">
      <formula>"Survivor"</formula>
    </cfRule>
    <cfRule type="cellIs" dxfId="2034" priority="2898" operator="equal">
      <formula>"Mystic"</formula>
    </cfRule>
  </conditionalFormatting>
  <conditionalFormatting sqref="AM1374:AM1421 K1374:K1421 AM1432:AM1436 K1333:K1346 AM1346 AM1352:AM1353 K1350:K1353 AM1364:AM1372 K1358:K1372 AM1357:AM1362">
    <cfRule type="cellIs" dxfId="2033" priority="2689" operator="equal">
      <formula>"seeker"</formula>
    </cfRule>
    <cfRule type="cellIs" dxfId="2032" priority="2690" operator="equal">
      <formula>"neutral"</formula>
    </cfRule>
    <cfRule type="cellIs" dxfId="2031" priority="2691" operator="equal">
      <formula>"rogue"</formula>
    </cfRule>
    <cfRule type="cellIs" dxfId="2030" priority="2692" operator="equal">
      <formula>"Guardian"</formula>
    </cfRule>
    <cfRule type="cellIs" dxfId="2029" priority="2693" operator="equal">
      <formula>"Survivor"</formula>
    </cfRule>
    <cfRule type="cellIs" dxfId="2028" priority="2694" operator="equal">
      <formula>"Mystic"</formula>
    </cfRule>
  </conditionalFormatting>
  <conditionalFormatting sqref="AL1337:AL1343">
    <cfRule type="cellIs" dxfId="2027" priority="2683" operator="equal">
      <formula>"Seeker"</formula>
    </cfRule>
    <cfRule type="cellIs" dxfId="2026" priority="2684" operator="equal">
      <formula>"Neutral"</formula>
    </cfRule>
    <cfRule type="cellIs" dxfId="2025" priority="2685" operator="equal">
      <formula>"Rogue"</formula>
    </cfRule>
    <cfRule type="cellIs" dxfId="2024" priority="2686" operator="equal">
      <formula>"Guardian"</formula>
    </cfRule>
    <cfRule type="cellIs" dxfId="2023" priority="2687" operator="equal">
      <formula>"Survivor"</formula>
    </cfRule>
    <cfRule type="cellIs" dxfId="2022" priority="2688" operator="equal">
      <formula>"Mystic"</formula>
    </cfRule>
  </conditionalFormatting>
  <conditionalFormatting sqref="AM1356">
    <cfRule type="cellIs" dxfId="2021" priority="2677" operator="equal">
      <formula>"seeker"</formula>
    </cfRule>
    <cfRule type="cellIs" dxfId="2020" priority="2678" operator="equal">
      <formula>"neutral"</formula>
    </cfRule>
    <cfRule type="cellIs" dxfId="2019" priority="2679" operator="equal">
      <formula>"rogue"</formula>
    </cfRule>
    <cfRule type="cellIs" dxfId="2018" priority="2680" operator="equal">
      <formula>"Guardian"</formula>
    </cfRule>
    <cfRule type="cellIs" dxfId="2017" priority="2681" operator="equal">
      <formula>"Survivor"</formula>
    </cfRule>
    <cfRule type="cellIs" dxfId="2016" priority="2682" operator="equal">
      <formula>"Mystic"</formula>
    </cfRule>
  </conditionalFormatting>
  <conditionalFormatting sqref="K1332">
    <cfRule type="cellIs" dxfId="2015" priority="2671" operator="equal">
      <formula>"Seeker"</formula>
    </cfRule>
    <cfRule type="cellIs" dxfId="2014" priority="2672" operator="equal">
      <formula>"Neutral"</formula>
    </cfRule>
    <cfRule type="cellIs" dxfId="2013" priority="2673" operator="equal">
      <formula>"Rogue"</formula>
    </cfRule>
    <cfRule type="cellIs" dxfId="2012" priority="2674" operator="equal">
      <formula>"Guardian"</formula>
    </cfRule>
    <cfRule type="cellIs" dxfId="2011" priority="2675" operator="equal">
      <formula>"Survivor"</formula>
    </cfRule>
    <cfRule type="cellIs" dxfId="2010" priority="2676" operator="equal">
      <formula>"Mystic"</formula>
    </cfRule>
  </conditionalFormatting>
  <conditionalFormatting sqref="AM1333:AM1336">
    <cfRule type="cellIs" dxfId="2009" priority="2665" operator="equal">
      <formula>"seeker"</formula>
    </cfRule>
    <cfRule type="cellIs" dxfId="2008" priority="2666" operator="equal">
      <formula>"neutral"</formula>
    </cfRule>
    <cfRule type="cellIs" dxfId="2007" priority="2667" operator="equal">
      <formula>"rogue"</formula>
    </cfRule>
    <cfRule type="cellIs" dxfId="2006" priority="2668" operator="equal">
      <formula>"Guardian"</formula>
    </cfRule>
    <cfRule type="cellIs" dxfId="2005" priority="2669" operator="equal">
      <formula>"Survivor"</formula>
    </cfRule>
    <cfRule type="cellIs" dxfId="2004" priority="2670" operator="equal">
      <formula>"Mystic"</formula>
    </cfRule>
  </conditionalFormatting>
  <conditionalFormatting sqref="AM1332">
    <cfRule type="cellIs" dxfId="2003" priority="2659" operator="equal">
      <formula>"Seeker"</formula>
    </cfRule>
    <cfRule type="cellIs" dxfId="2002" priority="2660" operator="equal">
      <formula>"Neutral"</formula>
    </cfRule>
    <cfRule type="cellIs" dxfId="2001" priority="2661" operator="equal">
      <formula>"Rogue"</formula>
    </cfRule>
    <cfRule type="cellIs" dxfId="2000" priority="2662" operator="equal">
      <formula>"Guardian"</formula>
    </cfRule>
    <cfRule type="cellIs" dxfId="1999" priority="2663" operator="equal">
      <formula>"Survivor"</formula>
    </cfRule>
    <cfRule type="cellIs" dxfId="1998" priority="2664" operator="equal">
      <formula>"Mystic"</formula>
    </cfRule>
  </conditionalFormatting>
  <conditionalFormatting sqref="K1347">
    <cfRule type="cellIs" dxfId="1997" priority="2653" operator="equal">
      <formula>"Seeker"</formula>
    </cfRule>
    <cfRule type="cellIs" dxfId="1996" priority="2654" operator="equal">
      <formula>"Neutral"</formula>
    </cfRule>
    <cfRule type="cellIs" dxfId="1995" priority="2655" operator="equal">
      <formula>"Rogue"</formula>
    </cfRule>
    <cfRule type="cellIs" dxfId="1994" priority="2656" operator="equal">
      <formula>"Guardian"</formula>
    </cfRule>
    <cfRule type="cellIs" dxfId="1993" priority="2657" operator="equal">
      <formula>"Survivor"</formula>
    </cfRule>
    <cfRule type="cellIs" dxfId="1992" priority="2658" operator="equal">
      <formula>"Mystic"</formula>
    </cfRule>
  </conditionalFormatting>
  <conditionalFormatting sqref="AM1347">
    <cfRule type="cellIs" dxfId="1991" priority="2647" operator="equal">
      <formula>"Seeker"</formula>
    </cfRule>
    <cfRule type="cellIs" dxfId="1990" priority="2648" operator="equal">
      <formula>"Neutral"</formula>
    </cfRule>
    <cfRule type="cellIs" dxfId="1989" priority="2649" operator="equal">
      <formula>"Rogue"</formula>
    </cfRule>
    <cfRule type="cellIs" dxfId="1988" priority="2650" operator="equal">
      <formula>"Guardian"</formula>
    </cfRule>
    <cfRule type="cellIs" dxfId="1987" priority="2651" operator="equal">
      <formula>"Survivor"</formula>
    </cfRule>
    <cfRule type="cellIs" dxfId="1986" priority="2652" operator="equal">
      <formula>"Mystic"</formula>
    </cfRule>
  </conditionalFormatting>
  <conditionalFormatting sqref="K1348">
    <cfRule type="cellIs" dxfId="1985" priority="2641" operator="equal">
      <formula>"Seeker"</formula>
    </cfRule>
    <cfRule type="cellIs" dxfId="1984" priority="2642" operator="equal">
      <formula>"Neutral"</formula>
    </cfRule>
    <cfRule type="cellIs" dxfId="1983" priority="2643" operator="equal">
      <formula>"Rogue"</formula>
    </cfRule>
    <cfRule type="cellIs" dxfId="1982" priority="2644" operator="equal">
      <formula>"Guardian"</formula>
    </cfRule>
    <cfRule type="cellIs" dxfId="1981" priority="2645" operator="equal">
      <formula>"Survivor"</formula>
    </cfRule>
    <cfRule type="cellIs" dxfId="1980" priority="2646" operator="equal">
      <formula>"Mystic"</formula>
    </cfRule>
  </conditionalFormatting>
  <conditionalFormatting sqref="K1349">
    <cfRule type="cellIs" dxfId="1979" priority="2635" operator="equal">
      <formula>"Seeker"</formula>
    </cfRule>
    <cfRule type="cellIs" dxfId="1978" priority="2636" operator="equal">
      <formula>"Neutral"</formula>
    </cfRule>
    <cfRule type="cellIs" dxfId="1977" priority="2637" operator="equal">
      <formula>"Rogue"</formula>
    </cfRule>
    <cfRule type="cellIs" dxfId="1976" priority="2638" operator="equal">
      <formula>"Guardian"</formula>
    </cfRule>
    <cfRule type="cellIs" dxfId="1975" priority="2639" operator="equal">
      <formula>"Survivor"</formula>
    </cfRule>
    <cfRule type="cellIs" dxfId="1974" priority="2640" operator="equal">
      <formula>"Mystic"</formula>
    </cfRule>
  </conditionalFormatting>
  <conditionalFormatting sqref="K1354">
    <cfRule type="cellIs" dxfId="1973" priority="2629" operator="equal">
      <formula>"seeker"</formula>
    </cfRule>
    <cfRule type="cellIs" dxfId="1972" priority="2630" operator="equal">
      <formula>"neutral"</formula>
    </cfRule>
    <cfRule type="cellIs" dxfId="1971" priority="2631" operator="equal">
      <formula>"rogue"</formula>
    </cfRule>
    <cfRule type="cellIs" dxfId="1970" priority="2632" operator="equal">
      <formula>"Guardian"</formula>
    </cfRule>
    <cfRule type="cellIs" dxfId="1969" priority="2633" operator="equal">
      <formula>"Survivor"</formula>
    </cfRule>
    <cfRule type="cellIs" dxfId="1968" priority="2634" operator="equal">
      <formula>"Mystic"</formula>
    </cfRule>
  </conditionalFormatting>
  <conditionalFormatting sqref="AM1354">
    <cfRule type="cellIs" dxfId="1967" priority="2623" operator="equal">
      <formula>"seeker"</formula>
    </cfRule>
    <cfRule type="cellIs" dxfId="1966" priority="2624" operator="equal">
      <formula>"neutral"</formula>
    </cfRule>
    <cfRule type="cellIs" dxfId="1965" priority="2625" operator="equal">
      <formula>"rogue"</formula>
    </cfRule>
    <cfRule type="cellIs" dxfId="1964" priority="2626" operator="equal">
      <formula>"Guardian"</formula>
    </cfRule>
    <cfRule type="cellIs" dxfId="1963" priority="2627" operator="equal">
      <formula>"Survivor"</formula>
    </cfRule>
    <cfRule type="cellIs" dxfId="1962" priority="2628" operator="equal">
      <formula>"Mystic"</formula>
    </cfRule>
  </conditionalFormatting>
  <conditionalFormatting sqref="K1355">
    <cfRule type="cellIs" dxfId="1961" priority="2617" operator="equal">
      <formula>"seeker"</formula>
    </cfRule>
    <cfRule type="cellIs" dxfId="1960" priority="2618" operator="equal">
      <formula>"neutral"</formula>
    </cfRule>
    <cfRule type="cellIs" dxfId="1959" priority="2619" operator="equal">
      <formula>"rogue"</formula>
    </cfRule>
    <cfRule type="cellIs" dxfId="1958" priority="2620" operator="equal">
      <formula>"Guardian"</formula>
    </cfRule>
    <cfRule type="cellIs" dxfId="1957" priority="2621" operator="equal">
      <formula>"Survivor"</formula>
    </cfRule>
    <cfRule type="cellIs" dxfId="1956" priority="2622" operator="equal">
      <formula>"Mystic"</formula>
    </cfRule>
  </conditionalFormatting>
  <conditionalFormatting sqref="AM1355">
    <cfRule type="cellIs" dxfId="1955" priority="2611" operator="equal">
      <formula>"seeker"</formula>
    </cfRule>
    <cfRule type="cellIs" dxfId="1954" priority="2612" operator="equal">
      <formula>"neutral"</formula>
    </cfRule>
    <cfRule type="cellIs" dxfId="1953" priority="2613" operator="equal">
      <formula>"rogue"</formula>
    </cfRule>
    <cfRule type="cellIs" dxfId="1952" priority="2614" operator="equal">
      <formula>"Guardian"</formula>
    </cfRule>
    <cfRule type="cellIs" dxfId="1951" priority="2615" operator="equal">
      <formula>"Survivor"</formula>
    </cfRule>
    <cfRule type="cellIs" dxfId="1950" priority="2616" operator="equal">
      <formula>"Mystic"</formula>
    </cfRule>
  </conditionalFormatting>
  <conditionalFormatting sqref="K1356">
    <cfRule type="cellIs" dxfId="1949" priority="2605" operator="equal">
      <formula>"seeker"</formula>
    </cfRule>
    <cfRule type="cellIs" dxfId="1948" priority="2606" operator="equal">
      <formula>"neutral"</formula>
    </cfRule>
    <cfRule type="cellIs" dxfId="1947" priority="2607" operator="equal">
      <formula>"rogue"</formula>
    </cfRule>
    <cfRule type="cellIs" dxfId="1946" priority="2608" operator="equal">
      <formula>"Guardian"</formula>
    </cfRule>
    <cfRule type="cellIs" dxfId="1945" priority="2609" operator="equal">
      <formula>"Survivor"</formula>
    </cfRule>
    <cfRule type="cellIs" dxfId="1944" priority="2610" operator="equal">
      <formula>"Mystic"</formula>
    </cfRule>
  </conditionalFormatting>
  <conditionalFormatting sqref="K1357">
    <cfRule type="cellIs" dxfId="1943" priority="2599" operator="equal">
      <formula>"seeker"</formula>
    </cfRule>
    <cfRule type="cellIs" dxfId="1942" priority="2600" operator="equal">
      <formula>"neutral"</formula>
    </cfRule>
    <cfRule type="cellIs" dxfId="1941" priority="2601" operator="equal">
      <formula>"rogue"</formula>
    </cfRule>
    <cfRule type="cellIs" dxfId="1940" priority="2602" operator="equal">
      <formula>"Guardian"</formula>
    </cfRule>
    <cfRule type="cellIs" dxfId="1939" priority="2603" operator="equal">
      <formula>"Survivor"</formula>
    </cfRule>
    <cfRule type="cellIs" dxfId="1938" priority="2604" operator="equal">
      <formula>"Mystic"</formula>
    </cfRule>
  </conditionalFormatting>
  <conditionalFormatting sqref="AM1363">
    <cfRule type="cellIs" dxfId="1937" priority="2593" operator="equal">
      <formula>"seeker"</formula>
    </cfRule>
    <cfRule type="cellIs" dxfId="1936" priority="2594" operator="equal">
      <formula>"neutral"</formula>
    </cfRule>
    <cfRule type="cellIs" dxfId="1935" priority="2595" operator="equal">
      <formula>"rogue"</formula>
    </cfRule>
    <cfRule type="cellIs" dxfId="1934" priority="2596" operator="equal">
      <formula>"Guardian"</formula>
    </cfRule>
    <cfRule type="cellIs" dxfId="1933" priority="2597" operator="equal">
      <formula>"Survivor"</formula>
    </cfRule>
    <cfRule type="cellIs" dxfId="1932" priority="2598" operator="equal">
      <formula>"Mystic"</formula>
    </cfRule>
  </conditionalFormatting>
  <conditionalFormatting sqref="K1373">
    <cfRule type="cellIs" dxfId="1931" priority="2587" operator="equal">
      <formula>"seeker"</formula>
    </cfRule>
    <cfRule type="cellIs" dxfId="1930" priority="2588" operator="equal">
      <formula>"neutral"</formula>
    </cfRule>
    <cfRule type="cellIs" dxfId="1929" priority="2589" operator="equal">
      <formula>"rogue"</formula>
    </cfRule>
    <cfRule type="cellIs" dxfId="1928" priority="2590" operator="equal">
      <formula>"Guardian"</formula>
    </cfRule>
    <cfRule type="cellIs" dxfId="1927" priority="2591" operator="equal">
      <formula>"Survivor"</formula>
    </cfRule>
    <cfRule type="cellIs" dxfId="1926" priority="2592" operator="equal">
      <formula>"Mystic"</formula>
    </cfRule>
  </conditionalFormatting>
  <conditionalFormatting sqref="AL1373">
    <cfRule type="cellIs" dxfId="1925" priority="2581" operator="equal">
      <formula>"Seeker"</formula>
    </cfRule>
    <cfRule type="cellIs" dxfId="1924" priority="2582" operator="equal">
      <formula>"Neutral"</formula>
    </cfRule>
    <cfRule type="cellIs" dxfId="1923" priority="2583" operator="equal">
      <formula>"Rogue"</formula>
    </cfRule>
    <cfRule type="cellIs" dxfId="1922" priority="2584" operator="equal">
      <formula>"Guardian"</formula>
    </cfRule>
    <cfRule type="cellIs" dxfId="1921" priority="2585" operator="equal">
      <formula>"Survivor"</formula>
    </cfRule>
    <cfRule type="cellIs" dxfId="1920" priority="2586" operator="equal">
      <formula>"Mystic"</formula>
    </cfRule>
  </conditionalFormatting>
  <conditionalFormatting sqref="AM1428:AM1431">
    <cfRule type="cellIs" dxfId="1919" priority="2575" operator="equal">
      <formula>"seeker"</formula>
    </cfRule>
    <cfRule type="cellIs" dxfId="1918" priority="2576" operator="equal">
      <formula>"neutral"</formula>
    </cfRule>
    <cfRule type="cellIs" dxfId="1917" priority="2577" operator="equal">
      <formula>"rogue"</formula>
    </cfRule>
    <cfRule type="cellIs" dxfId="1916" priority="2578" operator="equal">
      <formula>"Guardian"</formula>
    </cfRule>
    <cfRule type="cellIs" dxfId="1915" priority="2579" operator="equal">
      <formula>"Survivor"</formula>
    </cfRule>
    <cfRule type="cellIs" dxfId="1914" priority="2580" operator="equal">
      <formula>"Mystic"</formula>
    </cfRule>
  </conditionalFormatting>
  <conditionalFormatting sqref="AM1427">
    <cfRule type="cellIs" dxfId="1913" priority="2569" operator="equal">
      <formula>"Seeker"</formula>
    </cfRule>
    <cfRule type="cellIs" dxfId="1912" priority="2570" operator="equal">
      <formula>"Neutral"</formula>
    </cfRule>
    <cfRule type="cellIs" dxfId="1911" priority="2571" operator="equal">
      <formula>"Rogue"</formula>
    </cfRule>
    <cfRule type="cellIs" dxfId="1910" priority="2572" operator="equal">
      <formula>"Guardian"</formula>
    </cfRule>
    <cfRule type="cellIs" dxfId="1909" priority="2573" operator="equal">
      <formula>"Survivor"</formula>
    </cfRule>
    <cfRule type="cellIs" dxfId="1908" priority="2574" operator="equal">
      <formula>"Mystic"</formula>
    </cfRule>
  </conditionalFormatting>
  <conditionalFormatting sqref="K1428:K1431">
    <cfRule type="cellIs" dxfId="1907" priority="2563" operator="equal">
      <formula>"seeker"</formula>
    </cfRule>
    <cfRule type="cellIs" dxfId="1906" priority="2564" operator="equal">
      <formula>"neutral"</formula>
    </cfRule>
    <cfRule type="cellIs" dxfId="1905" priority="2565" operator="equal">
      <formula>"rogue"</formula>
    </cfRule>
    <cfRule type="cellIs" dxfId="1904" priority="2566" operator="equal">
      <formula>"Guardian"</formula>
    </cfRule>
    <cfRule type="cellIs" dxfId="1903" priority="2567" operator="equal">
      <formula>"Survivor"</formula>
    </cfRule>
    <cfRule type="cellIs" dxfId="1902" priority="2568" operator="equal">
      <formula>"Mystic"</formula>
    </cfRule>
  </conditionalFormatting>
  <conditionalFormatting sqref="K1427">
    <cfRule type="cellIs" dxfId="1901" priority="2557" operator="equal">
      <formula>"Seeker"</formula>
    </cfRule>
    <cfRule type="cellIs" dxfId="1900" priority="2558" operator="equal">
      <formula>"Neutral"</formula>
    </cfRule>
    <cfRule type="cellIs" dxfId="1899" priority="2559" operator="equal">
      <formula>"Rogue"</formula>
    </cfRule>
    <cfRule type="cellIs" dxfId="1898" priority="2560" operator="equal">
      <formula>"Guardian"</formula>
    </cfRule>
    <cfRule type="cellIs" dxfId="1897" priority="2561" operator="equal">
      <formula>"Survivor"</formula>
    </cfRule>
    <cfRule type="cellIs" dxfId="1896" priority="2562" operator="equal">
      <formula>"Mystic"</formula>
    </cfRule>
  </conditionalFormatting>
  <conditionalFormatting sqref="K1432">
    <cfRule type="cellIs" dxfId="1895" priority="2551" operator="equal">
      <formula>"Seeker"</formula>
    </cfRule>
    <cfRule type="cellIs" dxfId="1894" priority="2552" operator="equal">
      <formula>"Neutral"</formula>
    </cfRule>
    <cfRule type="cellIs" dxfId="1893" priority="2553" operator="equal">
      <formula>"Rogue"</formula>
    </cfRule>
    <cfRule type="cellIs" dxfId="1892" priority="2554" operator="equal">
      <formula>"Guardian"</formula>
    </cfRule>
    <cfRule type="cellIs" dxfId="1891" priority="2555" operator="equal">
      <formula>"Survivor"</formula>
    </cfRule>
    <cfRule type="cellIs" dxfId="1890" priority="2556" operator="equal">
      <formula>"Mystic"</formula>
    </cfRule>
  </conditionalFormatting>
  <conditionalFormatting sqref="K1433">
    <cfRule type="cellIs" dxfId="1889" priority="2545" operator="equal">
      <formula>"Seeker"</formula>
    </cfRule>
    <cfRule type="cellIs" dxfId="1888" priority="2546" operator="equal">
      <formula>"Neutral"</formula>
    </cfRule>
    <cfRule type="cellIs" dxfId="1887" priority="2547" operator="equal">
      <formula>"Rogue"</formula>
    </cfRule>
    <cfRule type="cellIs" dxfId="1886" priority="2548" operator="equal">
      <formula>"Guardian"</formula>
    </cfRule>
    <cfRule type="cellIs" dxfId="1885" priority="2549" operator="equal">
      <formula>"Survivor"</formula>
    </cfRule>
    <cfRule type="cellIs" dxfId="1884" priority="2550" operator="equal">
      <formula>"Mystic"</formula>
    </cfRule>
  </conditionalFormatting>
  <conditionalFormatting sqref="K1434">
    <cfRule type="cellIs" dxfId="1883" priority="2539" operator="equal">
      <formula>"seeker"</formula>
    </cfRule>
    <cfRule type="cellIs" dxfId="1882" priority="2540" operator="equal">
      <formula>"neutral"</formula>
    </cfRule>
    <cfRule type="cellIs" dxfId="1881" priority="2541" operator="equal">
      <formula>"rogue"</formula>
    </cfRule>
    <cfRule type="cellIs" dxfId="1880" priority="2542" operator="equal">
      <formula>"Guardian"</formula>
    </cfRule>
    <cfRule type="cellIs" dxfId="1879" priority="2543" operator="equal">
      <formula>"Survivor"</formula>
    </cfRule>
    <cfRule type="cellIs" dxfId="1878" priority="2544" operator="equal">
      <formula>"Mystic"</formula>
    </cfRule>
  </conditionalFormatting>
  <conditionalFormatting sqref="K1435">
    <cfRule type="cellIs" dxfId="1877" priority="2533" operator="equal">
      <formula>"seeker"</formula>
    </cfRule>
    <cfRule type="cellIs" dxfId="1876" priority="2534" operator="equal">
      <formula>"neutral"</formula>
    </cfRule>
    <cfRule type="cellIs" dxfId="1875" priority="2535" operator="equal">
      <formula>"rogue"</formula>
    </cfRule>
    <cfRule type="cellIs" dxfId="1874" priority="2536" operator="equal">
      <formula>"Guardian"</formula>
    </cfRule>
    <cfRule type="cellIs" dxfId="1873" priority="2537" operator="equal">
      <formula>"Survivor"</formula>
    </cfRule>
    <cfRule type="cellIs" dxfId="1872" priority="2538" operator="equal">
      <formula>"Mystic"</formula>
    </cfRule>
  </conditionalFormatting>
  <conditionalFormatting sqref="K1436">
    <cfRule type="cellIs" dxfId="1871" priority="2527" operator="equal">
      <formula>"seeker"</formula>
    </cfRule>
    <cfRule type="cellIs" dxfId="1870" priority="2528" operator="equal">
      <formula>"neutral"</formula>
    </cfRule>
    <cfRule type="cellIs" dxfId="1869" priority="2529" operator="equal">
      <formula>"rogue"</formula>
    </cfRule>
    <cfRule type="cellIs" dxfId="1868" priority="2530" operator="equal">
      <formula>"Guardian"</formula>
    </cfRule>
    <cfRule type="cellIs" dxfId="1867" priority="2531" operator="equal">
      <formula>"Survivor"</formula>
    </cfRule>
    <cfRule type="cellIs" dxfId="1866" priority="2532" operator="equal">
      <formula>"Mystic"</formula>
    </cfRule>
  </conditionalFormatting>
  <conditionalFormatting sqref="AM1423:AM1426">
    <cfRule type="cellIs" dxfId="1865" priority="2521" operator="equal">
      <formula>"seeker"</formula>
    </cfRule>
    <cfRule type="cellIs" dxfId="1864" priority="2522" operator="equal">
      <formula>"neutral"</formula>
    </cfRule>
    <cfRule type="cellIs" dxfId="1863" priority="2523" operator="equal">
      <formula>"rogue"</formula>
    </cfRule>
    <cfRule type="cellIs" dxfId="1862" priority="2524" operator="equal">
      <formula>"Guardian"</formula>
    </cfRule>
    <cfRule type="cellIs" dxfId="1861" priority="2525" operator="equal">
      <formula>"Survivor"</formula>
    </cfRule>
    <cfRule type="cellIs" dxfId="1860" priority="2526" operator="equal">
      <formula>"Mystic"</formula>
    </cfRule>
  </conditionalFormatting>
  <conditionalFormatting sqref="AM1422">
    <cfRule type="cellIs" dxfId="1859" priority="2515" operator="equal">
      <formula>"Seeker"</formula>
    </cfRule>
    <cfRule type="cellIs" dxfId="1858" priority="2516" operator="equal">
      <formula>"Neutral"</formula>
    </cfRule>
    <cfRule type="cellIs" dxfId="1857" priority="2517" operator="equal">
      <formula>"Rogue"</formula>
    </cfRule>
    <cfRule type="cellIs" dxfId="1856" priority="2518" operator="equal">
      <formula>"Guardian"</formula>
    </cfRule>
    <cfRule type="cellIs" dxfId="1855" priority="2519" operator="equal">
      <formula>"Survivor"</formula>
    </cfRule>
    <cfRule type="cellIs" dxfId="1854" priority="2520" operator="equal">
      <formula>"Mystic"</formula>
    </cfRule>
  </conditionalFormatting>
  <conditionalFormatting sqref="K1423:K1426">
    <cfRule type="cellIs" dxfId="1853" priority="2509" operator="equal">
      <formula>"seeker"</formula>
    </cfRule>
    <cfRule type="cellIs" dxfId="1852" priority="2510" operator="equal">
      <formula>"neutral"</formula>
    </cfRule>
    <cfRule type="cellIs" dxfId="1851" priority="2511" operator="equal">
      <formula>"rogue"</formula>
    </cfRule>
    <cfRule type="cellIs" dxfId="1850" priority="2512" operator="equal">
      <formula>"Guardian"</formula>
    </cfRule>
    <cfRule type="cellIs" dxfId="1849" priority="2513" operator="equal">
      <formula>"Survivor"</formula>
    </cfRule>
    <cfRule type="cellIs" dxfId="1848" priority="2514" operator="equal">
      <formula>"Mystic"</formula>
    </cfRule>
  </conditionalFormatting>
  <conditionalFormatting sqref="K1422">
    <cfRule type="cellIs" dxfId="1847" priority="2503" operator="equal">
      <formula>"Seeker"</formula>
    </cfRule>
    <cfRule type="cellIs" dxfId="1846" priority="2504" operator="equal">
      <formula>"Neutral"</formula>
    </cfRule>
    <cfRule type="cellIs" dxfId="1845" priority="2505" operator="equal">
      <formula>"Rogue"</formula>
    </cfRule>
    <cfRule type="cellIs" dxfId="1844" priority="2506" operator="equal">
      <formula>"Guardian"</formula>
    </cfRule>
    <cfRule type="cellIs" dxfId="1843" priority="2507" operator="equal">
      <formula>"Survivor"</formula>
    </cfRule>
    <cfRule type="cellIs" dxfId="1842" priority="2508" operator="equal">
      <formula>"Mystic"</formula>
    </cfRule>
  </conditionalFormatting>
  <conditionalFormatting sqref="AM1351">
    <cfRule type="cellIs" dxfId="1841" priority="2497" operator="equal">
      <formula>"seeker"</formula>
    </cfRule>
    <cfRule type="cellIs" dxfId="1840" priority="2498" operator="equal">
      <formula>"neutral"</formula>
    </cfRule>
    <cfRule type="cellIs" dxfId="1839" priority="2499" operator="equal">
      <formula>"rogue"</formula>
    </cfRule>
    <cfRule type="cellIs" dxfId="1838" priority="2500" operator="equal">
      <formula>"Guardian"</formula>
    </cfRule>
    <cfRule type="cellIs" dxfId="1837" priority="2501" operator="equal">
      <formula>"Survivor"</formula>
    </cfRule>
    <cfRule type="cellIs" dxfId="1836" priority="2502" operator="equal">
      <formula>"Mystic"</formula>
    </cfRule>
  </conditionalFormatting>
  <conditionalFormatting sqref="K1438:K1447">
    <cfRule type="cellIs" dxfId="1835" priority="2491" operator="equal">
      <formula>"seeker"</formula>
    </cfRule>
    <cfRule type="cellIs" dxfId="1834" priority="2492" operator="equal">
      <formula>"neutral"</formula>
    </cfRule>
    <cfRule type="cellIs" dxfId="1833" priority="2493" operator="equal">
      <formula>"rogue"</formula>
    </cfRule>
    <cfRule type="cellIs" dxfId="1832" priority="2494" operator="equal">
      <formula>"Guardian"</formula>
    </cfRule>
    <cfRule type="cellIs" dxfId="1831" priority="2495" operator="equal">
      <formula>"Survivor"</formula>
    </cfRule>
    <cfRule type="cellIs" dxfId="1830" priority="2496" operator="equal">
      <formula>"Mystic"</formula>
    </cfRule>
  </conditionalFormatting>
  <conditionalFormatting sqref="AL1442:AL1447">
    <cfRule type="cellIs" dxfId="1829" priority="2485" operator="equal">
      <formula>"Seeker"</formula>
    </cfRule>
    <cfRule type="cellIs" dxfId="1828" priority="2486" operator="equal">
      <formula>"Neutral"</formula>
    </cfRule>
    <cfRule type="cellIs" dxfId="1827" priority="2487" operator="equal">
      <formula>"Rogue"</formula>
    </cfRule>
    <cfRule type="cellIs" dxfId="1826" priority="2488" operator="equal">
      <formula>"Guardian"</formula>
    </cfRule>
    <cfRule type="cellIs" dxfId="1825" priority="2489" operator="equal">
      <formula>"Survivor"</formula>
    </cfRule>
    <cfRule type="cellIs" dxfId="1824" priority="2490" operator="equal">
      <formula>"Mystic"</formula>
    </cfRule>
  </conditionalFormatting>
  <conditionalFormatting sqref="K1437">
    <cfRule type="cellIs" dxfId="1823" priority="2479" operator="equal">
      <formula>"Seeker"</formula>
    </cfRule>
    <cfRule type="cellIs" dxfId="1822" priority="2480" operator="equal">
      <formula>"Neutral"</formula>
    </cfRule>
    <cfRule type="cellIs" dxfId="1821" priority="2481" operator="equal">
      <formula>"Rogue"</formula>
    </cfRule>
    <cfRule type="cellIs" dxfId="1820" priority="2482" operator="equal">
      <formula>"Guardian"</formula>
    </cfRule>
    <cfRule type="cellIs" dxfId="1819" priority="2483" operator="equal">
      <formula>"Survivor"</formula>
    </cfRule>
    <cfRule type="cellIs" dxfId="1818" priority="2484" operator="equal">
      <formula>"Mystic"</formula>
    </cfRule>
  </conditionalFormatting>
  <conditionalFormatting sqref="AM1438:AM1441">
    <cfRule type="cellIs" dxfId="1817" priority="2473" operator="equal">
      <formula>"seeker"</formula>
    </cfRule>
    <cfRule type="cellIs" dxfId="1816" priority="2474" operator="equal">
      <formula>"neutral"</formula>
    </cfRule>
    <cfRule type="cellIs" dxfId="1815" priority="2475" operator="equal">
      <formula>"rogue"</formula>
    </cfRule>
    <cfRule type="cellIs" dxfId="1814" priority="2476" operator="equal">
      <formula>"Guardian"</formula>
    </cfRule>
    <cfRule type="cellIs" dxfId="1813" priority="2477" operator="equal">
      <formula>"Survivor"</formula>
    </cfRule>
    <cfRule type="cellIs" dxfId="1812" priority="2478" operator="equal">
      <formula>"Mystic"</formula>
    </cfRule>
  </conditionalFormatting>
  <conditionalFormatting sqref="AM1437">
    <cfRule type="cellIs" dxfId="1811" priority="2467" operator="equal">
      <formula>"Seeker"</formula>
    </cfRule>
    <cfRule type="cellIs" dxfId="1810" priority="2468" operator="equal">
      <formula>"Neutral"</formula>
    </cfRule>
    <cfRule type="cellIs" dxfId="1809" priority="2469" operator="equal">
      <formula>"Rogue"</formula>
    </cfRule>
    <cfRule type="cellIs" dxfId="1808" priority="2470" operator="equal">
      <formula>"Guardian"</formula>
    </cfRule>
    <cfRule type="cellIs" dxfId="1807" priority="2471" operator="equal">
      <formula>"Survivor"</formula>
    </cfRule>
    <cfRule type="cellIs" dxfId="1806" priority="2472" operator="equal">
      <formula>"Mystic"</formula>
    </cfRule>
  </conditionalFormatting>
  <conditionalFormatting sqref="AM1490:AM1509 K1490:K1509 K1449:K1462 AM1462 AM1468:AM1469 K1466:K1469 AM1480:AM1488 K1474:K1488 AM1473:AM1478">
    <cfRule type="cellIs" dxfId="1805" priority="2341" operator="equal">
      <formula>"seeker"</formula>
    </cfRule>
    <cfRule type="cellIs" dxfId="1804" priority="2342" operator="equal">
      <formula>"neutral"</formula>
    </cfRule>
    <cfRule type="cellIs" dxfId="1803" priority="2343" operator="equal">
      <formula>"rogue"</formula>
    </cfRule>
    <cfRule type="cellIs" dxfId="1802" priority="2344" operator="equal">
      <formula>"Guardian"</formula>
    </cfRule>
    <cfRule type="cellIs" dxfId="1801" priority="2345" operator="equal">
      <formula>"Survivor"</formula>
    </cfRule>
    <cfRule type="cellIs" dxfId="1800" priority="2346" operator="equal">
      <formula>"Mystic"</formula>
    </cfRule>
  </conditionalFormatting>
  <conditionalFormatting sqref="AL1453:AL1459">
    <cfRule type="cellIs" dxfId="1799" priority="2335" operator="equal">
      <formula>"Seeker"</formula>
    </cfRule>
    <cfRule type="cellIs" dxfId="1798" priority="2336" operator="equal">
      <formula>"Neutral"</formula>
    </cfRule>
    <cfRule type="cellIs" dxfId="1797" priority="2337" operator="equal">
      <formula>"Rogue"</formula>
    </cfRule>
    <cfRule type="cellIs" dxfId="1796" priority="2338" operator="equal">
      <formula>"Guardian"</formula>
    </cfRule>
    <cfRule type="cellIs" dxfId="1795" priority="2339" operator="equal">
      <formula>"Survivor"</formula>
    </cfRule>
    <cfRule type="cellIs" dxfId="1794" priority="2340" operator="equal">
      <formula>"Mystic"</formula>
    </cfRule>
  </conditionalFormatting>
  <conditionalFormatting sqref="AM1472">
    <cfRule type="cellIs" dxfId="1793" priority="2329" operator="equal">
      <formula>"seeker"</formula>
    </cfRule>
    <cfRule type="cellIs" dxfId="1792" priority="2330" operator="equal">
      <formula>"neutral"</formula>
    </cfRule>
    <cfRule type="cellIs" dxfId="1791" priority="2331" operator="equal">
      <formula>"rogue"</formula>
    </cfRule>
    <cfRule type="cellIs" dxfId="1790" priority="2332" operator="equal">
      <formula>"Guardian"</formula>
    </cfRule>
    <cfRule type="cellIs" dxfId="1789" priority="2333" operator="equal">
      <formula>"Survivor"</formula>
    </cfRule>
    <cfRule type="cellIs" dxfId="1788" priority="2334" operator="equal">
      <formula>"Mystic"</formula>
    </cfRule>
  </conditionalFormatting>
  <conditionalFormatting sqref="K1448">
    <cfRule type="cellIs" dxfId="1787" priority="2323" operator="equal">
      <formula>"Seeker"</formula>
    </cfRule>
    <cfRule type="cellIs" dxfId="1786" priority="2324" operator="equal">
      <formula>"Neutral"</formula>
    </cfRule>
    <cfRule type="cellIs" dxfId="1785" priority="2325" operator="equal">
      <formula>"Rogue"</formula>
    </cfRule>
    <cfRule type="cellIs" dxfId="1784" priority="2326" operator="equal">
      <formula>"Guardian"</formula>
    </cfRule>
    <cfRule type="cellIs" dxfId="1783" priority="2327" operator="equal">
      <formula>"Survivor"</formula>
    </cfRule>
    <cfRule type="cellIs" dxfId="1782" priority="2328" operator="equal">
      <formula>"Mystic"</formula>
    </cfRule>
  </conditionalFormatting>
  <conditionalFormatting sqref="AM1449:AM1452">
    <cfRule type="cellIs" dxfId="1781" priority="2317" operator="equal">
      <formula>"seeker"</formula>
    </cfRule>
    <cfRule type="cellIs" dxfId="1780" priority="2318" operator="equal">
      <formula>"neutral"</formula>
    </cfRule>
    <cfRule type="cellIs" dxfId="1779" priority="2319" operator="equal">
      <formula>"rogue"</formula>
    </cfRule>
    <cfRule type="cellIs" dxfId="1778" priority="2320" operator="equal">
      <formula>"Guardian"</formula>
    </cfRule>
    <cfRule type="cellIs" dxfId="1777" priority="2321" operator="equal">
      <formula>"Survivor"</formula>
    </cfRule>
    <cfRule type="cellIs" dxfId="1776" priority="2322" operator="equal">
      <formula>"Mystic"</formula>
    </cfRule>
  </conditionalFormatting>
  <conditionalFormatting sqref="AM1448">
    <cfRule type="cellIs" dxfId="1775" priority="2311" operator="equal">
      <formula>"Seeker"</formula>
    </cfRule>
    <cfRule type="cellIs" dxfId="1774" priority="2312" operator="equal">
      <formula>"Neutral"</formula>
    </cfRule>
    <cfRule type="cellIs" dxfId="1773" priority="2313" operator="equal">
      <formula>"Rogue"</formula>
    </cfRule>
    <cfRule type="cellIs" dxfId="1772" priority="2314" operator="equal">
      <formula>"Guardian"</formula>
    </cfRule>
    <cfRule type="cellIs" dxfId="1771" priority="2315" operator="equal">
      <formula>"Survivor"</formula>
    </cfRule>
    <cfRule type="cellIs" dxfId="1770" priority="2316" operator="equal">
      <formula>"Mystic"</formula>
    </cfRule>
  </conditionalFormatting>
  <conditionalFormatting sqref="K1463">
    <cfRule type="cellIs" dxfId="1769" priority="2305" operator="equal">
      <formula>"Seeker"</formula>
    </cfRule>
    <cfRule type="cellIs" dxfId="1768" priority="2306" operator="equal">
      <formula>"Neutral"</formula>
    </cfRule>
    <cfRule type="cellIs" dxfId="1767" priority="2307" operator="equal">
      <formula>"Rogue"</formula>
    </cfRule>
    <cfRule type="cellIs" dxfId="1766" priority="2308" operator="equal">
      <formula>"Guardian"</formula>
    </cfRule>
    <cfRule type="cellIs" dxfId="1765" priority="2309" operator="equal">
      <formula>"Survivor"</formula>
    </cfRule>
    <cfRule type="cellIs" dxfId="1764" priority="2310" operator="equal">
      <formula>"Mystic"</formula>
    </cfRule>
  </conditionalFormatting>
  <conditionalFormatting sqref="AM1463">
    <cfRule type="cellIs" dxfId="1763" priority="2299" operator="equal">
      <formula>"Seeker"</formula>
    </cfRule>
    <cfRule type="cellIs" dxfId="1762" priority="2300" operator="equal">
      <formula>"Neutral"</formula>
    </cfRule>
    <cfRule type="cellIs" dxfId="1761" priority="2301" operator="equal">
      <formula>"Rogue"</formula>
    </cfRule>
    <cfRule type="cellIs" dxfId="1760" priority="2302" operator="equal">
      <formula>"Guardian"</formula>
    </cfRule>
    <cfRule type="cellIs" dxfId="1759" priority="2303" operator="equal">
      <formula>"Survivor"</formula>
    </cfRule>
    <cfRule type="cellIs" dxfId="1758" priority="2304" operator="equal">
      <formula>"Mystic"</formula>
    </cfRule>
  </conditionalFormatting>
  <conditionalFormatting sqref="K1464">
    <cfRule type="cellIs" dxfId="1757" priority="2293" operator="equal">
      <formula>"Seeker"</formula>
    </cfRule>
    <cfRule type="cellIs" dxfId="1756" priority="2294" operator="equal">
      <formula>"Neutral"</formula>
    </cfRule>
    <cfRule type="cellIs" dxfId="1755" priority="2295" operator="equal">
      <formula>"Rogue"</formula>
    </cfRule>
    <cfRule type="cellIs" dxfId="1754" priority="2296" operator="equal">
      <formula>"Guardian"</formula>
    </cfRule>
    <cfRule type="cellIs" dxfId="1753" priority="2297" operator="equal">
      <formula>"Survivor"</formula>
    </cfRule>
    <cfRule type="cellIs" dxfId="1752" priority="2298" operator="equal">
      <formula>"Mystic"</formula>
    </cfRule>
  </conditionalFormatting>
  <conditionalFormatting sqref="K1465">
    <cfRule type="cellIs" dxfId="1751" priority="2287" operator="equal">
      <formula>"Seeker"</formula>
    </cfRule>
    <cfRule type="cellIs" dxfId="1750" priority="2288" operator="equal">
      <formula>"Neutral"</formula>
    </cfRule>
    <cfRule type="cellIs" dxfId="1749" priority="2289" operator="equal">
      <formula>"Rogue"</formula>
    </cfRule>
    <cfRule type="cellIs" dxfId="1748" priority="2290" operator="equal">
      <formula>"Guardian"</formula>
    </cfRule>
    <cfRule type="cellIs" dxfId="1747" priority="2291" operator="equal">
      <formula>"Survivor"</formula>
    </cfRule>
    <cfRule type="cellIs" dxfId="1746" priority="2292" operator="equal">
      <formula>"Mystic"</formula>
    </cfRule>
  </conditionalFormatting>
  <conditionalFormatting sqref="K1470">
    <cfRule type="cellIs" dxfId="1745" priority="2281" operator="equal">
      <formula>"seeker"</formula>
    </cfRule>
    <cfRule type="cellIs" dxfId="1744" priority="2282" operator="equal">
      <formula>"neutral"</formula>
    </cfRule>
    <cfRule type="cellIs" dxfId="1743" priority="2283" operator="equal">
      <formula>"rogue"</formula>
    </cfRule>
    <cfRule type="cellIs" dxfId="1742" priority="2284" operator="equal">
      <formula>"Guardian"</formula>
    </cfRule>
    <cfRule type="cellIs" dxfId="1741" priority="2285" operator="equal">
      <formula>"Survivor"</formula>
    </cfRule>
    <cfRule type="cellIs" dxfId="1740" priority="2286" operator="equal">
      <formula>"Mystic"</formula>
    </cfRule>
  </conditionalFormatting>
  <conditionalFormatting sqref="AM1470">
    <cfRule type="cellIs" dxfId="1739" priority="2275" operator="equal">
      <formula>"seeker"</formula>
    </cfRule>
    <cfRule type="cellIs" dxfId="1738" priority="2276" operator="equal">
      <formula>"neutral"</formula>
    </cfRule>
    <cfRule type="cellIs" dxfId="1737" priority="2277" operator="equal">
      <formula>"rogue"</formula>
    </cfRule>
    <cfRule type="cellIs" dxfId="1736" priority="2278" operator="equal">
      <formula>"Guardian"</formula>
    </cfRule>
    <cfRule type="cellIs" dxfId="1735" priority="2279" operator="equal">
      <formula>"Survivor"</formula>
    </cfRule>
    <cfRule type="cellIs" dxfId="1734" priority="2280" operator="equal">
      <formula>"Mystic"</formula>
    </cfRule>
  </conditionalFormatting>
  <conditionalFormatting sqref="K1471">
    <cfRule type="cellIs" dxfId="1733" priority="2269" operator="equal">
      <formula>"seeker"</formula>
    </cfRule>
    <cfRule type="cellIs" dxfId="1732" priority="2270" operator="equal">
      <formula>"neutral"</formula>
    </cfRule>
    <cfRule type="cellIs" dxfId="1731" priority="2271" operator="equal">
      <formula>"rogue"</formula>
    </cfRule>
    <cfRule type="cellIs" dxfId="1730" priority="2272" operator="equal">
      <formula>"Guardian"</formula>
    </cfRule>
    <cfRule type="cellIs" dxfId="1729" priority="2273" operator="equal">
      <formula>"Survivor"</formula>
    </cfRule>
    <cfRule type="cellIs" dxfId="1728" priority="2274" operator="equal">
      <formula>"Mystic"</formula>
    </cfRule>
  </conditionalFormatting>
  <conditionalFormatting sqref="AM1471">
    <cfRule type="cellIs" dxfId="1727" priority="2263" operator="equal">
      <formula>"seeker"</formula>
    </cfRule>
    <cfRule type="cellIs" dxfId="1726" priority="2264" operator="equal">
      <formula>"neutral"</formula>
    </cfRule>
    <cfRule type="cellIs" dxfId="1725" priority="2265" operator="equal">
      <formula>"rogue"</formula>
    </cfRule>
    <cfRule type="cellIs" dxfId="1724" priority="2266" operator="equal">
      <formula>"Guardian"</formula>
    </cfRule>
    <cfRule type="cellIs" dxfId="1723" priority="2267" operator="equal">
      <formula>"Survivor"</formula>
    </cfRule>
    <cfRule type="cellIs" dxfId="1722" priority="2268" operator="equal">
      <formula>"Mystic"</formula>
    </cfRule>
  </conditionalFormatting>
  <conditionalFormatting sqref="K1472">
    <cfRule type="cellIs" dxfId="1721" priority="2257" operator="equal">
      <formula>"seeker"</formula>
    </cfRule>
    <cfRule type="cellIs" dxfId="1720" priority="2258" operator="equal">
      <formula>"neutral"</formula>
    </cfRule>
    <cfRule type="cellIs" dxfId="1719" priority="2259" operator="equal">
      <formula>"rogue"</formula>
    </cfRule>
    <cfRule type="cellIs" dxfId="1718" priority="2260" operator="equal">
      <formula>"Guardian"</formula>
    </cfRule>
    <cfRule type="cellIs" dxfId="1717" priority="2261" operator="equal">
      <formula>"Survivor"</formula>
    </cfRule>
    <cfRule type="cellIs" dxfId="1716" priority="2262" operator="equal">
      <formula>"Mystic"</formula>
    </cfRule>
  </conditionalFormatting>
  <conditionalFormatting sqref="K1473">
    <cfRule type="cellIs" dxfId="1715" priority="2251" operator="equal">
      <formula>"seeker"</formula>
    </cfRule>
    <cfRule type="cellIs" dxfId="1714" priority="2252" operator="equal">
      <formula>"neutral"</formula>
    </cfRule>
    <cfRule type="cellIs" dxfId="1713" priority="2253" operator="equal">
      <formula>"rogue"</formula>
    </cfRule>
    <cfRule type="cellIs" dxfId="1712" priority="2254" operator="equal">
      <formula>"Guardian"</formula>
    </cfRule>
    <cfRule type="cellIs" dxfId="1711" priority="2255" operator="equal">
      <formula>"Survivor"</formula>
    </cfRule>
    <cfRule type="cellIs" dxfId="1710" priority="2256" operator="equal">
      <formula>"Mystic"</formula>
    </cfRule>
  </conditionalFormatting>
  <conditionalFormatting sqref="AM1479">
    <cfRule type="cellIs" dxfId="1709" priority="2245" operator="equal">
      <formula>"seeker"</formula>
    </cfRule>
    <cfRule type="cellIs" dxfId="1708" priority="2246" operator="equal">
      <formula>"neutral"</formula>
    </cfRule>
    <cfRule type="cellIs" dxfId="1707" priority="2247" operator="equal">
      <formula>"rogue"</formula>
    </cfRule>
    <cfRule type="cellIs" dxfId="1706" priority="2248" operator="equal">
      <formula>"Guardian"</formula>
    </cfRule>
    <cfRule type="cellIs" dxfId="1705" priority="2249" operator="equal">
      <formula>"Survivor"</formula>
    </cfRule>
    <cfRule type="cellIs" dxfId="1704" priority="2250" operator="equal">
      <formula>"Mystic"</formula>
    </cfRule>
  </conditionalFormatting>
  <conditionalFormatting sqref="K1489">
    <cfRule type="cellIs" dxfId="1703" priority="2239" operator="equal">
      <formula>"seeker"</formula>
    </cfRule>
    <cfRule type="cellIs" dxfId="1702" priority="2240" operator="equal">
      <formula>"neutral"</formula>
    </cfRule>
    <cfRule type="cellIs" dxfId="1701" priority="2241" operator="equal">
      <formula>"rogue"</formula>
    </cfRule>
    <cfRule type="cellIs" dxfId="1700" priority="2242" operator="equal">
      <formula>"Guardian"</formula>
    </cfRule>
    <cfRule type="cellIs" dxfId="1699" priority="2243" operator="equal">
      <formula>"Survivor"</formula>
    </cfRule>
    <cfRule type="cellIs" dxfId="1698" priority="2244" operator="equal">
      <formula>"Mystic"</formula>
    </cfRule>
  </conditionalFormatting>
  <conditionalFormatting sqref="AL1489">
    <cfRule type="cellIs" dxfId="1697" priority="2233" operator="equal">
      <formula>"Seeker"</formula>
    </cfRule>
    <cfRule type="cellIs" dxfId="1696" priority="2234" operator="equal">
      <formula>"Neutral"</formula>
    </cfRule>
    <cfRule type="cellIs" dxfId="1695" priority="2235" operator="equal">
      <formula>"Rogue"</formula>
    </cfRule>
    <cfRule type="cellIs" dxfId="1694" priority="2236" operator="equal">
      <formula>"Guardian"</formula>
    </cfRule>
    <cfRule type="cellIs" dxfId="1693" priority="2237" operator="equal">
      <formula>"Survivor"</formula>
    </cfRule>
    <cfRule type="cellIs" dxfId="1692" priority="2238" operator="equal">
      <formula>"Mystic"</formula>
    </cfRule>
  </conditionalFormatting>
  <conditionalFormatting sqref="AM1467">
    <cfRule type="cellIs" dxfId="1691" priority="2227" operator="equal">
      <formula>"seeker"</formula>
    </cfRule>
    <cfRule type="cellIs" dxfId="1690" priority="2228" operator="equal">
      <formula>"neutral"</formula>
    </cfRule>
    <cfRule type="cellIs" dxfId="1689" priority="2229" operator="equal">
      <formula>"rogue"</formula>
    </cfRule>
    <cfRule type="cellIs" dxfId="1688" priority="2230" operator="equal">
      <formula>"Guardian"</formula>
    </cfRule>
    <cfRule type="cellIs" dxfId="1687" priority="2231" operator="equal">
      <formula>"Survivor"</formula>
    </cfRule>
    <cfRule type="cellIs" dxfId="1686" priority="2232" operator="equal">
      <formula>"Mystic"</formula>
    </cfRule>
  </conditionalFormatting>
  <conditionalFormatting sqref="AM1558:AM1599 K1558:K1599 AM1610:AM1619">
    <cfRule type="cellIs" dxfId="1685" priority="1909" operator="equal">
      <formula>"seeker"</formula>
    </cfRule>
    <cfRule type="cellIs" dxfId="1684" priority="1910" operator="equal">
      <formula>"neutral"</formula>
    </cfRule>
    <cfRule type="cellIs" dxfId="1683" priority="1911" operator="equal">
      <formula>"rogue"</formula>
    </cfRule>
    <cfRule type="cellIs" dxfId="1682" priority="1912" operator="equal">
      <formula>"Guardian"</formula>
    </cfRule>
    <cfRule type="cellIs" dxfId="1681" priority="1913" operator="equal">
      <formula>"Survivor"</formula>
    </cfRule>
    <cfRule type="cellIs" dxfId="1680" priority="1914" operator="equal">
      <formula>"Mystic"</formula>
    </cfRule>
  </conditionalFormatting>
  <conditionalFormatting sqref="K1615">
    <cfRule type="cellIs" dxfId="1679" priority="1849" operator="equal">
      <formula>"seeker"</formula>
    </cfRule>
    <cfRule type="cellIs" dxfId="1678" priority="1850" operator="equal">
      <formula>"neutral"</formula>
    </cfRule>
    <cfRule type="cellIs" dxfId="1677" priority="1851" operator="equal">
      <formula>"rogue"</formula>
    </cfRule>
    <cfRule type="cellIs" dxfId="1676" priority="1852" operator="equal">
      <formula>"Guardian"</formula>
    </cfRule>
    <cfRule type="cellIs" dxfId="1675" priority="1853" operator="equal">
      <formula>"Survivor"</formula>
    </cfRule>
    <cfRule type="cellIs" dxfId="1674" priority="1854" operator="equal">
      <formula>"Mystic"</formula>
    </cfRule>
  </conditionalFormatting>
  <conditionalFormatting sqref="AM1606:AM1609">
    <cfRule type="cellIs" dxfId="1673" priority="1903" operator="equal">
      <formula>"seeker"</formula>
    </cfRule>
    <cfRule type="cellIs" dxfId="1672" priority="1904" operator="equal">
      <formula>"neutral"</formula>
    </cfRule>
    <cfRule type="cellIs" dxfId="1671" priority="1905" operator="equal">
      <formula>"rogue"</formula>
    </cfRule>
    <cfRule type="cellIs" dxfId="1670" priority="1906" operator="equal">
      <formula>"Guardian"</formula>
    </cfRule>
    <cfRule type="cellIs" dxfId="1669" priority="1907" operator="equal">
      <formula>"Survivor"</formula>
    </cfRule>
    <cfRule type="cellIs" dxfId="1668" priority="1908" operator="equal">
      <formula>"Mystic"</formula>
    </cfRule>
  </conditionalFormatting>
  <conditionalFormatting sqref="AM1605">
    <cfRule type="cellIs" dxfId="1667" priority="1897" operator="equal">
      <formula>"Seeker"</formula>
    </cfRule>
    <cfRule type="cellIs" dxfId="1666" priority="1898" operator="equal">
      <formula>"Neutral"</formula>
    </cfRule>
    <cfRule type="cellIs" dxfId="1665" priority="1899" operator="equal">
      <formula>"Rogue"</formula>
    </cfRule>
    <cfRule type="cellIs" dxfId="1664" priority="1900" operator="equal">
      <formula>"Guardian"</formula>
    </cfRule>
    <cfRule type="cellIs" dxfId="1663" priority="1901" operator="equal">
      <formula>"Survivor"</formula>
    </cfRule>
    <cfRule type="cellIs" dxfId="1662" priority="1902" operator="equal">
      <formula>"Mystic"</formula>
    </cfRule>
  </conditionalFormatting>
  <conditionalFormatting sqref="K1606:K1609">
    <cfRule type="cellIs" dxfId="1661" priority="1891" operator="equal">
      <formula>"seeker"</formula>
    </cfRule>
    <cfRule type="cellIs" dxfId="1660" priority="1892" operator="equal">
      <formula>"neutral"</formula>
    </cfRule>
    <cfRule type="cellIs" dxfId="1659" priority="1893" operator="equal">
      <formula>"rogue"</formula>
    </cfRule>
    <cfRule type="cellIs" dxfId="1658" priority="1894" operator="equal">
      <formula>"Guardian"</formula>
    </cfRule>
    <cfRule type="cellIs" dxfId="1657" priority="1895" operator="equal">
      <formula>"Survivor"</formula>
    </cfRule>
    <cfRule type="cellIs" dxfId="1656" priority="1896" operator="equal">
      <formula>"Mystic"</formula>
    </cfRule>
  </conditionalFormatting>
  <conditionalFormatting sqref="K1605">
    <cfRule type="cellIs" dxfId="1655" priority="1885" operator="equal">
      <formula>"Seeker"</formula>
    </cfRule>
    <cfRule type="cellIs" dxfId="1654" priority="1886" operator="equal">
      <formula>"Neutral"</formula>
    </cfRule>
    <cfRule type="cellIs" dxfId="1653" priority="1887" operator="equal">
      <formula>"Rogue"</formula>
    </cfRule>
    <cfRule type="cellIs" dxfId="1652" priority="1888" operator="equal">
      <formula>"Guardian"</formula>
    </cfRule>
    <cfRule type="cellIs" dxfId="1651" priority="1889" operator="equal">
      <formula>"Survivor"</formula>
    </cfRule>
    <cfRule type="cellIs" dxfId="1650" priority="1890" operator="equal">
      <formula>"Mystic"</formula>
    </cfRule>
  </conditionalFormatting>
  <conditionalFormatting sqref="K1610">
    <cfRule type="cellIs" dxfId="1649" priority="1879" operator="equal">
      <formula>"Seeker"</formula>
    </cfRule>
    <cfRule type="cellIs" dxfId="1648" priority="1880" operator="equal">
      <formula>"Neutral"</formula>
    </cfRule>
    <cfRule type="cellIs" dxfId="1647" priority="1881" operator="equal">
      <formula>"Rogue"</formula>
    </cfRule>
    <cfRule type="cellIs" dxfId="1646" priority="1882" operator="equal">
      <formula>"Guardian"</formula>
    </cfRule>
    <cfRule type="cellIs" dxfId="1645" priority="1883" operator="equal">
      <formula>"Survivor"</formula>
    </cfRule>
    <cfRule type="cellIs" dxfId="1644" priority="1884" operator="equal">
      <formula>"Mystic"</formula>
    </cfRule>
  </conditionalFormatting>
  <conditionalFormatting sqref="K1611">
    <cfRule type="cellIs" dxfId="1643" priority="1873" operator="equal">
      <formula>"Seeker"</formula>
    </cfRule>
    <cfRule type="cellIs" dxfId="1642" priority="1874" operator="equal">
      <formula>"Neutral"</formula>
    </cfRule>
    <cfRule type="cellIs" dxfId="1641" priority="1875" operator="equal">
      <formula>"Rogue"</formula>
    </cfRule>
    <cfRule type="cellIs" dxfId="1640" priority="1876" operator="equal">
      <formula>"Guardian"</formula>
    </cfRule>
    <cfRule type="cellIs" dxfId="1639" priority="1877" operator="equal">
      <formula>"Survivor"</formula>
    </cfRule>
    <cfRule type="cellIs" dxfId="1638" priority="1878" operator="equal">
      <formula>"Mystic"</formula>
    </cfRule>
  </conditionalFormatting>
  <conditionalFormatting sqref="K1612">
    <cfRule type="cellIs" dxfId="1637" priority="1867" operator="equal">
      <formula>"seeker"</formula>
    </cfRule>
    <cfRule type="cellIs" dxfId="1636" priority="1868" operator="equal">
      <formula>"neutral"</formula>
    </cfRule>
    <cfRule type="cellIs" dxfId="1635" priority="1869" operator="equal">
      <formula>"rogue"</formula>
    </cfRule>
    <cfRule type="cellIs" dxfId="1634" priority="1870" operator="equal">
      <formula>"Guardian"</formula>
    </cfRule>
    <cfRule type="cellIs" dxfId="1633" priority="1871" operator="equal">
      <formula>"Survivor"</formula>
    </cfRule>
    <cfRule type="cellIs" dxfId="1632" priority="1872" operator="equal">
      <formula>"Mystic"</formula>
    </cfRule>
  </conditionalFormatting>
  <conditionalFormatting sqref="K1613">
    <cfRule type="cellIs" dxfId="1631" priority="1861" operator="equal">
      <formula>"seeker"</formula>
    </cfRule>
    <cfRule type="cellIs" dxfId="1630" priority="1862" operator="equal">
      <formula>"neutral"</formula>
    </cfRule>
    <cfRule type="cellIs" dxfId="1629" priority="1863" operator="equal">
      <formula>"rogue"</formula>
    </cfRule>
    <cfRule type="cellIs" dxfId="1628" priority="1864" operator="equal">
      <formula>"Guardian"</formula>
    </cfRule>
    <cfRule type="cellIs" dxfId="1627" priority="1865" operator="equal">
      <formula>"Survivor"</formula>
    </cfRule>
    <cfRule type="cellIs" dxfId="1626" priority="1866" operator="equal">
      <formula>"Mystic"</formula>
    </cfRule>
  </conditionalFormatting>
  <conditionalFormatting sqref="K1614">
    <cfRule type="cellIs" dxfId="1625" priority="1855" operator="equal">
      <formula>"seeker"</formula>
    </cfRule>
    <cfRule type="cellIs" dxfId="1624" priority="1856" operator="equal">
      <formula>"neutral"</formula>
    </cfRule>
    <cfRule type="cellIs" dxfId="1623" priority="1857" operator="equal">
      <formula>"rogue"</formula>
    </cfRule>
    <cfRule type="cellIs" dxfId="1622" priority="1858" operator="equal">
      <formula>"Guardian"</formula>
    </cfRule>
    <cfRule type="cellIs" dxfId="1621" priority="1859" operator="equal">
      <formula>"Survivor"</formula>
    </cfRule>
    <cfRule type="cellIs" dxfId="1620" priority="1860" operator="equal">
      <formula>"Mystic"</formula>
    </cfRule>
  </conditionalFormatting>
  <conditionalFormatting sqref="K1616">
    <cfRule type="cellIs" dxfId="1619" priority="1843" operator="equal">
      <formula>"seeker"</formula>
    </cfRule>
    <cfRule type="cellIs" dxfId="1618" priority="1844" operator="equal">
      <formula>"neutral"</formula>
    </cfRule>
    <cfRule type="cellIs" dxfId="1617" priority="1845" operator="equal">
      <formula>"rogue"</formula>
    </cfRule>
    <cfRule type="cellIs" dxfId="1616" priority="1846" operator="equal">
      <formula>"Guardian"</formula>
    </cfRule>
    <cfRule type="cellIs" dxfId="1615" priority="1847" operator="equal">
      <formula>"Survivor"</formula>
    </cfRule>
    <cfRule type="cellIs" dxfId="1614" priority="1848" operator="equal">
      <formula>"Mystic"</formula>
    </cfRule>
  </conditionalFormatting>
  <conditionalFormatting sqref="K1617">
    <cfRule type="cellIs" dxfId="1613" priority="1837" operator="equal">
      <formula>"seeker"</formula>
    </cfRule>
    <cfRule type="cellIs" dxfId="1612" priority="1838" operator="equal">
      <formula>"neutral"</formula>
    </cfRule>
    <cfRule type="cellIs" dxfId="1611" priority="1839" operator="equal">
      <formula>"rogue"</formula>
    </cfRule>
    <cfRule type="cellIs" dxfId="1610" priority="1840" operator="equal">
      <formula>"Guardian"</formula>
    </cfRule>
    <cfRule type="cellIs" dxfId="1609" priority="1841" operator="equal">
      <formula>"Survivor"</formula>
    </cfRule>
    <cfRule type="cellIs" dxfId="1608" priority="1842" operator="equal">
      <formula>"Mystic"</formula>
    </cfRule>
  </conditionalFormatting>
  <conditionalFormatting sqref="K1618">
    <cfRule type="cellIs" dxfId="1607" priority="1831" operator="equal">
      <formula>"seeker"</formula>
    </cfRule>
    <cfRule type="cellIs" dxfId="1606" priority="1832" operator="equal">
      <formula>"neutral"</formula>
    </cfRule>
    <cfRule type="cellIs" dxfId="1605" priority="1833" operator="equal">
      <formula>"rogue"</formula>
    </cfRule>
    <cfRule type="cellIs" dxfId="1604" priority="1834" operator="equal">
      <formula>"Guardian"</formula>
    </cfRule>
    <cfRule type="cellIs" dxfId="1603" priority="1835" operator="equal">
      <formula>"Survivor"</formula>
    </cfRule>
    <cfRule type="cellIs" dxfId="1602" priority="1836" operator="equal">
      <formula>"Mystic"</formula>
    </cfRule>
  </conditionalFormatting>
  <conditionalFormatting sqref="K1619">
    <cfRule type="cellIs" dxfId="1601" priority="1825" operator="equal">
      <formula>"seeker"</formula>
    </cfRule>
    <cfRule type="cellIs" dxfId="1600" priority="1826" operator="equal">
      <formula>"neutral"</formula>
    </cfRule>
    <cfRule type="cellIs" dxfId="1599" priority="1827" operator="equal">
      <formula>"rogue"</formula>
    </cfRule>
    <cfRule type="cellIs" dxfId="1598" priority="1828" operator="equal">
      <formula>"Guardian"</formula>
    </cfRule>
    <cfRule type="cellIs" dxfId="1597" priority="1829" operator="equal">
      <formula>"Survivor"</formula>
    </cfRule>
    <cfRule type="cellIs" dxfId="1596" priority="1830" operator="equal">
      <formula>"Mystic"</formula>
    </cfRule>
  </conditionalFormatting>
  <conditionalFormatting sqref="AM1601:AM1604">
    <cfRule type="cellIs" dxfId="1595" priority="1819" operator="equal">
      <formula>"seeker"</formula>
    </cfRule>
    <cfRule type="cellIs" dxfId="1594" priority="1820" operator="equal">
      <formula>"neutral"</formula>
    </cfRule>
    <cfRule type="cellIs" dxfId="1593" priority="1821" operator="equal">
      <formula>"rogue"</formula>
    </cfRule>
    <cfRule type="cellIs" dxfId="1592" priority="1822" operator="equal">
      <formula>"Guardian"</formula>
    </cfRule>
    <cfRule type="cellIs" dxfId="1591" priority="1823" operator="equal">
      <formula>"Survivor"</formula>
    </cfRule>
    <cfRule type="cellIs" dxfId="1590" priority="1824" operator="equal">
      <formula>"Mystic"</formula>
    </cfRule>
  </conditionalFormatting>
  <conditionalFormatting sqref="AM1600">
    <cfRule type="cellIs" dxfId="1589" priority="1813" operator="equal">
      <formula>"Seeker"</formula>
    </cfRule>
    <cfRule type="cellIs" dxfId="1588" priority="1814" operator="equal">
      <formula>"Neutral"</formula>
    </cfRule>
    <cfRule type="cellIs" dxfId="1587" priority="1815" operator="equal">
      <formula>"Rogue"</formula>
    </cfRule>
    <cfRule type="cellIs" dxfId="1586" priority="1816" operator="equal">
      <formula>"Guardian"</formula>
    </cfRule>
    <cfRule type="cellIs" dxfId="1585" priority="1817" operator="equal">
      <formula>"Survivor"</formula>
    </cfRule>
    <cfRule type="cellIs" dxfId="1584" priority="1818" operator="equal">
      <formula>"Mystic"</formula>
    </cfRule>
  </conditionalFormatting>
  <conditionalFormatting sqref="K1601:K1604">
    <cfRule type="cellIs" dxfId="1583" priority="1807" operator="equal">
      <formula>"seeker"</formula>
    </cfRule>
    <cfRule type="cellIs" dxfId="1582" priority="1808" operator="equal">
      <formula>"neutral"</formula>
    </cfRule>
    <cfRule type="cellIs" dxfId="1581" priority="1809" operator="equal">
      <formula>"rogue"</formula>
    </cfRule>
    <cfRule type="cellIs" dxfId="1580" priority="1810" operator="equal">
      <formula>"Guardian"</formula>
    </cfRule>
    <cfRule type="cellIs" dxfId="1579" priority="1811" operator="equal">
      <formula>"Survivor"</formula>
    </cfRule>
    <cfRule type="cellIs" dxfId="1578" priority="1812" operator="equal">
      <formula>"Mystic"</formula>
    </cfRule>
  </conditionalFormatting>
  <conditionalFormatting sqref="K1600">
    <cfRule type="cellIs" dxfId="1577" priority="1801" operator="equal">
      <formula>"Seeker"</formula>
    </cfRule>
    <cfRule type="cellIs" dxfId="1576" priority="1802" operator="equal">
      <formula>"Neutral"</formula>
    </cfRule>
    <cfRule type="cellIs" dxfId="1575" priority="1803" operator="equal">
      <formula>"Rogue"</formula>
    </cfRule>
    <cfRule type="cellIs" dxfId="1574" priority="1804" operator="equal">
      <formula>"Guardian"</formula>
    </cfRule>
    <cfRule type="cellIs" dxfId="1573" priority="1805" operator="equal">
      <formula>"Survivor"</formula>
    </cfRule>
    <cfRule type="cellIs" dxfId="1572" priority="1806" operator="equal">
      <formula>"Mystic"</formula>
    </cfRule>
  </conditionalFormatting>
  <conditionalFormatting sqref="K1551">
    <cfRule type="cellIs" dxfId="1571" priority="1657" operator="equal">
      <formula>"seeker"</formula>
    </cfRule>
    <cfRule type="cellIs" dxfId="1570" priority="1658" operator="equal">
      <formula>"neutral"</formula>
    </cfRule>
    <cfRule type="cellIs" dxfId="1569" priority="1659" operator="equal">
      <formula>"rogue"</formula>
    </cfRule>
    <cfRule type="cellIs" dxfId="1568" priority="1660" operator="equal">
      <formula>"Guardian"</formula>
    </cfRule>
    <cfRule type="cellIs" dxfId="1567" priority="1661" operator="equal">
      <formula>"Survivor"</formula>
    </cfRule>
    <cfRule type="cellIs" dxfId="1566" priority="1662" operator="equal">
      <formula>"Mystic"</formula>
    </cfRule>
  </conditionalFormatting>
  <conditionalFormatting sqref="AM1553:AM1556">
    <cfRule type="cellIs" dxfId="1565" priority="1795" operator="equal">
      <formula>"seeker"</formula>
    </cfRule>
    <cfRule type="cellIs" dxfId="1564" priority="1796" operator="equal">
      <formula>"neutral"</formula>
    </cfRule>
    <cfRule type="cellIs" dxfId="1563" priority="1797" operator="equal">
      <formula>"rogue"</formula>
    </cfRule>
    <cfRule type="cellIs" dxfId="1562" priority="1798" operator="equal">
      <formula>"Guardian"</formula>
    </cfRule>
    <cfRule type="cellIs" dxfId="1561" priority="1799" operator="equal">
      <formula>"Survivor"</formula>
    </cfRule>
    <cfRule type="cellIs" dxfId="1560" priority="1800" operator="equal">
      <formula>"Mystic"</formula>
    </cfRule>
  </conditionalFormatting>
  <conditionalFormatting sqref="AM1552">
    <cfRule type="cellIs" dxfId="1559" priority="1789" operator="equal">
      <formula>"Seeker"</formula>
    </cfRule>
    <cfRule type="cellIs" dxfId="1558" priority="1790" operator="equal">
      <formula>"Neutral"</formula>
    </cfRule>
    <cfRule type="cellIs" dxfId="1557" priority="1791" operator="equal">
      <formula>"Rogue"</formula>
    </cfRule>
    <cfRule type="cellIs" dxfId="1556" priority="1792" operator="equal">
      <formula>"Guardian"</formula>
    </cfRule>
    <cfRule type="cellIs" dxfId="1555" priority="1793" operator="equal">
      <formula>"Survivor"</formula>
    </cfRule>
    <cfRule type="cellIs" dxfId="1554" priority="1794" operator="equal">
      <formula>"Mystic"</formula>
    </cfRule>
  </conditionalFormatting>
  <conditionalFormatting sqref="K1553:K1556">
    <cfRule type="cellIs" dxfId="1553" priority="1783" operator="equal">
      <formula>"seeker"</formula>
    </cfRule>
    <cfRule type="cellIs" dxfId="1552" priority="1784" operator="equal">
      <formula>"neutral"</formula>
    </cfRule>
    <cfRule type="cellIs" dxfId="1551" priority="1785" operator="equal">
      <formula>"rogue"</formula>
    </cfRule>
    <cfRule type="cellIs" dxfId="1550" priority="1786" operator="equal">
      <formula>"Guardian"</formula>
    </cfRule>
    <cfRule type="cellIs" dxfId="1549" priority="1787" operator="equal">
      <formula>"Survivor"</formula>
    </cfRule>
    <cfRule type="cellIs" dxfId="1548" priority="1788" operator="equal">
      <formula>"Mystic"</formula>
    </cfRule>
  </conditionalFormatting>
  <conditionalFormatting sqref="K1552">
    <cfRule type="cellIs" dxfId="1547" priority="1777" operator="equal">
      <formula>"Seeker"</formula>
    </cfRule>
    <cfRule type="cellIs" dxfId="1546" priority="1778" operator="equal">
      <formula>"Neutral"</formula>
    </cfRule>
    <cfRule type="cellIs" dxfId="1545" priority="1779" operator="equal">
      <formula>"Rogue"</formula>
    </cfRule>
    <cfRule type="cellIs" dxfId="1544" priority="1780" operator="equal">
      <formula>"Guardian"</formula>
    </cfRule>
    <cfRule type="cellIs" dxfId="1543" priority="1781" operator="equal">
      <formula>"Survivor"</formula>
    </cfRule>
    <cfRule type="cellIs" dxfId="1542" priority="1782" operator="equal">
      <formula>"Mystic"</formula>
    </cfRule>
  </conditionalFormatting>
  <conditionalFormatting sqref="K1557">
    <cfRule type="cellIs" dxfId="1541" priority="1771" operator="equal">
      <formula>"seeker"</formula>
    </cfRule>
    <cfRule type="cellIs" dxfId="1540" priority="1772" operator="equal">
      <formula>"neutral"</formula>
    </cfRule>
    <cfRule type="cellIs" dxfId="1539" priority="1773" operator="equal">
      <formula>"rogue"</formula>
    </cfRule>
    <cfRule type="cellIs" dxfId="1538" priority="1774" operator="equal">
      <formula>"Guardian"</formula>
    </cfRule>
    <cfRule type="cellIs" dxfId="1537" priority="1775" operator="equal">
      <formula>"Survivor"</formula>
    </cfRule>
    <cfRule type="cellIs" dxfId="1536" priority="1776" operator="equal">
      <formula>"Mystic"</formula>
    </cfRule>
  </conditionalFormatting>
  <conditionalFormatting sqref="AM1557">
    <cfRule type="cellIs" dxfId="1535" priority="1765" operator="equal">
      <formula>"seeker"</formula>
    </cfRule>
    <cfRule type="cellIs" dxfId="1534" priority="1766" operator="equal">
      <formula>"neutral"</formula>
    </cfRule>
    <cfRule type="cellIs" dxfId="1533" priority="1767" operator="equal">
      <formula>"rogue"</formula>
    </cfRule>
    <cfRule type="cellIs" dxfId="1532" priority="1768" operator="equal">
      <formula>"Guardian"</formula>
    </cfRule>
    <cfRule type="cellIs" dxfId="1531" priority="1769" operator="equal">
      <formula>"Survivor"</formula>
    </cfRule>
    <cfRule type="cellIs" dxfId="1530" priority="1770" operator="equal">
      <formula>"Mystic"</formula>
    </cfRule>
  </conditionalFormatting>
  <conditionalFormatting sqref="K1511:K1524 AM1524 AM1530:AM1531 K1528:K1531 AM1542:AM1550 K1536:K1550 AM1535:AM1540">
    <cfRule type="cellIs" dxfId="1529" priority="1759" operator="equal">
      <formula>"seeker"</formula>
    </cfRule>
    <cfRule type="cellIs" dxfId="1528" priority="1760" operator="equal">
      <formula>"neutral"</formula>
    </cfRule>
    <cfRule type="cellIs" dxfId="1527" priority="1761" operator="equal">
      <formula>"rogue"</formula>
    </cfRule>
    <cfRule type="cellIs" dxfId="1526" priority="1762" operator="equal">
      <formula>"Guardian"</formula>
    </cfRule>
    <cfRule type="cellIs" dxfId="1525" priority="1763" operator="equal">
      <formula>"Survivor"</formula>
    </cfRule>
    <cfRule type="cellIs" dxfId="1524" priority="1764" operator="equal">
      <formula>"Mystic"</formula>
    </cfRule>
  </conditionalFormatting>
  <conditionalFormatting sqref="AL1515:AL1521">
    <cfRule type="cellIs" dxfId="1523" priority="1753" operator="equal">
      <formula>"Seeker"</formula>
    </cfRule>
    <cfRule type="cellIs" dxfId="1522" priority="1754" operator="equal">
      <formula>"Neutral"</formula>
    </cfRule>
    <cfRule type="cellIs" dxfId="1521" priority="1755" operator="equal">
      <formula>"Rogue"</formula>
    </cfRule>
    <cfRule type="cellIs" dxfId="1520" priority="1756" operator="equal">
      <formula>"Guardian"</formula>
    </cfRule>
    <cfRule type="cellIs" dxfId="1519" priority="1757" operator="equal">
      <formula>"Survivor"</formula>
    </cfRule>
    <cfRule type="cellIs" dxfId="1518" priority="1758" operator="equal">
      <formula>"Mystic"</formula>
    </cfRule>
  </conditionalFormatting>
  <conditionalFormatting sqref="AM1534">
    <cfRule type="cellIs" dxfId="1517" priority="1747" operator="equal">
      <formula>"seeker"</formula>
    </cfRule>
    <cfRule type="cellIs" dxfId="1516" priority="1748" operator="equal">
      <formula>"neutral"</formula>
    </cfRule>
    <cfRule type="cellIs" dxfId="1515" priority="1749" operator="equal">
      <formula>"rogue"</formula>
    </cfRule>
    <cfRule type="cellIs" dxfId="1514" priority="1750" operator="equal">
      <formula>"Guardian"</formula>
    </cfRule>
    <cfRule type="cellIs" dxfId="1513" priority="1751" operator="equal">
      <formula>"Survivor"</formula>
    </cfRule>
    <cfRule type="cellIs" dxfId="1512" priority="1752" operator="equal">
      <formula>"Mystic"</formula>
    </cfRule>
  </conditionalFormatting>
  <conditionalFormatting sqref="K1510">
    <cfRule type="cellIs" dxfId="1511" priority="1741" operator="equal">
      <formula>"Seeker"</formula>
    </cfRule>
    <cfRule type="cellIs" dxfId="1510" priority="1742" operator="equal">
      <formula>"Neutral"</formula>
    </cfRule>
    <cfRule type="cellIs" dxfId="1509" priority="1743" operator="equal">
      <formula>"Rogue"</formula>
    </cfRule>
    <cfRule type="cellIs" dxfId="1508" priority="1744" operator="equal">
      <formula>"Guardian"</formula>
    </cfRule>
    <cfRule type="cellIs" dxfId="1507" priority="1745" operator="equal">
      <formula>"Survivor"</formula>
    </cfRule>
    <cfRule type="cellIs" dxfId="1506" priority="1746" operator="equal">
      <formula>"Mystic"</formula>
    </cfRule>
  </conditionalFormatting>
  <conditionalFormatting sqref="AM1511:AM1514">
    <cfRule type="cellIs" dxfId="1505" priority="1735" operator="equal">
      <formula>"seeker"</formula>
    </cfRule>
    <cfRule type="cellIs" dxfId="1504" priority="1736" operator="equal">
      <formula>"neutral"</formula>
    </cfRule>
    <cfRule type="cellIs" dxfId="1503" priority="1737" operator="equal">
      <formula>"rogue"</formula>
    </cfRule>
    <cfRule type="cellIs" dxfId="1502" priority="1738" operator="equal">
      <formula>"Guardian"</formula>
    </cfRule>
    <cfRule type="cellIs" dxfId="1501" priority="1739" operator="equal">
      <formula>"Survivor"</formula>
    </cfRule>
    <cfRule type="cellIs" dxfId="1500" priority="1740" operator="equal">
      <formula>"Mystic"</formula>
    </cfRule>
  </conditionalFormatting>
  <conditionalFormatting sqref="AM1510">
    <cfRule type="cellIs" dxfId="1499" priority="1729" operator="equal">
      <formula>"Seeker"</formula>
    </cfRule>
    <cfRule type="cellIs" dxfId="1498" priority="1730" operator="equal">
      <formula>"Neutral"</formula>
    </cfRule>
    <cfRule type="cellIs" dxfId="1497" priority="1731" operator="equal">
      <formula>"Rogue"</formula>
    </cfRule>
    <cfRule type="cellIs" dxfId="1496" priority="1732" operator="equal">
      <formula>"Guardian"</formula>
    </cfRule>
    <cfRule type="cellIs" dxfId="1495" priority="1733" operator="equal">
      <formula>"Survivor"</formula>
    </cfRule>
    <cfRule type="cellIs" dxfId="1494" priority="1734" operator="equal">
      <formula>"Mystic"</formula>
    </cfRule>
  </conditionalFormatting>
  <conditionalFormatting sqref="K1525">
    <cfRule type="cellIs" dxfId="1493" priority="1723" operator="equal">
      <formula>"Seeker"</formula>
    </cfRule>
    <cfRule type="cellIs" dxfId="1492" priority="1724" operator="equal">
      <formula>"Neutral"</formula>
    </cfRule>
    <cfRule type="cellIs" dxfId="1491" priority="1725" operator="equal">
      <formula>"Rogue"</formula>
    </cfRule>
    <cfRule type="cellIs" dxfId="1490" priority="1726" operator="equal">
      <formula>"Guardian"</formula>
    </cfRule>
    <cfRule type="cellIs" dxfId="1489" priority="1727" operator="equal">
      <formula>"Survivor"</formula>
    </cfRule>
    <cfRule type="cellIs" dxfId="1488" priority="1728" operator="equal">
      <formula>"Mystic"</formula>
    </cfRule>
  </conditionalFormatting>
  <conditionalFormatting sqref="AM1525">
    <cfRule type="cellIs" dxfId="1487" priority="1717" operator="equal">
      <formula>"Seeker"</formula>
    </cfRule>
    <cfRule type="cellIs" dxfId="1486" priority="1718" operator="equal">
      <formula>"Neutral"</formula>
    </cfRule>
    <cfRule type="cellIs" dxfId="1485" priority="1719" operator="equal">
      <formula>"Rogue"</formula>
    </cfRule>
    <cfRule type="cellIs" dxfId="1484" priority="1720" operator="equal">
      <formula>"Guardian"</formula>
    </cfRule>
    <cfRule type="cellIs" dxfId="1483" priority="1721" operator="equal">
      <formula>"Survivor"</formula>
    </cfRule>
    <cfRule type="cellIs" dxfId="1482" priority="1722" operator="equal">
      <formula>"Mystic"</formula>
    </cfRule>
  </conditionalFormatting>
  <conditionalFormatting sqref="K1526">
    <cfRule type="cellIs" dxfId="1481" priority="1711" operator="equal">
      <formula>"Seeker"</formula>
    </cfRule>
    <cfRule type="cellIs" dxfId="1480" priority="1712" operator="equal">
      <formula>"Neutral"</formula>
    </cfRule>
    <cfRule type="cellIs" dxfId="1479" priority="1713" operator="equal">
      <formula>"Rogue"</formula>
    </cfRule>
    <cfRule type="cellIs" dxfId="1478" priority="1714" operator="equal">
      <formula>"Guardian"</formula>
    </cfRule>
    <cfRule type="cellIs" dxfId="1477" priority="1715" operator="equal">
      <formula>"Survivor"</formula>
    </cfRule>
    <cfRule type="cellIs" dxfId="1476" priority="1716" operator="equal">
      <formula>"Mystic"</formula>
    </cfRule>
  </conditionalFormatting>
  <conditionalFormatting sqref="K1527">
    <cfRule type="cellIs" dxfId="1475" priority="1705" operator="equal">
      <formula>"Seeker"</formula>
    </cfRule>
    <cfRule type="cellIs" dxfId="1474" priority="1706" operator="equal">
      <formula>"Neutral"</formula>
    </cfRule>
    <cfRule type="cellIs" dxfId="1473" priority="1707" operator="equal">
      <formula>"Rogue"</formula>
    </cfRule>
    <cfRule type="cellIs" dxfId="1472" priority="1708" operator="equal">
      <formula>"Guardian"</formula>
    </cfRule>
    <cfRule type="cellIs" dxfId="1471" priority="1709" operator="equal">
      <formula>"Survivor"</formula>
    </cfRule>
    <cfRule type="cellIs" dxfId="1470" priority="1710" operator="equal">
      <formula>"Mystic"</formula>
    </cfRule>
  </conditionalFormatting>
  <conditionalFormatting sqref="K1532">
    <cfRule type="cellIs" dxfId="1469" priority="1699" operator="equal">
      <formula>"seeker"</formula>
    </cfRule>
    <cfRule type="cellIs" dxfId="1468" priority="1700" operator="equal">
      <formula>"neutral"</formula>
    </cfRule>
    <cfRule type="cellIs" dxfId="1467" priority="1701" operator="equal">
      <formula>"rogue"</formula>
    </cfRule>
    <cfRule type="cellIs" dxfId="1466" priority="1702" operator="equal">
      <formula>"Guardian"</formula>
    </cfRule>
    <cfRule type="cellIs" dxfId="1465" priority="1703" operator="equal">
      <formula>"Survivor"</formula>
    </cfRule>
    <cfRule type="cellIs" dxfId="1464" priority="1704" operator="equal">
      <formula>"Mystic"</formula>
    </cfRule>
  </conditionalFormatting>
  <conditionalFormatting sqref="AM1532">
    <cfRule type="cellIs" dxfId="1463" priority="1693" operator="equal">
      <formula>"seeker"</formula>
    </cfRule>
    <cfRule type="cellIs" dxfId="1462" priority="1694" operator="equal">
      <formula>"neutral"</formula>
    </cfRule>
    <cfRule type="cellIs" dxfId="1461" priority="1695" operator="equal">
      <formula>"rogue"</formula>
    </cfRule>
    <cfRule type="cellIs" dxfId="1460" priority="1696" operator="equal">
      <formula>"Guardian"</formula>
    </cfRule>
    <cfRule type="cellIs" dxfId="1459" priority="1697" operator="equal">
      <formula>"Survivor"</formula>
    </cfRule>
    <cfRule type="cellIs" dxfId="1458" priority="1698" operator="equal">
      <formula>"Mystic"</formula>
    </cfRule>
  </conditionalFormatting>
  <conditionalFormatting sqref="K1533">
    <cfRule type="cellIs" dxfId="1457" priority="1687" operator="equal">
      <formula>"seeker"</formula>
    </cfRule>
    <cfRule type="cellIs" dxfId="1456" priority="1688" operator="equal">
      <formula>"neutral"</formula>
    </cfRule>
    <cfRule type="cellIs" dxfId="1455" priority="1689" operator="equal">
      <formula>"rogue"</formula>
    </cfRule>
    <cfRule type="cellIs" dxfId="1454" priority="1690" operator="equal">
      <formula>"Guardian"</formula>
    </cfRule>
    <cfRule type="cellIs" dxfId="1453" priority="1691" operator="equal">
      <formula>"Survivor"</formula>
    </cfRule>
    <cfRule type="cellIs" dxfId="1452" priority="1692" operator="equal">
      <formula>"Mystic"</formula>
    </cfRule>
  </conditionalFormatting>
  <conditionalFormatting sqref="AM1533">
    <cfRule type="cellIs" dxfId="1451" priority="1681" operator="equal">
      <formula>"seeker"</formula>
    </cfRule>
    <cfRule type="cellIs" dxfId="1450" priority="1682" operator="equal">
      <formula>"neutral"</formula>
    </cfRule>
    <cfRule type="cellIs" dxfId="1449" priority="1683" operator="equal">
      <formula>"rogue"</formula>
    </cfRule>
    <cfRule type="cellIs" dxfId="1448" priority="1684" operator="equal">
      <formula>"Guardian"</formula>
    </cfRule>
    <cfRule type="cellIs" dxfId="1447" priority="1685" operator="equal">
      <formula>"Survivor"</formula>
    </cfRule>
    <cfRule type="cellIs" dxfId="1446" priority="1686" operator="equal">
      <formula>"Mystic"</formula>
    </cfRule>
  </conditionalFormatting>
  <conditionalFormatting sqref="K1534">
    <cfRule type="cellIs" dxfId="1445" priority="1675" operator="equal">
      <formula>"seeker"</formula>
    </cfRule>
    <cfRule type="cellIs" dxfId="1444" priority="1676" operator="equal">
      <formula>"neutral"</formula>
    </cfRule>
    <cfRule type="cellIs" dxfId="1443" priority="1677" operator="equal">
      <formula>"rogue"</formula>
    </cfRule>
    <cfRule type="cellIs" dxfId="1442" priority="1678" operator="equal">
      <formula>"Guardian"</formula>
    </cfRule>
    <cfRule type="cellIs" dxfId="1441" priority="1679" operator="equal">
      <formula>"Survivor"</formula>
    </cfRule>
    <cfRule type="cellIs" dxfId="1440" priority="1680" operator="equal">
      <formula>"Mystic"</formula>
    </cfRule>
  </conditionalFormatting>
  <conditionalFormatting sqref="K1535">
    <cfRule type="cellIs" dxfId="1439" priority="1669" operator="equal">
      <formula>"seeker"</formula>
    </cfRule>
    <cfRule type="cellIs" dxfId="1438" priority="1670" operator="equal">
      <formula>"neutral"</formula>
    </cfRule>
    <cfRule type="cellIs" dxfId="1437" priority="1671" operator="equal">
      <formula>"rogue"</formula>
    </cfRule>
    <cfRule type="cellIs" dxfId="1436" priority="1672" operator="equal">
      <formula>"Guardian"</formula>
    </cfRule>
    <cfRule type="cellIs" dxfId="1435" priority="1673" operator="equal">
      <formula>"Survivor"</formula>
    </cfRule>
    <cfRule type="cellIs" dxfId="1434" priority="1674" operator="equal">
      <formula>"Mystic"</formula>
    </cfRule>
  </conditionalFormatting>
  <conditionalFormatting sqref="AM1541">
    <cfRule type="cellIs" dxfId="1433" priority="1663" operator="equal">
      <formula>"seeker"</formula>
    </cfRule>
    <cfRule type="cellIs" dxfId="1432" priority="1664" operator="equal">
      <formula>"neutral"</formula>
    </cfRule>
    <cfRule type="cellIs" dxfId="1431" priority="1665" operator="equal">
      <formula>"rogue"</formula>
    </cfRule>
    <cfRule type="cellIs" dxfId="1430" priority="1666" operator="equal">
      <formula>"Guardian"</formula>
    </cfRule>
    <cfRule type="cellIs" dxfId="1429" priority="1667" operator="equal">
      <formula>"Survivor"</formula>
    </cfRule>
    <cfRule type="cellIs" dxfId="1428" priority="1668" operator="equal">
      <formula>"Mystic"</formula>
    </cfRule>
  </conditionalFormatting>
  <conditionalFormatting sqref="AL1551">
    <cfRule type="cellIs" dxfId="1427" priority="1651" operator="equal">
      <formula>"Seeker"</formula>
    </cfRule>
    <cfRule type="cellIs" dxfId="1426" priority="1652" operator="equal">
      <formula>"Neutral"</formula>
    </cfRule>
    <cfRule type="cellIs" dxfId="1425" priority="1653" operator="equal">
      <formula>"Rogue"</formula>
    </cfRule>
    <cfRule type="cellIs" dxfId="1424" priority="1654" operator="equal">
      <formula>"Guardian"</formula>
    </cfRule>
    <cfRule type="cellIs" dxfId="1423" priority="1655" operator="equal">
      <formula>"Survivor"</formula>
    </cfRule>
    <cfRule type="cellIs" dxfId="1422" priority="1656" operator="equal">
      <formula>"Mystic"</formula>
    </cfRule>
  </conditionalFormatting>
  <conditionalFormatting sqref="AM1529">
    <cfRule type="cellIs" dxfId="1421" priority="1645" operator="equal">
      <formula>"seeker"</formula>
    </cfRule>
    <cfRule type="cellIs" dxfId="1420" priority="1646" operator="equal">
      <formula>"neutral"</formula>
    </cfRule>
    <cfRule type="cellIs" dxfId="1419" priority="1647" operator="equal">
      <formula>"rogue"</formula>
    </cfRule>
    <cfRule type="cellIs" dxfId="1418" priority="1648" operator="equal">
      <formula>"Guardian"</formula>
    </cfRule>
    <cfRule type="cellIs" dxfId="1417" priority="1649" operator="equal">
      <formula>"Survivor"</formula>
    </cfRule>
    <cfRule type="cellIs" dxfId="1416" priority="1650" operator="equal">
      <formula>"Mystic"</formula>
    </cfRule>
  </conditionalFormatting>
  <conditionalFormatting sqref="AM1621:AM1624">
    <cfRule type="cellIs" dxfId="1415" priority="1639" operator="equal">
      <formula>"seeker"</formula>
    </cfRule>
    <cfRule type="cellIs" dxfId="1414" priority="1640" operator="equal">
      <formula>"neutral"</formula>
    </cfRule>
    <cfRule type="cellIs" dxfId="1413" priority="1641" operator="equal">
      <formula>"rogue"</formula>
    </cfRule>
    <cfRule type="cellIs" dxfId="1412" priority="1642" operator="equal">
      <formula>"Guardian"</formula>
    </cfRule>
    <cfRule type="cellIs" dxfId="1411" priority="1643" operator="equal">
      <formula>"Survivor"</formula>
    </cfRule>
    <cfRule type="cellIs" dxfId="1410" priority="1644" operator="equal">
      <formula>"Mystic"</formula>
    </cfRule>
  </conditionalFormatting>
  <conditionalFormatting sqref="AM1620">
    <cfRule type="cellIs" dxfId="1409" priority="1633" operator="equal">
      <formula>"Seeker"</formula>
    </cfRule>
    <cfRule type="cellIs" dxfId="1408" priority="1634" operator="equal">
      <formula>"Neutral"</formula>
    </cfRule>
    <cfRule type="cellIs" dxfId="1407" priority="1635" operator="equal">
      <formula>"Rogue"</formula>
    </cfRule>
    <cfRule type="cellIs" dxfId="1406" priority="1636" operator="equal">
      <formula>"Guardian"</formula>
    </cfRule>
    <cfRule type="cellIs" dxfId="1405" priority="1637" operator="equal">
      <formula>"Survivor"</formula>
    </cfRule>
    <cfRule type="cellIs" dxfId="1404" priority="1638" operator="equal">
      <formula>"Mystic"</formula>
    </cfRule>
  </conditionalFormatting>
  <conditionalFormatting sqref="K1621:K1624">
    <cfRule type="cellIs" dxfId="1403" priority="1627" operator="equal">
      <formula>"seeker"</formula>
    </cfRule>
    <cfRule type="cellIs" dxfId="1402" priority="1628" operator="equal">
      <formula>"neutral"</formula>
    </cfRule>
    <cfRule type="cellIs" dxfId="1401" priority="1629" operator="equal">
      <formula>"rogue"</formula>
    </cfRule>
    <cfRule type="cellIs" dxfId="1400" priority="1630" operator="equal">
      <formula>"Guardian"</formula>
    </cfRule>
    <cfRule type="cellIs" dxfId="1399" priority="1631" operator="equal">
      <formula>"Survivor"</formula>
    </cfRule>
    <cfRule type="cellIs" dxfId="1398" priority="1632" operator="equal">
      <formula>"Mystic"</formula>
    </cfRule>
  </conditionalFormatting>
  <conditionalFormatting sqref="K1620">
    <cfRule type="cellIs" dxfId="1397" priority="1621" operator="equal">
      <formula>"Seeker"</formula>
    </cfRule>
    <cfRule type="cellIs" dxfId="1396" priority="1622" operator="equal">
      <formula>"Neutral"</formula>
    </cfRule>
    <cfRule type="cellIs" dxfId="1395" priority="1623" operator="equal">
      <formula>"Rogue"</formula>
    </cfRule>
    <cfRule type="cellIs" dxfId="1394" priority="1624" operator="equal">
      <formula>"Guardian"</formula>
    </cfRule>
    <cfRule type="cellIs" dxfId="1393" priority="1625" operator="equal">
      <formula>"Survivor"</formula>
    </cfRule>
    <cfRule type="cellIs" dxfId="1392" priority="1626" operator="equal">
      <formula>"Mystic"</formula>
    </cfRule>
  </conditionalFormatting>
  <conditionalFormatting sqref="K1625">
    <cfRule type="cellIs" dxfId="1391" priority="1615" operator="equal">
      <formula>"seeker"</formula>
    </cfRule>
    <cfRule type="cellIs" dxfId="1390" priority="1616" operator="equal">
      <formula>"neutral"</formula>
    </cfRule>
    <cfRule type="cellIs" dxfId="1389" priority="1617" operator="equal">
      <formula>"rogue"</formula>
    </cfRule>
    <cfRule type="cellIs" dxfId="1388" priority="1618" operator="equal">
      <formula>"Guardian"</formula>
    </cfRule>
    <cfRule type="cellIs" dxfId="1387" priority="1619" operator="equal">
      <formula>"Survivor"</formula>
    </cfRule>
    <cfRule type="cellIs" dxfId="1386" priority="1620" operator="equal">
      <formula>"Mystic"</formula>
    </cfRule>
  </conditionalFormatting>
  <conditionalFormatting sqref="AM1625">
    <cfRule type="cellIs" dxfId="1385" priority="1609" operator="equal">
      <formula>"seeker"</formula>
    </cfRule>
    <cfRule type="cellIs" dxfId="1384" priority="1610" operator="equal">
      <formula>"neutral"</formula>
    </cfRule>
    <cfRule type="cellIs" dxfId="1383" priority="1611" operator="equal">
      <formula>"rogue"</formula>
    </cfRule>
    <cfRule type="cellIs" dxfId="1382" priority="1612" operator="equal">
      <formula>"Guardian"</formula>
    </cfRule>
    <cfRule type="cellIs" dxfId="1381" priority="1613" operator="equal">
      <formula>"Survivor"</formula>
    </cfRule>
    <cfRule type="cellIs" dxfId="1380" priority="1614" operator="equal">
      <formula>"Mystic"</formula>
    </cfRule>
  </conditionalFormatting>
  <conditionalFormatting sqref="AM1626">
    <cfRule type="cellIs" dxfId="1379" priority="1603" operator="equal">
      <formula>"Seeker"</formula>
    </cfRule>
    <cfRule type="cellIs" dxfId="1378" priority="1604" operator="equal">
      <formula>"Neutral"</formula>
    </cfRule>
    <cfRule type="cellIs" dxfId="1377" priority="1605" operator="equal">
      <formula>"Rogue"</formula>
    </cfRule>
    <cfRule type="cellIs" dxfId="1376" priority="1606" operator="equal">
      <formula>"Guardian"</formula>
    </cfRule>
    <cfRule type="cellIs" dxfId="1375" priority="1607" operator="equal">
      <formula>"Survivor"</formula>
    </cfRule>
    <cfRule type="cellIs" dxfId="1374" priority="1608" operator="equal">
      <formula>"Mystic"</formula>
    </cfRule>
  </conditionalFormatting>
  <conditionalFormatting sqref="AM1627">
    <cfRule type="cellIs" dxfId="1373" priority="1597" operator="equal">
      <formula>"Seeker"</formula>
    </cfRule>
    <cfRule type="cellIs" dxfId="1372" priority="1598" operator="equal">
      <formula>"Neutral"</formula>
    </cfRule>
    <cfRule type="cellIs" dxfId="1371" priority="1599" operator="equal">
      <formula>"Rogue"</formula>
    </cfRule>
    <cfRule type="cellIs" dxfId="1370" priority="1600" operator="equal">
      <formula>"Guardian"</formula>
    </cfRule>
    <cfRule type="cellIs" dxfId="1369" priority="1601" operator="equal">
      <formula>"Survivor"</formula>
    </cfRule>
    <cfRule type="cellIs" dxfId="1368" priority="1602" operator="equal">
      <formula>"Mystic"</formula>
    </cfRule>
  </conditionalFormatting>
  <conditionalFormatting sqref="AM1628">
    <cfRule type="cellIs" dxfId="1367" priority="1591" operator="equal">
      <formula>"Seeker"</formula>
    </cfRule>
    <cfRule type="cellIs" dxfId="1366" priority="1592" operator="equal">
      <formula>"Neutral"</formula>
    </cfRule>
    <cfRule type="cellIs" dxfId="1365" priority="1593" operator="equal">
      <formula>"Rogue"</formula>
    </cfRule>
    <cfRule type="cellIs" dxfId="1364" priority="1594" operator="equal">
      <formula>"Guardian"</formula>
    </cfRule>
    <cfRule type="cellIs" dxfId="1363" priority="1595" operator="equal">
      <formula>"Survivor"</formula>
    </cfRule>
    <cfRule type="cellIs" dxfId="1362" priority="1596" operator="equal">
      <formula>"Mystic"</formula>
    </cfRule>
  </conditionalFormatting>
  <conditionalFormatting sqref="AM1629">
    <cfRule type="cellIs" dxfId="1361" priority="1585" operator="equal">
      <formula>"Seeker"</formula>
    </cfRule>
    <cfRule type="cellIs" dxfId="1360" priority="1586" operator="equal">
      <formula>"Neutral"</formula>
    </cfRule>
    <cfRule type="cellIs" dxfId="1359" priority="1587" operator="equal">
      <formula>"Rogue"</formula>
    </cfRule>
    <cfRule type="cellIs" dxfId="1358" priority="1588" operator="equal">
      <formula>"Guardian"</formula>
    </cfRule>
    <cfRule type="cellIs" dxfId="1357" priority="1589" operator="equal">
      <formula>"Survivor"</formula>
    </cfRule>
    <cfRule type="cellIs" dxfId="1356" priority="1590" operator="equal">
      <formula>"Mystic"</formula>
    </cfRule>
  </conditionalFormatting>
  <conditionalFormatting sqref="K1626">
    <cfRule type="cellIs" dxfId="1355" priority="1579" operator="equal">
      <formula>"Seeker"</formula>
    </cfRule>
    <cfRule type="cellIs" dxfId="1354" priority="1580" operator="equal">
      <formula>"Neutral"</formula>
    </cfRule>
    <cfRule type="cellIs" dxfId="1353" priority="1581" operator="equal">
      <formula>"Rogue"</formula>
    </cfRule>
    <cfRule type="cellIs" dxfId="1352" priority="1582" operator="equal">
      <formula>"Guardian"</formula>
    </cfRule>
    <cfRule type="cellIs" dxfId="1351" priority="1583" operator="equal">
      <formula>"Survivor"</formula>
    </cfRule>
    <cfRule type="cellIs" dxfId="1350" priority="1584" operator="equal">
      <formula>"Mystic"</formula>
    </cfRule>
  </conditionalFormatting>
  <conditionalFormatting sqref="K1627">
    <cfRule type="cellIs" dxfId="1349" priority="1573" operator="equal">
      <formula>"Seeker"</formula>
    </cfRule>
    <cfRule type="cellIs" dxfId="1348" priority="1574" operator="equal">
      <formula>"Neutral"</formula>
    </cfRule>
    <cfRule type="cellIs" dxfId="1347" priority="1575" operator="equal">
      <formula>"Rogue"</formula>
    </cfRule>
    <cfRule type="cellIs" dxfId="1346" priority="1576" operator="equal">
      <formula>"Guardian"</formula>
    </cfRule>
    <cfRule type="cellIs" dxfId="1345" priority="1577" operator="equal">
      <formula>"Survivor"</formula>
    </cfRule>
    <cfRule type="cellIs" dxfId="1344" priority="1578" operator="equal">
      <formula>"Mystic"</formula>
    </cfRule>
  </conditionalFormatting>
  <conditionalFormatting sqref="K1628">
    <cfRule type="cellIs" dxfId="1343" priority="1567" operator="equal">
      <formula>"Seeker"</formula>
    </cfRule>
    <cfRule type="cellIs" dxfId="1342" priority="1568" operator="equal">
      <formula>"Neutral"</formula>
    </cfRule>
    <cfRule type="cellIs" dxfId="1341" priority="1569" operator="equal">
      <formula>"Rogue"</formula>
    </cfRule>
    <cfRule type="cellIs" dxfId="1340" priority="1570" operator="equal">
      <formula>"Guardian"</formula>
    </cfRule>
    <cfRule type="cellIs" dxfId="1339" priority="1571" operator="equal">
      <formula>"Survivor"</formula>
    </cfRule>
    <cfRule type="cellIs" dxfId="1338" priority="1572" operator="equal">
      <formula>"Mystic"</formula>
    </cfRule>
  </conditionalFormatting>
  <conditionalFormatting sqref="K1629">
    <cfRule type="cellIs" dxfId="1337" priority="1561" operator="equal">
      <formula>"Seeker"</formula>
    </cfRule>
    <cfRule type="cellIs" dxfId="1336" priority="1562" operator="equal">
      <formula>"Neutral"</formula>
    </cfRule>
    <cfRule type="cellIs" dxfId="1335" priority="1563" operator="equal">
      <formula>"Rogue"</formula>
    </cfRule>
    <cfRule type="cellIs" dxfId="1334" priority="1564" operator="equal">
      <formula>"Guardian"</formula>
    </cfRule>
    <cfRule type="cellIs" dxfId="1333" priority="1565" operator="equal">
      <formula>"Survivor"</formula>
    </cfRule>
    <cfRule type="cellIs" dxfId="1332" priority="1566" operator="equal">
      <formula>"Mystic"</formula>
    </cfRule>
  </conditionalFormatting>
  <conditionalFormatting sqref="K1673:K1686 AM1686 AM1692:AM1693 K1690:K1693 AM1704:AM1711 K1698:K1711 AM1697:AM1702">
    <cfRule type="cellIs" dxfId="1331" priority="1327" operator="equal">
      <formula>"seeker"</formula>
    </cfRule>
    <cfRule type="cellIs" dxfId="1330" priority="1328" operator="equal">
      <formula>"neutral"</formula>
    </cfRule>
    <cfRule type="cellIs" dxfId="1329" priority="1329" operator="equal">
      <formula>"rogue"</formula>
    </cfRule>
    <cfRule type="cellIs" dxfId="1328" priority="1330" operator="equal">
      <formula>"Guardian"</formula>
    </cfRule>
    <cfRule type="cellIs" dxfId="1327" priority="1331" operator="equal">
      <formula>"Survivor"</formula>
    </cfRule>
    <cfRule type="cellIs" dxfId="1326" priority="1332" operator="equal">
      <formula>"Mystic"</formula>
    </cfRule>
  </conditionalFormatting>
  <conditionalFormatting sqref="AL1677:AL1683">
    <cfRule type="cellIs" dxfId="1325" priority="1321" operator="equal">
      <formula>"Seeker"</formula>
    </cfRule>
    <cfRule type="cellIs" dxfId="1324" priority="1322" operator="equal">
      <formula>"Neutral"</formula>
    </cfRule>
    <cfRule type="cellIs" dxfId="1323" priority="1323" operator="equal">
      <formula>"Rogue"</formula>
    </cfRule>
    <cfRule type="cellIs" dxfId="1322" priority="1324" operator="equal">
      <formula>"Guardian"</formula>
    </cfRule>
    <cfRule type="cellIs" dxfId="1321" priority="1325" operator="equal">
      <formula>"Survivor"</formula>
    </cfRule>
    <cfRule type="cellIs" dxfId="1320" priority="1326" operator="equal">
      <formula>"Mystic"</formula>
    </cfRule>
  </conditionalFormatting>
  <conditionalFormatting sqref="AM1696">
    <cfRule type="cellIs" dxfId="1319" priority="1315" operator="equal">
      <formula>"seeker"</formula>
    </cfRule>
    <cfRule type="cellIs" dxfId="1318" priority="1316" operator="equal">
      <formula>"neutral"</formula>
    </cfRule>
    <cfRule type="cellIs" dxfId="1317" priority="1317" operator="equal">
      <formula>"rogue"</formula>
    </cfRule>
    <cfRule type="cellIs" dxfId="1316" priority="1318" operator="equal">
      <formula>"Guardian"</formula>
    </cfRule>
    <cfRule type="cellIs" dxfId="1315" priority="1319" operator="equal">
      <formula>"Survivor"</formula>
    </cfRule>
    <cfRule type="cellIs" dxfId="1314" priority="1320" operator="equal">
      <formula>"Mystic"</formula>
    </cfRule>
  </conditionalFormatting>
  <conditionalFormatting sqref="K1672">
    <cfRule type="cellIs" dxfId="1313" priority="1309" operator="equal">
      <formula>"Seeker"</formula>
    </cfRule>
    <cfRule type="cellIs" dxfId="1312" priority="1310" operator="equal">
      <formula>"Neutral"</formula>
    </cfRule>
    <cfRule type="cellIs" dxfId="1311" priority="1311" operator="equal">
      <formula>"Rogue"</formula>
    </cfRule>
    <cfRule type="cellIs" dxfId="1310" priority="1312" operator="equal">
      <formula>"Guardian"</formula>
    </cfRule>
    <cfRule type="cellIs" dxfId="1309" priority="1313" operator="equal">
      <formula>"Survivor"</formula>
    </cfRule>
    <cfRule type="cellIs" dxfId="1308" priority="1314" operator="equal">
      <formula>"Mystic"</formula>
    </cfRule>
  </conditionalFormatting>
  <conditionalFormatting sqref="AM1673:AM1676">
    <cfRule type="cellIs" dxfId="1307" priority="1303" operator="equal">
      <formula>"seeker"</formula>
    </cfRule>
    <cfRule type="cellIs" dxfId="1306" priority="1304" operator="equal">
      <formula>"neutral"</formula>
    </cfRule>
    <cfRule type="cellIs" dxfId="1305" priority="1305" operator="equal">
      <formula>"rogue"</formula>
    </cfRule>
    <cfRule type="cellIs" dxfId="1304" priority="1306" operator="equal">
      <formula>"Guardian"</formula>
    </cfRule>
    <cfRule type="cellIs" dxfId="1303" priority="1307" operator="equal">
      <formula>"Survivor"</formula>
    </cfRule>
    <cfRule type="cellIs" dxfId="1302" priority="1308" operator="equal">
      <formula>"Mystic"</formula>
    </cfRule>
  </conditionalFormatting>
  <conditionalFormatting sqref="AM1672">
    <cfRule type="cellIs" dxfId="1301" priority="1297" operator="equal">
      <formula>"Seeker"</formula>
    </cfRule>
    <cfRule type="cellIs" dxfId="1300" priority="1298" operator="equal">
      <formula>"Neutral"</formula>
    </cfRule>
    <cfRule type="cellIs" dxfId="1299" priority="1299" operator="equal">
      <formula>"Rogue"</formula>
    </cfRule>
    <cfRule type="cellIs" dxfId="1298" priority="1300" operator="equal">
      <formula>"Guardian"</formula>
    </cfRule>
    <cfRule type="cellIs" dxfId="1297" priority="1301" operator="equal">
      <formula>"Survivor"</formula>
    </cfRule>
    <cfRule type="cellIs" dxfId="1296" priority="1302" operator="equal">
      <formula>"Mystic"</formula>
    </cfRule>
  </conditionalFormatting>
  <conditionalFormatting sqref="K1687">
    <cfRule type="cellIs" dxfId="1295" priority="1291" operator="equal">
      <formula>"Seeker"</formula>
    </cfRule>
    <cfRule type="cellIs" dxfId="1294" priority="1292" operator="equal">
      <formula>"Neutral"</formula>
    </cfRule>
    <cfRule type="cellIs" dxfId="1293" priority="1293" operator="equal">
      <formula>"Rogue"</formula>
    </cfRule>
    <cfRule type="cellIs" dxfId="1292" priority="1294" operator="equal">
      <formula>"Guardian"</formula>
    </cfRule>
    <cfRule type="cellIs" dxfId="1291" priority="1295" operator="equal">
      <formula>"Survivor"</formula>
    </cfRule>
    <cfRule type="cellIs" dxfId="1290" priority="1296" operator="equal">
      <formula>"Mystic"</formula>
    </cfRule>
  </conditionalFormatting>
  <conditionalFormatting sqref="AM1687">
    <cfRule type="cellIs" dxfId="1289" priority="1285" operator="equal">
      <formula>"Seeker"</formula>
    </cfRule>
    <cfRule type="cellIs" dxfId="1288" priority="1286" operator="equal">
      <formula>"Neutral"</formula>
    </cfRule>
    <cfRule type="cellIs" dxfId="1287" priority="1287" operator="equal">
      <formula>"Rogue"</formula>
    </cfRule>
    <cfRule type="cellIs" dxfId="1286" priority="1288" operator="equal">
      <formula>"Guardian"</formula>
    </cfRule>
    <cfRule type="cellIs" dxfId="1285" priority="1289" operator="equal">
      <formula>"Survivor"</formula>
    </cfRule>
    <cfRule type="cellIs" dxfId="1284" priority="1290" operator="equal">
      <formula>"Mystic"</formula>
    </cfRule>
  </conditionalFormatting>
  <conditionalFormatting sqref="K1688">
    <cfRule type="cellIs" dxfId="1283" priority="1279" operator="equal">
      <formula>"Seeker"</formula>
    </cfRule>
    <cfRule type="cellIs" dxfId="1282" priority="1280" operator="equal">
      <formula>"Neutral"</formula>
    </cfRule>
    <cfRule type="cellIs" dxfId="1281" priority="1281" operator="equal">
      <formula>"Rogue"</formula>
    </cfRule>
    <cfRule type="cellIs" dxfId="1280" priority="1282" operator="equal">
      <formula>"Guardian"</formula>
    </cfRule>
    <cfRule type="cellIs" dxfId="1279" priority="1283" operator="equal">
      <formula>"Survivor"</formula>
    </cfRule>
    <cfRule type="cellIs" dxfId="1278" priority="1284" operator="equal">
      <formula>"Mystic"</formula>
    </cfRule>
  </conditionalFormatting>
  <conditionalFormatting sqref="K1689">
    <cfRule type="cellIs" dxfId="1277" priority="1273" operator="equal">
      <formula>"Seeker"</formula>
    </cfRule>
    <cfRule type="cellIs" dxfId="1276" priority="1274" operator="equal">
      <formula>"Neutral"</formula>
    </cfRule>
    <cfRule type="cellIs" dxfId="1275" priority="1275" operator="equal">
      <formula>"Rogue"</formula>
    </cfRule>
    <cfRule type="cellIs" dxfId="1274" priority="1276" operator="equal">
      <formula>"Guardian"</formula>
    </cfRule>
    <cfRule type="cellIs" dxfId="1273" priority="1277" operator="equal">
      <formula>"Survivor"</formula>
    </cfRule>
    <cfRule type="cellIs" dxfId="1272" priority="1278" operator="equal">
      <formula>"Mystic"</formula>
    </cfRule>
  </conditionalFormatting>
  <conditionalFormatting sqref="K1694">
    <cfRule type="cellIs" dxfId="1271" priority="1267" operator="equal">
      <formula>"seeker"</formula>
    </cfRule>
    <cfRule type="cellIs" dxfId="1270" priority="1268" operator="equal">
      <formula>"neutral"</formula>
    </cfRule>
    <cfRule type="cellIs" dxfId="1269" priority="1269" operator="equal">
      <formula>"rogue"</formula>
    </cfRule>
    <cfRule type="cellIs" dxfId="1268" priority="1270" operator="equal">
      <formula>"Guardian"</formula>
    </cfRule>
    <cfRule type="cellIs" dxfId="1267" priority="1271" operator="equal">
      <formula>"Survivor"</formula>
    </cfRule>
    <cfRule type="cellIs" dxfId="1266" priority="1272" operator="equal">
      <formula>"Mystic"</formula>
    </cfRule>
  </conditionalFormatting>
  <conditionalFormatting sqref="AM1694">
    <cfRule type="cellIs" dxfId="1265" priority="1261" operator="equal">
      <formula>"seeker"</formula>
    </cfRule>
    <cfRule type="cellIs" dxfId="1264" priority="1262" operator="equal">
      <formula>"neutral"</formula>
    </cfRule>
    <cfRule type="cellIs" dxfId="1263" priority="1263" operator="equal">
      <formula>"rogue"</formula>
    </cfRule>
    <cfRule type="cellIs" dxfId="1262" priority="1264" operator="equal">
      <formula>"Guardian"</formula>
    </cfRule>
    <cfRule type="cellIs" dxfId="1261" priority="1265" operator="equal">
      <formula>"Survivor"</formula>
    </cfRule>
    <cfRule type="cellIs" dxfId="1260" priority="1266" operator="equal">
      <formula>"Mystic"</formula>
    </cfRule>
  </conditionalFormatting>
  <conditionalFormatting sqref="K1695">
    <cfRule type="cellIs" dxfId="1259" priority="1255" operator="equal">
      <formula>"seeker"</formula>
    </cfRule>
    <cfRule type="cellIs" dxfId="1258" priority="1256" operator="equal">
      <formula>"neutral"</formula>
    </cfRule>
    <cfRule type="cellIs" dxfId="1257" priority="1257" operator="equal">
      <formula>"rogue"</formula>
    </cfRule>
    <cfRule type="cellIs" dxfId="1256" priority="1258" operator="equal">
      <formula>"Guardian"</formula>
    </cfRule>
    <cfRule type="cellIs" dxfId="1255" priority="1259" operator="equal">
      <formula>"Survivor"</formula>
    </cfRule>
    <cfRule type="cellIs" dxfId="1254" priority="1260" operator="equal">
      <formula>"Mystic"</formula>
    </cfRule>
  </conditionalFormatting>
  <conditionalFormatting sqref="AM1695">
    <cfRule type="cellIs" dxfId="1253" priority="1249" operator="equal">
      <formula>"seeker"</formula>
    </cfRule>
    <cfRule type="cellIs" dxfId="1252" priority="1250" operator="equal">
      <formula>"neutral"</formula>
    </cfRule>
    <cfRule type="cellIs" dxfId="1251" priority="1251" operator="equal">
      <formula>"rogue"</formula>
    </cfRule>
    <cfRule type="cellIs" dxfId="1250" priority="1252" operator="equal">
      <formula>"Guardian"</formula>
    </cfRule>
    <cfRule type="cellIs" dxfId="1249" priority="1253" operator="equal">
      <formula>"Survivor"</formula>
    </cfRule>
    <cfRule type="cellIs" dxfId="1248" priority="1254" operator="equal">
      <formula>"Mystic"</formula>
    </cfRule>
  </conditionalFormatting>
  <conditionalFormatting sqref="K1696">
    <cfRule type="cellIs" dxfId="1247" priority="1243" operator="equal">
      <formula>"seeker"</formula>
    </cfRule>
    <cfRule type="cellIs" dxfId="1246" priority="1244" operator="equal">
      <formula>"neutral"</formula>
    </cfRule>
    <cfRule type="cellIs" dxfId="1245" priority="1245" operator="equal">
      <formula>"rogue"</formula>
    </cfRule>
    <cfRule type="cellIs" dxfId="1244" priority="1246" operator="equal">
      <formula>"Guardian"</formula>
    </cfRule>
    <cfRule type="cellIs" dxfId="1243" priority="1247" operator="equal">
      <formula>"Survivor"</formula>
    </cfRule>
    <cfRule type="cellIs" dxfId="1242" priority="1248" operator="equal">
      <formula>"Mystic"</formula>
    </cfRule>
  </conditionalFormatting>
  <conditionalFormatting sqref="K1697">
    <cfRule type="cellIs" dxfId="1241" priority="1237" operator="equal">
      <formula>"seeker"</formula>
    </cfRule>
    <cfRule type="cellIs" dxfId="1240" priority="1238" operator="equal">
      <formula>"neutral"</formula>
    </cfRule>
    <cfRule type="cellIs" dxfId="1239" priority="1239" operator="equal">
      <formula>"rogue"</formula>
    </cfRule>
    <cfRule type="cellIs" dxfId="1238" priority="1240" operator="equal">
      <formula>"Guardian"</formula>
    </cfRule>
    <cfRule type="cellIs" dxfId="1237" priority="1241" operator="equal">
      <formula>"Survivor"</formula>
    </cfRule>
    <cfRule type="cellIs" dxfId="1236" priority="1242" operator="equal">
      <formula>"Mystic"</formula>
    </cfRule>
  </conditionalFormatting>
  <conditionalFormatting sqref="AM1703">
    <cfRule type="cellIs" dxfId="1235" priority="1231" operator="equal">
      <formula>"seeker"</formula>
    </cfRule>
    <cfRule type="cellIs" dxfId="1234" priority="1232" operator="equal">
      <formula>"neutral"</formula>
    </cfRule>
    <cfRule type="cellIs" dxfId="1233" priority="1233" operator="equal">
      <formula>"rogue"</formula>
    </cfRule>
    <cfRule type="cellIs" dxfId="1232" priority="1234" operator="equal">
      <formula>"Guardian"</formula>
    </cfRule>
    <cfRule type="cellIs" dxfId="1231" priority="1235" operator="equal">
      <formula>"Survivor"</formula>
    </cfRule>
    <cfRule type="cellIs" dxfId="1230" priority="1236" operator="equal">
      <formula>"Mystic"</formula>
    </cfRule>
  </conditionalFormatting>
  <conditionalFormatting sqref="AM1691">
    <cfRule type="cellIs" dxfId="1229" priority="1225" operator="equal">
      <formula>"seeker"</formula>
    </cfRule>
    <cfRule type="cellIs" dxfId="1228" priority="1226" operator="equal">
      <formula>"neutral"</formula>
    </cfRule>
    <cfRule type="cellIs" dxfId="1227" priority="1227" operator="equal">
      <formula>"rogue"</formula>
    </cfRule>
    <cfRule type="cellIs" dxfId="1226" priority="1228" operator="equal">
      <formula>"Guardian"</formula>
    </cfRule>
    <cfRule type="cellIs" dxfId="1225" priority="1229" operator="equal">
      <formula>"Survivor"</formula>
    </cfRule>
    <cfRule type="cellIs" dxfId="1224" priority="1230" operator="equal">
      <formula>"Mystic"</formula>
    </cfRule>
  </conditionalFormatting>
  <conditionalFormatting sqref="K1671">
    <cfRule type="cellIs" dxfId="1223" priority="1117" operator="equal">
      <formula>"seeker"</formula>
    </cfRule>
    <cfRule type="cellIs" dxfId="1222" priority="1118" operator="equal">
      <formula>"neutral"</formula>
    </cfRule>
    <cfRule type="cellIs" dxfId="1221" priority="1119" operator="equal">
      <formula>"rogue"</formula>
    </cfRule>
    <cfRule type="cellIs" dxfId="1220" priority="1120" operator="equal">
      <formula>"Guardian"</formula>
    </cfRule>
    <cfRule type="cellIs" dxfId="1219" priority="1121" operator="equal">
      <formula>"Survivor"</formula>
    </cfRule>
    <cfRule type="cellIs" dxfId="1218" priority="1122" operator="equal">
      <formula>"Mystic"</formula>
    </cfRule>
  </conditionalFormatting>
  <conditionalFormatting sqref="K1631:K1644 AM1644 AM1650:AM1651 K1648:K1651 AM1662:AM1670 K1656:K1670 AM1655:AM1660">
    <cfRule type="cellIs" dxfId="1217" priority="1219" operator="equal">
      <formula>"seeker"</formula>
    </cfRule>
    <cfRule type="cellIs" dxfId="1216" priority="1220" operator="equal">
      <formula>"neutral"</formula>
    </cfRule>
    <cfRule type="cellIs" dxfId="1215" priority="1221" operator="equal">
      <formula>"rogue"</formula>
    </cfRule>
    <cfRule type="cellIs" dxfId="1214" priority="1222" operator="equal">
      <formula>"Guardian"</formula>
    </cfRule>
    <cfRule type="cellIs" dxfId="1213" priority="1223" operator="equal">
      <formula>"Survivor"</formula>
    </cfRule>
    <cfRule type="cellIs" dxfId="1212" priority="1224" operator="equal">
      <formula>"Mystic"</formula>
    </cfRule>
  </conditionalFormatting>
  <conditionalFormatting sqref="AL1635:AL1641">
    <cfRule type="cellIs" dxfId="1211" priority="1213" operator="equal">
      <formula>"Seeker"</formula>
    </cfRule>
    <cfRule type="cellIs" dxfId="1210" priority="1214" operator="equal">
      <formula>"Neutral"</formula>
    </cfRule>
    <cfRule type="cellIs" dxfId="1209" priority="1215" operator="equal">
      <formula>"Rogue"</formula>
    </cfRule>
    <cfRule type="cellIs" dxfId="1208" priority="1216" operator="equal">
      <formula>"Guardian"</formula>
    </cfRule>
    <cfRule type="cellIs" dxfId="1207" priority="1217" operator="equal">
      <formula>"Survivor"</formula>
    </cfRule>
    <cfRule type="cellIs" dxfId="1206" priority="1218" operator="equal">
      <formula>"Mystic"</formula>
    </cfRule>
  </conditionalFormatting>
  <conditionalFormatting sqref="AM1654">
    <cfRule type="cellIs" dxfId="1205" priority="1207" operator="equal">
      <formula>"seeker"</formula>
    </cfRule>
    <cfRule type="cellIs" dxfId="1204" priority="1208" operator="equal">
      <formula>"neutral"</formula>
    </cfRule>
    <cfRule type="cellIs" dxfId="1203" priority="1209" operator="equal">
      <formula>"rogue"</formula>
    </cfRule>
    <cfRule type="cellIs" dxfId="1202" priority="1210" operator="equal">
      <formula>"Guardian"</formula>
    </cfRule>
    <cfRule type="cellIs" dxfId="1201" priority="1211" operator="equal">
      <formula>"Survivor"</formula>
    </cfRule>
    <cfRule type="cellIs" dxfId="1200" priority="1212" operator="equal">
      <formula>"Mystic"</formula>
    </cfRule>
  </conditionalFormatting>
  <conditionalFormatting sqref="K1630">
    <cfRule type="cellIs" dxfId="1199" priority="1201" operator="equal">
      <formula>"Seeker"</formula>
    </cfRule>
    <cfRule type="cellIs" dxfId="1198" priority="1202" operator="equal">
      <formula>"Neutral"</formula>
    </cfRule>
    <cfRule type="cellIs" dxfId="1197" priority="1203" operator="equal">
      <formula>"Rogue"</formula>
    </cfRule>
    <cfRule type="cellIs" dxfId="1196" priority="1204" operator="equal">
      <formula>"Guardian"</formula>
    </cfRule>
    <cfRule type="cellIs" dxfId="1195" priority="1205" operator="equal">
      <formula>"Survivor"</formula>
    </cfRule>
    <cfRule type="cellIs" dxfId="1194" priority="1206" operator="equal">
      <formula>"Mystic"</formula>
    </cfRule>
  </conditionalFormatting>
  <conditionalFormatting sqref="AM1631:AM1634">
    <cfRule type="cellIs" dxfId="1193" priority="1195" operator="equal">
      <formula>"seeker"</formula>
    </cfRule>
    <cfRule type="cellIs" dxfId="1192" priority="1196" operator="equal">
      <formula>"neutral"</formula>
    </cfRule>
    <cfRule type="cellIs" dxfId="1191" priority="1197" operator="equal">
      <formula>"rogue"</formula>
    </cfRule>
    <cfRule type="cellIs" dxfId="1190" priority="1198" operator="equal">
      <formula>"Guardian"</formula>
    </cfRule>
    <cfRule type="cellIs" dxfId="1189" priority="1199" operator="equal">
      <formula>"Survivor"</formula>
    </cfRule>
    <cfRule type="cellIs" dxfId="1188" priority="1200" operator="equal">
      <formula>"Mystic"</formula>
    </cfRule>
  </conditionalFormatting>
  <conditionalFormatting sqref="AM1630">
    <cfRule type="cellIs" dxfId="1187" priority="1189" operator="equal">
      <formula>"Seeker"</formula>
    </cfRule>
    <cfRule type="cellIs" dxfId="1186" priority="1190" operator="equal">
      <formula>"Neutral"</formula>
    </cfRule>
    <cfRule type="cellIs" dxfId="1185" priority="1191" operator="equal">
      <formula>"Rogue"</formula>
    </cfRule>
    <cfRule type="cellIs" dxfId="1184" priority="1192" operator="equal">
      <formula>"Guardian"</formula>
    </cfRule>
    <cfRule type="cellIs" dxfId="1183" priority="1193" operator="equal">
      <formula>"Survivor"</formula>
    </cfRule>
    <cfRule type="cellIs" dxfId="1182" priority="1194" operator="equal">
      <formula>"Mystic"</formula>
    </cfRule>
  </conditionalFormatting>
  <conditionalFormatting sqref="K1645">
    <cfRule type="cellIs" dxfId="1181" priority="1183" operator="equal">
      <formula>"Seeker"</formula>
    </cfRule>
    <cfRule type="cellIs" dxfId="1180" priority="1184" operator="equal">
      <formula>"Neutral"</formula>
    </cfRule>
    <cfRule type="cellIs" dxfId="1179" priority="1185" operator="equal">
      <formula>"Rogue"</formula>
    </cfRule>
    <cfRule type="cellIs" dxfId="1178" priority="1186" operator="equal">
      <formula>"Guardian"</formula>
    </cfRule>
    <cfRule type="cellIs" dxfId="1177" priority="1187" operator="equal">
      <formula>"Survivor"</formula>
    </cfRule>
    <cfRule type="cellIs" dxfId="1176" priority="1188" operator="equal">
      <formula>"Mystic"</formula>
    </cfRule>
  </conditionalFormatting>
  <conditionalFormatting sqref="AM1645">
    <cfRule type="cellIs" dxfId="1175" priority="1177" operator="equal">
      <formula>"Seeker"</formula>
    </cfRule>
    <cfRule type="cellIs" dxfId="1174" priority="1178" operator="equal">
      <formula>"Neutral"</formula>
    </cfRule>
    <cfRule type="cellIs" dxfId="1173" priority="1179" operator="equal">
      <formula>"Rogue"</formula>
    </cfRule>
    <cfRule type="cellIs" dxfId="1172" priority="1180" operator="equal">
      <formula>"Guardian"</formula>
    </cfRule>
    <cfRule type="cellIs" dxfId="1171" priority="1181" operator="equal">
      <formula>"Survivor"</formula>
    </cfRule>
    <cfRule type="cellIs" dxfId="1170" priority="1182" operator="equal">
      <formula>"Mystic"</formula>
    </cfRule>
  </conditionalFormatting>
  <conditionalFormatting sqref="K1646">
    <cfRule type="cellIs" dxfId="1169" priority="1171" operator="equal">
      <formula>"Seeker"</formula>
    </cfRule>
    <cfRule type="cellIs" dxfId="1168" priority="1172" operator="equal">
      <formula>"Neutral"</formula>
    </cfRule>
    <cfRule type="cellIs" dxfId="1167" priority="1173" operator="equal">
      <formula>"Rogue"</formula>
    </cfRule>
    <cfRule type="cellIs" dxfId="1166" priority="1174" operator="equal">
      <formula>"Guardian"</formula>
    </cfRule>
    <cfRule type="cellIs" dxfId="1165" priority="1175" operator="equal">
      <formula>"Survivor"</formula>
    </cfRule>
    <cfRule type="cellIs" dxfId="1164" priority="1176" operator="equal">
      <formula>"Mystic"</formula>
    </cfRule>
  </conditionalFormatting>
  <conditionalFormatting sqref="K1647">
    <cfRule type="cellIs" dxfId="1163" priority="1165" operator="equal">
      <formula>"Seeker"</formula>
    </cfRule>
    <cfRule type="cellIs" dxfId="1162" priority="1166" operator="equal">
      <formula>"Neutral"</formula>
    </cfRule>
    <cfRule type="cellIs" dxfId="1161" priority="1167" operator="equal">
      <formula>"Rogue"</formula>
    </cfRule>
    <cfRule type="cellIs" dxfId="1160" priority="1168" operator="equal">
      <formula>"Guardian"</formula>
    </cfRule>
    <cfRule type="cellIs" dxfId="1159" priority="1169" operator="equal">
      <formula>"Survivor"</formula>
    </cfRule>
    <cfRule type="cellIs" dxfId="1158" priority="1170" operator="equal">
      <formula>"Mystic"</formula>
    </cfRule>
  </conditionalFormatting>
  <conditionalFormatting sqref="K1652">
    <cfRule type="cellIs" dxfId="1157" priority="1159" operator="equal">
      <formula>"seeker"</formula>
    </cfRule>
    <cfRule type="cellIs" dxfId="1156" priority="1160" operator="equal">
      <formula>"neutral"</formula>
    </cfRule>
    <cfRule type="cellIs" dxfId="1155" priority="1161" operator="equal">
      <formula>"rogue"</formula>
    </cfRule>
    <cfRule type="cellIs" dxfId="1154" priority="1162" operator="equal">
      <formula>"Guardian"</formula>
    </cfRule>
    <cfRule type="cellIs" dxfId="1153" priority="1163" operator="equal">
      <formula>"Survivor"</formula>
    </cfRule>
    <cfRule type="cellIs" dxfId="1152" priority="1164" operator="equal">
      <formula>"Mystic"</formula>
    </cfRule>
  </conditionalFormatting>
  <conditionalFormatting sqref="AM1652">
    <cfRule type="cellIs" dxfId="1151" priority="1153" operator="equal">
      <formula>"seeker"</formula>
    </cfRule>
    <cfRule type="cellIs" dxfId="1150" priority="1154" operator="equal">
      <formula>"neutral"</formula>
    </cfRule>
    <cfRule type="cellIs" dxfId="1149" priority="1155" operator="equal">
      <formula>"rogue"</formula>
    </cfRule>
    <cfRule type="cellIs" dxfId="1148" priority="1156" operator="equal">
      <formula>"Guardian"</formula>
    </cfRule>
    <cfRule type="cellIs" dxfId="1147" priority="1157" operator="equal">
      <formula>"Survivor"</formula>
    </cfRule>
    <cfRule type="cellIs" dxfId="1146" priority="1158" operator="equal">
      <formula>"Mystic"</formula>
    </cfRule>
  </conditionalFormatting>
  <conditionalFormatting sqref="K1653">
    <cfRule type="cellIs" dxfId="1145" priority="1147" operator="equal">
      <formula>"seeker"</formula>
    </cfRule>
    <cfRule type="cellIs" dxfId="1144" priority="1148" operator="equal">
      <formula>"neutral"</formula>
    </cfRule>
    <cfRule type="cellIs" dxfId="1143" priority="1149" operator="equal">
      <formula>"rogue"</formula>
    </cfRule>
    <cfRule type="cellIs" dxfId="1142" priority="1150" operator="equal">
      <formula>"Guardian"</formula>
    </cfRule>
    <cfRule type="cellIs" dxfId="1141" priority="1151" operator="equal">
      <formula>"Survivor"</formula>
    </cfRule>
    <cfRule type="cellIs" dxfId="1140" priority="1152" operator="equal">
      <formula>"Mystic"</formula>
    </cfRule>
  </conditionalFormatting>
  <conditionalFormatting sqref="AM1653">
    <cfRule type="cellIs" dxfId="1139" priority="1141" operator="equal">
      <formula>"seeker"</formula>
    </cfRule>
    <cfRule type="cellIs" dxfId="1138" priority="1142" operator="equal">
      <formula>"neutral"</formula>
    </cfRule>
    <cfRule type="cellIs" dxfId="1137" priority="1143" operator="equal">
      <formula>"rogue"</formula>
    </cfRule>
    <cfRule type="cellIs" dxfId="1136" priority="1144" operator="equal">
      <formula>"Guardian"</formula>
    </cfRule>
    <cfRule type="cellIs" dxfId="1135" priority="1145" operator="equal">
      <formula>"Survivor"</formula>
    </cfRule>
    <cfRule type="cellIs" dxfId="1134" priority="1146" operator="equal">
      <formula>"Mystic"</formula>
    </cfRule>
  </conditionalFormatting>
  <conditionalFormatting sqref="K1654">
    <cfRule type="cellIs" dxfId="1133" priority="1135" operator="equal">
      <formula>"seeker"</formula>
    </cfRule>
    <cfRule type="cellIs" dxfId="1132" priority="1136" operator="equal">
      <formula>"neutral"</formula>
    </cfRule>
    <cfRule type="cellIs" dxfId="1131" priority="1137" operator="equal">
      <formula>"rogue"</formula>
    </cfRule>
    <cfRule type="cellIs" dxfId="1130" priority="1138" operator="equal">
      <formula>"Guardian"</formula>
    </cfRule>
    <cfRule type="cellIs" dxfId="1129" priority="1139" operator="equal">
      <formula>"Survivor"</formula>
    </cfRule>
    <cfRule type="cellIs" dxfId="1128" priority="1140" operator="equal">
      <formula>"Mystic"</formula>
    </cfRule>
  </conditionalFormatting>
  <conditionalFormatting sqref="K1655">
    <cfRule type="cellIs" dxfId="1127" priority="1129" operator="equal">
      <formula>"seeker"</formula>
    </cfRule>
    <cfRule type="cellIs" dxfId="1126" priority="1130" operator="equal">
      <formula>"neutral"</formula>
    </cfRule>
    <cfRule type="cellIs" dxfId="1125" priority="1131" operator="equal">
      <formula>"rogue"</formula>
    </cfRule>
    <cfRule type="cellIs" dxfId="1124" priority="1132" operator="equal">
      <formula>"Guardian"</formula>
    </cfRule>
    <cfRule type="cellIs" dxfId="1123" priority="1133" operator="equal">
      <formula>"Survivor"</formula>
    </cfRule>
    <cfRule type="cellIs" dxfId="1122" priority="1134" operator="equal">
      <formula>"Mystic"</formula>
    </cfRule>
  </conditionalFormatting>
  <conditionalFormatting sqref="AM1661">
    <cfRule type="cellIs" dxfId="1121" priority="1123" operator="equal">
      <formula>"seeker"</formula>
    </cfRule>
    <cfRule type="cellIs" dxfId="1120" priority="1124" operator="equal">
      <formula>"neutral"</formula>
    </cfRule>
    <cfRule type="cellIs" dxfId="1119" priority="1125" operator="equal">
      <formula>"rogue"</formula>
    </cfRule>
    <cfRule type="cellIs" dxfId="1118" priority="1126" operator="equal">
      <formula>"Guardian"</formula>
    </cfRule>
    <cfRule type="cellIs" dxfId="1117" priority="1127" operator="equal">
      <formula>"Survivor"</formula>
    </cfRule>
    <cfRule type="cellIs" dxfId="1116" priority="1128" operator="equal">
      <formula>"Mystic"</formula>
    </cfRule>
  </conditionalFormatting>
  <conditionalFormatting sqref="AL1671">
    <cfRule type="cellIs" dxfId="1115" priority="1111" operator="equal">
      <formula>"Seeker"</formula>
    </cfRule>
    <cfRule type="cellIs" dxfId="1114" priority="1112" operator="equal">
      <formula>"Neutral"</formula>
    </cfRule>
    <cfRule type="cellIs" dxfId="1113" priority="1113" operator="equal">
      <formula>"Rogue"</formula>
    </cfRule>
    <cfRule type="cellIs" dxfId="1112" priority="1114" operator="equal">
      <formula>"Guardian"</formula>
    </cfRule>
    <cfRule type="cellIs" dxfId="1111" priority="1115" operator="equal">
      <formula>"Survivor"</formula>
    </cfRule>
    <cfRule type="cellIs" dxfId="1110" priority="1116" operator="equal">
      <formula>"Mystic"</formula>
    </cfRule>
  </conditionalFormatting>
  <conditionalFormatting sqref="AM1649">
    <cfRule type="cellIs" dxfId="1109" priority="1105" operator="equal">
      <formula>"seeker"</formula>
    </cfRule>
    <cfRule type="cellIs" dxfId="1108" priority="1106" operator="equal">
      <formula>"neutral"</formula>
    </cfRule>
    <cfRule type="cellIs" dxfId="1107" priority="1107" operator="equal">
      <formula>"rogue"</formula>
    </cfRule>
    <cfRule type="cellIs" dxfId="1106" priority="1108" operator="equal">
      <formula>"Guardian"</formula>
    </cfRule>
    <cfRule type="cellIs" dxfId="1105" priority="1109" operator="equal">
      <formula>"Survivor"</formula>
    </cfRule>
    <cfRule type="cellIs" dxfId="1104" priority="1110" operator="equal">
      <formula>"Mystic"</formula>
    </cfRule>
  </conditionalFormatting>
  <conditionalFormatting sqref="K1753">
    <cfRule type="cellIs" dxfId="1103" priority="985" operator="equal">
      <formula>"seeker"</formula>
    </cfRule>
    <cfRule type="cellIs" dxfId="1102" priority="986" operator="equal">
      <formula>"neutral"</formula>
    </cfRule>
    <cfRule type="cellIs" dxfId="1101" priority="987" operator="equal">
      <formula>"rogue"</formula>
    </cfRule>
    <cfRule type="cellIs" dxfId="1100" priority="988" operator="equal">
      <formula>"Guardian"</formula>
    </cfRule>
    <cfRule type="cellIs" dxfId="1099" priority="989" operator="equal">
      <formula>"Survivor"</formula>
    </cfRule>
    <cfRule type="cellIs" dxfId="1098" priority="990" operator="equal">
      <formula>"Mystic"</formula>
    </cfRule>
  </conditionalFormatting>
  <conditionalFormatting sqref="AM1754">
    <cfRule type="cellIs" dxfId="1097" priority="1099" operator="equal">
      <formula>"Seeker"</formula>
    </cfRule>
    <cfRule type="cellIs" dxfId="1096" priority="1100" operator="equal">
      <formula>"Neutral"</formula>
    </cfRule>
    <cfRule type="cellIs" dxfId="1095" priority="1101" operator="equal">
      <formula>"Rogue"</formula>
    </cfRule>
    <cfRule type="cellIs" dxfId="1094" priority="1102" operator="equal">
      <formula>"Guardian"</formula>
    </cfRule>
    <cfRule type="cellIs" dxfId="1093" priority="1103" operator="equal">
      <formula>"Survivor"</formula>
    </cfRule>
    <cfRule type="cellIs" dxfId="1092" priority="1104" operator="equal">
      <formula>"Mystic"</formula>
    </cfRule>
  </conditionalFormatting>
  <conditionalFormatting sqref="K1754">
    <cfRule type="cellIs" dxfId="1091" priority="1093" operator="equal">
      <formula>"Seeker"</formula>
    </cfRule>
    <cfRule type="cellIs" dxfId="1090" priority="1094" operator="equal">
      <formula>"Neutral"</formula>
    </cfRule>
    <cfRule type="cellIs" dxfId="1089" priority="1095" operator="equal">
      <formula>"Rogue"</formula>
    </cfRule>
    <cfRule type="cellIs" dxfId="1088" priority="1096" operator="equal">
      <formula>"Guardian"</formula>
    </cfRule>
    <cfRule type="cellIs" dxfId="1087" priority="1097" operator="equal">
      <formula>"Survivor"</formula>
    </cfRule>
    <cfRule type="cellIs" dxfId="1086" priority="1098" operator="equal">
      <formula>"Mystic"</formula>
    </cfRule>
  </conditionalFormatting>
  <conditionalFormatting sqref="K1713:K1726 AM1726 AM1732:AM1733 K1730:K1733 AM1744:AM1752 K1738:K1752 AM1737:AM1742">
    <cfRule type="cellIs" dxfId="1085" priority="1087" operator="equal">
      <formula>"seeker"</formula>
    </cfRule>
    <cfRule type="cellIs" dxfId="1084" priority="1088" operator="equal">
      <formula>"neutral"</formula>
    </cfRule>
    <cfRule type="cellIs" dxfId="1083" priority="1089" operator="equal">
      <formula>"rogue"</formula>
    </cfRule>
    <cfRule type="cellIs" dxfId="1082" priority="1090" operator="equal">
      <formula>"Guardian"</formula>
    </cfRule>
    <cfRule type="cellIs" dxfId="1081" priority="1091" operator="equal">
      <formula>"Survivor"</formula>
    </cfRule>
    <cfRule type="cellIs" dxfId="1080" priority="1092" operator="equal">
      <formula>"Mystic"</formula>
    </cfRule>
  </conditionalFormatting>
  <conditionalFormatting sqref="AL1717:AL1723">
    <cfRule type="cellIs" dxfId="1079" priority="1081" operator="equal">
      <formula>"Seeker"</formula>
    </cfRule>
    <cfRule type="cellIs" dxfId="1078" priority="1082" operator="equal">
      <formula>"Neutral"</formula>
    </cfRule>
    <cfRule type="cellIs" dxfId="1077" priority="1083" operator="equal">
      <formula>"Rogue"</formula>
    </cfRule>
    <cfRule type="cellIs" dxfId="1076" priority="1084" operator="equal">
      <formula>"Guardian"</formula>
    </cfRule>
    <cfRule type="cellIs" dxfId="1075" priority="1085" operator="equal">
      <formula>"Survivor"</formula>
    </cfRule>
    <cfRule type="cellIs" dxfId="1074" priority="1086" operator="equal">
      <formula>"Mystic"</formula>
    </cfRule>
  </conditionalFormatting>
  <conditionalFormatting sqref="AM1736">
    <cfRule type="cellIs" dxfId="1073" priority="1075" operator="equal">
      <formula>"seeker"</formula>
    </cfRule>
    <cfRule type="cellIs" dxfId="1072" priority="1076" operator="equal">
      <formula>"neutral"</formula>
    </cfRule>
    <cfRule type="cellIs" dxfId="1071" priority="1077" operator="equal">
      <formula>"rogue"</formula>
    </cfRule>
    <cfRule type="cellIs" dxfId="1070" priority="1078" operator="equal">
      <formula>"Guardian"</formula>
    </cfRule>
    <cfRule type="cellIs" dxfId="1069" priority="1079" operator="equal">
      <formula>"Survivor"</formula>
    </cfRule>
    <cfRule type="cellIs" dxfId="1068" priority="1080" operator="equal">
      <formula>"Mystic"</formula>
    </cfRule>
  </conditionalFormatting>
  <conditionalFormatting sqref="K1712">
    <cfRule type="cellIs" dxfId="1067" priority="1069" operator="equal">
      <formula>"Seeker"</formula>
    </cfRule>
    <cfRule type="cellIs" dxfId="1066" priority="1070" operator="equal">
      <formula>"Neutral"</formula>
    </cfRule>
    <cfRule type="cellIs" dxfId="1065" priority="1071" operator="equal">
      <formula>"Rogue"</formula>
    </cfRule>
    <cfRule type="cellIs" dxfId="1064" priority="1072" operator="equal">
      <formula>"Guardian"</formula>
    </cfRule>
    <cfRule type="cellIs" dxfId="1063" priority="1073" operator="equal">
      <formula>"Survivor"</formula>
    </cfRule>
    <cfRule type="cellIs" dxfId="1062" priority="1074" operator="equal">
      <formula>"Mystic"</formula>
    </cfRule>
  </conditionalFormatting>
  <conditionalFormatting sqref="AM1713:AM1716">
    <cfRule type="cellIs" dxfId="1061" priority="1063" operator="equal">
      <formula>"seeker"</formula>
    </cfRule>
    <cfRule type="cellIs" dxfId="1060" priority="1064" operator="equal">
      <formula>"neutral"</formula>
    </cfRule>
    <cfRule type="cellIs" dxfId="1059" priority="1065" operator="equal">
      <formula>"rogue"</formula>
    </cfRule>
    <cfRule type="cellIs" dxfId="1058" priority="1066" operator="equal">
      <formula>"Guardian"</formula>
    </cfRule>
    <cfRule type="cellIs" dxfId="1057" priority="1067" operator="equal">
      <formula>"Survivor"</formula>
    </cfRule>
    <cfRule type="cellIs" dxfId="1056" priority="1068" operator="equal">
      <formula>"Mystic"</formula>
    </cfRule>
  </conditionalFormatting>
  <conditionalFormatting sqref="AM1712">
    <cfRule type="cellIs" dxfId="1055" priority="1057" operator="equal">
      <formula>"Seeker"</formula>
    </cfRule>
    <cfRule type="cellIs" dxfId="1054" priority="1058" operator="equal">
      <formula>"Neutral"</formula>
    </cfRule>
    <cfRule type="cellIs" dxfId="1053" priority="1059" operator="equal">
      <formula>"Rogue"</formula>
    </cfRule>
    <cfRule type="cellIs" dxfId="1052" priority="1060" operator="equal">
      <formula>"Guardian"</formula>
    </cfRule>
    <cfRule type="cellIs" dxfId="1051" priority="1061" operator="equal">
      <formula>"Survivor"</formula>
    </cfRule>
    <cfRule type="cellIs" dxfId="1050" priority="1062" operator="equal">
      <formula>"Mystic"</formula>
    </cfRule>
  </conditionalFormatting>
  <conditionalFormatting sqref="K1727">
    <cfRule type="cellIs" dxfId="1049" priority="1051" operator="equal">
      <formula>"Seeker"</formula>
    </cfRule>
    <cfRule type="cellIs" dxfId="1048" priority="1052" operator="equal">
      <formula>"Neutral"</formula>
    </cfRule>
    <cfRule type="cellIs" dxfId="1047" priority="1053" operator="equal">
      <formula>"Rogue"</formula>
    </cfRule>
    <cfRule type="cellIs" dxfId="1046" priority="1054" operator="equal">
      <formula>"Guardian"</formula>
    </cfRule>
    <cfRule type="cellIs" dxfId="1045" priority="1055" operator="equal">
      <formula>"Survivor"</formula>
    </cfRule>
    <cfRule type="cellIs" dxfId="1044" priority="1056" operator="equal">
      <formula>"Mystic"</formula>
    </cfRule>
  </conditionalFormatting>
  <conditionalFormatting sqref="AM1727">
    <cfRule type="cellIs" dxfId="1043" priority="1045" operator="equal">
      <formula>"Seeker"</formula>
    </cfRule>
    <cfRule type="cellIs" dxfId="1042" priority="1046" operator="equal">
      <formula>"Neutral"</formula>
    </cfRule>
    <cfRule type="cellIs" dxfId="1041" priority="1047" operator="equal">
      <formula>"Rogue"</formula>
    </cfRule>
    <cfRule type="cellIs" dxfId="1040" priority="1048" operator="equal">
      <formula>"Guardian"</formula>
    </cfRule>
    <cfRule type="cellIs" dxfId="1039" priority="1049" operator="equal">
      <formula>"Survivor"</formula>
    </cfRule>
    <cfRule type="cellIs" dxfId="1038" priority="1050" operator="equal">
      <formula>"Mystic"</formula>
    </cfRule>
  </conditionalFormatting>
  <conditionalFormatting sqref="K1728">
    <cfRule type="cellIs" dxfId="1037" priority="1039" operator="equal">
      <formula>"Seeker"</formula>
    </cfRule>
    <cfRule type="cellIs" dxfId="1036" priority="1040" operator="equal">
      <formula>"Neutral"</formula>
    </cfRule>
    <cfRule type="cellIs" dxfId="1035" priority="1041" operator="equal">
      <formula>"Rogue"</formula>
    </cfRule>
    <cfRule type="cellIs" dxfId="1034" priority="1042" operator="equal">
      <formula>"Guardian"</formula>
    </cfRule>
    <cfRule type="cellIs" dxfId="1033" priority="1043" operator="equal">
      <formula>"Survivor"</formula>
    </cfRule>
    <cfRule type="cellIs" dxfId="1032" priority="1044" operator="equal">
      <formula>"Mystic"</formula>
    </cfRule>
  </conditionalFormatting>
  <conditionalFormatting sqref="K1729">
    <cfRule type="cellIs" dxfId="1031" priority="1033" operator="equal">
      <formula>"Seeker"</formula>
    </cfRule>
    <cfRule type="cellIs" dxfId="1030" priority="1034" operator="equal">
      <formula>"Neutral"</formula>
    </cfRule>
    <cfRule type="cellIs" dxfId="1029" priority="1035" operator="equal">
      <formula>"Rogue"</formula>
    </cfRule>
    <cfRule type="cellIs" dxfId="1028" priority="1036" operator="equal">
      <formula>"Guardian"</formula>
    </cfRule>
    <cfRule type="cellIs" dxfId="1027" priority="1037" operator="equal">
      <formula>"Survivor"</formula>
    </cfRule>
    <cfRule type="cellIs" dxfId="1026" priority="1038" operator="equal">
      <formula>"Mystic"</formula>
    </cfRule>
  </conditionalFormatting>
  <conditionalFormatting sqref="K1734">
    <cfRule type="cellIs" dxfId="1025" priority="1027" operator="equal">
      <formula>"seeker"</formula>
    </cfRule>
    <cfRule type="cellIs" dxfId="1024" priority="1028" operator="equal">
      <formula>"neutral"</formula>
    </cfRule>
    <cfRule type="cellIs" dxfId="1023" priority="1029" operator="equal">
      <formula>"rogue"</formula>
    </cfRule>
    <cfRule type="cellIs" dxfId="1022" priority="1030" operator="equal">
      <formula>"Guardian"</formula>
    </cfRule>
    <cfRule type="cellIs" dxfId="1021" priority="1031" operator="equal">
      <formula>"Survivor"</formula>
    </cfRule>
    <cfRule type="cellIs" dxfId="1020" priority="1032" operator="equal">
      <formula>"Mystic"</formula>
    </cfRule>
  </conditionalFormatting>
  <conditionalFormatting sqref="AM1734">
    <cfRule type="cellIs" dxfId="1019" priority="1021" operator="equal">
      <formula>"seeker"</formula>
    </cfRule>
    <cfRule type="cellIs" dxfId="1018" priority="1022" operator="equal">
      <formula>"neutral"</formula>
    </cfRule>
    <cfRule type="cellIs" dxfId="1017" priority="1023" operator="equal">
      <formula>"rogue"</formula>
    </cfRule>
    <cfRule type="cellIs" dxfId="1016" priority="1024" operator="equal">
      <formula>"Guardian"</formula>
    </cfRule>
    <cfRule type="cellIs" dxfId="1015" priority="1025" operator="equal">
      <formula>"Survivor"</formula>
    </cfRule>
    <cfRule type="cellIs" dxfId="1014" priority="1026" operator="equal">
      <formula>"Mystic"</formula>
    </cfRule>
  </conditionalFormatting>
  <conditionalFormatting sqref="K1735">
    <cfRule type="cellIs" dxfId="1013" priority="1015" operator="equal">
      <formula>"seeker"</formula>
    </cfRule>
    <cfRule type="cellIs" dxfId="1012" priority="1016" operator="equal">
      <formula>"neutral"</formula>
    </cfRule>
    <cfRule type="cellIs" dxfId="1011" priority="1017" operator="equal">
      <formula>"rogue"</formula>
    </cfRule>
    <cfRule type="cellIs" dxfId="1010" priority="1018" operator="equal">
      <formula>"Guardian"</formula>
    </cfRule>
    <cfRule type="cellIs" dxfId="1009" priority="1019" operator="equal">
      <formula>"Survivor"</formula>
    </cfRule>
    <cfRule type="cellIs" dxfId="1008" priority="1020" operator="equal">
      <formula>"Mystic"</formula>
    </cfRule>
  </conditionalFormatting>
  <conditionalFormatting sqref="AM1735">
    <cfRule type="cellIs" dxfId="1007" priority="1009" operator="equal">
      <formula>"seeker"</formula>
    </cfRule>
    <cfRule type="cellIs" dxfId="1006" priority="1010" operator="equal">
      <formula>"neutral"</formula>
    </cfRule>
    <cfRule type="cellIs" dxfId="1005" priority="1011" operator="equal">
      <formula>"rogue"</formula>
    </cfRule>
    <cfRule type="cellIs" dxfId="1004" priority="1012" operator="equal">
      <formula>"Guardian"</formula>
    </cfRule>
    <cfRule type="cellIs" dxfId="1003" priority="1013" operator="equal">
      <formula>"Survivor"</formula>
    </cfRule>
    <cfRule type="cellIs" dxfId="1002" priority="1014" operator="equal">
      <formula>"Mystic"</formula>
    </cfRule>
  </conditionalFormatting>
  <conditionalFormatting sqref="K1736">
    <cfRule type="cellIs" dxfId="1001" priority="1003" operator="equal">
      <formula>"seeker"</formula>
    </cfRule>
    <cfRule type="cellIs" dxfId="1000" priority="1004" operator="equal">
      <formula>"neutral"</formula>
    </cfRule>
    <cfRule type="cellIs" dxfId="999" priority="1005" operator="equal">
      <formula>"rogue"</formula>
    </cfRule>
    <cfRule type="cellIs" dxfId="998" priority="1006" operator="equal">
      <formula>"Guardian"</formula>
    </cfRule>
    <cfRule type="cellIs" dxfId="997" priority="1007" operator="equal">
      <formula>"Survivor"</formula>
    </cfRule>
    <cfRule type="cellIs" dxfId="996" priority="1008" operator="equal">
      <formula>"Mystic"</formula>
    </cfRule>
  </conditionalFormatting>
  <conditionalFormatting sqref="K1737">
    <cfRule type="cellIs" dxfId="995" priority="997" operator="equal">
      <formula>"seeker"</formula>
    </cfRule>
    <cfRule type="cellIs" dxfId="994" priority="998" operator="equal">
      <formula>"neutral"</formula>
    </cfRule>
    <cfRule type="cellIs" dxfId="993" priority="999" operator="equal">
      <formula>"rogue"</formula>
    </cfRule>
    <cfRule type="cellIs" dxfId="992" priority="1000" operator="equal">
      <formula>"Guardian"</formula>
    </cfRule>
    <cfRule type="cellIs" dxfId="991" priority="1001" operator="equal">
      <formula>"Survivor"</formula>
    </cfRule>
    <cfRule type="cellIs" dxfId="990" priority="1002" operator="equal">
      <formula>"Mystic"</formula>
    </cfRule>
  </conditionalFormatting>
  <conditionalFormatting sqref="AM1743">
    <cfRule type="cellIs" dxfId="989" priority="991" operator="equal">
      <formula>"seeker"</formula>
    </cfRule>
    <cfRule type="cellIs" dxfId="988" priority="992" operator="equal">
      <formula>"neutral"</formula>
    </cfRule>
    <cfRule type="cellIs" dxfId="987" priority="993" operator="equal">
      <formula>"rogue"</formula>
    </cfRule>
    <cfRule type="cellIs" dxfId="986" priority="994" operator="equal">
      <formula>"Guardian"</formula>
    </cfRule>
    <cfRule type="cellIs" dxfId="985" priority="995" operator="equal">
      <formula>"Survivor"</formula>
    </cfRule>
    <cfRule type="cellIs" dxfId="984" priority="996" operator="equal">
      <formula>"Mystic"</formula>
    </cfRule>
  </conditionalFormatting>
  <conditionalFormatting sqref="AL1753">
    <cfRule type="cellIs" dxfId="983" priority="979" operator="equal">
      <formula>"Seeker"</formula>
    </cfRule>
    <cfRule type="cellIs" dxfId="982" priority="980" operator="equal">
      <formula>"Neutral"</formula>
    </cfRule>
    <cfRule type="cellIs" dxfId="981" priority="981" operator="equal">
      <formula>"Rogue"</formula>
    </cfRule>
    <cfRule type="cellIs" dxfId="980" priority="982" operator="equal">
      <formula>"Guardian"</formula>
    </cfRule>
    <cfRule type="cellIs" dxfId="979" priority="983" operator="equal">
      <formula>"Survivor"</formula>
    </cfRule>
    <cfRule type="cellIs" dxfId="978" priority="984" operator="equal">
      <formula>"Mystic"</formula>
    </cfRule>
  </conditionalFormatting>
  <conditionalFormatting sqref="AM1731">
    <cfRule type="cellIs" dxfId="977" priority="973" operator="equal">
      <formula>"seeker"</formula>
    </cfRule>
    <cfRule type="cellIs" dxfId="976" priority="974" operator="equal">
      <formula>"neutral"</formula>
    </cfRule>
    <cfRule type="cellIs" dxfId="975" priority="975" operator="equal">
      <formula>"rogue"</formula>
    </cfRule>
    <cfRule type="cellIs" dxfId="974" priority="976" operator="equal">
      <formula>"Guardian"</formula>
    </cfRule>
    <cfRule type="cellIs" dxfId="973" priority="977" operator="equal">
      <formula>"Survivor"</formula>
    </cfRule>
    <cfRule type="cellIs" dxfId="972" priority="978" operator="equal">
      <formula>"Mystic"</formula>
    </cfRule>
  </conditionalFormatting>
  <conditionalFormatting sqref="K1796">
    <cfRule type="cellIs" dxfId="971" priority="841" operator="equal">
      <formula>"seeker"</formula>
    </cfRule>
    <cfRule type="cellIs" dxfId="970" priority="842" operator="equal">
      <formula>"neutral"</formula>
    </cfRule>
    <cfRule type="cellIs" dxfId="969" priority="843" operator="equal">
      <formula>"rogue"</formula>
    </cfRule>
    <cfRule type="cellIs" dxfId="968" priority="844" operator="equal">
      <formula>"Guardian"</formula>
    </cfRule>
    <cfRule type="cellIs" dxfId="967" priority="845" operator="equal">
      <formula>"Survivor"</formula>
    </cfRule>
    <cfRule type="cellIs" dxfId="966" priority="846" operator="equal">
      <formula>"Mystic"</formula>
    </cfRule>
  </conditionalFormatting>
  <conditionalFormatting sqref="AM1798">
    <cfRule type="cellIs" dxfId="965" priority="967" operator="equal">
      <formula>"seeker"</formula>
    </cfRule>
    <cfRule type="cellIs" dxfId="964" priority="968" operator="equal">
      <formula>"neutral"</formula>
    </cfRule>
    <cfRule type="cellIs" dxfId="963" priority="969" operator="equal">
      <formula>"rogue"</formula>
    </cfRule>
    <cfRule type="cellIs" dxfId="962" priority="970" operator="equal">
      <formula>"Guardian"</formula>
    </cfRule>
    <cfRule type="cellIs" dxfId="961" priority="971" operator="equal">
      <formula>"Survivor"</formula>
    </cfRule>
    <cfRule type="cellIs" dxfId="960" priority="972" operator="equal">
      <formula>"Mystic"</formula>
    </cfRule>
  </conditionalFormatting>
  <conditionalFormatting sqref="AM1797">
    <cfRule type="cellIs" dxfId="959" priority="961" operator="equal">
      <formula>"Seeker"</formula>
    </cfRule>
    <cfRule type="cellIs" dxfId="958" priority="962" operator="equal">
      <formula>"Neutral"</formula>
    </cfRule>
    <cfRule type="cellIs" dxfId="957" priority="963" operator="equal">
      <formula>"Rogue"</formula>
    </cfRule>
    <cfRule type="cellIs" dxfId="956" priority="964" operator="equal">
      <formula>"Guardian"</formula>
    </cfRule>
    <cfRule type="cellIs" dxfId="955" priority="965" operator="equal">
      <formula>"Survivor"</formula>
    </cfRule>
    <cfRule type="cellIs" dxfId="954" priority="966" operator="equal">
      <formula>"Mystic"</formula>
    </cfRule>
  </conditionalFormatting>
  <conditionalFormatting sqref="K1798">
    <cfRule type="cellIs" dxfId="953" priority="955" operator="equal">
      <formula>"seeker"</formula>
    </cfRule>
    <cfRule type="cellIs" dxfId="952" priority="956" operator="equal">
      <formula>"neutral"</formula>
    </cfRule>
    <cfRule type="cellIs" dxfId="951" priority="957" operator="equal">
      <formula>"rogue"</formula>
    </cfRule>
    <cfRule type="cellIs" dxfId="950" priority="958" operator="equal">
      <formula>"Guardian"</formula>
    </cfRule>
    <cfRule type="cellIs" dxfId="949" priority="959" operator="equal">
      <formula>"Survivor"</formula>
    </cfRule>
    <cfRule type="cellIs" dxfId="948" priority="960" operator="equal">
      <formula>"Mystic"</formula>
    </cfRule>
  </conditionalFormatting>
  <conditionalFormatting sqref="K1797">
    <cfRule type="cellIs" dxfId="947" priority="949" operator="equal">
      <formula>"Seeker"</formula>
    </cfRule>
    <cfRule type="cellIs" dxfId="946" priority="950" operator="equal">
      <formula>"Neutral"</formula>
    </cfRule>
    <cfRule type="cellIs" dxfId="945" priority="951" operator="equal">
      <formula>"Rogue"</formula>
    </cfRule>
    <cfRule type="cellIs" dxfId="944" priority="952" operator="equal">
      <formula>"Guardian"</formula>
    </cfRule>
    <cfRule type="cellIs" dxfId="943" priority="953" operator="equal">
      <formula>"Survivor"</formula>
    </cfRule>
    <cfRule type="cellIs" dxfId="942" priority="954" operator="equal">
      <formula>"Mystic"</formula>
    </cfRule>
  </conditionalFormatting>
  <conditionalFormatting sqref="K1756:K1769 AM1769 AM1775:AM1776 K1773:K1776 AM1787:AM1795 K1781:K1795 AM1780:AM1785">
    <cfRule type="cellIs" dxfId="941" priority="943" operator="equal">
      <formula>"seeker"</formula>
    </cfRule>
    <cfRule type="cellIs" dxfId="940" priority="944" operator="equal">
      <formula>"neutral"</formula>
    </cfRule>
    <cfRule type="cellIs" dxfId="939" priority="945" operator="equal">
      <formula>"rogue"</formula>
    </cfRule>
    <cfRule type="cellIs" dxfId="938" priority="946" operator="equal">
      <formula>"Guardian"</formula>
    </cfRule>
    <cfRule type="cellIs" dxfId="937" priority="947" operator="equal">
      <formula>"Survivor"</formula>
    </cfRule>
    <cfRule type="cellIs" dxfId="936" priority="948" operator="equal">
      <formula>"Mystic"</formula>
    </cfRule>
  </conditionalFormatting>
  <conditionalFormatting sqref="AL1760:AL1766">
    <cfRule type="cellIs" dxfId="935" priority="937" operator="equal">
      <formula>"Seeker"</formula>
    </cfRule>
    <cfRule type="cellIs" dxfId="934" priority="938" operator="equal">
      <formula>"Neutral"</formula>
    </cfRule>
    <cfRule type="cellIs" dxfId="933" priority="939" operator="equal">
      <formula>"Rogue"</formula>
    </cfRule>
    <cfRule type="cellIs" dxfId="932" priority="940" operator="equal">
      <formula>"Guardian"</formula>
    </cfRule>
    <cfRule type="cellIs" dxfId="931" priority="941" operator="equal">
      <formula>"Survivor"</formula>
    </cfRule>
    <cfRule type="cellIs" dxfId="930" priority="942" operator="equal">
      <formula>"Mystic"</formula>
    </cfRule>
  </conditionalFormatting>
  <conditionalFormatting sqref="AM1779">
    <cfRule type="cellIs" dxfId="929" priority="931" operator="equal">
      <formula>"seeker"</formula>
    </cfRule>
    <cfRule type="cellIs" dxfId="928" priority="932" operator="equal">
      <formula>"neutral"</formula>
    </cfRule>
    <cfRule type="cellIs" dxfId="927" priority="933" operator="equal">
      <formula>"rogue"</formula>
    </cfRule>
    <cfRule type="cellIs" dxfId="926" priority="934" operator="equal">
      <formula>"Guardian"</formula>
    </cfRule>
    <cfRule type="cellIs" dxfId="925" priority="935" operator="equal">
      <formula>"Survivor"</formula>
    </cfRule>
    <cfRule type="cellIs" dxfId="924" priority="936" operator="equal">
      <formula>"Mystic"</formula>
    </cfRule>
  </conditionalFormatting>
  <conditionalFormatting sqref="K1755">
    <cfRule type="cellIs" dxfId="923" priority="925" operator="equal">
      <formula>"Seeker"</formula>
    </cfRule>
    <cfRule type="cellIs" dxfId="922" priority="926" operator="equal">
      <formula>"Neutral"</formula>
    </cfRule>
    <cfRule type="cellIs" dxfId="921" priority="927" operator="equal">
      <formula>"Rogue"</formula>
    </cfRule>
    <cfRule type="cellIs" dxfId="920" priority="928" operator="equal">
      <formula>"Guardian"</formula>
    </cfRule>
    <cfRule type="cellIs" dxfId="919" priority="929" operator="equal">
      <formula>"Survivor"</formula>
    </cfRule>
    <cfRule type="cellIs" dxfId="918" priority="930" operator="equal">
      <formula>"Mystic"</formula>
    </cfRule>
  </conditionalFormatting>
  <conditionalFormatting sqref="AM1756:AM1759">
    <cfRule type="cellIs" dxfId="917" priority="919" operator="equal">
      <formula>"seeker"</formula>
    </cfRule>
    <cfRule type="cellIs" dxfId="916" priority="920" operator="equal">
      <formula>"neutral"</formula>
    </cfRule>
    <cfRule type="cellIs" dxfId="915" priority="921" operator="equal">
      <formula>"rogue"</formula>
    </cfRule>
    <cfRule type="cellIs" dxfId="914" priority="922" operator="equal">
      <formula>"Guardian"</formula>
    </cfRule>
    <cfRule type="cellIs" dxfId="913" priority="923" operator="equal">
      <formula>"Survivor"</formula>
    </cfRule>
    <cfRule type="cellIs" dxfId="912" priority="924" operator="equal">
      <formula>"Mystic"</formula>
    </cfRule>
  </conditionalFormatting>
  <conditionalFormatting sqref="AM1755">
    <cfRule type="cellIs" dxfId="911" priority="913" operator="equal">
      <formula>"Seeker"</formula>
    </cfRule>
    <cfRule type="cellIs" dxfId="910" priority="914" operator="equal">
      <formula>"Neutral"</formula>
    </cfRule>
    <cfRule type="cellIs" dxfId="909" priority="915" operator="equal">
      <formula>"Rogue"</formula>
    </cfRule>
    <cfRule type="cellIs" dxfId="908" priority="916" operator="equal">
      <formula>"Guardian"</formula>
    </cfRule>
    <cfRule type="cellIs" dxfId="907" priority="917" operator="equal">
      <formula>"Survivor"</formula>
    </cfRule>
    <cfRule type="cellIs" dxfId="906" priority="918" operator="equal">
      <formula>"Mystic"</formula>
    </cfRule>
  </conditionalFormatting>
  <conditionalFormatting sqref="K1770">
    <cfRule type="cellIs" dxfId="905" priority="907" operator="equal">
      <formula>"Seeker"</formula>
    </cfRule>
    <cfRule type="cellIs" dxfId="904" priority="908" operator="equal">
      <formula>"Neutral"</formula>
    </cfRule>
    <cfRule type="cellIs" dxfId="903" priority="909" operator="equal">
      <formula>"Rogue"</formula>
    </cfRule>
    <cfRule type="cellIs" dxfId="902" priority="910" operator="equal">
      <formula>"Guardian"</formula>
    </cfRule>
    <cfRule type="cellIs" dxfId="901" priority="911" operator="equal">
      <formula>"Survivor"</formula>
    </cfRule>
    <cfRule type="cellIs" dxfId="900" priority="912" operator="equal">
      <formula>"Mystic"</formula>
    </cfRule>
  </conditionalFormatting>
  <conditionalFormatting sqref="AM1770">
    <cfRule type="cellIs" dxfId="899" priority="901" operator="equal">
      <formula>"Seeker"</formula>
    </cfRule>
    <cfRule type="cellIs" dxfId="898" priority="902" operator="equal">
      <formula>"Neutral"</formula>
    </cfRule>
    <cfRule type="cellIs" dxfId="897" priority="903" operator="equal">
      <formula>"Rogue"</formula>
    </cfRule>
    <cfRule type="cellIs" dxfId="896" priority="904" operator="equal">
      <formula>"Guardian"</formula>
    </cfRule>
    <cfRule type="cellIs" dxfId="895" priority="905" operator="equal">
      <formula>"Survivor"</formula>
    </cfRule>
    <cfRule type="cellIs" dxfId="894" priority="906" operator="equal">
      <formula>"Mystic"</formula>
    </cfRule>
  </conditionalFormatting>
  <conditionalFormatting sqref="K1771">
    <cfRule type="cellIs" dxfId="893" priority="895" operator="equal">
      <formula>"Seeker"</formula>
    </cfRule>
    <cfRule type="cellIs" dxfId="892" priority="896" operator="equal">
      <formula>"Neutral"</formula>
    </cfRule>
    <cfRule type="cellIs" dxfId="891" priority="897" operator="equal">
      <formula>"Rogue"</formula>
    </cfRule>
    <cfRule type="cellIs" dxfId="890" priority="898" operator="equal">
      <formula>"Guardian"</formula>
    </cfRule>
    <cfRule type="cellIs" dxfId="889" priority="899" operator="equal">
      <formula>"Survivor"</formula>
    </cfRule>
    <cfRule type="cellIs" dxfId="888" priority="900" operator="equal">
      <formula>"Mystic"</formula>
    </cfRule>
  </conditionalFormatting>
  <conditionalFormatting sqref="K1772">
    <cfRule type="cellIs" dxfId="887" priority="889" operator="equal">
      <formula>"Seeker"</formula>
    </cfRule>
    <cfRule type="cellIs" dxfId="886" priority="890" operator="equal">
      <formula>"Neutral"</formula>
    </cfRule>
    <cfRule type="cellIs" dxfId="885" priority="891" operator="equal">
      <formula>"Rogue"</formula>
    </cfRule>
    <cfRule type="cellIs" dxfId="884" priority="892" operator="equal">
      <formula>"Guardian"</formula>
    </cfRule>
    <cfRule type="cellIs" dxfId="883" priority="893" operator="equal">
      <formula>"Survivor"</formula>
    </cfRule>
    <cfRule type="cellIs" dxfId="882" priority="894" operator="equal">
      <formula>"Mystic"</formula>
    </cfRule>
  </conditionalFormatting>
  <conditionalFormatting sqref="K1777">
    <cfRule type="cellIs" dxfId="881" priority="883" operator="equal">
      <formula>"seeker"</formula>
    </cfRule>
    <cfRule type="cellIs" dxfId="880" priority="884" operator="equal">
      <formula>"neutral"</formula>
    </cfRule>
    <cfRule type="cellIs" dxfId="879" priority="885" operator="equal">
      <formula>"rogue"</formula>
    </cfRule>
    <cfRule type="cellIs" dxfId="878" priority="886" operator="equal">
      <formula>"Guardian"</formula>
    </cfRule>
    <cfRule type="cellIs" dxfId="877" priority="887" operator="equal">
      <formula>"Survivor"</formula>
    </cfRule>
    <cfRule type="cellIs" dxfId="876" priority="888" operator="equal">
      <formula>"Mystic"</formula>
    </cfRule>
  </conditionalFormatting>
  <conditionalFormatting sqref="AM1777">
    <cfRule type="cellIs" dxfId="875" priority="877" operator="equal">
      <formula>"seeker"</formula>
    </cfRule>
    <cfRule type="cellIs" dxfId="874" priority="878" operator="equal">
      <formula>"neutral"</formula>
    </cfRule>
    <cfRule type="cellIs" dxfId="873" priority="879" operator="equal">
      <formula>"rogue"</formula>
    </cfRule>
    <cfRule type="cellIs" dxfId="872" priority="880" operator="equal">
      <formula>"Guardian"</formula>
    </cfRule>
    <cfRule type="cellIs" dxfId="871" priority="881" operator="equal">
      <formula>"Survivor"</formula>
    </cfRule>
    <cfRule type="cellIs" dxfId="870" priority="882" operator="equal">
      <formula>"Mystic"</formula>
    </cfRule>
  </conditionalFormatting>
  <conditionalFormatting sqref="K1778">
    <cfRule type="cellIs" dxfId="869" priority="871" operator="equal">
      <formula>"seeker"</formula>
    </cfRule>
    <cfRule type="cellIs" dxfId="868" priority="872" operator="equal">
      <formula>"neutral"</formula>
    </cfRule>
    <cfRule type="cellIs" dxfId="867" priority="873" operator="equal">
      <formula>"rogue"</formula>
    </cfRule>
    <cfRule type="cellIs" dxfId="866" priority="874" operator="equal">
      <formula>"Guardian"</formula>
    </cfRule>
    <cfRule type="cellIs" dxfId="865" priority="875" operator="equal">
      <formula>"Survivor"</formula>
    </cfRule>
    <cfRule type="cellIs" dxfId="864" priority="876" operator="equal">
      <formula>"Mystic"</formula>
    </cfRule>
  </conditionalFormatting>
  <conditionalFormatting sqref="AM1778">
    <cfRule type="cellIs" dxfId="863" priority="865" operator="equal">
      <formula>"seeker"</formula>
    </cfRule>
    <cfRule type="cellIs" dxfId="862" priority="866" operator="equal">
      <formula>"neutral"</formula>
    </cfRule>
    <cfRule type="cellIs" dxfId="861" priority="867" operator="equal">
      <formula>"rogue"</formula>
    </cfRule>
    <cfRule type="cellIs" dxfId="860" priority="868" operator="equal">
      <formula>"Guardian"</formula>
    </cfRule>
    <cfRule type="cellIs" dxfId="859" priority="869" operator="equal">
      <formula>"Survivor"</formula>
    </cfRule>
    <cfRule type="cellIs" dxfId="858" priority="870" operator="equal">
      <formula>"Mystic"</formula>
    </cfRule>
  </conditionalFormatting>
  <conditionalFormatting sqref="K1779">
    <cfRule type="cellIs" dxfId="857" priority="859" operator="equal">
      <formula>"seeker"</formula>
    </cfRule>
    <cfRule type="cellIs" dxfId="856" priority="860" operator="equal">
      <formula>"neutral"</formula>
    </cfRule>
    <cfRule type="cellIs" dxfId="855" priority="861" operator="equal">
      <formula>"rogue"</formula>
    </cfRule>
    <cfRule type="cellIs" dxfId="854" priority="862" operator="equal">
      <formula>"Guardian"</formula>
    </cfRule>
    <cfRule type="cellIs" dxfId="853" priority="863" operator="equal">
      <formula>"Survivor"</formula>
    </cfRule>
    <cfRule type="cellIs" dxfId="852" priority="864" operator="equal">
      <formula>"Mystic"</formula>
    </cfRule>
  </conditionalFormatting>
  <conditionalFormatting sqref="K1780">
    <cfRule type="cellIs" dxfId="851" priority="853" operator="equal">
      <formula>"seeker"</formula>
    </cfRule>
    <cfRule type="cellIs" dxfId="850" priority="854" operator="equal">
      <formula>"neutral"</formula>
    </cfRule>
    <cfRule type="cellIs" dxfId="849" priority="855" operator="equal">
      <formula>"rogue"</formula>
    </cfRule>
    <cfRule type="cellIs" dxfId="848" priority="856" operator="equal">
      <formula>"Guardian"</formula>
    </cfRule>
    <cfRule type="cellIs" dxfId="847" priority="857" operator="equal">
      <formula>"Survivor"</formula>
    </cfRule>
    <cfRule type="cellIs" dxfId="846" priority="858" operator="equal">
      <formula>"Mystic"</formula>
    </cfRule>
  </conditionalFormatting>
  <conditionalFormatting sqref="AM1786">
    <cfRule type="cellIs" dxfId="845" priority="847" operator="equal">
      <formula>"seeker"</formula>
    </cfRule>
    <cfRule type="cellIs" dxfId="844" priority="848" operator="equal">
      <formula>"neutral"</formula>
    </cfRule>
    <cfRule type="cellIs" dxfId="843" priority="849" operator="equal">
      <formula>"rogue"</formula>
    </cfRule>
    <cfRule type="cellIs" dxfId="842" priority="850" operator="equal">
      <formula>"Guardian"</formula>
    </cfRule>
    <cfRule type="cellIs" dxfId="841" priority="851" operator="equal">
      <formula>"Survivor"</formula>
    </cfRule>
    <cfRule type="cellIs" dxfId="840" priority="852" operator="equal">
      <formula>"Mystic"</formula>
    </cfRule>
  </conditionalFormatting>
  <conditionalFormatting sqref="AL1796">
    <cfRule type="cellIs" dxfId="839" priority="835" operator="equal">
      <formula>"Seeker"</formula>
    </cfRule>
    <cfRule type="cellIs" dxfId="838" priority="836" operator="equal">
      <formula>"Neutral"</formula>
    </cfRule>
    <cfRule type="cellIs" dxfId="837" priority="837" operator="equal">
      <formula>"Rogue"</formula>
    </cfRule>
    <cfRule type="cellIs" dxfId="836" priority="838" operator="equal">
      <formula>"Guardian"</formula>
    </cfRule>
    <cfRule type="cellIs" dxfId="835" priority="839" operator="equal">
      <formula>"Survivor"</formula>
    </cfRule>
    <cfRule type="cellIs" dxfId="834" priority="840" operator="equal">
      <formula>"Mystic"</formula>
    </cfRule>
  </conditionalFormatting>
  <conditionalFormatting sqref="AM1774">
    <cfRule type="cellIs" dxfId="833" priority="829" operator="equal">
      <formula>"seeker"</formula>
    </cfRule>
    <cfRule type="cellIs" dxfId="832" priority="830" operator="equal">
      <formula>"neutral"</formula>
    </cfRule>
    <cfRule type="cellIs" dxfId="831" priority="831" operator="equal">
      <formula>"rogue"</formula>
    </cfRule>
    <cfRule type="cellIs" dxfId="830" priority="832" operator="equal">
      <formula>"Guardian"</formula>
    </cfRule>
    <cfRule type="cellIs" dxfId="829" priority="833" operator="equal">
      <formula>"Survivor"</formula>
    </cfRule>
    <cfRule type="cellIs" dxfId="828" priority="834" operator="equal">
      <formula>"Mystic"</formula>
    </cfRule>
  </conditionalFormatting>
  <conditionalFormatting sqref="K1800:K1813 AM1813 AM1819:AM1820 K1817:K1820 AM1831:AM1838 K1825:K1838 AM1824:AM1829">
    <cfRule type="cellIs" dxfId="827" priority="823" operator="equal">
      <formula>"seeker"</formula>
    </cfRule>
    <cfRule type="cellIs" dxfId="826" priority="824" operator="equal">
      <formula>"neutral"</formula>
    </cfRule>
    <cfRule type="cellIs" dxfId="825" priority="825" operator="equal">
      <formula>"rogue"</formula>
    </cfRule>
    <cfRule type="cellIs" dxfId="824" priority="826" operator="equal">
      <formula>"Guardian"</formula>
    </cfRule>
    <cfRule type="cellIs" dxfId="823" priority="827" operator="equal">
      <formula>"Survivor"</formula>
    </cfRule>
    <cfRule type="cellIs" dxfId="822" priority="828" operator="equal">
      <formula>"Mystic"</formula>
    </cfRule>
  </conditionalFormatting>
  <conditionalFormatting sqref="AL1804:AL1810">
    <cfRule type="cellIs" dxfId="821" priority="817" operator="equal">
      <formula>"Seeker"</formula>
    </cfRule>
    <cfRule type="cellIs" dxfId="820" priority="818" operator="equal">
      <formula>"Neutral"</formula>
    </cfRule>
    <cfRule type="cellIs" dxfId="819" priority="819" operator="equal">
      <formula>"Rogue"</formula>
    </cfRule>
    <cfRule type="cellIs" dxfId="818" priority="820" operator="equal">
      <formula>"Guardian"</formula>
    </cfRule>
    <cfRule type="cellIs" dxfId="817" priority="821" operator="equal">
      <formula>"Survivor"</formula>
    </cfRule>
    <cfRule type="cellIs" dxfId="816" priority="822" operator="equal">
      <formula>"Mystic"</formula>
    </cfRule>
  </conditionalFormatting>
  <conditionalFormatting sqref="AM1823">
    <cfRule type="cellIs" dxfId="815" priority="811" operator="equal">
      <formula>"seeker"</formula>
    </cfRule>
    <cfRule type="cellIs" dxfId="814" priority="812" operator="equal">
      <formula>"neutral"</formula>
    </cfRule>
    <cfRule type="cellIs" dxfId="813" priority="813" operator="equal">
      <formula>"rogue"</formula>
    </cfRule>
    <cfRule type="cellIs" dxfId="812" priority="814" operator="equal">
      <formula>"Guardian"</formula>
    </cfRule>
    <cfRule type="cellIs" dxfId="811" priority="815" operator="equal">
      <formula>"Survivor"</formula>
    </cfRule>
    <cfRule type="cellIs" dxfId="810" priority="816" operator="equal">
      <formula>"Mystic"</formula>
    </cfRule>
  </conditionalFormatting>
  <conditionalFormatting sqref="K1799">
    <cfRule type="cellIs" dxfId="809" priority="805" operator="equal">
      <formula>"Seeker"</formula>
    </cfRule>
    <cfRule type="cellIs" dxfId="808" priority="806" operator="equal">
      <formula>"Neutral"</formula>
    </cfRule>
    <cfRule type="cellIs" dxfId="807" priority="807" operator="equal">
      <formula>"Rogue"</formula>
    </cfRule>
    <cfRule type="cellIs" dxfId="806" priority="808" operator="equal">
      <formula>"Guardian"</formula>
    </cfRule>
    <cfRule type="cellIs" dxfId="805" priority="809" operator="equal">
      <formula>"Survivor"</formula>
    </cfRule>
    <cfRule type="cellIs" dxfId="804" priority="810" operator="equal">
      <formula>"Mystic"</formula>
    </cfRule>
  </conditionalFormatting>
  <conditionalFormatting sqref="AM1800:AM1803">
    <cfRule type="cellIs" dxfId="803" priority="799" operator="equal">
      <formula>"seeker"</formula>
    </cfRule>
    <cfRule type="cellIs" dxfId="802" priority="800" operator="equal">
      <formula>"neutral"</formula>
    </cfRule>
    <cfRule type="cellIs" dxfId="801" priority="801" operator="equal">
      <formula>"rogue"</formula>
    </cfRule>
    <cfRule type="cellIs" dxfId="800" priority="802" operator="equal">
      <formula>"Guardian"</formula>
    </cfRule>
    <cfRule type="cellIs" dxfId="799" priority="803" operator="equal">
      <formula>"Survivor"</formula>
    </cfRule>
    <cfRule type="cellIs" dxfId="798" priority="804" operator="equal">
      <formula>"Mystic"</formula>
    </cfRule>
  </conditionalFormatting>
  <conditionalFormatting sqref="AM1799">
    <cfRule type="cellIs" dxfId="797" priority="793" operator="equal">
      <formula>"Seeker"</formula>
    </cfRule>
    <cfRule type="cellIs" dxfId="796" priority="794" operator="equal">
      <formula>"Neutral"</formula>
    </cfRule>
    <cfRule type="cellIs" dxfId="795" priority="795" operator="equal">
      <formula>"Rogue"</formula>
    </cfRule>
    <cfRule type="cellIs" dxfId="794" priority="796" operator="equal">
      <formula>"Guardian"</formula>
    </cfRule>
    <cfRule type="cellIs" dxfId="793" priority="797" operator="equal">
      <formula>"Survivor"</formula>
    </cfRule>
    <cfRule type="cellIs" dxfId="792" priority="798" operator="equal">
      <formula>"Mystic"</formula>
    </cfRule>
  </conditionalFormatting>
  <conditionalFormatting sqref="K1814">
    <cfRule type="cellIs" dxfId="791" priority="787" operator="equal">
      <formula>"Seeker"</formula>
    </cfRule>
    <cfRule type="cellIs" dxfId="790" priority="788" operator="equal">
      <formula>"Neutral"</formula>
    </cfRule>
    <cfRule type="cellIs" dxfId="789" priority="789" operator="equal">
      <formula>"Rogue"</formula>
    </cfRule>
    <cfRule type="cellIs" dxfId="788" priority="790" operator="equal">
      <formula>"Guardian"</formula>
    </cfRule>
    <cfRule type="cellIs" dxfId="787" priority="791" operator="equal">
      <formula>"Survivor"</formula>
    </cfRule>
    <cfRule type="cellIs" dxfId="786" priority="792" operator="equal">
      <formula>"Mystic"</formula>
    </cfRule>
  </conditionalFormatting>
  <conditionalFormatting sqref="AM1814">
    <cfRule type="cellIs" dxfId="785" priority="781" operator="equal">
      <formula>"Seeker"</formula>
    </cfRule>
    <cfRule type="cellIs" dxfId="784" priority="782" operator="equal">
      <formula>"Neutral"</formula>
    </cfRule>
    <cfRule type="cellIs" dxfId="783" priority="783" operator="equal">
      <formula>"Rogue"</formula>
    </cfRule>
    <cfRule type="cellIs" dxfId="782" priority="784" operator="equal">
      <formula>"Guardian"</formula>
    </cfRule>
    <cfRule type="cellIs" dxfId="781" priority="785" operator="equal">
      <formula>"Survivor"</formula>
    </cfRule>
    <cfRule type="cellIs" dxfId="780" priority="786" operator="equal">
      <formula>"Mystic"</formula>
    </cfRule>
  </conditionalFormatting>
  <conditionalFormatting sqref="K1815">
    <cfRule type="cellIs" dxfId="779" priority="775" operator="equal">
      <formula>"Seeker"</formula>
    </cfRule>
    <cfRule type="cellIs" dxfId="778" priority="776" operator="equal">
      <formula>"Neutral"</formula>
    </cfRule>
    <cfRule type="cellIs" dxfId="777" priority="777" operator="equal">
      <formula>"Rogue"</formula>
    </cfRule>
    <cfRule type="cellIs" dxfId="776" priority="778" operator="equal">
      <formula>"Guardian"</formula>
    </cfRule>
    <cfRule type="cellIs" dxfId="775" priority="779" operator="equal">
      <formula>"Survivor"</formula>
    </cfRule>
    <cfRule type="cellIs" dxfId="774" priority="780" operator="equal">
      <formula>"Mystic"</formula>
    </cfRule>
  </conditionalFormatting>
  <conditionalFormatting sqref="K1816">
    <cfRule type="cellIs" dxfId="773" priority="769" operator="equal">
      <formula>"Seeker"</formula>
    </cfRule>
    <cfRule type="cellIs" dxfId="772" priority="770" operator="equal">
      <formula>"Neutral"</formula>
    </cfRule>
    <cfRule type="cellIs" dxfId="771" priority="771" operator="equal">
      <formula>"Rogue"</formula>
    </cfRule>
    <cfRule type="cellIs" dxfId="770" priority="772" operator="equal">
      <formula>"Guardian"</formula>
    </cfRule>
    <cfRule type="cellIs" dxfId="769" priority="773" operator="equal">
      <formula>"Survivor"</formula>
    </cfRule>
    <cfRule type="cellIs" dxfId="768" priority="774" operator="equal">
      <formula>"Mystic"</formula>
    </cfRule>
  </conditionalFormatting>
  <conditionalFormatting sqref="K1821">
    <cfRule type="cellIs" dxfId="767" priority="763" operator="equal">
      <formula>"seeker"</formula>
    </cfRule>
    <cfRule type="cellIs" dxfId="766" priority="764" operator="equal">
      <formula>"neutral"</formula>
    </cfRule>
    <cfRule type="cellIs" dxfId="765" priority="765" operator="equal">
      <formula>"rogue"</formula>
    </cfRule>
    <cfRule type="cellIs" dxfId="764" priority="766" operator="equal">
      <formula>"Guardian"</formula>
    </cfRule>
    <cfRule type="cellIs" dxfId="763" priority="767" operator="equal">
      <formula>"Survivor"</formula>
    </cfRule>
    <cfRule type="cellIs" dxfId="762" priority="768" operator="equal">
      <formula>"Mystic"</formula>
    </cfRule>
  </conditionalFormatting>
  <conditionalFormatting sqref="AM1821">
    <cfRule type="cellIs" dxfId="761" priority="757" operator="equal">
      <formula>"seeker"</formula>
    </cfRule>
    <cfRule type="cellIs" dxfId="760" priority="758" operator="equal">
      <formula>"neutral"</formula>
    </cfRule>
    <cfRule type="cellIs" dxfId="759" priority="759" operator="equal">
      <formula>"rogue"</formula>
    </cfRule>
    <cfRule type="cellIs" dxfId="758" priority="760" operator="equal">
      <formula>"Guardian"</formula>
    </cfRule>
    <cfRule type="cellIs" dxfId="757" priority="761" operator="equal">
      <formula>"Survivor"</formula>
    </cfRule>
    <cfRule type="cellIs" dxfId="756" priority="762" operator="equal">
      <formula>"Mystic"</formula>
    </cfRule>
  </conditionalFormatting>
  <conditionalFormatting sqref="K1822">
    <cfRule type="cellIs" dxfId="755" priority="751" operator="equal">
      <formula>"seeker"</formula>
    </cfRule>
    <cfRule type="cellIs" dxfId="754" priority="752" operator="equal">
      <formula>"neutral"</formula>
    </cfRule>
    <cfRule type="cellIs" dxfId="753" priority="753" operator="equal">
      <formula>"rogue"</formula>
    </cfRule>
    <cfRule type="cellIs" dxfId="752" priority="754" operator="equal">
      <formula>"Guardian"</formula>
    </cfRule>
    <cfRule type="cellIs" dxfId="751" priority="755" operator="equal">
      <formula>"Survivor"</formula>
    </cfRule>
    <cfRule type="cellIs" dxfId="750" priority="756" operator="equal">
      <formula>"Mystic"</formula>
    </cfRule>
  </conditionalFormatting>
  <conditionalFormatting sqref="AM1822">
    <cfRule type="cellIs" dxfId="749" priority="745" operator="equal">
      <formula>"seeker"</formula>
    </cfRule>
    <cfRule type="cellIs" dxfId="748" priority="746" operator="equal">
      <formula>"neutral"</formula>
    </cfRule>
    <cfRule type="cellIs" dxfId="747" priority="747" operator="equal">
      <formula>"rogue"</formula>
    </cfRule>
    <cfRule type="cellIs" dxfId="746" priority="748" operator="equal">
      <formula>"Guardian"</formula>
    </cfRule>
    <cfRule type="cellIs" dxfId="745" priority="749" operator="equal">
      <formula>"Survivor"</formula>
    </cfRule>
    <cfRule type="cellIs" dxfId="744" priority="750" operator="equal">
      <formula>"Mystic"</formula>
    </cfRule>
  </conditionalFormatting>
  <conditionalFormatting sqref="K1823">
    <cfRule type="cellIs" dxfId="743" priority="739" operator="equal">
      <formula>"seeker"</formula>
    </cfRule>
    <cfRule type="cellIs" dxfId="742" priority="740" operator="equal">
      <formula>"neutral"</formula>
    </cfRule>
    <cfRule type="cellIs" dxfId="741" priority="741" operator="equal">
      <formula>"rogue"</formula>
    </cfRule>
    <cfRule type="cellIs" dxfId="740" priority="742" operator="equal">
      <formula>"Guardian"</formula>
    </cfRule>
    <cfRule type="cellIs" dxfId="739" priority="743" operator="equal">
      <formula>"Survivor"</formula>
    </cfRule>
    <cfRule type="cellIs" dxfId="738" priority="744" operator="equal">
      <formula>"Mystic"</formula>
    </cfRule>
  </conditionalFormatting>
  <conditionalFormatting sqref="K1824">
    <cfRule type="cellIs" dxfId="737" priority="733" operator="equal">
      <formula>"seeker"</formula>
    </cfRule>
    <cfRule type="cellIs" dxfId="736" priority="734" operator="equal">
      <formula>"neutral"</formula>
    </cfRule>
    <cfRule type="cellIs" dxfId="735" priority="735" operator="equal">
      <formula>"rogue"</formula>
    </cfRule>
    <cfRule type="cellIs" dxfId="734" priority="736" operator="equal">
      <formula>"Guardian"</formula>
    </cfRule>
    <cfRule type="cellIs" dxfId="733" priority="737" operator="equal">
      <formula>"Survivor"</formula>
    </cfRule>
    <cfRule type="cellIs" dxfId="732" priority="738" operator="equal">
      <formula>"Mystic"</formula>
    </cfRule>
  </conditionalFormatting>
  <conditionalFormatting sqref="AM1830">
    <cfRule type="cellIs" dxfId="731" priority="727" operator="equal">
      <formula>"seeker"</formula>
    </cfRule>
    <cfRule type="cellIs" dxfId="730" priority="728" operator="equal">
      <formula>"neutral"</formula>
    </cfRule>
    <cfRule type="cellIs" dxfId="729" priority="729" operator="equal">
      <formula>"rogue"</formula>
    </cfRule>
    <cfRule type="cellIs" dxfId="728" priority="730" operator="equal">
      <formula>"Guardian"</formula>
    </cfRule>
    <cfRule type="cellIs" dxfId="727" priority="731" operator="equal">
      <formula>"Survivor"</formula>
    </cfRule>
    <cfRule type="cellIs" dxfId="726" priority="732" operator="equal">
      <formula>"Mystic"</formula>
    </cfRule>
  </conditionalFormatting>
  <conditionalFormatting sqref="AM1818">
    <cfRule type="cellIs" dxfId="725" priority="721" operator="equal">
      <formula>"seeker"</formula>
    </cfRule>
    <cfRule type="cellIs" dxfId="724" priority="722" operator="equal">
      <formula>"neutral"</formula>
    </cfRule>
    <cfRule type="cellIs" dxfId="723" priority="723" operator="equal">
      <formula>"rogue"</formula>
    </cfRule>
    <cfRule type="cellIs" dxfId="722" priority="724" operator="equal">
      <formula>"Guardian"</formula>
    </cfRule>
    <cfRule type="cellIs" dxfId="721" priority="725" operator="equal">
      <formula>"Survivor"</formula>
    </cfRule>
    <cfRule type="cellIs" dxfId="720" priority="726" operator="equal">
      <formula>"Mystic"</formula>
    </cfRule>
  </conditionalFormatting>
  <conditionalFormatting sqref="K1840:K1853 AM1853 AM1859:AM1860 K1857:K1860 AM1871:AM1872 K1865:K1872 AM1864:AM1869">
    <cfRule type="cellIs" dxfId="719" priority="715" operator="equal">
      <formula>"seeker"</formula>
    </cfRule>
    <cfRule type="cellIs" dxfId="718" priority="716" operator="equal">
      <formula>"neutral"</formula>
    </cfRule>
    <cfRule type="cellIs" dxfId="717" priority="717" operator="equal">
      <formula>"rogue"</formula>
    </cfRule>
    <cfRule type="cellIs" dxfId="716" priority="718" operator="equal">
      <formula>"Guardian"</formula>
    </cfRule>
    <cfRule type="cellIs" dxfId="715" priority="719" operator="equal">
      <formula>"Survivor"</formula>
    </cfRule>
    <cfRule type="cellIs" dxfId="714" priority="720" operator="equal">
      <formula>"Mystic"</formula>
    </cfRule>
  </conditionalFormatting>
  <conditionalFormatting sqref="AL1844:AL1850">
    <cfRule type="cellIs" dxfId="713" priority="709" operator="equal">
      <formula>"Seeker"</formula>
    </cfRule>
    <cfRule type="cellIs" dxfId="712" priority="710" operator="equal">
      <formula>"Neutral"</formula>
    </cfRule>
    <cfRule type="cellIs" dxfId="711" priority="711" operator="equal">
      <formula>"Rogue"</formula>
    </cfRule>
    <cfRule type="cellIs" dxfId="710" priority="712" operator="equal">
      <formula>"Guardian"</formula>
    </cfRule>
    <cfRule type="cellIs" dxfId="709" priority="713" operator="equal">
      <formula>"Survivor"</formula>
    </cfRule>
    <cfRule type="cellIs" dxfId="708" priority="714" operator="equal">
      <formula>"Mystic"</formula>
    </cfRule>
  </conditionalFormatting>
  <conditionalFormatting sqref="AM1863">
    <cfRule type="cellIs" dxfId="707" priority="703" operator="equal">
      <formula>"seeker"</formula>
    </cfRule>
    <cfRule type="cellIs" dxfId="706" priority="704" operator="equal">
      <formula>"neutral"</formula>
    </cfRule>
    <cfRule type="cellIs" dxfId="705" priority="705" operator="equal">
      <formula>"rogue"</formula>
    </cfRule>
    <cfRule type="cellIs" dxfId="704" priority="706" operator="equal">
      <formula>"Guardian"</formula>
    </cfRule>
    <cfRule type="cellIs" dxfId="703" priority="707" operator="equal">
      <formula>"Survivor"</formula>
    </cfRule>
    <cfRule type="cellIs" dxfId="702" priority="708" operator="equal">
      <formula>"Mystic"</formula>
    </cfRule>
  </conditionalFormatting>
  <conditionalFormatting sqref="K1839">
    <cfRule type="cellIs" dxfId="701" priority="697" operator="equal">
      <formula>"Seeker"</formula>
    </cfRule>
    <cfRule type="cellIs" dxfId="700" priority="698" operator="equal">
      <formula>"Neutral"</formula>
    </cfRule>
    <cfRule type="cellIs" dxfId="699" priority="699" operator="equal">
      <formula>"Rogue"</formula>
    </cfRule>
    <cfRule type="cellIs" dxfId="698" priority="700" operator="equal">
      <formula>"Guardian"</formula>
    </cfRule>
    <cfRule type="cellIs" dxfId="697" priority="701" operator="equal">
      <formula>"Survivor"</formula>
    </cfRule>
    <cfRule type="cellIs" dxfId="696" priority="702" operator="equal">
      <formula>"Mystic"</formula>
    </cfRule>
  </conditionalFormatting>
  <conditionalFormatting sqref="AM1840:AM1843">
    <cfRule type="cellIs" dxfId="695" priority="691" operator="equal">
      <formula>"seeker"</formula>
    </cfRule>
    <cfRule type="cellIs" dxfId="694" priority="692" operator="equal">
      <formula>"neutral"</formula>
    </cfRule>
    <cfRule type="cellIs" dxfId="693" priority="693" operator="equal">
      <formula>"rogue"</formula>
    </cfRule>
    <cfRule type="cellIs" dxfId="692" priority="694" operator="equal">
      <formula>"Guardian"</formula>
    </cfRule>
    <cfRule type="cellIs" dxfId="691" priority="695" operator="equal">
      <formula>"Survivor"</formula>
    </cfRule>
    <cfRule type="cellIs" dxfId="690" priority="696" operator="equal">
      <formula>"Mystic"</formula>
    </cfRule>
  </conditionalFormatting>
  <conditionalFormatting sqref="AM1839">
    <cfRule type="cellIs" dxfId="689" priority="685" operator="equal">
      <formula>"Seeker"</formula>
    </cfRule>
    <cfRule type="cellIs" dxfId="688" priority="686" operator="equal">
      <formula>"Neutral"</formula>
    </cfRule>
    <cfRule type="cellIs" dxfId="687" priority="687" operator="equal">
      <formula>"Rogue"</formula>
    </cfRule>
    <cfRule type="cellIs" dxfId="686" priority="688" operator="equal">
      <formula>"Guardian"</formula>
    </cfRule>
    <cfRule type="cellIs" dxfId="685" priority="689" operator="equal">
      <formula>"Survivor"</formula>
    </cfRule>
    <cfRule type="cellIs" dxfId="684" priority="690" operator="equal">
      <formula>"Mystic"</formula>
    </cfRule>
  </conditionalFormatting>
  <conditionalFormatting sqref="K1854">
    <cfRule type="cellIs" dxfId="683" priority="679" operator="equal">
      <formula>"Seeker"</formula>
    </cfRule>
    <cfRule type="cellIs" dxfId="682" priority="680" operator="equal">
      <formula>"Neutral"</formula>
    </cfRule>
    <cfRule type="cellIs" dxfId="681" priority="681" operator="equal">
      <formula>"Rogue"</formula>
    </cfRule>
    <cfRule type="cellIs" dxfId="680" priority="682" operator="equal">
      <formula>"Guardian"</formula>
    </cfRule>
    <cfRule type="cellIs" dxfId="679" priority="683" operator="equal">
      <formula>"Survivor"</formula>
    </cfRule>
    <cfRule type="cellIs" dxfId="678" priority="684" operator="equal">
      <formula>"Mystic"</formula>
    </cfRule>
  </conditionalFormatting>
  <conditionalFormatting sqref="AM1854">
    <cfRule type="cellIs" dxfId="677" priority="673" operator="equal">
      <formula>"Seeker"</formula>
    </cfRule>
    <cfRule type="cellIs" dxfId="676" priority="674" operator="equal">
      <formula>"Neutral"</formula>
    </cfRule>
    <cfRule type="cellIs" dxfId="675" priority="675" operator="equal">
      <formula>"Rogue"</formula>
    </cfRule>
    <cfRule type="cellIs" dxfId="674" priority="676" operator="equal">
      <formula>"Guardian"</formula>
    </cfRule>
    <cfRule type="cellIs" dxfId="673" priority="677" operator="equal">
      <formula>"Survivor"</formula>
    </cfRule>
    <cfRule type="cellIs" dxfId="672" priority="678" operator="equal">
      <formula>"Mystic"</formula>
    </cfRule>
  </conditionalFormatting>
  <conditionalFormatting sqref="K1855">
    <cfRule type="cellIs" dxfId="671" priority="667" operator="equal">
      <formula>"Seeker"</formula>
    </cfRule>
    <cfRule type="cellIs" dxfId="670" priority="668" operator="equal">
      <formula>"Neutral"</formula>
    </cfRule>
    <cfRule type="cellIs" dxfId="669" priority="669" operator="equal">
      <formula>"Rogue"</formula>
    </cfRule>
    <cfRule type="cellIs" dxfId="668" priority="670" operator="equal">
      <formula>"Guardian"</formula>
    </cfRule>
    <cfRule type="cellIs" dxfId="667" priority="671" operator="equal">
      <formula>"Survivor"</formula>
    </cfRule>
    <cfRule type="cellIs" dxfId="666" priority="672" operator="equal">
      <formula>"Mystic"</formula>
    </cfRule>
  </conditionalFormatting>
  <conditionalFormatting sqref="K1856">
    <cfRule type="cellIs" dxfId="665" priority="661" operator="equal">
      <formula>"Seeker"</formula>
    </cfRule>
    <cfRule type="cellIs" dxfId="664" priority="662" operator="equal">
      <formula>"Neutral"</formula>
    </cfRule>
    <cfRule type="cellIs" dxfId="663" priority="663" operator="equal">
      <formula>"Rogue"</formula>
    </cfRule>
    <cfRule type="cellIs" dxfId="662" priority="664" operator="equal">
      <formula>"Guardian"</formula>
    </cfRule>
    <cfRule type="cellIs" dxfId="661" priority="665" operator="equal">
      <formula>"Survivor"</formula>
    </cfRule>
    <cfRule type="cellIs" dxfId="660" priority="666" operator="equal">
      <formula>"Mystic"</formula>
    </cfRule>
  </conditionalFormatting>
  <conditionalFormatting sqref="K1861">
    <cfRule type="cellIs" dxfId="659" priority="655" operator="equal">
      <formula>"seeker"</formula>
    </cfRule>
    <cfRule type="cellIs" dxfId="658" priority="656" operator="equal">
      <formula>"neutral"</formula>
    </cfRule>
    <cfRule type="cellIs" dxfId="657" priority="657" operator="equal">
      <formula>"rogue"</formula>
    </cfRule>
    <cfRule type="cellIs" dxfId="656" priority="658" operator="equal">
      <formula>"Guardian"</formula>
    </cfRule>
    <cfRule type="cellIs" dxfId="655" priority="659" operator="equal">
      <formula>"Survivor"</formula>
    </cfRule>
    <cfRule type="cellIs" dxfId="654" priority="660" operator="equal">
      <formula>"Mystic"</formula>
    </cfRule>
  </conditionalFormatting>
  <conditionalFormatting sqref="AM1861">
    <cfRule type="cellIs" dxfId="653" priority="649" operator="equal">
      <formula>"seeker"</formula>
    </cfRule>
    <cfRule type="cellIs" dxfId="652" priority="650" operator="equal">
      <formula>"neutral"</formula>
    </cfRule>
    <cfRule type="cellIs" dxfId="651" priority="651" operator="equal">
      <formula>"rogue"</formula>
    </cfRule>
    <cfRule type="cellIs" dxfId="650" priority="652" operator="equal">
      <formula>"Guardian"</formula>
    </cfRule>
    <cfRule type="cellIs" dxfId="649" priority="653" operator="equal">
      <formula>"Survivor"</formula>
    </cfRule>
    <cfRule type="cellIs" dxfId="648" priority="654" operator="equal">
      <formula>"Mystic"</formula>
    </cfRule>
  </conditionalFormatting>
  <conditionalFormatting sqref="K1862">
    <cfRule type="cellIs" dxfId="647" priority="643" operator="equal">
      <formula>"seeker"</formula>
    </cfRule>
    <cfRule type="cellIs" dxfId="646" priority="644" operator="equal">
      <formula>"neutral"</formula>
    </cfRule>
    <cfRule type="cellIs" dxfId="645" priority="645" operator="equal">
      <formula>"rogue"</formula>
    </cfRule>
    <cfRule type="cellIs" dxfId="644" priority="646" operator="equal">
      <formula>"Guardian"</formula>
    </cfRule>
    <cfRule type="cellIs" dxfId="643" priority="647" operator="equal">
      <formula>"Survivor"</formula>
    </cfRule>
    <cfRule type="cellIs" dxfId="642" priority="648" operator="equal">
      <formula>"Mystic"</formula>
    </cfRule>
  </conditionalFormatting>
  <conditionalFormatting sqref="AM1862">
    <cfRule type="cellIs" dxfId="641" priority="637" operator="equal">
      <formula>"seeker"</formula>
    </cfRule>
    <cfRule type="cellIs" dxfId="640" priority="638" operator="equal">
      <formula>"neutral"</formula>
    </cfRule>
    <cfRule type="cellIs" dxfId="639" priority="639" operator="equal">
      <formula>"rogue"</formula>
    </cfRule>
    <cfRule type="cellIs" dxfId="638" priority="640" operator="equal">
      <formula>"Guardian"</formula>
    </cfRule>
    <cfRule type="cellIs" dxfId="637" priority="641" operator="equal">
      <formula>"Survivor"</formula>
    </cfRule>
    <cfRule type="cellIs" dxfId="636" priority="642" operator="equal">
      <formula>"Mystic"</formula>
    </cfRule>
  </conditionalFormatting>
  <conditionalFormatting sqref="K1863">
    <cfRule type="cellIs" dxfId="635" priority="631" operator="equal">
      <formula>"seeker"</formula>
    </cfRule>
    <cfRule type="cellIs" dxfId="634" priority="632" operator="equal">
      <formula>"neutral"</formula>
    </cfRule>
    <cfRule type="cellIs" dxfId="633" priority="633" operator="equal">
      <formula>"rogue"</formula>
    </cfRule>
    <cfRule type="cellIs" dxfId="632" priority="634" operator="equal">
      <formula>"Guardian"</formula>
    </cfRule>
    <cfRule type="cellIs" dxfId="631" priority="635" operator="equal">
      <formula>"Survivor"</formula>
    </cfRule>
    <cfRule type="cellIs" dxfId="630" priority="636" operator="equal">
      <formula>"Mystic"</formula>
    </cfRule>
  </conditionalFormatting>
  <conditionalFormatting sqref="K1864">
    <cfRule type="cellIs" dxfId="629" priority="625" operator="equal">
      <formula>"seeker"</formula>
    </cfRule>
    <cfRule type="cellIs" dxfId="628" priority="626" operator="equal">
      <formula>"neutral"</formula>
    </cfRule>
    <cfRule type="cellIs" dxfId="627" priority="627" operator="equal">
      <formula>"rogue"</formula>
    </cfRule>
    <cfRule type="cellIs" dxfId="626" priority="628" operator="equal">
      <formula>"Guardian"</formula>
    </cfRule>
    <cfRule type="cellIs" dxfId="625" priority="629" operator="equal">
      <formula>"Survivor"</formula>
    </cfRule>
    <cfRule type="cellIs" dxfId="624" priority="630" operator="equal">
      <formula>"Mystic"</formula>
    </cfRule>
  </conditionalFormatting>
  <conditionalFormatting sqref="AM1870">
    <cfRule type="cellIs" dxfId="623" priority="619" operator="equal">
      <formula>"seeker"</formula>
    </cfRule>
    <cfRule type="cellIs" dxfId="622" priority="620" operator="equal">
      <formula>"neutral"</formula>
    </cfRule>
    <cfRule type="cellIs" dxfId="621" priority="621" operator="equal">
      <formula>"rogue"</formula>
    </cfRule>
    <cfRule type="cellIs" dxfId="620" priority="622" operator="equal">
      <formula>"Guardian"</formula>
    </cfRule>
    <cfRule type="cellIs" dxfId="619" priority="623" operator="equal">
      <formula>"Survivor"</formula>
    </cfRule>
    <cfRule type="cellIs" dxfId="618" priority="624" operator="equal">
      <formula>"Mystic"</formula>
    </cfRule>
  </conditionalFormatting>
  <conditionalFormatting sqref="AM1858">
    <cfRule type="cellIs" dxfId="617" priority="613" operator="equal">
      <formula>"seeker"</formula>
    </cfRule>
    <cfRule type="cellIs" dxfId="616" priority="614" operator="equal">
      <formula>"neutral"</formula>
    </cfRule>
    <cfRule type="cellIs" dxfId="615" priority="615" operator="equal">
      <formula>"rogue"</formula>
    </cfRule>
    <cfRule type="cellIs" dxfId="614" priority="616" operator="equal">
      <formula>"Guardian"</formula>
    </cfRule>
    <cfRule type="cellIs" dxfId="613" priority="617" operator="equal">
      <formula>"Survivor"</formula>
    </cfRule>
    <cfRule type="cellIs" dxfId="612" priority="618" operator="equal">
      <formula>"Mystic"</formula>
    </cfRule>
  </conditionalFormatting>
  <conditionalFormatting sqref="AM1921:AM1962 K1921:K1962 AM1973:AM1981">
    <cfRule type="cellIs" dxfId="611" priority="607" operator="equal">
      <formula>"seeker"</formula>
    </cfRule>
    <cfRule type="cellIs" dxfId="610" priority="608" operator="equal">
      <formula>"neutral"</formula>
    </cfRule>
    <cfRule type="cellIs" dxfId="609" priority="609" operator="equal">
      <formula>"rogue"</formula>
    </cfRule>
    <cfRule type="cellIs" dxfId="608" priority="610" operator="equal">
      <formula>"Guardian"</formula>
    </cfRule>
    <cfRule type="cellIs" dxfId="607" priority="611" operator="equal">
      <formula>"Survivor"</formula>
    </cfRule>
    <cfRule type="cellIs" dxfId="606" priority="612" operator="equal">
      <formula>"Mystic"</formula>
    </cfRule>
  </conditionalFormatting>
  <conditionalFormatting sqref="K1978">
    <cfRule type="cellIs" dxfId="605" priority="547" operator="equal">
      <formula>"seeker"</formula>
    </cfRule>
    <cfRule type="cellIs" dxfId="604" priority="548" operator="equal">
      <formula>"neutral"</formula>
    </cfRule>
    <cfRule type="cellIs" dxfId="603" priority="549" operator="equal">
      <formula>"rogue"</formula>
    </cfRule>
    <cfRule type="cellIs" dxfId="602" priority="550" operator="equal">
      <formula>"Guardian"</formula>
    </cfRule>
    <cfRule type="cellIs" dxfId="601" priority="551" operator="equal">
      <formula>"Survivor"</formula>
    </cfRule>
    <cfRule type="cellIs" dxfId="600" priority="552" operator="equal">
      <formula>"Mystic"</formula>
    </cfRule>
  </conditionalFormatting>
  <conditionalFormatting sqref="AM1969:AM1972">
    <cfRule type="cellIs" dxfId="599" priority="601" operator="equal">
      <formula>"seeker"</formula>
    </cfRule>
    <cfRule type="cellIs" dxfId="598" priority="602" operator="equal">
      <formula>"neutral"</formula>
    </cfRule>
    <cfRule type="cellIs" dxfId="597" priority="603" operator="equal">
      <formula>"rogue"</formula>
    </cfRule>
    <cfRule type="cellIs" dxfId="596" priority="604" operator="equal">
      <formula>"Guardian"</formula>
    </cfRule>
    <cfRule type="cellIs" dxfId="595" priority="605" operator="equal">
      <formula>"Survivor"</formula>
    </cfRule>
    <cfRule type="cellIs" dxfId="594" priority="606" operator="equal">
      <formula>"Mystic"</formula>
    </cfRule>
  </conditionalFormatting>
  <conditionalFormatting sqref="AM1968">
    <cfRule type="cellIs" dxfId="593" priority="595" operator="equal">
      <formula>"Seeker"</formula>
    </cfRule>
    <cfRule type="cellIs" dxfId="592" priority="596" operator="equal">
      <formula>"Neutral"</formula>
    </cfRule>
    <cfRule type="cellIs" dxfId="591" priority="597" operator="equal">
      <formula>"Rogue"</formula>
    </cfRule>
    <cfRule type="cellIs" dxfId="590" priority="598" operator="equal">
      <formula>"Guardian"</formula>
    </cfRule>
    <cfRule type="cellIs" dxfId="589" priority="599" operator="equal">
      <formula>"Survivor"</formula>
    </cfRule>
    <cfRule type="cellIs" dxfId="588" priority="600" operator="equal">
      <formula>"Mystic"</formula>
    </cfRule>
  </conditionalFormatting>
  <conditionalFormatting sqref="K1969:K1972">
    <cfRule type="cellIs" dxfId="587" priority="589" operator="equal">
      <formula>"seeker"</formula>
    </cfRule>
    <cfRule type="cellIs" dxfId="586" priority="590" operator="equal">
      <formula>"neutral"</formula>
    </cfRule>
    <cfRule type="cellIs" dxfId="585" priority="591" operator="equal">
      <formula>"rogue"</formula>
    </cfRule>
    <cfRule type="cellIs" dxfId="584" priority="592" operator="equal">
      <formula>"Guardian"</formula>
    </cfRule>
    <cfRule type="cellIs" dxfId="583" priority="593" operator="equal">
      <formula>"Survivor"</formula>
    </cfRule>
    <cfRule type="cellIs" dxfId="582" priority="594" operator="equal">
      <formula>"Mystic"</formula>
    </cfRule>
  </conditionalFormatting>
  <conditionalFormatting sqref="K1968">
    <cfRule type="cellIs" dxfId="581" priority="583" operator="equal">
      <formula>"Seeker"</formula>
    </cfRule>
    <cfRule type="cellIs" dxfId="580" priority="584" operator="equal">
      <formula>"Neutral"</formula>
    </cfRule>
    <cfRule type="cellIs" dxfId="579" priority="585" operator="equal">
      <formula>"Rogue"</formula>
    </cfRule>
    <cfRule type="cellIs" dxfId="578" priority="586" operator="equal">
      <formula>"Guardian"</formula>
    </cfRule>
    <cfRule type="cellIs" dxfId="577" priority="587" operator="equal">
      <formula>"Survivor"</formula>
    </cfRule>
    <cfRule type="cellIs" dxfId="576" priority="588" operator="equal">
      <formula>"Mystic"</formula>
    </cfRule>
  </conditionalFormatting>
  <conditionalFormatting sqref="K1973">
    <cfRule type="cellIs" dxfId="575" priority="577" operator="equal">
      <formula>"Seeker"</formula>
    </cfRule>
    <cfRule type="cellIs" dxfId="574" priority="578" operator="equal">
      <formula>"Neutral"</formula>
    </cfRule>
    <cfRule type="cellIs" dxfId="573" priority="579" operator="equal">
      <formula>"Rogue"</formula>
    </cfRule>
    <cfRule type="cellIs" dxfId="572" priority="580" operator="equal">
      <formula>"Guardian"</formula>
    </cfRule>
    <cfRule type="cellIs" dxfId="571" priority="581" operator="equal">
      <formula>"Survivor"</formula>
    </cfRule>
    <cfRule type="cellIs" dxfId="570" priority="582" operator="equal">
      <formula>"Mystic"</formula>
    </cfRule>
  </conditionalFormatting>
  <conditionalFormatting sqref="K1974">
    <cfRule type="cellIs" dxfId="569" priority="571" operator="equal">
      <formula>"Seeker"</formula>
    </cfRule>
    <cfRule type="cellIs" dxfId="568" priority="572" operator="equal">
      <formula>"Neutral"</formula>
    </cfRule>
    <cfRule type="cellIs" dxfId="567" priority="573" operator="equal">
      <formula>"Rogue"</formula>
    </cfRule>
    <cfRule type="cellIs" dxfId="566" priority="574" operator="equal">
      <formula>"Guardian"</formula>
    </cfRule>
    <cfRule type="cellIs" dxfId="565" priority="575" operator="equal">
      <formula>"Survivor"</formula>
    </cfRule>
    <cfRule type="cellIs" dxfId="564" priority="576" operator="equal">
      <formula>"Mystic"</formula>
    </cfRule>
  </conditionalFormatting>
  <conditionalFormatting sqref="K1975">
    <cfRule type="cellIs" dxfId="563" priority="565" operator="equal">
      <formula>"seeker"</formula>
    </cfRule>
    <cfRule type="cellIs" dxfId="562" priority="566" operator="equal">
      <formula>"neutral"</formula>
    </cfRule>
    <cfRule type="cellIs" dxfId="561" priority="567" operator="equal">
      <formula>"rogue"</formula>
    </cfRule>
    <cfRule type="cellIs" dxfId="560" priority="568" operator="equal">
      <formula>"Guardian"</formula>
    </cfRule>
    <cfRule type="cellIs" dxfId="559" priority="569" operator="equal">
      <formula>"Survivor"</formula>
    </cfRule>
    <cfRule type="cellIs" dxfId="558" priority="570" operator="equal">
      <formula>"Mystic"</formula>
    </cfRule>
  </conditionalFormatting>
  <conditionalFormatting sqref="K1976">
    <cfRule type="cellIs" dxfId="557" priority="559" operator="equal">
      <formula>"seeker"</formula>
    </cfRule>
    <cfRule type="cellIs" dxfId="556" priority="560" operator="equal">
      <formula>"neutral"</formula>
    </cfRule>
    <cfRule type="cellIs" dxfId="555" priority="561" operator="equal">
      <formula>"rogue"</formula>
    </cfRule>
    <cfRule type="cellIs" dxfId="554" priority="562" operator="equal">
      <formula>"Guardian"</formula>
    </cfRule>
    <cfRule type="cellIs" dxfId="553" priority="563" operator="equal">
      <formula>"Survivor"</formula>
    </cfRule>
    <cfRule type="cellIs" dxfId="552" priority="564" operator="equal">
      <formula>"Mystic"</formula>
    </cfRule>
  </conditionalFormatting>
  <conditionalFormatting sqref="K1977">
    <cfRule type="cellIs" dxfId="551" priority="553" operator="equal">
      <formula>"seeker"</formula>
    </cfRule>
    <cfRule type="cellIs" dxfId="550" priority="554" operator="equal">
      <formula>"neutral"</formula>
    </cfRule>
    <cfRule type="cellIs" dxfId="549" priority="555" operator="equal">
      <formula>"rogue"</formula>
    </cfRule>
    <cfRule type="cellIs" dxfId="548" priority="556" operator="equal">
      <formula>"Guardian"</formula>
    </cfRule>
    <cfRule type="cellIs" dxfId="547" priority="557" operator="equal">
      <formula>"Survivor"</formula>
    </cfRule>
    <cfRule type="cellIs" dxfId="546" priority="558" operator="equal">
      <formula>"Mystic"</formula>
    </cfRule>
  </conditionalFormatting>
  <conditionalFormatting sqref="K1979">
    <cfRule type="cellIs" dxfId="545" priority="541" operator="equal">
      <formula>"seeker"</formula>
    </cfRule>
    <cfRule type="cellIs" dxfId="544" priority="542" operator="equal">
      <formula>"neutral"</formula>
    </cfRule>
    <cfRule type="cellIs" dxfId="543" priority="543" operator="equal">
      <formula>"rogue"</formula>
    </cfRule>
    <cfRule type="cellIs" dxfId="542" priority="544" operator="equal">
      <formula>"Guardian"</formula>
    </cfRule>
    <cfRule type="cellIs" dxfId="541" priority="545" operator="equal">
      <formula>"Survivor"</formula>
    </cfRule>
    <cfRule type="cellIs" dxfId="540" priority="546" operator="equal">
      <formula>"Mystic"</formula>
    </cfRule>
  </conditionalFormatting>
  <conditionalFormatting sqref="K1980">
    <cfRule type="cellIs" dxfId="539" priority="535" operator="equal">
      <formula>"seeker"</formula>
    </cfRule>
    <cfRule type="cellIs" dxfId="538" priority="536" operator="equal">
      <formula>"neutral"</formula>
    </cfRule>
    <cfRule type="cellIs" dxfId="537" priority="537" operator="equal">
      <formula>"rogue"</formula>
    </cfRule>
    <cfRule type="cellIs" dxfId="536" priority="538" operator="equal">
      <formula>"Guardian"</formula>
    </cfRule>
    <cfRule type="cellIs" dxfId="535" priority="539" operator="equal">
      <formula>"Survivor"</formula>
    </cfRule>
    <cfRule type="cellIs" dxfId="534" priority="540" operator="equal">
      <formula>"Mystic"</formula>
    </cfRule>
  </conditionalFormatting>
  <conditionalFormatting sqref="K1981">
    <cfRule type="cellIs" dxfId="533" priority="529" operator="equal">
      <formula>"seeker"</formula>
    </cfRule>
    <cfRule type="cellIs" dxfId="532" priority="530" operator="equal">
      <formula>"neutral"</formula>
    </cfRule>
    <cfRule type="cellIs" dxfId="531" priority="531" operator="equal">
      <formula>"rogue"</formula>
    </cfRule>
    <cfRule type="cellIs" dxfId="530" priority="532" operator="equal">
      <formula>"Guardian"</formula>
    </cfRule>
    <cfRule type="cellIs" dxfId="529" priority="533" operator="equal">
      <formula>"Survivor"</formula>
    </cfRule>
    <cfRule type="cellIs" dxfId="528" priority="534" operator="equal">
      <formula>"Mystic"</formula>
    </cfRule>
  </conditionalFormatting>
  <conditionalFormatting sqref="AM1964:AM1967">
    <cfRule type="cellIs" dxfId="527" priority="523" operator="equal">
      <formula>"seeker"</formula>
    </cfRule>
    <cfRule type="cellIs" dxfId="526" priority="524" operator="equal">
      <formula>"neutral"</formula>
    </cfRule>
    <cfRule type="cellIs" dxfId="525" priority="525" operator="equal">
      <formula>"rogue"</formula>
    </cfRule>
    <cfRule type="cellIs" dxfId="524" priority="526" operator="equal">
      <formula>"Guardian"</formula>
    </cfRule>
    <cfRule type="cellIs" dxfId="523" priority="527" operator="equal">
      <formula>"Survivor"</formula>
    </cfRule>
    <cfRule type="cellIs" dxfId="522" priority="528" operator="equal">
      <formula>"Mystic"</formula>
    </cfRule>
  </conditionalFormatting>
  <conditionalFormatting sqref="AM1963">
    <cfRule type="cellIs" dxfId="521" priority="517" operator="equal">
      <formula>"Seeker"</formula>
    </cfRule>
    <cfRule type="cellIs" dxfId="520" priority="518" operator="equal">
      <formula>"Neutral"</formula>
    </cfRule>
    <cfRule type="cellIs" dxfId="519" priority="519" operator="equal">
      <formula>"Rogue"</formula>
    </cfRule>
    <cfRule type="cellIs" dxfId="518" priority="520" operator="equal">
      <formula>"Guardian"</formula>
    </cfRule>
    <cfRule type="cellIs" dxfId="517" priority="521" operator="equal">
      <formula>"Survivor"</formula>
    </cfRule>
    <cfRule type="cellIs" dxfId="516" priority="522" operator="equal">
      <formula>"Mystic"</formula>
    </cfRule>
  </conditionalFormatting>
  <conditionalFormatting sqref="K1964:K1967">
    <cfRule type="cellIs" dxfId="515" priority="511" operator="equal">
      <formula>"seeker"</formula>
    </cfRule>
    <cfRule type="cellIs" dxfId="514" priority="512" operator="equal">
      <formula>"neutral"</formula>
    </cfRule>
    <cfRule type="cellIs" dxfId="513" priority="513" operator="equal">
      <formula>"rogue"</formula>
    </cfRule>
    <cfRule type="cellIs" dxfId="512" priority="514" operator="equal">
      <formula>"Guardian"</formula>
    </cfRule>
    <cfRule type="cellIs" dxfId="511" priority="515" operator="equal">
      <formula>"Survivor"</formula>
    </cfRule>
    <cfRule type="cellIs" dxfId="510" priority="516" operator="equal">
      <formula>"Mystic"</formula>
    </cfRule>
  </conditionalFormatting>
  <conditionalFormatting sqref="K1963">
    <cfRule type="cellIs" dxfId="509" priority="505" operator="equal">
      <formula>"Seeker"</formula>
    </cfRule>
    <cfRule type="cellIs" dxfId="508" priority="506" operator="equal">
      <formula>"Neutral"</formula>
    </cfRule>
    <cfRule type="cellIs" dxfId="507" priority="507" operator="equal">
      <formula>"Rogue"</formula>
    </cfRule>
    <cfRule type="cellIs" dxfId="506" priority="508" operator="equal">
      <formula>"Guardian"</formula>
    </cfRule>
    <cfRule type="cellIs" dxfId="505" priority="509" operator="equal">
      <formula>"Survivor"</formula>
    </cfRule>
    <cfRule type="cellIs" dxfId="504" priority="510" operator="equal">
      <formula>"Mystic"</formula>
    </cfRule>
  </conditionalFormatting>
  <conditionalFormatting sqref="K1914">
    <cfRule type="cellIs" dxfId="503" priority="361" operator="equal">
      <formula>"seeker"</formula>
    </cfRule>
    <cfRule type="cellIs" dxfId="502" priority="362" operator="equal">
      <formula>"neutral"</formula>
    </cfRule>
    <cfRule type="cellIs" dxfId="501" priority="363" operator="equal">
      <formula>"rogue"</formula>
    </cfRule>
    <cfRule type="cellIs" dxfId="500" priority="364" operator="equal">
      <formula>"Guardian"</formula>
    </cfRule>
    <cfRule type="cellIs" dxfId="499" priority="365" operator="equal">
      <formula>"Survivor"</formula>
    </cfRule>
    <cfRule type="cellIs" dxfId="498" priority="366" operator="equal">
      <formula>"Mystic"</formula>
    </cfRule>
  </conditionalFormatting>
  <conditionalFormatting sqref="AM1916:AM1919">
    <cfRule type="cellIs" dxfId="497" priority="499" operator="equal">
      <formula>"seeker"</formula>
    </cfRule>
    <cfRule type="cellIs" dxfId="496" priority="500" operator="equal">
      <formula>"neutral"</formula>
    </cfRule>
    <cfRule type="cellIs" dxfId="495" priority="501" operator="equal">
      <formula>"rogue"</formula>
    </cfRule>
    <cfRule type="cellIs" dxfId="494" priority="502" operator="equal">
      <formula>"Guardian"</formula>
    </cfRule>
    <cfRule type="cellIs" dxfId="493" priority="503" operator="equal">
      <formula>"Survivor"</formula>
    </cfRule>
    <cfRule type="cellIs" dxfId="492" priority="504" operator="equal">
      <formula>"Mystic"</formula>
    </cfRule>
  </conditionalFormatting>
  <conditionalFormatting sqref="AM1915">
    <cfRule type="cellIs" dxfId="491" priority="493" operator="equal">
      <formula>"Seeker"</formula>
    </cfRule>
    <cfRule type="cellIs" dxfId="490" priority="494" operator="equal">
      <formula>"Neutral"</formula>
    </cfRule>
    <cfRule type="cellIs" dxfId="489" priority="495" operator="equal">
      <formula>"Rogue"</formula>
    </cfRule>
    <cfRule type="cellIs" dxfId="488" priority="496" operator="equal">
      <formula>"Guardian"</formula>
    </cfRule>
    <cfRule type="cellIs" dxfId="487" priority="497" operator="equal">
      <formula>"Survivor"</formula>
    </cfRule>
    <cfRule type="cellIs" dxfId="486" priority="498" operator="equal">
      <formula>"Mystic"</formula>
    </cfRule>
  </conditionalFormatting>
  <conditionalFormatting sqref="K1916:K1919">
    <cfRule type="cellIs" dxfId="485" priority="487" operator="equal">
      <formula>"seeker"</formula>
    </cfRule>
    <cfRule type="cellIs" dxfId="484" priority="488" operator="equal">
      <formula>"neutral"</formula>
    </cfRule>
    <cfRule type="cellIs" dxfId="483" priority="489" operator="equal">
      <formula>"rogue"</formula>
    </cfRule>
    <cfRule type="cellIs" dxfId="482" priority="490" operator="equal">
      <formula>"Guardian"</formula>
    </cfRule>
    <cfRule type="cellIs" dxfId="481" priority="491" operator="equal">
      <formula>"Survivor"</formula>
    </cfRule>
    <cfRule type="cellIs" dxfId="480" priority="492" operator="equal">
      <formula>"Mystic"</formula>
    </cfRule>
  </conditionalFormatting>
  <conditionalFormatting sqref="K1915">
    <cfRule type="cellIs" dxfId="479" priority="481" operator="equal">
      <formula>"Seeker"</formula>
    </cfRule>
    <cfRule type="cellIs" dxfId="478" priority="482" operator="equal">
      <formula>"Neutral"</formula>
    </cfRule>
    <cfRule type="cellIs" dxfId="477" priority="483" operator="equal">
      <formula>"Rogue"</formula>
    </cfRule>
    <cfRule type="cellIs" dxfId="476" priority="484" operator="equal">
      <formula>"Guardian"</formula>
    </cfRule>
    <cfRule type="cellIs" dxfId="475" priority="485" operator="equal">
      <formula>"Survivor"</formula>
    </cfRule>
    <cfRule type="cellIs" dxfId="474" priority="486" operator="equal">
      <formula>"Mystic"</formula>
    </cfRule>
  </conditionalFormatting>
  <conditionalFormatting sqref="K1920">
    <cfRule type="cellIs" dxfId="473" priority="475" operator="equal">
      <formula>"seeker"</formula>
    </cfRule>
    <cfRule type="cellIs" dxfId="472" priority="476" operator="equal">
      <formula>"neutral"</formula>
    </cfRule>
    <cfRule type="cellIs" dxfId="471" priority="477" operator="equal">
      <formula>"rogue"</formula>
    </cfRule>
    <cfRule type="cellIs" dxfId="470" priority="478" operator="equal">
      <formula>"Guardian"</formula>
    </cfRule>
    <cfRule type="cellIs" dxfId="469" priority="479" operator="equal">
      <formula>"Survivor"</formula>
    </cfRule>
    <cfRule type="cellIs" dxfId="468" priority="480" operator="equal">
      <formula>"Mystic"</formula>
    </cfRule>
  </conditionalFormatting>
  <conditionalFormatting sqref="AM1920">
    <cfRule type="cellIs" dxfId="467" priority="469" operator="equal">
      <formula>"seeker"</formula>
    </cfRule>
    <cfRule type="cellIs" dxfId="466" priority="470" operator="equal">
      <formula>"neutral"</formula>
    </cfRule>
    <cfRule type="cellIs" dxfId="465" priority="471" operator="equal">
      <formula>"rogue"</formula>
    </cfRule>
    <cfRule type="cellIs" dxfId="464" priority="472" operator="equal">
      <formula>"Guardian"</formula>
    </cfRule>
    <cfRule type="cellIs" dxfId="463" priority="473" operator="equal">
      <formula>"Survivor"</formula>
    </cfRule>
    <cfRule type="cellIs" dxfId="462" priority="474" operator="equal">
      <formula>"Mystic"</formula>
    </cfRule>
  </conditionalFormatting>
  <conditionalFormatting sqref="K1874:K1887 AM1887 AM1893:AM1894 K1891:K1894 AM1905:AM1913 K1899:K1913 AM1898:AM1903">
    <cfRule type="cellIs" dxfId="461" priority="463" operator="equal">
      <formula>"seeker"</formula>
    </cfRule>
    <cfRule type="cellIs" dxfId="460" priority="464" operator="equal">
      <formula>"neutral"</formula>
    </cfRule>
    <cfRule type="cellIs" dxfId="459" priority="465" operator="equal">
      <formula>"rogue"</formula>
    </cfRule>
    <cfRule type="cellIs" dxfId="458" priority="466" operator="equal">
      <formula>"Guardian"</formula>
    </cfRule>
    <cfRule type="cellIs" dxfId="457" priority="467" operator="equal">
      <formula>"Survivor"</formula>
    </cfRule>
    <cfRule type="cellIs" dxfId="456" priority="468" operator="equal">
      <formula>"Mystic"</formula>
    </cfRule>
  </conditionalFormatting>
  <conditionalFormatting sqref="AL1878:AL1884">
    <cfRule type="cellIs" dxfId="455" priority="457" operator="equal">
      <formula>"Seeker"</formula>
    </cfRule>
    <cfRule type="cellIs" dxfId="454" priority="458" operator="equal">
      <formula>"Neutral"</formula>
    </cfRule>
    <cfRule type="cellIs" dxfId="453" priority="459" operator="equal">
      <formula>"Rogue"</formula>
    </cfRule>
    <cfRule type="cellIs" dxfId="452" priority="460" operator="equal">
      <formula>"Guardian"</formula>
    </cfRule>
    <cfRule type="cellIs" dxfId="451" priority="461" operator="equal">
      <formula>"Survivor"</formula>
    </cfRule>
    <cfRule type="cellIs" dxfId="450" priority="462" operator="equal">
      <formula>"Mystic"</formula>
    </cfRule>
  </conditionalFormatting>
  <conditionalFormatting sqref="AM1897">
    <cfRule type="cellIs" dxfId="449" priority="451" operator="equal">
      <formula>"seeker"</formula>
    </cfRule>
    <cfRule type="cellIs" dxfId="448" priority="452" operator="equal">
      <formula>"neutral"</formula>
    </cfRule>
    <cfRule type="cellIs" dxfId="447" priority="453" operator="equal">
      <formula>"rogue"</formula>
    </cfRule>
    <cfRule type="cellIs" dxfId="446" priority="454" operator="equal">
      <formula>"Guardian"</formula>
    </cfRule>
    <cfRule type="cellIs" dxfId="445" priority="455" operator="equal">
      <formula>"Survivor"</formula>
    </cfRule>
    <cfRule type="cellIs" dxfId="444" priority="456" operator="equal">
      <formula>"Mystic"</formula>
    </cfRule>
  </conditionalFormatting>
  <conditionalFormatting sqref="K1873">
    <cfRule type="cellIs" dxfId="443" priority="445" operator="equal">
      <formula>"Seeker"</formula>
    </cfRule>
    <cfRule type="cellIs" dxfId="442" priority="446" operator="equal">
      <formula>"Neutral"</formula>
    </cfRule>
    <cfRule type="cellIs" dxfId="441" priority="447" operator="equal">
      <formula>"Rogue"</formula>
    </cfRule>
    <cfRule type="cellIs" dxfId="440" priority="448" operator="equal">
      <formula>"Guardian"</formula>
    </cfRule>
    <cfRule type="cellIs" dxfId="439" priority="449" operator="equal">
      <formula>"Survivor"</formula>
    </cfRule>
    <cfRule type="cellIs" dxfId="438" priority="450" operator="equal">
      <formula>"Mystic"</formula>
    </cfRule>
  </conditionalFormatting>
  <conditionalFormatting sqref="AM1874:AM1877">
    <cfRule type="cellIs" dxfId="437" priority="439" operator="equal">
      <formula>"seeker"</formula>
    </cfRule>
    <cfRule type="cellIs" dxfId="436" priority="440" operator="equal">
      <formula>"neutral"</formula>
    </cfRule>
    <cfRule type="cellIs" dxfId="435" priority="441" operator="equal">
      <formula>"rogue"</formula>
    </cfRule>
    <cfRule type="cellIs" dxfId="434" priority="442" operator="equal">
      <formula>"Guardian"</formula>
    </cfRule>
    <cfRule type="cellIs" dxfId="433" priority="443" operator="equal">
      <formula>"Survivor"</formula>
    </cfRule>
    <cfRule type="cellIs" dxfId="432" priority="444" operator="equal">
      <formula>"Mystic"</formula>
    </cfRule>
  </conditionalFormatting>
  <conditionalFormatting sqref="AM1873">
    <cfRule type="cellIs" dxfId="431" priority="433" operator="equal">
      <formula>"Seeker"</formula>
    </cfRule>
    <cfRule type="cellIs" dxfId="430" priority="434" operator="equal">
      <formula>"Neutral"</formula>
    </cfRule>
    <cfRule type="cellIs" dxfId="429" priority="435" operator="equal">
      <formula>"Rogue"</formula>
    </cfRule>
    <cfRule type="cellIs" dxfId="428" priority="436" operator="equal">
      <formula>"Guardian"</formula>
    </cfRule>
    <cfRule type="cellIs" dxfId="427" priority="437" operator="equal">
      <formula>"Survivor"</formula>
    </cfRule>
    <cfRule type="cellIs" dxfId="426" priority="438" operator="equal">
      <formula>"Mystic"</formula>
    </cfRule>
  </conditionalFormatting>
  <conditionalFormatting sqref="K1888">
    <cfRule type="cellIs" dxfId="425" priority="427" operator="equal">
      <formula>"Seeker"</formula>
    </cfRule>
    <cfRule type="cellIs" dxfId="424" priority="428" operator="equal">
      <formula>"Neutral"</formula>
    </cfRule>
    <cfRule type="cellIs" dxfId="423" priority="429" operator="equal">
      <formula>"Rogue"</formula>
    </cfRule>
    <cfRule type="cellIs" dxfId="422" priority="430" operator="equal">
      <formula>"Guardian"</formula>
    </cfRule>
    <cfRule type="cellIs" dxfId="421" priority="431" operator="equal">
      <formula>"Survivor"</formula>
    </cfRule>
    <cfRule type="cellIs" dxfId="420" priority="432" operator="equal">
      <formula>"Mystic"</formula>
    </cfRule>
  </conditionalFormatting>
  <conditionalFormatting sqref="AM1888">
    <cfRule type="cellIs" dxfId="419" priority="421" operator="equal">
      <formula>"Seeker"</formula>
    </cfRule>
    <cfRule type="cellIs" dxfId="418" priority="422" operator="equal">
      <formula>"Neutral"</formula>
    </cfRule>
    <cfRule type="cellIs" dxfId="417" priority="423" operator="equal">
      <formula>"Rogue"</formula>
    </cfRule>
    <cfRule type="cellIs" dxfId="416" priority="424" operator="equal">
      <formula>"Guardian"</formula>
    </cfRule>
    <cfRule type="cellIs" dxfId="415" priority="425" operator="equal">
      <formula>"Survivor"</formula>
    </cfRule>
    <cfRule type="cellIs" dxfId="414" priority="426" operator="equal">
      <formula>"Mystic"</formula>
    </cfRule>
  </conditionalFormatting>
  <conditionalFormatting sqref="K1889">
    <cfRule type="cellIs" dxfId="413" priority="415" operator="equal">
      <formula>"Seeker"</formula>
    </cfRule>
    <cfRule type="cellIs" dxfId="412" priority="416" operator="equal">
      <formula>"Neutral"</formula>
    </cfRule>
    <cfRule type="cellIs" dxfId="411" priority="417" operator="equal">
      <formula>"Rogue"</formula>
    </cfRule>
    <cfRule type="cellIs" dxfId="410" priority="418" operator="equal">
      <formula>"Guardian"</formula>
    </cfRule>
    <cfRule type="cellIs" dxfId="409" priority="419" operator="equal">
      <formula>"Survivor"</formula>
    </cfRule>
    <cfRule type="cellIs" dxfId="408" priority="420" operator="equal">
      <formula>"Mystic"</formula>
    </cfRule>
  </conditionalFormatting>
  <conditionalFormatting sqref="K1890">
    <cfRule type="cellIs" dxfId="407" priority="409" operator="equal">
      <formula>"Seeker"</formula>
    </cfRule>
    <cfRule type="cellIs" dxfId="406" priority="410" operator="equal">
      <formula>"Neutral"</formula>
    </cfRule>
    <cfRule type="cellIs" dxfId="405" priority="411" operator="equal">
      <formula>"Rogue"</formula>
    </cfRule>
    <cfRule type="cellIs" dxfId="404" priority="412" operator="equal">
      <formula>"Guardian"</formula>
    </cfRule>
    <cfRule type="cellIs" dxfId="403" priority="413" operator="equal">
      <formula>"Survivor"</formula>
    </cfRule>
    <cfRule type="cellIs" dxfId="402" priority="414" operator="equal">
      <formula>"Mystic"</formula>
    </cfRule>
  </conditionalFormatting>
  <conditionalFormatting sqref="K1895">
    <cfRule type="cellIs" dxfId="401" priority="403" operator="equal">
      <formula>"seeker"</formula>
    </cfRule>
    <cfRule type="cellIs" dxfId="400" priority="404" operator="equal">
      <formula>"neutral"</formula>
    </cfRule>
    <cfRule type="cellIs" dxfId="399" priority="405" operator="equal">
      <formula>"rogue"</formula>
    </cfRule>
    <cfRule type="cellIs" dxfId="398" priority="406" operator="equal">
      <formula>"Guardian"</formula>
    </cfRule>
    <cfRule type="cellIs" dxfId="397" priority="407" operator="equal">
      <formula>"Survivor"</formula>
    </cfRule>
    <cfRule type="cellIs" dxfId="396" priority="408" operator="equal">
      <formula>"Mystic"</formula>
    </cfRule>
  </conditionalFormatting>
  <conditionalFormatting sqref="AM1895">
    <cfRule type="cellIs" dxfId="395" priority="397" operator="equal">
      <formula>"seeker"</formula>
    </cfRule>
    <cfRule type="cellIs" dxfId="394" priority="398" operator="equal">
      <formula>"neutral"</formula>
    </cfRule>
    <cfRule type="cellIs" dxfId="393" priority="399" operator="equal">
      <formula>"rogue"</formula>
    </cfRule>
    <cfRule type="cellIs" dxfId="392" priority="400" operator="equal">
      <formula>"Guardian"</formula>
    </cfRule>
    <cfRule type="cellIs" dxfId="391" priority="401" operator="equal">
      <formula>"Survivor"</formula>
    </cfRule>
    <cfRule type="cellIs" dxfId="390" priority="402" operator="equal">
      <formula>"Mystic"</formula>
    </cfRule>
  </conditionalFormatting>
  <conditionalFormatting sqref="K1896">
    <cfRule type="cellIs" dxfId="389" priority="391" operator="equal">
      <formula>"seeker"</formula>
    </cfRule>
    <cfRule type="cellIs" dxfId="388" priority="392" operator="equal">
      <formula>"neutral"</formula>
    </cfRule>
    <cfRule type="cellIs" dxfId="387" priority="393" operator="equal">
      <formula>"rogue"</formula>
    </cfRule>
    <cfRule type="cellIs" dxfId="386" priority="394" operator="equal">
      <formula>"Guardian"</formula>
    </cfRule>
    <cfRule type="cellIs" dxfId="385" priority="395" operator="equal">
      <formula>"Survivor"</formula>
    </cfRule>
    <cfRule type="cellIs" dxfId="384" priority="396" operator="equal">
      <formula>"Mystic"</formula>
    </cfRule>
  </conditionalFormatting>
  <conditionalFormatting sqref="AM1896">
    <cfRule type="cellIs" dxfId="383" priority="385" operator="equal">
      <formula>"seeker"</formula>
    </cfRule>
    <cfRule type="cellIs" dxfId="382" priority="386" operator="equal">
      <formula>"neutral"</formula>
    </cfRule>
    <cfRule type="cellIs" dxfId="381" priority="387" operator="equal">
      <formula>"rogue"</formula>
    </cfRule>
    <cfRule type="cellIs" dxfId="380" priority="388" operator="equal">
      <formula>"Guardian"</formula>
    </cfRule>
    <cfRule type="cellIs" dxfId="379" priority="389" operator="equal">
      <formula>"Survivor"</formula>
    </cfRule>
    <cfRule type="cellIs" dxfId="378" priority="390" operator="equal">
      <formula>"Mystic"</formula>
    </cfRule>
  </conditionalFormatting>
  <conditionalFormatting sqref="K1897">
    <cfRule type="cellIs" dxfId="377" priority="379" operator="equal">
      <formula>"seeker"</formula>
    </cfRule>
    <cfRule type="cellIs" dxfId="376" priority="380" operator="equal">
      <formula>"neutral"</formula>
    </cfRule>
    <cfRule type="cellIs" dxfId="375" priority="381" operator="equal">
      <formula>"rogue"</formula>
    </cfRule>
    <cfRule type="cellIs" dxfId="374" priority="382" operator="equal">
      <formula>"Guardian"</formula>
    </cfRule>
    <cfRule type="cellIs" dxfId="373" priority="383" operator="equal">
      <formula>"Survivor"</formula>
    </cfRule>
    <cfRule type="cellIs" dxfId="372" priority="384" operator="equal">
      <formula>"Mystic"</formula>
    </cfRule>
  </conditionalFormatting>
  <conditionalFormatting sqref="K1898">
    <cfRule type="cellIs" dxfId="371" priority="373" operator="equal">
      <formula>"seeker"</formula>
    </cfRule>
    <cfRule type="cellIs" dxfId="370" priority="374" operator="equal">
      <formula>"neutral"</formula>
    </cfRule>
    <cfRule type="cellIs" dxfId="369" priority="375" operator="equal">
      <formula>"rogue"</formula>
    </cfRule>
    <cfRule type="cellIs" dxfId="368" priority="376" operator="equal">
      <formula>"Guardian"</formula>
    </cfRule>
    <cfRule type="cellIs" dxfId="367" priority="377" operator="equal">
      <formula>"Survivor"</formula>
    </cfRule>
    <cfRule type="cellIs" dxfId="366" priority="378" operator="equal">
      <formula>"Mystic"</formula>
    </cfRule>
  </conditionalFormatting>
  <conditionalFormatting sqref="AM1904">
    <cfRule type="cellIs" dxfId="365" priority="367" operator="equal">
      <formula>"seeker"</formula>
    </cfRule>
    <cfRule type="cellIs" dxfId="364" priority="368" operator="equal">
      <formula>"neutral"</formula>
    </cfRule>
    <cfRule type="cellIs" dxfId="363" priority="369" operator="equal">
      <formula>"rogue"</formula>
    </cfRule>
    <cfRule type="cellIs" dxfId="362" priority="370" operator="equal">
      <formula>"Guardian"</formula>
    </cfRule>
    <cfRule type="cellIs" dxfId="361" priority="371" operator="equal">
      <formula>"Survivor"</formula>
    </cfRule>
    <cfRule type="cellIs" dxfId="360" priority="372" operator="equal">
      <formula>"Mystic"</formula>
    </cfRule>
  </conditionalFormatting>
  <conditionalFormatting sqref="AL1914">
    <cfRule type="cellIs" dxfId="359" priority="355" operator="equal">
      <formula>"Seeker"</formula>
    </cfRule>
    <cfRule type="cellIs" dxfId="358" priority="356" operator="equal">
      <formula>"Neutral"</formula>
    </cfRule>
    <cfRule type="cellIs" dxfId="357" priority="357" operator="equal">
      <formula>"Rogue"</formula>
    </cfRule>
    <cfRule type="cellIs" dxfId="356" priority="358" operator="equal">
      <formula>"Guardian"</formula>
    </cfRule>
    <cfRule type="cellIs" dxfId="355" priority="359" operator="equal">
      <formula>"Survivor"</formula>
    </cfRule>
    <cfRule type="cellIs" dxfId="354" priority="360" operator="equal">
      <formula>"Mystic"</formula>
    </cfRule>
  </conditionalFormatting>
  <conditionalFormatting sqref="AM1892">
    <cfRule type="cellIs" dxfId="353" priority="349" operator="equal">
      <formula>"seeker"</formula>
    </cfRule>
    <cfRule type="cellIs" dxfId="352" priority="350" operator="equal">
      <formula>"neutral"</formula>
    </cfRule>
    <cfRule type="cellIs" dxfId="351" priority="351" operator="equal">
      <formula>"rogue"</formula>
    </cfRule>
    <cfRule type="cellIs" dxfId="350" priority="352" operator="equal">
      <formula>"Guardian"</formula>
    </cfRule>
    <cfRule type="cellIs" dxfId="349" priority="353" operator="equal">
      <formula>"Survivor"</formula>
    </cfRule>
    <cfRule type="cellIs" dxfId="348" priority="354" operator="equal">
      <formula>"Mystic"</formula>
    </cfRule>
  </conditionalFormatting>
  <conditionalFormatting sqref="AM1983:AM1986">
    <cfRule type="cellIs" dxfId="347" priority="343" operator="equal">
      <formula>"seeker"</formula>
    </cfRule>
    <cfRule type="cellIs" dxfId="346" priority="344" operator="equal">
      <formula>"neutral"</formula>
    </cfRule>
    <cfRule type="cellIs" dxfId="345" priority="345" operator="equal">
      <formula>"rogue"</formula>
    </cfRule>
    <cfRule type="cellIs" dxfId="344" priority="346" operator="equal">
      <formula>"Guardian"</formula>
    </cfRule>
    <cfRule type="cellIs" dxfId="343" priority="347" operator="equal">
      <formula>"Survivor"</formula>
    </cfRule>
    <cfRule type="cellIs" dxfId="342" priority="348" operator="equal">
      <formula>"Mystic"</formula>
    </cfRule>
  </conditionalFormatting>
  <conditionalFormatting sqref="AM1982">
    <cfRule type="cellIs" dxfId="341" priority="337" operator="equal">
      <formula>"Seeker"</formula>
    </cfRule>
    <cfRule type="cellIs" dxfId="340" priority="338" operator="equal">
      <formula>"Neutral"</formula>
    </cfRule>
    <cfRule type="cellIs" dxfId="339" priority="339" operator="equal">
      <formula>"Rogue"</formula>
    </cfRule>
    <cfRule type="cellIs" dxfId="338" priority="340" operator="equal">
      <formula>"Guardian"</formula>
    </cfRule>
    <cfRule type="cellIs" dxfId="337" priority="341" operator="equal">
      <formula>"Survivor"</formula>
    </cfRule>
    <cfRule type="cellIs" dxfId="336" priority="342" operator="equal">
      <formula>"Mystic"</formula>
    </cfRule>
  </conditionalFormatting>
  <conditionalFormatting sqref="K1983:K1986">
    <cfRule type="cellIs" dxfId="335" priority="331" operator="equal">
      <formula>"seeker"</formula>
    </cfRule>
    <cfRule type="cellIs" dxfId="334" priority="332" operator="equal">
      <formula>"neutral"</formula>
    </cfRule>
    <cfRule type="cellIs" dxfId="333" priority="333" operator="equal">
      <formula>"rogue"</formula>
    </cfRule>
    <cfRule type="cellIs" dxfId="332" priority="334" operator="equal">
      <formula>"Guardian"</formula>
    </cfRule>
    <cfRule type="cellIs" dxfId="331" priority="335" operator="equal">
      <formula>"Survivor"</formula>
    </cfRule>
    <cfRule type="cellIs" dxfId="330" priority="336" operator="equal">
      <formula>"Mystic"</formula>
    </cfRule>
  </conditionalFormatting>
  <conditionalFormatting sqref="K1982">
    <cfRule type="cellIs" dxfId="329" priority="325" operator="equal">
      <formula>"Seeker"</formula>
    </cfRule>
    <cfRule type="cellIs" dxfId="328" priority="326" operator="equal">
      <formula>"Neutral"</formula>
    </cfRule>
    <cfRule type="cellIs" dxfId="327" priority="327" operator="equal">
      <formula>"Rogue"</formula>
    </cfRule>
    <cfRule type="cellIs" dxfId="326" priority="328" operator="equal">
      <formula>"Guardian"</formula>
    </cfRule>
    <cfRule type="cellIs" dxfId="325" priority="329" operator="equal">
      <formula>"Survivor"</formula>
    </cfRule>
    <cfRule type="cellIs" dxfId="324" priority="330" operator="equal">
      <formula>"Mystic"</formula>
    </cfRule>
  </conditionalFormatting>
  <conditionalFormatting sqref="AM2035:AM2044 K2035:K2044">
    <cfRule type="cellIs" dxfId="323" priority="319" operator="equal">
      <formula>"seeker"</formula>
    </cfRule>
    <cfRule type="cellIs" dxfId="322" priority="320" operator="equal">
      <formula>"neutral"</formula>
    </cfRule>
    <cfRule type="cellIs" dxfId="321" priority="321" operator="equal">
      <formula>"rogue"</formula>
    </cfRule>
    <cfRule type="cellIs" dxfId="320" priority="322" operator="equal">
      <formula>"Guardian"</formula>
    </cfRule>
    <cfRule type="cellIs" dxfId="319" priority="323" operator="equal">
      <formula>"Survivor"</formula>
    </cfRule>
    <cfRule type="cellIs" dxfId="318" priority="324" operator="equal">
      <formula>"Mystic"</formula>
    </cfRule>
  </conditionalFormatting>
  <conditionalFormatting sqref="K2028">
    <cfRule type="cellIs" dxfId="317" priority="175" operator="equal">
      <formula>"seeker"</formula>
    </cfRule>
    <cfRule type="cellIs" dxfId="316" priority="176" operator="equal">
      <formula>"neutral"</formula>
    </cfRule>
    <cfRule type="cellIs" dxfId="315" priority="177" operator="equal">
      <formula>"rogue"</formula>
    </cfRule>
    <cfRule type="cellIs" dxfId="314" priority="178" operator="equal">
      <formula>"Guardian"</formula>
    </cfRule>
    <cfRule type="cellIs" dxfId="313" priority="179" operator="equal">
      <formula>"Survivor"</formula>
    </cfRule>
    <cfRule type="cellIs" dxfId="312" priority="180" operator="equal">
      <formula>"Mystic"</formula>
    </cfRule>
  </conditionalFormatting>
  <conditionalFormatting sqref="AM2030:AM2033">
    <cfRule type="cellIs" dxfId="311" priority="313" operator="equal">
      <formula>"seeker"</formula>
    </cfRule>
    <cfRule type="cellIs" dxfId="310" priority="314" operator="equal">
      <formula>"neutral"</formula>
    </cfRule>
    <cfRule type="cellIs" dxfId="309" priority="315" operator="equal">
      <formula>"rogue"</formula>
    </cfRule>
    <cfRule type="cellIs" dxfId="308" priority="316" operator="equal">
      <formula>"Guardian"</formula>
    </cfRule>
    <cfRule type="cellIs" dxfId="307" priority="317" operator="equal">
      <formula>"Survivor"</formula>
    </cfRule>
    <cfRule type="cellIs" dxfId="306" priority="318" operator="equal">
      <formula>"Mystic"</formula>
    </cfRule>
  </conditionalFormatting>
  <conditionalFormatting sqref="AM2029">
    <cfRule type="cellIs" dxfId="305" priority="307" operator="equal">
      <formula>"Seeker"</formula>
    </cfRule>
    <cfRule type="cellIs" dxfId="304" priority="308" operator="equal">
      <formula>"Neutral"</formula>
    </cfRule>
    <cfRule type="cellIs" dxfId="303" priority="309" operator="equal">
      <formula>"Rogue"</formula>
    </cfRule>
    <cfRule type="cellIs" dxfId="302" priority="310" operator="equal">
      <formula>"Guardian"</formula>
    </cfRule>
    <cfRule type="cellIs" dxfId="301" priority="311" operator="equal">
      <formula>"Survivor"</formula>
    </cfRule>
    <cfRule type="cellIs" dxfId="300" priority="312" operator="equal">
      <formula>"Mystic"</formula>
    </cfRule>
  </conditionalFormatting>
  <conditionalFormatting sqref="K2030:K2033">
    <cfRule type="cellIs" dxfId="299" priority="301" operator="equal">
      <formula>"seeker"</formula>
    </cfRule>
    <cfRule type="cellIs" dxfId="298" priority="302" operator="equal">
      <formula>"neutral"</formula>
    </cfRule>
    <cfRule type="cellIs" dxfId="297" priority="303" operator="equal">
      <formula>"rogue"</formula>
    </cfRule>
    <cfRule type="cellIs" dxfId="296" priority="304" operator="equal">
      <formula>"Guardian"</formula>
    </cfRule>
    <cfRule type="cellIs" dxfId="295" priority="305" operator="equal">
      <formula>"Survivor"</formula>
    </cfRule>
    <cfRule type="cellIs" dxfId="294" priority="306" operator="equal">
      <formula>"Mystic"</formula>
    </cfRule>
  </conditionalFormatting>
  <conditionalFormatting sqref="K2029">
    <cfRule type="cellIs" dxfId="293" priority="295" operator="equal">
      <formula>"Seeker"</formula>
    </cfRule>
    <cfRule type="cellIs" dxfId="292" priority="296" operator="equal">
      <formula>"Neutral"</formula>
    </cfRule>
    <cfRule type="cellIs" dxfId="291" priority="297" operator="equal">
      <formula>"Rogue"</formula>
    </cfRule>
    <cfRule type="cellIs" dxfId="290" priority="298" operator="equal">
      <formula>"Guardian"</formula>
    </cfRule>
    <cfRule type="cellIs" dxfId="289" priority="299" operator="equal">
      <formula>"Survivor"</formula>
    </cfRule>
    <cfRule type="cellIs" dxfId="288" priority="300" operator="equal">
      <formula>"Mystic"</formula>
    </cfRule>
  </conditionalFormatting>
  <conditionalFormatting sqref="K2034">
    <cfRule type="cellIs" dxfId="287" priority="289" operator="equal">
      <formula>"seeker"</formula>
    </cfRule>
    <cfRule type="cellIs" dxfId="286" priority="290" operator="equal">
      <formula>"neutral"</formula>
    </cfRule>
    <cfRule type="cellIs" dxfId="285" priority="291" operator="equal">
      <formula>"rogue"</formula>
    </cfRule>
    <cfRule type="cellIs" dxfId="284" priority="292" operator="equal">
      <formula>"Guardian"</formula>
    </cfRule>
    <cfRule type="cellIs" dxfId="283" priority="293" operator="equal">
      <formula>"Survivor"</formula>
    </cfRule>
    <cfRule type="cellIs" dxfId="282" priority="294" operator="equal">
      <formula>"Mystic"</formula>
    </cfRule>
  </conditionalFormatting>
  <conditionalFormatting sqref="AM2034">
    <cfRule type="cellIs" dxfId="281" priority="283" operator="equal">
      <formula>"seeker"</formula>
    </cfRule>
    <cfRule type="cellIs" dxfId="280" priority="284" operator="equal">
      <formula>"neutral"</formula>
    </cfRule>
    <cfRule type="cellIs" dxfId="279" priority="285" operator="equal">
      <formula>"rogue"</formula>
    </cfRule>
    <cfRule type="cellIs" dxfId="278" priority="286" operator="equal">
      <formula>"Guardian"</formula>
    </cfRule>
    <cfRule type="cellIs" dxfId="277" priority="287" operator="equal">
      <formula>"Survivor"</formula>
    </cfRule>
    <cfRule type="cellIs" dxfId="276" priority="288" operator="equal">
      <formula>"Mystic"</formula>
    </cfRule>
  </conditionalFormatting>
  <conditionalFormatting sqref="K1988:K2001 AM2001 AM2007:AM2008 K2005:K2008 AM2019:AM2027 K2013:K2027 AM2012:AM2017">
    <cfRule type="cellIs" dxfId="275" priority="277" operator="equal">
      <formula>"seeker"</formula>
    </cfRule>
    <cfRule type="cellIs" dxfId="274" priority="278" operator="equal">
      <formula>"neutral"</formula>
    </cfRule>
    <cfRule type="cellIs" dxfId="273" priority="279" operator="equal">
      <formula>"rogue"</formula>
    </cfRule>
    <cfRule type="cellIs" dxfId="272" priority="280" operator="equal">
      <formula>"Guardian"</formula>
    </cfRule>
    <cfRule type="cellIs" dxfId="271" priority="281" operator="equal">
      <formula>"Survivor"</formula>
    </cfRule>
    <cfRule type="cellIs" dxfId="270" priority="282" operator="equal">
      <formula>"Mystic"</formula>
    </cfRule>
  </conditionalFormatting>
  <conditionalFormatting sqref="AL1992:AL1998">
    <cfRule type="cellIs" dxfId="269" priority="271" operator="equal">
      <formula>"Seeker"</formula>
    </cfRule>
    <cfRule type="cellIs" dxfId="268" priority="272" operator="equal">
      <formula>"Neutral"</formula>
    </cfRule>
    <cfRule type="cellIs" dxfId="267" priority="273" operator="equal">
      <formula>"Rogue"</formula>
    </cfRule>
    <cfRule type="cellIs" dxfId="266" priority="274" operator="equal">
      <formula>"Guardian"</formula>
    </cfRule>
    <cfRule type="cellIs" dxfId="265" priority="275" operator="equal">
      <formula>"Survivor"</formula>
    </cfRule>
    <cfRule type="cellIs" dxfId="264" priority="276" operator="equal">
      <formula>"Mystic"</formula>
    </cfRule>
  </conditionalFormatting>
  <conditionalFormatting sqref="AM2011">
    <cfRule type="cellIs" dxfId="263" priority="265" operator="equal">
      <formula>"seeker"</formula>
    </cfRule>
    <cfRule type="cellIs" dxfId="262" priority="266" operator="equal">
      <formula>"neutral"</formula>
    </cfRule>
    <cfRule type="cellIs" dxfId="261" priority="267" operator="equal">
      <formula>"rogue"</formula>
    </cfRule>
    <cfRule type="cellIs" dxfId="260" priority="268" operator="equal">
      <formula>"Guardian"</formula>
    </cfRule>
    <cfRule type="cellIs" dxfId="259" priority="269" operator="equal">
      <formula>"Survivor"</formula>
    </cfRule>
    <cfRule type="cellIs" dxfId="258" priority="270" operator="equal">
      <formula>"Mystic"</formula>
    </cfRule>
  </conditionalFormatting>
  <conditionalFormatting sqref="K1987">
    <cfRule type="cellIs" dxfId="257" priority="259" operator="equal">
      <formula>"Seeker"</formula>
    </cfRule>
    <cfRule type="cellIs" dxfId="256" priority="260" operator="equal">
      <formula>"Neutral"</formula>
    </cfRule>
    <cfRule type="cellIs" dxfId="255" priority="261" operator="equal">
      <formula>"Rogue"</formula>
    </cfRule>
    <cfRule type="cellIs" dxfId="254" priority="262" operator="equal">
      <formula>"Guardian"</formula>
    </cfRule>
    <cfRule type="cellIs" dxfId="253" priority="263" operator="equal">
      <formula>"Survivor"</formula>
    </cfRule>
    <cfRule type="cellIs" dxfId="252" priority="264" operator="equal">
      <formula>"Mystic"</formula>
    </cfRule>
  </conditionalFormatting>
  <conditionalFormatting sqref="AM1988:AM1991">
    <cfRule type="cellIs" dxfId="251" priority="253" operator="equal">
      <formula>"seeker"</formula>
    </cfRule>
    <cfRule type="cellIs" dxfId="250" priority="254" operator="equal">
      <formula>"neutral"</formula>
    </cfRule>
    <cfRule type="cellIs" dxfId="249" priority="255" operator="equal">
      <formula>"rogue"</formula>
    </cfRule>
    <cfRule type="cellIs" dxfId="248" priority="256" operator="equal">
      <formula>"Guardian"</formula>
    </cfRule>
    <cfRule type="cellIs" dxfId="247" priority="257" operator="equal">
      <formula>"Survivor"</formula>
    </cfRule>
    <cfRule type="cellIs" dxfId="246" priority="258" operator="equal">
      <formula>"Mystic"</formula>
    </cfRule>
  </conditionalFormatting>
  <conditionalFormatting sqref="AM1987">
    <cfRule type="cellIs" dxfId="245" priority="247" operator="equal">
      <formula>"Seeker"</formula>
    </cfRule>
    <cfRule type="cellIs" dxfId="244" priority="248" operator="equal">
      <formula>"Neutral"</formula>
    </cfRule>
    <cfRule type="cellIs" dxfId="243" priority="249" operator="equal">
      <formula>"Rogue"</formula>
    </cfRule>
    <cfRule type="cellIs" dxfId="242" priority="250" operator="equal">
      <formula>"Guardian"</formula>
    </cfRule>
    <cfRule type="cellIs" dxfId="241" priority="251" operator="equal">
      <formula>"Survivor"</formula>
    </cfRule>
    <cfRule type="cellIs" dxfId="240" priority="252" operator="equal">
      <formula>"Mystic"</formula>
    </cfRule>
  </conditionalFormatting>
  <conditionalFormatting sqref="K2002">
    <cfRule type="cellIs" dxfId="239" priority="241" operator="equal">
      <formula>"Seeker"</formula>
    </cfRule>
    <cfRule type="cellIs" dxfId="238" priority="242" operator="equal">
      <formula>"Neutral"</formula>
    </cfRule>
    <cfRule type="cellIs" dxfId="237" priority="243" operator="equal">
      <formula>"Rogue"</formula>
    </cfRule>
    <cfRule type="cellIs" dxfId="236" priority="244" operator="equal">
      <formula>"Guardian"</formula>
    </cfRule>
    <cfRule type="cellIs" dxfId="235" priority="245" operator="equal">
      <formula>"Survivor"</formula>
    </cfRule>
    <cfRule type="cellIs" dxfId="234" priority="246" operator="equal">
      <formula>"Mystic"</formula>
    </cfRule>
  </conditionalFormatting>
  <conditionalFormatting sqref="AM2002">
    <cfRule type="cellIs" dxfId="233" priority="235" operator="equal">
      <formula>"Seeker"</formula>
    </cfRule>
    <cfRule type="cellIs" dxfId="232" priority="236" operator="equal">
      <formula>"Neutral"</formula>
    </cfRule>
    <cfRule type="cellIs" dxfId="231" priority="237" operator="equal">
      <formula>"Rogue"</formula>
    </cfRule>
    <cfRule type="cellIs" dxfId="230" priority="238" operator="equal">
      <formula>"Guardian"</formula>
    </cfRule>
    <cfRule type="cellIs" dxfId="229" priority="239" operator="equal">
      <formula>"Survivor"</formula>
    </cfRule>
    <cfRule type="cellIs" dxfId="228" priority="240" operator="equal">
      <formula>"Mystic"</formula>
    </cfRule>
  </conditionalFormatting>
  <conditionalFormatting sqref="K2003">
    <cfRule type="cellIs" dxfId="227" priority="229" operator="equal">
      <formula>"Seeker"</formula>
    </cfRule>
    <cfRule type="cellIs" dxfId="226" priority="230" operator="equal">
      <formula>"Neutral"</formula>
    </cfRule>
    <cfRule type="cellIs" dxfId="225" priority="231" operator="equal">
      <formula>"Rogue"</formula>
    </cfRule>
    <cfRule type="cellIs" dxfId="224" priority="232" operator="equal">
      <formula>"Guardian"</formula>
    </cfRule>
    <cfRule type="cellIs" dxfId="223" priority="233" operator="equal">
      <formula>"Survivor"</formula>
    </cfRule>
    <cfRule type="cellIs" dxfId="222" priority="234" operator="equal">
      <formula>"Mystic"</formula>
    </cfRule>
  </conditionalFormatting>
  <conditionalFormatting sqref="K2004">
    <cfRule type="cellIs" dxfId="221" priority="223" operator="equal">
      <formula>"Seeker"</formula>
    </cfRule>
    <cfRule type="cellIs" dxfId="220" priority="224" operator="equal">
      <formula>"Neutral"</formula>
    </cfRule>
    <cfRule type="cellIs" dxfId="219" priority="225" operator="equal">
      <formula>"Rogue"</formula>
    </cfRule>
    <cfRule type="cellIs" dxfId="218" priority="226" operator="equal">
      <formula>"Guardian"</formula>
    </cfRule>
    <cfRule type="cellIs" dxfId="217" priority="227" operator="equal">
      <formula>"Survivor"</formula>
    </cfRule>
    <cfRule type="cellIs" dxfId="216" priority="228" operator="equal">
      <formula>"Mystic"</formula>
    </cfRule>
  </conditionalFormatting>
  <conditionalFormatting sqref="K2009">
    <cfRule type="cellIs" dxfId="215" priority="217" operator="equal">
      <formula>"seeker"</formula>
    </cfRule>
    <cfRule type="cellIs" dxfId="214" priority="218" operator="equal">
      <formula>"neutral"</formula>
    </cfRule>
    <cfRule type="cellIs" dxfId="213" priority="219" operator="equal">
      <formula>"rogue"</formula>
    </cfRule>
    <cfRule type="cellIs" dxfId="212" priority="220" operator="equal">
      <formula>"Guardian"</formula>
    </cfRule>
    <cfRule type="cellIs" dxfId="211" priority="221" operator="equal">
      <formula>"Survivor"</formula>
    </cfRule>
    <cfRule type="cellIs" dxfId="210" priority="222" operator="equal">
      <formula>"Mystic"</formula>
    </cfRule>
  </conditionalFormatting>
  <conditionalFormatting sqref="AM2009">
    <cfRule type="cellIs" dxfId="209" priority="211" operator="equal">
      <formula>"seeker"</formula>
    </cfRule>
    <cfRule type="cellIs" dxfId="208" priority="212" operator="equal">
      <formula>"neutral"</formula>
    </cfRule>
    <cfRule type="cellIs" dxfId="207" priority="213" operator="equal">
      <formula>"rogue"</formula>
    </cfRule>
    <cfRule type="cellIs" dxfId="206" priority="214" operator="equal">
      <formula>"Guardian"</formula>
    </cfRule>
    <cfRule type="cellIs" dxfId="205" priority="215" operator="equal">
      <formula>"Survivor"</formula>
    </cfRule>
    <cfRule type="cellIs" dxfId="204" priority="216" operator="equal">
      <formula>"Mystic"</formula>
    </cfRule>
  </conditionalFormatting>
  <conditionalFormatting sqref="K2010">
    <cfRule type="cellIs" dxfId="203" priority="205" operator="equal">
      <formula>"seeker"</formula>
    </cfRule>
    <cfRule type="cellIs" dxfId="202" priority="206" operator="equal">
      <formula>"neutral"</formula>
    </cfRule>
    <cfRule type="cellIs" dxfId="201" priority="207" operator="equal">
      <formula>"rogue"</formula>
    </cfRule>
    <cfRule type="cellIs" dxfId="200" priority="208" operator="equal">
      <formula>"Guardian"</formula>
    </cfRule>
    <cfRule type="cellIs" dxfId="199" priority="209" operator="equal">
      <formula>"Survivor"</formula>
    </cfRule>
    <cfRule type="cellIs" dxfId="198" priority="210" operator="equal">
      <formula>"Mystic"</formula>
    </cfRule>
  </conditionalFormatting>
  <conditionalFormatting sqref="AM2010">
    <cfRule type="cellIs" dxfId="197" priority="199" operator="equal">
      <formula>"seeker"</formula>
    </cfRule>
    <cfRule type="cellIs" dxfId="196" priority="200" operator="equal">
      <formula>"neutral"</formula>
    </cfRule>
    <cfRule type="cellIs" dxfId="195" priority="201" operator="equal">
      <formula>"rogue"</formula>
    </cfRule>
    <cfRule type="cellIs" dxfId="194" priority="202" operator="equal">
      <formula>"Guardian"</formula>
    </cfRule>
    <cfRule type="cellIs" dxfId="193" priority="203" operator="equal">
      <formula>"Survivor"</formula>
    </cfRule>
    <cfRule type="cellIs" dxfId="192" priority="204" operator="equal">
      <formula>"Mystic"</formula>
    </cfRule>
  </conditionalFormatting>
  <conditionalFormatting sqref="K2011">
    <cfRule type="cellIs" dxfId="191" priority="193" operator="equal">
      <formula>"seeker"</formula>
    </cfRule>
    <cfRule type="cellIs" dxfId="190" priority="194" operator="equal">
      <formula>"neutral"</formula>
    </cfRule>
    <cfRule type="cellIs" dxfId="189" priority="195" operator="equal">
      <formula>"rogue"</formula>
    </cfRule>
    <cfRule type="cellIs" dxfId="188" priority="196" operator="equal">
      <formula>"Guardian"</formula>
    </cfRule>
    <cfRule type="cellIs" dxfId="187" priority="197" operator="equal">
      <formula>"Survivor"</formula>
    </cfRule>
    <cfRule type="cellIs" dxfId="186" priority="198" operator="equal">
      <formula>"Mystic"</formula>
    </cfRule>
  </conditionalFormatting>
  <conditionalFormatting sqref="K2012">
    <cfRule type="cellIs" dxfId="185" priority="187" operator="equal">
      <formula>"seeker"</formula>
    </cfRule>
    <cfRule type="cellIs" dxfId="184" priority="188" operator="equal">
      <formula>"neutral"</formula>
    </cfRule>
    <cfRule type="cellIs" dxfId="183" priority="189" operator="equal">
      <formula>"rogue"</formula>
    </cfRule>
    <cfRule type="cellIs" dxfId="182" priority="190" operator="equal">
      <formula>"Guardian"</formula>
    </cfRule>
    <cfRule type="cellIs" dxfId="181" priority="191" operator="equal">
      <formula>"Survivor"</formula>
    </cfRule>
    <cfRule type="cellIs" dxfId="180" priority="192" operator="equal">
      <formula>"Mystic"</formula>
    </cfRule>
  </conditionalFormatting>
  <conditionalFormatting sqref="AM2018">
    <cfRule type="cellIs" dxfId="179" priority="181" operator="equal">
      <formula>"seeker"</formula>
    </cfRule>
    <cfRule type="cellIs" dxfId="178" priority="182" operator="equal">
      <formula>"neutral"</formula>
    </cfRule>
    <cfRule type="cellIs" dxfId="177" priority="183" operator="equal">
      <formula>"rogue"</formula>
    </cfRule>
    <cfRule type="cellIs" dxfId="176" priority="184" operator="equal">
      <formula>"Guardian"</formula>
    </cfRule>
    <cfRule type="cellIs" dxfId="175" priority="185" operator="equal">
      <formula>"Survivor"</formula>
    </cfRule>
    <cfRule type="cellIs" dxfId="174" priority="186" operator="equal">
      <formula>"Mystic"</formula>
    </cfRule>
  </conditionalFormatting>
  <conditionalFormatting sqref="AL2028">
    <cfRule type="cellIs" dxfId="173" priority="169" operator="equal">
      <formula>"Seeker"</formula>
    </cfRule>
    <cfRule type="cellIs" dxfId="172" priority="170" operator="equal">
      <formula>"Neutral"</formula>
    </cfRule>
    <cfRule type="cellIs" dxfId="171" priority="171" operator="equal">
      <formula>"Rogue"</formula>
    </cfRule>
    <cfRule type="cellIs" dxfId="170" priority="172" operator="equal">
      <formula>"Guardian"</formula>
    </cfRule>
    <cfRule type="cellIs" dxfId="169" priority="173" operator="equal">
      <formula>"Survivor"</formula>
    </cfRule>
    <cfRule type="cellIs" dxfId="168" priority="174" operator="equal">
      <formula>"Mystic"</formula>
    </cfRule>
  </conditionalFormatting>
  <conditionalFormatting sqref="AM2006">
    <cfRule type="cellIs" dxfId="167" priority="163" operator="equal">
      <formula>"seeker"</formula>
    </cfRule>
    <cfRule type="cellIs" dxfId="166" priority="164" operator="equal">
      <formula>"neutral"</formula>
    </cfRule>
    <cfRule type="cellIs" dxfId="165" priority="165" operator="equal">
      <formula>"rogue"</formula>
    </cfRule>
    <cfRule type="cellIs" dxfId="164" priority="166" operator="equal">
      <formula>"Guardian"</formula>
    </cfRule>
    <cfRule type="cellIs" dxfId="163" priority="167" operator="equal">
      <formula>"Survivor"</formula>
    </cfRule>
    <cfRule type="cellIs" dxfId="162" priority="168" operator="equal">
      <formula>"Mystic"</formula>
    </cfRule>
  </conditionalFormatting>
  <conditionalFormatting sqref="AM2093:AM2122 K2093:K2122">
    <cfRule type="cellIs" dxfId="161" priority="157" operator="equal">
      <formula>"seeker"</formula>
    </cfRule>
    <cfRule type="cellIs" dxfId="160" priority="158" operator="equal">
      <formula>"neutral"</formula>
    </cfRule>
    <cfRule type="cellIs" dxfId="159" priority="159" operator="equal">
      <formula>"rogue"</formula>
    </cfRule>
    <cfRule type="cellIs" dxfId="158" priority="160" operator="equal">
      <formula>"Guardian"</formula>
    </cfRule>
    <cfRule type="cellIs" dxfId="157" priority="161" operator="equal">
      <formula>"Survivor"</formula>
    </cfRule>
    <cfRule type="cellIs" dxfId="156" priority="162" operator="equal">
      <formula>"Mystic"</formula>
    </cfRule>
  </conditionalFormatting>
  <conditionalFormatting sqref="K2086">
    <cfRule type="cellIs" dxfId="155" priority="13" operator="equal">
      <formula>"seeker"</formula>
    </cfRule>
    <cfRule type="cellIs" dxfId="154" priority="14" operator="equal">
      <formula>"neutral"</formula>
    </cfRule>
    <cfRule type="cellIs" dxfId="153" priority="15" operator="equal">
      <formula>"rogue"</formula>
    </cfRule>
    <cfRule type="cellIs" dxfId="152" priority="16" operator="equal">
      <formula>"Guardian"</formula>
    </cfRule>
    <cfRule type="cellIs" dxfId="151" priority="17" operator="equal">
      <formula>"Survivor"</formula>
    </cfRule>
    <cfRule type="cellIs" dxfId="150" priority="18" operator="equal">
      <formula>"Mystic"</formula>
    </cfRule>
  </conditionalFormatting>
  <conditionalFormatting sqref="AM2088:AM2091">
    <cfRule type="cellIs" dxfId="149" priority="151" operator="equal">
      <formula>"seeker"</formula>
    </cfRule>
    <cfRule type="cellIs" dxfId="148" priority="152" operator="equal">
      <formula>"neutral"</formula>
    </cfRule>
    <cfRule type="cellIs" dxfId="147" priority="153" operator="equal">
      <formula>"rogue"</formula>
    </cfRule>
    <cfRule type="cellIs" dxfId="146" priority="154" operator="equal">
      <formula>"Guardian"</formula>
    </cfRule>
    <cfRule type="cellIs" dxfId="145" priority="155" operator="equal">
      <formula>"Survivor"</formula>
    </cfRule>
    <cfRule type="cellIs" dxfId="144" priority="156" operator="equal">
      <formula>"Mystic"</formula>
    </cfRule>
  </conditionalFormatting>
  <conditionalFormatting sqref="AM2087">
    <cfRule type="cellIs" dxfId="143" priority="145" operator="equal">
      <formula>"Seeker"</formula>
    </cfRule>
    <cfRule type="cellIs" dxfId="142" priority="146" operator="equal">
      <formula>"Neutral"</formula>
    </cfRule>
    <cfRule type="cellIs" dxfId="141" priority="147" operator="equal">
      <formula>"Rogue"</formula>
    </cfRule>
    <cfRule type="cellIs" dxfId="140" priority="148" operator="equal">
      <formula>"Guardian"</formula>
    </cfRule>
    <cfRule type="cellIs" dxfId="139" priority="149" operator="equal">
      <formula>"Survivor"</formula>
    </cfRule>
    <cfRule type="cellIs" dxfId="138" priority="150" operator="equal">
      <formula>"Mystic"</formula>
    </cfRule>
  </conditionalFormatting>
  <conditionalFormatting sqref="K2088:K2091">
    <cfRule type="cellIs" dxfId="137" priority="139" operator="equal">
      <formula>"seeker"</formula>
    </cfRule>
    <cfRule type="cellIs" dxfId="136" priority="140" operator="equal">
      <formula>"neutral"</formula>
    </cfRule>
    <cfRule type="cellIs" dxfId="135" priority="141" operator="equal">
      <formula>"rogue"</formula>
    </cfRule>
    <cfRule type="cellIs" dxfId="134" priority="142" operator="equal">
      <formula>"Guardian"</formula>
    </cfRule>
    <cfRule type="cellIs" dxfId="133" priority="143" operator="equal">
      <formula>"Survivor"</formula>
    </cfRule>
    <cfRule type="cellIs" dxfId="132" priority="144" operator="equal">
      <formula>"Mystic"</formula>
    </cfRule>
  </conditionalFormatting>
  <conditionalFormatting sqref="K2087">
    <cfRule type="cellIs" dxfId="131" priority="133" operator="equal">
      <formula>"Seeker"</formula>
    </cfRule>
    <cfRule type="cellIs" dxfId="130" priority="134" operator="equal">
      <formula>"Neutral"</formula>
    </cfRule>
    <cfRule type="cellIs" dxfId="129" priority="135" operator="equal">
      <formula>"Rogue"</formula>
    </cfRule>
    <cfRule type="cellIs" dxfId="128" priority="136" operator="equal">
      <formula>"Guardian"</formula>
    </cfRule>
    <cfRule type="cellIs" dxfId="127" priority="137" operator="equal">
      <formula>"Survivor"</formula>
    </cfRule>
    <cfRule type="cellIs" dxfId="126" priority="138" operator="equal">
      <formula>"Mystic"</formula>
    </cfRule>
  </conditionalFormatting>
  <conditionalFormatting sqref="K2092">
    <cfRule type="cellIs" dxfId="125" priority="127" operator="equal">
      <formula>"seeker"</formula>
    </cfRule>
    <cfRule type="cellIs" dxfId="124" priority="128" operator="equal">
      <formula>"neutral"</formula>
    </cfRule>
    <cfRule type="cellIs" dxfId="123" priority="129" operator="equal">
      <formula>"rogue"</formula>
    </cfRule>
    <cfRule type="cellIs" dxfId="122" priority="130" operator="equal">
      <formula>"Guardian"</formula>
    </cfRule>
    <cfRule type="cellIs" dxfId="121" priority="131" operator="equal">
      <formula>"Survivor"</formula>
    </cfRule>
    <cfRule type="cellIs" dxfId="120" priority="132" operator="equal">
      <formula>"Mystic"</formula>
    </cfRule>
  </conditionalFormatting>
  <conditionalFormatting sqref="AM2092">
    <cfRule type="cellIs" dxfId="119" priority="121" operator="equal">
      <formula>"seeker"</formula>
    </cfRule>
    <cfRule type="cellIs" dxfId="118" priority="122" operator="equal">
      <formula>"neutral"</formula>
    </cfRule>
    <cfRule type="cellIs" dxfId="117" priority="123" operator="equal">
      <formula>"rogue"</formula>
    </cfRule>
    <cfRule type="cellIs" dxfId="116" priority="124" operator="equal">
      <formula>"Guardian"</formula>
    </cfRule>
    <cfRule type="cellIs" dxfId="115" priority="125" operator="equal">
      <formula>"Survivor"</formula>
    </cfRule>
    <cfRule type="cellIs" dxfId="114" priority="126" operator="equal">
      <formula>"Mystic"</formula>
    </cfRule>
  </conditionalFormatting>
  <conditionalFormatting sqref="K2046:K2059 AM2059 AM2065:AM2066 K2063:K2066 AM2077:AM2085 K2071:K2085 AM2070:AM2075">
    <cfRule type="cellIs" dxfId="113" priority="115" operator="equal">
      <formula>"seeker"</formula>
    </cfRule>
    <cfRule type="cellIs" dxfId="112" priority="116" operator="equal">
      <formula>"neutral"</formula>
    </cfRule>
    <cfRule type="cellIs" dxfId="111" priority="117" operator="equal">
      <formula>"rogue"</formula>
    </cfRule>
    <cfRule type="cellIs" dxfId="110" priority="118" operator="equal">
      <formula>"Guardian"</formula>
    </cfRule>
    <cfRule type="cellIs" dxfId="109" priority="119" operator="equal">
      <formula>"Survivor"</formula>
    </cfRule>
    <cfRule type="cellIs" dxfId="108" priority="120" operator="equal">
      <formula>"Mystic"</formula>
    </cfRule>
  </conditionalFormatting>
  <conditionalFormatting sqref="AL2050:AL2056">
    <cfRule type="cellIs" dxfId="107" priority="109" operator="equal">
      <formula>"Seeker"</formula>
    </cfRule>
    <cfRule type="cellIs" dxfId="106" priority="110" operator="equal">
      <formula>"Neutral"</formula>
    </cfRule>
    <cfRule type="cellIs" dxfId="105" priority="111" operator="equal">
      <formula>"Rogue"</formula>
    </cfRule>
    <cfRule type="cellIs" dxfId="104" priority="112" operator="equal">
      <formula>"Guardian"</formula>
    </cfRule>
    <cfRule type="cellIs" dxfId="103" priority="113" operator="equal">
      <formula>"Survivor"</formula>
    </cfRule>
    <cfRule type="cellIs" dxfId="102" priority="114" operator="equal">
      <formula>"Mystic"</formula>
    </cfRule>
  </conditionalFormatting>
  <conditionalFormatting sqref="AM2069">
    <cfRule type="cellIs" dxfId="101" priority="103" operator="equal">
      <formula>"seeker"</formula>
    </cfRule>
    <cfRule type="cellIs" dxfId="100" priority="104" operator="equal">
      <formula>"neutral"</formula>
    </cfRule>
    <cfRule type="cellIs" dxfId="99" priority="105" operator="equal">
      <formula>"rogue"</formula>
    </cfRule>
    <cfRule type="cellIs" dxfId="98" priority="106" operator="equal">
      <formula>"Guardian"</formula>
    </cfRule>
    <cfRule type="cellIs" dxfId="97" priority="107" operator="equal">
      <formula>"Survivor"</formula>
    </cfRule>
    <cfRule type="cellIs" dxfId="96" priority="108" operator="equal">
      <formula>"Mystic"</formula>
    </cfRule>
  </conditionalFormatting>
  <conditionalFormatting sqref="K2045">
    <cfRule type="cellIs" dxfId="95" priority="97" operator="equal">
      <formula>"Seeker"</formula>
    </cfRule>
    <cfRule type="cellIs" dxfId="94" priority="98" operator="equal">
      <formula>"Neutral"</formula>
    </cfRule>
    <cfRule type="cellIs" dxfId="93" priority="99" operator="equal">
      <formula>"Rogue"</formula>
    </cfRule>
    <cfRule type="cellIs" dxfId="92" priority="100" operator="equal">
      <formula>"Guardian"</formula>
    </cfRule>
    <cfRule type="cellIs" dxfId="91" priority="101" operator="equal">
      <formula>"Survivor"</formula>
    </cfRule>
    <cfRule type="cellIs" dxfId="90" priority="102" operator="equal">
      <formula>"Mystic"</formula>
    </cfRule>
  </conditionalFormatting>
  <conditionalFormatting sqref="AM2046:AM2049">
    <cfRule type="cellIs" dxfId="89" priority="91" operator="equal">
      <formula>"seeker"</formula>
    </cfRule>
    <cfRule type="cellIs" dxfId="88" priority="92" operator="equal">
      <formula>"neutral"</formula>
    </cfRule>
    <cfRule type="cellIs" dxfId="87" priority="93" operator="equal">
      <formula>"rogue"</formula>
    </cfRule>
    <cfRule type="cellIs" dxfId="86" priority="94" operator="equal">
      <formula>"Guardian"</formula>
    </cfRule>
    <cfRule type="cellIs" dxfId="85" priority="95" operator="equal">
      <formula>"Survivor"</formula>
    </cfRule>
    <cfRule type="cellIs" dxfId="84" priority="96" operator="equal">
      <formula>"Mystic"</formula>
    </cfRule>
  </conditionalFormatting>
  <conditionalFormatting sqref="AM2045">
    <cfRule type="cellIs" dxfId="83" priority="85" operator="equal">
      <formula>"Seeker"</formula>
    </cfRule>
    <cfRule type="cellIs" dxfId="82" priority="86" operator="equal">
      <formula>"Neutral"</formula>
    </cfRule>
    <cfRule type="cellIs" dxfId="81" priority="87" operator="equal">
      <formula>"Rogue"</formula>
    </cfRule>
    <cfRule type="cellIs" dxfId="80" priority="88" operator="equal">
      <formula>"Guardian"</formula>
    </cfRule>
    <cfRule type="cellIs" dxfId="79" priority="89" operator="equal">
      <formula>"Survivor"</formula>
    </cfRule>
    <cfRule type="cellIs" dxfId="78" priority="90" operator="equal">
      <formula>"Mystic"</formula>
    </cfRule>
  </conditionalFormatting>
  <conditionalFormatting sqref="K2060">
    <cfRule type="cellIs" dxfId="77" priority="79" operator="equal">
      <formula>"Seeker"</formula>
    </cfRule>
    <cfRule type="cellIs" dxfId="76" priority="80" operator="equal">
      <formula>"Neutral"</formula>
    </cfRule>
    <cfRule type="cellIs" dxfId="75" priority="81" operator="equal">
      <formula>"Rogue"</formula>
    </cfRule>
    <cfRule type="cellIs" dxfId="74" priority="82" operator="equal">
      <formula>"Guardian"</formula>
    </cfRule>
    <cfRule type="cellIs" dxfId="73" priority="83" operator="equal">
      <formula>"Survivor"</formula>
    </cfRule>
    <cfRule type="cellIs" dxfId="72" priority="84" operator="equal">
      <formula>"Mystic"</formula>
    </cfRule>
  </conditionalFormatting>
  <conditionalFormatting sqref="AM2060">
    <cfRule type="cellIs" dxfId="71" priority="73" operator="equal">
      <formula>"Seeker"</formula>
    </cfRule>
    <cfRule type="cellIs" dxfId="70" priority="74" operator="equal">
      <formula>"Neutral"</formula>
    </cfRule>
    <cfRule type="cellIs" dxfId="69" priority="75" operator="equal">
      <formula>"Rogue"</formula>
    </cfRule>
    <cfRule type="cellIs" dxfId="68" priority="76" operator="equal">
      <formula>"Guardian"</formula>
    </cfRule>
    <cfRule type="cellIs" dxfId="67" priority="77" operator="equal">
      <formula>"Survivor"</formula>
    </cfRule>
    <cfRule type="cellIs" dxfId="66" priority="78" operator="equal">
      <formula>"Mystic"</formula>
    </cfRule>
  </conditionalFormatting>
  <conditionalFormatting sqref="K2061">
    <cfRule type="cellIs" dxfId="65" priority="67" operator="equal">
      <formula>"Seeker"</formula>
    </cfRule>
    <cfRule type="cellIs" dxfId="64" priority="68" operator="equal">
      <formula>"Neutral"</formula>
    </cfRule>
    <cfRule type="cellIs" dxfId="63" priority="69" operator="equal">
      <formula>"Rogue"</formula>
    </cfRule>
    <cfRule type="cellIs" dxfId="62" priority="70" operator="equal">
      <formula>"Guardian"</formula>
    </cfRule>
    <cfRule type="cellIs" dxfId="61" priority="71" operator="equal">
      <formula>"Survivor"</formula>
    </cfRule>
    <cfRule type="cellIs" dxfId="60" priority="72" operator="equal">
      <formula>"Mystic"</formula>
    </cfRule>
  </conditionalFormatting>
  <conditionalFormatting sqref="K2062">
    <cfRule type="cellIs" dxfId="59" priority="61" operator="equal">
      <formula>"Seeker"</formula>
    </cfRule>
    <cfRule type="cellIs" dxfId="58" priority="62" operator="equal">
      <formula>"Neutral"</formula>
    </cfRule>
    <cfRule type="cellIs" dxfId="57" priority="63" operator="equal">
      <formula>"Rogue"</formula>
    </cfRule>
    <cfRule type="cellIs" dxfId="56" priority="64" operator="equal">
      <formula>"Guardian"</formula>
    </cfRule>
    <cfRule type="cellIs" dxfId="55" priority="65" operator="equal">
      <formula>"Survivor"</formula>
    </cfRule>
    <cfRule type="cellIs" dxfId="54" priority="66" operator="equal">
      <formula>"Mystic"</formula>
    </cfRule>
  </conditionalFormatting>
  <conditionalFormatting sqref="K2067">
    <cfRule type="cellIs" dxfId="53" priority="55" operator="equal">
      <formula>"seeker"</formula>
    </cfRule>
    <cfRule type="cellIs" dxfId="52" priority="56" operator="equal">
      <formula>"neutral"</formula>
    </cfRule>
    <cfRule type="cellIs" dxfId="51" priority="57" operator="equal">
      <formula>"rogue"</formula>
    </cfRule>
    <cfRule type="cellIs" dxfId="50" priority="58" operator="equal">
      <formula>"Guardian"</formula>
    </cfRule>
    <cfRule type="cellIs" dxfId="49" priority="59" operator="equal">
      <formula>"Survivor"</formula>
    </cfRule>
    <cfRule type="cellIs" dxfId="48" priority="60" operator="equal">
      <formula>"Mystic"</formula>
    </cfRule>
  </conditionalFormatting>
  <conditionalFormatting sqref="AM2067">
    <cfRule type="cellIs" dxfId="47" priority="49" operator="equal">
      <formula>"seeker"</formula>
    </cfRule>
    <cfRule type="cellIs" dxfId="46" priority="50" operator="equal">
      <formula>"neutral"</formula>
    </cfRule>
    <cfRule type="cellIs" dxfId="45" priority="51" operator="equal">
      <formula>"rogue"</formula>
    </cfRule>
    <cfRule type="cellIs" dxfId="44" priority="52" operator="equal">
      <formula>"Guardian"</formula>
    </cfRule>
    <cfRule type="cellIs" dxfId="43" priority="53" operator="equal">
      <formula>"Survivor"</formula>
    </cfRule>
    <cfRule type="cellIs" dxfId="42" priority="54" operator="equal">
      <formula>"Mystic"</formula>
    </cfRule>
  </conditionalFormatting>
  <conditionalFormatting sqref="K2068">
    <cfRule type="cellIs" dxfId="41" priority="43" operator="equal">
      <formula>"seeker"</formula>
    </cfRule>
    <cfRule type="cellIs" dxfId="40" priority="44" operator="equal">
      <formula>"neutral"</formula>
    </cfRule>
    <cfRule type="cellIs" dxfId="39" priority="45" operator="equal">
      <formula>"rogue"</formula>
    </cfRule>
    <cfRule type="cellIs" dxfId="38" priority="46" operator="equal">
      <formula>"Guardian"</formula>
    </cfRule>
    <cfRule type="cellIs" dxfId="37" priority="47" operator="equal">
      <formula>"Survivor"</formula>
    </cfRule>
    <cfRule type="cellIs" dxfId="36" priority="48" operator="equal">
      <formula>"Mystic"</formula>
    </cfRule>
  </conditionalFormatting>
  <conditionalFormatting sqref="AM2068">
    <cfRule type="cellIs" dxfId="35" priority="37" operator="equal">
      <formula>"seeker"</formula>
    </cfRule>
    <cfRule type="cellIs" dxfId="34" priority="38" operator="equal">
      <formula>"neutral"</formula>
    </cfRule>
    <cfRule type="cellIs" dxfId="33" priority="39" operator="equal">
      <formula>"rogue"</formula>
    </cfRule>
    <cfRule type="cellIs" dxfId="32" priority="40" operator="equal">
      <formula>"Guardian"</formula>
    </cfRule>
    <cfRule type="cellIs" dxfId="31" priority="41" operator="equal">
      <formula>"Survivor"</formula>
    </cfRule>
    <cfRule type="cellIs" dxfId="30" priority="42" operator="equal">
      <formula>"Mystic"</formula>
    </cfRule>
  </conditionalFormatting>
  <conditionalFormatting sqref="K2069">
    <cfRule type="cellIs" dxfId="29" priority="31" operator="equal">
      <formula>"seeker"</formula>
    </cfRule>
    <cfRule type="cellIs" dxfId="28" priority="32" operator="equal">
      <formula>"neutral"</formula>
    </cfRule>
    <cfRule type="cellIs" dxfId="27" priority="33" operator="equal">
      <formula>"rogue"</formula>
    </cfRule>
    <cfRule type="cellIs" dxfId="26" priority="34" operator="equal">
      <formula>"Guardian"</formula>
    </cfRule>
    <cfRule type="cellIs" dxfId="25" priority="35" operator="equal">
      <formula>"Survivor"</formula>
    </cfRule>
    <cfRule type="cellIs" dxfId="24" priority="36" operator="equal">
      <formula>"Mystic"</formula>
    </cfRule>
  </conditionalFormatting>
  <conditionalFormatting sqref="K2070">
    <cfRule type="cellIs" dxfId="23" priority="25" operator="equal">
      <formula>"seeker"</formula>
    </cfRule>
    <cfRule type="cellIs" dxfId="22" priority="26" operator="equal">
      <formula>"neutral"</formula>
    </cfRule>
    <cfRule type="cellIs" dxfId="21" priority="27" operator="equal">
      <formula>"rogue"</formula>
    </cfRule>
    <cfRule type="cellIs" dxfId="20" priority="28" operator="equal">
      <formula>"Guardian"</formula>
    </cfRule>
    <cfRule type="cellIs" dxfId="19" priority="29" operator="equal">
      <formula>"Survivor"</formula>
    </cfRule>
    <cfRule type="cellIs" dxfId="18" priority="30" operator="equal">
      <formula>"Mystic"</formula>
    </cfRule>
  </conditionalFormatting>
  <conditionalFormatting sqref="AM2076">
    <cfRule type="cellIs" dxfId="17" priority="19" operator="equal">
      <formula>"seeker"</formula>
    </cfRule>
    <cfRule type="cellIs" dxfId="16" priority="20" operator="equal">
      <formula>"neutral"</formula>
    </cfRule>
    <cfRule type="cellIs" dxfId="15" priority="21" operator="equal">
      <formula>"rogue"</formula>
    </cfRule>
    <cfRule type="cellIs" dxfId="14" priority="22" operator="equal">
      <formula>"Guardian"</formula>
    </cfRule>
    <cfRule type="cellIs" dxfId="13" priority="23" operator="equal">
      <formula>"Survivor"</formula>
    </cfRule>
    <cfRule type="cellIs" dxfId="12" priority="24" operator="equal">
      <formula>"Mystic"</formula>
    </cfRule>
  </conditionalFormatting>
  <conditionalFormatting sqref="AL2086">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2064">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2:C22"/>
  <sheetViews>
    <sheetView workbookViewId="0">
      <selection activeCell="B4" sqref="B4"/>
    </sheetView>
  </sheetViews>
  <sheetFormatPr baseColWidth="10"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1"/>
  <sheetViews>
    <sheetView workbookViewId="0">
      <selection activeCell="C1" sqref="C1:D11"/>
    </sheetView>
  </sheetViews>
  <sheetFormatPr baseColWidth="10"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W34"/>
  <sheetViews>
    <sheetView workbookViewId="0">
      <selection sqref="A1:W34"/>
    </sheetView>
  </sheetViews>
  <sheetFormatPr baseColWidth="10"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Christopher Schmidt</cp:lastModifiedBy>
  <cp:lastPrinted>2014-08-03T08:06:29Z</cp:lastPrinted>
  <dcterms:created xsi:type="dcterms:W3CDTF">2014-06-30T14:14:02Z</dcterms:created>
  <dcterms:modified xsi:type="dcterms:W3CDTF">2019-10-31T10:47:58Z</dcterms:modified>
</cp:coreProperties>
</file>