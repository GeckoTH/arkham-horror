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45" windowWidth="20445" windowHeight="817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<sst xmlns="http://schemas.openxmlformats.org/spreadsheetml/2006/main" count="11882" uniqueCount="6794">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</sst>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24" fillId="2" borderId="0" xfId="0" applyNumberFormat="1" applyFont="1" applyFill="1" applyAlignment="1">
      <alignment horizontal="left" vertical="top" wrapText="1"/>
    </xf>
    <xf numFmtId="0" fontId="24" fillId="0" borderId="0" xfId="0" applyFont="1" applyAlignment="1">
      <alignment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4"/>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H19" sqref="H19"/>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31" t="s">
        <v>3303</v>
      </c>
      <c r="H1" s="132"/>
      <c r="I1" s="132"/>
      <c r="J1" s="133"/>
      <c r="K1" s="27"/>
      <c r="L1" s="35"/>
      <c r="M1" s="23"/>
      <c r="N1" s="134" t="s">
        <v>4</v>
      </c>
      <c r="O1" s="134"/>
      <c r="P1" s="134"/>
      <c r="Q1" s="134"/>
      <c r="R1" s="134"/>
      <c r="S1" s="134"/>
      <c r="T1" s="134"/>
      <c r="U1" s="21"/>
      <c r="V1" s="134" t="s">
        <v>4079</v>
      </c>
      <c r="W1" s="134"/>
      <c r="X1" s="134"/>
      <c r="Y1" s="134"/>
      <c r="Z1" s="134"/>
      <c r="AA1" s="134"/>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14" t="s">
        <v>6791</v>
      </c>
      <c r="B14" s="14" t="s">
        <v>6792</v>
      </c>
      <c r="C14" s="16" t="s">
        <v>2107</v>
      </c>
      <c r="E14" s="14" t="s">
        <v>6793</v>
      </c>
      <c r="G14" s="24">
        <f>SUMIF('Card Data'!$A:$A,$A14,'Card Data'!$E:$E)</f>
        <v>156</v>
      </c>
      <c r="H14" s="24">
        <f>SUMIFS('Card Data'!$E:$E,'Card Data'!$A:$A,$A14,'Card Data'!$K:$K,"&lt;&gt;",'Card Data'!$J:$J,"&lt;&gt;Investigator")-SUMIFS('Card Data'!$E:$E,'Card Data'!$A:$A,$A14,'Card Data'!$K:$K,"&lt;&gt;",'Card Data'!$J:$J,"Mini")</f>
        <v>66</v>
      </c>
      <c r="I14" s="24">
        <f>SUMIFS('Card Data'!$E:$E,'Card Data'!$A:$A,$A14,'Card Data'!$K:$K,"",'Card Data'!$J:$J,"&lt;&gt;Campaign")+SUMIFS('Card Data'!$E:$E,'Card Data'!$A:$A,$A14,'Card Data'!$K:$K,"Burden")-J14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5</v>
      </c>
      <c r="W14" s="24">
        <f>COUNTIFS('Card Data'!$K:$K,W$2,'Card Data'!$A:$A,$A14)</f>
        <v>5</v>
      </c>
      <c r="X14" s="24">
        <f>COUNTIFS('Card Data'!$K:$K,X$2,'Card Data'!$A:$A,$A14)</f>
        <v>5</v>
      </c>
      <c r="Y14" s="24">
        <f>COUNTIFS('Card Data'!$K:$K,Y$2,'Card Data'!$A:$A,$A14)</f>
        <v>5</v>
      </c>
      <c r="Z14" s="24">
        <f>COUNTIFS('Card Data'!$K:$K,Z$2,'Card Data'!$A:$A,$A14)</f>
        <v>5</v>
      </c>
      <c r="AA14" s="24">
        <f>COUNTIFS('Card Data'!$K:$K,AA$2,'Card Data'!$A:$A,$A14)</f>
        <v>22</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tabSelected="1" zoomScale="85" zoomScaleNormal="85" workbookViewId="0">
      <pane xSplit="7" ySplit="1" topLeftCell="H79" activePane="bottomRight" state="frozen"/>
      <selection activeCell="E1" sqref="E1"/>
      <selection pane="topRight" activeCell="F1" sqref="F1"/>
      <selection pane="bottomLeft" activeCell="E2" sqref="E2"/>
      <selection pane="bottomRight" activeCell="AD86" sqref="AD86"/>
    </sheetView>
  </sheetViews>
  <sheetFormatPr defaultColWidth="9.140625" defaultRowHeight="12" outlineLevelCol="1"/>
  <cols>
    <col min="1" max="1" width="38"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48">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60">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24">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48">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72">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72">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36">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20">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48">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72">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48">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48">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48">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36">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24">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24">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24">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36">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24">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24">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24">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24">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24">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48">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60">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24">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60">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60">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72">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72">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24">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20">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24">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60">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60">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60">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60">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60">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60">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48">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48">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36">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48">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36">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75">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36">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24">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36">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48">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24">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24">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36">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36">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36">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24">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60">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36">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36">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48">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24">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24">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48">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48">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36">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48">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48">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60">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60">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48">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48">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60">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48">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36">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60">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36">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24">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24">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24">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60">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84">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48">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36">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24">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36">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36">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48">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60">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48">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48">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36">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60">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72">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60">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48">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96">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36">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92">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36">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216">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36">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60">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36">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60">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48">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48">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48">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48">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24">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60">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36">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48">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48">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36">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48">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48">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60">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36">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48">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24">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36">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72">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72">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60">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24">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24">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24">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36">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36">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48">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24">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24">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72">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36">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36">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36">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36">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24">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60">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48">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24">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24">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24">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48">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24">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48">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36">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36">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36">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24">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60">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36">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36">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72">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24">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36">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24">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36">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60">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48">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60">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60">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60">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36">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48">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36">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72">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20">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80">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228">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48">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36">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36">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60">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72">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60">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36">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48">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24">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84">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48">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48">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48">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60">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60">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72">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60">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24">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36">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48">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72">
      <c r="A617" s="36" t="s">
        <v>6791</v>
      </c>
      <c r="B617" s="36" t="s">
        <v>6681</v>
      </c>
      <c r="C617" s="36" t="s">
        <v>6214</v>
      </c>
      <c r="D617" s="37">
        <v>1</v>
      </c>
      <c r="E617" s="36">
        <v>1</v>
      </c>
      <c r="G617" s="36"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72">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96">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72">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72">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08">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36">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72">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60">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84">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60">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60">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60">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60">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48">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48">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60">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48">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24">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24">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60">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24">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36">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72">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36">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36">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48">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36">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24">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48">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60">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24">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48">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36">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60">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36">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48">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36">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24">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60">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60">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72">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24">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36">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84">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20">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20">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20">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84">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36">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24">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60">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24">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24">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24">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24">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60">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60">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60">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84">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36">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72">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84">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72">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60">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72">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72">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72">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48">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24">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24">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24">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24">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36">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60">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60">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60">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60">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48">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72">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36">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48">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72">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72">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72">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72">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36">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72">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60">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60">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48">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48">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72">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48">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48">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60">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24">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36">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60">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60">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72">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54" ht="60">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54" ht="48">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54" ht="48">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54">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54" ht="48">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54" ht="84">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54">
      <c r="AP727" s="86"/>
      <c r="AQ727" s="88"/>
      <c r="AR727" s="89"/>
      <c r="AS727" s="90"/>
      <c r="AV727" s="88"/>
      <c r="AW727" s="96"/>
      <c r="AX727" s="97"/>
      <c r="AY727" s="93"/>
      <c r="BB727" s="94"/>
    </row>
    <row r="728" spans="1:54">
      <c r="AP728" s="86"/>
      <c r="AQ728" s="88"/>
      <c r="AR728" s="89"/>
      <c r="AS728" s="90"/>
      <c r="AV728" s="88"/>
      <c r="AW728" s="96"/>
      <c r="AX728" s="97"/>
      <c r="AY728" s="93"/>
      <c r="BB728" s="94"/>
    </row>
    <row r="729" spans="1:54">
      <c r="AP729" s="86"/>
      <c r="AQ729" s="88"/>
      <c r="AR729" s="89"/>
      <c r="AS729" s="90"/>
      <c r="AV729" s="88"/>
      <c r="AW729" s="96"/>
      <c r="AX729" s="97"/>
      <c r="AY729" s="93"/>
      <c r="BB729" s="94"/>
    </row>
    <row r="730" spans="1:54">
      <c r="AP730" s="86"/>
      <c r="AQ730" s="88"/>
      <c r="AR730" s="89"/>
      <c r="AS730" s="90"/>
      <c r="AV730" s="88"/>
      <c r="AW730" s="96"/>
      <c r="AX730" s="97"/>
      <c r="AY730" s="93"/>
      <c r="BB730" s="94"/>
    </row>
    <row r="731" spans="1:54">
      <c r="AP731" s="86"/>
      <c r="AQ731" s="88"/>
      <c r="AR731" s="89"/>
      <c r="AS731" s="90"/>
      <c r="AV731" s="88"/>
      <c r="AW731" s="96"/>
      <c r="AX731" s="97"/>
      <c r="AY731" s="93"/>
      <c r="BB731" s="94"/>
    </row>
    <row r="732" spans="1:54">
      <c r="AP732" s="86"/>
      <c r="AQ732" s="88"/>
      <c r="AR732" s="89"/>
      <c r="AS732" s="90"/>
      <c r="AV732" s="88"/>
      <c r="AW732" s="96"/>
      <c r="AX732" s="97"/>
      <c r="AY732" s="93"/>
      <c r="BB732" s="94"/>
    </row>
    <row r="733" spans="1:54">
      <c r="AP733" s="86"/>
      <c r="AQ733" s="88"/>
      <c r="AR733" s="89"/>
      <c r="AS733" s="90"/>
      <c r="AV733" s="88"/>
      <c r="AW733" s="96"/>
      <c r="AX733" s="97"/>
      <c r="AY733" s="93"/>
      <c r="BB733" s="94"/>
    </row>
    <row r="734" spans="1:54">
      <c r="AP734" s="86"/>
      <c r="AQ734" s="88"/>
      <c r="AR734" s="89"/>
      <c r="AS734" s="90"/>
      <c r="AV734" s="88"/>
      <c r="AW734" s="96"/>
      <c r="AX734" s="97"/>
      <c r="AY734" s="93"/>
      <c r="BB734" s="94"/>
    </row>
    <row r="735" spans="1:54">
      <c r="AP735" s="86"/>
      <c r="AQ735" s="88"/>
      <c r="AR735" s="89"/>
      <c r="AS735" s="90"/>
      <c r="AV735" s="88"/>
      <c r="AW735" s="96"/>
      <c r="AX735" s="97"/>
      <c r="AY735" s="93"/>
      <c r="BB735" s="94"/>
    </row>
    <row r="736" spans="1: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2017-11-09T20:06:32Z</dcterms:modified>
</cp:coreProperties>
</file>