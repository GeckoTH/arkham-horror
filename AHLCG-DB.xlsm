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05" windowWidth="20445" windowHeight="8235"/>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Data'!$A$1:$BG$5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AA4" i="2" l="1"/>
  <c r="Z4" i="2"/>
  <c r="Y4" i="2"/>
  <c r="X4" i="2"/>
  <c r="W4" i="2"/>
  <c r="V4" i="2"/>
  <c r="T4" i="2"/>
  <c r="S4" i="2"/>
  <c r="R4" i="2"/>
  <c r="Q4" i="2"/>
  <c r="P4" i="2"/>
  <c r="O4" i="2"/>
  <c r="N4" i="2"/>
  <c r="L4" i="2"/>
  <c r="K4" i="2"/>
  <c r="J4" i="2"/>
  <c r="I4" i="2" s="1"/>
  <c r="H4" i="2"/>
  <c r="G4" i="2"/>
  <c r="H3" i="2"/>
  <c r="L3" i="2"/>
  <c r="K3" i="2"/>
  <c r="J3" i="2"/>
  <c r="Z3" i="2"/>
  <c r="Y3" i="2"/>
  <c r="X3" i="2"/>
  <c r="W3" i="2"/>
  <c r="V3" i="2"/>
  <c r="I3" i="2" l="1"/>
  <c r="Q3" i="2"/>
  <c r="P3" i="2"/>
  <c r="O3" i="2"/>
  <c r="N3" i="2"/>
  <c r="AA3" i="2" l="1"/>
  <c r="T3" i="2"/>
  <c r="S3" i="2"/>
  <c r="R3" i="2"/>
  <c r="G3" i="2"/>
</calcChain>
</file>

<file path=xl/sharedStrings.xml><?xml version="1.0" encoding="utf-8"?>
<sst xmlns="http://schemas.openxmlformats.org/spreadsheetml/2006/main" count="6703" uniqueCount="4965">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</sst>
</file>

<file path=xl/styles.xml><?xml version="1.0" encoding="utf-8"?>
<styleSheet xmlns="http://schemas.openxmlformats.org/spreadsheetml/2006/main" xmlns:mc="http://schemas.openxmlformats.org/markup-compatibility/2006" xmlns:x14ac="http://schemas.microsoft.com/office/spreadsheetml/2009/9/ac" mc:Ignorable="x14ac">
  <fonts count="28">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09">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applyBorder="1"/>
    <xf numFmtId="0" fontId="3" fillId="0" borderId="0" xfId="0" applyFont="1"/>
    <xf numFmtId="0" fontId="3" fillId="0" borderId="0" xfId="0" applyFont="1" applyFill="1" applyBorder="1"/>
    <xf numFmtId="0" fontId="17" fillId="0" borderId="0" xfId="0" applyFont="1"/>
    <xf numFmtId="49" fontId="17" fillId="0" borderId="0" xfId="0" applyNumberFormat="1"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0" borderId="7" xfId="0" applyFont="1" applyBorder="1" applyAlignment="1">
      <alignment horizontal="left" vertical="top" wrapText="1"/>
    </xf>
    <xf numFmtId="0" fontId="24" fillId="7" borderId="2" xfId="0" applyFont="1" applyFill="1" applyBorder="1" applyAlignment="1">
      <alignment horizontal="left" vertical="top" wrapText="1"/>
    </xf>
    <xf numFmtId="0" fontId="23" fillId="3" borderId="2" xfId="0" applyFont="1" applyFill="1" applyBorder="1" applyAlignment="1">
      <alignment horizontal="left" vertical="top" textRotation="180" wrapText="1"/>
    </xf>
    <xf numFmtId="0" fontId="23" fillId="3" borderId="0" xfId="0" applyNumberFormat="1" applyFont="1" applyFill="1" applyAlignment="1">
      <alignment horizontal="left" vertical="top" wrapText="1"/>
    </xf>
    <xf numFmtId="0" fontId="23" fillId="3" borderId="0" xfId="0" applyFont="1" applyFill="1" applyAlignment="1">
      <alignment horizontal="left" vertical="top" wrapText="1"/>
    </xf>
    <xf numFmtId="0" fontId="23" fillId="11" borderId="2" xfId="0" applyFont="1" applyFill="1" applyBorder="1" applyAlignment="1">
      <alignment horizontal="left" vertical="top" textRotation="180" wrapText="1"/>
    </xf>
    <xf numFmtId="0" fontId="23" fillId="11" borderId="0" xfId="0" applyNumberFormat="1" applyFont="1" applyFill="1" applyAlignment="1">
      <alignment horizontal="left" vertical="top" wrapText="1"/>
    </xf>
    <xf numFmtId="0" fontId="23" fillId="11" borderId="0" xfId="0" applyFont="1" applyFill="1" applyAlignment="1">
      <alignment horizontal="left" vertical="top" wrapText="1"/>
    </xf>
    <xf numFmtId="0" fontId="23" fillId="3" borderId="0" xfId="0" applyFont="1" applyFill="1" applyAlignment="1">
      <alignment horizontal="left" vertical="top" textRotation="180" wrapText="1"/>
    </xf>
    <xf numFmtId="0" fontId="23" fillId="3" borderId="0" xfId="0" applyNumberFormat="1" applyFont="1" applyFill="1" applyAlignment="1">
      <alignment horizontal="left" vertical="top" textRotation="180" wrapText="1"/>
    </xf>
    <xf numFmtId="0" fontId="23" fillId="3" borderId="2" xfId="0" applyNumberFormat="1" applyFont="1" applyFill="1" applyBorder="1" applyAlignment="1">
      <alignment horizontal="left" vertical="top" textRotation="180" wrapText="1"/>
    </xf>
    <xf numFmtId="0" fontId="23" fillId="11" borderId="0" xfId="0" applyFont="1" applyFill="1" applyAlignment="1">
      <alignment horizontal="left" vertical="top" textRotation="180" wrapText="1"/>
    </xf>
    <xf numFmtId="0" fontId="23" fillId="11" borderId="0" xfId="0" applyNumberFormat="1" applyFont="1" applyFill="1" applyAlignment="1">
      <alignment horizontal="left" vertical="top" textRotation="180" wrapText="1"/>
    </xf>
    <xf numFmtId="0" fontId="23" fillId="11" borderId="2" xfId="0" applyNumberFormat="1" applyFont="1" applyFill="1" applyBorder="1" applyAlignment="1">
      <alignment horizontal="left" vertical="top" textRotation="180" wrapText="1"/>
    </xf>
    <xf numFmtId="0" fontId="26" fillId="15" borderId="0" xfId="0" applyFont="1" applyFill="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9" borderId="2" xfId="0" applyNumberFormat="1" applyFont="1" applyFill="1" applyBorder="1" applyAlignment="1">
      <alignment horizontal="left" vertical="top" wrapText="1"/>
    </xf>
    <xf numFmtId="0" fontId="24" fillId="4" borderId="2" xfId="0" applyNumberFormat="1" applyFont="1" applyFill="1" applyBorder="1" applyAlignment="1">
      <alignment horizontal="left" vertical="top" wrapText="1"/>
    </xf>
    <xf numFmtId="0" fontId="24" fillId="10" borderId="2" xfId="0" applyNumberFormat="1" applyFont="1" applyFill="1" applyBorder="1" applyAlignment="1">
      <alignment horizontal="left" vertical="top" wrapText="1"/>
    </xf>
    <xf numFmtId="0" fontId="24" fillId="8" borderId="2" xfId="0" applyFont="1" applyFill="1" applyBorder="1" applyAlignment="1">
      <alignment horizontal="left" vertical="top" wrapText="1"/>
    </xf>
    <xf numFmtId="0" fontId="25" fillId="13" borderId="2" xfId="0" applyNumberFormat="1" applyFont="1" applyFill="1" applyBorder="1" applyAlignment="1">
      <alignment horizontal="left" vertical="top" wrapText="1"/>
    </xf>
    <xf numFmtId="0" fontId="25" fillId="14" borderId="2" xfId="0" applyNumberFormat="1" applyFont="1" applyFill="1" applyBorder="1" applyAlignment="1">
      <alignment horizontal="left" vertical="top" wrapText="1"/>
    </xf>
    <xf numFmtId="0" fontId="24" fillId="6" borderId="2" xfId="0" applyNumberFormat="1" applyFont="1" applyFill="1" applyBorder="1" applyAlignment="1">
      <alignment horizontal="left" vertical="top" wrapText="1"/>
    </xf>
    <xf numFmtId="0" fontId="24" fillId="5" borderId="2" xfId="0" applyNumberFormat="1" applyFont="1" applyFill="1" applyBorder="1" applyAlignment="1">
      <alignment horizontal="left" vertical="top" wrapText="1"/>
    </xf>
    <xf numFmtId="0" fontId="24" fillId="0" borderId="0" xfId="0" quotePrefix="1" applyFont="1" applyAlignment="1">
      <alignment horizontal="left" vertical="top" wrapText="1"/>
    </xf>
    <xf numFmtId="11" fontId="24" fillId="0" borderId="0" xfId="0" applyNumberFormat="1" applyFont="1" applyAlignment="1">
      <alignment horizontal="left" vertical="top" wrapText="1"/>
    </xf>
    <xf numFmtId="0" fontId="24" fillId="9" borderId="2" xfId="0" applyFont="1" applyFill="1" applyBorder="1" applyAlignment="1">
      <alignment horizontal="left" vertical="top" wrapText="1"/>
    </xf>
    <xf numFmtId="0" fontId="24" fillId="4" borderId="2" xfId="0" applyFont="1" applyFill="1" applyBorder="1" applyAlignment="1">
      <alignment horizontal="left" vertical="top" wrapText="1"/>
    </xf>
    <xf numFmtId="0" fontId="24" fillId="10"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0" fontId="24" fillId="6" borderId="2" xfId="0" applyFont="1" applyFill="1" applyBorder="1" applyAlignment="1">
      <alignment horizontal="left" vertical="top" wrapText="1"/>
    </xf>
    <xf numFmtId="0" fontId="24" fillId="5" borderId="2" xfId="0" applyFont="1" applyFill="1" applyBorder="1" applyAlignment="1">
      <alignment horizontal="left" vertical="top" wrapText="1"/>
    </xf>
    <xf numFmtId="0" fontId="25" fillId="13" borderId="2" xfId="0" applyFont="1" applyFill="1" applyBorder="1" applyAlignment="1">
      <alignment horizontal="left" vertical="top" wrapText="1"/>
    </xf>
    <xf numFmtId="0" fontId="25" fillId="14" borderId="2" xfId="0" applyFont="1" applyFill="1" applyBorder="1" applyAlignment="1">
      <alignment horizontal="left" vertical="top" wrapText="1"/>
    </xf>
    <xf numFmtId="0" fontId="24" fillId="0" borderId="0" xfId="0" applyNumberFormat="1" applyFont="1" applyFill="1" applyAlignment="1">
      <alignment horizontal="left" vertical="top" wrapText="1"/>
    </xf>
    <xf numFmtId="0" fontId="24" fillId="8" borderId="2" xfId="0" quotePrefix="1" applyFont="1" applyFill="1" applyBorder="1" applyAlignment="1">
      <alignment horizontal="left" vertical="top" wrapText="1"/>
    </xf>
    <xf numFmtId="0" fontId="24" fillId="9" borderId="9" xfId="0" applyFont="1" applyFill="1" applyBorder="1" applyAlignment="1">
      <alignment horizontal="left" vertical="top" wrapText="1"/>
    </xf>
    <xf numFmtId="0" fontId="24" fillId="4" borderId="9" xfId="0" applyFont="1" applyFill="1" applyBorder="1" applyAlignment="1">
      <alignment horizontal="left" vertical="top" wrapText="1"/>
    </xf>
    <xf numFmtId="0" fontId="24" fillId="10" borderId="9" xfId="0" applyFont="1" applyFill="1" applyBorder="1" applyAlignment="1">
      <alignment horizontal="left" vertical="top" wrapText="1"/>
    </xf>
    <xf numFmtId="0" fontId="24" fillId="8" borderId="9" xfId="0" applyFont="1" applyFill="1" applyBorder="1" applyAlignment="1">
      <alignment horizontal="left" vertical="top" wrapText="1"/>
    </xf>
    <xf numFmtId="0" fontId="24" fillId="7" borderId="9" xfId="0" applyFont="1" applyFill="1" applyBorder="1" applyAlignment="1">
      <alignment horizontal="left" vertical="top" wrapText="1"/>
    </xf>
    <xf numFmtId="0" fontId="25" fillId="13" borderId="9" xfId="0" applyFont="1" applyFill="1" applyBorder="1" applyAlignment="1">
      <alignment horizontal="left" vertical="top" wrapText="1"/>
    </xf>
    <xf numFmtId="0" fontId="25" fillId="14" borderId="9" xfId="0" applyFont="1" applyFill="1" applyBorder="1" applyAlignment="1">
      <alignment horizontal="left" vertical="top" wrapText="1"/>
    </xf>
    <xf numFmtId="0" fontId="24" fillId="6" borderId="9" xfId="0" applyFont="1" applyFill="1" applyBorder="1" applyAlignment="1">
      <alignment horizontal="left" vertical="top" wrapText="1"/>
    </xf>
    <xf numFmtId="0" fontId="24" fillId="5" borderId="9" xfId="0" applyFont="1" applyFill="1" applyBorder="1" applyAlignment="1">
      <alignment horizontal="left" vertical="top" wrapText="1"/>
    </xf>
    <xf numFmtId="0" fontId="24" fillId="9" borderId="8" xfId="0" applyFont="1" applyFill="1" applyBorder="1" applyAlignment="1">
      <alignment horizontal="left" vertical="top" wrapText="1"/>
    </xf>
    <xf numFmtId="0" fontId="24" fillId="4" borderId="8" xfId="0" applyFont="1" applyFill="1" applyBorder="1" applyAlignment="1">
      <alignment horizontal="left" vertical="top" wrapText="1"/>
    </xf>
    <xf numFmtId="0" fontId="24" fillId="10" borderId="8" xfId="0" applyFont="1" applyFill="1" applyBorder="1" applyAlignment="1">
      <alignment horizontal="left" vertical="top" wrapText="1"/>
    </xf>
    <xf numFmtId="0" fontId="24" fillId="8" borderId="8" xfId="0" applyFont="1" applyFill="1" applyBorder="1" applyAlignment="1">
      <alignment horizontal="left" vertical="top" wrapText="1"/>
    </xf>
    <xf numFmtId="0" fontId="24" fillId="7" borderId="8" xfId="0" applyFont="1" applyFill="1" applyBorder="1" applyAlignment="1">
      <alignment horizontal="left" vertical="top" wrapText="1"/>
    </xf>
    <xf numFmtId="0" fontId="25" fillId="13" borderId="8" xfId="0" applyFont="1" applyFill="1" applyBorder="1" applyAlignment="1">
      <alignment horizontal="left" vertical="top" wrapText="1"/>
    </xf>
    <xf numFmtId="0" fontId="25" fillId="14" borderId="8" xfId="0" applyFont="1" applyFill="1" applyBorder="1" applyAlignment="1">
      <alignment horizontal="left" vertical="top" wrapText="1"/>
    </xf>
    <xf numFmtId="0" fontId="24" fillId="6" borderId="8" xfId="0" applyFont="1" applyFill="1" applyBorder="1" applyAlignment="1">
      <alignment horizontal="left" vertical="top" wrapText="1"/>
    </xf>
    <xf numFmtId="0" fontId="24" fillId="5" borderId="8" xfId="0" applyFont="1" applyFill="1" applyBorder="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0" fillId="0" borderId="0" xfId="0"/>
    <xf numFmtId="0" fontId="24" fillId="0" borderId="7" xfId="0" applyFont="1" applyBorder="1" applyAlignment="1">
      <alignment horizontal="left" vertical="top" wrapText="1"/>
    </xf>
    <xf numFmtId="0" fontId="27" fillId="0" borderId="0" xfId="0" applyFont="1"/>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xf numFmtId="0" fontId="24" fillId="0" borderId="0" xfId="0" applyFont="1" applyAlignment="1">
      <alignment horizontal="left" vertical="top"/>
    </xf>
  </cellXfs>
  <cellStyles count="1">
    <cellStyle name="Normal" xfId="0" builtinId="0"/>
  </cellStyles>
  <dxfs count="234">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6"/>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A9" sqref="A9"/>
    </sheetView>
  </sheetViews>
  <sheetFormatPr defaultColWidth="9.140625" defaultRowHeight="12" outlineLevelCol="1"/>
  <cols>
    <col min="1" max="1" width="38" style="15" customWidth="1" outlineLevel="1"/>
    <col min="2" max="2" width="44.5703125" style="15" bestFit="1" customWidth="1"/>
    <col min="3" max="3" width="9.140625" style="19" customWidth="1" outlineLevel="1"/>
    <col min="4" max="4" width="9.42578125" style="15" customWidth="1" outlineLevel="1"/>
    <col min="5" max="5" width="10.42578125" style="15" customWidth="1" outlineLevel="1"/>
    <col min="6" max="6" width="3.85546875" style="15" customWidth="1"/>
    <col min="7" max="7" width="10.85546875" style="15" bestFit="1" customWidth="1"/>
    <col min="8" max="8" width="9.7109375" style="15" bestFit="1" customWidth="1"/>
    <col min="9" max="9" width="12.28515625" style="15" bestFit="1" customWidth="1"/>
    <col min="10" max="12" width="8.5703125" style="15" customWidth="1"/>
    <col min="13" max="13" width="2.42578125" style="15" customWidth="1"/>
    <col min="14" max="15" width="8.5703125" style="15" customWidth="1"/>
    <col min="16" max="16" width="9.28515625" style="15" bestFit="1" customWidth="1"/>
    <col min="17" max="18" width="8.5703125" style="15" customWidth="1"/>
    <col min="19" max="19" width="6.85546875" style="15" bestFit="1" customWidth="1"/>
    <col min="20" max="20" width="8.5703125" style="15" customWidth="1"/>
    <col min="21" max="21" width="2.5703125" style="15" customWidth="1"/>
    <col min="22" max="27" width="8.5703125" style="15" customWidth="1"/>
    <col min="28" max="16384" width="9.140625" style="15"/>
  </cols>
  <sheetData>
    <row r="1" spans="1:27" s="22" customFormat="1" ht="42.75" customHeight="1">
      <c r="A1" s="22" t="s">
        <v>49</v>
      </c>
      <c r="B1" s="22" t="s">
        <v>2</v>
      </c>
      <c r="C1" s="23" t="s">
        <v>54</v>
      </c>
      <c r="D1" s="22" t="s">
        <v>51</v>
      </c>
      <c r="E1" s="22" t="s">
        <v>145</v>
      </c>
      <c r="G1" s="104" t="s">
        <v>3303</v>
      </c>
      <c r="H1" s="105"/>
      <c r="I1" s="105"/>
      <c r="J1" s="106"/>
      <c r="K1" s="30"/>
      <c r="L1" s="38"/>
      <c r="M1" s="26"/>
      <c r="N1" s="107" t="s">
        <v>4</v>
      </c>
      <c r="O1" s="107"/>
      <c r="P1" s="107"/>
      <c r="Q1" s="107"/>
      <c r="R1" s="107"/>
      <c r="S1" s="107"/>
      <c r="T1" s="107"/>
      <c r="U1" s="24"/>
      <c r="V1" s="107" t="s">
        <v>4079</v>
      </c>
      <c r="W1" s="107"/>
      <c r="X1" s="107"/>
      <c r="Y1" s="107"/>
      <c r="Z1" s="107"/>
      <c r="AA1" s="107"/>
    </row>
    <row r="2" spans="1:27" ht="18.75">
      <c r="A2" s="33" t="s">
        <v>4034</v>
      </c>
      <c r="B2" s="10" t="s">
        <v>4035</v>
      </c>
      <c r="C2" s="13" t="s">
        <v>4036</v>
      </c>
      <c r="D2" s="21"/>
      <c r="G2" s="20" t="s">
        <v>3304</v>
      </c>
      <c r="H2" s="20" t="s">
        <v>3305</v>
      </c>
      <c r="I2" s="20" t="s">
        <v>3306</v>
      </c>
      <c r="J2" s="20" t="s">
        <v>4473</v>
      </c>
      <c r="K2" s="20" t="s">
        <v>4475</v>
      </c>
      <c r="L2" s="20" t="s">
        <v>4472</v>
      </c>
      <c r="M2" s="20"/>
      <c r="N2" s="20" t="s">
        <v>4057</v>
      </c>
      <c r="O2" s="20" t="s">
        <v>4111</v>
      </c>
      <c r="P2" s="20" t="s">
        <v>27</v>
      </c>
      <c r="Q2" s="20" t="s">
        <v>4166</v>
      </c>
      <c r="R2" s="20" t="s">
        <v>29</v>
      </c>
      <c r="S2" s="20" t="s">
        <v>31</v>
      </c>
      <c r="T2" s="20" t="s">
        <v>28</v>
      </c>
      <c r="U2" s="20"/>
      <c r="V2" s="20" t="s">
        <v>4052</v>
      </c>
      <c r="W2" s="20" t="s">
        <v>4053</v>
      </c>
      <c r="X2" s="20" t="s">
        <v>4055</v>
      </c>
      <c r="Y2" s="20" t="s">
        <v>4054</v>
      </c>
      <c r="Z2" s="20" t="s">
        <v>4056</v>
      </c>
      <c r="AA2" s="20" t="s">
        <v>26</v>
      </c>
    </row>
    <row r="3" spans="1:27" s="28" customFormat="1">
      <c r="A3" s="34" t="s">
        <v>4037</v>
      </c>
      <c r="B3" s="34" t="s">
        <v>50</v>
      </c>
      <c r="C3" s="35" t="s">
        <v>2107</v>
      </c>
      <c r="D3" s="34"/>
      <c r="E3" s="34" t="s">
        <v>146</v>
      </c>
      <c r="G3" s="27">
        <f>SUMIF('Card Data'!$A:$A,$A3,'Card Data'!$E:$E)</f>
        <v>221</v>
      </c>
      <c r="H3" s="27">
        <f>SUMIFS('Card Data'!$E:$E,'Card Data'!$A:$A,$A3,'Card Data'!$K:$K,"&lt;&gt;",'Card Data'!$J:$J,"&lt;&gt;Investigator")</f>
        <v>118</v>
      </c>
      <c r="I3" s="27">
        <f>SUMIFS('Card Data'!$E:$E,'Card Data'!$A:$A,$A3,'Card Data'!$K:$K,"")+SUMIFS('Card Data'!$E:$E,'Card Data'!$A:$A,$A3)-J3-K3-L3</f>
        <v>301</v>
      </c>
      <c r="J3" s="27">
        <f>SUMIFS('Card Data'!$E:$E,'Card Data'!$J:$J,J$2,'Card Data'!$A:$A,$A3,'Card Data'!$AC:$AC,"&lt;&gt;*Side Quest.*")</f>
        <v>8</v>
      </c>
      <c r="K3" s="27">
        <f>COUNTIFS('Card Data'!$J:$J,K$2,'Card Data'!$A:$A,$A3,'Card Data'!$AC:$AC,"&lt;&gt;*Side Quest.*")</f>
        <v>7</v>
      </c>
      <c r="L3" s="27">
        <f>COUNTIFS('Card Data'!$J:$J,L$2,'Card Data'!$A:$A,$A3,'Card Data'!$AC:$AC,"&lt;&gt;*Side Quest.*")</f>
        <v>3</v>
      </c>
      <c r="M3" s="29"/>
      <c r="N3" s="27">
        <f>COUNTIFS('Card Data'!$J:$J,N$2,'Card Data'!$A:$A,$A3)</f>
        <v>5</v>
      </c>
      <c r="O3" s="27">
        <f>COUNTIFS('Card Data'!$J:$J,O$2,'Card Data'!$A:$A,$A3)</f>
        <v>51</v>
      </c>
      <c r="P3" s="27">
        <f>COUNTIFS('Card Data'!$J:$J,P$2,'Card Data'!$A:$A,$A3)</f>
        <v>27</v>
      </c>
      <c r="Q3" s="27">
        <f>COUNTIFS('Card Data'!$J:$J,Q$2,'Card Data'!$A:$A,$A3)</f>
        <v>10</v>
      </c>
      <c r="R3" s="27">
        <f>COUNTIFS('Card Data'!$J:$J,R$2,'Card Data'!$A:$A,$A3)</f>
        <v>24</v>
      </c>
      <c r="S3" s="27">
        <f>COUNTIFS('Card Data'!$J:$J,S$2,'Card Data'!$A:$A,$A3)</f>
        <v>24</v>
      </c>
      <c r="T3" s="27">
        <f>COUNTIFS('Card Data'!$J:$J,T$2,'Card Data'!$A:$A,$A3)</f>
        <v>24</v>
      </c>
      <c r="U3" s="29"/>
      <c r="V3" s="27">
        <f>COUNTIFS('Card Data'!$K:$K,V$2,'Card Data'!$A:$A,$A3)</f>
        <v>16</v>
      </c>
      <c r="W3" s="27">
        <f>COUNTIFS('Card Data'!$K:$K,W$2,'Card Data'!$A:$A,$A3)</f>
        <v>16</v>
      </c>
      <c r="X3" s="27">
        <f>COUNTIFS('Card Data'!$K:$K,X$2,'Card Data'!$A:$A,$A3)</f>
        <v>16</v>
      </c>
      <c r="Y3" s="27">
        <f>COUNTIFS('Card Data'!$K:$K,Y$2,'Card Data'!$A:$A,$A3)</f>
        <v>16</v>
      </c>
      <c r="Z3" s="27">
        <f>COUNTIFS('Card Data'!$K:$K,Z$2,'Card Data'!$A:$A,$A3)</f>
        <v>16</v>
      </c>
      <c r="AA3" s="27">
        <f>COUNTIFS('Card Data'!$K:$K,AA$2,'Card Data'!$A:$A,$A3)</f>
        <v>25</v>
      </c>
    </row>
    <row r="4" spans="1:27">
      <c r="A4" s="14" t="s">
        <v>4787</v>
      </c>
      <c r="B4" s="14" t="s">
        <v>4788</v>
      </c>
      <c r="C4" s="35" t="s">
        <v>2107</v>
      </c>
      <c r="D4" s="14"/>
      <c r="E4" s="16" t="s">
        <v>4786</v>
      </c>
      <c r="F4" s="21"/>
      <c r="G4" s="27">
        <f>SUMIF('Card Data'!$A:$A,$A4,'Card Data'!$E:$E)</f>
        <v>61</v>
      </c>
      <c r="H4" s="27">
        <f>SUMIFS('Card Data'!$E:$E,'Card Data'!$A:$A,$A4,'Card Data'!$K:$K,"&lt;&gt;",'Card Data'!$J:$J,"&lt;&gt;Investigator")</f>
        <v>0</v>
      </c>
      <c r="I4" s="27">
        <f>SUMIFS('Card Data'!$E:$E,'Card Data'!$A:$A,$A4,'Card Data'!$K:$K,"",'Card Data'!$J:$J,"&lt;&gt;Campaign")+SUMIFS('Card Data'!$E:$E,'Card Data'!$A:$A,$A4,'Card Data'!$K:$K,"Burden")-J4</f>
        <v>54</v>
      </c>
      <c r="J4" s="27">
        <f>SUMIFS('Card Data'!$E:$E,'Card Data'!$J:$J,J$2,'Card Data'!$A:$A,$A4,'Card Data'!$AC:$AC,"&lt;&gt;*Side Quest.*")</f>
        <v>3</v>
      </c>
      <c r="K4" s="27">
        <f>COUNTIFS('Card Data'!$J:$J,K$2,'Card Data'!$A:$A,$A4,'Card Data'!$AC:$AC,"&lt;&gt;*Side Quest.*")</f>
        <v>2</v>
      </c>
      <c r="L4" s="27">
        <f>COUNTIFS('Card Data'!$J:$J,L$2,'Card Data'!$A:$A,$A4,'Card Data'!$AC:$AC,"&lt;&gt;*Side Quest.*")</f>
        <v>1</v>
      </c>
      <c r="M4" s="29"/>
      <c r="N4" s="27">
        <f>COUNTIFS('Card Data'!$J:$J,N$2,'Card Data'!$A:$A,$A4)</f>
        <v>0</v>
      </c>
      <c r="O4" s="27">
        <f>COUNTIFS('Card Data'!$J:$J,O$2,'Card Data'!$A:$A,$A4)</f>
        <v>4</v>
      </c>
      <c r="P4" s="27">
        <f>COUNTIFS('Card Data'!$J:$J,P$2,'Card Data'!$A:$A,$A4)</f>
        <v>0</v>
      </c>
      <c r="Q4" s="27">
        <f>COUNTIFS('Card Data'!$J:$J,Q$2,'Card Data'!$A:$A,$A4)</f>
        <v>0</v>
      </c>
      <c r="R4" s="27">
        <f>COUNTIFS('Card Data'!$J:$J,R$2,'Card Data'!$A:$A,$A4)</f>
        <v>6</v>
      </c>
      <c r="S4" s="27">
        <f>COUNTIFS('Card Data'!$J:$J,S$2,'Card Data'!$A:$A,$A4)</f>
        <v>12</v>
      </c>
      <c r="T4" s="27">
        <f>COUNTIFS('Card Data'!$J:$J,T$2,'Card Data'!$A:$A,$A4)</f>
        <v>8</v>
      </c>
      <c r="U4" s="29"/>
      <c r="V4" s="27">
        <f>COUNTIFS('Card Data'!$K:$K,V$2,'Card Data'!$A:$A,$A4)</f>
        <v>0</v>
      </c>
      <c r="W4" s="27">
        <f>COUNTIFS('Card Data'!$K:$K,W$2,'Card Data'!$A:$A,$A4)</f>
        <v>0</v>
      </c>
      <c r="X4" s="27">
        <f>COUNTIFS('Card Data'!$K:$K,X$2,'Card Data'!$A:$A,$A4)</f>
        <v>0</v>
      </c>
      <c r="Y4" s="27">
        <f>COUNTIFS('Card Data'!$K:$K,Y$2,'Card Data'!$A:$A,$A4)</f>
        <v>0</v>
      </c>
      <c r="Z4" s="27">
        <f>COUNTIFS('Card Data'!$K:$K,Z$2,'Card Data'!$A:$A,$A4)</f>
        <v>0</v>
      </c>
      <c r="AA4" s="27">
        <f>COUNTIFS('Card Data'!$K:$K,AA$2,'Card Data'!$A:$A,$A4)</f>
        <v>0</v>
      </c>
    </row>
    <row r="5" spans="1:27" s="17" customFormat="1">
      <c r="C5" s="18"/>
    </row>
    <row r="6" spans="1:27" s="17" customFormat="1">
      <c r="C6" s="18"/>
    </row>
  </sheetData>
  <mergeCells count="3">
    <mergeCell ref="G1:J1"/>
    <mergeCell ref="N1:T1"/>
    <mergeCell ref="V1:AA1"/>
  </mergeCells>
  <conditionalFormatting sqref="V2">
    <cfRule type="cellIs" dxfId="233" priority="29" operator="equal">
      <formula>"Fellowship"</formula>
    </cfRule>
    <cfRule type="cellIs" dxfId="232" priority="30" operator="equal">
      <formula>"Neutral"</formula>
    </cfRule>
    <cfRule type="cellIs" dxfId="231" priority="31" operator="equal">
      <formula>"Baggins"</formula>
    </cfRule>
    <cfRule type="cellIs" dxfId="230" priority="32" operator="equal">
      <formula>"Lore"</formula>
    </cfRule>
    <cfRule type="cellIs" dxfId="229" priority="33" operator="equal">
      <formula>"Spirit"</formula>
    </cfRule>
    <cfRule type="cellIs" dxfId="228" priority="34" operator="equal">
      <formula>"Tactics"</formula>
    </cfRule>
    <cfRule type="cellIs" dxfId="227" priority="35" operator="equal">
      <formula>"Leadership"</formula>
    </cfRule>
  </conditionalFormatting>
  <conditionalFormatting sqref="W2">
    <cfRule type="cellIs" dxfId="226" priority="22" operator="equal">
      <formula>"Fellowship"</formula>
    </cfRule>
    <cfRule type="cellIs" dxfId="225" priority="23" operator="equal">
      <formula>"Neutral"</formula>
    </cfRule>
    <cfRule type="cellIs" dxfId="224" priority="24" operator="equal">
      <formula>"Baggins"</formula>
    </cfRule>
    <cfRule type="cellIs" dxfId="223" priority="25" operator="equal">
      <formula>"Lore"</formula>
    </cfRule>
    <cfRule type="cellIs" dxfId="222" priority="26" operator="equal">
      <formula>"Spirit"</formula>
    </cfRule>
    <cfRule type="cellIs" dxfId="221" priority="27" operator="equal">
      <formula>"Tactics"</formula>
    </cfRule>
    <cfRule type="cellIs" dxfId="220" priority="28" operator="equal">
      <formula>"Leadership"</formula>
    </cfRule>
  </conditionalFormatting>
  <conditionalFormatting sqref="X2">
    <cfRule type="cellIs" dxfId="219" priority="15" operator="equal">
      <formula>"Fellowship"</formula>
    </cfRule>
    <cfRule type="cellIs" dxfId="218" priority="16" operator="equal">
      <formula>"Neutral"</formula>
    </cfRule>
    <cfRule type="cellIs" dxfId="217" priority="17" operator="equal">
      <formula>"Baggins"</formula>
    </cfRule>
    <cfRule type="cellIs" dxfId="216" priority="18" operator="equal">
      <formula>"Lore"</formula>
    </cfRule>
    <cfRule type="cellIs" dxfId="215" priority="19" operator="equal">
      <formula>"Spirit"</formula>
    </cfRule>
    <cfRule type="cellIs" dxfId="214" priority="20" operator="equal">
      <formula>"Tactics"</formula>
    </cfRule>
    <cfRule type="cellIs" dxfId="213" priority="21" operator="equal">
      <formula>"Leadership"</formula>
    </cfRule>
  </conditionalFormatting>
  <conditionalFormatting sqref="Y2:Z2">
    <cfRule type="cellIs" dxfId="212" priority="8" operator="equal">
      <formula>"Fellowship"</formula>
    </cfRule>
    <cfRule type="cellIs" dxfId="211" priority="9" operator="equal">
      <formula>"Neutral"</formula>
    </cfRule>
    <cfRule type="cellIs" dxfId="210" priority="10" operator="equal">
      <formula>"Baggins"</formula>
    </cfRule>
    <cfRule type="cellIs" dxfId="209" priority="11" operator="equal">
      <formula>"Lore"</formula>
    </cfRule>
    <cfRule type="cellIs" dxfId="208" priority="12" operator="equal">
      <formula>"Spirit"</formula>
    </cfRule>
    <cfRule type="cellIs" dxfId="207" priority="13" operator="equal">
      <formula>"Tactics"</formula>
    </cfRule>
    <cfRule type="cellIs" dxfId="206" priority="14" operator="equal">
      <formula>"Leadership"</formula>
    </cfRule>
  </conditionalFormatting>
  <conditionalFormatting sqref="AA2">
    <cfRule type="cellIs" dxfId="205" priority="1" operator="equal">
      <formula>"Fellowship"</formula>
    </cfRule>
    <cfRule type="cellIs" dxfId="204" priority="2" operator="equal">
      <formula>"Neutral"</formula>
    </cfRule>
    <cfRule type="cellIs" dxfId="203" priority="3" operator="equal">
      <formula>"Baggins"</formula>
    </cfRule>
    <cfRule type="cellIs" dxfId="202" priority="4" operator="equal">
      <formula>"Lore"</formula>
    </cfRule>
    <cfRule type="cellIs" dxfId="201" priority="5" operator="equal">
      <formula>"Spirit"</formula>
    </cfRule>
    <cfRule type="cellIs" dxfId="200" priority="6" operator="equal">
      <formula>"Tactics"</formula>
    </cfRule>
    <cfRule type="cellIs" dxfId="199"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I1187"/>
  <sheetViews>
    <sheetView workbookViewId="0">
      <pane xSplit="7" ySplit="1" topLeftCell="H221" activePane="bottomRight" state="frozen"/>
      <selection activeCell="E1" sqref="E1"/>
      <selection pane="topRight" activeCell="F1" sqref="F1"/>
      <selection pane="bottomLeft" activeCell="E2" sqref="E2"/>
      <selection pane="bottomRight" activeCell="H234" sqref="H234"/>
    </sheetView>
  </sheetViews>
  <sheetFormatPr defaultColWidth="9.140625" defaultRowHeight="12" outlineLevelCol="1"/>
  <cols>
    <col min="1" max="1" width="34" style="39" customWidth="1" outlineLevel="1"/>
    <col min="2" max="2" width="33.42578125" style="39" customWidth="1" outlineLevel="1"/>
    <col min="3" max="3" width="4.5703125" style="39" customWidth="1" outlineLevel="1"/>
    <col min="4" max="4" width="4" style="40" bestFit="1" customWidth="1"/>
    <col min="5" max="5" width="3.28515625" style="39" bestFit="1" customWidth="1"/>
    <col min="6" max="6" width="37.28515625" style="39" customWidth="1"/>
    <col min="7" max="7" width="30.140625" style="39" bestFit="1" customWidth="1"/>
    <col min="8" max="8" width="17" style="39" customWidth="1"/>
    <col min="9" max="9" width="3.140625" style="39" customWidth="1"/>
    <col min="10" max="10" width="10.42578125" style="39" bestFit="1" customWidth="1"/>
    <col min="11" max="11" width="9.5703125" style="39" customWidth="1"/>
    <col min="12" max="12" width="5.5703125" style="39" customWidth="1"/>
    <col min="13" max="13" width="13.85546875" style="39" customWidth="1"/>
    <col min="14" max="14" width="3.140625" style="40" customWidth="1"/>
    <col min="15" max="15" width="3.140625" style="60" customWidth="1"/>
    <col min="16" max="16" width="3.140625" style="61" customWidth="1"/>
    <col min="17" max="17" width="3.140625" style="62" customWidth="1"/>
    <col min="18" max="18" width="3.140625" style="63" customWidth="1"/>
    <col min="19" max="19" width="3.140625" style="43" customWidth="1"/>
    <col min="20" max="20" width="3.140625" style="60" customWidth="1"/>
    <col min="21" max="21" width="3.140625" style="64" customWidth="1"/>
    <col min="22" max="22" width="3.140625" style="65" customWidth="1"/>
    <col min="23" max="23" width="3.140625" style="66" customWidth="1"/>
    <col min="24" max="24" width="3.140625" style="63" customWidth="1"/>
    <col min="25" max="25" width="3.140625" style="43" customWidth="1"/>
    <col min="26" max="26" width="3.140625" style="67" customWidth="1"/>
    <col min="27" max="27" width="9.42578125" style="39" customWidth="1"/>
    <col min="28" max="28" width="8.7109375" style="39" customWidth="1"/>
    <col min="29" max="29" width="16.140625" style="39" customWidth="1"/>
    <col min="30" max="30" width="21.140625" style="40" customWidth="1"/>
    <col min="31" max="31" width="49.5703125" style="39" customWidth="1"/>
    <col min="32" max="32" width="6.42578125" style="39" customWidth="1"/>
    <col min="33" max="33" width="4.5703125" style="39" customWidth="1"/>
    <col min="34" max="35" width="30.140625" style="39" customWidth="1"/>
    <col min="36" max="36" width="3.140625" style="39" customWidth="1"/>
    <col min="37" max="37" width="10.42578125" style="39" customWidth="1"/>
    <col min="38" max="38" width="9.5703125" style="39" customWidth="1"/>
    <col min="39" max="39" width="5.5703125" style="39" customWidth="1"/>
    <col min="40" max="40" width="8.140625" style="39" customWidth="1"/>
    <col min="41" max="41" width="3.140625" style="40" customWidth="1"/>
    <col min="42" max="42" width="3.140625" style="60" customWidth="1"/>
    <col min="43" max="43" width="3.140625" style="61" customWidth="1"/>
    <col min="44" max="44" width="3.140625" style="62" customWidth="1"/>
    <col min="45" max="45" width="3.140625" style="63" customWidth="1"/>
    <col min="46" max="46" width="3.140625" style="43" customWidth="1"/>
    <col min="47" max="47" width="3.140625" style="60" customWidth="1"/>
    <col min="48" max="48" width="3.140625" style="64" customWidth="1"/>
    <col min="49" max="49" width="3.140625" style="65" customWidth="1"/>
    <col min="50" max="50" width="3.140625" style="66" customWidth="1"/>
    <col min="51" max="51" width="3.140625" style="63" customWidth="1"/>
    <col min="52" max="52" width="3.140625" style="43" customWidth="1"/>
    <col min="53" max="53" width="3.140625" style="67" customWidth="1"/>
    <col min="54" max="55" width="20.7109375" style="39" customWidth="1"/>
    <col min="56" max="56" width="26.140625" style="39" customWidth="1"/>
    <col min="57" max="57" width="31.28515625" style="40" customWidth="1"/>
    <col min="58" max="58" width="49.5703125" style="39" customWidth="1"/>
    <col min="59" max="59" width="8.5703125" style="39" customWidth="1"/>
    <col min="60" max="60" width="7.5703125" style="39" customWidth="1"/>
    <col min="61" max="61" width="13.28515625" style="39" bestFit="1" customWidth="1"/>
    <col min="62" max="16384" width="9.140625" style="39"/>
  </cols>
  <sheetData>
    <row r="1" spans="1:61" s="50" customFormat="1" ht="99.75" customHeight="1">
      <c r="A1" s="50" t="s">
        <v>0</v>
      </c>
      <c r="B1" s="50" t="s">
        <v>1</v>
      </c>
      <c r="C1" s="50" t="s">
        <v>55</v>
      </c>
      <c r="D1" s="51" t="s">
        <v>56</v>
      </c>
      <c r="E1" s="50" t="s">
        <v>19</v>
      </c>
      <c r="F1" s="46" t="s">
        <v>18</v>
      </c>
      <c r="G1" s="46" t="s">
        <v>2</v>
      </c>
      <c r="H1" s="46" t="s">
        <v>4080</v>
      </c>
      <c r="I1" s="50" t="s">
        <v>3</v>
      </c>
      <c r="J1" s="46" t="s">
        <v>4</v>
      </c>
      <c r="K1" s="46" t="s">
        <v>4079</v>
      </c>
      <c r="L1" s="46" t="s">
        <v>4083</v>
      </c>
      <c r="M1" s="46" t="s">
        <v>4087</v>
      </c>
      <c r="N1" s="51" t="s">
        <v>8</v>
      </c>
      <c r="O1" s="52" t="s">
        <v>11</v>
      </c>
      <c r="P1" s="52" t="s">
        <v>4085</v>
      </c>
      <c r="Q1" s="52" t="s">
        <v>3307</v>
      </c>
      <c r="R1" s="44" t="s">
        <v>4086</v>
      </c>
      <c r="S1" s="44" t="s">
        <v>14</v>
      </c>
      <c r="T1" s="52" t="s">
        <v>4088</v>
      </c>
      <c r="U1" s="52" t="s">
        <v>170</v>
      </c>
      <c r="V1" s="52" t="s">
        <v>4089</v>
      </c>
      <c r="W1" s="52" t="s">
        <v>4090</v>
      </c>
      <c r="X1" s="44" t="s">
        <v>4497</v>
      </c>
      <c r="Y1" s="44" t="s">
        <v>4091</v>
      </c>
      <c r="Z1" s="52" t="s">
        <v>20</v>
      </c>
      <c r="AA1" s="46" t="s">
        <v>4084</v>
      </c>
      <c r="AB1" s="46" t="s">
        <v>4496</v>
      </c>
      <c r="AC1" s="46" t="s">
        <v>6</v>
      </c>
      <c r="AD1" s="45" t="s">
        <v>7</v>
      </c>
      <c r="AE1" s="46" t="s">
        <v>15</v>
      </c>
      <c r="AF1" s="46" t="s">
        <v>4092</v>
      </c>
      <c r="AG1" s="46" t="s">
        <v>21</v>
      </c>
      <c r="AH1" s="49" t="s">
        <v>22</v>
      </c>
      <c r="AI1" s="49" t="s">
        <v>4080</v>
      </c>
      <c r="AJ1" s="53" t="s">
        <v>3</v>
      </c>
      <c r="AK1" s="49" t="s">
        <v>4</v>
      </c>
      <c r="AL1" s="49" t="s">
        <v>4079</v>
      </c>
      <c r="AM1" s="49" t="s">
        <v>4083</v>
      </c>
      <c r="AN1" s="49" t="s">
        <v>4087</v>
      </c>
      <c r="AO1" s="54" t="s">
        <v>8</v>
      </c>
      <c r="AP1" s="55" t="s">
        <v>11</v>
      </c>
      <c r="AQ1" s="55" t="s">
        <v>4085</v>
      </c>
      <c r="AR1" s="55" t="s">
        <v>3307</v>
      </c>
      <c r="AS1" s="47" t="s">
        <v>4086</v>
      </c>
      <c r="AT1" s="47" t="s">
        <v>14</v>
      </c>
      <c r="AU1" s="55" t="s">
        <v>4088</v>
      </c>
      <c r="AV1" s="55" t="s">
        <v>170</v>
      </c>
      <c r="AW1" s="55" t="s">
        <v>4089</v>
      </c>
      <c r="AX1" s="55" t="s">
        <v>4090</v>
      </c>
      <c r="AY1" s="47" t="s">
        <v>4497</v>
      </c>
      <c r="AZ1" s="47" t="s">
        <v>4091</v>
      </c>
      <c r="BA1" s="55" t="s">
        <v>20</v>
      </c>
      <c r="BB1" s="49" t="s">
        <v>4084</v>
      </c>
      <c r="BC1" s="49" t="s">
        <v>4496</v>
      </c>
      <c r="BD1" s="49" t="s">
        <v>6</v>
      </c>
      <c r="BE1" s="48" t="s">
        <v>7</v>
      </c>
      <c r="BF1" s="49" t="s">
        <v>15</v>
      </c>
      <c r="BG1" s="49" t="s">
        <v>4092</v>
      </c>
      <c r="BH1" s="49" t="s">
        <v>21</v>
      </c>
      <c r="BI1" s="56" t="s">
        <v>4498</v>
      </c>
    </row>
    <row r="2" spans="1:61" ht="36.75" customHeight="1">
      <c r="A2" s="57" t="s">
        <v>4037</v>
      </c>
      <c r="B2" s="57" t="s">
        <v>4348</v>
      </c>
      <c r="C2" s="57" t="s">
        <v>57</v>
      </c>
      <c r="D2" s="58">
        <v>1</v>
      </c>
      <c r="E2" s="57">
        <v>1</v>
      </c>
      <c r="F2" s="57"/>
      <c r="G2" s="57" t="s">
        <v>4038</v>
      </c>
      <c r="H2" s="59" t="s">
        <v>4081</v>
      </c>
      <c r="I2" s="39" t="s">
        <v>4077</v>
      </c>
      <c r="J2" s="39" t="s">
        <v>4057</v>
      </c>
      <c r="K2" s="39" t="s">
        <v>4052</v>
      </c>
      <c r="O2" s="60">
        <v>3</v>
      </c>
      <c r="P2" s="61">
        <v>3</v>
      </c>
      <c r="Q2" s="62">
        <v>4</v>
      </c>
      <c r="R2" s="63">
        <v>2</v>
      </c>
      <c r="S2" s="43">
        <v>9</v>
      </c>
      <c r="T2" s="60">
        <v>5</v>
      </c>
      <c r="AA2" s="101"/>
      <c r="AC2" s="39" t="s">
        <v>4082</v>
      </c>
      <c r="AE2" s="39" t="s">
        <v>4093</v>
      </c>
      <c r="AH2" s="59" t="s">
        <v>4038</v>
      </c>
      <c r="AI2" s="59" t="s">
        <v>4081</v>
      </c>
      <c r="AJ2" s="39" t="s">
        <v>4077</v>
      </c>
      <c r="AK2" s="39" t="s">
        <v>4057</v>
      </c>
      <c r="AL2" s="39" t="s">
        <v>4052</v>
      </c>
      <c r="AN2" s="40"/>
      <c r="BD2" s="40"/>
      <c r="BE2" s="39"/>
    </row>
    <row r="3" spans="1:61" ht="48">
      <c r="A3" s="39" t="s">
        <v>4037</v>
      </c>
      <c r="B3" s="39" t="s">
        <v>4349</v>
      </c>
      <c r="C3" s="39" t="s">
        <v>57</v>
      </c>
      <c r="D3" s="40">
        <v>2</v>
      </c>
      <c r="E3" s="39">
        <v>1</v>
      </c>
      <c r="G3" s="39" t="s">
        <v>4094</v>
      </c>
      <c r="H3" s="39" t="s">
        <v>4095</v>
      </c>
      <c r="I3" s="39" t="s">
        <v>4077</v>
      </c>
      <c r="J3" s="39" t="s">
        <v>4057</v>
      </c>
      <c r="K3" s="39" t="s">
        <v>4053</v>
      </c>
      <c r="O3" s="60">
        <v>3</v>
      </c>
      <c r="P3" s="61">
        <v>5</v>
      </c>
      <c r="Q3" s="62">
        <v>2</v>
      </c>
      <c r="R3" s="63">
        <v>2</v>
      </c>
      <c r="S3" s="43">
        <v>5</v>
      </c>
      <c r="T3" s="60">
        <v>9</v>
      </c>
      <c r="AA3" s="101"/>
      <c r="AC3" s="39" t="s">
        <v>4096</v>
      </c>
      <c r="AE3" s="39" t="s">
        <v>4097</v>
      </c>
      <c r="AH3" s="39" t="s">
        <v>4094</v>
      </c>
      <c r="AI3" s="39" t="s">
        <v>4095</v>
      </c>
      <c r="AJ3" s="39" t="s">
        <v>4077</v>
      </c>
      <c r="AK3" s="39" t="s">
        <v>4057</v>
      </c>
      <c r="AL3" s="39" t="s">
        <v>4053</v>
      </c>
      <c r="AN3" s="40"/>
      <c r="BD3" s="40"/>
      <c r="BE3" s="39"/>
    </row>
    <row r="4" spans="1:61" ht="36">
      <c r="A4" s="39" t="s">
        <v>4037</v>
      </c>
      <c r="B4" s="39" t="s">
        <v>4350</v>
      </c>
      <c r="C4" s="39" t="s">
        <v>57</v>
      </c>
      <c r="D4" s="40">
        <v>3</v>
      </c>
      <c r="E4" s="39">
        <v>1</v>
      </c>
      <c r="G4" s="39" t="s">
        <v>4098</v>
      </c>
      <c r="H4" s="39" t="s">
        <v>4099</v>
      </c>
      <c r="I4" s="39" t="s">
        <v>4077</v>
      </c>
      <c r="J4" s="39" t="s">
        <v>4057</v>
      </c>
      <c r="K4" s="39" t="s">
        <v>4055</v>
      </c>
      <c r="O4" s="60">
        <v>2</v>
      </c>
      <c r="P4" s="61">
        <v>3</v>
      </c>
      <c r="Q4" s="62">
        <v>3</v>
      </c>
      <c r="R4" s="63">
        <v>4</v>
      </c>
      <c r="S4" s="43">
        <v>8</v>
      </c>
      <c r="T4" s="60">
        <v>6</v>
      </c>
      <c r="AA4" s="101"/>
      <c r="AC4" s="39" t="s">
        <v>4100</v>
      </c>
      <c r="AE4" s="39" t="s">
        <v>4101</v>
      </c>
      <c r="AH4" s="39" t="s">
        <v>4098</v>
      </c>
      <c r="AI4" s="39" t="s">
        <v>4099</v>
      </c>
      <c r="AJ4" s="39" t="s">
        <v>4077</v>
      </c>
      <c r="AK4" s="39" t="s">
        <v>4057</v>
      </c>
      <c r="AL4" s="39" t="s">
        <v>4055</v>
      </c>
      <c r="AN4" s="40"/>
      <c r="BD4" s="40"/>
      <c r="BE4" s="39"/>
    </row>
    <row r="5" spans="1:61" ht="48">
      <c r="A5" s="39" t="s">
        <v>4037</v>
      </c>
      <c r="B5" s="39" t="s">
        <v>4351</v>
      </c>
      <c r="C5" s="39" t="s">
        <v>57</v>
      </c>
      <c r="D5" s="40">
        <v>4</v>
      </c>
      <c r="E5" s="39">
        <v>1</v>
      </c>
      <c r="G5" s="39" t="s">
        <v>4102</v>
      </c>
      <c r="H5" s="39" t="s">
        <v>4103</v>
      </c>
      <c r="I5" s="39" t="s">
        <v>4077</v>
      </c>
      <c r="J5" s="39" t="s">
        <v>4057</v>
      </c>
      <c r="K5" s="39" t="s">
        <v>4054</v>
      </c>
      <c r="O5" s="60">
        <v>5</v>
      </c>
      <c r="P5" s="61">
        <v>2</v>
      </c>
      <c r="Q5" s="62">
        <v>2</v>
      </c>
      <c r="R5" s="63">
        <v>3</v>
      </c>
      <c r="S5" s="43">
        <v>6</v>
      </c>
      <c r="T5" s="60">
        <v>8</v>
      </c>
      <c r="AA5" s="101"/>
      <c r="AC5" s="39" t="s">
        <v>4104</v>
      </c>
      <c r="AE5" s="39" t="s">
        <v>4105</v>
      </c>
      <c r="AH5" s="39" t="s">
        <v>4102</v>
      </c>
      <c r="AI5" s="39" t="s">
        <v>4103</v>
      </c>
      <c r="AJ5" s="39" t="s">
        <v>4077</v>
      </c>
      <c r="AK5" s="39" t="s">
        <v>4057</v>
      </c>
      <c r="AL5" s="39" t="s">
        <v>4054</v>
      </c>
      <c r="AN5" s="40"/>
      <c r="BD5" s="40"/>
      <c r="BE5" s="39"/>
    </row>
    <row r="6" spans="1:61" ht="72">
      <c r="A6" s="39" t="s">
        <v>4037</v>
      </c>
      <c r="B6" s="39" t="s">
        <v>4352</v>
      </c>
      <c r="C6" s="39" t="s">
        <v>57</v>
      </c>
      <c r="D6" s="39">
        <v>5</v>
      </c>
      <c r="E6" s="39">
        <v>1</v>
      </c>
      <c r="G6" s="39" t="s">
        <v>4106</v>
      </c>
      <c r="H6" s="39" t="s">
        <v>4107</v>
      </c>
      <c r="I6" s="39" t="s">
        <v>4077</v>
      </c>
      <c r="J6" s="39" t="s">
        <v>4057</v>
      </c>
      <c r="K6" s="39" t="s">
        <v>4056</v>
      </c>
      <c r="N6" s="39"/>
      <c r="O6" s="60">
        <v>4</v>
      </c>
      <c r="P6" s="61">
        <v>3</v>
      </c>
      <c r="Q6" s="62">
        <v>1</v>
      </c>
      <c r="R6" s="63">
        <v>4</v>
      </c>
      <c r="S6" s="43">
        <v>7</v>
      </c>
      <c r="T6" s="60">
        <v>7</v>
      </c>
      <c r="AA6" s="101"/>
      <c r="AC6" s="39" t="s">
        <v>4108</v>
      </c>
      <c r="AD6" s="39"/>
      <c r="AE6" s="39" t="s">
        <v>4109</v>
      </c>
      <c r="AH6" s="39" t="s">
        <v>4106</v>
      </c>
      <c r="AI6" s="39" t="s">
        <v>4107</v>
      </c>
      <c r="AJ6" s="39" t="s">
        <v>4077</v>
      </c>
      <c r="AK6" s="39" t="s">
        <v>4057</v>
      </c>
      <c r="AL6" s="39" t="s">
        <v>4056</v>
      </c>
      <c r="AN6" s="40"/>
      <c r="AO6" s="39"/>
      <c r="BD6" s="40"/>
      <c r="BE6" s="39"/>
    </row>
    <row r="7" spans="1:61" ht="60">
      <c r="A7" s="39" t="s">
        <v>4037</v>
      </c>
      <c r="B7" s="39" t="s">
        <v>4353</v>
      </c>
      <c r="C7" s="39" t="s">
        <v>57</v>
      </c>
      <c r="D7" s="39">
        <v>6</v>
      </c>
      <c r="E7" s="39">
        <v>1</v>
      </c>
      <c r="G7" s="39" t="s">
        <v>4110</v>
      </c>
      <c r="I7" s="39" t="s">
        <v>4077</v>
      </c>
      <c r="J7" s="39" t="s">
        <v>4111</v>
      </c>
      <c r="K7" s="39" t="s">
        <v>26</v>
      </c>
      <c r="N7" s="39">
        <v>3</v>
      </c>
      <c r="Q7" s="62">
        <v>1</v>
      </c>
      <c r="R7" s="63">
        <v>1</v>
      </c>
      <c r="AA7" s="103" t="s">
        <v>4932</v>
      </c>
      <c r="AB7" s="39" t="s">
        <v>4112</v>
      </c>
      <c r="AC7" s="39" t="s">
        <v>4113</v>
      </c>
      <c r="AD7" s="39"/>
      <c r="AE7" s="39" t="s">
        <v>4114</v>
      </c>
      <c r="AN7" s="40"/>
      <c r="AO7" s="39"/>
      <c r="BD7" s="40"/>
      <c r="BE7" s="39"/>
    </row>
    <row r="8" spans="1:61" ht="72">
      <c r="A8" s="39" t="s">
        <v>4037</v>
      </c>
      <c r="B8" s="39" t="s">
        <v>4354</v>
      </c>
      <c r="C8" s="39" t="s">
        <v>57</v>
      </c>
      <c r="D8" s="39">
        <v>7</v>
      </c>
      <c r="E8" s="39">
        <v>1</v>
      </c>
      <c r="G8" s="39" t="s">
        <v>4115</v>
      </c>
      <c r="J8" s="39" t="s">
        <v>28</v>
      </c>
      <c r="K8" s="39" t="s">
        <v>26</v>
      </c>
      <c r="M8" s="39" t="s">
        <v>4502</v>
      </c>
      <c r="N8" s="39"/>
      <c r="AA8" s="101"/>
      <c r="AC8" s="39" t="s">
        <v>4116</v>
      </c>
      <c r="AD8" s="39"/>
      <c r="AE8" s="39" t="s">
        <v>4117</v>
      </c>
      <c r="AN8" s="40"/>
      <c r="AO8" s="39"/>
      <c r="BD8" s="40"/>
      <c r="BE8" s="39"/>
    </row>
    <row r="9" spans="1:61" ht="36">
      <c r="A9" s="39" t="s">
        <v>4037</v>
      </c>
      <c r="B9" s="39" t="s">
        <v>4355</v>
      </c>
      <c r="C9" s="39" t="s">
        <v>57</v>
      </c>
      <c r="D9" s="39">
        <v>8</v>
      </c>
      <c r="E9" s="39">
        <v>1</v>
      </c>
      <c r="G9" s="39" t="s">
        <v>4118</v>
      </c>
      <c r="I9" s="39" t="s">
        <v>4077</v>
      </c>
      <c r="J9" s="39" t="s">
        <v>4111</v>
      </c>
      <c r="K9" s="39" t="s">
        <v>26</v>
      </c>
      <c r="N9" s="39">
        <v>2</v>
      </c>
      <c r="O9" s="60">
        <v>1</v>
      </c>
      <c r="P9" s="61">
        <v>1</v>
      </c>
      <c r="AA9" s="103" t="s">
        <v>4933</v>
      </c>
      <c r="AC9" s="39" t="s">
        <v>4119</v>
      </c>
      <c r="AD9" s="39"/>
      <c r="AE9" s="39" t="s">
        <v>4120</v>
      </c>
      <c r="AN9" s="40"/>
      <c r="AO9" s="39"/>
      <c r="BD9" s="40"/>
      <c r="BE9" s="39"/>
    </row>
    <row r="10" spans="1:61" ht="72">
      <c r="A10" s="39" t="s">
        <v>4037</v>
      </c>
      <c r="B10" s="39" t="s">
        <v>4356</v>
      </c>
      <c r="C10" s="39" t="s">
        <v>57</v>
      </c>
      <c r="D10" s="39">
        <v>9</v>
      </c>
      <c r="E10" s="39">
        <v>1</v>
      </c>
      <c r="G10" s="39" t="s">
        <v>4121</v>
      </c>
      <c r="H10" s="39" t="s">
        <v>4122</v>
      </c>
      <c r="J10" s="39" t="s">
        <v>4111</v>
      </c>
      <c r="K10" s="39" t="s">
        <v>26</v>
      </c>
      <c r="M10" s="39" t="s">
        <v>4502</v>
      </c>
      <c r="N10" s="68" t="s">
        <v>38</v>
      </c>
      <c r="AA10" s="101"/>
      <c r="AB10" s="39" t="s">
        <v>4112</v>
      </c>
      <c r="AC10" s="39" t="s">
        <v>4123</v>
      </c>
      <c r="AD10" s="39"/>
      <c r="AE10" s="39" t="s">
        <v>4124</v>
      </c>
      <c r="AN10" s="40"/>
      <c r="AO10" s="39"/>
      <c r="BD10" s="40"/>
      <c r="BE10" s="39"/>
    </row>
    <row r="11" spans="1:61" ht="36">
      <c r="A11" s="39" t="s">
        <v>4037</v>
      </c>
      <c r="B11" s="39" t="s">
        <v>4503</v>
      </c>
      <c r="C11" s="39" t="s">
        <v>57</v>
      </c>
      <c r="D11" s="39">
        <v>10</v>
      </c>
      <c r="E11" s="39">
        <v>1</v>
      </c>
      <c r="G11" s="39" t="s">
        <v>4499</v>
      </c>
      <c r="J11" s="39" t="s">
        <v>27</v>
      </c>
      <c r="K11" s="39" t="s">
        <v>26</v>
      </c>
      <c r="N11" s="39">
        <v>1</v>
      </c>
      <c r="AA11" s="103" t="s">
        <v>4934</v>
      </c>
      <c r="AC11" s="39" t="s">
        <v>4161</v>
      </c>
      <c r="AD11" s="39" t="s">
        <v>4500</v>
      </c>
      <c r="AE11" s="39" t="s">
        <v>4501</v>
      </c>
      <c r="AN11" s="40"/>
      <c r="AO11" s="39"/>
      <c r="BD11" s="40"/>
      <c r="BE11" s="39"/>
    </row>
    <row r="12" spans="1:61" ht="72">
      <c r="A12" s="39" t="s">
        <v>4037</v>
      </c>
      <c r="B12" s="39" t="s">
        <v>4357</v>
      </c>
      <c r="C12" s="39" t="s">
        <v>57</v>
      </c>
      <c r="D12" s="39">
        <v>11</v>
      </c>
      <c r="E12" s="39">
        <v>1</v>
      </c>
      <c r="G12" s="39" t="s">
        <v>4125</v>
      </c>
      <c r="J12" s="39" t="s">
        <v>28</v>
      </c>
      <c r="K12" s="39" t="s">
        <v>26</v>
      </c>
      <c r="M12" s="39" t="s">
        <v>4502</v>
      </c>
      <c r="N12" s="39"/>
      <c r="AA12" s="101"/>
      <c r="AC12" s="39" t="s">
        <v>4116</v>
      </c>
      <c r="AD12" s="39"/>
      <c r="AE12" s="39" t="s">
        <v>4126</v>
      </c>
      <c r="AN12" s="40"/>
      <c r="AO12" s="39"/>
      <c r="BD12" s="40"/>
      <c r="BE12" s="39"/>
    </row>
    <row r="13" spans="1:61" ht="24">
      <c r="A13" s="39" t="s">
        <v>4037</v>
      </c>
      <c r="B13" s="39" t="s">
        <v>4358</v>
      </c>
      <c r="C13" s="39" t="s">
        <v>57</v>
      </c>
      <c r="D13" s="39">
        <v>12</v>
      </c>
      <c r="E13" s="39">
        <v>1</v>
      </c>
      <c r="G13" s="39" t="s">
        <v>4127</v>
      </c>
      <c r="H13" s="39" t="s">
        <v>4128</v>
      </c>
      <c r="I13" s="39" t="s">
        <v>4077</v>
      </c>
      <c r="J13" s="39" t="s">
        <v>4111</v>
      </c>
      <c r="K13" s="39" t="s">
        <v>26</v>
      </c>
      <c r="N13" s="39">
        <v>3</v>
      </c>
      <c r="O13" s="60">
        <v>1</v>
      </c>
      <c r="Q13" s="62">
        <v>1</v>
      </c>
      <c r="AA13" s="103" t="s">
        <v>4935</v>
      </c>
      <c r="AB13" s="39" t="s">
        <v>4129</v>
      </c>
      <c r="AC13" s="39" t="s">
        <v>4130</v>
      </c>
      <c r="AD13" s="39"/>
      <c r="AE13" s="39" t="s">
        <v>4131</v>
      </c>
      <c r="AN13" s="40"/>
      <c r="AO13" s="39"/>
      <c r="BD13" s="40"/>
      <c r="BE13" s="39"/>
    </row>
    <row r="14" spans="1:61" ht="48">
      <c r="A14" s="39" t="s">
        <v>4037</v>
      </c>
      <c r="B14" s="39" t="s">
        <v>4359</v>
      </c>
      <c r="C14" s="39" t="s">
        <v>57</v>
      </c>
      <c r="D14" s="39">
        <v>13</v>
      </c>
      <c r="E14" s="39">
        <v>1</v>
      </c>
      <c r="G14" s="39" t="s">
        <v>4132</v>
      </c>
      <c r="J14" s="39" t="s">
        <v>27</v>
      </c>
      <c r="K14" s="39" t="s">
        <v>26</v>
      </c>
      <c r="M14" s="39" t="s">
        <v>4502</v>
      </c>
      <c r="N14" s="39">
        <v>2</v>
      </c>
      <c r="AA14" s="101"/>
      <c r="AC14" s="39" t="s">
        <v>4133</v>
      </c>
      <c r="AD14" s="39"/>
      <c r="AE14" s="39" t="s">
        <v>4134</v>
      </c>
      <c r="AN14" s="40"/>
      <c r="AO14" s="39"/>
      <c r="BD14" s="40"/>
      <c r="BE14" s="39"/>
    </row>
    <row r="15" spans="1:61" ht="60">
      <c r="A15" s="39" t="s">
        <v>4037</v>
      </c>
      <c r="B15" s="39" t="s">
        <v>4360</v>
      </c>
      <c r="C15" s="39" t="s">
        <v>57</v>
      </c>
      <c r="D15" s="39">
        <v>14</v>
      </c>
      <c r="E15" s="39">
        <v>1</v>
      </c>
      <c r="G15" s="39" t="s">
        <v>4135</v>
      </c>
      <c r="I15" s="39" t="s">
        <v>4077</v>
      </c>
      <c r="J15" s="39" t="s">
        <v>4111</v>
      </c>
      <c r="K15" s="39" t="s">
        <v>26</v>
      </c>
      <c r="N15" s="39">
        <v>2</v>
      </c>
      <c r="AA15" s="103" t="s">
        <v>4936</v>
      </c>
      <c r="AB15" s="39" t="s">
        <v>4129</v>
      </c>
      <c r="AC15" s="39" t="s">
        <v>4130</v>
      </c>
      <c r="AD15" s="39"/>
      <c r="AE15" s="39" t="s">
        <v>4136</v>
      </c>
      <c r="AN15" s="40"/>
      <c r="AO15" s="39"/>
      <c r="BD15" s="40"/>
      <c r="BE15" s="39"/>
    </row>
    <row r="16" spans="1:61" ht="24">
      <c r="A16" s="39" t="s">
        <v>4037</v>
      </c>
      <c r="B16" s="39" t="s">
        <v>4361</v>
      </c>
      <c r="C16" s="39" t="s">
        <v>57</v>
      </c>
      <c r="D16" s="39">
        <v>15</v>
      </c>
      <c r="E16" s="39">
        <v>1</v>
      </c>
      <c r="G16" s="39" t="s">
        <v>4137</v>
      </c>
      <c r="J16" s="39" t="s">
        <v>28</v>
      </c>
      <c r="K16" s="39" t="s">
        <v>26</v>
      </c>
      <c r="M16" s="39" t="s">
        <v>4502</v>
      </c>
      <c r="N16" s="39"/>
      <c r="AA16" s="101"/>
      <c r="AC16" s="39" t="s">
        <v>4138</v>
      </c>
      <c r="AD16" s="39"/>
      <c r="AE16" s="39" t="s">
        <v>4139</v>
      </c>
      <c r="AN16" s="40"/>
      <c r="AO16" s="39"/>
      <c r="BD16" s="40"/>
      <c r="BE16" s="39"/>
    </row>
    <row r="17" spans="1:57" ht="36">
      <c r="A17" s="39" t="s">
        <v>4037</v>
      </c>
      <c r="B17" s="39" t="s">
        <v>4362</v>
      </c>
      <c r="C17" s="39" t="s">
        <v>57</v>
      </c>
      <c r="D17" s="39">
        <v>16</v>
      </c>
      <c r="E17" s="39">
        <v>1</v>
      </c>
      <c r="G17" s="39" t="s">
        <v>4140</v>
      </c>
      <c r="J17" s="39" t="s">
        <v>4111</v>
      </c>
      <c r="K17" s="39" t="s">
        <v>4052</v>
      </c>
      <c r="N17" s="39">
        <v>4</v>
      </c>
      <c r="R17" s="63">
        <v>1</v>
      </c>
      <c r="AA17" s="103" t="s">
        <v>4061</v>
      </c>
      <c r="AB17" s="39" t="s">
        <v>4112</v>
      </c>
      <c r="AC17" s="39" t="s">
        <v>4113</v>
      </c>
      <c r="AD17" s="39"/>
      <c r="AE17" s="39" t="s">
        <v>4141</v>
      </c>
      <c r="AN17" s="40"/>
      <c r="AO17" s="39"/>
      <c r="BD17" s="40"/>
      <c r="BE17" s="39"/>
    </row>
    <row r="18" spans="1:57" ht="24">
      <c r="A18" s="39" t="s">
        <v>4037</v>
      </c>
      <c r="B18" s="39" t="s">
        <v>4363</v>
      </c>
      <c r="C18" s="39" t="s">
        <v>57</v>
      </c>
      <c r="D18" s="39">
        <v>17</v>
      </c>
      <c r="E18" s="39">
        <v>1</v>
      </c>
      <c r="G18" s="39" t="s">
        <v>4142</v>
      </c>
      <c r="J18" s="39" t="s">
        <v>4111</v>
      </c>
      <c r="K18" s="39" t="s">
        <v>4052</v>
      </c>
      <c r="N18" s="39">
        <v>2</v>
      </c>
      <c r="O18" s="60">
        <v>1</v>
      </c>
      <c r="Q18" s="62">
        <v>1</v>
      </c>
      <c r="AA18" s="103" t="s">
        <v>4937</v>
      </c>
      <c r="AC18" s="39" t="s">
        <v>4143</v>
      </c>
      <c r="AD18" s="39"/>
      <c r="AE18" s="39" t="s">
        <v>4144</v>
      </c>
      <c r="AN18" s="40"/>
      <c r="AO18" s="39"/>
      <c r="BD18" s="40"/>
      <c r="BE18" s="39"/>
    </row>
    <row r="19" spans="1:57" ht="36">
      <c r="A19" s="39" t="s">
        <v>4037</v>
      </c>
      <c r="B19" s="39" t="s">
        <v>4364</v>
      </c>
      <c r="C19" s="39" t="s">
        <v>57</v>
      </c>
      <c r="D19" s="39">
        <v>18</v>
      </c>
      <c r="E19" s="39">
        <v>1</v>
      </c>
      <c r="G19" s="39" t="s">
        <v>4145</v>
      </c>
      <c r="J19" s="39" t="s">
        <v>4111</v>
      </c>
      <c r="K19" s="39" t="s">
        <v>4052</v>
      </c>
      <c r="N19" s="39">
        <v>4</v>
      </c>
      <c r="Q19" s="62">
        <v>1</v>
      </c>
      <c r="S19" s="43">
        <v>2</v>
      </c>
      <c r="T19" s="60">
        <v>2</v>
      </c>
      <c r="AA19" s="103" t="s">
        <v>4060</v>
      </c>
      <c r="AB19" s="39" t="s">
        <v>25</v>
      </c>
      <c r="AC19" s="39" t="s">
        <v>4146</v>
      </c>
      <c r="AD19" s="39"/>
      <c r="AE19" s="39" t="s">
        <v>4147</v>
      </c>
      <c r="AN19" s="40"/>
      <c r="AO19" s="39"/>
      <c r="BD19" s="40"/>
      <c r="BE19" s="39"/>
    </row>
    <row r="20" spans="1:57" ht="36">
      <c r="A20" s="39" t="s">
        <v>4037</v>
      </c>
      <c r="B20" s="39" t="s">
        <v>4365</v>
      </c>
      <c r="C20" s="39" t="s">
        <v>57</v>
      </c>
      <c r="D20" s="39">
        <v>19</v>
      </c>
      <c r="E20" s="39">
        <v>1</v>
      </c>
      <c r="G20" s="39" t="s">
        <v>4148</v>
      </c>
      <c r="J20" s="39" t="s">
        <v>4111</v>
      </c>
      <c r="K20" s="39" t="s">
        <v>4052</v>
      </c>
      <c r="N20" s="39">
        <v>2</v>
      </c>
      <c r="O20" s="60">
        <v>1</v>
      </c>
      <c r="AA20" s="103" t="s">
        <v>4058</v>
      </c>
      <c r="AC20" s="39" t="s">
        <v>4149</v>
      </c>
      <c r="AD20" s="39"/>
      <c r="AE20" s="39" t="s">
        <v>4150</v>
      </c>
      <c r="AN20" s="40"/>
      <c r="AO20" s="39"/>
      <c r="BD20" s="40"/>
      <c r="BE20" s="39"/>
    </row>
    <row r="21" spans="1:57" ht="36">
      <c r="A21" s="39" t="s">
        <v>4037</v>
      </c>
      <c r="B21" s="39" t="s">
        <v>4366</v>
      </c>
      <c r="C21" s="39" t="s">
        <v>57</v>
      </c>
      <c r="D21" s="39">
        <v>20</v>
      </c>
      <c r="E21" s="39">
        <v>1</v>
      </c>
      <c r="G21" s="39" t="s">
        <v>4151</v>
      </c>
      <c r="J21" s="39" t="s">
        <v>4111</v>
      </c>
      <c r="K21" s="39" t="s">
        <v>4052</v>
      </c>
      <c r="N21" s="39">
        <v>3</v>
      </c>
      <c r="Q21" s="62">
        <v>1</v>
      </c>
      <c r="AA21" s="103" t="s">
        <v>4060</v>
      </c>
      <c r="AB21" s="39" t="s">
        <v>4112</v>
      </c>
      <c r="AC21" s="39" t="s">
        <v>4152</v>
      </c>
      <c r="AD21" s="39"/>
      <c r="AE21" s="39" t="s">
        <v>4153</v>
      </c>
      <c r="AN21" s="40"/>
      <c r="AO21" s="39"/>
      <c r="BD21" s="40"/>
      <c r="BE21" s="39"/>
    </row>
    <row r="22" spans="1:57" ht="24">
      <c r="A22" s="39" t="s">
        <v>4037</v>
      </c>
      <c r="B22" s="39" t="s">
        <v>4367</v>
      </c>
      <c r="C22" s="39" t="s">
        <v>57</v>
      </c>
      <c r="D22" s="39">
        <v>21</v>
      </c>
      <c r="E22" s="39">
        <v>1</v>
      </c>
      <c r="G22" s="39" t="s">
        <v>4154</v>
      </c>
      <c r="J22" s="39" t="s">
        <v>4111</v>
      </c>
      <c r="K22" s="39" t="s">
        <v>4052</v>
      </c>
      <c r="N22" s="39">
        <v>3</v>
      </c>
      <c r="Q22" s="62">
        <v>1</v>
      </c>
      <c r="S22" s="43">
        <v>3</v>
      </c>
      <c r="T22" s="60">
        <v>1</v>
      </c>
      <c r="AA22" s="103" t="s">
        <v>4060</v>
      </c>
      <c r="AB22" s="39" t="s">
        <v>25</v>
      </c>
      <c r="AC22" s="39" t="s">
        <v>4155</v>
      </c>
      <c r="AD22" s="39"/>
      <c r="AE22" s="39" t="s">
        <v>4156</v>
      </c>
      <c r="AN22" s="40"/>
      <c r="AO22" s="39"/>
      <c r="BD22" s="40"/>
      <c r="BE22" s="39"/>
    </row>
    <row r="23" spans="1:57" ht="24">
      <c r="A23" s="39" t="s">
        <v>4037</v>
      </c>
      <c r="B23" s="39" t="s">
        <v>4368</v>
      </c>
      <c r="C23" s="39" t="s">
        <v>57</v>
      </c>
      <c r="D23" s="39">
        <v>22</v>
      </c>
      <c r="E23" s="39">
        <v>1</v>
      </c>
      <c r="G23" s="39" t="s">
        <v>4157</v>
      </c>
      <c r="J23" s="39" t="s">
        <v>27</v>
      </c>
      <c r="K23" s="39" t="s">
        <v>4052</v>
      </c>
      <c r="N23" s="39">
        <v>1</v>
      </c>
      <c r="P23" s="61">
        <v>2</v>
      </c>
      <c r="AA23" s="103" t="s">
        <v>4938</v>
      </c>
      <c r="AC23" s="39" t="s">
        <v>4158</v>
      </c>
      <c r="AD23" s="39"/>
      <c r="AE23" s="39" t="s">
        <v>4159</v>
      </c>
      <c r="AN23" s="40"/>
      <c r="AO23" s="39"/>
      <c r="BD23" s="40"/>
      <c r="BE23" s="39"/>
    </row>
    <row r="24" spans="1:57" ht="36">
      <c r="A24" s="39" t="s">
        <v>4037</v>
      </c>
      <c r="B24" s="39" t="s">
        <v>4369</v>
      </c>
      <c r="C24" s="39" t="s">
        <v>57</v>
      </c>
      <c r="D24" s="39">
        <v>23</v>
      </c>
      <c r="E24" s="39">
        <v>1</v>
      </c>
      <c r="G24" s="39" t="s">
        <v>4160</v>
      </c>
      <c r="J24" s="39" t="s">
        <v>27</v>
      </c>
      <c r="K24" s="39" t="s">
        <v>4052</v>
      </c>
      <c r="N24" s="39">
        <v>1</v>
      </c>
      <c r="O24" s="60">
        <v>1</v>
      </c>
      <c r="R24" s="63">
        <v>1</v>
      </c>
      <c r="AA24" s="103" t="s">
        <v>4939</v>
      </c>
      <c r="AC24" s="39" t="s">
        <v>4161</v>
      </c>
      <c r="AD24" s="39"/>
      <c r="AE24" s="39" t="s">
        <v>4162</v>
      </c>
      <c r="AN24" s="40"/>
      <c r="AO24" s="39"/>
      <c r="BD24" s="40"/>
      <c r="BE24" s="39"/>
    </row>
    <row r="25" spans="1:57" ht="36">
      <c r="A25" s="39" t="s">
        <v>4037</v>
      </c>
      <c r="B25" s="39" t="s">
        <v>4370</v>
      </c>
      <c r="C25" s="39" t="s">
        <v>57</v>
      </c>
      <c r="D25" s="39">
        <v>24</v>
      </c>
      <c r="E25" s="39">
        <v>1</v>
      </c>
      <c r="G25" s="39" t="s">
        <v>4163</v>
      </c>
      <c r="J25" s="39" t="s">
        <v>27</v>
      </c>
      <c r="K25" s="39" t="s">
        <v>4052</v>
      </c>
      <c r="N25" s="39">
        <v>5</v>
      </c>
      <c r="O25" s="60">
        <v>1</v>
      </c>
      <c r="AA25" s="103" t="s">
        <v>4058</v>
      </c>
      <c r="AC25" s="39" t="s">
        <v>4161</v>
      </c>
      <c r="AD25" s="39"/>
      <c r="AE25" s="39" t="s">
        <v>4164</v>
      </c>
      <c r="AN25" s="40"/>
      <c r="AO25" s="39"/>
      <c r="BD25" s="40"/>
      <c r="BE25" s="39"/>
    </row>
    <row r="26" spans="1:57" ht="24">
      <c r="A26" s="39" t="s">
        <v>4037</v>
      </c>
      <c r="B26" s="39" t="s">
        <v>4371</v>
      </c>
      <c r="C26" s="39" t="s">
        <v>57</v>
      </c>
      <c r="D26" s="39">
        <v>25</v>
      </c>
      <c r="E26" s="39">
        <v>1</v>
      </c>
      <c r="G26" s="39" t="s">
        <v>4165</v>
      </c>
      <c r="J26" s="39" t="s">
        <v>4166</v>
      </c>
      <c r="K26" s="39" t="s">
        <v>4052</v>
      </c>
      <c r="N26" s="39"/>
      <c r="Q26" s="62">
        <v>1</v>
      </c>
      <c r="AA26" s="103" t="s">
        <v>4060</v>
      </c>
      <c r="AC26" s="39" t="s">
        <v>4167</v>
      </c>
      <c r="AD26" s="39"/>
      <c r="AE26" s="39" t="s">
        <v>4168</v>
      </c>
      <c r="AN26" s="40"/>
      <c r="AO26" s="39"/>
      <c r="BD26" s="40"/>
      <c r="BE26" s="39"/>
    </row>
    <row r="27" spans="1:57" ht="24">
      <c r="A27" s="39" t="s">
        <v>4037</v>
      </c>
      <c r="B27" s="39" t="s">
        <v>4372</v>
      </c>
      <c r="C27" s="39" t="s">
        <v>57</v>
      </c>
      <c r="D27" s="39">
        <v>26</v>
      </c>
      <c r="E27" s="39">
        <v>1</v>
      </c>
      <c r="G27" s="39" t="s">
        <v>4169</v>
      </c>
      <c r="J27" s="39" t="s">
        <v>27</v>
      </c>
      <c r="K27" s="39" t="s">
        <v>4052</v>
      </c>
      <c r="L27" s="39">
        <v>1</v>
      </c>
      <c r="N27" s="39">
        <v>2</v>
      </c>
      <c r="P27" s="61">
        <v>1</v>
      </c>
      <c r="AA27" s="103" t="s">
        <v>4059</v>
      </c>
      <c r="AC27" s="39" t="s">
        <v>4170</v>
      </c>
      <c r="AD27" s="39"/>
      <c r="AE27" s="39" t="s">
        <v>4171</v>
      </c>
      <c r="AN27" s="40"/>
      <c r="AO27" s="39"/>
      <c r="BD27" s="40"/>
      <c r="BE27" s="39"/>
    </row>
    <row r="28" spans="1:57" ht="48">
      <c r="A28" s="39" t="s">
        <v>4037</v>
      </c>
      <c r="B28" s="39" t="s">
        <v>4373</v>
      </c>
      <c r="C28" s="39" t="s">
        <v>57</v>
      </c>
      <c r="D28" s="39">
        <v>27</v>
      </c>
      <c r="E28" s="39">
        <v>1</v>
      </c>
      <c r="G28" s="39" t="s">
        <v>4172</v>
      </c>
      <c r="J28" s="39" t="s">
        <v>4111</v>
      </c>
      <c r="K28" s="39" t="s">
        <v>4052</v>
      </c>
      <c r="L28" s="39">
        <v>2</v>
      </c>
      <c r="N28" s="39">
        <v>3</v>
      </c>
      <c r="O28" s="60">
        <v>1</v>
      </c>
      <c r="AA28" s="103" t="s">
        <v>4940</v>
      </c>
      <c r="AB28" s="39" t="s">
        <v>4129</v>
      </c>
      <c r="AC28" s="39" t="s">
        <v>4119</v>
      </c>
      <c r="AD28" s="39"/>
      <c r="AE28" s="39" t="s">
        <v>4173</v>
      </c>
      <c r="AN28" s="40"/>
      <c r="AO28" s="39"/>
      <c r="BD28" s="40"/>
      <c r="BE28" s="39"/>
    </row>
    <row r="29" spans="1:57" ht="36">
      <c r="A29" s="39" t="s">
        <v>4037</v>
      </c>
      <c r="B29" s="39" t="s">
        <v>4374</v>
      </c>
      <c r="C29" s="39" t="s">
        <v>57</v>
      </c>
      <c r="D29" s="39">
        <v>28</v>
      </c>
      <c r="E29" s="39">
        <v>1</v>
      </c>
      <c r="G29" s="39" t="s">
        <v>4145</v>
      </c>
      <c r="J29" s="39" t="s">
        <v>4111</v>
      </c>
      <c r="K29" s="39" t="s">
        <v>4052</v>
      </c>
      <c r="L29" s="39">
        <v>2</v>
      </c>
      <c r="N29" s="39">
        <v>4</v>
      </c>
      <c r="Q29" s="62">
        <v>1</v>
      </c>
      <c r="R29" s="63">
        <v>1</v>
      </c>
      <c r="S29" s="43">
        <v>3</v>
      </c>
      <c r="T29" s="60">
        <v>2</v>
      </c>
      <c r="AA29" s="103" t="s">
        <v>4941</v>
      </c>
      <c r="AB29" s="39" t="s">
        <v>25</v>
      </c>
      <c r="AC29" s="39" t="s">
        <v>4146</v>
      </c>
      <c r="AD29" s="39"/>
      <c r="AE29" s="39" t="s">
        <v>4174</v>
      </c>
      <c r="AN29" s="40"/>
      <c r="AO29" s="39"/>
      <c r="BD29" s="40"/>
      <c r="BE29" s="39"/>
    </row>
    <row r="30" spans="1:57" ht="84">
      <c r="A30" s="39" t="s">
        <v>4037</v>
      </c>
      <c r="B30" s="39" t="s">
        <v>4375</v>
      </c>
      <c r="C30" s="39" t="s">
        <v>57</v>
      </c>
      <c r="D30" s="39">
        <v>29</v>
      </c>
      <c r="E30" s="39">
        <v>1</v>
      </c>
      <c r="G30" s="39" t="s">
        <v>4175</v>
      </c>
      <c r="J30" s="39" t="s">
        <v>4111</v>
      </c>
      <c r="K30" s="39" t="s">
        <v>4052</v>
      </c>
      <c r="L30" s="39">
        <v>4</v>
      </c>
      <c r="N30" s="39">
        <v>5</v>
      </c>
      <c r="Q30" s="62">
        <v>2</v>
      </c>
      <c r="AA30" s="103" t="s">
        <v>4942</v>
      </c>
      <c r="AB30" s="39" t="s">
        <v>4176</v>
      </c>
      <c r="AC30" s="39" t="s">
        <v>4113</v>
      </c>
      <c r="AD30" s="39"/>
      <c r="AE30" s="39" t="s">
        <v>4177</v>
      </c>
      <c r="AN30" s="40"/>
      <c r="AO30" s="39"/>
      <c r="BD30" s="40"/>
      <c r="BE30" s="39"/>
    </row>
    <row r="31" spans="1:57" ht="24">
      <c r="A31" s="39" t="s">
        <v>4037</v>
      </c>
      <c r="B31" s="39" t="s">
        <v>4376</v>
      </c>
      <c r="C31" s="39" t="s">
        <v>57</v>
      </c>
      <c r="D31" s="39">
        <v>30</v>
      </c>
      <c r="E31" s="39">
        <v>1</v>
      </c>
      <c r="G31" s="39" t="s">
        <v>4178</v>
      </c>
      <c r="J31" s="39" t="s">
        <v>4111</v>
      </c>
      <c r="K31" s="39" t="s">
        <v>4053</v>
      </c>
      <c r="N31" s="39">
        <v>1</v>
      </c>
      <c r="P31" s="61">
        <v>1</v>
      </c>
      <c r="AA31" s="103" t="s">
        <v>4059</v>
      </c>
      <c r="AB31" s="39" t="s">
        <v>4112</v>
      </c>
      <c r="AC31" s="39" t="s">
        <v>4179</v>
      </c>
      <c r="AD31" s="39"/>
      <c r="AE31" s="39" t="s">
        <v>4180</v>
      </c>
      <c r="AN31" s="40"/>
      <c r="AO31" s="39"/>
      <c r="BD31" s="40"/>
      <c r="BE31" s="39"/>
    </row>
    <row r="32" spans="1:57" ht="48">
      <c r="A32" s="39" t="s">
        <v>4037</v>
      </c>
      <c r="B32" s="39" t="s">
        <v>4377</v>
      </c>
      <c r="C32" s="39" t="s">
        <v>57</v>
      </c>
      <c r="D32" s="39">
        <v>31</v>
      </c>
      <c r="E32" s="39">
        <v>1</v>
      </c>
      <c r="G32" s="39" t="s">
        <v>4181</v>
      </c>
      <c r="J32" s="39" t="s">
        <v>4111</v>
      </c>
      <c r="K32" s="39" t="s">
        <v>4053</v>
      </c>
      <c r="N32" s="39">
        <v>3</v>
      </c>
      <c r="O32" s="60">
        <v>1</v>
      </c>
      <c r="AA32" s="103" t="s">
        <v>4058</v>
      </c>
      <c r="AB32" s="39" t="s">
        <v>4112</v>
      </c>
      <c r="AC32" s="39" t="s">
        <v>4123</v>
      </c>
      <c r="AD32" s="39"/>
      <c r="AE32" s="39" t="s">
        <v>4182</v>
      </c>
      <c r="AN32" s="40"/>
      <c r="AO32" s="39"/>
      <c r="BD32" s="40"/>
      <c r="BE32" s="39"/>
    </row>
    <row r="33" spans="1:57" ht="24">
      <c r="A33" s="39" t="s">
        <v>4037</v>
      </c>
      <c r="B33" s="39" t="s">
        <v>4378</v>
      </c>
      <c r="C33" s="39" t="s">
        <v>57</v>
      </c>
      <c r="D33" s="39">
        <v>32</v>
      </c>
      <c r="E33" s="39">
        <v>1</v>
      </c>
      <c r="G33" s="39" t="s">
        <v>4183</v>
      </c>
      <c r="J33" s="39" t="s">
        <v>4111</v>
      </c>
      <c r="K33" s="39" t="s">
        <v>4053</v>
      </c>
      <c r="N33" s="39">
        <v>2</v>
      </c>
      <c r="R33" s="63">
        <v>1</v>
      </c>
      <c r="S33" s="43">
        <v>1</v>
      </c>
      <c r="T33" s="60">
        <v>1</v>
      </c>
      <c r="AA33" s="103" t="s">
        <v>4061</v>
      </c>
      <c r="AB33" s="39" t="s">
        <v>25</v>
      </c>
      <c r="AC33" s="39" t="s">
        <v>4184</v>
      </c>
      <c r="AD33" s="39"/>
      <c r="AE33" s="39" t="s">
        <v>4185</v>
      </c>
      <c r="AN33" s="40"/>
      <c r="AO33" s="39"/>
      <c r="BD33" s="40"/>
      <c r="BE33" s="39"/>
    </row>
    <row r="34" spans="1:57" ht="24">
      <c r="A34" s="39" t="s">
        <v>4037</v>
      </c>
      <c r="B34" s="39" t="s">
        <v>4379</v>
      </c>
      <c r="C34" s="39" t="s">
        <v>57</v>
      </c>
      <c r="D34" s="39">
        <v>33</v>
      </c>
      <c r="E34" s="39">
        <v>1</v>
      </c>
      <c r="G34" s="39" t="s">
        <v>4186</v>
      </c>
      <c r="H34" s="39" t="s">
        <v>4187</v>
      </c>
      <c r="I34" s="39" t="s">
        <v>4077</v>
      </c>
      <c r="J34" s="39" t="s">
        <v>4111</v>
      </c>
      <c r="K34" s="39" t="s">
        <v>4053</v>
      </c>
      <c r="N34" s="39">
        <v>4</v>
      </c>
      <c r="P34" s="61">
        <v>1</v>
      </c>
      <c r="S34" s="43">
        <v>1</v>
      </c>
      <c r="T34" s="60">
        <v>2</v>
      </c>
      <c r="AA34" s="103" t="s">
        <v>4059</v>
      </c>
      <c r="AB34" s="39" t="s">
        <v>25</v>
      </c>
      <c r="AC34" s="39" t="s">
        <v>4184</v>
      </c>
      <c r="AD34" s="39"/>
      <c r="AE34" s="39" t="s">
        <v>4188</v>
      </c>
      <c r="AN34" s="40"/>
      <c r="AO34" s="39"/>
      <c r="BD34" s="40"/>
      <c r="BE34" s="39"/>
    </row>
    <row r="35" spans="1:57" ht="24">
      <c r="A35" s="39" t="s">
        <v>4037</v>
      </c>
      <c r="B35" s="39" t="s">
        <v>4380</v>
      </c>
      <c r="C35" s="39" t="s">
        <v>57</v>
      </c>
      <c r="D35" s="39">
        <v>34</v>
      </c>
      <c r="E35" s="39">
        <v>1</v>
      </c>
      <c r="G35" s="39" t="s">
        <v>4189</v>
      </c>
      <c r="J35" s="39" t="s">
        <v>4111</v>
      </c>
      <c r="K35" s="39" t="s">
        <v>4053</v>
      </c>
      <c r="N35" s="39">
        <v>2</v>
      </c>
      <c r="P35" s="61">
        <v>1</v>
      </c>
      <c r="R35" s="63">
        <v>1</v>
      </c>
      <c r="AA35" s="103" t="s">
        <v>4943</v>
      </c>
      <c r="AC35" s="39" t="s">
        <v>4143</v>
      </c>
      <c r="AD35" s="39"/>
      <c r="AE35" s="39" t="s">
        <v>4190</v>
      </c>
      <c r="AN35" s="40"/>
      <c r="AO35" s="39"/>
      <c r="BD35" s="40"/>
      <c r="BE35" s="39"/>
    </row>
    <row r="36" spans="1:57" ht="36">
      <c r="A36" s="39" t="s">
        <v>4037</v>
      </c>
      <c r="B36" s="39" t="s">
        <v>4381</v>
      </c>
      <c r="C36" s="39" t="s">
        <v>57</v>
      </c>
      <c r="D36" s="39">
        <v>35</v>
      </c>
      <c r="E36" s="39">
        <v>1</v>
      </c>
      <c r="G36" s="39" t="s">
        <v>4191</v>
      </c>
      <c r="J36" s="39" t="s">
        <v>4111</v>
      </c>
      <c r="K36" s="39" t="s">
        <v>4053</v>
      </c>
      <c r="N36" s="39">
        <v>2</v>
      </c>
      <c r="Q36" s="62">
        <v>1</v>
      </c>
      <c r="AA36" s="103" t="s">
        <v>4060</v>
      </c>
      <c r="AB36" s="39" t="s">
        <v>4112</v>
      </c>
      <c r="AC36" s="39" t="s">
        <v>4123</v>
      </c>
      <c r="AD36" s="39"/>
      <c r="AE36" s="39" t="s">
        <v>4192</v>
      </c>
      <c r="AN36" s="40"/>
      <c r="AO36" s="39"/>
      <c r="BD36" s="40"/>
      <c r="BE36" s="39"/>
    </row>
    <row r="37" spans="1:57" ht="36">
      <c r="A37" s="39" t="s">
        <v>4037</v>
      </c>
      <c r="B37" s="69" t="s">
        <v>4382</v>
      </c>
      <c r="C37" s="39" t="s">
        <v>57</v>
      </c>
      <c r="D37" s="39">
        <v>36</v>
      </c>
      <c r="E37" s="39">
        <v>1</v>
      </c>
      <c r="G37" s="39" t="s">
        <v>4193</v>
      </c>
      <c r="J37" s="39" t="s">
        <v>27</v>
      </c>
      <c r="K37" s="39" t="s">
        <v>4053</v>
      </c>
      <c r="N37" s="39">
        <v>1</v>
      </c>
      <c r="Q37" s="62">
        <v>1</v>
      </c>
      <c r="R37" s="63">
        <v>1</v>
      </c>
      <c r="AA37" s="103" t="s">
        <v>4941</v>
      </c>
      <c r="AC37" s="39" t="s">
        <v>4194</v>
      </c>
      <c r="AD37" s="39"/>
      <c r="AE37" s="39" t="s">
        <v>4195</v>
      </c>
      <c r="AN37" s="40"/>
      <c r="AO37" s="39"/>
      <c r="BD37" s="40"/>
      <c r="BE37" s="39"/>
    </row>
    <row r="38" spans="1:57" ht="24">
      <c r="A38" s="39" t="s">
        <v>4037</v>
      </c>
      <c r="B38" s="39" t="s">
        <v>4383</v>
      </c>
      <c r="C38" s="39" t="s">
        <v>57</v>
      </c>
      <c r="D38" s="39">
        <v>37</v>
      </c>
      <c r="E38" s="39">
        <v>1</v>
      </c>
      <c r="G38" s="39" t="s">
        <v>4196</v>
      </c>
      <c r="J38" s="39" t="s">
        <v>27</v>
      </c>
      <c r="K38" s="39" t="s">
        <v>4053</v>
      </c>
      <c r="N38" s="39">
        <v>2</v>
      </c>
      <c r="O38" s="70"/>
      <c r="P38" s="71"/>
      <c r="Q38" s="72"/>
      <c r="T38" s="70"/>
      <c r="U38" s="73"/>
      <c r="V38" s="74"/>
      <c r="W38" s="75"/>
      <c r="Z38" s="76"/>
      <c r="AA38" s="103" t="s">
        <v>4938</v>
      </c>
      <c r="AC38" s="39" t="s">
        <v>4194</v>
      </c>
      <c r="AD38" s="39" t="s">
        <v>4511</v>
      </c>
      <c r="AE38" s="39" t="s">
        <v>4776</v>
      </c>
      <c r="AN38" s="40"/>
      <c r="AO38" s="39"/>
      <c r="AP38" s="70"/>
      <c r="AQ38" s="71"/>
      <c r="AR38" s="72"/>
      <c r="AU38" s="70"/>
      <c r="AV38" s="77"/>
      <c r="AW38" s="78"/>
      <c r="AX38" s="75"/>
      <c r="BA38" s="76"/>
      <c r="BD38" s="40"/>
      <c r="BE38" s="39"/>
    </row>
    <row r="39" spans="1:57" ht="48">
      <c r="A39" s="39" t="s">
        <v>4037</v>
      </c>
      <c r="B39" s="39" t="s">
        <v>4384</v>
      </c>
      <c r="C39" s="39" t="s">
        <v>57</v>
      </c>
      <c r="D39" s="39">
        <v>38</v>
      </c>
      <c r="E39" s="39">
        <v>1</v>
      </c>
      <c r="G39" s="39" t="s">
        <v>4197</v>
      </c>
      <c r="J39" s="39" t="s">
        <v>27</v>
      </c>
      <c r="K39" s="39" t="s">
        <v>4053</v>
      </c>
      <c r="N39" s="39">
        <v>0</v>
      </c>
      <c r="O39" s="70">
        <v>1</v>
      </c>
      <c r="P39" s="71">
        <v>1</v>
      </c>
      <c r="Q39" s="72"/>
      <c r="R39" s="63">
        <v>1</v>
      </c>
      <c r="T39" s="70"/>
      <c r="U39" s="73"/>
      <c r="V39" s="74"/>
      <c r="W39" s="75"/>
      <c r="Z39" s="76"/>
      <c r="AA39" s="103" t="s">
        <v>4944</v>
      </c>
      <c r="AC39" s="39" t="s">
        <v>4198</v>
      </c>
      <c r="AD39" s="39"/>
      <c r="AE39" s="39" t="s">
        <v>4199</v>
      </c>
      <c r="AN39" s="40"/>
      <c r="AO39" s="39"/>
      <c r="AP39" s="70"/>
      <c r="AQ39" s="71"/>
      <c r="AR39" s="72"/>
      <c r="AU39" s="70"/>
      <c r="AV39" s="77"/>
      <c r="AW39" s="78"/>
      <c r="AX39" s="75"/>
      <c r="BA39" s="76"/>
      <c r="BD39" s="40"/>
      <c r="BE39" s="39"/>
    </row>
    <row r="40" spans="1:57" ht="24">
      <c r="A40" s="39" t="s">
        <v>4037</v>
      </c>
      <c r="B40" s="39" t="s">
        <v>4385</v>
      </c>
      <c r="C40" s="39" t="s">
        <v>57</v>
      </c>
      <c r="D40" s="39">
        <v>39</v>
      </c>
      <c r="E40" s="39">
        <v>1</v>
      </c>
      <c r="G40" s="39" t="s">
        <v>4200</v>
      </c>
      <c r="J40" s="39" t="s">
        <v>4166</v>
      </c>
      <c r="K40" s="39" t="s">
        <v>4053</v>
      </c>
      <c r="N40" s="39"/>
      <c r="O40" s="70"/>
      <c r="P40" s="71">
        <v>1</v>
      </c>
      <c r="Q40" s="72"/>
      <c r="T40" s="70"/>
      <c r="U40" s="73"/>
      <c r="V40" s="74"/>
      <c r="W40" s="75"/>
      <c r="Z40" s="76"/>
      <c r="AA40" s="103" t="s">
        <v>4059</v>
      </c>
      <c r="AC40" s="39" t="s">
        <v>4167</v>
      </c>
      <c r="AD40" s="39"/>
      <c r="AE40" s="39" t="s">
        <v>4201</v>
      </c>
      <c r="AN40" s="40"/>
      <c r="AO40" s="39"/>
      <c r="AP40" s="70"/>
      <c r="AQ40" s="71"/>
      <c r="AR40" s="72"/>
      <c r="AU40" s="70"/>
      <c r="AV40" s="77"/>
      <c r="AW40" s="78"/>
      <c r="AX40" s="75"/>
      <c r="BA40" s="76"/>
      <c r="BD40" s="40"/>
      <c r="BE40" s="39"/>
    </row>
    <row r="41" spans="1:57" ht="48">
      <c r="A41" s="39" t="s">
        <v>4037</v>
      </c>
      <c r="B41" s="39" t="s">
        <v>4386</v>
      </c>
      <c r="C41" s="39" t="s">
        <v>57</v>
      </c>
      <c r="D41" s="39">
        <v>40</v>
      </c>
      <c r="E41" s="39">
        <v>1</v>
      </c>
      <c r="G41" s="39" t="s">
        <v>4178</v>
      </c>
      <c r="J41" s="39" t="s">
        <v>4111</v>
      </c>
      <c r="K41" s="39" t="s">
        <v>4053</v>
      </c>
      <c r="L41" s="39">
        <v>1</v>
      </c>
      <c r="N41" s="39">
        <v>0</v>
      </c>
      <c r="O41" s="70"/>
      <c r="P41" s="71">
        <v>1</v>
      </c>
      <c r="Q41" s="72"/>
      <c r="T41" s="70"/>
      <c r="U41" s="73"/>
      <c r="V41" s="74"/>
      <c r="W41" s="75"/>
      <c r="Z41" s="76"/>
      <c r="AA41" s="103" t="s">
        <v>4059</v>
      </c>
      <c r="AB41" s="39" t="s">
        <v>4112</v>
      </c>
      <c r="AC41" s="39" t="s">
        <v>4179</v>
      </c>
      <c r="AD41" s="39"/>
      <c r="AE41" s="39" t="s">
        <v>4202</v>
      </c>
      <c r="AN41" s="40"/>
      <c r="AO41" s="39"/>
      <c r="AP41" s="70"/>
      <c r="AQ41" s="71"/>
      <c r="AR41" s="72"/>
      <c r="AU41" s="70"/>
      <c r="AV41" s="77"/>
      <c r="AW41" s="78"/>
      <c r="AX41" s="75"/>
      <c r="BA41" s="76"/>
      <c r="BD41" s="40"/>
      <c r="BE41" s="39"/>
    </row>
    <row r="42" spans="1:57" ht="24">
      <c r="A42" s="39" t="s">
        <v>4037</v>
      </c>
      <c r="B42" s="39" t="s">
        <v>4504</v>
      </c>
      <c r="C42" s="39" t="s">
        <v>57</v>
      </c>
      <c r="D42" s="39">
        <v>41</v>
      </c>
      <c r="E42" s="39">
        <v>1</v>
      </c>
      <c r="G42" s="39" t="s">
        <v>4505</v>
      </c>
      <c r="H42" s="39" t="s">
        <v>4506</v>
      </c>
      <c r="I42" s="39" t="s">
        <v>4077</v>
      </c>
      <c r="J42" s="39" t="s">
        <v>4111</v>
      </c>
      <c r="K42" s="39" t="s">
        <v>4053</v>
      </c>
      <c r="L42" s="39">
        <v>2</v>
      </c>
      <c r="N42" s="39">
        <v>3</v>
      </c>
      <c r="O42" s="70">
        <v>1</v>
      </c>
      <c r="P42" s="71">
        <v>1</v>
      </c>
      <c r="Q42" s="72">
        <v>1</v>
      </c>
      <c r="T42" s="70"/>
      <c r="U42" s="73"/>
      <c r="V42" s="74"/>
      <c r="W42" s="75"/>
      <c r="Z42" s="76"/>
      <c r="AA42" s="103" t="s">
        <v>4933</v>
      </c>
      <c r="AB42" s="39" t="s">
        <v>4507</v>
      </c>
      <c r="AC42" s="39" t="s">
        <v>4130</v>
      </c>
      <c r="AD42" s="39"/>
      <c r="AE42" s="39" t="s">
        <v>4508</v>
      </c>
      <c r="AN42" s="40"/>
      <c r="AO42" s="39"/>
      <c r="AP42" s="70"/>
      <c r="AQ42" s="71"/>
      <c r="AR42" s="72"/>
      <c r="AU42" s="70"/>
      <c r="AV42" s="77"/>
      <c r="AW42" s="78"/>
      <c r="AX42" s="75"/>
      <c r="BA42" s="76"/>
      <c r="BD42" s="40"/>
      <c r="BE42" s="39"/>
    </row>
    <row r="43" spans="1:57" ht="36">
      <c r="A43" s="39" t="s">
        <v>4037</v>
      </c>
      <c r="B43" s="39" t="s">
        <v>4387</v>
      </c>
      <c r="C43" s="39" t="s">
        <v>57</v>
      </c>
      <c r="D43" s="39">
        <v>42</v>
      </c>
      <c r="E43" s="39">
        <v>1</v>
      </c>
      <c r="G43" s="39" t="s">
        <v>4203</v>
      </c>
      <c r="J43" s="39" t="s">
        <v>4111</v>
      </c>
      <c r="K43" s="39" t="s">
        <v>4053</v>
      </c>
      <c r="L43" s="39">
        <v>2</v>
      </c>
      <c r="N43" s="39">
        <v>2</v>
      </c>
      <c r="O43" s="70"/>
      <c r="P43" s="71"/>
      <c r="Q43" s="72"/>
      <c r="T43" s="70"/>
      <c r="U43" s="73"/>
      <c r="V43" s="74"/>
      <c r="W43" s="75"/>
      <c r="Z43" s="76"/>
      <c r="AA43" s="103" t="s">
        <v>4062</v>
      </c>
      <c r="AB43" s="39" t="s">
        <v>4112</v>
      </c>
      <c r="AC43" s="39" t="s">
        <v>4123</v>
      </c>
      <c r="AD43" s="39"/>
      <c r="AE43" s="39" t="s">
        <v>4204</v>
      </c>
      <c r="AN43" s="40"/>
      <c r="AO43" s="39"/>
      <c r="AP43" s="70"/>
      <c r="AQ43" s="71"/>
      <c r="AR43" s="72"/>
      <c r="AU43" s="70"/>
      <c r="AV43" s="77"/>
      <c r="AW43" s="78"/>
      <c r="AX43" s="75"/>
      <c r="BA43" s="76"/>
      <c r="BD43" s="40"/>
      <c r="BE43" s="39"/>
    </row>
    <row r="44" spans="1:57" ht="24">
      <c r="A44" s="39" t="s">
        <v>4037</v>
      </c>
      <c r="B44" s="39" t="s">
        <v>4509</v>
      </c>
      <c r="C44" s="39" t="s">
        <v>57</v>
      </c>
      <c r="D44" s="39">
        <v>43</v>
      </c>
      <c r="E44" s="39">
        <v>1</v>
      </c>
      <c r="G44" s="39" t="s">
        <v>4510</v>
      </c>
      <c r="J44" s="39" t="s">
        <v>27</v>
      </c>
      <c r="K44" s="39" t="s">
        <v>4053</v>
      </c>
      <c r="L44" s="39">
        <v>4</v>
      </c>
      <c r="N44" s="39">
        <v>0</v>
      </c>
      <c r="O44" s="70"/>
      <c r="P44" s="71"/>
      <c r="Q44" s="72"/>
      <c r="T44" s="70"/>
      <c r="U44" s="73"/>
      <c r="V44" s="74"/>
      <c r="W44" s="75"/>
      <c r="Z44" s="76"/>
      <c r="AA44" s="101"/>
      <c r="AC44" s="39" t="s">
        <v>4194</v>
      </c>
      <c r="AD44" s="39" t="s">
        <v>4511</v>
      </c>
      <c r="AE44" s="39" t="s">
        <v>4512</v>
      </c>
      <c r="AN44" s="40"/>
      <c r="AO44" s="39"/>
      <c r="AP44" s="70"/>
      <c r="AQ44" s="71"/>
      <c r="AR44" s="72"/>
      <c r="AU44" s="70"/>
      <c r="AV44" s="77"/>
      <c r="AW44" s="78"/>
      <c r="AX44" s="75"/>
      <c r="BA44" s="76"/>
      <c r="BD44" s="40"/>
      <c r="BE44" s="39"/>
    </row>
    <row r="45" spans="1:57" ht="36">
      <c r="A45" s="39" t="s">
        <v>4037</v>
      </c>
      <c r="B45" s="39" t="s">
        <v>4388</v>
      </c>
      <c r="C45" s="39" t="s">
        <v>57</v>
      </c>
      <c r="D45" s="39">
        <v>44</v>
      </c>
      <c r="E45" s="39">
        <v>1</v>
      </c>
      <c r="G45" s="39" t="s">
        <v>4205</v>
      </c>
      <c r="J45" s="39" t="s">
        <v>4111</v>
      </c>
      <c r="K45" s="39" t="s">
        <v>4055</v>
      </c>
      <c r="N45" s="39">
        <v>1</v>
      </c>
      <c r="O45" s="70"/>
      <c r="P45" s="71"/>
      <c r="Q45" s="72"/>
      <c r="R45" s="63">
        <v>1</v>
      </c>
      <c r="T45" s="70"/>
      <c r="U45" s="73"/>
      <c r="V45" s="74"/>
      <c r="W45" s="75"/>
      <c r="Z45" s="76"/>
      <c r="AA45" s="103" t="s">
        <v>4061</v>
      </c>
      <c r="AB45" s="39" t="s">
        <v>4112</v>
      </c>
      <c r="AC45" s="39" t="s">
        <v>4206</v>
      </c>
      <c r="AD45" s="39"/>
      <c r="AE45" s="39" t="s">
        <v>4207</v>
      </c>
      <c r="AN45" s="40"/>
      <c r="AO45" s="39"/>
      <c r="AP45" s="70"/>
      <c r="AQ45" s="71"/>
      <c r="AR45" s="72"/>
      <c r="AU45" s="70"/>
      <c r="AV45" s="77"/>
      <c r="AW45" s="78"/>
      <c r="AX45" s="75"/>
      <c r="BA45" s="76"/>
      <c r="BD45" s="40"/>
      <c r="BE45" s="39"/>
    </row>
    <row r="46" spans="1:57" ht="24">
      <c r="A46" s="39" t="s">
        <v>4037</v>
      </c>
      <c r="B46" s="39" t="s">
        <v>4389</v>
      </c>
      <c r="C46" s="39" t="s">
        <v>57</v>
      </c>
      <c r="D46" s="39">
        <v>45</v>
      </c>
      <c r="E46" s="39">
        <v>1</v>
      </c>
      <c r="G46" s="39" t="s">
        <v>4208</v>
      </c>
      <c r="J46" s="39" t="s">
        <v>4111</v>
      </c>
      <c r="K46" s="39" t="s">
        <v>4055</v>
      </c>
      <c r="N46" s="39">
        <v>1</v>
      </c>
      <c r="O46" s="70"/>
      <c r="P46" s="71">
        <v>1</v>
      </c>
      <c r="Q46" s="72"/>
      <c r="T46" s="70"/>
      <c r="U46" s="73"/>
      <c r="V46" s="74"/>
      <c r="W46" s="75"/>
      <c r="Z46" s="76"/>
      <c r="AA46" s="103" t="s">
        <v>4059</v>
      </c>
      <c r="AC46" s="39" t="s">
        <v>4209</v>
      </c>
      <c r="AD46" s="39"/>
      <c r="AE46" s="39" t="s">
        <v>4210</v>
      </c>
      <c r="AN46" s="40"/>
      <c r="AO46" s="39"/>
      <c r="AP46" s="70"/>
      <c r="AQ46" s="71"/>
      <c r="AR46" s="72"/>
      <c r="AU46" s="70"/>
      <c r="AV46" s="77"/>
      <c r="AW46" s="78"/>
      <c r="AX46" s="75"/>
      <c r="BA46" s="76"/>
      <c r="BD46" s="40"/>
      <c r="BE46" s="39"/>
    </row>
    <row r="47" spans="1:57" ht="24">
      <c r="A47" s="39" t="s">
        <v>4037</v>
      </c>
      <c r="B47" s="39" t="s">
        <v>4390</v>
      </c>
      <c r="C47" s="39" t="s">
        <v>57</v>
      </c>
      <c r="D47" s="39">
        <v>46</v>
      </c>
      <c r="E47" s="39">
        <v>1</v>
      </c>
      <c r="G47" s="39" t="s">
        <v>4211</v>
      </c>
      <c r="J47" s="39" t="s">
        <v>4111</v>
      </c>
      <c r="K47" s="39" t="s">
        <v>4055</v>
      </c>
      <c r="N47" s="39">
        <v>2</v>
      </c>
      <c r="O47" s="70"/>
      <c r="P47" s="71"/>
      <c r="Q47" s="72"/>
      <c r="R47" s="63">
        <v>1</v>
      </c>
      <c r="T47" s="70"/>
      <c r="U47" s="73"/>
      <c r="V47" s="74"/>
      <c r="W47" s="75"/>
      <c r="Z47" s="76"/>
      <c r="AA47" s="103" t="s">
        <v>4061</v>
      </c>
      <c r="AC47" s="39" t="s">
        <v>4209</v>
      </c>
      <c r="AD47" s="39"/>
      <c r="AE47" s="39" t="s">
        <v>4212</v>
      </c>
      <c r="AN47" s="40"/>
      <c r="AO47" s="39"/>
      <c r="AP47" s="70"/>
      <c r="AQ47" s="71"/>
      <c r="AR47" s="72"/>
      <c r="AU47" s="70"/>
      <c r="AV47" s="77"/>
      <c r="AW47" s="78"/>
      <c r="AX47" s="75"/>
      <c r="BA47" s="76"/>
      <c r="BD47" s="40"/>
      <c r="BE47" s="39"/>
    </row>
    <row r="48" spans="1:57" ht="24">
      <c r="A48" s="39" t="s">
        <v>4037</v>
      </c>
      <c r="B48" s="39" t="s">
        <v>4391</v>
      </c>
      <c r="C48" s="39" t="s">
        <v>57</v>
      </c>
      <c r="D48" s="39">
        <v>47</v>
      </c>
      <c r="E48" s="39">
        <v>1</v>
      </c>
      <c r="G48" s="39" t="s">
        <v>4213</v>
      </c>
      <c r="J48" s="39" t="s">
        <v>4111</v>
      </c>
      <c r="K48" s="39" t="s">
        <v>4055</v>
      </c>
      <c r="N48" s="39">
        <v>3</v>
      </c>
      <c r="O48" s="70"/>
      <c r="P48" s="71"/>
      <c r="Q48" s="72"/>
      <c r="T48" s="70"/>
      <c r="U48" s="73"/>
      <c r="V48" s="74"/>
      <c r="W48" s="75"/>
      <c r="Z48" s="76"/>
      <c r="AA48" s="103" t="s">
        <v>4060</v>
      </c>
      <c r="AB48" s="39" t="s">
        <v>4112</v>
      </c>
      <c r="AC48" s="39" t="s">
        <v>4777</v>
      </c>
      <c r="AD48" s="39" t="s">
        <v>4778</v>
      </c>
      <c r="AE48" s="39" t="s">
        <v>4779</v>
      </c>
      <c r="AN48" s="40"/>
      <c r="AO48" s="39"/>
      <c r="AP48" s="70"/>
      <c r="AQ48" s="71"/>
      <c r="AR48" s="72"/>
      <c r="AU48" s="70"/>
      <c r="AV48" s="77"/>
      <c r="AW48" s="78"/>
      <c r="AX48" s="75"/>
      <c r="BA48" s="76"/>
      <c r="BD48" s="40"/>
      <c r="BE48" s="39"/>
    </row>
    <row r="49" spans="1:57" ht="24">
      <c r="A49" s="39" t="s">
        <v>4037</v>
      </c>
      <c r="B49" s="39" t="s">
        <v>4392</v>
      </c>
      <c r="C49" s="39" t="s">
        <v>57</v>
      </c>
      <c r="D49" s="39">
        <v>48</v>
      </c>
      <c r="E49" s="39">
        <v>1</v>
      </c>
      <c r="G49" s="39" t="s">
        <v>4214</v>
      </c>
      <c r="H49" s="39" t="s">
        <v>4215</v>
      </c>
      <c r="I49" s="39" t="s">
        <v>4077</v>
      </c>
      <c r="J49" s="39" t="s">
        <v>4111</v>
      </c>
      <c r="K49" s="39" t="s">
        <v>4055</v>
      </c>
      <c r="N49" s="39">
        <v>6</v>
      </c>
      <c r="O49" s="70"/>
      <c r="P49" s="71">
        <v>1</v>
      </c>
      <c r="Q49" s="72"/>
      <c r="S49" s="43">
        <v>2</v>
      </c>
      <c r="T49" s="70">
        <v>2</v>
      </c>
      <c r="U49" s="73"/>
      <c r="V49" s="74"/>
      <c r="W49" s="75"/>
      <c r="Z49" s="76"/>
      <c r="AA49" s="103" t="s">
        <v>4059</v>
      </c>
      <c r="AB49" s="39" t="s">
        <v>25</v>
      </c>
      <c r="AC49" s="39" t="s">
        <v>4216</v>
      </c>
      <c r="AD49" s="39"/>
      <c r="AE49" s="39" t="s">
        <v>4217</v>
      </c>
      <c r="AN49" s="40"/>
      <c r="AO49" s="39"/>
      <c r="AP49" s="70"/>
      <c r="AQ49" s="71"/>
      <c r="AR49" s="72"/>
      <c r="AU49" s="70"/>
      <c r="AV49" s="77"/>
      <c r="AW49" s="78"/>
      <c r="AX49" s="75"/>
      <c r="BA49" s="76"/>
      <c r="BD49" s="40"/>
      <c r="BE49" s="39"/>
    </row>
    <row r="50" spans="1:57" ht="24">
      <c r="A50" s="39" t="s">
        <v>4037</v>
      </c>
      <c r="B50" s="39" t="s">
        <v>4393</v>
      </c>
      <c r="C50" s="39" t="s">
        <v>57</v>
      </c>
      <c r="D50" s="39">
        <v>49</v>
      </c>
      <c r="E50" s="39">
        <v>1</v>
      </c>
      <c r="G50" s="39" t="s">
        <v>4218</v>
      </c>
      <c r="J50" s="39" t="s">
        <v>4111</v>
      </c>
      <c r="K50" s="39" t="s">
        <v>4055</v>
      </c>
      <c r="N50" s="39">
        <v>2</v>
      </c>
      <c r="O50" s="70"/>
      <c r="P50" s="71"/>
      <c r="Q50" s="72">
        <v>1</v>
      </c>
      <c r="R50" s="63">
        <v>1</v>
      </c>
      <c r="T50" s="70"/>
      <c r="U50" s="73"/>
      <c r="V50" s="74"/>
      <c r="W50" s="75"/>
      <c r="Z50" s="76"/>
      <c r="AA50" s="103" t="s">
        <v>4941</v>
      </c>
      <c r="AC50" s="39" t="s">
        <v>4143</v>
      </c>
      <c r="AD50" s="39"/>
      <c r="AE50" s="39" t="s">
        <v>4219</v>
      </c>
      <c r="AN50" s="40"/>
      <c r="AO50" s="39"/>
      <c r="AP50" s="70"/>
      <c r="AQ50" s="71"/>
      <c r="AR50" s="72"/>
      <c r="AU50" s="70"/>
      <c r="AV50" s="77"/>
      <c r="AW50" s="78"/>
      <c r="AX50" s="75"/>
      <c r="BA50" s="76"/>
      <c r="BD50" s="40"/>
      <c r="BE50" s="39"/>
    </row>
    <row r="51" spans="1:57" ht="24">
      <c r="A51" s="39" t="s">
        <v>4037</v>
      </c>
      <c r="B51" s="39" t="s">
        <v>4394</v>
      </c>
      <c r="C51" s="39" t="s">
        <v>57</v>
      </c>
      <c r="D51" s="39">
        <v>50</v>
      </c>
      <c r="E51" s="39">
        <v>1</v>
      </c>
      <c r="G51" s="39" t="s">
        <v>4220</v>
      </c>
      <c r="J51" s="39" t="s">
        <v>27</v>
      </c>
      <c r="K51" s="39" t="s">
        <v>4055</v>
      </c>
      <c r="N51" s="39">
        <v>2</v>
      </c>
      <c r="O51" s="70"/>
      <c r="P51" s="71"/>
      <c r="Q51" s="72"/>
      <c r="T51" s="70"/>
      <c r="U51" s="73"/>
      <c r="V51" s="74"/>
      <c r="W51" s="75"/>
      <c r="Z51" s="76"/>
      <c r="AA51" s="103" t="s">
        <v>4943</v>
      </c>
      <c r="AC51" s="39" t="s">
        <v>4161</v>
      </c>
      <c r="AD51" s="39" t="s">
        <v>4511</v>
      </c>
      <c r="AE51" s="39" t="s">
        <v>4780</v>
      </c>
      <c r="AN51" s="40"/>
      <c r="AO51" s="39"/>
      <c r="AP51" s="70"/>
      <c r="AQ51" s="71"/>
      <c r="AR51" s="72"/>
      <c r="AU51" s="70"/>
      <c r="AV51" s="77"/>
      <c r="AW51" s="78"/>
      <c r="AX51" s="75"/>
      <c r="BA51" s="76"/>
      <c r="BD51" s="40"/>
      <c r="BE51" s="39"/>
    </row>
    <row r="52" spans="1:57" ht="24">
      <c r="A52" s="39" t="s">
        <v>4037</v>
      </c>
      <c r="B52" s="39" t="s">
        <v>4395</v>
      </c>
      <c r="C52" s="39" t="s">
        <v>57</v>
      </c>
      <c r="D52" s="39">
        <v>51</v>
      </c>
      <c r="E52" s="39">
        <v>1</v>
      </c>
      <c r="G52" s="39" t="s">
        <v>4221</v>
      </c>
      <c r="J52" s="39" t="s">
        <v>27</v>
      </c>
      <c r="K52" s="39" t="s">
        <v>4055</v>
      </c>
      <c r="N52" s="39">
        <v>3</v>
      </c>
      <c r="O52" s="70"/>
      <c r="P52" s="71"/>
      <c r="Q52" s="72">
        <v>1</v>
      </c>
      <c r="R52" s="63">
        <v>1</v>
      </c>
      <c r="T52" s="70"/>
      <c r="U52" s="73"/>
      <c r="V52" s="74"/>
      <c r="W52" s="75"/>
      <c r="Z52" s="76"/>
      <c r="AA52" s="103" t="s">
        <v>4941</v>
      </c>
      <c r="AC52" s="39" t="s">
        <v>4161</v>
      </c>
      <c r="AD52" s="39"/>
      <c r="AE52" s="39" t="s">
        <v>4222</v>
      </c>
      <c r="AN52" s="40"/>
      <c r="AO52" s="39"/>
      <c r="AP52" s="70"/>
      <c r="AQ52" s="71"/>
      <c r="AR52" s="72"/>
      <c r="AU52" s="70"/>
      <c r="AV52" s="77"/>
      <c r="AW52" s="78"/>
      <c r="AX52" s="75"/>
      <c r="BA52" s="76"/>
      <c r="BD52" s="40"/>
      <c r="BE52" s="39"/>
    </row>
    <row r="53" spans="1:57" ht="15.75">
      <c r="A53" s="39" t="s">
        <v>4037</v>
      </c>
      <c r="B53" s="39" t="s">
        <v>4396</v>
      </c>
      <c r="C53" s="39" t="s">
        <v>57</v>
      </c>
      <c r="D53" s="39">
        <v>52</v>
      </c>
      <c r="E53" s="39">
        <v>1</v>
      </c>
      <c r="G53" s="39" t="s">
        <v>4223</v>
      </c>
      <c r="J53" s="39" t="s">
        <v>27</v>
      </c>
      <c r="K53" s="39" t="s">
        <v>4055</v>
      </c>
      <c r="N53" s="39">
        <v>2</v>
      </c>
      <c r="O53" s="70"/>
      <c r="P53" s="71"/>
      <c r="Q53" s="72"/>
      <c r="T53" s="70"/>
      <c r="U53" s="73"/>
      <c r="V53" s="74"/>
      <c r="W53" s="75"/>
      <c r="Z53" s="76"/>
      <c r="AA53" s="103" t="s">
        <v>4945</v>
      </c>
      <c r="AC53" s="39" t="s">
        <v>4161</v>
      </c>
      <c r="AD53" s="39"/>
      <c r="AE53" s="39" t="s">
        <v>4781</v>
      </c>
      <c r="AN53" s="40"/>
      <c r="AO53" s="39"/>
      <c r="AP53" s="70"/>
      <c r="AQ53" s="71"/>
      <c r="AR53" s="72"/>
      <c r="AU53" s="70"/>
      <c r="AV53" s="77"/>
      <c r="AW53" s="78"/>
      <c r="AX53" s="75"/>
      <c r="BA53" s="76"/>
      <c r="BD53" s="40"/>
      <c r="BE53" s="39"/>
    </row>
    <row r="54" spans="1:57" ht="24">
      <c r="A54" s="39" t="s">
        <v>4037</v>
      </c>
      <c r="B54" s="39" t="s">
        <v>4397</v>
      </c>
      <c r="C54" s="39" t="s">
        <v>57</v>
      </c>
      <c r="D54" s="39">
        <v>53</v>
      </c>
      <c r="E54" s="39">
        <v>1</v>
      </c>
      <c r="G54" s="39" t="s">
        <v>4224</v>
      </c>
      <c r="J54" s="39" t="s">
        <v>4166</v>
      </c>
      <c r="K54" s="39" t="s">
        <v>4055</v>
      </c>
      <c r="N54" s="39"/>
      <c r="O54" s="70"/>
      <c r="P54" s="71"/>
      <c r="Q54" s="72"/>
      <c r="T54" s="70"/>
      <c r="U54" s="73"/>
      <c r="V54" s="74"/>
      <c r="W54" s="75"/>
      <c r="Z54" s="76"/>
      <c r="AA54" s="103" t="s">
        <v>4062</v>
      </c>
      <c r="AC54" s="39" t="s">
        <v>4266</v>
      </c>
      <c r="AD54" s="39" t="s">
        <v>4782</v>
      </c>
      <c r="AE54" s="39" t="s">
        <v>4783</v>
      </c>
      <c r="AN54" s="40"/>
      <c r="AO54" s="39"/>
      <c r="AP54" s="70"/>
      <c r="AQ54" s="71"/>
      <c r="AR54" s="72"/>
      <c r="AU54" s="70"/>
      <c r="AV54" s="77"/>
      <c r="AW54" s="78"/>
      <c r="AX54" s="75"/>
      <c r="BA54" s="76"/>
      <c r="BD54" s="40"/>
      <c r="BE54" s="39"/>
    </row>
    <row r="55" spans="1:57" ht="24">
      <c r="A55" s="39" t="s">
        <v>4037</v>
      </c>
      <c r="B55" s="39" t="s">
        <v>4398</v>
      </c>
      <c r="C55" s="39" t="s">
        <v>57</v>
      </c>
      <c r="D55" s="39">
        <v>54</v>
      </c>
      <c r="E55" s="39">
        <v>1</v>
      </c>
      <c r="G55" s="39" t="s">
        <v>4214</v>
      </c>
      <c r="H55" s="39" t="s">
        <v>4215</v>
      </c>
      <c r="I55" s="39" t="s">
        <v>4077</v>
      </c>
      <c r="J55" s="39" t="s">
        <v>4111</v>
      </c>
      <c r="K55" s="39" t="s">
        <v>4055</v>
      </c>
      <c r="L55" s="39">
        <v>1</v>
      </c>
      <c r="N55" s="39">
        <v>5</v>
      </c>
      <c r="O55" s="70"/>
      <c r="P55" s="71">
        <v>1</v>
      </c>
      <c r="Q55" s="72"/>
      <c r="S55" s="43">
        <v>2</v>
      </c>
      <c r="T55" s="70">
        <v>2</v>
      </c>
      <c r="U55" s="73"/>
      <c r="V55" s="74"/>
      <c r="W55" s="75"/>
      <c r="Z55" s="76"/>
      <c r="AA55" s="103" t="s">
        <v>4059</v>
      </c>
      <c r="AB55" s="39" t="s">
        <v>25</v>
      </c>
      <c r="AC55" s="39" t="s">
        <v>4216</v>
      </c>
      <c r="AD55" s="39"/>
      <c r="AE55" s="39" t="s">
        <v>4217</v>
      </c>
      <c r="AN55" s="40"/>
      <c r="AO55" s="39"/>
      <c r="AP55" s="70"/>
      <c r="AQ55" s="71"/>
      <c r="AR55" s="72"/>
      <c r="AU55" s="70"/>
      <c r="AV55" s="77"/>
      <c r="AW55" s="78"/>
      <c r="AX55" s="75"/>
      <c r="BA55" s="76"/>
      <c r="BD55" s="40"/>
      <c r="BE55" s="39"/>
    </row>
    <row r="56" spans="1:57" ht="36">
      <c r="A56" s="39" t="s">
        <v>4037</v>
      </c>
      <c r="B56" s="39" t="s">
        <v>4513</v>
      </c>
      <c r="C56" s="39" t="s">
        <v>57</v>
      </c>
      <c r="D56" s="39">
        <v>55</v>
      </c>
      <c r="E56" s="39">
        <v>1</v>
      </c>
      <c r="G56" s="39" t="s">
        <v>4951</v>
      </c>
      <c r="J56" s="39" t="s">
        <v>4111</v>
      </c>
      <c r="K56" s="39" t="s">
        <v>4055</v>
      </c>
      <c r="L56" s="39">
        <v>1</v>
      </c>
      <c r="N56" s="39">
        <v>4</v>
      </c>
      <c r="O56" s="70">
        <v>1</v>
      </c>
      <c r="P56" s="71"/>
      <c r="Q56" s="72"/>
      <c r="R56" s="63">
        <v>1</v>
      </c>
      <c r="S56" s="43">
        <v>2</v>
      </c>
      <c r="T56" s="70">
        <v>2</v>
      </c>
      <c r="U56" s="73"/>
      <c r="V56" s="74"/>
      <c r="W56" s="75"/>
      <c r="Z56" s="76"/>
      <c r="AA56" s="103" t="s">
        <v>4939</v>
      </c>
      <c r="AB56" s="39" t="s">
        <v>25</v>
      </c>
      <c r="AC56" s="39" t="s">
        <v>4216</v>
      </c>
      <c r="AD56" s="39" t="s">
        <v>4515</v>
      </c>
      <c r="AE56" s="39" t="s">
        <v>4516</v>
      </c>
      <c r="AN56" s="40"/>
      <c r="AO56" s="39"/>
      <c r="AP56" s="70"/>
      <c r="AQ56" s="71"/>
      <c r="AR56" s="72"/>
      <c r="AU56" s="70"/>
      <c r="AV56" s="77"/>
      <c r="AW56" s="78"/>
      <c r="AX56" s="75"/>
      <c r="BA56" s="76"/>
      <c r="BD56" s="40"/>
      <c r="BE56" s="39"/>
    </row>
    <row r="57" spans="1:57" ht="36">
      <c r="A57" s="39" t="s">
        <v>4037</v>
      </c>
      <c r="B57" s="39" t="s">
        <v>4514</v>
      </c>
      <c r="C57" s="39" t="s">
        <v>57</v>
      </c>
      <c r="D57" s="39">
        <v>56</v>
      </c>
      <c r="E57" s="39">
        <v>1</v>
      </c>
      <c r="G57" s="39" t="s">
        <v>4517</v>
      </c>
      <c r="J57" s="39" t="s">
        <v>27</v>
      </c>
      <c r="K57" s="39" t="s">
        <v>4055</v>
      </c>
      <c r="L57" s="39">
        <v>3</v>
      </c>
      <c r="N57" s="39">
        <v>2</v>
      </c>
      <c r="O57" s="70"/>
      <c r="P57" s="71"/>
      <c r="Q57" s="72"/>
      <c r="T57" s="70"/>
      <c r="U57" s="73"/>
      <c r="V57" s="74"/>
      <c r="W57" s="75"/>
      <c r="Z57" s="76"/>
      <c r="AA57" s="101"/>
      <c r="AC57" s="39" t="s">
        <v>4518</v>
      </c>
      <c r="AD57" s="39"/>
      <c r="AE57" s="39" t="s">
        <v>4519</v>
      </c>
      <c r="AN57" s="40"/>
      <c r="AO57" s="39"/>
      <c r="AP57" s="70"/>
      <c r="AQ57" s="71"/>
      <c r="AR57" s="72"/>
      <c r="AU57" s="70"/>
      <c r="AV57" s="77"/>
      <c r="AW57" s="78"/>
      <c r="AX57" s="75"/>
      <c r="BA57" s="76"/>
      <c r="BD57" s="40"/>
      <c r="BE57" s="39"/>
    </row>
    <row r="58" spans="1:57" ht="24">
      <c r="A58" s="39" t="s">
        <v>4037</v>
      </c>
      <c r="B58" s="39" t="s">
        <v>4399</v>
      </c>
      <c r="C58" s="39" t="s">
        <v>57</v>
      </c>
      <c r="D58" s="39">
        <v>57</v>
      </c>
      <c r="E58" s="39">
        <v>1</v>
      </c>
      <c r="G58" s="39" t="s">
        <v>4225</v>
      </c>
      <c r="J58" s="39" t="s">
        <v>27</v>
      </c>
      <c r="K58" s="39" t="s">
        <v>4055</v>
      </c>
      <c r="L58" s="39">
        <v>4</v>
      </c>
      <c r="N58" s="39">
        <v>3</v>
      </c>
      <c r="O58" s="70"/>
      <c r="P58" s="71"/>
      <c r="Q58" s="72"/>
      <c r="T58" s="70"/>
      <c r="U58" s="73"/>
      <c r="V58" s="74"/>
      <c r="W58" s="75"/>
      <c r="Z58" s="76"/>
      <c r="AA58" s="103" t="s">
        <v>4062</v>
      </c>
      <c r="AC58" s="39" t="s">
        <v>4226</v>
      </c>
      <c r="AD58" s="39"/>
      <c r="AE58" s="39" t="s">
        <v>4227</v>
      </c>
      <c r="AN58" s="40"/>
      <c r="AO58" s="39"/>
      <c r="AP58" s="70"/>
      <c r="AQ58" s="71"/>
      <c r="AR58" s="72"/>
      <c r="AU58" s="70"/>
      <c r="AV58" s="77"/>
      <c r="AW58" s="78"/>
      <c r="AX58" s="75"/>
      <c r="BA58" s="76"/>
      <c r="BD58" s="40"/>
      <c r="BE58" s="39"/>
    </row>
    <row r="59" spans="1:57" ht="60">
      <c r="A59" s="39" t="s">
        <v>4037</v>
      </c>
      <c r="B59" s="39" t="s">
        <v>4400</v>
      </c>
      <c r="C59" s="39" t="s">
        <v>57</v>
      </c>
      <c r="D59" s="39">
        <v>58</v>
      </c>
      <c r="E59" s="39">
        <v>1</v>
      </c>
      <c r="G59" s="39" t="s">
        <v>4520</v>
      </c>
      <c r="J59" s="39" t="s">
        <v>4111</v>
      </c>
      <c r="K59" s="39" t="s">
        <v>4054</v>
      </c>
      <c r="N59" s="39">
        <v>0</v>
      </c>
      <c r="O59" s="70"/>
      <c r="P59" s="71">
        <v>1</v>
      </c>
      <c r="Q59" s="72"/>
      <c r="T59" s="70"/>
      <c r="U59" s="73"/>
      <c r="V59" s="74"/>
      <c r="W59" s="75"/>
      <c r="Z59" s="76"/>
      <c r="AA59" s="103" t="s">
        <v>4059</v>
      </c>
      <c r="AC59" s="39" t="s">
        <v>4143</v>
      </c>
      <c r="AD59" s="39"/>
      <c r="AE59" s="39" t="s">
        <v>4521</v>
      </c>
      <c r="AN59" s="40"/>
      <c r="AO59" s="39"/>
      <c r="AP59" s="70"/>
      <c r="AQ59" s="71"/>
      <c r="AR59" s="72"/>
      <c r="AU59" s="70"/>
      <c r="AV59" s="77"/>
      <c r="AW59" s="78"/>
      <c r="AX59" s="75"/>
      <c r="BA59" s="76"/>
      <c r="BD59" s="40"/>
      <c r="BE59" s="39"/>
    </row>
    <row r="60" spans="1:57" ht="24">
      <c r="A60" s="39" t="s">
        <v>4037</v>
      </c>
      <c r="B60" s="39" t="s">
        <v>4401</v>
      </c>
      <c r="C60" s="39" t="s">
        <v>57</v>
      </c>
      <c r="D60" s="39">
        <v>59</v>
      </c>
      <c r="E60" s="39">
        <v>1</v>
      </c>
      <c r="G60" s="39" t="s">
        <v>4228</v>
      </c>
      <c r="J60" s="39" t="s">
        <v>4111</v>
      </c>
      <c r="K60" s="39" t="s">
        <v>4054</v>
      </c>
      <c r="N60" s="39">
        <v>2</v>
      </c>
      <c r="O60" s="70">
        <v>1</v>
      </c>
      <c r="P60" s="71"/>
      <c r="Q60" s="72"/>
      <c r="T60" s="70"/>
      <c r="U60" s="73"/>
      <c r="V60" s="74"/>
      <c r="W60" s="75"/>
      <c r="Z60" s="76"/>
      <c r="AA60" s="103" t="s">
        <v>4058</v>
      </c>
      <c r="AB60" s="39" t="s">
        <v>4129</v>
      </c>
      <c r="AC60" s="39" t="s">
        <v>4229</v>
      </c>
      <c r="AD60" s="39"/>
      <c r="AE60" s="39" t="s">
        <v>4230</v>
      </c>
      <c r="AN60" s="40"/>
      <c r="AO60" s="39"/>
      <c r="AP60" s="70"/>
      <c r="AQ60" s="71"/>
      <c r="AR60" s="72"/>
      <c r="AU60" s="70"/>
      <c r="AV60" s="77"/>
      <c r="AW60" s="78"/>
      <c r="AX60" s="75"/>
      <c r="BA60" s="76"/>
      <c r="BD60" s="40"/>
      <c r="BE60" s="39"/>
    </row>
    <row r="61" spans="1:57" ht="48">
      <c r="A61" s="39" t="s">
        <v>4037</v>
      </c>
      <c r="B61" s="39" t="s">
        <v>4402</v>
      </c>
      <c r="C61" s="39" t="s">
        <v>57</v>
      </c>
      <c r="D61" s="39">
        <v>60</v>
      </c>
      <c r="E61" s="39">
        <v>1</v>
      </c>
      <c r="G61" s="39" t="s">
        <v>4231</v>
      </c>
      <c r="J61" s="39" t="s">
        <v>4111</v>
      </c>
      <c r="K61" s="39" t="s">
        <v>4054</v>
      </c>
      <c r="N61" s="39">
        <v>3</v>
      </c>
      <c r="O61" s="70"/>
      <c r="P61" s="71"/>
      <c r="Q61" s="72">
        <v>1</v>
      </c>
      <c r="T61" s="70"/>
      <c r="U61" s="73"/>
      <c r="V61" s="74"/>
      <c r="W61" s="75"/>
      <c r="Z61" s="76"/>
      <c r="AA61" s="103" t="s">
        <v>4060</v>
      </c>
      <c r="AB61" s="39" t="s">
        <v>4232</v>
      </c>
      <c r="AC61" s="39" t="s">
        <v>4133</v>
      </c>
      <c r="AD61" s="39"/>
      <c r="AE61" s="39" t="s">
        <v>4233</v>
      </c>
      <c r="AN61" s="40"/>
      <c r="AO61" s="39"/>
      <c r="AP61" s="70"/>
      <c r="AQ61" s="71"/>
      <c r="AR61" s="72"/>
      <c r="AU61" s="70"/>
      <c r="AV61" s="77"/>
      <c r="AW61" s="78"/>
      <c r="AX61" s="75"/>
      <c r="BA61" s="76"/>
      <c r="BD61" s="40"/>
      <c r="BE61" s="39"/>
    </row>
    <row r="62" spans="1:57" ht="48">
      <c r="A62" s="39" t="s">
        <v>4037</v>
      </c>
      <c r="B62" s="39" t="s">
        <v>4403</v>
      </c>
      <c r="C62" s="39" t="s">
        <v>57</v>
      </c>
      <c r="D62" s="39">
        <v>61</v>
      </c>
      <c r="E62" s="39">
        <v>1</v>
      </c>
      <c r="G62" s="39" t="s">
        <v>4234</v>
      </c>
      <c r="J62" s="39" t="s">
        <v>4111</v>
      </c>
      <c r="K62" s="39" t="s">
        <v>4054</v>
      </c>
      <c r="N62" s="39">
        <v>1</v>
      </c>
      <c r="O62" s="70"/>
      <c r="P62" s="71">
        <v>1</v>
      </c>
      <c r="Q62" s="72"/>
      <c r="T62" s="70"/>
      <c r="U62" s="73"/>
      <c r="V62" s="74"/>
      <c r="W62" s="75"/>
      <c r="Z62" s="76"/>
      <c r="AA62" s="103" t="s">
        <v>4059</v>
      </c>
      <c r="AB62" s="39" t="s">
        <v>4232</v>
      </c>
      <c r="AC62" s="39" t="s">
        <v>4133</v>
      </c>
      <c r="AD62" s="39"/>
      <c r="AE62" s="39" t="s">
        <v>4235</v>
      </c>
      <c r="AN62" s="40"/>
      <c r="AO62" s="39"/>
      <c r="AP62" s="70"/>
      <c r="AQ62" s="71"/>
      <c r="AR62" s="72"/>
      <c r="AU62" s="70"/>
      <c r="AV62" s="77"/>
      <c r="AW62" s="78"/>
      <c r="AX62" s="75"/>
      <c r="BA62" s="76"/>
      <c r="BD62" s="40"/>
      <c r="BE62" s="39"/>
    </row>
    <row r="63" spans="1:57" ht="24">
      <c r="A63" s="39" t="s">
        <v>4037</v>
      </c>
      <c r="B63" s="39" t="s">
        <v>4404</v>
      </c>
      <c r="C63" s="39" t="s">
        <v>57</v>
      </c>
      <c r="D63" s="39">
        <v>62</v>
      </c>
      <c r="E63" s="39">
        <v>1</v>
      </c>
      <c r="G63" s="39" t="s">
        <v>4236</v>
      </c>
      <c r="J63" s="39" t="s">
        <v>4111</v>
      </c>
      <c r="K63" s="39" t="s">
        <v>4054</v>
      </c>
      <c r="N63" s="39">
        <v>2</v>
      </c>
      <c r="O63" s="70">
        <v>1</v>
      </c>
      <c r="P63" s="71">
        <v>1</v>
      </c>
      <c r="Q63" s="72"/>
      <c r="T63" s="70"/>
      <c r="U63" s="73"/>
      <c r="V63" s="74"/>
      <c r="W63" s="75"/>
      <c r="Z63" s="76"/>
      <c r="AA63" s="103" t="s">
        <v>4946</v>
      </c>
      <c r="AC63" s="39" t="s">
        <v>4143</v>
      </c>
      <c r="AD63" s="39"/>
      <c r="AE63" s="39" t="s">
        <v>4237</v>
      </c>
      <c r="AN63" s="40"/>
      <c r="AO63" s="39"/>
      <c r="AP63" s="70"/>
      <c r="AQ63" s="71"/>
      <c r="AR63" s="72"/>
      <c r="AU63" s="70"/>
      <c r="AV63" s="77"/>
      <c r="AW63" s="78"/>
      <c r="AX63" s="75"/>
      <c r="BA63" s="76"/>
      <c r="BD63" s="40"/>
      <c r="BE63" s="39"/>
    </row>
    <row r="64" spans="1:57" ht="36">
      <c r="A64" s="39" t="s">
        <v>4037</v>
      </c>
      <c r="B64" s="39" t="s">
        <v>4522</v>
      </c>
      <c r="C64" s="39" t="s">
        <v>57</v>
      </c>
      <c r="D64" s="39">
        <v>63</v>
      </c>
      <c r="E64" s="39">
        <v>1</v>
      </c>
      <c r="G64" s="39" t="s">
        <v>4523</v>
      </c>
      <c r="J64" s="39" t="s">
        <v>4111</v>
      </c>
      <c r="K64" s="39" t="s">
        <v>4054</v>
      </c>
      <c r="N64" s="39">
        <v>1</v>
      </c>
      <c r="O64" s="70">
        <v>1</v>
      </c>
      <c r="P64" s="71"/>
      <c r="Q64" s="72"/>
      <c r="S64" s="43">
        <v>1</v>
      </c>
      <c r="T64" s="70">
        <v>2</v>
      </c>
      <c r="U64" s="73"/>
      <c r="V64" s="74"/>
      <c r="W64" s="75"/>
      <c r="Z64" s="76"/>
      <c r="AA64" s="103" t="s">
        <v>4058</v>
      </c>
      <c r="AB64" s="39" t="s">
        <v>25</v>
      </c>
      <c r="AC64" s="39" t="s">
        <v>4524</v>
      </c>
      <c r="AD64" s="39"/>
      <c r="AE64" s="39" t="s">
        <v>4525</v>
      </c>
      <c r="AN64" s="40"/>
      <c r="AO64" s="39"/>
      <c r="AP64" s="70"/>
      <c r="AQ64" s="71"/>
      <c r="AR64" s="72"/>
      <c r="AU64" s="70"/>
      <c r="AV64" s="77"/>
      <c r="AW64" s="78"/>
      <c r="AX64" s="75"/>
      <c r="BA64" s="76"/>
      <c r="BD64" s="40"/>
      <c r="BE64" s="39"/>
    </row>
    <row r="65" spans="1:57" ht="24">
      <c r="A65" s="39" t="s">
        <v>4037</v>
      </c>
      <c r="B65" s="39" t="s">
        <v>4405</v>
      </c>
      <c r="C65" s="39" t="s">
        <v>57</v>
      </c>
      <c r="D65" s="39">
        <v>64</v>
      </c>
      <c r="E65" s="39">
        <v>1</v>
      </c>
      <c r="G65" s="39" t="s">
        <v>4238</v>
      </c>
      <c r="J65" s="39" t="s">
        <v>27</v>
      </c>
      <c r="K65" s="39" t="s">
        <v>4054</v>
      </c>
      <c r="N65" s="39">
        <v>0</v>
      </c>
      <c r="O65" s="70">
        <v>1</v>
      </c>
      <c r="P65" s="71">
        <v>1</v>
      </c>
      <c r="Q65" s="72"/>
      <c r="T65" s="70"/>
      <c r="U65" s="73"/>
      <c r="V65" s="74"/>
      <c r="W65" s="75"/>
      <c r="Z65" s="76"/>
      <c r="AA65" s="103" t="s">
        <v>4946</v>
      </c>
      <c r="AC65" s="39" t="s">
        <v>4158</v>
      </c>
      <c r="AD65" s="39"/>
      <c r="AE65" s="39" t="s">
        <v>4239</v>
      </c>
      <c r="AN65" s="40"/>
      <c r="AO65" s="39"/>
      <c r="AP65" s="70"/>
      <c r="AQ65" s="71"/>
      <c r="AR65" s="72"/>
      <c r="AU65" s="70"/>
      <c r="AV65" s="77"/>
      <c r="AW65" s="78"/>
      <c r="AX65" s="75"/>
      <c r="BA65" s="76"/>
      <c r="BD65" s="40"/>
      <c r="BE65" s="39"/>
    </row>
    <row r="66" spans="1:57" ht="24">
      <c r="A66" s="39" t="s">
        <v>4037</v>
      </c>
      <c r="B66" s="39" t="s">
        <v>4526</v>
      </c>
      <c r="C66" s="39" t="s">
        <v>57</v>
      </c>
      <c r="D66" s="39">
        <v>65</v>
      </c>
      <c r="E66" s="39">
        <v>1</v>
      </c>
      <c r="G66" s="39" t="s">
        <v>4527</v>
      </c>
      <c r="J66" s="39" t="s">
        <v>27</v>
      </c>
      <c r="K66" s="39" t="s">
        <v>4054</v>
      </c>
      <c r="N66" s="39">
        <v>1</v>
      </c>
      <c r="O66" s="70"/>
      <c r="P66" s="71"/>
      <c r="Q66" s="72"/>
      <c r="T66" s="70"/>
      <c r="U66" s="73"/>
      <c r="V66" s="74"/>
      <c r="W66" s="75"/>
      <c r="Z66" s="76"/>
      <c r="AA66" s="103" t="s">
        <v>4062</v>
      </c>
      <c r="AC66" s="39" t="s">
        <v>4528</v>
      </c>
      <c r="AD66" s="39"/>
      <c r="AE66" s="39" t="s">
        <v>4529</v>
      </c>
      <c r="AN66" s="40"/>
      <c r="AO66" s="39"/>
      <c r="AP66" s="70"/>
      <c r="AQ66" s="71"/>
      <c r="AR66" s="72"/>
      <c r="AU66" s="70"/>
      <c r="AV66" s="77"/>
      <c r="AW66" s="78"/>
      <c r="AX66" s="75"/>
      <c r="BA66" s="76"/>
      <c r="BD66" s="40"/>
      <c r="BE66" s="39"/>
    </row>
    <row r="67" spans="1:57" ht="48">
      <c r="A67" s="39" t="s">
        <v>4037</v>
      </c>
      <c r="B67" s="39" t="s">
        <v>4406</v>
      </c>
      <c r="C67" s="39" t="s">
        <v>57</v>
      </c>
      <c r="D67" s="39">
        <v>66</v>
      </c>
      <c r="E67" s="39">
        <v>1</v>
      </c>
      <c r="G67" s="39" t="s">
        <v>4240</v>
      </c>
      <c r="J67" s="39" t="s">
        <v>27</v>
      </c>
      <c r="K67" s="39" t="s">
        <v>4054</v>
      </c>
      <c r="N67" s="39">
        <v>2</v>
      </c>
      <c r="O67" s="70">
        <v>1</v>
      </c>
      <c r="P67" s="71"/>
      <c r="Q67" s="72"/>
      <c r="R67" s="63">
        <v>1</v>
      </c>
      <c r="T67" s="70"/>
      <c r="U67" s="73"/>
      <c r="V67" s="74"/>
      <c r="W67" s="75"/>
      <c r="Z67" s="76"/>
      <c r="AA67" s="103" t="s">
        <v>4939</v>
      </c>
      <c r="AC67" s="39" t="s">
        <v>4241</v>
      </c>
      <c r="AD67" s="39"/>
      <c r="AE67" s="39" t="s">
        <v>4242</v>
      </c>
      <c r="AN67" s="40"/>
      <c r="AO67" s="39"/>
      <c r="AP67" s="70"/>
      <c r="AQ67" s="71"/>
      <c r="AR67" s="72"/>
      <c r="AU67" s="70"/>
      <c r="AV67" s="77"/>
      <c r="AW67" s="78"/>
      <c r="AX67" s="75"/>
      <c r="BA67" s="76"/>
      <c r="BD67" s="40"/>
      <c r="BE67" s="39"/>
    </row>
    <row r="68" spans="1:57" ht="24">
      <c r="A68" s="39" t="s">
        <v>4037</v>
      </c>
      <c r="B68" s="39" t="s">
        <v>4530</v>
      </c>
      <c r="C68" s="39" t="s">
        <v>57</v>
      </c>
      <c r="D68" s="39">
        <v>67</v>
      </c>
      <c r="E68" s="39">
        <v>1</v>
      </c>
      <c r="G68" s="39" t="s">
        <v>4532</v>
      </c>
      <c r="J68" s="39" t="s">
        <v>4166</v>
      </c>
      <c r="K68" s="39" t="s">
        <v>4054</v>
      </c>
      <c r="N68" s="39"/>
      <c r="O68" s="70">
        <v>1</v>
      </c>
      <c r="P68" s="71"/>
      <c r="Q68" s="72"/>
      <c r="T68" s="70"/>
      <c r="U68" s="73"/>
      <c r="V68" s="74"/>
      <c r="W68" s="75"/>
      <c r="Z68" s="76"/>
      <c r="AA68" s="103" t="s">
        <v>4058</v>
      </c>
      <c r="AC68" s="39" t="s">
        <v>4266</v>
      </c>
      <c r="AD68" s="39"/>
      <c r="AE68" s="39" t="s">
        <v>4533</v>
      </c>
      <c r="AN68" s="40"/>
      <c r="AO68" s="39"/>
      <c r="AP68" s="70"/>
      <c r="AQ68" s="71"/>
      <c r="AR68" s="72"/>
      <c r="AU68" s="70"/>
      <c r="AV68" s="77"/>
      <c r="AW68" s="78"/>
      <c r="AX68" s="75"/>
      <c r="BA68" s="76"/>
      <c r="BD68" s="40"/>
      <c r="BE68" s="39"/>
    </row>
    <row r="69" spans="1:57" ht="36">
      <c r="A69" s="39" t="s">
        <v>4037</v>
      </c>
      <c r="B69" s="39" t="s">
        <v>4531</v>
      </c>
      <c r="C69" s="39" t="s">
        <v>57</v>
      </c>
      <c r="D69" s="39">
        <v>68</v>
      </c>
      <c r="E69" s="39">
        <v>1</v>
      </c>
      <c r="G69" s="39" t="s">
        <v>4534</v>
      </c>
      <c r="J69" s="39" t="s">
        <v>27</v>
      </c>
      <c r="K69" s="39" t="s">
        <v>4054</v>
      </c>
      <c r="L69" s="39">
        <v>1</v>
      </c>
      <c r="N69" s="39">
        <v>1</v>
      </c>
      <c r="O69" s="70">
        <v>1</v>
      </c>
      <c r="P69" s="71"/>
      <c r="Q69" s="72">
        <v>1</v>
      </c>
      <c r="T69" s="70"/>
      <c r="U69" s="73"/>
      <c r="V69" s="74"/>
      <c r="W69" s="75"/>
      <c r="Z69" s="76"/>
      <c r="AA69" s="103" t="s">
        <v>4937</v>
      </c>
      <c r="AC69" s="39" t="s">
        <v>4133</v>
      </c>
      <c r="AD69" s="39" t="s">
        <v>4535</v>
      </c>
      <c r="AE69" s="39" t="s">
        <v>4536</v>
      </c>
      <c r="AN69" s="40"/>
      <c r="AO69" s="39"/>
      <c r="AP69" s="70"/>
      <c r="AQ69" s="71"/>
      <c r="AR69" s="72"/>
      <c r="AU69" s="70"/>
      <c r="AV69" s="77"/>
      <c r="AW69" s="78"/>
      <c r="AX69" s="75"/>
      <c r="BA69" s="76"/>
      <c r="BD69" s="40"/>
      <c r="BE69" s="39"/>
    </row>
    <row r="70" spans="1:57" ht="48">
      <c r="A70" s="39" t="s">
        <v>4037</v>
      </c>
      <c r="B70" s="39" t="s">
        <v>4407</v>
      </c>
      <c r="C70" s="39" t="s">
        <v>57</v>
      </c>
      <c r="D70" s="39">
        <v>69</v>
      </c>
      <c r="E70" s="39">
        <v>1</v>
      </c>
      <c r="G70" s="39" t="s">
        <v>4240</v>
      </c>
      <c r="J70" s="39" t="s">
        <v>27</v>
      </c>
      <c r="K70" s="39" t="s">
        <v>4054</v>
      </c>
      <c r="L70" s="39">
        <v>2</v>
      </c>
      <c r="N70" s="39">
        <v>1</v>
      </c>
      <c r="O70" s="70">
        <v>1</v>
      </c>
      <c r="P70" s="71"/>
      <c r="Q70" s="72"/>
      <c r="R70" s="63">
        <v>1</v>
      </c>
      <c r="T70" s="70"/>
      <c r="U70" s="73"/>
      <c r="V70" s="74"/>
      <c r="W70" s="75"/>
      <c r="Z70" s="76"/>
      <c r="AA70" s="103" t="s">
        <v>4939</v>
      </c>
      <c r="AC70" s="39" t="s">
        <v>4241</v>
      </c>
      <c r="AD70" s="39"/>
      <c r="AE70" s="39" t="s">
        <v>4243</v>
      </c>
      <c r="AN70" s="40"/>
      <c r="AO70" s="39"/>
      <c r="AP70" s="70"/>
      <c r="AQ70" s="71"/>
      <c r="AR70" s="72"/>
      <c r="AU70" s="70"/>
      <c r="AV70" s="77"/>
      <c r="AW70" s="78"/>
      <c r="AX70" s="75"/>
      <c r="BA70" s="76"/>
      <c r="BD70" s="40"/>
      <c r="BE70" s="39"/>
    </row>
    <row r="71" spans="1:57" ht="24">
      <c r="A71" s="39" t="s">
        <v>4037</v>
      </c>
      <c r="B71" s="39" t="s">
        <v>4537</v>
      </c>
      <c r="C71" s="39" t="s">
        <v>57</v>
      </c>
      <c r="D71" s="39">
        <v>70</v>
      </c>
      <c r="E71" s="39">
        <v>1</v>
      </c>
      <c r="G71" s="39" t="s">
        <v>4538</v>
      </c>
      <c r="J71" s="39" t="s">
        <v>4111</v>
      </c>
      <c r="K71" s="39" t="s">
        <v>4054</v>
      </c>
      <c r="L71" s="39">
        <v>3</v>
      </c>
      <c r="N71" s="39">
        <v>4</v>
      </c>
      <c r="O71" s="70">
        <v>1</v>
      </c>
      <c r="P71" s="71">
        <v>1</v>
      </c>
      <c r="Q71" s="72"/>
      <c r="T71" s="70"/>
      <c r="U71" s="73"/>
      <c r="V71" s="74"/>
      <c r="W71" s="75"/>
      <c r="Z71" s="76"/>
      <c r="AA71" s="103" t="s">
        <v>4946</v>
      </c>
      <c r="AB71" s="39" t="s">
        <v>4112</v>
      </c>
      <c r="AC71" s="39" t="s">
        <v>4123</v>
      </c>
      <c r="AD71" s="39" t="s">
        <v>4539</v>
      </c>
      <c r="AE71" s="39" t="s">
        <v>4540</v>
      </c>
      <c r="AN71" s="40"/>
      <c r="AO71" s="39"/>
      <c r="AP71" s="70"/>
      <c r="AQ71" s="71"/>
      <c r="AR71" s="72"/>
      <c r="AU71" s="70"/>
      <c r="AV71" s="77"/>
      <c r="AW71" s="78"/>
      <c r="AX71" s="75"/>
      <c r="BA71" s="76"/>
      <c r="BD71" s="40"/>
      <c r="BE71" s="39"/>
    </row>
    <row r="72" spans="1:57" ht="60">
      <c r="A72" s="39" t="s">
        <v>4037</v>
      </c>
      <c r="B72" s="39" t="s">
        <v>4408</v>
      </c>
      <c r="C72" s="39" t="s">
        <v>57</v>
      </c>
      <c r="D72" s="39">
        <v>71</v>
      </c>
      <c r="E72" s="39">
        <v>1</v>
      </c>
      <c r="G72" s="39" t="s">
        <v>4244</v>
      </c>
      <c r="J72" s="39" t="s">
        <v>4111</v>
      </c>
      <c r="K72" s="39" t="s">
        <v>4054</v>
      </c>
      <c r="L72" s="39">
        <v>4</v>
      </c>
      <c r="N72" s="39">
        <v>2</v>
      </c>
      <c r="O72" s="70"/>
      <c r="P72" s="71"/>
      <c r="Q72" s="72"/>
      <c r="T72" s="70"/>
      <c r="U72" s="73"/>
      <c r="V72" s="74"/>
      <c r="W72" s="75"/>
      <c r="Z72" s="76"/>
      <c r="AA72" s="103" t="s">
        <v>4062</v>
      </c>
      <c r="AB72" s="39" t="s">
        <v>4112</v>
      </c>
      <c r="AC72" s="39" t="s">
        <v>4130</v>
      </c>
      <c r="AD72" s="39"/>
      <c r="AE72" s="39" t="s">
        <v>4245</v>
      </c>
      <c r="AN72" s="40"/>
      <c r="AO72" s="39"/>
      <c r="AP72" s="70"/>
      <c r="AQ72" s="71"/>
      <c r="AR72" s="72"/>
      <c r="AU72" s="70"/>
      <c r="AV72" s="77"/>
      <c r="AW72" s="78"/>
      <c r="AX72" s="75"/>
      <c r="BA72" s="76"/>
      <c r="BD72" s="40"/>
      <c r="BE72" s="39"/>
    </row>
    <row r="73" spans="1:57" ht="24">
      <c r="A73" s="39" t="s">
        <v>4037</v>
      </c>
      <c r="B73" s="39" t="s">
        <v>4409</v>
      </c>
      <c r="C73" s="39" t="s">
        <v>57</v>
      </c>
      <c r="D73" s="39">
        <v>72</v>
      </c>
      <c r="E73" s="39">
        <v>1</v>
      </c>
      <c r="G73" s="39" t="s">
        <v>4246</v>
      </c>
      <c r="J73" s="39" t="s">
        <v>4111</v>
      </c>
      <c r="K73" s="39" t="s">
        <v>4056</v>
      </c>
      <c r="N73" s="39">
        <v>0</v>
      </c>
      <c r="O73" s="70"/>
      <c r="P73" s="71"/>
      <c r="Q73" s="72">
        <v>1</v>
      </c>
      <c r="T73" s="70"/>
      <c r="U73" s="73"/>
      <c r="V73" s="74"/>
      <c r="W73" s="75"/>
      <c r="Z73" s="76"/>
      <c r="AA73" s="103" t="s">
        <v>4060</v>
      </c>
      <c r="AB73" s="39" t="s">
        <v>4247</v>
      </c>
      <c r="AC73" s="39" t="s">
        <v>4248</v>
      </c>
      <c r="AD73" s="39"/>
      <c r="AN73" s="40"/>
      <c r="AO73" s="39"/>
      <c r="AP73" s="70"/>
      <c r="AQ73" s="71"/>
      <c r="AR73" s="72"/>
      <c r="AU73" s="70"/>
      <c r="AV73" s="77"/>
      <c r="AW73" s="78"/>
      <c r="AX73" s="75"/>
      <c r="BA73" s="76"/>
      <c r="BD73" s="40"/>
      <c r="BE73" s="39"/>
    </row>
    <row r="74" spans="1:57" ht="36">
      <c r="A74" s="39" t="s">
        <v>4037</v>
      </c>
      <c r="B74" s="39" t="s">
        <v>4410</v>
      </c>
      <c r="C74" s="39" t="s">
        <v>57</v>
      </c>
      <c r="D74" s="39">
        <v>73</v>
      </c>
      <c r="E74" s="39">
        <v>1</v>
      </c>
      <c r="G74" s="39" t="s">
        <v>4249</v>
      </c>
      <c r="J74" s="39" t="s">
        <v>4111</v>
      </c>
      <c r="K74" s="39" t="s">
        <v>4056</v>
      </c>
      <c r="N74" s="39">
        <v>1</v>
      </c>
      <c r="O74" s="70"/>
      <c r="P74" s="71">
        <v>1</v>
      </c>
      <c r="Q74" s="72"/>
      <c r="T74" s="70"/>
      <c r="U74" s="73"/>
      <c r="V74" s="74"/>
      <c r="W74" s="75"/>
      <c r="Z74" s="76"/>
      <c r="AA74" s="103" t="s">
        <v>4059</v>
      </c>
      <c r="AC74" s="39" t="s">
        <v>4143</v>
      </c>
      <c r="AD74" s="39"/>
      <c r="AE74" s="39" t="s">
        <v>4250</v>
      </c>
      <c r="AN74" s="40"/>
      <c r="AO74" s="39"/>
      <c r="AP74" s="70"/>
      <c r="AQ74" s="71"/>
      <c r="AR74" s="72"/>
      <c r="AU74" s="70"/>
      <c r="AV74" s="77"/>
      <c r="AW74" s="78"/>
      <c r="AX74" s="75"/>
      <c r="BA74" s="76"/>
      <c r="BD74" s="40"/>
      <c r="BE74" s="39"/>
    </row>
    <row r="75" spans="1:57" ht="36">
      <c r="A75" s="39" t="s">
        <v>4037</v>
      </c>
      <c r="B75" s="39" t="s">
        <v>4411</v>
      </c>
      <c r="C75" s="39" t="s">
        <v>57</v>
      </c>
      <c r="D75" s="39">
        <v>74</v>
      </c>
      <c r="E75" s="39">
        <v>1</v>
      </c>
      <c r="G75" s="39" t="s">
        <v>4251</v>
      </c>
      <c r="J75" s="39" t="s">
        <v>4111</v>
      </c>
      <c r="K75" s="39" t="s">
        <v>4056</v>
      </c>
      <c r="N75" s="39">
        <v>2</v>
      </c>
      <c r="O75" s="70"/>
      <c r="P75" s="71"/>
      <c r="Q75" s="72">
        <v>1</v>
      </c>
      <c r="T75" s="70"/>
      <c r="U75" s="73"/>
      <c r="V75" s="74"/>
      <c r="W75" s="75"/>
      <c r="Z75" s="76"/>
      <c r="AA75" s="103" t="s">
        <v>4060</v>
      </c>
      <c r="AB75" s="39" t="s">
        <v>4176</v>
      </c>
      <c r="AC75" s="39" t="s">
        <v>4152</v>
      </c>
      <c r="AD75" s="39"/>
      <c r="AE75" s="39" t="s">
        <v>4252</v>
      </c>
      <c r="AN75" s="40"/>
      <c r="AO75" s="39"/>
      <c r="AP75" s="70"/>
      <c r="AQ75" s="71"/>
      <c r="AR75" s="72"/>
      <c r="AU75" s="70"/>
      <c r="AV75" s="77"/>
      <c r="AW75" s="78"/>
      <c r="AX75" s="75"/>
      <c r="BA75" s="76"/>
      <c r="BD75" s="40"/>
      <c r="BE75" s="39"/>
    </row>
    <row r="76" spans="1:57" ht="24">
      <c r="A76" s="39" t="s">
        <v>4037</v>
      </c>
      <c r="B76" s="39" t="s">
        <v>4412</v>
      </c>
      <c r="C76" s="39" t="s">
        <v>57</v>
      </c>
      <c r="D76" s="39">
        <v>75</v>
      </c>
      <c r="E76" s="39">
        <v>1</v>
      </c>
      <c r="G76" s="39" t="s">
        <v>4253</v>
      </c>
      <c r="J76" s="39" t="s">
        <v>4111</v>
      </c>
      <c r="K76" s="39" t="s">
        <v>4056</v>
      </c>
      <c r="N76" s="39">
        <v>1</v>
      </c>
      <c r="O76" s="70"/>
      <c r="P76" s="71"/>
      <c r="Q76" s="72"/>
      <c r="T76" s="70"/>
      <c r="U76" s="73"/>
      <c r="V76" s="74"/>
      <c r="W76" s="75"/>
      <c r="Z76" s="76"/>
      <c r="AA76" s="103" t="s">
        <v>4062</v>
      </c>
      <c r="AB76" s="39" t="s">
        <v>4129</v>
      </c>
      <c r="AC76" s="39" t="s">
        <v>4229</v>
      </c>
      <c r="AD76" s="39"/>
      <c r="AE76" s="39" t="s">
        <v>4254</v>
      </c>
      <c r="AN76" s="40"/>
      <c r="AO76" s="39"/>
      <c r="AP76" s="70"/>
      <c r="AQ76" s="71"/>
      <c r="AR76" s="72"/>
      <c r="AU76" s="70"/>
      <c r="AV76" s="77"/>
      <c r="AW76" s="78"/>
      <c r="AX76" s="75"/>
      <c r="BA76" s="76"/>
      <c r="BD76" s="40"/>
      <c r="BE76" s="39"/>
    </row>
    <row r="77" spans="1:57" ht="24">
      <c r="A77" s="39" t="s">
        <v>4037</v>
      </c>
      <c r="B77" s="39" t="s">
        <v>4413</v>
      </c>
      <c r="C77" s="39" t="s">
        <v>57</v>
      </c>
      <c r="D77" s="39">
        <v>76</v>
      </c>
      <c r="E77" s="39">
        <v>1</v>
      </c>
      <c r="G77" s="39" t="s">
        <v>4255</v>
      </c>
      <c r="J77" s="39" t="s">
        <v>4111</v>
      </c>
      <c r="K77" s="39" t="s">
        <v>4056</v>
      </c>
      <c r="N77" s="39">
        <v>1</v>
      </c>
      <c r="O77" s="70"/>
      <c r="P77" s="71"/>
      <c r="Q77" s="72"/>
      <c r="R77" s="63">
        <v>1</v>
      </c>
      <c r="S77" s="43">
        <v>1</v>
      </c>
      <c r="T77" s="70"/>
      <c r="U77" s="73"/>
      <c r="V77" s="74"/>
      <c r="W77" s="75"/>
      <c r="Z77" s="76"/>
      <c r="AA77" s="103" t="s">
        <v>4061</v>
      </c>
      <c r="AB77" s="39" t="s">
        <v>25</v>
      </c>
      <c r="AC77" s="39" t="s">
        <v>4155</v>
      </c>
      <c r="AD77" s="39"/>
      <c r="AE77" s="39" t="s">
        <v>4256</v>
      </c>
      <c r="AN77" s="40"/>
      <c r="AO77" s="39"/>
      <c r="AP77" s="70"/>
      <c r="AQ77" s="71"/>
      <c r="AR77" s="72"/>
      <c r="AU77" s="70"/>
      <c r="AV77" s="77"/>
      <c r="AW77" s="78"/>
      <c r="AX77" s="75"/>
      <c r="BA77" s="76"/>
      <c r="BD77" s="40"/>
      <c r="BE77" s="39"/>
    </row>
    <row r="78" spans="1:57" ht="24">
      <c r="A78" s="39" t="s">
        <v>4037</v>
      </c>
      <c r="B78" s="39" t="s">
        <v>4414</v>
      </c>
      <c r="C78" s="39" t="s">
        <v>57</v>
      </c>
      <c r="D78" s="39">
        <v>77</v>
      </c>
      <c r="E78" s="39">
        <v>1</v>
      </c>
      <c r="G78" s="39" t="s">
        <v>4257</v>
      </c>
      <c r="J78" s="39" t="s">
        <v>4111</v>
      </c>
      <c r="K78" s="39" t="s">
        <v>4056</v>
      </c>
      <c r="N78" s="39">
        <v>2</v>
      </c>
      <c r="O78" s="70">
        <v>1</v>
      </c>
      <c r="P78" s="71"/>
      <c r="Q78" s="72"/>
      <c r="R78" s="63">
        <v>1</v>
      </c>
      <c r="T78" s="70"/>
      <c r="U78" s="73"/>
      <c r="V78" s="74"/>
      <c r="W78" s="75"/>
      <c r="Z78" s="76"/>
      <c r="AA78" s="103" t="s">
        <v>4939</v>
      </c>
      <c r="AC78" s="39" t="s">
        <v>4143</v>
      </c>
      <c r="AD78" s="39"/>
      <c r="AE78" s="39" t="s">
        <v>4258</v>
      </c>
      <c r="AN78" s="40"/>
      <c r="AO78" s="39"/>
      <c r="AP78" s="70"/>
      <c r="AQ78" s="71"/>
      <c r="AR78" s="72"/>
      <c r="AU78" s="70"/>
      <c r="AV78" s="77"/>
      <c r="AW78" s="78"/>
      <c r="AX78" s="75"/>
      <c r="BA78" s="76"/>
      <c r="BD78" s="40"/>
      <c r="BE78" s="39"/>
    </row>
    <row r="79" spans="1:57" ht="24">
      <c r="A79" s="39" t="s">
        <v>4037</v>
      </c>
      <c r="B79" s="39" t="s">
        <v>4415</v>
      </c>
      <c r="C79" s="39" t="s">
        <v>57</v>
      </c>
      <c r="D79" s="39">
        <v>78</v>
      </c>
      <c r="E79" s="39">
        <v>1</v>
      </c>
      <c r="G79" s="39" t="s">
        <v>4259</v>
      </c>
      <c r="J79" s="39" t="s">
        <v>27</v>
      </c>
      <c r="K79" s="39" t="s">
        <v>4056</v>
      </c>
      <c r="N79" s="39">
        <v>5</v>
      </c>
      <c r="O79" s="70">
        <v>1</v>
      </c>
      <c r="P79" s="71"/>
      <c r="Q79" s="72"/>
      <c r="T79" s="70"/>
      <c r="U79" s="73"/>
      <c r="V79" s="74"/>
      <c r="W79" s="75"/>
      <c r="Z79" s="76"/>
      <c r="AA79" s="103" t="s">
        <v>4940</v>
      </c>
      <c r="AC79" s="39" t="s">
        <v>4161</v>
      </c>
      <c r="AD79" s="39"/>
      <c r="AE79" s="39" t="s">
        <v>4260</v>
      </c>
      <c r="AN79" s="40"/>
      <c r="AO79" s="39"/>
      <c r="AP79" s="70"/>
      <c r="AQ79" s="71"/>
      <c r="AR79" s="72"/>
      <c r="AU79" s="70"/>
      <c r="AV79" s="77"/>
      <c r="AW79" s="78"/>
      <c r="AX79" s="75"/>
      <c r="BA79" s="76"/>
      <c r="BD79" s="40"/>
      <c r="BE79" s="39"/>
    </row>
    <row r="80" spans="1:57" ht="36">
      <c r="A80" s="39" t="s">
        <v>4037</v>
      </c>
      <c r="B80" s="39" t="s">
        <v>4416</v>
      </c>
      <c r="C80" s="39" t="s">
        <v>57</v>
      </c>
      <c r="D80" s="39">
        <v>79</v>
      </c>
      <c r="E80" s="39">
        <v>1</v>
      </c>
      <c r="G80" s="39" t="s">
        <v>4261</v>
      </c>
      <c r="J80" s="39" t="s">
        <v>27</v>
      </c>
      <c r="K80" s="39" t="s">
        <v>4056</v>
      </c>
      <c r="N80" s="39">
        <v>2</v>
      </c>
      <c r="O80" s="70"/>
      <c r="P80" s="71">
        <v>2</v>
      </c>
      <c r="Q80" s="72"/>
      <c r="T80" s="70"/>
      <c r="U80" s="73"/>
      <c r="V80" s="74"/>
      <c r="W80" s="75"/>
      <c r="Z80" s="76"/>
      <c r="AA80" s="103" t="s">
        <v>4938</v>
      </c>
      <c r="AC80" s="39" t="s">
        <v>4226</v>
      </c>
      <c r="AD80" s="39"/>
      <c r="AE80" s="39" t="s">
        <v>4262</v>
      </c>
      <c r="AN80" s="40"/>
      <c r="AO80" s="39"/>
      <c r="AP80" s="70"/>
      <c r="AQ80" s="71"/>
      <c r="AR80" s="72"/>
      <c r="AU80" s="70"/>
      <c r="AV80" s="77"/>
      <c r="AW80" s="78"/>
      <c r="AX80" s="75"/>
      <c r="BA80" s="76"/>
      <c r="BD80" s="40"/>
      <c r="BE80" s="39"/>
    </row>
    <row r="81" spans="1:57" ht="24">
      <c r="A81" s="39" t="s">
        <v>4037</v>
      </c>
      <c r="B81" s="39" t="s">
        <v>4417</v>
      </c>
      <c r="C81" s="39" t="s">
        <v>57</v>
      </c>
      <c r="D81" s="39">
        <v>80</v>
      </c>
      <c r="E81" s="39">
        <v>1</v>
      </c>
      <c r="G81" s="39" t="s">
        <v>4263</v>
      </c>
      <c r="J81" s="39" t="s">
        <v>27</v>
      </c>
      <c r="K81" s="39" t="s">
        <v>4056</v>
      </c>
      <c r="N81" s="39">
        <v>1</v>
      </c>
      <c r="O81" s="70"/>
      <c r="P81" s="71"/>
      <c r="Q81" s="72"/>
      <c r="T81" s="70"/>
      <c r="U81" s="73"/>
      <c r="V81" s="74"/>
      <c r="W81" s="75"/>
      <c r="Z81" s="76"/>
      <c r="AA81" s="101"/>
      <c r="AC81" s="39" t="s">
        <v>4226</v>
      </c>
      <c r="AD81" s="39"/>
      <c r="AE81" s="39" t="s">
        <v>4264</v>
      </c>
      <c r="AN81" s="40"/>
      <c r="AO81" s="39"/>
      <c r="AP81" s="70"/>
      <c r="AQ81" s="71"/>
      <c r="AR81" s="72"/>
      <c r="AU81" s="70"/>
      <c r="AV81" s="77"/>
      <c r="AW81" s="78"/>
      <c r="AX81" s="75"/>
      <c r="BA81" s="76"/>
      <c r="BD81" s="40"/>
      <c r="BE81" s="39"/>
    </row>
    <row r="82" spans="1:57" ht="48">
      <c r="A82" s="39" t="s">
        <v>4037</v>
      </c>
      <c r="B82" s="39" t="s">
        <v>4418</v>
      </c>
      <c r="C82" s="39" t="s">
        <v>57</v>
      </c>
      <c r="D82" s="39">
        <v>81</v>
      </c>
      <c r="E82" s="39">
        <v>1</v>
      </c>
      <c r="G82" s="39" t="s">
        <v>4265</v>
      </c>
      <c r="J82" s="39" t="s">
        <v>4166</v>
      </c>
      <c r="K82" s="39" t="s">
        <v>4056</v>
      </c>
      <c r="N82" s="39"/>
      <c r="O82" s="70"/>
      <c r="P82" s="71"/>
      <c r="Q82" s="72"/>
      <c r="R82" s="63">
        <v>1</v>
      </c>
      <c r="T82" s="70"/>
      <c r="U82" s="73"/>
      <c r="V82" s="74"/>
      <c r="W82" s="75"/>
      <c r="Z82" s="76"/>
      <c r="AA82" s="103" t="s">
        <v>4061</v>
      </c>
      <c r="AC82" s="39" t="s">
        <v>4266</v>
      </c>
      <c r="AD82" s="39"/>
      <c r="AE82" s="39" t="s">
        <v>4267</v>
      </c>
      <c r="AN82" s="40"/>
      <c r="AO82" s="39"/>
      <c r="AP82" s="70"/>
      <c r="AQ82" s="71"/>
      <c r="AR82" s="72"/>
      <c r="AU82" s="70"/>
      <c r="AV82" s="77"/>
      <c r="AW82" s="78"/>
      <c r="AX82" s="75"/>
      <c r="BA82" s="76"/>
      <c r="BD82" s="40"/>
      <c r="BE82" s="39"/>
    </row>
    <row r="83" spans="1:57" ht="48">
      <c r="A83" s="39" t="s">
        <v>4037</v>
      </c>
      <c r="B83" s="39" t="s">
        <v>4541</v>
      </c>
      <c r="C83" s="39" t="s">
        <v>57</v>
      </c>
      <c r="D83" s="39">
        <v>82</v>
      </c>
      <c r="E83" s="39">
        <v>1</v>
      </c>
      <c r="G83" s="39" t="s">
        <v>4542</v>
      </c>
      <c r="H83" s="39" t="s">
        <v>4543</v>
      </c>
      <c r="I83" s="39" t="s">
        <v>4077</v>
      </c>
      <c r="J83" s="39" t="s">
        <v>4111</v>
      </c>
      <c r="K83" s="39" t="s">
        <v>4056</v>
      </c>
      <c r="L83" s="39">
        <v>1</v>
      </c>
      <c r="N83" s="39">
        <v>5</v>
      </c>
      <c r="O83" s="70">
        <v>1</v>
      </c>
      <c r="P83" s="71"/>
      <c r="Q83" s="72"/>
      <c r="S83" s="43">
        <v>1</v>
      </c>
      <c r="T83" s="70">
        <v>4</v>
      </c>
      <c r="U83" s="73"/>
      <c r="V83" s="74"/>
      <c r="W83" s="75"/>
      <c r="Z83" s="76"/>
      <c r="AA83" s="103" t="s">
        <v>4058</v>
      </c>
      <c r="AB83" s="39" t="s">
        <v>25</v>
      </c>
      <c r="AC83" s="39" t="s">
        <v>4312</v>
      </c>
      <c r="AD83" s="39"/>
      <c r="AE83" s="39" t="s">
        <v>4544</v>
      </c>
      <c r="AN83" s="40"/>
      <c r="AO83" s="39"/>
      <c r="AP83" s="70"/>
      <c r="AQ83" s="71"/>
      <c r="AR83" s="72"/>
      <c r="AU83" s="70"/>
      <c r="AV83" s="77"/>
      <c r="AW83" s="78"/>
      <c r="AX83" s="75"/>
      <c r="BA83" s="76"/>
      <c r="BD83" s="40"/>
      <c r="BE83" s="39"/>
    </row>
    <row r="84" spans="1:57" ht="36">
      <c r="A84" s="39" t="s">
        <v>4037</v>
      </c>
      <c r="B84" s="39" t="s">
        <v>4419</v>
      </c>
      <c r="C84" s="39" t="s">
        <v>57</v>
      </c>
      <c r="D84" s="39">
        <v>83</v>
      </c>
      <c r="E84" s="39">
        <v>1</v>
      </c>
      <c r="G84" s="39" t="s">
        <v>4268</v>
      </c>
      <c r="J84" s="39" t="s">
        <v>27</v>
      </c>
      <c r="K84" s="39" t="s">
        <v>4056</v>
      </c>
      <c r="L84" s="39">
        <v>2</v>
      </c>
      <c r="N84" s="39">
        <v>2</v>
      </c>
      <c r="O84" s="70"/>
      <c r="P84" s="71"/>
      <c r="Q84" s="72">
        <v>1</v>
      </c>
      <c r="R84" s="63">
        <v>1</v>
      </c>
      <c r="T84" s="70"/>
      <c r="U84" s="73"/>
      <c r="V84" s="74"/>
      <c r="W84" s="75"/>
      <c r="Z84" s="76"/>
      <c r="AA84" s="103" t="s">
        <v>4941</v>
      </c>
      <c r="AC84" s="39" t="s">
        <v>4226</v>
      </c>
      <c r="AD84" s="39"/>
      <c r="AE84" s="39" t="s">
        <v>4269</v>
      </c>
      <c r="AN84" s="40"/>
      <c r="AO84" s="39"/>
      <c r="AP84" s="70"/>
      <c r="AQ84" s="71"/>
      <c r="AR84" s="72"/>
      <c r="AU84" s="70"/>
      <c r="AV84" s="77"/>
      <c r="AW84" s="78"/>
      <c r="AX84" s="75"/>
      <c r="BA84" s="76"/>
      <c r="BD84" s="40"/>
      <c r="BE84" s="39"/>
    </row>
    <row r="85" spans="1:57" ht="24">
      <c r="A85" s="39" t="s">
        <v>4037</v>
      </c>
      <c r="B85" s="39" t="s">
        <v>4420</v>
      </c>
      <c r="C85" s="39" t="s">
        <v>57</v>
      </c>
      <c r="D85" s="39">
        <v>84</v>
      </c>
      <c r="E85" s="39">
        <v>1</v>
      </c>
      <c r="G85" s="39" t="s">
        <v>4263</v>
      </c>
      <c r="J85" s="39" t="s">
        <v>27</v>
      </c>
      <c r="K85" s="39" t="s">
        <v>4056</v>
      </c>
      <c r="L85" s="39">
        <v>2</v>
      </c>
      <c r="N85" s="39">
        <v>1</v>
      </c>
      <c r="O85" s="70"/>
      <c r="P85" s="71"/>
      <c r="Q85" s="72"/>
      <c r="T85" s="70"/>
      <c r="U85" s="73"/>
      <c r="V85" s="74"/>
      <c r="W85" s="75"/>
      <c r="Z85" s="76"/>
      <c r="AA85" s="101"/>
      <c r="AC85" s="39" t="s">
        <v>4226</v>
      </c>
      <c r="AD85" s="39"/>
      <c r="AE85" s="39" t="s">
        <v>4270</v>
      </c>
      <c r="AN85" s="40"/>
      <c r="AO85" s="39"/>
      <c r="AP85" s="70"/>
      <c r="AQ85" s="71"/>
      <c r="AR85" s="72"/>
      <c r="AU85" s="70"/>
      <c r="AV85" s="77"/>
      <c r="AW85" s="78"/>
      <c r="AX85" s="75"/>
      <c r="BA85" s="76"/>
      <c r="BD85" s="40"/>
      <c r="BE85" s="39"/>
    </row>
    <row r="86" spans="1:57" ht="24">
      <c r="A86" s="39" t="s">
        <v>4037</v>
      </c>
      <c r="B86" s="39" t="s">
        <v>4421</v>
      </c>
      <c r="C86" s="39" t="s">
        <v>57</v>
      </c>
      <c r="D86" s="39">
        <v>85</v>
      </c>
      <c r="E86" s="39">
        <v>1</v>
      </c>
      <c r="G86" s="39" t="s">
        <v>4271</v>
      </c>
      <c r="J86" s="39" t="s">
        <v>27</v>
      </c>
      <c r="K86" s="39" t="s">
        <v>4056</v>
      </c>
      <c r="L86" s="39">
        <v>3</v>
      </c>
      <c r="N86" s="39">
        <v>2</v>
      </c>
      <c r="O86" s="70"/>
      <c r="P86" s="71"/>
      <c r="Q86" s="72">
        <v>1</v>
      </c>
      <c r="T86" s="70"/>
      <c r="U86" s="73"/>
      <c r="V86" s="74"/>
      <c r="W86" s="75"/>
      <c r="Z86" s="76"/>
      <c r="AA86" s="103" t="s">
        <v>4947</v>
      </c>
      <c r="AC86" s="39" t="s">
        <v>4226</v>
      </c>
      <c r="AD86" s="39"/>
      <c r="AE86" s="39" t="s">
        <v>4272</v>
      </c>
      <c r="AN86" s="40"/>
      <c r="AO86" s="39"/>
      <c r="AP86" s="70"/>
      <c r="AQ86" s="71"/>
      <c r="AR86" s="72"/>
      <c r="AU86" s="70"/>
      <c r="AV86" s="77"/>
      <c r="AW86" s="78"/>
      <c r="AX86" s="75"/>
      <c r="BA86" s="76"/>
      <c r="BD86" s="40"/>
      <c r="BE86" s="39"/>
    </row>
    <row r="87" spans="1:57" ht="36">
      <c r="A87" s="39" t="s">
        <v>4037</v>
      </c>
      <c r="B87" s="39" t="s">
        <v>4422</v>
      </c>
      <c r="C87" s="39" t="s">
        <v>57</v>
      </c>
      <c r="D87" s="39">
        <v>86</v>
      </c>
      <c r="E87" s="39">
        <v>4</v>
      </c>
      <c r="G87" s="39" t="s">
        <v>4273</v>
      </c>
      <c r="J87" s="39" t="s">
        <v>4111</v>
      </c>
      <c r="K87" s="39" t="s">
        <v>26</v>
      </c>
      <c r="N87" s="39">
        <v>1</v>
      </c>
      <c r="O87" s="70"/>
      <c r="P87" s="71"/>
      <c r="Q87" s="72">
        <v>1</v>
      </c>
      <c r="T87" s="70"/>
      <c r="U87" s="73"/>
      <c r="V87" s="74"/>
      <c r="W87" s="75"/>
      <c r="Z87" s="76"/>
      <c r="AA87" s="103" t="s">
        <v>4060</v>
      </c>
      <c r="AB87" s="39" t="s">
        <v>4112</v>
      </c>
      <c r="AC87" s="39" t="s">
        <v>4152</v>
      </c>
      <c r="AD87" s="39"/>
      <c r="AE87" s="39" t="s">
        <v>4274</v>
      </c>
      <c r="AN87" s="40"/>
      <c r="AO87" s="39"/>
      <c r="AP87" s="70"/>
      <c r="AQ87" s="71"/>
      <c r="AR87" s="72"/>
      <c r="AU87" s="70"/>
      <c r="AV87" s="77"/>
      <c r="AW87" s="78"/>
      <c r="AX87" s="75"/>
      <c r="BA87" s="76"/>
      <c r="BD87" s="40"/>
      <c r="BE87" s="39"/>
    </row>
    <row r="88" spans="1:57" ht="36">
      <c r="A88" s="39" t="s">
        <v>4037</v>
      </c>
      <c r="B88" s="39" t="s">
        <v>4423</v>
      </c>
      <c r="C88" s="39" t="s">
        <v>57</v>
      </c>
      <c r="D88" s="39">
        <v>87</v>
      </c>
      <c r="E88" s="39">
        <v>4</v>
      </c>
      <c r="G88" s="39" t="s">
        <v>4275</v>
      </c>
      <c r="J88" s="39" t="s">
        <v>4111</v>
      </c>
      <c r="K88" s="39" t="s">
        <v>26</v>
      </c>
      <c r="N88" s="39">
        <v>2</v>
      </c>
      <c r="O88" s="70"/>
      <c r="P88" s="71">
        <v>1</v>
      </c>
      <c r="Q88" s="72"/>
      <c r="T88" s="70"/>
      <c r="U88" s="73"/>
      <c r="V88" s="74"/>
      <c r="W88" s="75"/>
      <c r="Z88" s="76"/>
      <c r="AA88" s="103" t="s">
        <v>4059</v>
      </c>
      <c r="AB88" s="39" t="s">
        <v>4112</v>
      </c>
      <c r="AC88" s="39" t="s">
        <v>4179</v>
      </c>
      <c r="AD88" s="39"/>
      <c r="AE88" s="39" t="s">
        <v>4276</v>
      </c>
      <c r="AN88" s="40"/>
      <c r="AO88" s="39"/>
      <c r="AP88" s="70"/>
      <c r="AQ88" s="71"/>
      <c r="AR88" s="72"/>
      <c r="AU88" s="70"/>
      <c r="AV88" s="77"/>
      <c r="AW88" s="78"/>
      <c r="AX88" s="75"/>
      <c r="BA88" s="76"/>
      <c r="BD88" s="40"/>
      <c r="BE88" s="39"/>
    </row>
    <row r="89" spans="1:57" ht="15">
      <c r="A89" s="39" t="s">
        <v>4037</v>
      </c>
      <c r="B89" s="39" t="s">
        <v>4424</v>
      </c>
      <c r="C89" s="39" t="s">
        <v>57</v>
      </c>
      <c r="D89" s="39">
        <v>88</v>
      </c>
      <c r="E89" s="39">
        <v>4</v>
      </c>
      <c r="G89" s="39" t="s">
        <v>4277</v>
      </c>
      <c r="J89" s="39" t="s">
        <v>27</v>
      </c>
      <c r="K89" s="39" t="s">
        <v>26</v>
      </c>
      <c r="N89" s="39">
        <v>0</v>
      </c>
      <c r="O89" s="70"/>
      <c r="P89" s="71"/>
      <c r="Q89" s="72"/>
      <c r="T89" s="70"/>
      <c r="U89" s="73"/>
      <c r="V89" s="74"/>
      <c r="W89" s="75"/>
      <c r="Z89" s="76"/>
      <c r="AA89" s="101"/>
      <c r="AC89" s="39" t="s">
        <v>4170</v>
      </c>
      <c r="AD89" s="39"/>
      <c r="AE89" s="39" t="s">
        <v>4278</v>
      </c>
      <c r="AN89" s="40"/>
      <c r="AO89" s="39"/>
      <c r="AP89" s="70"/>
      <c r="AQ89" s="71"/>
      <c r="AR89" s="72"/>
      <c r="AU89" s="70"/>
      <c r="AV89" s="77"/>
      <c r="AW89" s="78"/>
      <c r="AX89" s="75"/>
      <c r="BA89" s="76"/>
      <c r="BD89" s="40"/>
      <c r="BE89" s="39"/>
    </row>
    <row r="90" spans="1:57" ht="24">
      <c r="A90" s="39" t="s">
        <v>4037</v>
      </c>
      <c r="B90" s="39" t="s">
        <v>4425</v>
      </c>
      <c r="C90" s="39" t="s">
        <v>57</v>
      </c>
      <c r="D90" s="39">
        <v>89</v>
      </c>
      <c r="E90" s="39">
        <v>2</v>
      </c>
      <c r="G90" s="39" t="s">
        <v>4279</v>
      </c>
      <c r="J90" s="39" t="s">
        <v>4166</v>
      </c>
      <c r="K90" s="39" t="s">
        <v>26</v>
      </c>
      <c r="N90" s="39"/>
      <c r="O90" s="70">
        <v>2</v>
      </c>
      <c r="P90" s="71"/>
      <c r="Q90" s="72"/>
      <c r="T90" s="70"/>
      <c r="U90" s="73"/>
      <c r="V90" s="74"/>
      <c r="W90" s="75"/>
      <c r="Z90" s="76"/>
      <c r="AA90" s="103" t="s">
        <v>4948</v>
      </c>
      <c r="AC90" s="39" t="s">
        <v>4266</v>
      </c>
      <c r="AD90" s="39"/>
      <c r="AE90" s="39" t="s">
        <v>4280</v>
      </c>
      <c r="AN90" s="40"/>
      <c r="AO90" s="39"/>
      <c r="AP90" s="70"/>
      <c r="AQ90" s="71"/>
      <c r="AR90" s="72"/>
      <c r="AU90" s="70"/>
      <c r="AV90" s="77"/>
      <c r="AW90" s="78"/>
      <c r="AX90" s="75"/>
      <c r="BA90" s="76"/>
      <c r="BD90" s="40"/>
      <c r="BE90" s="39"/>
    </row>
    <row r="91" spans="1:57" ht="24">
      <c r="A91" s="39" t="s">
        <v>4037</v>
      </c>
      <c r="B91" s="39" t="s">
        <v>4426</v>
      </c>
      <c r="C91" s="39" t="s">
        <v>57</v>
      </c>
      <c r="D91" s="39">
        <v>90</v>
      </c>
      <c r="E91" s="39">
        <v>2</v>
      </c>
      <c r="G91" s="39" t="s">
        <v>4281</v>
      </c>
      <c r="J91" s="39" t="s">
        <v>4166</v>
      </c>
      <c r="K91" s="39" t="s">
        <v>26</v>
      </c>
      <c r="N91" s="39"/>
      <c r="O91" s="70"/>
      <c r="P91" s="71">
        <v>2</v>
      </c>
      <c r="Q91" s="72"/>
      <c r="T91" s="70"/>
      <c r="U91" s="73"/>
      <c r="V91" s="74"/>
      <c r="W91" s="75"/>
      <c r="Z91" s="76"/>
      <c r="AA91" s="103" t="s">
        <v>4938</v>
      </c>
      <c r="AC91" s="39" t="s">
        <v>4167</v>
      </c>
      <c r="AD91" s="39"/>
      <c r="AE91" s="39" t="s">
        <v>4280</v>
      </c>
      <c r="AN91" s="40"/>
      <c r="AO91" s="39"/>
      <c r="AP91" s="70"/>
      <c r="AQ91" s="71"/>
      <c r="AR91" s="72"/>
      <c r="AU91" s="70"/>
      <c r="AV91" s="77"/>
      <c r="AW91" s="78"/>
      <c r="AX91" s="75"/>
      <c r="BA91" s="76"/>
      <c r="BD91" s="40"/>
      <c r="BE91" s="39"/>
    </row>
    <row r="92" spans="1:57" ht="24">
      <c r="A92" s="39" t="s">
        <v>4037</v>
      </c>
      <c r="B92" s="39" t="s">
        <v>4427</v>
      </c>
      <c r="C92" s="39" t="s">
        <v>57</v>
      </c>
      <c r="D92" s="39">
        <v>91</v>
      </c>
      <c r="E92" s="39">
        <v>2</v>
      </c>
      <c r="G92" s="39" t="s">
        <v>4282</v>
      </c>
      <c r="J92" s="39" t="s">
        <v>4166</v>
      </c>
      <c r="K92" s="39" t="s">
        <v>26</v>
      </c>
      <c r="N92" s="39"/>
      <c r="O92" s="70"/>
      <c r="P92" s="71"/>
      <c r="Q92" s="72">
        <v>2</v>
      </c>
      <c r="T92" s="70"/>
      <c r="U92" s="73"/>
      <c r="V92" s="74"/>
      <c r="W92" s="75"/>
      <c r="Z92" s="76"/>
      <c r="AA92" s="103" t="s">
        <v>4942</v>
      </c>
      <c r="AC92" s="39" t="s">
        <v>4167</v>
      </c>
      <c r="AD92" s="39"/>
      <c r="AE92" s="39" t="s">
        <v>4280</v>
      </c>
      <c r="AN92" s="40"/>
      <c r="AO92" s="39"/>
      <c r="AP92" s="70"/>
      <c r="AQ92" s="71"/>
      <c r="AR92" s="72"/>
      <c r="AU92" s="70"/>
      <c r="AV92" s="77"/>
      <c r="AW92" s="78"/>
      <c r="AX92" s="75"/>
      <c r="BA92" s="76"/>
      <c r="BD92" s="40"/>
      <c r="BE92" s="39"/>
    </row>
    <row r="93" spans="1:57" ht="24">
      <c r="A93" s="39" t="s">
        <v>4037</v>
      </c>
      <c r="B93" s="39" t="s">
        <v>4428</v>
      </c>
      <c r="C93" s="39" t="s">
        <v>57</v>
      </c>
      <c r="D93" s="39">
        <v>92</v>
      </c>
      <c r="E93" s="39">
        <v>2</v>
      </c>
      <c r="G93" s="39" t="s">
        <v>4283</v>
      </c>
      <c r="J93" s="39" t="s">
        <v>4166</v>
      </c>
      <c r="K93" s="39" t="s">
        <v>26</v>
      </c>
      <c r="N93" s="39"/>
      <c r="O93" s="70"/>
      <c r="P93" s="71"/>
      <c r="Q93" s="72"/>
      <c r="R93" s="63">
        <v>2</v>
      </c>
      <c r="T93" s="70"/>
      <c r="U93" s="73"/>
      <c r="V93" s="74"/>
      <c r="W93" s="75"/>
      <c r="Z93" s="76"/>
      <c r="AA93" s="103" t="s">
        <v>4949</v>
      </c>
      <c r="AC93" s="39" t="s">
        <v>4266</v>
      </c>
      <c r="AD93" s="39"/>
      <c r="AE93" s="39" t="s">
        <v>4280</v>
      </c>
      <c r="AN93" s="40"/>
      <c r="AO93" s="39"/>
      <c r="AP93" s="70"/>
      <c r="AQ93" s="71"/>
      <c r="AR93" s="72"/>
      <c r="AU93" s="70"/>
      <c r="AV93" s="77"/>
      <c r="AW93" s="78"/>
      <c r="AX93" s="75"/>
      <c r="BA93" s="76"/>
      <c r="BD93" s="40"/>
      <c r="BE93" s="39"/>
    </row>
    <row r="94" spans="1:57" ht="24">
      <c r="A94" s="39" t="s">
        <v>4037</v>
      </c>
      <c r="B94" s="39" t="s">
        <v>4429</v>
      </c>
      <c r="C94" s="39" t="s">
        <v>57</v>
      </c>
      <c r="D94" s="39">
        <v>93</v>
      </c>
      <c r="E94" s="39">
        <v>2</v>
      </c>
      <c r="G94" s="39" t="s">
        <v>4284</v>
      </c>
      <c r="J94" s="39" t="s">
        <v>4166</v>
      </c>
      <c r="K94" s="39" t="s">
        <v>26</v>
      </c>
      <c r="N94" s="39"/>
      <c r="O94" s="70"/>
      <c r="P94" s="71"/>
      <c r="Q94" s="72"/>
      <c r="T94" s="70"/>
      <c r="U94" s="73"/>
      <c r="V94" s="74"/>
      <c r="W94" s="75"/>
      <c r="Z94" s="76"/>
      <c r="AA94" s="103" t="s">
        <v>4936</v>
      </c>
      <c r="AC94" s="39" t="s">
        <v>4266</v>
      </c>
      <c r="AD94" s="39"/>
      <c r="AE94" s="39" t="s">
        <v>4285</v>
      </c>
      <c r="AN94" s="40"/>
      <c r="AO94" s="39"/>
      <c r="AP94" s="70"/>
      <c r="AQ94" s="71"/>
      <c r="AR94" s="72"/>
      <c r="AU94" s="70"/>
      <c r="AV94" s="77"/>
      <c r="AW94" s="78"/>
      <c r="AX94" s="75"/>
      <c r="BA94" s="76"/>
      <c r="BD94" s="40"/>
      <c r="BE94" s="39"/>
    </row>
    <row r="95" spans="1:57" ht="15.75">
      <c r="A95" s="39" t="s">
        <v>4037</v>
      </c>
      <c r="B95" s="39" t="s">
        <v>4430</v>
      </c>
      <c r="C95" s="39" t="s">
        <v>57</v>
      </c>
      <c r="D95" s="39">
        <v>94</v>
      </c>
      <c r="E95" s="39">
        <v>2</v>
      </c>
      <c r="G95" s="39" t="s">
        <v>4286</v>
      </c>
      <c r="J95" s="39" t="s">
        <v>4111</v>
      </c>
      <c r="K95" s="39" t="s">
        <v>26</v>
      </c>
      <c r="L95" s="39">
        <v>3</v>
      </c>
      <c r="N95" s="39">
        <v>2</v>
      </c>
      <c r="O95" s="70"/>
      <c r="P95" s="71"/>
      <c r="Q95" s="72">
        <v>1</v>
      </c>
      <c r="T95" s="70"/>
      <c r="U95" s="73"/>
      <c r="V95" s="74"/>
      <c r="W95" s="75"/>
      <c r="Z95" s="76"/>
      <c r="AA95" s="103" t="s">
        <v>4947</v>
      </c>
      <c r="AB95" s="39" t="s">
        <v>4247</v>
      </c>
      <c r="AC95" s="39" t="s">
        <v>4248</v>
      </c>
      <c r="AD95" s="39"/>
      <c r="AN95" s="40"/>
      <c r="AO95" s="39"/>
      <c r="AP95" s="70"/>
      <c r="AQ95" s="71"/>
      <c r="AR95" s="72"/>
      <c r="AU95" s="70"/>
      <c r="AV95" s="77"/>
      <c r="AW95" s="78"/>
      <c r="AX95" s="75"/>
      <c r="BA95" s="76"/>
      <c r="BD95" s="40"/>
      <c r="BE95" s="39"/>
    </row>
    <row r="96" spans="1:57" ht="24">
      <c r="A96" s="39" t="s">
        <v>4037</v>
      </c>
      <c r="B96" s="39" t="s">
        <v>4431</v>
      </c>
      <c r="C96" s="39" t="s">
        <v>57</v>
      </c>
      <c r="D96" s="39">
        <v>95</v>
      </c>
      <c r="E96" s="39">
        <v>2</v>
      </c>
      <c r="G96" s="39" t="s">
        <v>4287</v>
      </c>
      <c r="J96" s="39" t="s">
        <v>4111</v>
      </c>
      <c r="K96" s="39" t="s">
        <v>26</v>
      </c>
      <c r="L96" s="39">
        <v>3</v>
      </c>
      <c r="N96" s="39">
        <v>2</v>
      </c>
      <c r="O96" s="70">
        <v>1</v>
      </c>
      <c r="P96" s="71"/>
      <c r="Q96" s="72"/>
      <c r="T96" s="70"/>
      <c r="U96" s="73"/>
      <c r="V96" s="74"/>
      <c r="W96" s="75"/>
      <c r="Z96" s="76"/>
      <c r="AA96" s="103" t="s">
        <v>4940</v>
      </c>
      <c r="AB96" s="39" t="s">
        <v>4129</v>
      </c>
      <c r="AC96" s="39" t="s">
        <v>4130</v>
      </c>
      <c r="AD96" s="39"/>
      <c r="AN96" s="40"/>
      <c r="AO96" s="39"/>
      <c r="AP96" s="70"/>
      <c r="AQ96" s="71"/>
      <c r="AR96" s="72"/>
      <c r="AU96" s="70"/>
      <c r="AV96" s="77"/>
      <c r="AW96" s="78"/>
      <c r="AX96" s="75"/>
      <c r="BA96" s="76"/>
      <c r="BD96" s="40"/>
      <c r="BE96" s="39"/>
    </row>
    <row r="97" spans="1:58" ht="24">
      <c r="A97" s="39" t="s">
        <v>4037</v>
      </c>
      <c r="B97" s="39" t="s">
        <v>4432</v>
      </c>
      <c r="C97" s="39" t="s">
        <v>57</v>
      </c>
      <c r="D97" s="39">
        <v>96</v>
      </c>
      <c r="E97" s="39">
        <v>2</v>
      </c>
      <c r="G97" s="39" t="s">
        <v>4288</v>
      </c>
      <c r="J97" s="39" t="s">
        <v>28</v>
      </c>
      <c r="K97" s="39" t="s">
        <v>26</v>
      </c>
      <c r="M97" s="39" t="s">
        <v>4545</v>
      </c>
      <c r="N97" s="39"/>
      <c r="O97" s="70"/>
      <c r="P97" s="71"/>
      <c r="Q97" s="72"/>
      <c r="T97" s="70"/>
      <c r="U97" s="73"/>
      <c r="V97" s="74"/>
      <c r="W97" s="75"/>
      <c r="Z97" s="76"/>
      <c r="AA97" s="101"/>
      <c r="AC97" s="39" t="s">
        <v>4138</v>
      </c>
      <c r="AD97" s="39"/>
      <c r="AE97" s="39" t="s">
        <v>4289</v>
      </c>
      <c r="AN97" s="40"/>
      <c r="AO97" s="39"/>
      <c r="AP97" s="70"/>
      <c r="AQ97" s="71"/>
      <c r="AR97" s="72"/>
      <c r="AU97" s="70"/>
      <c r="AV97" s="77"/>
      <c r="AW97" s="78"/>
      <c r="AX97" s="75"/>
      <c r="BA97" s="76"/>
      <c r="BD97" s="40"/>
      <c r="BE97" s="39"/>
    </row>
    <row r="98" spans="1:58" ht="15">
      <c r="A98" s="39" t="s">
        <v>4037</v>
      </c>
      <c r="B98" s="39" t="s">
        <v>4433</v>
      </c>
      <c r="C98" s="39" t="s">
        <v>57</v>
      </c>
      <c r="D98" s="39">
        <v>97</v>
      </c>
      <c r="E98" s="39">
        <v>2</v>
      </c>
      <c r="G98" s="39" t="s">
        <v>4290</v>
      </c>
      <c r="J98" s="39" t="s">
        <v>28</v>
      </c>
      <c r="K98" s="39" t="s">
        <v>26</v>
      </c>
      <c r="M98" s="39" t="s">
        <v>4545</v>
      </c>
      <c r="N98" s="39"/>
      <c r="O98" s="70"/>
      <c r="P98" s="71"/>
      <c r="Q98" s="72"/>
      <c r="T98" s="70"/>
      <c r="U98" s="73"/>
      <c r="V98" s="74"/>
      <c r="W98" s="75"/>
      <c r="Z98" s="76"/>
      <c r="AA98" s="101"/>
      <c r="AC98" s="39" t="s">
        <v>4138</v>
      </c>
      <c r="AD98" s="39"/>
      <c r="AE98" s="39" t="s">
        <v>4291</v>
      </c>
      <c r="AN98" s="40"/>
      <c r="AO98" s="39"/>
      <c r="AP98" s="70"/>
      <c r="AQ98" s="71"/>
      <c r="AR98" s="72"/>
      <c r="AU98" s="70"/>
      <c r="AV98" s="77"/>
      <c r="AW98" s="78"/>
      <c r="AX98" s="75"/>
      <c r="BA98" s="76"/>
      <c r="BD98" s="40"/>
      <c r="BE98" s="39"/>
    </row>
    <row r="99" spans="1:58" ht="36">
      <c r="A99" s="39" t="s">
        <v>4037</v>
      </c>
      <c r="B99" s="39" t="s">
        <v>4434</v>
      </c>
      <c r="C99" s="39" t="s">
        <v>57</v>
      </c>
      <c r="D99" s="39">
        <v>98</v>
      </c>
      <c r="E99" s="39">
        <v>1</v>
      </c>
      <c r="G99" s="39" t="s">
        <v>4292</v>
      </c>
      <c r="J99" s="39" t="s">
        <v>28</v>
      </c>
      <c r="K99" s="39" t="s">
        <v>26</v>
      </c>
      <c r="M99" s="39" t="s">
        <v>4545</v>
      </c>
      <c r="N99" s="39"/>
      <c r="O99" s="70"/>
      <c r="P99" s="71"/>
      <c r="Q99" s="72"/>
      <c r="T99" s="70"/>
      <c r="U99" s="73"/>
      <c r="V99" s="74"/>
      <c r="W99" s="75"/>
      <c r="Z99" s="76"/>
      <c r="AA99" s="101"/>
      <c r="AC99" s="39" t="s">
        <v>4293</v>
      </c>
      <c r="AD99" s="39"/>
      <c r="AE99" s="39" t="s">
        <v>4294</v>
      </c>
      <c r="AN99" s="40"/>
      <c r="AO99" s="39"/>
      <c r="AP99" s="70"/>
      <c r="AQ99" s="71"/>
      <c r="AR99" s="72"/>
      <c r="AU99" s="70"/>
      <c r="AV99" s="77"/>
      <c r="AW99" s="78"/>
      <c r="AX99" s="75"/>
      <c r="BA99" s="76"/>
      <c r="BD99" s="40"/>
      <c r="BE99" s="39"/>
    </row>
    <row r="100" spans="1:58" ht="48">
      <c r="A100" s="39" t="s">
        <v>4037</v>
      </c>
      <c r="B100" s="39" t="s">
        <v>4435</v>
      </c>
      <c r="C100" s="39" t="s">
        <v>57</v>
      </c>
      <c r="D100" s="39">
        <v>99</v>
      </c>
      <c r="E100" s="39">
        <v>1</v>
      </c>
      <c r="G100" s="39" t="s">
        <v>4550</v>
      </c>
      <c r="J100" s="39" t="s">
        <v>28</v>
      </c>
      <c r="K100" s="39" t="s">
        <v>26</v>
      </c>
      <c r="M100" s="39" t="s">
        <v>4545</v>
      </c>
      <c r="N100" s="39"/>
      <c r="O100" s="70"/>
      <c r="P100" s="71"/>
      <c r="Q100" s="72"/>
      <c r="T100" s="70"/>
      <c r="U100" s="73"/>
      <c r="V100" s="74"/>
      <c r="W100" s="75"/>
      <c r="Z100" s="76"/>
      <c r="AA100" s="101"/>
      <c r="AC100" s="39" t="s">
        <v>4138</v>
      </c>
      <c r="AD100" s="39"/>
      <c r="AE100" s="39" t="s">
        <v>4551</v>
      </c>
      <c r="AN100" s="40"/>
      <c r="AO100" s="39"/>
      <c r="AP100" s="70"/>
      <c r="AQ100" s="71"/>
      <c r="AR100" s="72"/>
      <c r="AU100" s="70"/>
      <c r="AV100" s="77"/>
      <c r="AW100" s="78"/>
      <c r="AX100" s="75"/>
      <c r="BA100" s="76"/>
      <c r="BD100" s="40"/>
      <c r="BE100" s="39"/>
    </row>
    <row r="101" spans="1:58" ht="48">
      <c r="A101" s="39" t="s">
        <v>4037</v>
      </c>
      <c r="B101" s="39" t="s">
        <v>4546</v>
      </c>
      <c r="C101" s="39" t="s">
        <v>57</v>
      </c>
      <c r="D101" s="39">
        <v>100</v>
      </c>
      <c r="E101" s="39">
        <v>1</v>
      </c>
      <c r="G101" s="39" t="s">
        <v>4295</v>
      </c>
      <c r="J101" s="39" t="s">
        <v>28</v>
      </c>
      <c r="K101" s="39" t="s">
        <v>26</v>
      </c>
      <c r="M101" s="39" t="s">
        <v>4545</v>
      </c>
      <c r="N101" s="39"/>
      <c r="O101" s="70"/>
      <c r="P101" s="71"/>
      <c r="Q101" s="72"/>
      <c r="T101" s="70"/>
      <c r="U101" s="73"/>
      <c r="V101" s="74"/>
      <c r="W101" s="75"/>
      <c r="Z101" s="76"/>
      <c r="AA101" s="101"/>
      <c r="AC101" s="39" t="s">
        <v>4138</v>
      </c>
      <c r="AD101" s="39"/>
      <c r="AE101" s="39" t="s">
        <v>4552</v>
      </c>
      <c r="AN101" s="40"/>
      <c r="AO101" s="39"/>
      <c r="AP101" s="70"/>
      <c r="AQ101" s="71"/>
      <c r="AR101" s="72"/>
      <c r="AU101" s="70"/>
      <c r="AV101" s="77"/>
      <c r="AW101" s="78"/>
      <c r="AX101" s="75"/>
      <c r="BA101" s="76"/>
      <c r="BD101" s="40"/>
      <c r="BE101" s="39"/>
    </row>
    <row r="102" spans="1:58" ht="24">
      <c r="A102" s="39" t="s">
        <v>4037</v>
      </c>
      <c r="B102" s="39" t="s">
        <v>4547</v>
      </c>
      <c r="C102" s="39" t="s">
        <v>57</v>
      </c>
      <c r="D102" s="39">
        <v>101</v>
      </c>
      <c r="E102" s="39">
        <v>1</v>
      </c>
      <c r="G102" s="39" t="s">
        <v>4553</v>
      </c>
      <c r="J102" s="39" t="s">
        <v>29</v>
      </c>
      <c r="M102" s="39" t="s">
        <v>4545</v>
      </c>
      <c r="N102" s="39"/>
      <c r="O102" s="70"/>
      <c r="P102" s="71"/>
      <c r="Q102" s="72">
        <v>4</v>
      </c>
      <c r="R102" s="63">
        <v>3</v>
      </c>
      <c r="S102" s="43">
        <v>3</v>
      </c>
      <c r="T102" s="70"/>
      <c r="U102" s="73">
        <v>1</v>
      </c>
      <c r="V102" s="74"/>
      <c r="W102" s="75"/>
      <c r="Z102" s="76"/>
      <c r="AA102" s="101"/>
      <c r="AC102" s="39" t="s">
        <v>4554</v>
      </c>
      <c r="AD102" s="39" t="s">
        <v>4555</v>
      </c>
      <c r="AE102" s="39" t="s">
        <v>4556</v>
      </c>
      <c r="AN102" s="40"/>
      <c r="AO102" s="39"/>
      <c r="AP102" s="70"/>
      <c r="AQ102" s="71"/>
      <c r="AR102" s="72"/>
      <c r="AU102" s="70"/>
      <c r="AV102" s="77"/>
      <c r="AW102" s="78"/>
      <c r="AX102" s="75"/>
      <c r="BA102" s="76"/>
      <c r="BD102" s="40"/>
      <c r="BE102" s="39"/>
    </row>
    <row r="103" spans="1:58" ht="24">
      <c r="A103" s="39" t="s">
        <v>4037</v>
      </c>
      <c r="B103" s="39" t="s">
        <v>4548</v>
      </c>
      <c r="C103" s="39" t="s">
        <v>57</v>
      </c>
      <c r="D103" s="39">
        <v>102</v>
      </c>
      <c r="E103" s="39">
        <v>1</v>
      </c>
      <c r="G103" s="39" t="s">
        <v>4557</v>
      </c>
      <c r="J103" s="39" t="s">
        <v>29</v>
      </c>
      <c r="M103" s="39" t="s">
        <v>4545</v>
      </c>
      <c r="N103" s="39"/>
      <c r="O103" s="70"/>
      <c r="P103" s="71"/>
      <c r="Q103" s="72">
        <v>2</v>
      </c>
      <c r="R103" s="63">
        <v>3</v>
      </c>
      <c r="S103" s="43">
        <v>3</v>
      </c>
      <c r="T103" s="70"/>
      <c r="U103" s="73">
        <v>1</v>
      </c>
      <c r="V103" s="74"/>
      <c r="W103" s="75"/>
      <c r="Z103" s="76"/>
      <c r="AA103" s="101"/>
      <c r="AC103" s="39" t="s">
        <v>4558</v>
      </c>
      <c r="AD103" s="39" t="s">
        <v>4555</v>
      </c>
      <c r="AE103" s="39" t="s">
        <v>4559</v>
      </c>
      <c r="AN103" s="40"/>
      <c r="AO103" s="39"/>
      <c r="AP103" s="70"/>
      <c r="AQ103" s="71"/>
      <c r="AR103" s="72"/>
      <c r="AU103" s="70"/>
      <c r="AV103" s="77"/>
      <c r="AW103" s="78"/>
      <c r="AX103" s="75"/>
      <c r="BA103" s="76"/>
      <c r="BD103" s="40"/>
      <c r="BE103" s="39"/>
    </row>
    <row r="104" spans="1:58" ht="36">
      <c r="A104" s="39" t="s">
        <v>4037</v>
      </c>
      <c r="B104" s="39" t="s">
        <v>4549</v>
      </c>
      <c r="C104" s="39" t="s">
        <v>57</v>
      </c>
      <c r="D104" s="39">
        <v>103</v>
      </c>
      <c r="E104" s="39">
        <v>1</v>
      </c>
      <c r="G104" s="39" t="s">
        <v>4560</v>
      </c>
      <c r="J104" s="39" t="s">
        <v>29</v>
      </c>
      <c r="M104" s="39" t="s">
        <v>4545</v>
      </c>
      <c r="N104" s="39"/>
      <c r="O104" s="70"/>
      <c r="P104" s="71"/>
      <c r="Q104" s="72">
        <v>3</v>
      </c>
      <c r="R104" s="63">
        <v>2</v>
      </c>
      <c r="S104" s="43">
        <v>2</v>
      </c>
      <c r="T104" s="70"/>
      <c r="U104" s="73">
        <v>1</v>
      </c>
      <c r="V104" s="74"/>
      <c r="W104" s="75"/>
      <c r="Z104" s="76"/>
      <c r="AA104" s="101"/>
      <c r="AC104" s="39" t="s">
        <v>4561</v>
      </c>
      <c r="AD104" s="39" t="s">
        <v>4555</v>
      </c>
      <c r="AE104" s="39" t="s">
        <v>4562</v>
      </c>
      <c r="AN104" s="40"/>
      <c r="AO104" s="39"/>
      <c r="AP104" s="70"/>
      <c r="AQ104" s="71"/>
      <c r="AR104" s="72"/>
      <c r="AU104" s="70"/>
      <c r="AV104" s="77"/>
      <c r="AW104" s="78"/>
      <c r="AX104" s="75"/>
      <c r="BA104" s="76"/>
      <c r="BD104" s="40"/>
      <c r="BE104" s="39"/>
    </row>
    <row r="105" spans="1:58" ht="72">
      <c r="A105" s="39" t="s">
        <v>4037</v>
      </c>
      <c r="B105" s="39" t="s">
        <v>4436</v>
      </c>
      <c r="C105" s="39" t="s">
        <v>57</v>
      </c>
      <c r="D105" s="79">
        <v>104</v>
      </c>
      <c r="E105" s="59">
        <v>1</v>
      </c>
      <c r="F105" s="59" t="s">
        <v>4296</v>
      </c>
      <c r="G105" s="59" t="s">
        <v>4296</v>
      </c>
      <c r="H105" s="39" t="s">
        <v>4563</v>
      </c>
      <c r="J105" s="39" t="s">
        <v>4472</v>
      </c>
      <c r="AA105" s="101"/>
      <c r="AE105" s="39" t="s">
        <v>4784</v>
      </c>
      <c r="AH105" s="57" t="s">
        <v>4296</v>
      </c>
      <c r="AI105" s="59" t="s">
        <v>4564</v>
      </c>
      <c r="AK105" s="39" t="s">
        <v>4472</v>
      </c>
      <c r="AN105" s="40"/>
      <c r="AO105" s="39"/>
      <c r="AP105" s="70"/>
      <c r="AQ105" s="71"/>
      <c r="AR105" s="72"/>
      <c r="AU105" s="70"/>
      <c r="AV105" s="77"/>
      <c r="AW105" s="78"/>
      <c r="AX105" s="75"/>
      <c r="BA105" s="76"/>
      <c r="BD105" s="40"/>
      <c r="BE105" s="39"/>
      <c r="BF105" s="39" t="s">
        <v>4785</v>
      </c>
    </row>
    <row r="106" spans="1:58" ht="36">
      <c r="A106" s="39" t="s">
        <v>4037</v>
      </c>
      <c r="B106" s="39" t="s">
        <v>4437</v>
      </c>
      <c r="C106" s="39" t="s">
        <v>57</v>
      </c>
      <c r="D106" s="40">
        <v>105</v>
      </c>
      <c r="E106" s="39">
        <v>1</v>
      </c>
      <c r="F106" s="59" t="s">
        <v>4296</v>
      </c>
      <c r="G106" s="39" t="s">
        <v>4297</v>
      </c>
      <c r="J106" s="39" t="s">
        <v>4473</v>
      </c>
      <c r="L106" s="39">
        <v>1</v>
      </c>
      <c r="Y106" s="43">
        <v>3</v>
      </c>
      <c r="AA106" s="101"/>
      <c r="AH106" s="39" t="s">
        <v>4565</v>
      </c>
      <c r="AK106" s="39" t="s">
        <v>4473</v>
      </c>
      <c r="AM106" s="39">
        <v>1</v>
      </c>
      <c r="AN106" s="40"/>
      <c r="AO106" s="39"/>
      <c r="AP106" s="70"/>
      <c r="AQ106" s="71"/>
      <c r="AR106" s="72"/>
      <c r="AU106" s="70"/>
      <c r="AV106" s="77"/>
      <c r="AW106" s="78"/>
      <c r="AX106" s="75"/>
      <c r="BA106" s="76"/>
      <c r="BD106" s="40"/>
      <c r="BE106" s="39"/>
      <c r="BF106" s="39" t="s">
        <v>4566</v>
      </c>
    </row>
    <row r="107" spans="1:58" ht="48">
      <c r="A107" s="39" t="s">
        <v>4037</v>
      </c>
      <c r="B107" s="39" t="s">
        <v>4438</v>
      </c>
      <c r="C107" s="39" t="s">
        <v>57</v>
      </c>
      <c r="D107" s="40">
        <v>106</v>
      </c>
      <c r="E107" s="39">
        <v>1</v>
      </c>
      <c r="F107" s="59" t="s">
        <v>4296</v>
      </c>
      <c r="G107" s="39" t="s">
        <v>4298</v>
      </c>
      <c r="J107" s="39" t="s">
        <v>4473</v>
      </c>
      <c r="L107" s="39">
        <v>2</v>
      </c>
      <c r="Y107" s="43">
        <v>7</v>
      </c>
      <c r="AA107" s="101"/>
      <c r="AH107" s="39" t="s">
        <v>4567</v>
      </c>
      <c r="AK107" s="39" t="s">
        <v>4473</v>
      </c>
      <c r="AM107" s="39">
        <v>2</v>
      </c>
      <c r="AN107" s="40"/>
      <c r="AO107" s="39"/>
      <c r="AP107" s="70"/>
      <c r="AQ107" s="71"/>
      <c r="AR107" s="72"/>
      <c r="AU107" s="70"/>
      <c r="AV107" s="77"/>
      <c r="AW107" s="78"/>
      <c r="AX107" s="75"/>
      <c r="BA107" s="76"/>
      <c r="BD107" s="40"/>
      <c r="BE107" s="39"/>
      <c r="BF107" s="39" t="s">
        <v>4568</v>
      </c>
    </row>
    <row r="108" spans="1:58" ht="72">
      <c r="A108" s="39" t="s">
        <v>4037</v>
      </c>
      <c r="B108" s="39" t="s">
        <v>4439</v>
      </c>
      <c r="C108" s="39" t="s">
        <v>57</v>
      </c>
      <c r="D108" s="40">
        <v>107</v>
      </c>
      <c r="E108" s="39">
        <v>1</v>
      </c>
      <c r="F108" s="59" t="s">
        <v>4296</v>
      </c>
      <c r="G108" s="39" t="s">
        <v>4299</v>
      </c>
      <c r="J108" s="39" t="s">
        <v>4473</v>
      </c>
      <c r="L108" s="39">
        <v>3</v>
      </c>
      <c r="Y108" s="43">
        <v>10</v>
      </c>
      <c r="AA108" s="101"/>
      <c r="AE108" s="39" t="s">
        <v>4474</v>
      </c>
      <c r="AH108" s="39" t="s">
        <v>4569</v>
      </c>
      <c r="AK108" s="39" t="s">
        <v>4473</v>
      </c>
      <c r="AM108" s="39">
        <v>3</v>
      </c>
      <c r="AN108" s="40"/>
      <c r="AO108" s="39"/>
      <c r="AP108" s="70"/>
      <c r="AQ108" s="71"/>
      <c r="AR108" s="72"/>
      <c r="AU108" s="70"/>
      <c r="AV108" s="77"/>
      <c r="AW108" s="78"/>
      <c r="AX108" s="75"/>
      <c r="BA108" s="76"/>
      <c r="BD108" s="40"/>
      <c r="BE108" s="39"/>
      <c r="BF108" s="39" t="s">
        <v>4570</v>
      </c>
    </row>
    <row r="109" spans="1:58" ht="48">
      <c r="A109" s="39" t="s">
        <v>4037</v>
      </c>
      <c r="B109" s="39" t="s">
        <v>4440</v>
      </c>
      <c r="C109" s="39" t="s">
        <v>57</v>
      </c>
      <c r="D109" s="39">
        <v>108</v>
      </c>
      <c r="E109" s="39">
        <v>1</v>
      </c>
      <c r="F109" s="59" t="s">
        <v>4296</v>
      </c>
      <c r="G109" s="39" t="s">
        <v>4300</v>
      </c>
      <c r="J109" s="39" t="s">
        <v>4475</v>
      </c>
      <c r="L109" s="39">
        <v>1</v>
      </c>
      <c r="N109" s="39"/>
      <c r="X109" s="63">
        <v>2</v>
      </c>
      <c r="AA109" s="101"/>
      <c r="AD109" s="39"/>
      <c r="AH109" s="39" t="s">
        <v>4571</v>
      </c>
      <c r="AK109" s="39" t="s">
        <v>4475</v>
      </c>
      <c r="AM109" s="39">
        <v>1</v>
      </c>
      <c r="AN109" s="40"/>
      <c r="AO109" s="39"/>
      <c r="AP109" s="70"/>
      <c r="AQ109" s="71"/>
      <c r="AR109" s="72"/>
      <c r="AU109" s="70"/>
      <c r="AV109" s="77"/>
      <c r="AW109" s="78"/>
      <c r="AX109" s="75"/>
      <c r="BA109" s="76"/>
      <c r="BD109" s="40"/>
      <c r="BE109" s="39"/>
      <c r="BF109" s="39" t="s">
        <v>4572</v>
      </c>
    </row>
    <row r="110" spans="1:58" ht="48">
      <c r="A110" s="39" t="s">
        <v>4037</v>
      </c>
      <c r="B110" s="39" t="s">
        <v>4441</v>
      </c>
      <c r="C110" s="39" t="s">
        <v>57</v>
      </c>
      <c r="D110" s="39">
        <v>109</v>
      </c>
      <c r="E110" s="39">
        <v>1</v>
      </c>
      <c r="F110" s="59" t="s">
        <v>4296</v>
      </c>
      <c r="G110" s="39" t="s">
        <v>4301</v>
      </c>
      <c r="J110" s="39" t="s">
        <v>4475</v>
      </c>
      <c r="L110" s="39">
        <v>2</v>
      </c>
      <c r="N110" s="39"/>
      <c r="X110" s="63">
        <v>3</v>
      </c>
      <c r="AA110" s="101"/>
      <c r="AD110" s="39"/>
      <c r="AE110" s="39" t="s">
        <v>4476</v>
      </c>
      <c r="AH110" s="39" t="s">
        <v>4573</v>
      </c>
      <c r="AK110" s="39" t="s">
        <v>4475</v>
      </c>
      <c r="AM110" s="39">
        <v>2</v>
      </c>
      <c r="AN110" s="40"/>
      <c r="AO110" s="39"/>
      <c r="AP110" s="70"/>
      <c r="AQ110" s="71"/>
      <c r="AR110" s="72"/>
      <c r="AU110" s="70"/>
      <c r="AV110" s="77"/>
      <c r="AW110" s="78"/>
      <c r="AX110" s="75"/>
      <c r="BA110" s="76"/>
      <c r="BD110" s="40"/>
      <c r="BE110" s="39"/>
      <c r="BF110" s="39" t="s">
        <v>4574</v>
      </c>
    </row>
    <row r="111" spans="1:58" ht="36">
      <c r="A111" s="39" t="s">
        <v>4037</v>
      </c>
      <c r="B111" s="39" t="s">
        <v>4442</v>
      </c>
      <c r="C111" s="39" t="s">
        <v>57</v>
      </c>
      <c r="D111" s="39">
        <v>110</v>
      </c>
      <c r="E111" s="39">
        <v>1</v>
      </c>
      <c r="F111" s="59" t="s">
        <v>4296</v>
      </c>
      <c r="G111" s="39" t="s">
        <v>4302</v>
      </c>
      <c r="J111" s="39" t="s">
        <v>4475</v>
      </c>
      <c r="L111" s="39">
        <v>3</v>
      </c>
      <c r="N111" s="39"/>
      <c r="X111" s="80" t="s">
        <v>38</v>
      </c>
      <c r="AA111" s="101"/>
      <c r="AD111" s="39"/>
      <c r="AE111" s="39" t="s">
        <v>4477</v>
      </c>
      <c r="AH111" s="39" t="s">
        <v>4575</v>
      </c>
      <c r="AK111" s="39" t="s">
        <v>4475</v>
      </c>
      <c r="AM111" s="39">
        <v>3</v>
      </c>
      <c r="AN111" s="40"/>
      <c r="AO111" s="39"/>
      <c r="AP111" s="70"/>
      <c r="AQ111" s="71"/>
      <c r="AR111" s="72"/>
      <c r="AU111" s="70"/>
      <c r="AV111" s="77"/>
      <c r="AW111" s="78"/>
      <c r="AX111" s="75"/>
      <c r="BA111" s="76"/>
      <c r="BD111" s="40"/>
      <c r="BE111" s="39"/>
      <c r="BF111" s="39" t="s">
        <v>4576</v>
      </c>
    </row>
    <row r="112" spans="1:58" ht="24">
      <c r="A112" s="39" t="s">
        <v>4037</v>
      </c>
      <c r="B112" s="39" t="s">
        <v>4443</v>
      </c>
      <c r="C112" s="39" t="s">
        <v>57</v>
      </c>
      <c r="D112" s="39">
        <v>111</v>
      </c>
      <c r="E112" s="39">
        <v>1</v>
      </c>
      <c r="F112" s="59" t="s">
        <v>4296</v>
      </c>
      <c r="G112" s="39" t="s">
        <v>4303</v>
      </c>
      <c r="J112" s="39" t="s">
        <v>31</v>
      </c>
      <c r="N112" s="39"/>
      <c r="AA112" s="101"/>
      <c r="AD112" s="39"/>
      <c r="AH112" s="39" t="s">
        <v>4303</v>
      </c>
      <c r="AK112" s="39" t="s">
        <v>31</v>
      </c>
      <c r="AO112" s="39"/>
      <c r="AX112" s="66">
        <v>2</v>
      </c>
      <c r="AY112" s="63">
        <v>2</v>
      </c>
      <c r="BE112" s="39"/>
    </row>
    <row r="113" spans="1:58" ht="15">
      <c r="A113" s="39" t="s">
        <v>4037</v>
      </c>
      <c r="B113" s="39" t="s">
        <v>4444</v>
      </c>
      <c r="C113" s="39" t="s">
        <v>57</v>
      </c>
      <c r="D113" s="39">
        <v>112</v>
      </c>
      <c r="E113" s="39">
        <v>1</v>
      </c>
      <c r="F113" s="59" t="s">
        <v>4296</v>
      </c>
      <c r="G113" s="39" t="s">
        <v>4304</v>
      </c>
      <c r="J113" s="39" t="s">
        <v>31</v>
      </c>
      <c r="N113" s="39"/>
      <c r="AA113" s="101"/>
      <c r="AD113" s="39"/>
      <c r="AH113" s="39" t="s">
        <v>4304</v>
      </c>
      <c r="AK113" s="39" t="s">
        <v>31</v>
      </c>
      <c r="AO113" s="39"/>
      <c r="AX113" s="66">
        <v>1</v>
      </c>
      <c r="AY113" s="63">
        <v>0</v>
      </c>
      <c r="BE113" s="39"/>
    </row>
    <row r="114" spans="1:58" ht="15">
      <c r="A114" s="39" t="s">
        <v>4037</v>
      </c>
      <c r="B114" s="39" t="s">
        <v>4445</v>
      </c>
      <c r="C114" s="39" t="s">
        <v>57</v>
      </c>
      <c r="D114" s="39">
        <v>113</v>
      </c>
      <c r="E114" s="39">
        <v>1</v>
      </c>
      <c r="F114" s="59" t="s">
        <v>4296</v>
      </c>
      <c r="G114" s="39" t="s">
        <v>4305</v>
      </c>
      <c r="J114" s="39" t="s">
        <v>31</v>
      </c>
      <c r="N114" s="39"/>
      <c r="AA114" s="101"/>
      <c r="AD114" s="39"/>
      <c r="AH114" s="39" t="s">
        <v>4305</v>
      </c>
      <c r="AK114" s="39" t="s">
        <v>31</v>
      </c>
      <c r="AO114" s="39"/>
      <c r="AX114" s="66">
        <v>1</v>
      </c>
      <c r="AY114" s="63">
        <v>2</v>
      </c>
      <c r="BA114" s="67">
        <v>1</v>
      </c>
      <c r="BE114" s="39"/>
      <c r="BF114" s="39" t="s">
        <v>4478</v>
      </c>
    </row>
    <row r="115" spans="1:58" ht="24">
      <c r="A115" s="39" t="s">
        <v>4037</v>
      </c>
      <c r="B115" s="39" t="s">
        <v>4446</v>
      </c>
      <c r="C115" s="39" t="s">
        <v>57</v>
      </c>
      <c r="D115" s="39">
        <v>114</v>
      </c>
      <c r="E115" s="39">
        <v>1</v>
      </c>
      <c r="F115" s="59" t="s">
        <v>4296</v>
      </c>
      <c r="G115" s="39" t="s">
        <v>4306</v>
      </c>
      <c r="J115" s="39" t="s">
        <v>31</v>
      </c>
      <c r="N115" s="39"/>
      <c r="AA115" s="101"/>
      <c r="AD115" s="39"/>
      <c r="AH115" s="39" t="s">
        <v>4306</v>
      </c>
      <c r="AK115" s="39" t="s">
        <v>31</v>
      </c>
      <c r="AO115" s="39"/>
      <c r="AX115" s="66">
        <v>4</v>
      </c>
      <c r="AY115" s="63">
        <v>2</v>
      </c>
      <c r="BA115" s="67">
        <v>1</v>
      </c>
      <c r="BE115" s="39"/>
      <c r="BF115" s="39" t="s">
        <v>4479</v>
      </c>
    </row>
    <row r="116" spans="1:58" ht="60">
      <c r="A116" s="39" t="s">
        <v>4037</v>
      </c>
      <c r="B116" s="39" t="s">
        <v>4447</v>
      </c>
      <c r="C116" s="39" t="s">
        <v>57</v>
      </c>
      <c r="D116" s="39">
        <v>115</v>
      </c>
      <c r="E116" s="39">
        <v>1</v>
      </c>
      <c r="F116" s="59" t="s">
        <v>4296</v>
      </c>
      <c r="G116" s="39" t="s">
        <v>4307</v>
      </c>
      <c r="J116" s="39" t="s">
        <v>31</v>
      </c>
      <c r="N116" s="39"/>
      <c r="AA116" s="101"/>
      <c r="AD116" s="39"/>
      <c r="AH116" s="39" t="s">
        <v>4307</v>
      </c>
      <c r="AK116" s="39" t="s">
        <v>31</v>
      </c>
      <c r="AO116" s="39"/>
      <c r="AX116" s="66">
        <v>2</v>
      </c>
      <c r="AY116" s="63">
        <v>0</v>
      </c>
      <c r="BE116" s="39"/>
      <c r="BF116" s="39" t="s">
        <v>4480</v>
      </c>
    </row>
    <row r="117" spans="1:58" ht="36">
      <c r="A117" s="39" t="s">
        <v>4037</v>
      </c>
      <c r="B117" s="39" t="s">
        <v>4448</v>
      </c>
      <c r="C117" s="39" t="s">
        <v>57</v>
      </c>
      <c r="D117" s="39">
        <v>116</v>
      </c>
      <c r="E117" s="39">
        <v>1</v>
      </c>
      <c r="F117" s="59" t="s">
        <v>4296</v>
      </c>
      <c r="G117" s="39" t="s">
        <v>4308</v>
      </c>
      <c r="J117" s="39" t="s">
        <v>29</v>
      </c>
      <c r="N117" s="39"/>
      <c r="Q117" s="62">
        <v>4</v>
      </c>
      <c r="R117" s="63">
        <v>4</v>
      </c>
      <c r="S117" s="43">
        <v>5</v>
      </c>
      <c r="U117" s="64">
        <v>2</v>
      </c>
      <c r="V117" s="65">
        <v>2</v>
      </c>
      <c r="Z117" s="67">
        <v>2</v>
      </c>
      <c r="AA117" s="101"/>
      <c r="AC117" s="39" t="s">
        <v>4309</v>
      </c>
      <c r="AD117" s="39"/>
      <c r="AE117" s="39" t="s">
        <v>4481</v>
      </c>
      <c r="AN117" s="40"/>
      <c r="AO117" s="39"/>
      <c r="AP117" s="70"/>
      <c r="AQ117" s="71"/>
      <c r="AR117" s="72"/>
      <c r="AU117" s="70"/>
      <c r="AV117" s="77"/>
      <c r="AW117" s="78"/>
      <c r="AX117" s="75"/>
      <c r="BA117" s="76"/>
      <c r="BD117" s="40"/>
      <c r="BE117" s="39"/>
    </row>
    <row r="118" spans="1:58" ht="60">
      <c r="A118" s="39" t="s">
        <v>4037</v>
      </c>
      <c r="B118" s="39" t="s">
        <v>4449</v>
      </c>
      <c r="C118" s="39" t="s">
        <v>57</v>
      </c>
      <c r="D118" s="39">
        <v>117</v>
      </c>
      <c r="E118" s="39">
        <v>1</v>
      </c>
      <c r="F118" s="59" t="s">
        <v>4296</v>
      </c>
      <c r="G118" s="39" t="s">
        <v>4310</v>
      </c>
      <c r="H118" s="39" t="s">
        <v>4311</v>
      </c>
      <c r="I118" s="39" t="s">
        <v>4077</v>
      </c>
      <c r="J118" s="39" t="s">
        <v>4111</v>
      </c>
      <c r="N118" s="39"/>
      <c r="S118" s="43">
        <v>3</v>
      </c>
      <c r="T118" s="60">
        <v>3</v>
      </c>
      <c r="AA118" s="101"/>
      <c r="AB118" s="39" t="s">
        <v>25</v>
      </c>
      <c r="AC118" s="39" t="s">
        <v>4312</v>
      </c>
      <c r="AD118" s="39"/>
      <c r="AE118" s="39" t="s">
        <v>4482</v>
      </c>
      <c r="AN118" s="40"/>
      <c r="AO118" s="39"/>
      <c r="AP118" s="70"/>
      <c r="AQ118" s="71"/>
      <c r="AR118" s="72"/>
      <c r="AU118" s="70"/>
      <c r="AV118" s="77"/>
      <c r="AW118" s="78"/>
      <c r="AX118" s="75"/>
      <c r="BA118" s="76"/>
      <c r="BD118" s="40"/>
      <c r="BE118" s="39"/>
    </row>
    <row r="119" spans="1:58" ht="24">
      <c r="A119" s="39" t="s">
        <v>4037</v>
      </c>
      <c r="B119" s="39" t="s">
        <v>4450</v>
      </c>
      <c r="C119" s="39" t="s">
        <v>57</v>
      </c>
      <c r="D119" s="39">
        <v>118</v>
      </c>
      <c r="E119" s="39">
        <v>1</v>
      </c>
      <c r="F119" s="59" t="s">
        <v>4296</v>
      </c>
      <c r="G119" s="39" t="s">
        <v>4313</v>
      </c>
      <c r="J119" s="39" t="s">
        <v>29</v>
      </c>
      <c r="N119" s="39"/>
      <c r="Q119" s="62">
        <v>4</v>
      </c>
      <c r="R119" s="63">
        <v>1</v>
      </c>
      <c r="S119" s="43">
        <v>4</v>
      </c>
      <c r="U119" s="64">
        <v>1</v>
      </c>
      <c r="V119" s="65">
        <v>2</v>
      </c>
      <c r="Z119" s="67">
        <v>1</v>
      </c>
      <c r="AA119" s="101"/>
      <c r="AC119" s="39" t="s">
        <v>4314</v>
      </c>
      <c r="AD119" s="39"/>
      <c r="AE119" s="39" t="s">
        <v>4483</v>
      </c>
      <c r="AN119" s="40"/>
      <c r="AO119" s="39"/>
      <c r="AP119" s="70"/>
      <c r="AQ119" s="71"/>
      <c r="AR119" s="72"/>
      <c r="AU119" s="70"/>
      <c r="AV119" s="77"/>
      <c r="AW119" s="78"/>
      <c r="AX119" s="75"/>
      <c r="BA119" s="76"/>
      <c r="BD119" s="40"/>
      <c r="BE119" s="39"/>
    </row>
    <row r="120" spans="1:58" ht="24">
      <c r="A120" s="39" t="s">
        <v>4037</v>
      </c>
      <c r="B120" s="39" t="s">
        <v>4451</v>
      </c>
      <c r="C120" s="39" t="s">
        <v>57</v>
      </c>
      <c r="D120" s="39">
        <v>119</v>
      </c>
      <c r="E120" s="39">
        <v>1</v>
      </c>
      <c r="F120" s="59" t="s">
        <v>4296</v>
      </c>
      <c r="G120" s="39" t="s">
        <v>4315</v>
      </c>
      <c r="J120" s="39" t="s">
        <v>29</v>
      </c>
      <c r="N120" s="39"/>
      <c r="Q120" s="62">
        <v>3</v>
      </c>
      <c r="R120" s="63">
        <v>4</v>
      </c>
      <c r="S120" s="43">
        <v>4</v>
      </c>
      <c r="U120" s="64">
        <v>2</v>
      </c>
      <c r="V120" s="65">
        <v>1</v>
      </c>
      <c r="Z120" s="67">
        <v>1</v>
      </c>
      <c r="AA120" s="101"/>
      <c r="AC120" s="39" t="s">
        <v>4314</v>
      </c>
      <c r="AD120" s="39"/>
      <c r="AE120" s="39" t="s">
        <v>4484</v>
      </c>
      <c r="AN120" s="40"/>
      <c r="AO120" s="39"/>
      <c r="AP120" s="70"/>
      <c r="AQ120" s="71"/>
      <c r="AR120" s="72"/>
      <c r="AU120" s="70"/>
      <c r="AV120" s="77"/>
      <c r="AW120" s="78"/>
      <c r="AX120" s="75"/>
      <c r="BA120" s="76"/>
      <c r="BD120" s="40"/>
      <c r="BE120" s="39"/>
    </row>
    <row r="121" spans="1:58" ht="48">
      <c r="A121" s="39" t="s">
        <v>4037</v>
      </c>
      <c r="B121" s="39" t="s">
        <v>4756</v>
      </c>
      <c r="C121" s="39" t="s">
        <v>57</v>
      </c>
      <c r="D121" s="39">
        <v>120</v>
      </c>
      <c r="E121" s="39">
        <v>1</v>
      </c>
      <c r="F121" s="39" t="s">
        <v>4577</v>
      </c>
      <c r="G121" s="39" t="s">
        <v>4577</v>
      </c>
      <c r="H121" s="39" t="s">
        <v>4563</v>
      </c>
      <c r="J121" s="39" t="s">
        <v>4472</v>
      </c>
      <c r="N121" s="39"/>
      <c r="AA121" s="101"/>
      <c r="AD121" s="39"/>
      <c r="AE121" s="39" t="s">
        <v>4578</v>
      </c>
      <c r="AH121" s="39" t="s">
        <v>4577</v>
      </c>
      <c r="AI121" s="39" t="s">
        <v>4564</v>
      </c>
      <c r="AK121" s="39" t="s">
        <v>4472</v>
      </c>
      <c r="AN121" s="40"/>
      <c r="AO121" s="39"/>
      <c r="AP121" s="70"/>
      <c r="AQ121" s="71"/>
      <c r="AR121" s="72"/>
      <c r="AU121" s="70"/>
      <c r="AV121" s="77"/>
      <c r="AW121" s="78"/>
      <c r="AX121" s="75"/>
      <c r="BA121" s="76"/>
      <c r="BD121" s="40"/>
      <c r="BE121" s="39"/>
      <c r="BF121" s="39" t="s">
        <v>4579</v>
      </c>
    </row>
    <row r="122" spans="1:58" ht="36">
      <c r="A122" s="39" t="s">
        <v>4037</v>
      </c>
      <c r="B122" s="39" t="s">
        <v>4757</v>
      </c>
      <c r="C122" s="39" t="s">
        <v>57</v>
      </c>
      <c r="D122" s="39">
        <v>121</v>
      </c>
      <c r="E122" s="39">
        <v>1</v>
      </c>
      <c r="F122" s="39" t="s">
        <v>4577</v>
      </c>
      <c r="G122" s="39" t="s">
        <v>4580</v>
      </c>
      <c r="J122" s="39" t="s">
        <v>4473</v>
      </c>
      <c r="L122" s="39">
        <v>1</v>
      </c>
      <c r="N122" s="39"/>
      <c r="Y122" s="43">
        <v>6</v>
      </c>
      <c r="AA122" s="101"/>
      <c r="AD122" s="39"/>
      <c r="AE122" s="39" t="s">
        <v>4581</v>
      </c>
      <c r="AH122" s="39" t="s">
        <v>4582</v>
      </c>
      <c r="AI122" s="39" t="s">
        <v>4583</v>
      </c>
      <c r="AJ122" s="39" t="s">
        <v>4077</v>
      </c>
      <c r="AK122" s="39" t="s">
        <v>29</v>
      </c>
      <c r="AN122" s="40"/>
      <c r="AO122" s="39"/>
      <c r="AP122" s="70"/>
      <c r="AQ122" s="71"/>
      <c r="AR122" s="72">
        <v>4</v>
      </c>
      <c r="AS122" s="63">
        <v>2</v>
      </c>
      <c r="AT122" s="43">
        <v>4</v>
      </c>
      <c r="AU122" s="70"/>
      <c r="AV122" s="77">
        <v>2</v>
      </c>
      <c r="AW122" s="78">
        <v>1</v>
      </c>
      <c r="AX122" s="75"/>
      <c r="BA122" s="76">
        <v>2</v>
      </c>
      <c r="BD122" s="40"/>
      <c r="BE122" s="39" t="s">
        <v>4584</v>
      </c>
      <c r="BF122" s="39" t="s">
        <v>4585</v>
      </c>
    </row>
    <row r="123" spans="1:58" ht="48">
      <c r="A123" s="39" t="s">
        <v>4037</v>
      </c>
      <c r="B123" s="39" t="s">
        <v>4950</v>
      </c>
      <c r="C123" s="39" t="s">
        <v>57</v>
      </c>
      <c r="D123" s="39">
        <v>121</v>
      </c>
      <c r="E123" s="39">
        <v>1</v>
      </c>
      <c r="F123" s="39" t="s">
        <v>4577</v>
      </c>
      <c r="G123" s="39" t="s">
        <v>4582</v>
      </c>
      <c r="H123" s="39" t="s">
        <v>4583</v>
      </c>
      <c r="I123" s="39" t="s">
        <v>4077</v>
      </c>
      <c r="J123" s="39" t="s">
        <v>29</v>
      </c>
      <c r="M123" s="40"/>
      <c r="N123" s="39"/>
      <c r="O123" s="70"/>
      <c r="P123" s="71"/>
      <c r="Q123" s="72">
        <v>4</v>
      </c>
      <c r="R123" s="63">
        <v>2</v>
      </c>
      <c r="S123" s="43">
        <v>4</v>
      </c>
      <c r="T123" s="70"/>
      <c r="U123" s="77">
        <v>2</v>
      </c>
      <c r="V123" s="78">
        <v>1</v>
      </c>
      <c r="W123" s="75"/>
      <c r="Z123" s="76">
        <v>2</v>
      </c>
      <c r="AC123" s="40"/>
      <c r="AD123" s="39" t="s">
        <v>4584</v>
      </c>
      <c r="AE123" s="39" t="s">
        <v>4585</v>
      </c>
      <c r="AN123" s="40"/>
      <c r="AO123" s="39"/>
      <c r="AP123" s="70"/>
      <c r="AQ123" s="71"/>
      <c r="AR123" s="72"/>
      <c r="AU123" s="70"/>
      <c r="AV123" s="77"/>
      <c r="AW123" s="78"/>
      <c r="AX123" s="75"/>
      <c r="BA123" s="76"/>
      <c r="BD123" s="40"/>
      <c r="BE123" s="39"/>
    </row>
    <row r="124" spans="1:58" ht="24">
      <c r="A124" s="39" t="s">
        <v>4037</v>
      </c>
      <c r="B124" s="39" t="s">
        <v>4758</v>
      </c>
      <c r="C124" s="39" t="s">
        <v>57</v>
      </c>
      <c r="D124" s="39">
        <v>122</v>
      </c>
      <c r="E124" s="39">
        <v>1</v>
      </c>
      <c r="F124" s="39" t="s">
        <v>4577</v>
      </c>
      <c r="G124" s="39" t="s">
        <v>4586</v>
      </c>
      <c r="J124" s="39" t="s">
        <v>4473</v>
      </c>
      <c r="L124" s="39">
        <v>2</v>
      </c>
      <c r="N124" s="39"/>
      <c r="Y124" s="43">
        <v>8</v>
      </c>
      <c r="AA124" s="101"/>
      <c r="AD124" s="39"/>
      <c r="AE124" s="39" t="s">
        <v>4581</v>
      </c>
      <c r="AH124" s="39" t="s">
        <v>4587</v>
      </c>
      <c r="AK124" s="39" t="s">
        <v>4473</v>
      </c>
      <c r="AM124" s="39">
        <v>2</v>
      </c>
      <c r="AN124" s="40"/>
      <c r="AO124" s="39"/>
      <c r="AP124" s="70"/>
      <c r="AQ124" s="71"/>
      <c r="AR124" s="72"/>
      <c r="AU124" s="70"/>
      <c r="AV124" s="77"/>
      <c r="AW124" s="78"/>
      <c r="AX124" s="75"/>
      <c r="BA124" s="76"/>
      <c r="BD124" s="40"/>
      <c r="BE124" s="39"/>
      <c r="BF124" s="39" t="s">
        <v>4588</v>
      </c>
    </row>
    <row r="125" spans="1:58" ht="72">
      <c r="A125" s="39" t="s">
        <v>4037</v>
      </c>
      <c r="B125" s="39" t="s">
        <v>4759</v>
      </c>
      <c r="C125" s="39" t="s">
        <v>57</v>
      </c>
      <c r="D125" s="39">
        <v>123</v>
      </c>
      <c r="E125" s="39">
        <v>1</v>
      </c>
      <c r="F125" s="39" t="s">
        <v>4577</v>
      </c>
      <c r="G125" s="39" t="s">
        <v>4589</v>
      </c>
      <c r="J125" s="39" t="s">
        <v>4475</v>
      </c>
      <c r="L125" s="39">
        <v>1</v>
      </c>
      <c r="N125" s="39"/>
      <c r="X125" s="80" t="s">
        <v>38</v>
      </c>
      <c r="AA125" s="101"/>
      <c r="AD125" s="39"/>
      <c r="AE125" s="39" t="s">
        <v>4590</v>
      </c>
      <c r="AH125" s="39" t="s">
        <v>4591</v>
      </c>
      <c r="AK125" s="39" t="s">
        <v>4475</v>
      </c>
      <c r="AM125" s="39">
        <v>1</v>
      </c>
      <c r="AN125" s="40"/>
      <c r="AO125" s="39"/>
      <c r="AP125" s="70"/>
      <c r="AQ125" s="71"/>
      <c r="AR125" s="72"/>
      <c r="AU125" s="70"/>
      <c r="AV125" s="77"/>
      <c r="AW125" s="78"/>
      <c r="AX125" s="75"/>
      <c r="BA125" s="76"/>
      <c r="BD125" s="40"/>
      <c r="BE125" s="39"/>
      <c r="BF125" s="39" t="s">
        <v>4592</v>
      </c>
    </row>
    <row r="126" spans="1:58" ht="36">
      <c r="A126" s="39" t="s">
        <v>4037</v>
      </c>
      <c r="B126" s="39" t="s">
        <v>4760</v>
      </c>
      <c r="C126" s="39" t="s">
        <v>57</v>
      </c>
      <c r="D126" s="39">
        <v>124</v>
      </c>
      <c r="E126" s="39">
        <v>1</v>
      </c>
      <c r="F126" s="39" t="s">
        <v>4577</v>
      </c>
      <c r="G126" s="39" t="s">
        <v>4593</v>
      </c>
      <c r="J126" s="39" t="s">
        <v>31</v>
      </c>
      <c r="N126" s="39"/>
      <c r="AA126" s="101"/>
      <c r="AC126" s="39" t="s">
        <v>4317</v>
      </c>
      <c r="AD126" s="39"/>
      <c r="AH126" s="39" t="s">
        <v>4593</v>
      </c>
      <c r="AK126" s="39" t="s">
        <v>31</v>
      </c>
      <c r="AN126" s="40"/>
      <c r="AO126" s="39"/>
      <c r="AP126" s="70"/>
      <c r="AQ126" s="71"/>
      <c r="AR126" s="72"/>
      <c r="AU126" s="70"/>
      <c r="AV126" s="77"/>
      <c r="AW126" s="78"/>
      <c r="AX126" s="75">
        <v>2</v>
      </c>
      <c r="AY126" s="63">
        <v>1</v>
      </c>
      <c r="BA126" s="76"/>
      <c r="BD126" s="40" t="s">
        <v>4317</v>
      </c>
      <c r="BE126" s="39"/>
      <c r="BF126" s="39" t="s">
        <v>4594</v>
      </c>
    </row>
    <row r="127" spans="1:58" ht="24">
      <c r="A127" s="39" t="s">
        <v>4037</v>
      </c>
      <c r="B127" s="39" t="s">
        <v>4761</v>
      </c>
      <c r="C127" s="39" t="s">
        <v>57</v>
      </c>
      <c r="D127" s="39">
        <v>125</v>
      </c>
      <c r="E127" s="39">
        <v>1</v>
      </c>
      <c r="F127" s="39" t="s">
        <v>4577</v>
      </c>
      <c r="G127" s="39" t="s">
        <v>4595</v>
      </c>
      <c r="J127" s="39" t="s">
        <v>31</v>
      </c>
      <c r="N127" s="39"/>
      <c r="AA127" s="101"/>
      <c r="AC127" s="39" t="s">
        <v>4596</v>
      </c>
      <c r="AD127" s="39"/>
      <c r="AH127" s="39" t="s">
        <v>4595</v>
      </c>
      <c r="AK127" s="39" t="s">
        <v>31</v>
      </c>
      <c r="AN127" s="40"/>
      <c r="AO127" s="39"/>
      <c r="AP127" s="70"/>
      <c r="AQ127" s="71"/>
      <c r="AR127" s="72"/>
      <c r="AU127" s="70"/>
      <c r="AV127" s="77"/>
      <c r="AW127" s="78"/>
      <c r="AX127" s="75">
        <v>1</v>
      </c>
      <c r="AY127" s="63">
        <v>1</v>
      </c>
      <c r="BA127" s="76"/>
      <c r="BD127" s="40" t="s">
        <v>4596</v>
      </c>
      <c r="BE127" s="39"/>
    </row>
    <row r="128" spans="1:58" ht="24">
      <c r="A128" s="39" t="s">
        <v>4037</v>
      </c>
      <c r="B128" s="39" t="s">
        <v>4762</v>
      </c>
      <c r="C128" s="39" t="s">
        <v>57</v>
      </c>
      <c r="D128" s="39">
        <v>126</v>
      </c>
      <c r="E128" s="39">
        <v>1</v>
      </c>
      <c r="F128" s="39" t="s">
        <v>4577</v>
      </c>
      <c r="G128" s="39" t="s">
        <v>4597</v>
      </c>
      <c r="J128" s="39" t="s">
        <v>31</v>
      </c>
      <c r="N128" s="39"/>
      <c r="AA128" s="101"/>
      <c r="AC128" s="39" t="s">
        <v>4317</v>
      </c>
      <c r="AD128" s="39"/>
      <c r="AH128" s="39" t="s">
        <v>4597</v>
      </c>
      <c r="AI128" s="39" t="s">
        <v>4598</v>
      </c>
      <c r="AK128" s="39" t="s">
        <v>31</v>
      </c>
      <c r="AN128" s="40"/>
      <c r="AO128" s="39"/>
      <c r="AP128" s="70"/>
      <c r="AQ128" s="71"/>
      <c r="AR128" s="72"/>
      <c r="AU128" s="70"/>
      <c r="AV128" s="77"/>
      <c r="AW128" s="78"/>
      <c r="AX128" s="75">
        <v>3</v>
      </c>
      <c r="AY128" s="63">
        <v>1</v>
      </c>
      <c r="BA128" s="76"/>
      <c r="BD128" s="40" t="s">
        <v>4317</v>
      </c>
      <c r="BE128" s="39"/>
      <c r="BF128" s="39" t="s">
        <v>4599</v>
      </c>
    </row>
    <row r="129" spans="1:58" ht="24">
      <c r="A129" s="39" t="s">
        <v>4037</v>
      </c>
      <c r="B129" s="39" t="s">
        <v>4763</v>
      </c>
      <c r="C129" s="39" t="s">
        <v>57</v>
      </c>
      <c r="D129" s="39">
        <v>127</v>
      </c>
      <c r="E129" s="39">
        <v>1</v>
      </c>
      <c r="F129" s="39" t="s">
        <v>4577</v>
      </c>
      <c r="G129" s="39" t="s">
        <v>4597</v>
      </c>
      <c r="J129" s="39" t="s">
        <v>31</v>
      </c>
      <c r="N129" s="39"/>
      <c r="AA129" s="101"/>
      <c r="AC129" s="39" t="s">
        <v>4317</v>
      </c>
      <c r="AD129" s="39"/>
      <c r="AH129" s="39" t="s">
        <v>4597</v>
      </c>
      <c r="AI129" s="39" t="s">
        <v>4600</v>
      </c>
      <c r="AK129" s="39" t="s">
        <v>31</v>
      </c>
      <c r="AN129" s="40"/>
      <c r="AO129" s="39"/>
      <c r="AP129" s="70"/>
      <c r="AQ129" s="71"/>
      <c r="AR129" s="72"/>
      <c r="AU129" s="70"/>
      <c r="AV129" s="77"/>
      <c r="AW129" s="78"/>
      <c r="AX129" s="75">
        <v>2</v>
      </c>
      <c r="AY129" s="63">
        <v>1</v>
      </c>
      <c r="BA129" s="76"/>
      <c r="BD129" s="40" t="s">
        <v>4317</v>
      </c>
      <c r="BE129" s="39"/>
      <c r="BF129" s="39" t="s">
        <v>4601</v>
      </c>
    </row>
    <row r="130" spans="1:58" ht="24">
      <c r="A130" s="39" t="s">
        <v>4037</v>
      </c>
      <c r="B130" s="39" t="s">
        <v>4452</v>
      </c>
      <c r="C130" s="39" t="s">
        <v>57</v>
      </c>
      <c r="D130" s="39">
        <v>128</v>
      </c>
      <c r="E130" s="39">
        <v>1</v>
      </c>
      <c r="F130" s="39" t="s">
        <v>4577</v>
      </c>
      <c r="G130" s="39" t="s">
        <v>4316</v>
      </c>
      <c r="J130" s="39" t="s">
        <v>31</v>
      </c>
      <c r="N130" s="39"/>
      <c r="AA130" s="101"/>
      <c r="AC130" s="39" t="s">
        <v>4317</v>
      </c>
      <c r="AD130" s="39"/>
      <c r="AH130" s="39" t="s">
        <v>4316</v>
      </c>
      <c r="AK130" s="39" t="s">
        <v>31</v>
      </c>
      <c r="AO130" s="39"/>
      <c r="AX130" s="66">
        <v>2</v>
      </c>
      <c r="AY130" s="63">
        <v>1</v>
      </c>
      <c r="BD130" s="39" t="s">
        <v>4317</v>
      </c>
      <c r="BE130" s="39"/>
      <c r="BF130" s="39" t="s">
        <v>4485</v>
      </c>
    </row>
    <row r="131" spans="1:58" ht="24">
      <c r="A131" s="39" t="s">
        <v>4037</v>
      </c>
      <c r="B131" s="39" t="s">
        <v>4453</v>
      </c>
      <c r="C131" s="39" t="s">
        <v>57</v>
      </c>
      <c r="D131" s="39">
        <v>129</v>
      </c>
      <c r="E131" s="39">
        <v>1</v>
      </c>
      <c r="F131" s="39" t="s">
        <v>4577</v>
      </c>
      <c r="G131" s="39" t="s">
        <v>4318</v>
      </c>
      <c r="J131" s="39" t="s">
        <v>31</v>
      </c>
      <c r="N131" s="39"/>
      <c r="AA131" s="101"/>
      <c r="AC131" s="39" t="s">
        <v>4317</v>
      </c>
      <c r="AD131" s="39"/>
      <c r="AH131" s="39" t="s">
        <v>4318</v>
      </c>
      <c r="AK131" s="39" t="s">
        <v>31</v>
      </c>
      <c r="AO131" s="39"/>
      <c r="AX131" s="66">
        <v>4</v>
      </c>
      <c r="AY131" s="63">
        <v>2</v>
      </c>
      <c r="BA131" s="67">
        <v>1</v>
      </c>
      <c r="BD131" s="39" t="s">
        <v>4317</v>
      </c>
      <c r="BE131" s="39"/>
      <c r="BF131" s="39" t="s">
        <v>4602</v>
      </c>
    </row>
    <row r="132" spans="1:58" ht="15">
      <c r="A132" s="39" t="s">
        <v>4037</v>
      </c>
      <c r="B132" s="39" t="s">
        <v>4746</v>
      </c>
      <c r="C132" s="39" t="s">
        <v>57</v>
      </c>
      <c r="D132" s="39">
        <v>130</v>
      </c>
      <c r="E132" s="39">
        <v>1</v>
      </c>
      <c r="F132" s="39" t="s">
        <v>4577</v>
      </c>
      <c r="G132" s="39" t="s">
        <v>4603</v>
      </c>
      <c r="J132" s="39" t="s">
        <v>31</v>
      </c>
      <c r="N132" s="39"/>
      <c r="AA132" s="101"/>
      <c r="AC132" s="39" t="s">
        <v>4317</v>
      </c>
      <c r="AD132" s="39"/>
      <c r="AH132" s="39" t="s">
        <v>4603</v>
      </c>
      <c r="AI132" s="39" t="s">
        <v>4604</v>
      </c>
      <c r="AK132" s="39" t="s">
        <v>31</v>
      </c>
      <c r="AN132" s="40"/>
      <c r="AO132" s="39"/>
      <c r="AP132" s="70"/>
      <c r="AQ132" s="71"/>
      <c r="AR132" s="72"/>
      <c r="AU132" s="70"/>
      <c r="AV132" s="77"/>
      <c r="AW132" s="78"/>
      <c r="AX132" s="75">
        <v>3</v>
      </c>
      <c r="AY132" s="63">
        <v>1</v>
      </c>
      <c r="BA132" s="76"/>
      <c r="BD132" s="40" t="s">
        <v>4317</v>
      </c>
      <c r="BE132" s="39"/>
      <c r="BF132" s="39" t="s">
        <v>4605</v>
      </c>
    </row>
    <row r="133" spans="1:58" ht="24">
      <c r="A133" s="39" t="s">
        <v>4037</v>
      </c>
      <c r="B133" s="39" t="s">
        <v>4747</v>
      </c>
      <c r="C133" s="39" t="s">
        <v>57</v>
      </c>
      <c r="D133" s="39">
        <v>131</v>
      </c>
      <c r="E133" s="39">
        <v>1</v>
      </c>
      <c r="F133" s="39" t="s">
        <v>4577</v>
      </c>
      <c r="G133" s="39" t="s">
        <v>4603</v>
      </c>
      <c r="J133" s="39" t="s">
        <v>31</v>
      </c>
      <c r="N133" s="39"/>
      <c r="AA133" s="101"/>
      <c r="AC133" s="39" t="s">
        <v>4317</v>
      </c>
      <c r="AD133" s="39"/>
      <c r="AH133" s="39" t="s">
        <v>4603</v>
      </c>
      <c r="AI133" s="39" t="s">
        <v>4606</v>
      </c>
      <c r="AK133" s="39" t="s">
        <v>31</v>
      </c>
      <c r="AN133" s="40"/>
      <c r="AO133" s="39"/>
      <c r="AP133" s="70"/>
      <c r="AQ133" s="71"/>
      <c r="AR133" s="72"/>
      <c r="AU133" s="70"/>
      <c r="AV133" s="77"/>
      <c r="AW133" s="78"/>
      <c r="AX133" s="75">
        <v>3</v>
      </c>
      <c r="AY133" s="63">
        <v>2</v>
      </c>
      <c r="BA133" s="76"/>
      <c r="BD133" s="40" t="s">
        <v>4317</v>
      </c>
      <c r="BE133" s="39"/>
      <c r="BF133" s="39" t="s">
        <v>4607</v>
      </c>
    </row>
    <row r="134" spans="1:58" ht="24">
      <c r="A134" s="39" t="s">
        <v>4037</v>
      </c>
      <c r="B134" s="39" t="s">
        <v>4748</v>
      </c>
      <c r="C134" s="39" t="s">
        <v>57</v>
      </c>
      <c r="D134" s="39">
        <v>132</v>
      </c>
      <c r="E134" s="39">
        <v>1</v>
      </c>
      <c r="F134" s="39" t="s">
        <v>4577</v>
      </c>
      <c r="G134" s="39" t="s">
        <v>4608</v>
      </c>
      <c r="J134" s="39" t="s">
        <v>31</v>
      </c>
      <c r="N134" s="39"/>
      <c r="AA134" s="101"/>
      <c r="AC134" s="39" t="s">
        <v>4317</v>
      </c>
      <c r="AD134" s="39"/>
      <c r="AH134" s="39" t="s">
        <v>4608</v>
      </c>
      <c r="AK134" s="39" t="s">
        <v>31</v>
      </c>
      <c r="AN134" s="40"/>
      <c r="AO134" s="39"/>
      <c r="AP134" s="70"/>
      <c r="AQ134" s="71"/>
      <c r="AR134" s="72"/>
      <c r="AU134" s="70"/>
      <c r="AV134" s="77"/>
      <c r="AW134" s="78"/>
      <c r="AX134" s="75">
        <v>2</v>
      </c>
      <c r="AY134" s="63">
        <v>1</v>
      </c>
      <c r="BA134" s="76"/>
      <c r="BD134" s="40" t="s">
        <v>4317</v>
      </c>
      <c r="BE134" s="39"/>
      <c r="BF134" s="39" t="s">
        <v>4609</v>
      </c>
    </row>
    <row r="135" spans="1:58" ht="36">
      <c r="A135" s="39" t="s">
        <v>4037</v>
      </c>
      <c r="B135" s="39" t="s">
        <v>4749</v>
      </c>
      <c r="C135" s="39" t="s">
        <v>57</v>
      </c>
      <c r="D135" s="39">
        <v>133</v>
      </c>
      <c r="E135" s="39">
        <v>1</v>
      </c>
      <c r="F135" s="39" t="s">
        <v>4577</v>
      </c>
      <c r="G135" s="39" t="s">
        <v>4610</v>
      </c>
      <c r="J135" s="39" t="s">
        <v>31</v>
      </c>
      <c r="N135" s="39"/>
      <c r="AA135" s="101"/>
      <c r="AC135" s="39" t="s">
        <v>4317</v>
      </c>
      <c r="AD135" s="39"/>
      <c r="AH135" s="39" t="s">
        <v>4610</v>
      </c>
      <c r="AK135" s="39" t="s">
        <v>31</v>
      </c>
      <c r="AN135" s="40"/>
      <c r="AO135" s="39"/>
      <c r="AP135" s="70"/>
      <c r="AQ135" s="71"/>
      <c r="AR135" s="72"/>
      <c r="AU135" s="70"/>
      <c r="AV135" s="77"/>
      <c r="AW135" s="78"/>
      <c r="AX135" s="75">
        <v>1</v>
      </c>
      <c r="AY135" s="63">
        <v>2</v>
      </c>
      <c r="BA135" s="76">
        <v>1</v>
      </c>
      <c r="BD135" s="40" t="s">
        <v>4317</v>
      </c>
      <c r="BE135" s="39"/>
      <c r="BF135" s="39" t="s">
        <v>4611</v>
      </c>
    </row>
    <row r="136" spans="1:58" ht="24">
      <c r="A136" s="39" t="s">
        <v>4037</v>
      </c>
      <c r="B136" s="39" t="s">
        <v>4750</v>
      </c>
      <c r="C136" s="39" t="s">
        <v>57</v>
      </c>
      <c r="D136" s="39">
        <v>134</v>
      </c>
      <c r="E136" s="39">
        <v>1</v>
      </c>
      <c r="F136" s="39" t="s">
        <v>4577</v>
      </c>
      <c r="G136" s="39" t="s">
        <v>4612</v>
      </c>
      <c r="J136" s="39" t="s">
        <v>31</v>
      </c>
      <c r="N136" s="39"/>
      <c r="AA136" s="101"/>
      <c r="AC136" s="39" t="s">
        <v>4317</v>
      </c>
      <c r="AD136" s="39"/>
      <c r="AH136" s="39" t="s">
        <v>4612</v>
      </c>
      <c r="AK136" s="39" t="s">
        <v>31</v>
      </c>
      <c r="AN136" s="40"/>
      <c r="AO136" s="39"/>
      <c r="AP136" s="70"/>
      <c r="AQ136" s="71"/>
      <c r="AR136" s="72"/>
      <c r="AU136" s="70"/>
      <c r="AV136" s="77"/>
      <c r="AW136" s="78"/>
      <c r="AX136" s="75">
        <v>3</v>
      </c>
      <c r="AY136" s="63">
        <v>2</v>
      </c>
      <c r="BA136" s="76">
        <v>1</v>
      </c>
      <c r="BD136" s="40" t="s">
        <v>4317</v>
      </c>
      <c r="BE136" s="39"/>
      <c r="BF136" s="39" t="s">
        <v>4613</v>
      </c>
    </row>
    <row r="137" spans="1:58" ht="24">
      <c r="A137" s="39" t="s">
        <v>4037</v>
      </c>
      <c r="B137" s="39" t="s">
        <v>4751</v>
      </c>
      <c r="C137" s="39" t="s">
        <v>57</v>
      </c>
      <c r="D137" s="39">
        <v>135</v>
      </c>
      <c r="E137" s="39">
        <v>3</v>
      </c>
      <c r="F137" s="39" t="s">
        <v>4577</v>
      </c>
      <c r="G137" s="39" t="s">
        <v>4614</v>
      </c>
      <c r="J137" s="39" t="s">
        <v>28</v>
      </c>
      <c r="N137" s="39"/>
      <c r="AA137" s="101"/>
      <c r="AC137" s="39" t="s">
        <v>4293</v>
      </c>
      <c r="AD137" s="39" t="s">
        <v>4615</v>
      </c>
      <c r="AE137" s="39" t="s">
        <v>4616</v>
      </c>
      <c r="AN137" s="40"/>
      <c r="AO137" s="39"/>
      <c r="AP137" s="70"/>
      <c r="AQ137" s="71"/>
      <c r="AR137" s="72"/>
      <c r="AU137" s="70"/>
      <c r="AV137" s="77"/>
      <c r="AW137" s="78"/>
      <c r="AX137" s="75"/>
      <c r="BA137" s="76"/>
      <c r="BD137" s="40"/>
      <c r="BE137" s="39"/>
    </row>
    <row r="138" spans="1:58" ht="36">
      <c r="A138" s="39" t="s">
        <v>4037</v>
      </c>
      <c r="B138" s="39" t="s">
        <v>4752</v>
      </c>
      <c r="C138" s="39" t="s">
        <v>57</v>
      </c>
      <c r="D138" s="39">
        <v>136</v>
      </c>
      <c r="E138" s="39">
        <v>2</v>
      </c>
      <c r="F138" s="39" t="s">
        <v>4577</v>
      </c>
      <c r="G138" s="39" t="s">
        <v>4617</v>
      </c>
      <c r="J138" s="39" t="s">
        <v>28</v>
      </c>
      <c r="N138" s="39"/>
      <c r="AA138" s="101"/>
      <c r="AD138" s="39"/>
      <c r="AE138" s="39" t="s">
        <v>4618</v>
      </c>
      <c r="AN138" s="40"/>
      <c r="AO138" s="39"/>
      <c r="AP138" s="70"/>
      <c r="AQ138" s="71"/>
      <c r="AR138" s="72"/>
      <c r="AU138" s="70"/>
      <c r="AV138" s="77"/>
      <c r="AW138" s="78"/>
      <c r="AX138" s="75"/>
      <c r="BA138" s="76"/>
      <c r="BD138" s="40"/>
      <c r="BE138" s="39"/>
    </row>
    <row r="139" spans="1:58" ht="24">
      <c r="A139" s="39" t="s">
        <v>4037</v>
      </c>
      <c r="B139" s="39" t="s">
        <v>4753</v>
      </c>
      <c r="C139" s="39" t="s">
        <v>57</v>
      </c>
      <c r="D139" s="39">
        <v>137</v>
      </c>
      <c r="E139" s="39">
        <v>1</v>
      </c>
      <c r="F139" s="39" t="s">
        <v>4764</v>
      </c>
      <c r="G139" s="39" t="s">
        <v>4619</v>
      </c>
      <c r="H139" s="39" t="s">
        <v>4620</v>
      </c>
      <c r="I139" s="39" t="s">
        <v>4077</v>
      </c>
      <c r="J139" s="39" t="s">
        <v>29</v>
      </c>
      <c r="N139" s="39"/>
      <c r="Q139" s="62">
        <v>4</v>
      </c>
      <c r="R139" s="63">
        <v>2</v>
      </c>
      <c r="S139" s="43">
        <v>4</v>
      </c>
      <c r="U139" s="64">
        <v>2</v>
      </c>
      <c r="V139" s="65">
        <v>0</v>
      </c>
      <c r="Z139" s="67">
        <v>1</v>
      </c>
      <c r="AA139" s="101"/>
      <c r="AC139" s="39" t="s">
        <v>4321</v>
      </c>
      <c r="AD139" s="39" t="s">
        <v>4621</v>
      </c>
      <c r="AE139" s="39" t="s">
        <v>4622</v>
      </c>
      <c r="AN139" s="40"/>
      <c r="AO139" s="39"/>
      <c r="AP139" s="70"/>
      <c r="AQ139" s="71"/>
      <c r="AR139" s="72"/>
      <c r="AU139" s="70"/>
      <c r="AV139" s="77"/>
      <c r="AW139" s="78"/>
      <c r="AX139" s="75"/>
      <c r="BA139" s="76"/>
      <c r="BD139" s="40"/>
      <c r="BE139" s="39"/>
    </row>
    <row r="140" spans="1:58" ht="24">
      <c r="A140" s="39" t="s">
        <v>4037</v>
      </c>
      <c r="B140" s="39" t="s">
        <v>4754</v>
      </c>
      <c r="C140" s="39" t="s">
        <v>57</v>
      </c>
      <c r="D140" s="39">
        <v>138</v>
      </c>
      <c r="E140" s="39">
        <v>1</v>
      </c>
      <c r="F140" s="39" t="s">
        <v>4764</v>
      </c>
      <c r="G140" s="39" t="s">
        <v>4623</v>
      </c>
      <c r="H140" s="39" t="s">
        <v>4624</v>
      </c>
      <c r="I140" s="39" t="s">
        <v>4077</v>
      </c>
      <c r="J140" s="39" t="s">
        <v>29</v>
      </c>
      <c r="N140" s="39"/>
      <c r="Q140" s="62">
        <v>3</v>
      </c>
      <c r="R140" s="63">
        <v>4</v>
      </c>
      <c r="S140" s="43">
        <v>4</v>
      </c>
      <c r="U140" s="64">
        <v>1</v>
      </c>
      <c r="V140" s="65">
        <v>1</v>
      </c>
      <c r="Z140" s="67">
        <v>1</v>
      </c>
      <c r="AA140" s="101"/>
      <c r="AC140" s="39" t="s">
        <v>4321</v>
      </c>
      <c r="AD140" s="39" t="s">
        <v>4625</v>
      </c>
      <c r="AE140" s="39" t="s">
        <v>4626</v>
      </c>
      <c r="AN140" s="40"/>
      <c r="AO140" s="39"/>
      <c r="AP140" s="70"/>
      <c r="AQ140" s="71"/>
      <c r="AR140" s="72"/>
      <c r="AU140" s="70"/>
      <c r="AV140" s="77"/>
      <c r="AW140" s="78"/>
      <c r="AX140" s="75"/>
      <c r="BA140" s="76"/>
      <c r="BD140" s="40"/>
      <c r="BE140" s="39"/>
    </row>
    <row r="141" spans="1:58" ht="24">
      <c r="A141" s="39" t="s">
        <v>4037</v>
      </c>
      <c r="B141" s="39" t="s">
        <v>4755</v>
      </c>
      <c r="C141" s="39" t="s">
        <v>57</v>
      </c>
      <c r="D141" s="39">
        <v>139</v>
      </c>
      <c r="E141" s="39">
        <v>1</v>
      </c>
      <c r="F141" s="39" t="s">
        <v>4764</v>
      </c>
      <c r="G141" s="39" t="s">
        <v>4627</v>
      </c>
      <c r="H141" s="39" t="s">
        <v>4628</v>
      </c>
      <c r="I141" s="39" t="s">
        <v>4077</v>
      </c>
      <c r="J141" s="39" t="s">
        <v>29</v>
      </c>
      <c r="N141" s="39"/>
      <c r="Q141" s="62">
        <v>2</v>
      </c>
      <c r="R141" s="63">
        <v>3</v>
      </c>
      <c r="S141" s="43">
        <v>3</v>
      </c>
      <c r="U141" s="64">
        <v>1</v>
      </c>
      <c r="V141" s="65">
        <v>0</v>
      </c>
      <c r="Z141" s="67">
        <v>1</v>
      </c>
      <c r="AA141" s="101"/>
      <c r="AC141" s="39" t="s">
        <v>4629</v>
      </c>
      <c r="AD141" s="39" t="s">
        <v>4630</v>
      </c>
      <c r="AE141" s="39" t="s">
        <v>4631</v>
      </c>
      <c r="AN141" s="40"/>
      <c r="AO141" s="39"/>
      <c r="AP141" s="70"/>
      <c r="AQ141" s="71"/>
      <c r="AR141" s="72"/>
      <c r="AU141" s="70"/>
      <c r="AV141" s="77"/>
      <c r="AW141" s="78"/>
      <c r="AX141" s="75"/>
      <c r="BA141" s="76"/>
      <c r="BD141" s="40"/>
      <c r="BE141" s="39"/>
    </row>
    <row r="142" spans="1:58" ht="24">
      <c r="A142" s="39" t="s">
        <v>4037</v>
      </c>
      <c r="B142" s="39" t="s">
        <v>4454</v>
      </c>
      <c r="C142" s="39" t="s">
        <v>57</v>
      </c>
      <c r="D142" s="39">
        <v>140</v>
      </c>
      <c r="E142" s="39">
        <v>1</v>
      </c>
      <c r="F142" s="39" t="s">
        <v>4764</v>
      </c>
      <c r="G142" s="39" t="s">
        <v>4319</v>
      </c>
      <c r="H142" s="39" t="s">
        <v>4320</v>
      </c>
      <c r="I142" s="39" t="s">
        <v>4077</v>
      </c>
      <c r="J142" s="39" t="s">
        <v>29</v>
      </c>
      <c r="N142" s="39"/>
      <c r="Q142" s="62">
        <v>3</v>
      </c>
      <c r="R142" s="63">
        <v>3</v>
      </c>
      <c r="S142" s="43">
        <v>3</v>
      </c>
      <c r="U142" s="64">
        <v>1</v>
      </c>
      <c r="V142" s="65">
        <v>0</v>
      </c>
      <c r="Z142" s="67">
        <v>1</v>
      </c>
      <c r="AA142" s="101"/>
      <c r="AC142" s="39" t="s">
        <v>4321</v>
      </c>
      <c r="AD142" s="39" t="s">
        <v>4632</v>
      </c>
      <c r="AE142" s="39" t="s">
        <v>4633</v>
      </c>
      <c r="AN142" s="40"/>
      <c r="AO142" s="39"/>
      <c r="AP142" s="70"/>
      <c r="AQ142" s="71"/>
      <c r="AR142" s="72"/>
      <c r="AU142" s="70"/>
      <c r="AV142" s="77"/>
      <c r="AW142" s="78"/>
      <c r="AX142" s="75"/>
      <c r="BA142" s="76"/>
      <c r="BD142" s="40"/>
      <c r="BE142" s="39"/>
    </row>
    <row r="143" spans="1:58" ht="24">
      <c r="A143" s="39" t="s">
        <v>4037</v>
      </c>
      <c r="B143" s="39" t="s">
        <v>4455</v>
      </c>
      <c r="C143" s="39" t="s">
        <v>57</v>
      </c>
      <c r="D143" s="39">
        <v>141</v>
      </c>
      <c r="E143" s="39">
        <v>1</v>
      </c>
      <c r="F143" s="39" t="s">
        <v>4764</v>
      </c>
      <c r="G143" s="39" t="s">
        <v>4322</v>
      </c>
      <c r="H143" s="39" t="s">
        <v>4323</v>
      </c>
      <c r="I143" s="39" t="s">
        <v>4077</v>
      </c>
      <c r="J143" s="39" t="s">
        <v>29</v>
      </c>
      <c r="N143" s="39"/>
      <c r="Q143" s="62">
        <v>2</v>
      </c>
      <c r="R143" s="63">
        <v>5</v>
      </c>
      <c r="S143" s="43">
        <v>4</v>
      </c>
      <c r="U143" s="64">
        <v>1</v>
      </c>
      <c r="V143" s="65">
        <v>0</v>
      </c>
      <c r="Z143" s="67">
        <v>1</v>
      </c>
      <c r="AA143" s="101"/>
      <c r="AC143" s="39" t="s">
        <v>4321</v>
      </c>
      <c r="AD143" s="39" t="s">
        <v>4634</v>
      </c>
      <c r="AE143" s="39" t="s">
        <v>4635</v>
      </c>
      <c r="AN143" s="40"/>
      <c r="AO143" s="39"/>
      <c r="AP143" s="70"/>
      <c r="AQ143" s="71"/>
      <c r="AR143" s="72"/>
      <c r="AU143" s="70"/>
      <c r="AV143" s="77"/>
      <c r="AW143" s="78"/>
      <c r="AX143" s="75"/>
      <c r="BA143" s="76"/>
      <c r="BD143" s="40"/>
      <c r="BE143" s="39"/>
    </row>
    <row r="144" spans="1:58" ht="96">
      <c r="A144" s="39" t="s">
        <v>4037</v>
      </c>
      <c r="B144" s="39" t="s">
        <v>4743</v>
      </c>
      <c r="C144" s="39" t="s">
        <v>57</v>
      </c>
      <c r="D144" s="39">
        <v>142</v>
      </c>
      <c r="E144" s="39">
        <v>1</v>
      </c>
      <c r="F144" s="39" t="s">
        <v>4636</v>
      </c>
      <c r="G144" s="39" t="s">
        <v>4636</v>
      </c>
      <c r="H144" s="39" t="s">
        <v>4563</v>
      </c>
      <c r="J144" s="39" t="s">
        <v>4472</v>
      </c>
      <c r="N144" s="39"/>
      <c r="AA144" s="101"/>
      <c r="AD144" s="39"/>
      <c r="AE144" s="39" t="s">
        <v>4637</v>
      </c>
      <c r="AH144" s="39" t="s">
        <v>4636</v>
      </c>
      <c r="AI144" s="39" t="s">
        <v>4564</v>
      </c>
      <c r="AK144" s="39" t="s">
        <v>4472</v>
      </c>
      <c r="AN144" s="40"/>
      <c r="AO144" s="39"/>
      <c r="AP144" s="70"/>
      <c r="AQ144" s="71"/>
      <c r="AR144" s="72"/>
      <c r="AU144" s="70"/>
      <c r="AV144" s="77"/>
      <c r="AW144" s="78"/>
      <c r="AX144" s="75"/>
      <c r="BA144" s="76"/>
      <c r="BD144" s="40"/>
      <c r="BE144" s="39"/>
      <c r="BF144" s="39" t="s">
        <v>4638</v>
      </c>
    </row>
    <row r="145" spans="1:58" ht="48">
      <c r="A145" s="39" t="s">
        <v>4037</v>
      </c>
      <c r="B145" s="39" t="s">
        <v>4744</v>
      </c>
      <c r="C145" s="39" t="s">
        <v>57</v>
      </c>
      <c r="D145" s="39">
        <v>143</v>
      </c>
      <c r="E145" s="39">
        <v>1</v>
      </c>
      <c r="F145" s="39" t="s">
        <v>4636</v>
      </c>
      <c r="G145" s="39" t="s">
        <v>4639</v>
      </c>
      <c r="J145" s="39" t="s">
        <v>4473</v>
      </c>
      <c r="L145" s="39">
        <v>1</v>
      </c>
      <c r="N145" s="39"/>
      <c r="Y145" s="43">
        <v>3</v>
      </c>
      <c r="AA145" s="101"/>
      <c r="AD145" s="39"/>
      <c r="AH145" s="39" t="s">
        <v>4640</v>
      </c>
      <c r="AK145" s="39" t="s">
        <v>4473</v>
      </c>
      <c r="AM145" s="39">
        <v>1</v>
      </c>
      <c r="AN145" s="40"/>
      <c r="AO145" s="39"/>
      <c r="AP145" s="70"/>
      <c r="AQ145" s="71"/>
      <c r="AR145" s="72"/>
      <c r="AU145" s="70"/>
      <c r="AV145" s="77"/>
      <c r="AW145" s="78"/>
      <c r="AX145" s="75"/>
      <c r="BA145" s="76"/>
      <c r="BD145" s="40"/>
      <c r="BE145" s="39"/>
      <c r="BF145" s="39" t="s">
        <v>4641</v>
      </c>
    </row>
    <row r="146" spans="1:58" ht="48">
      <c r="A146" s="39" t="s">
        <v>4037</v>
      </c>
      <c r="B146" s="39" t="s">
        <v>4745</v>
      </c>
      <c r="C146" s="39" t="s">
        <v>57</v>
      </c>
      <c r="D146" s="39">
        <v>144</v>
      </c>
      <c r="E146" s="39">
        <v>1</v>
      </c>
      <c r="F146" s="39" t="s">
        <v>4636</v>
      </c>
      <c r="G146" s="39" t="s">
        <v>4642</v>
      </c>
      <c r="J146" s="39" t="s">
        <v>4473</v>
      </c>
      <c r="L146" s="39">
        <v>2</v>
      </c>
      <c r="N146" s="39"/>
      <c r="Y146" s="43">
        <v>5</v>
      </c>
      <c r="AA146" s="101"/>
      <c r="AD146" s="39"/>
      <c r="AE146" s="39" t="s">
        <v>4643</v>
      </c>
      <c r="AH146" s="39" t="s">
        <v>4644</v>
      </c>
      <c r="AK146" s="39" t="s">
        <v>4473</v>
      </c>
      <c r="AM146" s="39">
        <v>2</v>
      </c>
      <c r="AN146" s="40"/>
      <c r="AO146" s="39"/>
      <c r="AP146" s="70"/>
      <c r="AQ146" s="71"/>
      <c r="AR146" s="72"/>
      <c r="AU146" s="70"/>
      <c r="AV146" s="77"/>
      <c r="AW146" s="78"/>
      <c r="AX146" s="75"/>
      <c r="BA146" s="76"/>
      <c r="BD146" s="40"/>
      <c r="BE146" s="39"/>
      <c r="BF146" s="39" t="s">
        <v>4645</v>
      </c>
    </row>
    <row r="147" spans="1:58" ht="60">
      <c r="A147" s="39" t="s">
        <v>4037</v>
      </c>
      <c r="B147" s="39" t="s">
        <v>4456</v>
      </c>
      <c r="C147" s="39" t="s">
        <v>57</v>
      </c>
      <c r="D147" s="39">
        <v>145</v>
      </c>
      <c r="E147" s="39">
        <v>1</v>
      </c>
      <c r="F147" s="39" t="s">
        <v>4636</v>
      </c>
      <c r="G147" s="39" t="s">
        <v>4324</v>
      </c>
      <c r="J147" s="39" t="s">
        <v>4473</v>
      </c>
      <c r="L147" s="39">
        <v>3</v>
      </c>
      <c r="N147" s="39"/>
      <c r="Y147" s="43">
        <v>5</v>
      </c>
      <c r="AA147" s="101"/>
      <c r="AD147" s="39"/>
      <c r="AE147" s="39" t="s">
        <v>4646</v>
      </c>
      <c r="AH147" s="39" t="s">
        <v>4636</v>
      </c>
      <c r="AK147" s="39" t="s">
        <v>4473</v>
      </c>
      <c r="AM147" s="39">
        <v>3</v>
      </c>
      <c r="AN147" s="40"/>
      <c r="AO147" s="39"/>
      <c r="AP147" s="70"/>
      <c r="AQ147" s="71"/>
      <c r="AR147" s="72"/>
      <c r="AU147" s="70"/>
      <c r="AV147" s="77"/>
      <c r="AW147" s="78"/>
      <c r="AX147" s="75"/>
      <c r="BA147" s="76"/>
      <c r="BD147" s="40"/>
      <c r="BE147" s="39"/>
      <c r="BF147" s="39" t="s">
        <v>4647</v>
      </c>
    </row>
    <row r="148" spans="1:58" ht="60">
      <c r="A148" s="39" t="s">
        <v>4037</v>
      </c>
      <c r="B148" s="39" t="s">
        <v>4740</v>
      </c>
      <c r="C148" s="39" t="s">
        <v>57</v>
      </c>
      <c r="D148" s="39">
        <v>146</v>
      </c>
      <c r="E148" s="39">
        <v>1</v>
      </c>
      <c r="F148" s="39" t="s">
        <v>4636</v>
      </c>
      <c r="G148" s="39" t="s">
        <v>4648</v>
      </c>
      <c r="J148" s="39" t="s">
        <v>4475</v>
      </c>
      <c r="L148" s="39">
        <v>1</v>
      </c>
      <c r="N148" s="39"/>
      <c r="X148" s="63">
        <v>3</v>
      </c>
      <c r="AA148" s="101"/>
      <c r="AD148" s="39"/>
      <c r="AH148" s="39" t="s">
        <v>4649</v>
      </c>
      <c r="AK148" s="39" t="s">
        <v>4475</v>
      </c>
      <c r="AM148" s="39">
        <v>1</v>
      </c>
      <c r="AN148" s="40"/>
      <c r="AO148" s="39"/>
      <c r="AP148" s="70"/>
      <c r="AQ148" s="71"/>
      <c r="AR148" s="72"/>
      <c r="AU148" s="70"/>
      <c r="AV148" s="77"/>
      <c r="AW148" s="78"/>
      <c r="AX148" s="75"/>
      <c r="BA148" s="76"/>
      <c r="BD148" s="40"/>
      <c r="BE148" s="39"/>
      <c r="BF148" s="39" t="s">
        <v>4650</v>
      </c>
    </row>
    <row r="149" spans="1:58" ht="60">
      <c r="A149" s="39" t="s">
        <v>4037</v>
      </c>
      <c r="B149" s="39" t="s">
        <v>4741</v>
      </c>
      <c r="C149" s="39" t="s">
        <v>57</v>
      </c>
      <c r="D149" s="39">
        <v>147</v>
      </c>
      <c r="E149" s="39">
        <v>1</v>
      </c>
      <c r="F149" s="39" t="s">
        <v>4636</v>
      </c>
      <c r="G149" s="39" t="s">
        <v>4651</v>
      </c>
      <c r="J149" s="39" t="s">
        <v>4475</v>
      </c>
      <c r="L149" s="39">
        <v>2</v>
      </c>
      <c r="N149" s="39"/>
      <c r="X149" s="80" t="s">
        <v>38</v>
      </c>
      <c r="AA149" s="101"/>
      <c r="AD149" s="39"/>
      <c r="AE149" s="39" t="s">
        <v>4652</v>
      </c>
      <c r="AH149" s="39" t="s">
        <v>4653</v>
      </c>
      <c r="AK149" s="39" t="s">
        <v>4475</v>
      </c>
      <c r="AM149" s="39">
        <v>2</v>
      </c>
      <c r="AN149" s="40"/>
      <c r="AO149" s="39"/>
      <c r="AP149" s="70"/>
      <c r="AQ149" s="71"/>
      <c r="AR149" s="72"/>
      <c r="AU149" s="70"/>
      <c r="AV149" s="77"/>
      <c r="AW149" s="78"/>
      <c r="AX149" s="75"/>
      <c r="BA149" s="76"/>
      <c r="BD149" s="40"/>
      <c r="BE149" s="39"/>
      <c r="BF149" s="39" t="s">
        <v>4654</v>
      </c>
    </row>
    <row r="150" spans="1:58" ht="48">
      <c r="A150" s="39" t="s">
        <v>4037</v>
      </c>
      <c r="B150" s="39" t="s">
        <v>4742</v>
      </c>
      <c r="C150" s="39" t="s">
        <v>57</v>
      </c>
      <c r="D150" s="39">
        <v>148</v>
      </c>
      <c r="E150" s="39">
        <v>1</v>
      </c>
      <c r="F150" s="39" t="s">
        <v>4636</v>
      </c>
      <c r="G150" s="39" t="s">
        <v>4655</v>
      </c>
      <c r="J150" s="39" t="s">
        <v>4475</v>
      </c>
      <c r="L150" s="39">
        <v>3</v>
      </c>
      <c r="N150" s="39"/>
      <c r="X150" s="80" t="s">
        <v>38</v>
      </c>
      <c r="AA150" s="101"/>
      <c r="AD150" s="39"/>
      <c r="AE150" s="39" t="s">
        <v>4656</v>
      </c>
      <c r="AH150" s="39" t="s">
        <v>4657</v>
      </c>
      <c r="AK150" s="39" t="s">
        <v>4475</v>
      </c>
      <c r="AM150" s="39">
        <v>3</v>
      </c>
      <c r="AN150" s="40"/>
      <c r="AO150" s="39"/>
      <c r="AP150" s="70"/>
      <c r="AQ150" s="71"/>
      <c r="AR150" s="72"/>
      <c r="AU150" s="70"/>
      <c r="AV150" s="77"/>
      <c r="AW150" s="78"/>
      <c r="AX150" s="75"/>
      <c r="BA150" s="76"/>
      <c r="BD150" s="40"/>
      <c r="BE150" s="39"/>
      <c r="BF150" s="39" t="s">
        <v>4592</v>
      </c>
    </row>
    <row r="151" spans="1:58" ht="36">
      <c r="A151" s="39" t="s">
        <v>4037</v>
      </c>
      <c r="B151" s="39" t="s">
        <v>4457</v>
      </c>
      <c r="C151" s="39" t="s">
        <v>57</v>
      </c>
      <c r="D151" s="39">
        <v>149</v>
      </c>
      <c r="E151" s="39">
        <v>1</v>
      </c>
      <c r="F151" s="39" t="s">
        <v>4636</v>
      </c>
      <c r="G151" s="39" t="s">
        <v>4325</v>
      </c>
      <c r="J151" s="39" t="s">
        <v>31</v>
      </c>
      <c r="N151" s="39"/>
      <c r="AA151" s="101"/>
      <c r="AC151" s="39" t="s">
        <v>4326</v>
      </c>
      <c r="AD151" s="39"/>
      <c r="AH151" s="39" t="s">
        <v>4325</v>
      </c>
      <c r="AK151" s="39" t="s">
        <v>31</v>
      </c>
      <c r="AO151" s="39"/>
      <c r="AX151" s="66">
        <v>2</v>
      </c>
      <c r="AY151" s="63">
        <v>0</v>
      </c>
      <c r="BD151" s="39" t="s">
        <v>4326</v>
      </c>
      <c r="BE151" s="39"/>
      <c r="BF151" s="39" t="s">
        <v>4658</v>
      </c>
    </row>
    <row r="152" spans="1:58" ht="24">
      <c r="A152" s="39" t="s">
        <v>4037</v>
      </c>
      <c r="B152" s="39" t="s">
        <v>4732</v>
      </c>
      <c r="C152" s="39" t="s">
        <v>57</v>
      </c>
      <c r="D152" s="39">
        <v>150</v>
      </c>
      <c r="E152" s="39">
        <v>1</v>
      </c>
      <c r="F152" s="39" t="s">
        <v>4636</v>
      </c>
      <c r="G152" s="39" t="s">
        <v>4659</v>
      </c>
      <c r="J152" s="39" t="s">
        <v>31</v>
      </c>
      <c r="N152" s="39"/>
      <c r="AA152" s="101"/>
      <c r="AC152" s="39" t="s">
        <v>4326</v>
      </c>
      <c r="AD152" s="39"/>
      <c r="AH152" s="39" t="s">
        <v>4659</v>
      </c>
      <c r="AI152" s="39" t="s">
        <v>4660</v>
      </c>
      <c r="AK152" s="39" t="s">
        <v>31</v>
      </c>
      <c r="AO152" s="39"/>
      <c r="AX152" s="66">
        <v>4</v>
      </c>
      <c r="AY152" s="63">
        <v>1</v>
      </c>
      <c r="BD152" s="39" t="s">
        <v>4326</v>
      </c>
      <c r="BE152" s="39"/>
      <c r="BF152" s="39" t="s">
        <v>4661</v>
      </c>
    </row>
    <row r="153" spans="1:58" ht="24">
      <c r="A153" s="39" t="s">
        <v>4037</v>
      </c>
      <c r="B153" s="39" t="s">
        <v>4733</v>
      </c>
      <c r="C153" s="39" t="s">
        <v>57</v>
      </c>
      <c r="D153" s="39">
        <v>151</v>
      </c>
      <c r="E153" s="39">
        <v>1</v>
      </c>
      <c r="F153" s="39" t="s">
        <v>4636</v>
      </c>
      <c r="G153" s="39" t="s">
        <v>4659</v>
      </c>
      <c r="J153" s="39" t="s">
        <v>31</v>
      </c>
      <c r="N153" s="39"/>
      <c r="AA153" s="101"/>
      <c r="AC153" s="39" t="s">
        <v>4326</v>
      </c>
      <c r="AD153" s="39"/>
      <c r="AH153" s="39" t="s">
        <v>4659</v>
      </c>
      <c r="AI153" s="39" t="s">
        <v>4662</v>
      </c>
      <c r="AK153" s="39" t="s">
        <v>31</v>
      </c>
      <c r="AO153" s="39"/>
      <c r="AX153" s="66">
        <v>3</v>
      </c>
      <c r="AY153" s="63">
        <v>1</v>
      </c>
      <c r="BD153" s="39" t="s">
        <v>4326</v>
      </c>
      <c r="BE153" s="39"/>
      <c r="BF153" s="39" t="s">
        <v>4663</v>
      </c>
    </row>
    <row r="154" spans="1:58" ht="24">
      <c r="A154" s="39" t="s">
        <v>4037</v>
      </c>
      <c r="B154" s="39" t="s">
        <v>4734</v>
      </c>
      <c r="C154" s="39" t="s">
        <v>57</v>
      </c>
      <c r="D154" s="39">
        <v>152</v>
      </c>
      <c r="E154" s="39">
        <v>1</v>
      </c>
      <c r="F154" s="39" t="s">
        <v>4636</v>
      </c>
      <c r="G154" s="39" t="s">
        <v>4659</v>
      </c>
      <c r="J154" s="39" t="s">
        <v>31</v>
      </c>
      <c r="N154" s="39"/>
      <c r="AA154" s="101"/>
      <c r="AC154" s="39" t="s">
        <v>4326</v>
      </c>
      <c r="AD154" s="39"/>
      <c r="AH154" s="39" t="s">
        <v>4659</v>
      </c>
      <c r="AI154" s="39" t="s">
        <v>4664</v>
      </c>
      <c r="AK154" s="39" t="s">
        <v>31</v>
      </c>
      <c r="AO154" s="39"/>
      <c r="AX154" s="66">
        <v>2</v>
      </c>
      <c r="AY154" s="63">
        <v>1</v>
      </c>
      <c r="BD154" s="39" t="s">
        <v>4326</v>
      </c>
      <c r="BE154" s="39"/>
      <c r="BF154" s="39" t="s">
        <v>4665</v>
      </c>
    </row>
    <row r="155" spans="1:58" ht="24">
      <c r="A155" s="39" t="s">
        <v>4037</v>
      </c>
      <c r="B155" s="39" t="s">
        <v>4735</v>
      </c>
      <c r="C155" s="39" t="s">
        <v>57</v>
      </c>
      <c r="D155" s="39">
        <v>153</v>
      </c>
      <c r="E155" s="39">
        <v>1</v>
      </c>
      <c r="F155" s="39" t="s">
        <v>4636</v>
      </c>
      <c r="G155" s="39" t="s">
        <v>4659</v>
      </c>
      <c r="J155" s="39" t="s">
        <v>31</v>
      </c>
      <c r="N155" s="39"/>
      <c r="AA155" s="101"/>
      <c r="AC155" s="39" t="s">
        <v>4326</v>
      </c>
      <c r="AD155" s="39"/>
      <c r="AH155" s="39" t="s">
        <v>4659</v>
      </c>
      <c r="AI155" s="39" t="s">
        <v>4666</v>
      </c>
      <c r="AK155" s="39" t="s">
        <v>31</v>
      </c>
      <c r="AO155" s="39"/>
      <c r="AX155" s="66">
        <v>2</v>
      </c>
      <c r="AY155" s="63">
        <v>1</v>
      </c>
      <c r="BD155" s="39" t="s">
        <v>4326</v>
      </c>
      <c r="BE155" s="39"/>
      <c r="BF155" s="39" t="s">
        <v>4667</v>
      </c>
    </row>
    <row r="156" spans="1:58" ht="24">
      <c r="A156" s="39" t="s">
        <v>4037</v>
      </c>
      <c r="B156" s="39" t="s">
        <v>4736</v>
      </c>
      <c r="C156" s="39" t="s">
        <v>57</v>
      </c>
      <c r="D156" s="39">
        <v>154</v>
      </c>
      <c r="E156" s="39">
        <v>1</v>
      </c>
      <c r="F156" s="39" t="s">
        <v>4636</v>
      </c>
      <c r="G156" s="39" t="s">
        <v>4659</v>
      </c>
      <c r="J156" s="39" t="s">
        <v>31</v>
      </c>
      <c r="N156" s="39"/>
      <c r="AA156" s="101"/>
      <c r="AC156" s="39" t="s">
        <v>4326</v>
      </c>
      <c r="AD156" s="39"/>
      <c r="AH156" s="39" t="s">
        <v>4659</v>
      </c>
      <c r="AI156" s="39" t="s">
        <v>4668</v>
      </c>
      <c r="AK156" s="39" t="s">
        <v>31</v>
      </c>
      <c r="AO156" s="39"/>
      <c r="AX156" s="66">
        <v>2</v>
      </c>
      <c r="AY156" s="63">
        <v>1</v>
      </c>
      <c r="BD156" s="39" t="s">
        <v>4326</v>
      </c>
      <c r="BE156" s="39"/>
      <c r="BF156" s="39" t="s">
        <v>4669</v>
      </c>
    </row>
    <row r="157" spans="1:58" ht="24">
      <c r="A157" s="39" t="s">
        <v>4037</v>
      </c>
      <c r="B157" s="39" t="s">
        <v>4737</v>
      </c>
      <c r="C157" s="39" t="s">
        <v>57</v>
      </c>
      <c r="D157" s="39">
        <v>155</v>
      </c>
      <c r="E157" s="39">
        <v>1</v>
      </c>
      <c r="F157" s="39" t="s">
        <v>4636</v>
      </c>
      <c r="G157" s="39" t="s">
        <v>4659</v>
      </c>
      <c r="J157" s="39" t="s">
        <v>31</v>
      </c>
      <c r="N157" s="39"/>
      <c r="AA157" s="101"/>
      <c r="AC157" s="39" t="s">
        <v>4326</v>
      </c>
      <c r="AD157" s="39"/>
      <c r="AH157" s="39" t="s">
        <v>4659</v>
      </c>
      <c r="AI157" s="39" t="s">
        <v>4670</v>
      </c>
      <c r="AK157" s="39" t="s">
        <v>31</v>
      </c>
      <c r="AO157" s="39"/>
      <c r="AX157" s="66">
        <v>1</v>
      </c>
      <c r="AY157" s="63">
        <v>0</v>
      </c>
      <c r="BD157" s="39" t="s">
        <v>4326</v>
      </c>
      <c r="BE157" s="39"/>
      <c r="BF157" s="39" t="s">
        <v>4671</v>
      </c>
    </row>
    <row r="158" spans="1:58" ht="36">
      <c r="A158" s="39" t="s">
        <v>4037</v>
      </c>
      <c r="B158" s="39" t="s">
        <v>4738</v>
      </c>
      <c r="C158" s="39" t="s">
        <v>57</v>
      </c>
      <c r="D158" s="39">
        <v>156</v>
      </c>
      <c r="E158" s="39">
        <v>1</v>
      </c>
      <c r="F158" s="39" t="s">
        <v>4636</v>
      </c>
      <c r="G158" s="39" t="s">
        <v>4672</v>
      </c>
      <c r="J158" s="39" t="s">
        <v>31</v>
      </c>
      <c r="N158" s="39"/>
      <c r="AA158" s="101"/>
      <c r="AC158" s="39" t="s">
        <v>4673</v>
      </c>
      <c r="AD158" s="39"/>
      <c r="AH158" s="39" t="s">
        <v>4672</v>
      </c>
      <c r="AK158" s="39" t="s">
        <v>31</v>
      </c>
      <c r="AO158" s="39"/>
      <c r="AX158" s="66">
        <v>3</v>
      </c>
      <c r="AY158" s="63">
        <v>2</v>
      </c>
      <c r="BD158" s="39" t="s">
        <v>4673</v>
      </c>
      <c r="BE158" s="39"/>
      <c r="BF158" s="39" t="s">
        <v>4674</v>
      </c>
    </row>
    <row r="159" spans="1:58" ht="60">
      <c r="A159" s="39" t="s">
        <v>4037</v>
      </c>
      <c r="B159" s="39" t="s">
        <v>4739</v>
      </c>
      <c r="C159" s="39" t="s">
        <v>57</v>
      </c>
      <c r="D159" s="39">
        <v>157</v>
      </c>
      <c r="E159" s="39">
        <v>1</v>
      </c>
      <c r="F159" s="39" t="s">
        <v>4636</v>
      </c>
      <c r="G159" s="39" t="s">
        <v>4675</v>
      </c>
      <c r="H159" s="39" t="s">
        <v>4636</v>
      </c>
      <c r="J159" s="39" t="s">
        <v>29</v>
      </c>
      <c r="N159" s="39"/>
      <c r="Q159" s="62">
        <v>5</v>
      </c>
      <c r="R159" s="63">
        <v>6</v>
      </c>
      <c r="S159" s="43">
        <v>6</v>
      </c>
      <c r="U159" s="64">
        <v>3</v>
      </c>
      <c r="V159" s="65">
        <v>3</v>
      </c>
      <c r="AA159" s="101"/>
      <c r="AC159" s="39" t="s">
        <v>4676</v>
      </c>
      <c r="AD159" s="39" t="s">
        <v>4677</v>
      </c>
      <c r="AE159" s="39" t="s">
        <v>4678</v>
      </c>
      <c r="AO159" s="39"/>
      <c r="BE159" s="39"/>
    </row>
    <row r="160" spans="1:58" ht="36">
      <c r="A160" s="39" t="s">
        <v>4037</v>
      </c>
      <c r="B160" s="39" t="s">
        <v>4458</v>
      </c>
      <c r="C160" s="39" t="s">
        <v>57</v>
      </c>
      <c r="D160" s="39">
        <v>158</v>
      </c>
      <c r="E160" s="39">
        <v>2</v>
      </c>
      <c r="F160" s="39" t="s">
        <v>4636</v>
      </c>
      <c r="G160" s="39" t="s">
        <v>4327</v>
      </c>
      <c r="J160" s="39" t="s">
        <v>28</v>
      </c>
      <c r="N160" s="39"/>
      <c r="AA160" s="101"/>
      <c r="AC160" s="39" t="s">
        <v>4293</v>
      </c>
      <c r="AD160" s="39"/>
      <c r="AE160" s="39" t="s">
        <v>4486</v>
      </c>
      <c r="AN160" s="40"/>
      <c r="AO160" s="39"/>
      <c r="AP160" s="70"/>
      <c r="AQ160" s="71"/>
      <c r="AR160" s="72"/>
      <c r="AU160" s="70"/>
      <c r="AV160" s="77"/>
      <c r="AW160" s="78"/>
      <c r="AX160" s="75"/>
      <c r="BA160" s="76"/>
      <c r="BD160" s="40"/>
      <c r="BE160" s="39"/>
    </row>
    <row r="161" spans="1:57" ht="24">
      <c r="A161" s="39" t="s">
        <v>4037</v>
      </c>
      <c r="B161" s="39" t="s">
        <v>4459</v>
      </c>
      <c r="C161" s="39" t="s">
        <v>57</v>
      </c>
      <c r="D161" s="39">
        <v>159</v>
      </c>
      <c r="E161" s="39">
        <v>3</v>
      </c>
      <c r="F161" s="39" t="s">
        <v>4765</v>
      </c>
      <c r="G161" s="39" t="s">
        <v>4328</v>
      </c>
      <c r="J161" s="39" t="s">
        <v>29</v>
      </c>
      <c r="N161" s="39"/>
      <c r="Q161" s="62">
        <v>1</v>
      </c>
      <c r="R161" s="63">
        <v>3</v>
      </c>
      <c r="S161" s="43">
        <v>1</v>
      </c>
      <c r="U161" s="64">
        <v>1</v>
      </c>
      <c r="V161" s="65">
        <v>0</v>
      </c>
      <c r="AA161" s="101"/>
      <c r="AC161" s="39" t="s">
        <v>30</v>
      </c>
      <c r="AD161" s="39"/>
      <c r="AE161" s="39" t="s">
        <v>4329</v>
      </c>
      <c r="AN161" s="40"/>
      <c r="AO161" s="39"/>
      <c r="AP161" s="70"/>
      <c r="AQ161" s="71"/>
      <c r="AR161" s="72"/>
      <c r="AU161" s="70"/>
      <c r="AV161" s="77"/>
      <c r="AW161" s="78"/>
      <c r="AX161" s="75"/>
      <c r="BA161" s="76"/>
      <c r="BD161" s="40"/>
      <c r="BE161" s="39"/>
    </row>
    <row r="162" spans="1:57" ht="24">
      <c r="A162" s="39" t="s">
        <v>4037</v>
      </c>
      <c r="B162" s="39" t="s">
        <v>4460</v>
      </c>
      <c r="C162" s="39" t="s">
        <v>57</v>
      </c>
      <c r="D162" s="39">
        <v>160</v>
      </c>
      <c r="E162" s="39">
        <v>2</v>
      </c>
      <c r="F162" s="39" t="s">
        <v>4766</v>
      </c>
      <c r="G162" s="39" t="s">
        <v>4330</v>
      </c>
      <c r="J162" s="39" t="s">
        <v>29</v>
      </c>
      <c r="N162" s="39"/>
      <c r="Q162" s="62">
        <v>2</v>
      </c>
      <c r="R162" s="63">
        <v>2</v>
      </c>
      <c r="S162" s="43">
        <v>2</v>
      </c>
      <c r="U162" s="64">
        <v>1</v>
      </c>
      <c r="V162" s="65">
        <v>1</v>
      </c>
      <c r="AA162" s="101"/>
      <c r="AC162" s="39" t="s">
        <v>4314</v>
      </c>
      <c r="AD162" s="39"/>
      <c r="AN162" s="40"/>
      <c r="AO162" s="39"/>
      <c r="AP162" s="70"/>
      <c r="AQ162" s="71"/>
      <c r="AR162" s="72"/>
      <c r="AU162" s="70"/>
      <c r="AV162" s="77"/>
      <c r="AW162" s="78"/>
      <c r="AX162" s="75"/>
      <c r="BA162" s="76"/>
      <c r="BD162" s="40"/>
      <c r="BE162" s="39"/>
    </row>
    <row r="163" spans="1:57" ht="24">
      <c r="A163" s="39" t="s">
        <v>4037</v>
      </c>
      <c r="B163" s="39" t="s">
        <v>4461</v>
      </c>
      <c r="C163" s="39" t="s">
        <v>57</v>
      </c>
      <c r="D163" s="39">
        <v>161</v>
      </c>
      <c r="E163" s="39">
        <v>1</v>
      </c>
      <c r="F163" s="39" t="s">
        <v>4766</v>
      </c>
      <c r="G163" s="39" t="s">
        <v>4331</v>
      </c>
      <c r="J163" s="39" t="s">
        <v>29</v>
      </c>
      <c r="N163" s="39"/>
      <c r="Q163" s="62">
        <v>3</v>
      </c>
      <c r="R163" s="63">
        <v>3</v>
      </c>
      <c r="S163" s="43">
        <v>3</v>
      </c>
      <c r="U163" s="64">
        <v>1</v>
      </c>
      <c r="V163" s="65">
        <v>1</v>
      </c>
      <c r="AA163" s="101"/>
      <c r="AC163" s="39" t="s">
        <v>4314</v>
      </c>
      <c r="AD163" s="39"/>
      <c r="AE163" s="39" t="s">
        <v>4487</v>
      </c>
      <c r="AN163" s="40"/>
      <c r="AO163" s="39"/>
      <c r="AP163" s="70"/>
      <c r="AQ163" s="71"/>
      <c r="AR163" s="72"/>
      <c r="AU163" s="70"/>
      <c r="AV163" s="77"/>
      <c r="AW163" s="78"/>
      <c r="AX163" s="75"/>
      <c r="BA163" s="76"/>
      <c r="BD163" s="40"/>
      <c r="BE163" s="39"/>
    </row>
    <row r="164" spans="1:57" ht="24">
      <c r="A164" s="39" t="s">
        <v>4037</v>
      </c>
      <c r="B164" s="39" t="s">
        <v>4462</v>
      </c>
      <c r="C164" s="39" t="s">
        <v>57</v>
      </c>
      <c r="D164" s="39">
        <v>162</v>
      </c>
      <c r="E164" s="39">
        <v>1</v>
      </c>
      <c r="F164" s="39" t="s">
        <v>4766</v>
      </c>
      <c r="G164" s="39" t="s">
        <v>4332</v>
      </c>
      <c r="J164" s="39" t="s">
        <v>28</v>
      </c>
      <c r="N164" s="39"/>
      <c r="AA164" s="101"/>
      <c r="AC164" s="39" t="s">
        <v>4333</v>
      </c>
      <c r="AD164" s="39"/>
      <c r="AE164" s="39" t="s">
        <v>4488</v>
      </c>
      <c r="AN164" s="40"/>
      <c r="AO164" s="39"/>
      <c r="AP164" s="70"/>
      <c r="AQ164" s="71"/>
      <c r="AR164" s="72"/>
      <c r="AU164" s="70"/>
      <c r="AV164" s="77"/>
      <c r="AW164" s="78"/>
      <c r="AX164" s="75"/>
      <c r="BA164" s="76"/>
      <c r="BD164" s="40"/>
      <c r="BE164" s="39"/>
    </row>
    <row r="165" spans="1:57" ht="24">
      <c r="A165" s="39" t="s">
        <v>4037</v>
      </c>
      <c r="B165" s="39" t="s">
        <v>4463</v>
      </c>
      <c r="C165" s="39" t="s">
        <v>57</v>
      </c>
      <c r="D165" s="39">
        <v>163</v>
      </c>
      <c r="E165" s="39">
        <v>3</v>
      </c>
      <c r="F165" s="39" t="s">
        <v>4767</v>
      </c>
      <c r="G165" s="39" t="s">
        <v>4334</v>
      </c>
      <c r="J165" s="39" t="s">
        <v>28</v>
      </c>
      <c r="N165" s="39"/>
      <c r="AA165" s="101"/>
      <c r="AC165" s="39" t="s">
        <v>4335</v>
      </c>
      <c r="AD165" s="39"/>
      <c r="AE165" s="39" t="s">
        <v>4489</v>
      </c>
      <c r="AN165" s="40"/>
      <c r="AO165" s="39"/>
      <c r="AP165" s="70"/>
      <c r="AQ165" s="71"/>
      <c r="AR165" s="72"/>
      <c r="AU165" s="70"/>
      <c r="AV165" s="77"/>
      <c r="AW165" s="78"/>
      <c r="AX165" s="75"/>
      <c r="BA165" s="76"/>
      <c r="BD165" s="40"/>
      <c r="BE165" s="39"/>
    </row>
    <row r="166" spans="1:57" ht="72">
      <c r="A166" s="39" t="s">
        <v>4037</v>
      </c>
      <c r="B166" s="39" t="s">
        <v>4464</v>
      </c>
      <c r="C166" s="39" t="s">
        <v>57</v>
      </c>
      <c r="D166" s="39">
        <v>164</v>
      </c>
      <c r="E166" s="39">
        <v>2</v>
      </c>
      <c r="F166" s="39" t="s">
        <v>4767</v>
      </c>
      <c r="G166" s="39" t="s">
        <v>4336</v>
      </c>
      <c r="J166" s="39" t="s">
        <v>28</v>
      </c>
      <c r="N166" s="39"/>
      <c r="AA166" s="101"/>
      <c r="AC166" s="39" t="s">
        <v>4335</v>
      </c>
      <c r="AD166" s="39"/>
      <c r="AE166" s="39" t="s">
        <v>4490</v>
      </c>
      <c r="AN166" s="40"/>
      <c r="AO166" s="39"/>
      <c r="AP166" s="70"/>
      <c r="AQ166" s="71"/>
      <c r="AR166" s="72"/>
      <c r="AU166" s="70"/>
      <c r="AV166" s="77"/>
      <c r="AW166" s="78"/>
      <c r="AX166" s="75"/>
      <c r="BA166" s="76"/>
      <c r="BD166" s="40"/>
      <c r="BE166" s="39"/>
    </row>
    <row r="167" spans="1:57" ht="48">
      <c r="A167" s="39" t="s">
        <v>4037</v>
      </c>
      <c r="B167" s="39" t="s">
        <v>4465</v>
      </c>
      <c r="C167" s="39" t="s">
        <v>57</v>
      </c>
      <c r="D167" s="39">
        <v>165</v>
      </c>
      <c r="E167" s="39">
        <v>2</v>
      </c>
      <c r="F167" s="39" t="s">
        <v>4767</v>
      </c>
      <c r="G167" s="39" t="s">
        <v>4337</v>
      </c>
      <c r="J167" s="39" t="s">
        <v>28</v>
      </c>
      <c r="N167" s="39"/>
      <c r="AA167" s="101"/>
      <c r="AC167" s="39" t="s">
        <v>4335</v>
      </c>
      <c r="AD167" s="39"/>
      <c r="AE167" s="39" t="s">
        <v>4491</v>
      </c>
      <c r="AN167" s="40"/>
      <c r="AO167" s="39"/>
      <c r="AP167" s="70"/>
      <c r="AQ167" s="71"/>
      <c r="AR167" s="72"/>
      <c r="AU167" s="70"/>
      <c r="AV167" s="77"/>
      <c r="AW167" s="78"/>
      <c r="AX167" s="75"/>
      <c r="BA167" s="76"/>
      <c r="BD167" s="40"/>
      <c r="BE167" s="39"/>
    </row>
    <row r="168" spans="1:57" ht="24">
      <c r="A168" s="39" t="s">
        <v>4037</v>
      </c>
      <c r="B168" s="39" t="s">
        <v>4470</v>
      </c>
      <c r="C168" s="39" t="s">
        <v>57</v>
      </c>
      <c r="D168" s="39">
        <v>166</v>
      </c>
      <c r="E168" s="39">
        <v>2</v>
      </c>
      <c r="F168" s="39" t="s">
        <v>4345</v>
      </c>
      <c r="G168" s="39" t="s">
        <v>4345</v>
      </c>
      <c r="J168" s="39" t="s">
        <v>28</v>
      </c>
      <c r="N168" s="39"/>
      <c r="AA168" s="101"/>
      <c r="AC168" s="39" t="s">
        <v>4346</v>
      </c>
      <c r="AD168" s="39"/>
      <c r="AE168" s="39" t="s">
        <v>4494</v>
      </c>
      <c r="AN168" s="40"/>
      <c r="AO168" s="39"/>
      <c r="AP168" s="70"/>
      <c r="AQ168" s="71"/>
      <c r="AR168" s="72"/>
      <c r="AU168" s="70"/>
      <c r="AV168" s="77"/>
      <c r="AW168" s="78"/>
      <c r="AX168" s="75"/>
      <c r="BA168" s="76"/>
      <c r="BD168" s="40"/>
      <c r="BE168" s="39"/>
    </row>
    <row r="169" spans="1:57" ht="24">
      <c r="A169" s="39" t="s">
        <v>4037</v>
      </c>
      <c r="B169" s="39" t="s">
        <v>4730</v>
      </c>
      <c r="C169" s="39" t="s">
        <v>57</v>
      </c>
      <c r="D169" s="39">
        <v>167</v>
      </c>
      <c r="E169" s="39">
        <v>2</v>
      </c>
      <c r="F169" s="39" t="s">
        <v>4768</v>
      </c>
      <c r="G169" s="39" t="s">
        <v>4679</v>
      </c>
      <c r="J169" s="39" t="s">
        <v>28</v>
      </c>
      <c r="N169" s="39"/>
      <c r="AA169" s="101"/>
      <c r="AC169" s="39" t="s">
        <v>4333</v>
      </c>
      <c r="AD169" s="39"/>
      <c r="AE169" s="39" t="s">
        <v>4680</v>
      </c>
      <c r="AN169" s="40"/>
      <c r="AO169" s="39"/>
      <c r="AP169" s="70"/>
      <c r="AQ169" s="71"/>
      <c r="AR169" s="72"/>
      <c r="AU169" s="70"/>
      <c r="AV169" s="77"/>
      <c r="AW169" s="78"/>
      <c r="AX169" s="75"/>
      <c r="BA169" s="76"/>
      <c r="BD169" s="40"/>
      <c r="BE169" s="39"/>
    </row>
    <row r="170" spans="1:57" ht="48">
      <c r="A170" s="39" t="s">
        <v>4037</v>
      </c>
      <c r="B170" s="39" t="s">
        <v>4471</v>
      </c>
      <c r="C170" s="39" t="s">
        <v>57</v>
      </c>
      <c r="D170" s="39">
        <v>168</v>
      </c>
      <c r="E170" s="39">
        <v>2</v>
      </c>
      <c r="F170" s="39" t="s">
        <v>4768</v>
      </c>
      <c r="G170" s="39" t="s">
        <v>4347</v>
      </c>
      <c r="J170" s="39" t="s">
        <v>28</v>
      </c>
      <c r="N170" s="39"/>
      <c r="O170" s="70"/>
      <c r="P170" s="71"/>
      <c r="Q170" s="72"/>
      <c r="T170" s="70"/>
      <c r="U170" s="73"/>
      <c r="V170" s="74"/>
      <c r="W170" s="75"/>
      <c r="Z170" s="76"/>
      <c r="AA170" s="101"/>
      <c r="AC170" s="39" t="s">
        <v>4333</v>
      </c>
      <c r="AD170" s="39"/>
      <c r="AE170" s="39" t="s">
        <v>4495</v>
      </c>
      <c r="AN170" s="40"/>
      <c r="AO170" s="39"/>
      <c r="AP170" s="70"/>
      <c r="AQ170" s="71"/>
      <c r="AR170" s="72"/>
      <c r="AU170" s="70"/>
      <c r="AV170" s="77"/>
      <c r="AW170" s="78"/>
      <c r="AX170" s="75"/>
      <c r="BA170" s="76"/>
      <c r="BD170" s="40"/>
      <c r="BE170" s="39"/>
    </row>
    <row r="171" spans="1:57" ht="24">
      <c r="A171" s="39" t="s">
        <v>4037</v>
      </c>
      <c r="B171" s="39" t="s">
        <v>4466</v>
      </c>
      <c r="C171" s="39" t="s">
        <v>57</v>
      </c>
      <c r="D171" s="39">
        <v>169</v>
      </c>
      <c r="E171" s="39">
        <v>2</v>
      </c>
      <c r="F171" s="39" t="s">
        <v>4769</v>
      </c>
      <c r="G171" s="39" t="s">
        <v>4338</v>
      </c>
      <c r="J171" s="39" t="s">
        <v>29</v>
      </c>
      <c r="N171" s="39"/>
      <c r="Q171" s="62">
        <v>3</v>
      </c>
      <c r="R171" s="63">
        <v>2</v>
      </c>
      <c r="S171" s="43">
        <v>1</v>
      </c>
      <c r="U171" s="64">
        <v>1</v>
      </c>
      <c r="V171" s="65">
        <v>0</v>
      </c>
      <c r="AA171" s="101"/>
      <c r="AC171" s="39" t="s">
        <v>4321</v>
      </c>
      <c r="AD171" s="39"/>
      <c r="AE171" s="39" t="s">
        <v>4492</v>
      </c>
      <c r="AN171" s="40"/>
      <c r="AO171" s="39"/>
      <c r="AP171" s="70"/>
      <c r="AQ171" s="71"/>
      <c r="AR171" s="72"/>
      <c r="AU171" s="70"/>
      <c r="AV171" s="77"/>
      <c r="AW171" s="78"/>
      <c r="AX171" s="75"/>
      <c r="BA171" s="76"/>
      <c r="BD171" s="40"/>
      <c r="BE171" s="39"/>
    </row>
    <row r="172" spans="1:57" ht="36">
      <c r="A172" s="39" t="s">
        <v>4037</v>
      </c>
      <c r="B172" s="39" t="s">
        <v>4731</v>
      </c>
      <c r="C172" s="39" t="s">
        <v>57</v>
      </c>
      <c r="D172" s="39">
        <v>170</v>
      </c>
      <c r="E172" s="39">
        <v>1</v>
      </c>
      <c r="F172" s="39" t="s">
        <v>4769</v>
      </c>
      <c r="G172" s="39" t="s">
        <v>4681</v>
      </c>
      <c r="J172" s="39" t="s">
        <v>29</v>
      </c>
      <c r="N172" s="39"/>
      <c r="Q172" s="62">
        <v>4</v>
      </c>
      <c r="R172" s="63">
        <v>2</v>
      </c>
      <c r="S172" s="43">
        <v>2</v>
      </c>
      <c r="U172" s="64">
        <v>1</v>
      </c>
      <c r="V172" s="65">
        <v>0</v>
      </c>
      <c r="AA172" s="101"/>
      <c r="AC172" s="39" t="s">
        <v>4321</v>
      </c>
      <c r="AD172" s="39" t="s">
        <v>4682</v>
      </c>
      <c r="AE172" s="39" t="s">
        <v>4683</v>
      </c>
      <c r="AN172" s="40"/>
      <c r="AO172" s="39"/>
      <c r="AP172" s="70"/>
      <c r="AQ172" s="71"/>
      <c r="AR172" s="72"/>
      <c r="AU172" s="70"/>
      <c r="AV172" s="77"/>
      <c r="AW172" s="78"/>
      <c r="AX172" s="75"/>
      <c r="BA172" s="76"/>
      <c r="BD172" s="40"/>
      <c r="BE172" s="39"/>
    </row>
    <row r="173" spans="1:57" ht="48">
      <c r="A173" s="39" t="s">
        <v>4037</v>
      </c>
      <c r="B173" s="39" t="s">
        <v>4467</v>
      </c>
      <c r="C173" s="39" t="s">
        <v>57</v>
      </c>
      <c r="D173" s="39">
        <v>171</v>
      </c>
      <c r="E173" s="39">
        <v>1</v>
      </c>
      <c r="F173" s="39" t="s">
        <v>4769</v>
      </c>
      <c r="G173" s="39" t="s">
        <v>4339</v>
      </c>
      <c r="J173" s="39" t="s">
        <v>28</v>
      </c>
      <c r="N173" s="39"/>
      <c r="AA173" s="101"/>
      <c r="AC173" s="39" t="s">
        <v>4340</v>
      </c>
      <c r="AD173" s="39"/>
      <c r="AE173" s="39" t="s">
        <v>4493</v>
      </c>
      <c r="AN173" s="40"/>
      <c r="AO173" s="39"/>
      <c r="AP173" s="70"/>
      <c r="AQ173" s="71"/>
      <c r="AR173" s="72"/>
      <c r="AU173" s="70"/>
      <c r="AV173" s="77"/>
      <c r="AW173" s="78"/>
      <c r="AX173" s="75"/>
      <c r="BA173" s="76"/>
      <c r="BD173" s="40"/>
      <c r="BE173" s="39"/>
    </row>
    <row r="174" spans="1:57" ht="24">
      <c r="A174" s="39" t="s">
        <v>4037</v>
      </c>
      <c r="B174" s="39" t="s">
        <v>4468</v>
      </c>
      <c r="C174" s="39" t="s">
        <v>57</v>
      </c>
      <c r="D174" s="39">
        <v>172</v>
      </c>
      <c r="E174" s="39">
        <v>1</v>
      </c>
      <c r="F174" s="39" t="s">
        <v>4770</v>
      </c>
      <c r="G174" s="39" t="s">
        <v>4341</v>
      </c>
      <c r="J174" s="39" t="s">
        <v>29</v>
      </c>
      <c r="N174" s="39"/>
      <c r="Q174" s="62">
        <v>3</v>
      </c>
      <c r="R174" s="63">
        <v>1</v>
      </c>
      <c r="S174" s="43">
        <v>4</v>
      </c>
      <c r="U174" s="64">
        <v>1</v>
      </c>
      <c r="V174" s="65">
        <v>1</v>
      </c>
      <c r="AA174" s="101"/>
      <c r="AC174" s="39" t="s">
        <v>4342</v>
      </c>
      <c r="AD174" s="39" t="s">
        <v>4329</v>
      </c>
      <c r="AE174" s="39" t="s">
        <v>4684</v>
      </c>
      <c r="AN174" s="40"/>
      <c r="AO174" s="39"/>
      <c r="AP174" s="70"/>
      <c r="AQ174" s="71"/>
      <c r="AR174" s="72"/>
      <c r="AU174" s="70"/>
      <c r="AV174" s="77"/>
      <c r="AW174" s="78"/>
      <c r="AX174" s="75"/>
      <c r="BA174" s="76"/>
      <c r="BD174" s="40"/>
      <c r="BE174" s="39"/>
    </row>
    <row r="175" spans="1:57" ht="36">
      <c r="A175" s="39" t="s">
        <v>4037</v>
      </c>
      <c r="B175" s="39" t="s">
        <v>4726</v>
      </c>
      <c r="C175" s="39" t="s">
        <v>57</v>
      </c>
      <c r="D175" s="39">
        <v>173</v>
      </c>
      <c r="E175" s="39">
        <v>1</v>
      </c>
      <c r="F175" s="39" t="s">
        <v>4770</v>
      </c>
      <c r="G175" s="39" t="s">
        <v>4685</v>
      </c>
      <c r="J175" s="39" t="s">
        <v>28</v>
      </c>
      <c r="N175" s="39"/>
      <c r="AA175" s="101"/>
      <c r="AD175" s="39"/>
      <c r="AE175" s="39" t="s">
        <v>4686</v>
      </c>
      <c r="AN175" s="40"/>
      <c r="AO175" s="39"/>
      <c r="AP175" s="70"/>
      <c r="AQ175" s="71"/>
      <c r="AR175" s="72"/>
      <c r="AU175" s="70"/>
      <c r="AV175" s="77"/>
      <c r="AW175" s="78"/>
      <c r="AX175" s="75"/>
      <c r="BA175" s="76"/>
      <c r="BD175" s="40"/>
      <c r="BE175" s="39"/>
    </row>
    <row r="176" spans="1:57" ht="60">
      <c r="A176" s="39" t="s">
        <v>4037</v>
      </c>
      <c r="B176" s="39" t="s">
        <v>4727</v>
      </c>
      <c r="C176" s="39" t="s">
        <v>57</v>
      </c>
      <c r="D176" s="39">
        <v>174</v>
      </c>
      <c r="E176" s="39">
        <v>1</v>
      </c>
      <c r="F176" s="39" t="s">
        <v>4771</v>
      </c>
      <c r="G176" s="39" t="s">
        <v>4687</v>
      </c>
      <c r="J176" s="39" t="s">
        <v>28</v>
      </c>
      <c r="N176" s="39"/>
      <c r="AA176" s="101"/>
      <c r="AC176" s="39" t="s">
        <v>4688</v>
      </c>
      <c r="AD176" s="39"/>
      <c r="AE176" s="39" t="s">
        <v>4689</v>
      </c>
      <c r="AN176" s="40"/>
      <c r="AO176" s="39"/>
      <c r="AP176" s="70"/>
      <c r="AQ176" s="71"/>
      <c r="AR176" s="72"/>
      <c r="AU176" s="70"/>
      <c r="AV176" s="77"/>
      <c r="AW176" s="78"/>
      <c r="AX176" s="75"/>
      <c r="BA176" s="76"/>
      <c r="BD176" s="40"/>
      <c r="BE176" s="39"/>
    </row>
    <row r="177" spans="1:58" ht="36">
      <c r="A177" s="39" t="s">
        <v>4037</v>
      </c>
      <c r="B177" s="39" t="s">
        <v>4728</v>
      </c>
      <c r="C177" s="39" t="s">
        <v>57</v>
      </c>
      <c r="D177" s="39">
        <v>175</v>
      </c>
      <c r="E177" s="39">
        <v>1</v>
      </c>
      <c r="F177" s="39" t="s">
        <v>4772</v>
      </c>
      <c r="G177" s="39" t="s">
        <v>4693</v>
      </c>
      <c r="J177" s="39" t="s">
        <v>29</v>
      </c>
      <c r="N177" s="39"/>
      <c r="Q177" s="62">
        <v>3</v>
      </c>
      <c r="R177" s="63">
        <v>3</v>
      </c>
      <c r="S177" s="43">
        <v>4</v>
      </c>
      <c r="U177" s="64">
        <v>1</v>
      </c>
      <c r="V177" s="65">
        <v>2</v>
      </c>
      <c r="Z177" s="67">
        <v>1</v>
      </c>
      <c r="AA177" s="101"/>
      <c r="AC177" s="39" t="s">
        <v>4690</v>
      </c>
      <c r="AD177" s="39" t="s">
        <v>4691</v>
      </c>
      <c r="AE177" s="39" t="s">
        <v>4692</v>
      </c>
      <c r="AN177" s="40"/>
      <c r="AO177" s="39"/>
      <c r="AP177" s="70"/>
      <c r="AQ177" s="71"/>
      <c r="AR177" s="72"/>
      <c r="AU177" s="70"/>
      <c r="AV177" s="77"/>
      <c r="AW177" s="78"/>
      <c r="AX177" s="75"/>
      <c r="BA177" s="76"/>
      <c r="BD177" s="40"/>
      <c r="BE177" s="39"/>
    </row>
    <row r="178" spans="1:58" ht="36">
      <c r="A178" s="39" t="s">
        <v>4037</v>
      </c>
      <c r="B178" s="39" t="s">
        <v>4729</v>
      </c>
      <c r="C178" s="39" t="s">
        <v>57</v>
      </c>
      <c r="D178" s="39">
        <v>176</v>
      </c>
      <c r="E178" s="39">
        <v>1</v>
      </c>
      <c r="F178" s="39" t="s">
        <v>4772</v>
      </c>
      <c r="G178" s="39" t="s">
        <v>4694</v>
      </c>
      <c r="J178" s="39" t="s">
        <v>28</v>
      </c>
      <c r="N178" s="39"/>
      <c r="AA178" s="101"/>
      <c r="AC178" s="39" t="s">
        <v>4346</v>
      </c>
      <c r="AD178" s="39"/>
      <c r="AE178" s="39" t="s">
        <v>4695</v>
      </c>
      <c r="AN178" s="40"/>
      <c r="AO178" s="39"/>
      <c r="AP178" s="70"/>
      <c r="AQ178" s="71"/>
      <c r="AR178" s="72"/>
      <c r="AU178" s="70"/>
      <c r="AV178" s="77"/>
      <c r="AW178" s="78"/>
      <c r="AX178" s="75"/>
      <c r="BA178" s="76"/>
      <c r="BD178" s="40"/>
      <c r="BE178" s="39"/>
    </row>
    <row r="179" spans="1:58" ht="36">
      <c r="A179" s="39" t="s">
        <v>4037</v>
      </c>
      <c r="B179" s="39" t="s">
        <v>4469</v>
      </c>
      <c r="C179" s="39" t="s">
        <v>57</v>
      </c>
      <c r="D179" s="39">
        <v>177</v>
      </c>
      <c r="E179" s="39">
        <v>1</v>
      </c>
      <c r="F179" s="39" t="s">
        <v>4773</v>
      </c>
      <c r="G179" s="39" t="s">
        <v>4343</v>
      </c>
      <c r="J179" s="39" t="s">
        <v>29</v>
      </c>
      <c r="N179" s="39"/>
      <c r="Q179" s="62">
        <v>4</v>
      </c>
      <c r="R179" s="63">
        <v>3</v>
      </c>
      <c r="S179" s="43">
        <v>4</v>
      </c>
      <c r="U179" s="64">
        <v>1</v>
      </c>
      <c r="V179" s="65">
        <v>1</v>
      </c>
      <c r="Z179" s="67">
        <v>1</v>
      </c>
      <c r="AA179" s="101"/>
      <c r="AC179" s="39" t="s">
        <v>4344</v>
      </c>
      <c r="AD179" s="39" t="s">
        <v>4696</v>
      </c>
      <c r="AE179" s="39" t="s">
        <v>4697</v>
      </c>
      <c r="AN179" s="40"/>
      <c r="AO179" s="39"/>
      <c r="AP179" s="70"/>
      <c r="AQ179" s="71"/>
      <c r="AR179" s="72"/>
      <c r="AU179" s="70"/>
      <c r="AV179" s="77"/>
      <c r="AW179" s="78"/>
      <c r="AX179" s="75"/>
      <c r="BA179" s="76"/>
      <c r="BD179" s="40"/>
      <c r="BE179" s="39"/>
    </row>
    <row r="180" spans="1:58" ht="36">
      <c r="A180" s="39" t="s">
        <v>4037</v>
      </c>
      <c r="B180" s="39" t="s">
        <v>4716</v>
      </c>
      <c r="C180" s="39" t="s">
        <v>57</v>
      </c>
      <c r="D180" s="39">
        <v>178</v>
      </c>
      <c r="E180" s="39">
        <v>1</v>
      </c>
      <c r="F180" s="39" t="s">
        <v>4773</v>
      </c>
      <c r="G180" s="39" t="s">
        <v>4698</v>
      </c>
      <c r="J180" s="39" t="s">
        <v>28</v>
      </c>
      <c r="N180" s="39"/>
      <c r="AA180" s="101"/>
      <c r="AC180" s="39" t="s">
        <v>4699</v>
      </c>
      <c r="AD180" s="39" t="s">
        <v>4615</v>
      </c>
      <c r="AE180" s="39" t="s">
        <v>4700</v>
      </c>
      <c r="AN180" s="40"/>
      <c r="AO180" s="39"/>
      <c r="AP180" s="70"/>
      <c r="AQ180" s="71"/>
      <c r="AR180" s="72"/>
      <c r="AU180" s="70"/>
      <c r="AV180" s="77"/>
      <c r="AW180" s="78"/>
      <c r="AX180" s="75"/>
      <c r="BA180" s="76"/>
      <c r="BD180" s="40"/>
      <c r="BE180" s="39"/>
    </row>
    <row r="181" spans="1:58" ht="24">
      <c r="A181" s="39" t="s">
        <v>4037</v>
      </c>
      <c r="B181" s="39" t="s">
        <v>4717</v>
      </c>
      <c r="C181" s="39" t="s">
        <v>57</v>
      </c>
      <c r="D181" s="39">
        <v>179</v>
      </c>
      <c r="E181" s="39">
        <v>1</v>
      </c>
      <c r="F181" s="39" t="s">
        <v>4774</v>
      </c>
      <c r="G181" s="39" t="s">
        <v>4701</v>
      </c>
      <c r="J181" s="39" t="s">
        <v>29</v>
      </c>
      <c r="N181" s="39"/>
      <c r="O181" s="70"/>
      <c r="P181" s="71"/>
      <c r="Q181" s="72">
        <v>4</v>
      </c>
      <c r="R181" s="63">
        <v>2</v>
      </c>
      <c r="S181" s="43">
        <v>5</v>
      </c>
      <c r="T181" s="70"/>
      <c r="U181" s="77">
        <v>2</v>
      </c>
      <c r="V181" s="78">
        <v>1</v>
      </c>
      <c r="W181" s="75"/>
      <c r="Z181" s="76">
        <v>1</v>
      </c>
      <c r="AA181" s="101"/>
      <c r="AC181" s="39" t="s">
        <v>4702</v>
      </c>
      <c r="AD181" s="39" t="s">
        <v>4703</v>
      </c>
      <c r="AE181" s="39" t="s">
        <v>4704</v>
      </c>
      <c r="AN181" s="40"/>
      <c r="AO181" s="39"/>
      <c r="AP181" s="70"/>
      <c r="AQ181" s="71"/>
      <c r="AR181" s="72"/>
      <c r="AU181" s="70"/>
      <c r="AV181" s="77"/>
      <c r="AW181" s="78"/>
      <c r="AX181" s="75"/>
      <c r="BA181" s="76"/>
      <c r="BD181" s="40"/>
      <c r="BE181" s="39"/>
    </row>
    <row r="182" spans="1:58" ht="24">
      <c r="A182" s="39" t="s">
        <v>4037</v>
      </c>
      <c r="B182" s="39" t="s">
        <v>4718</v>
      </c>
      <c r="C182" s="39" t="s">
        <v>57</v>
      </c>
      <c r="D182" s="39">
        <v>180</v>
      </c>
      <c r="E182" s="39">
        <v>1</v>
      </c>
      <c r="F182" s="39" t="s">
        <v>4774</v>
      </c>
      <c r="G182" s="39" t="s">
        <v>4705</v>
      </c>
      <c r="J182" s="39" t="s">
        <v>29</v>
      </c>
      <c r="N182" s="39"/>
      <c r="O182" s="70"/>
      <c r="P182" s="71"/>
      <c r="Q182" s="72">
        <v>3</v>
      </c>
      <c r="R182" s="63">
        <v>2</v>
      </c>
      <c r="S182" s="43">
        <v>3</v>
      </c>
      <c r="T182" s="70"/>
      <c r="U182" s="77">
        <v>1</v>
      </c>
      <c r="V182" s="78">
        <v>0</v>
      </c>
      <c r="W182" s="75"/>
      <c r="Z182" s="76"/>
      <c r="AA182" s="101"/>
      <c r="AC182" s="39" t="s">
        <v>4706</v>
      </c>
      <c r="AD182" s="39" t="s">
        <v>4707</v>
      </c>
      <c r="AE182" s="39" t="s">
        <v>4708</v>
      </c>
      <c r="AN182" s="40"/>
      <c r="AO182" s="39"/>
      <c r="AP182" s="70"/>
      <c r="AQ182" s="71"/>
      <c r="AR182" s="72"/>
      <c r="AU182" s="70"/>
      <c r="AV182" s="77"/>
      <c r="AW182" s="78"/>
      <c r="AX182" s="75"/>
      <c r="BA182" s="76"/>
      <c r="BD182" s="40"/>
      <c r="BE182" s="39"/>
    </row>
    <row r="183" spans="1:58" ht="36">
      <c r="A183" s="39" t="s">
        <v>4037</v>
      </c>
      <c r="B183" s="39" t="s">
        <v>4719</v>
      </c>
      <c r="C183" s="39" t="s">
        <v>57</v>
      </c>
      <c r="D183" s="39">
        <v>181</v>
      </c>
      <c r="E183" s="39">
        <v>1</v>
      </c>
      <c r="F183" s="39" t="s">
        <v>4775</v>
      </c>
      <c r="G183" s="39" t="s">
        <v>4709</v>
      </c>
      <c r="J183" s="39" t="s">
        <v>29</v>
      </c>
      <c r="N183" s="39"/>
      <c r="O183" s="70"/>
      <c r="P183" s="71"/>
      <c r="Q183" s="72">
        <v>3</v>
      </c>
      <c r="R183" s="63">
        <v>3</v>
      </c>
      <c r="S183" s="43">
        <v>3</v>
      </c>
      <c r="T183" s="70"/>
      <c r="U183" s="77">
        <v>1</v>
      </c>
      <c r="V183" s="78">
        <v>1</v>
      </c>
      <c r="W183" s="75"/>
      <c r="Z183" s="76"/>
      <c r="AA183" s="101"/>
      <c r="AC183" s="39" t="s">
        <v>4710</v>
      </c>
      <c r="AD183" s="39" t="s">
        <v>4711</v>
      </c>
      <c r="AE183" s="39" t="s">
        <v>4712</v>
      </c>
      <c r="AN183" s="40"/>
      <c r="AO183" s="39"/>
      <c r="AP183" s="70"/>
      <c r="AQ183" s="71"/>
      <c r="AR183" s="72"/>
      <c r="AU183" s="70"/>
      <c r="AV183" s="77"/>
      <c r="AW183" s="78"/>
      <c r="AX183" s="75"/>
      <c r="BA183" s="76"/>
      <c r="BD183" s="40"/>
      <c r="BE183" s="39"/>
    </row>
    <row r="184" spans="1:58" ht="48">
      <c r="A184" s="39" t="s">
        <v>4037</v>
      </c>
      <c r="B184" s="39" t="s">
        <v>4720</v>
      </c>
      <c r="C184" s="39" t="s">
        <v>57</v>
      </c>
      <c r="D184" s="39">
        <v>182</v>
      </c>
      <c r="E184" s="39">
        <v>1</v>
      </c>
      <c r="F184" s="39" t="s">
        <v>4775</v>
      </c>
      <c r="G184" s="39" t="s">
        <v>4713</v>
      </c>
      <c r="J184" s="39" t="s">
        <v>28</v>
      </c>
      <c r="N184" s="39"/>
      <c r="O184" s="70"/>
      <c r="P184" s="71"/>
      <c r="Q184" s="72"/>
      <c r="T184" s="70"/>
      <c r="U184" s="77"/>
      <c r="V184" s="78"/>
      <c r="W184" s="75"/>
      <c r="Z184" s="76"/>
      <c r="AA184" s="101"/>
      <c r="AC184" s="39" t="s">
        <v>4346</v>
      </c>
      <c r="AD184" s="39"/>
      <c r="AE184" s="39" t="s">
        <v>4714</v>
      </c>
      <c r="AO184" s="39"/>
      <c r="AP184" s="70"/>
      <c r="AQ184" s="71"/>
      <c r="AR184" s="72"/>
      <c r="AU184" s="70"/>
      <c r="AV184" s="77"/>
      <c r="AW184" s="78"/>
      <c r="AX184" s="75"/>
      <c r="BA184" s="76"/>
    </row>
    <row r="185" spans="1:58" ht="15">
      <c r="A185" s="59" t="s">
        <v>4037</v>
      </c>
      <c r="B185" s="59" t="s">
        <v>4721</v>
      </c>
      <c r="C185" s="59" t="s">
        <v>57</v>
      </c>
      <c r="D185" s="79">
        <v>995</v>
      </c>
      <c r="E185" s="59">
        <v>1</v>
      </c>
      <c r="F185" s="59"/>
      <c r="G185" s="59" t="s">
        <v>4038</v>
      </c>
      <c r="J185" s="39" t="s">
        <v>4715</v>
      </c>
      <c r="K185" s="39" t="s">
        <v>4052</v>
      </c>
      <c r="N185" s="39"/>
      <c r="O185" s="70"/>
      <c r="P185" s="71"/>
      <c r="Q185" s="72"/>
      <c r="T185" s="70"/>
      <c r="U185" s="77"/>
      <c r="V185" s="78"/>
      <c r="W185" s="75"/>
      <c r="Z185" s="76"/>
      <c r="AA185" s="101"/>
      <c r="AD185" s="39"/>
      <c r="AH185" s="59" t="s">
        <v>4038</v>
      </c>
      <c r="AK185" s="39" t="s">
        <v>4715</v>
      </c>
      <c r="AO185" s="39"/>
      <c r="AP185" s="70"/>
      <c r="AQ185" s="71"/>
      <c r="AR185" s="72"/>
      <c r="AU185" s="70"/>
      <c r="AV185" s="77"/>
      <c r="AW185" s="78"/>
      <c r="AX185" s="75"/>
      <c r="BA185" s="76"/>
    </row>
    <row r="186" spans="1:58" ht="24">
      <c r="A186" s="39" t="s">
        <v>4037</v>
      </c>
      <c r="B186" s="39" t="s">
        <v>4722</v>
      </c>
      <c r="C186" s="39" t="s">
        <v>57</v>
      </c>
      <c r="D186" s="40">
        <v>996</v>
      </c>
      <c r="E186" s="39">
        <v>1</v>
      </c>
      <c r="G186" s="39" t="s">
        <v>4094</v>
      </c>
      <c r="J186" s="39" t="s">
        <v>4715</v>
      </c>
      <c r="K186" s="39" t="s">
        <v>4053</v>
      </c>
      <c r="N186" s="39"/>
      <c r="O186" s="70"/>
      <c r="P186" s="71"/>
      <c r="Q186" s="72"/>
      <c r="T186" s="70"/>
      <c r="U186" s="77"/>
      <c r="V186" s="78"/>
      <c r="W186" s="75"/>
      <c r="Z186" s="76"/>
      <c r="AA186" s="101"/>
      <c r="AD186" s="39"/>
      <c r="AH186" s="39" t="s">
        <v>4094</v>
      </c>
      <c r="AK186" s="39" t="s">
        <v>4715</v>
      </c>
      <c r="AO186" s="39"/>
      <c r="AP186" s="70"/>
      <c r="AQ186" s="71"/>
      <c r="AR186" s="72"/>
      <c r="AU186" s="70"/>
      <c r="AV186" s="77"/>
      <c r="AW186" s="78"/>
      <c r="AX186" s="75"/>
      <c r="BA186" s="76"/>
    </row>
    <row r="187" spans="1:58" ht="24">
      <c r="A187" s="39" t="s">
        <v>4037</v>
      </c>
      <c r="B187" s="39" t="s">
        <v>4723</v>
      </c>
      <c r="C187" s="39" t="s">
        <v>57</v>
      </c>
      <c r="D187" s="40">
        <v>997</v>
      </c>
      <c r="E187" s="39">
        <v>1</v>
      </c>
      <c r="G187" s="39" t="s">
        <v>4098</v>
      </c>
      <c r="J187" s="39" t="s">
        <v>4715</v>
      </c>
      <c r="K187" s="39" t="s">
        <v>4055</v>
      </c>
      <c r="N187" s="39"/>
      <c r="O187" s="70"/>
      <c r="P187" s="71"/>
      <c r="Q187" s="72"/>
      <c r="T187" s="70"/>
      <c r="U187" s="77"/>
      <c r="V187" s="78"/>
      <c r="W187" s="75"/>
      <c r="Z187" s="76"/>
      <c r="AA187" s="101"/>
      <c r="AD187" s="39"/>
      <c r="AH187" s="39" t="s">
        <v>4098</v>
      </c>
      <c r="AK187" s="39" t="s">
        <v>4715</v>
      </c>
      <c r="AO187" s="39"/>
      <c r="AP187" s="70"/>
      <c r="AQ187" s="71"/>
      <c r="AR187" s="72"/>
      <c r="AU187" s="70"/>
      <c r="AV187" s="77"/>
      <c r="AW187" s="78"/>
      <c r="AX187" s="75"/>
      <c r="BA187" s="76"/>
    </row>
    <row r="188" spans="1:58" ht="24">
      <c r="A188" s="39" t="s">
        <v>4037</v>
      </c>
      <c r="B188" s="39" t="s">
        <v>4724</v>
      </c>
      <c r="C188" s="39" t="s">
        <v>57</v>
      </c>
      <c r="D188" s="40">
        <v>998</v>
      </c>
      <c r="E188" s="39">
        <v>1</v>
      </c>
      <c r="G188" s="39" t="s">
        <v>4102</v>
      </c>
      <c r="J188" s="39" t="s">
        <v>4715</v>
      </c>
      <c r="K188" s="39" t="s">
        <v>4054</v>
      </c>
      <c r="N188" s="39"/>
      <c r="O188" s="70"/>
      <c r="P188" s="71"/>
      <c r="Q188" s="72"/>
      <c r="T188" s="70"/>
      <c r="U188" s="77"/>
      <c r="V188" s="78"/>
      <c r="W188" s="75"/>
      <c r="Z188" s="76"/>
      <c r="AA188" s="101"/>
      <c r="AD188" s="39"/>
      <c r="AH188" s="39" t="s">
        <v>4102</v>
      </c>
      <c r="AK188" s="39" t="s">
        <v>4715</v>
      </c>
      <c r="AO188" s="39"/>
      <c r="AP188" s="70"/>
      <c r="AQ188" s="71"/>
      <c r="AR188" s="72"/>
      <c r="AU188" s="70"/>
      <c r="AV188" s="77"/>
      <c r="AW188" s="78"/>
      <c r="AX188" s="75"/>
      <c r="BA188" s="76"/>
    </row>
    <row r="189" spans="1:58" s="42" customFormat="1" ht="24">
      <c r="A189" s="42" t="s">
        <v>4037</v>
      </c>
      <c r="B189" s="42" t="s">
        <v>4725</v>
      </c>
      <c r="C189" s="42" t="s">
        <v>57</v>
      </c>
      <c r="D189" s="42">
        <v>999</v>
      </c>
      <c r="E189" s="42">
        <v>1</v>
      </c>
      <c r="G189" s="42" t="s">
        <v>4106</v>
      </c>
      <c r="J189" s="42" t="s">
        <v>4715</v>
      </c>
      <c r="K189" s="42" t="s">
        <v>4056</v>
      </c>
      <c r="O189" s="81"/>
      <c r="P189" s="82"/>
      <c r="Q189" s="83"/>
      <c r="R189" s="84"/>
      <c r="S189" s="85"/>
      <c r="T189" s="81"/>
      <c r="U189" s="86"/>
      <c r="V189" s="87"/>
      <c r="W189" s="88"/>
      <c r="X189" s="84"/>
      <c r="Y189" s="85"/>
      <c r="Z189" s="89"/>
      <c r="AA189" s="102"/>
      <c r="AH189" s="42" t="s">
        <v>4106</v>
      </c>
      <c r="AK189" s="42" t="s">
        <v>4715</v>
      </c>
      <c r="AP189" s="81"/>
      <c r="AQ189" s="82"/>
      <c r="AR189" s="83"/>
      <c r="AS189" s="84"/>
      <c r="AT189" s="85"/>
      <c r="AU189" s="81"/>
      <c r="AV189" s="86"/>
      <c r="AW189" s="87"/>
      <c r="AX189" s="88"/>
      <c r="AY189" s="84"/>
      <c r="AZ189" s="85"/>
      <c r="BA189" s="89"/>
      <c r="BE189" s="41"/>
    </row>
    <row r="190" spans="1:58" ht="84">
      <c r="A190" s="39" t="s">
        <v>4787</v>
      </c>
      <c r="B190" s="39" t="s">
        <v>4789</v>
      </c>
      <c r="C190" s="39" t="s">
        <v>4825</v>
      </c>
      <c r="D190" s="39">
        <v>1</v>
      </c>
      <c r="E190" s="39">
        <v>1</v>
      </c>
      <c r="F190" s="39" t="s">
        <v>4912</v>
      </c>
      <c r="G190" s="39" t="s">
        <v>4788</v>
      </c>
      <c r="H190" s="39" t="s">
        <v>4563</v>
      </c>
      <c r="J190" s="39" t="s">
        <v>4472</v>
      </c>
      <c r="N190" s="39"/>
      <c r="O190" s="90"/>
      <c r="P190" s="91"/>
      <c r="Q190" s="92"/>
      <c r="R190" s="93"/>
      <c r="S190" s="94"/>
      <c r="T190" s="90"/>
      <c r="U190" s="95"/>
      <c r="V190" s="96"/>
      <c r="W190" s="97"/>
      <c r="X190" s="93"/>
      <c r="Y190" s="94"/>
      <c r="Z190" s="98"/>
      <c r="AD190" s="39"/>
      <c r="AE190" s="39" t="s">
        <v>4826</v>
      </c>
      <c r="AH190" s="39" t="s">
        <v>4788</v>
      </c>
      <c r="AI190" s="39" t="s">
        <v>4564</v>
      </c>
      <c r="AK190" s="39" t="s">
        <v>4472</v>
      </c>
      <c r="AO190" s="39"/>
      <c r="AP190" s="90"/>
      <c r="AQ190" s="91"/>
      <c r="AR190" s="92"/>
      <c r="AS190" s="93"/>
      <c r="AT190" s="94"/>
      <c r="AU190" s="90"/>
      <c r="AV190" s="95"/>
      <c r="AW190" s="96"/>
      <c r="AX190" s="97"/>
      <c r="AY190" s="93"/>
      <c r="AZ190" s="94"/>
      <c r="BA190" s="98"/>
      <c r="BF190" s="39" t="s">
        <v>4827</v>
      </c>
    </row>
    <row r="191" spans="1:58" ht="96">
      <c r="A191" s="39" t="s">
        <v>4787</v>
      </c>
      <c r="B191" s="39" t="s">
        <v>4790</v>
      </c>
      <c r="C191" s="39" t="s">
        <v>4825</v>
      </c>
      <c r="D191" s="39">
        <v>2</v>
      </c>
      <c r="E191" s="39">
        <v>1</v>
      </c>
      <c r="F191" s="39" t="s">
        <v>4912</v>
      </c>
      <c r="G191" s="39" t="s">
        <v>4828</v>
      </c>
      <c r="J191" s="39" t="s">
        <v>4473</v>
      </c>
      <c r="L191" s="39">
        <v>1</v>
      </c>
      <c r="N191" s="39"/>
      <c r="O191" s="70"/>
      <c r="P191" s="71"/>
      <c r="Q191" s="72"/>
      <c r="T191" s="70"/>
      <c r="U191" s="77"/>
      <c r="V191" s="78"/>
      <c r="W191" s="75"/>
      <c r="Y191" s="43">
        <v>5</v>
      </c>
      <c r="Z191" s="76"/>
      <c r="AD191" s="39"/>
      <c r="AH191" s="39" t="s">
        <v>4829</v>
      </c>
      <c r="AK191" s="39" t="s">
        <v>4473</v>
      </c>
      <c r="AM191" s="39">
        <v>1</v>
      </c>
      <c r="AO191" s="39"/>
      <c r="AP191" s="70"/>
      <c r="AQ191" s="71"/>
      <c r="AR191" s="72"/>
      <c r="AU191" s="70"/>
      <c r="AV191" s="77"/>
      <c r="AW191" s="78"/>
      <c r="AX191" s="75"/>
      <c r="BA191" s="76"/>
      <c r="BF191" s="39" t="s">
        <v>4830</v>
      </c>
    </row>
    <row r="192" spans="1:58" ht="108">
      <c r="A192" s="39" t="s">
        <v>4787</v>
      </c>
      <c r="B192" s="39" t="s">
        <v>4791</v>
      </c>
      <c r="C192" s="39" t="s">
        <v>4825</v>
      </c>
      <c r="D192" s="39">
        <v>3</v>
      </c>
      <c r="E192" s="39">
        <v>1</v>
      </c>
      <c r="F192" s="39" t="s">
        <v>4912</v>
      </c>
      <c r="G192" s="39" t="s">
        <v>4831</v>
      </c>
      <c r="J192" s="39" t="s">
        <v>4473</v>
      </c>
      <c r="L192" s="39">
        <v>2</v>
      </c>
      <c r="N192" s="39"/>
      <c r="O192" s="70"/>
      <c r="P192" s="71"/>
      <c r="Q192" s="72"/>
      <c r="T192" s="70"/>
      <c r="U192" s="77"/>
      <c r="V192" s="78"/>
      <c r="W192" s="75"/>
      <c r="Y192" s="43">
        <v>6</v>
      </c>
      <c r="Z192" s="76"/>
      <c r="AD192" s="39"/>
      <c r="AH192" s="39" t="s">
        <v>4832</v>
      </c>
      <c r="AK192" s="39" t="s">
        <v>4473</v>
      </c>
      <c r="AM192" s="39">
        <v>2</v>
      </c>
      <c r="AO192" s="39"/>
      <c r="AP192" s="70"/>
      <c r="AQ192" s="71"/>
      <c r="AR192" s="72"/>
      <c r="AU192" s="70"/>
      <c r="AV192" s="77"/>
      <c r="AW192" s="78"/>
      <c r="AX192" s="75"/>
      <c r="BA192" s="76"/>
      <c r="BF192" s="39" t="s">
        <v>4833</v>
      </c>
    </row>
    <row r="193" spans="1:58" ht="168">
      <c r="A193" s="39" t="s">
        <v>4787</v>
      </c>
      <c r="B193" s="39" t="s">
        <v>4792</v>
      </c>
      <c r="C193" s="39" t="s">
        <v>4825</v>
      </c>
      <c r="D193" s="39">
        <v>4</v>
      </c>
      <c r="E193" s="39">
        <v>1</v>
      </c>
      <c r="F193" s="39" t="s">
        <v>4912</v>
      </c>
      <c r="G193" s="39" t="s">
        <v>4834</v>
      </c>
      <c r="J193" s="39" t="s">
        <v>4473</v>
      </c>
      <c r="L193" s="39">
        <v>3</v>
      </c>
      <c r="N193" s="39"/>
      <c r="O193" s="70"/>
      <c r="P193" s="71"/>
      <c r="Q193" s="72"/>
      <c r="T193" s="70"/>
      <c r="U193" s="77"/>
      <c r="V193" s="78"/>
      <c r="W193" s="75"/>
      <c r="Y193" s="43">
        <v>8</v>
      </c>
      <c r="Z193" s="76"/>
      <c r="AD193" s="39"/>
      <c r="AE193" s="39" t="s">
        <v>4838</v>
      </c>
      <c r="AH193" s="39" t="s">
        <v>4835</v>
      </c>
      <c r="AK193" s="39" t="s">
        <v>4473</v>
      </c>
      <c r="AM193" s="39">
        <v>3</v>
      </c>
      <c r="AO193" s="39"/>
      <c r="AP193" s="70"/>
      <c r="AQ193" s="71"/>
      <c r="AR193" s="72"/>
      <c r="AU193" s="70"/>
      <c r="AV193" s="77"/>
      <c r="AW193" s="78"/>
      <c r="AX193" s="75"/>
      <c r="BA193" s="76"/>
      <c r="BF193" s="39" t="s">
        <v>4837</v>
      </c>
    </row>
    <row r="194" spans="1:58" ht="108">
      <c r="A194" s="39" t="s">
        <v>4787</v>
      </c>
      <c r="B194" s="39" t="s">
        <v>4793</v>
      </c>
      <c r="C194" s="39" t="s">
        <v>4825</v>
      </c>
      <c r="D194" s="39">
        <v>5</v>
      </c>
      <c r="E194" s="39">
        <v>1</v>
      </c>
      <c r="F194" s="39" t="s">
        <v>4912</v>
      </c>
      <c r="G194" s="39" t="s">
        <v>4836</v>
      </c>
      <c r="J194" s="39" t="s">
        <v>4475</v>
      </c>
      <c r="L194" s="39">
        <v>1</v>
      </c>
      <c r="N194" s="39"/>
      <c r="O194" s="70"/>
      <c r="P194" s="71"/>
      <c r="Q194" s="72"/>
      <c r="T194" s="70"/>
      <c r="U194" s="73"/>
      <c r="V194" s="74"/>
      <c r="W194" s="75"/>
      <c r="X194" s="63" t="s">
        <v>4925</v>
      </c>
      <c r="Z194" s="76"/>
      <c r="AD194" s="39"/>
      <c r="AE194" s="39" t="s">
        <v>4839</v>
      </c>
      <c r="AH194" s="39" t="s">
        <v>4929</v>
      </c>
      <c r="AK194" s="39" t="s">
        <v>4475</v>
      </c>
      <c r="AM194" s="39">
        <v>1</v>
      </c>
      <c r="AO194" s="39"/>
      <c r="AP194" s="70"/>
      <c r="AQ194" s="71"/>
      <c r="AR194" s="72"/>
      <c r="AU194" s="70"/>
      <c r="AV194" s="77"/>
      <c r="AW194" s="78"/>
      <c r="AX194" s="75"/>
      <c r="BA194" s="76"/>
      <c r="BF194" s="39" t="s">
        <v>4840</v>
      </c>
    </row>
    <row r="195" spans="1:58" ht="192">
      <c r="A195" s="39" t="s">
        <v>4787</v>
      </c>
      <c r="B195" s="39" t="s">
        <v>4794</v>
      </c>
      <c r="C195" s="39" t="s">
        <v>4825</v>
      </c>
      <c r="D195" s="39">
        <v>6</v>
      </c>
      <c r="E195" s="39">
        <v>1</v>
      </c>
      <c r="F195" s="39" t="s">
        <v>4912</v>
      </c>
      <c r="G195" s="39" t="s">
        <v>4841</v>
      </c>
      <c r="J195" s="39" t="s">
        <v>4475</v>
      </c>
      <c r="L195" s="39">
        <v>2</v>
      </c>
      <c r="N195" s="39"/>
      <c r="O195" s="70"/>
      <c r="P195" s="71"/>
      <c r="Q195" s="72"/>
      <c r="T195" s="70"/>
      <c r="U195" s="73"/>
      <c r="V195" s="74"/>
      <c r="W195" s="75"/>
      <c r="X195" s="63" t="s">
        <v>38</v>
      </c>
      <c r="Z195" s="76"/>
      <c r="AD195" s="39"/>
      <c r="AE195" s="39" t="s">
        <v>4842</v>
      </c>
      <c r="AH195" s="100" t="s">
        <v>4930</v>
      </c>
      <c r="AK195" s="39" t="s">
        <v>4475</v>
      </c>
      <c r="AM195" s="39">
        <v>2</v>
      </c>
      <c r="AO195" s="39"/>
      <c r="AP195" s="70"/>
      <c r="AQ195" s="71"/>
      <c r="AR195" s="72"/>
      <c r="AU195" s="70"/>
      <c r="AV195" s="77"/>
      <c r="AW195" s="78"/>
      <c r="AX195" s="75"/>
      <c r="BA195" s="76"/>
      <c r="BF195" s="39" t="s">
        <v>4926</v>
      </c>
    </row>
    <row r="196" spans="1:58" ht="60">
      <c r="A196" s="39" t="s">
        <v>4787</v>
      </c>
      <c r="B196" s="39" t="s">
        <v>4795</v>
      </c>
      <c r="C196" s="39" t="s">
        <v>4825</v>
      </c>
      <c r="D196" s="39">
        <v>7</v>
      </c>
      <c r="E196" s="39">
        <v>1</v>
      </c>
      <c r="F196" s="39" t="s">
        <v>4912</v>
      </c>
      <c r="G196" s="99" t="s">
        <v>4843</v>
      </c>
      <c r="J196" s="39" t="s">
        <v>31</v>
      </c>
      <c r="N196" s="39"/>
      <c r="O196" s="70"/>
      <c r="P196" s="71"/>
      <c r="Q196" s="72"/>
      <c r="T196" s="70"/>
      <c r="U196" s="73"/>
      <c r="V196" s="74"/>
      <c r="W196" s="75"/>
      <c r="Z196" s="76"/>
      <c r="AC196" s="99" t="s">
        <v>4844</v>
      </c>
      <c r="AD196" s="39"/>
      <c r="AH196" s="99" t="s">
        <v>4843</v>
      </c>
      <c r="AK196" s="39" t="s">
        <v>31</v>
      </c>
      <c r="AO196" s="39"/>
      <c r="AP196" s="70"/>
      <c r="AQ196" s="71"/>
      <c r="AR196" s="72"/>
      <c r="AU196" s="70"/>
      <c r="AV196" s="77"/>
      <c r="AW196" s="78"/>
      <c r="AX196" s="75">
        <v>1</v>
      </c>
      <c r="AY196" s="63">
        <v>0</v>
      </c>
      <c r="BA196" s="76"/>
      <c r="BD196" s="99" t="s">
        <v>4844</v>
      </c>
      <c r="BF196" s="39" t="s">
        <v>4845</v>
      </c>
    </row>
    <row r="197" spans="1:58" ht="36">
      <c r="A197" s="39" t="s">
        <v>4787</v>
      </c>
      <c r="B197" s="39" t="s">
        <v>4796</v>
      </c>
      <c r="C197" s="39" t="s">
        <v>4825</v>
      </c>
      <c r="D197" s="39">
        <v>8</v>
      </c>
      <c r="E197" s="39">
        <v>1</v>
      </c>
      <c r="F197" s="39" t="s">
        <v>4912</v>
      </c>
      <c r="G197" s="99" t="s">
        <v>4846</v>
      </c>
      <c r="J197" s="39" t="s">
        <v>31</v>
      </c>
      <c r="N197" s="39"/>
      <c r="O197" s="70"/>
      <c r="P197" s="71"/>
      <c r="Q197" s="72"/>
      <c r="T197" s="70"/>
      <c r="U197" s="73"/>
      <c r="V197" s="74"/>
      <c r="W197" s="75"/>
      <c r="Z197" s="76"/>
      <c r="AC197" s="99" t="s">
        <v>4846</v>
      </c>
      <c r="AD197" s="39"/>
      <c r="AH197" s="99" t="s">
        <v>4846</v>
      </c>
      <c r="AI197" s="99" t="s">
        <v>4847</v>
      </c>
      <c r="AK197" s="39" t="s">
        <v>31</v>
      </c>
      <c r="AO197" s="39"/>
      <c r="AP197" s="70"/>
      <c r="AQ197" s="71"/>
      <c r="AR197" s="72"/>
      <c r="AU197" s="70"/>
      <c r="AV197" s="77"/>
      <c r="AW197" s="78"/>
      <c r="AX197" s="75">
        <v>1</v>
      </c>
      <c r="AY197" s="63">
        <v>0</v>
      </c>
      <c r="BA197" s="76"/>
      <c r="BD197" s="99" t="s">
        <v>4846</v>
      </c>
      <c r="BF197" s="39" t="s">
        <v>4849</v>
      </c>
    </row>
    <row r="198" spans="1:58" ht="24">
      <c r="A198" s="39" t="s">
        <v>4787</v>
      </c>
      <c r="B198" s="39" t="s">
        <v>4797</v>
      </c>
      <c r="C198" s="39" t="s">
        <v>4825</v>
      </c>
      <c r="D198" s="39">
        <v>9</v>
      </c>
      <c r="E198" s="39">
        <v>1</v>
      </c>
      <c r="F198" s="39" t="s">
        <v>4912</v>
      </c>
      <c r="G198" s="99" t="s">
        <v>4846</v>
      </c>
      <c r="J198" s="39" t="s">
        <v>31</v>
      </c>
      <c r="N198" s="39"/>
      <c r="O198" s="70"/>
      <c r="P198" s="71"/>
      <c r="Q198" s="72"/>
      <c r="T198" s="70"/>
      <c r="U198" s="73"/>
      <c r="V198" s="74"/>
      <c r="W198" s="75"/>
      <c r="Z198" s="76"/>
      <c r="AC198" s="99" t="s">
        <v>4846</v>
      </c>
      <c r="AD198" s="39"/>
      <c r="AH198" s="99" t="s">
        <v>4846</v>
      </c>
      <c r="AI198" s="99" t="s">
        <v>4848</v>
      </c>
      <c r="AK198" s="39" t="s">
        <v>31</v>
      </c>
      <c r="AO198" s="39"/>
      <c r="AP198" s="70"/>
      <c r="AQ198" s="71"/>
      <c r="AR198" s="72"/>
      <c r="AU198" s="70"/>
      <c r="AV198" s="77"/>
      <c r="AW198" s="78"/>
      <c r="AX198" s="75">
        <v>3</v>
      </c>
      <c r="AY198" s="63" t="s">
        <v>4927</v>
      </c>
      <c r="BA198" s="76"/>
      <c r="BD198" s="99" t="s">
        <v>4846</v>
      </c>
      <c r="BF198" s="39" t="s">
        <v>4850</v>
      </c>
    </row>
    <row r="199" spans="1:58" ht="72">
      <c r="A199" s="39" t="s">
        <v>4787</v>
      </c>
      <c r="B199" s="39" t="s">
        <v>4798</v>
      </c>
      <c r="C199" s="39" t="s">
        <v>4825</v>
      </c>
      <c r="D199" s="39">
        <v>10</v>
      </c>
      <c r="E199" s="39">
        <v>1</v>
      </c>
      <c r="F199" s="39" t="s">
        <v>4912</v>
      </c>
      <c r="G199" s="39" t="s">
        <v>4851</v>
      </c>
      <c r="J199" s="39" t="s">
        <v>31</v>
      </c>
      <c r="N199" s="39"/>
      <c r="O199" s="70"/>
      <c r="P199" s="71"/>
      <c r="Q199" s="72"/>
      <c r="T199" s="70"/>
      <c r="U199" s="73"/>
      <c r="V199" s="74"/>
      <c r="W199" s="75"/>
      <c r="Z199" s="76"/>
      <c r="AC199" s="99" t="s">
        <v>4852</v>
      </c>
      <c r="AD199" s="39"/>
      <c r="AH199" s="39" t="s">
        <v>4851</v>
      </c>
      <c r="AK199" s="39" t="s">
        <v>31</v>
      </c>
      <c r="AO199" s="39"/>
      <c r="AP199" s="70"/>
      <c r="AQ199" s="71"/>
      <c r="AR199" s="72"/>
      <c r="AU199" s="70"/>
      <c r="AV199" s="77"/>
      <c r="AW199" s="78"/>
      <c r="AX199" s="75">
        <v>1</v>
      </c>
      <c r="AY199" s="63">
        <v>0</v>
      </c>
      <c r="BA199" s="76"/>
      <c r="BD199" s="99" t="s">
        <v>4852</v>
      </c>
      <c r="BF199" s="39" t="s">
        <v>4853</v>
      </c>
    </row>
    <row r="200" spans="1:58" ht="24">
      <c r="A200" s="39" t="s">
        <v>4787</v>
      </c>
      <c r="B200" s="39" t="s">
        <v>4799</v>
      </c>
      <c r="C200" s="39" t="s">
        <v>4825</v>
      </c>
      <c r="D200" s="39">
        <v>11</v>
      </c>
      <c r="E200" s="39">
        <v>1</v>
      </c>
      <c r="F200" s="39" t="s">
        <v>4912</v>
      </c>
      <c r="G200" s="39" t="s">
        <v>4854</v>
      </c>
      <c r="J200" s="39" t="s">
        <v>31</v>
      </c>
      <c r="N200" s="39"/>
      <c r="O200" s="70"/>
      <c r="P200" s="71"/>
      <c r="Q200" s="72"/>
      <c r="T200" s="70"/>
      <c r="U200" s="73"/>
      <c r="V200" s="74"/>
      <c r="W200" s="75"/>
      <c r="Z200" s="76"/>
      <c r="AC200" s="39" t="s">
        <v>4854</v>
      </c>
      <c r="AD200" s="39"/>
      <c r="AH200" s="39" t="s">
        <v>4854</v>
      </c>
      <c r="AI200" s="39" t="s">
        <v>4855</v>
      </c>
      <c r="AK200" s="39" t="s">
        <v>31</v>
      </c>
      <c r="AO200" s="39"/>
      <c r="AP200" s="70"/>
      <c r="AQ200" s="71"/>
      <c r="AR200" s="72"/>
      <c r="AU200" s="70"/>
      <c r="AV200" s="77"/>
      <c r="AW200" s="78"/>
      <c r="AX200" s="75">
        <v>3</v>
      </c>
      <c r="AY200" s="63" t="s">
        <v>4927</v>
      </c>
      <c r="BA200" s="76">
        <v>1</v>
      </c>
      <c r="BD200" s="39" t="s">
        <v>4854</v>
      </c>
      <c r="BF200" s="39" t="s">
        <v>4856</v>
      </c>
    </row>
    <row r="201" spans="1:58" ht="60">
      <c r="A201" s="39" t="s">
        <v>4787</v>
      </c>
      <c r="B201" s="39" t="s">
        <v>4800</v>
      </c>
      <c r="C201" s="39" t="s">
        <v>4825</v>
      </c>
      <c r="D201" s="39">
        <v>12</v>
      </c>
      <c r="E201" s="39">
        <v>1</v>
      </c>
      <c r="F201" s="39" t="s">
        <v>4912</v>
      </c>
      <c r="G201" s="39" t="s">
        <v>4854</v>
      </c>
      <c r="J201" s="39" t="s">
        <v>31</v>
      </c>
      <c r="N201" s="39"/>
      <c r="O201" s="70"/>
      <c r="P201" s="71"/>
      <c r="Q201" s="72"/>
      <c r="T201" s="70"/>
      <c r="U201" s="73"/>
      <c r="V201" s="74"/>
      <c r="W201" s="75"/>
      <c r="Z201" s="76"/>
      <c r="AC201" s="39" t="s">
        <v>4854</v>
      </c>
      <c r="AD201" s="39"/>
      <c r="AH201" s="39" t="s">
        <v>4854</v>
      </c>
      <c r="AI201" s="39" t="s">
        <v>4857</v>
      </c>
      <c r="AK201" s="39" t="s">
        <v>31</v>
      </c>
      <c r="AO201" s="39"/>
      <c r="AP201" s="70"/>
      <c r="AQ201" s="71"/>
      <c r="AR201" s="72"/>
      <c r="AU201" s="70"/>
      <c r="AV201" s="77"/>
      <c r="AW201" s="78"/>
      <c r="AX201" s="75">
        <v>4</v>
      </c>
      <c r="AY201" s="63">
        <v>0</v>
      </c>
      <c r="BA201" s="76"/>
      <c r="BD201" s="39" t="s">
        <v>4854</v>
      </c>
      <c r="BF201" s="39" t="s">
        <v>4858</v>
      </c>
    </row>
    <row r="202" spans="1:58" ht="30">
      <c r="A202" s="39" t="s">
        <v>4787</v>
      </c>
      <c r="B202" s="39" t="s">
        <v>4801</v>
      </c>
      <c r="C202" s="39" t="s">
        <v>4825</v>
      </c>
      <c r="D202" s="39">
        <v>13</v>
      </c>
      <c r="E202" s="39">
        <v>1</v>
      </c>
      <c r="F202" s="39" t="s">
        <v>4912</v>
      </c>
      <c r="G202" s="99" t="s">
        <v>4859</v>
      </c>
      <c r="J202" s="39" t="s">
        <v>31</v>
      </c>
      <c r="N202" s="39"/>
      <c r="O202" s="70"/>
      <c r="P202" s="71"/>
      <c r="Q202" s="72"/>
      <c r="T202" s="70"/>
      <c r="U202" s="73"/>
      <c r="V202" s="74"/>
      <c r="W202" s="75"/>
      <c r="Z202" s="76"/>
      <c r="AC202" s="99" t="s">
        <v>4860</v>
      </c>
      <c r="AD202" s="39"/>
      <c r="AH202" s="99" t="s">
        <v>4859</v>
      </c>
      <c r="AK202" s="39" t="s">
        <v>31</v>
      </c>
      <c r="AO202" s="39"/>
      <c r="AP202" s="70"/>
      <c r="AQ202" s="71"/>
      <c r="AR202" s="72"/>
      <c r="AU202" s="70"/>
      <c r="AV202" s="77"/>
      <c r="AW202" s="78"/>
      <c r="AX202" s="75">
        <v>2</v>
      </c>
      <c r="AY202" s="63">
        <v>0</v>
      </c>
      <c r="BA202" s="76"/>
      <c r="BD202" s="99" t="s">
        <v>4860</v>
      </c>
      <c r="BF202" s="39" t="s">
        <v>4861</v>
      </c>
    </row>
    <row r="203" spans="1:58" ht="60">
      <c r="A203" s="39" t="s">
        <v>4787</v>
      </c>
      <c r="B203" s="39" t="s">
        <v>4802</v>
      </c>
      <c r="C203" s="39" t="s">
        <v>4825</v>
      </c>
      <c r="D203" s="39">
        <v>14</v>
      </c>
      <c r="E203" s="39">
        <v>1</v>
      </c>
      <c r="F203" s="39" t="s">
        <v>4912</v>
      </c>
      <c r="G203" s="99" t="s">
        <v>4862</v>
      </c>
      <c r="J203" s="39" t="s">
        <v>31</v>
      </c>
      <c r="N203" s="39"/>
      <c r="O203" s="70"/>
      <c r="P203" s="71"/>
      <c r="Q203" s="72"/>
      <c r="T203" s="70"/>
      <c r="U203" s="73"/>
      <c r="V203" s="74"/>
      <c r="W203" s="75"/>
      <c r="Z203" s="76"/>
      <c r="AC203" s="99" t="s">
        <v>4863</v>
      </c>
      <c r="AD203" s="39"/>
      <c r="AH203" s="99" t="s">
        <v>4862</v>
      </c>
      <c r="AI203" s="39" t="s">
        <v>4864</v>
      </c>
      <c r="AK203" s="39" t="s">
        <v>31</v>
      </c>
      <c r="AO203" s="39"/>
      <c r="AP203" s="70"/>
      <c r="AQ203" s="71"/>
      <c r="AR203" s="72"/>
      <c r="AU203" s="70"/>
      <c r="AV203" s="77"/>
      <c r="AW203" s="78"/>
      <c r="AX203" s="75">
        <v>3</v>
      </c>
      <c r="AY203" s="63">
        <v>0</v>
      </c>
      <c r="BA203" s="76"/>
      <c r="BD203" s="99" t="s">
        <v>4863</v>
      </c>
      <c r="BF203" s="39" t="s">
        <v>4865</v>
      </c>
    </row>
    <row r="204" spans="1:58" ht="24">
      <c r="A204" s="39" t="s">
        <v>4787</v>
      </c>
      <c r="B204" s="39" t="s">
        <v>4803</v>
      </c>
      <c r="C204" s="39" t="s">
        <v>4825</v>
      </c>
      <c r="D204" s="39">
        <v>15</v>
      </c>
      <c r="E204" s="39">
        <v>1</v>
      </c>
      <c r="F204" s="39" t="s">
        <v>4912</v>
      </c>
      <c r="G204" s="99" t="s">
        <v>4862</v>
      </c>
      <c r="J204" s="39" t="s">
        <v>31</v>
      </c>
      <c r="N204" s="39"/>
      <c r="O204" s="70"/>
      <c r="P204" s="71"/>
      <c r="Q204" s="72"/>
      <c r="T204" s="70"/>
      <c r="U204" s="73"/>
      <c r="V204" s="74"/>
      <c r="W204" s="75"/>
      <c r="Z204" s="76"/>
      <c r="AC204" s="99" t="s">
        <v>4863</v>
      </c>
      <c r="AD204" s="39"/>
      <c r="AH204" s="99" t="s">
        <v>4862</v>
      </c>
      <c r="AI204" s="39" t="s">
        <v>4866</v>
      </c>
      <c r="AK204" s="39" t="s">
        <v>31</v>
      </c>
      <c r="AO204" s="39"/>
      <c r="AP204" s="70"/>
      <c r="AQ204" s="71"/>
      <c r="AR204" s="72"/>
      <c r="AU204" s="70"/>
      <c r="AV204" s="77"/>
      <c r="AW204" s="78"/>
      <c r="AX204" s="75">
        <v>3</v>
      </c>
      <c r="AY204" s="63" t="s">
        <v>4927</v>
      </c>
      <c r="BA204" s="76">
        <v>1</v>
      </c>
      <c r="BD204" s="99" t="s">
        <v>4863</v>
      </c>
      <c r="BF204" s="39" t="s">
        <v>4867</v>
      </c>
    </row>
    <row r="205" spans="1:58" ht="84">
      <c r="A205" s="39" t="s">
        <v>4787</v>
      </c>
      <c r="B205" s="39" t="s">
        <v>4804</v>
      </c>
      <c r="C205" s="39" t="s">
        <v>4825</v>
      </c>
      <c r="D205" s="39">
        <v>16</v>
      </c>
      <c r="E205" s="39">
        <v>1</v>
      </c>
      <c r="F205" s="39" t="s">
        <v>4912</v>
      </c>
      <c r="G205" s="39" t="s">
        <v>4868</v>
      </c>
      <c r="J205" s="39" t="s">
        <v>31</v>
      </c>
      <c r="N205" s="39"/>
      <c r="O205" s="70"/>
      <c r="P205" s="71"/>
      <c r="Q205" s="72"/>
      <c r="T205" s="70"/>
      <c r="U205" s="73"/>
      <c r="V205" s="74"/>
      <c r="W205" s="75"/>
      <c r="Z205" s="76"/>
      <c r="AC205" s="39" t="s">
        <v>4869</v>
      </c>
      <c r="AD205" s="39"/>
      <c r="AH205" s="39" t="s">
        <v>4868</v>
      </c>
      <c r="AK205" s="39" t="s">
        <v>31</v>
      </c>
      <c r="AO205" s="39"/>
      <c r="AP205" s="70"/>
      <c r="AQ205" s="71"/>
      <c r="AR205" s="72"/>
      <c r="AU205" s="70"/>
      <c r="AV205" s="77"/>
      <c r="AW205" s="78"/>
      <c r="AX205" s="75">
        <v>2</v>
      </c>
      <c r="AY205" s="63">
        <v>0</v>
      </c>
      <c r="BA205" s="76"/>
      <c r="BD205" s="39" t="s">
        <v>4869</v>
      </c>
      <c r="BF205" s="39" t="s">
        <v>4870</v>
      </c>
    </row>
    <row r="206" spans="1:58" ht="24">
      <c r="A206" s="39" t="s">
        <v>4787</v>
      </c>
      <c r="B206" s="39" t="s">
        <v>4805</v>
      </c>
      <c r="C206" s="39" t="s">
        <v>4825</v>
      </c>
      <c r="D206" s="39">
        <v>17</v>
      </c>
      <c r="E206" s="39">
        <v>1</v>
      </c>
      <c r="F206" s="39" t="s">
        <v>4912</v>
      </c>
      <c r="G206" s="39" t="s">
        <v>4871</v>
      </c>
      <c r="J206" s="39" t="s">
        <v>31</v>
      </c>
      <c r="N206" s="39"/>
      <c r="O206" s="70"/>
      <c r="P206" s="71"/>
      <c r="Q206" s="72"/>
      <c r="T206" s="70"/>
      <c r="U206" s="73"/>
      <c r="V206" s="74"/>
      <c r="W206" s="75"/>
      <c r="Z206" s="76"/>
      <c r="AC206" s="39" t="s">
        <v>4873</v>
      </c>
      <c r="AD206" s="39"/>
      <c r="AH206" s="39" t="s">
        <v>4871</v>
      </c>
      <c r="AI206" s="39" t="s">
        <v>4872</v>
      </c>
      <c r="AK206" s="39" t="s">
        <v>31</v>
      </c>
      <c r="AO206" s="39"/>
      <c r="AP206" s="70"/>
      <c r="AQ206" s="71"/>
      <c r="AR206" s="72"/>
      <c r="AU206" s="70"/>
      <c r="AV206" s="77"/>
      <c r="AW206" s="78"/>
      <c r="AX206" s="75">
        <v>2</v>
      </c>
      <c r="AY206" s="63" t="s">
        <v>4927</v>
      </c>
      <c r="BA206" s="76">
        <v>1</v>
      </c>
      <c r="BD206" s="39" t="s">
        <v>4873</v>
      </c>
      <c r="BF206" s="39" t="s">
        <v>4874</v>
      </c>
    </row>
    <row r="207" spans="1:58" ht="24">
      <c r="A207" s="39" t="s">
        <v>4787</v>
      </c>
      <c r="B207" s="39" t="s">
        <v>4806</v>
      </c>
      <c r="C207" s="39" t="s">
        <v>4825</v>
      </c>
      <c r="D207" s="39">
        <v>18</v>
      </c>
      <c r="E207" s="39">
        <v>1</v>
      </c>
      <c r="F207" s="39" t="s">
        <v>4912</v>
      </c>
      <c r="G207" s="39" t="s">
        <v>4871</v>
      </c>
      <c r="J207" s="39" t="s">
        <v>31</v>
      </c>
      <c r="N207" s="39"/>
      <c r="O207" s="70"/>
      <c r="P207" s="71"/>
      <c r="Q207" s="72"/>
      <c r="T207" s="70"/>
      <c r="U207" s="73"/>
      <c r="V207" s="74"/>
      <c r="W207" s="75"/>
      <c r="Z207" s="76"/>
      <c r="AC207" s="39" t="s">
        <v>4873</v>
      </c>
      <c r="AD207" s="39"/>
      <c r="AH207" s="39" t="s">
        <v>4871</v>
      </c>
      <c r="AI207" s="39" t="s">
        <v>4875</v>
      </c>
      <c r="AK207" s="39" t="s">
        <v>31</v>
      </c>
      <c r="AO207" s="39"/>
      <c r="AP207" s="70"/>
      <c r="AQ207" s="71"/>
      <c r="AR207" s="72"/>
      <c r="AU207" s="70"/>
      <c r="AV207" s="77"/>
      <c r="AW207" s="78"/>
      <c r="AX207" s="75">
        <v>4</v>
      </c>
      <c r="AY207" s="63">
        <v>0</v>
      </c>
      <c r="BA207" s="76">
        <v>1</v>
      </c>
      <c r="BD207" s="39" t="s">
        <v>4873</v>
      </c>
      <c r="BF207" s="39" t="s">
        <v>4914</v>
      </c>
    </row>
    <row r="208" spans="1:58" ht="36">
      <c r="A208" s="39" t="s">
        <v>4787</v>
      </c>
      <c r="B208" s="39" t="s">
        <v>4807</v>
      </c>
      <c r="C208" s="39" t="s">
        <v>4825</v>
      </c>
      <c r="D208" s="39">
        <v>19</v>
      </c>
      <c r="E208" s="39">
        <v>1</v>
      </c>
      <c r="F208" s="39" t="s">
        <v>4912</v>
      </c>
      <c r="G208" s="39" t="s">
        <v>4876</v>
      </c>
      <c r="I208" s="39" t="s">
        <v>4077</v>
      </c>
      <c r="J208" s="39" t="s">
        <v>4111</v>
      </c>
      <c r="N208" s="39">
        <v>4</v>
      </c>
      <c r="O208" s="70"/>
      <c r="P208" s="71"/>
      <c r="Q208" s="72"/>
      <c r="T208" s="70">
        <v>4</v>
      </c>
      <c r="U208" s="73">
        <v>2</v>
      </c>
      <c r="V208" s="74"/>
      <c r="W208" s="75"/>
      <c r="Z208" s="76"/>
      <c r="AA208" s="39" t="s">
        <v>4915</v>
      </c>
      <c r="AB208" s="39" t="s">
        <v>25</v>
      </c>
      <c r="AC208" s="39" t="s">
        <v>4877</v>
      </c>
      <c r="AD208" s="39"/>
      <c r="AE208" s="39" t="s">
        <v>4913</v>
      </c>
      <c r="AI208" s="39" t="s">
        <v>4928</v>
      </c>
      <c r="AO208" s="39"/>
      <c r="AP208" s="70"/>
      <c r="AQ208" s="71"/>
      <c r="AR208" s="72"/>
      <c r="AU208" s="70"/>
      <c r="AV208" s="77"/>
      <c r="AW208" s="78"/>
      <c r="AX208" s="75"/>
      <c r="BA208" s="76"/>
    </row>
    <row r="209" spans="1:53" ht="72">
      <c r="A209" s="39" t="s">
        <v>4787</v>
      </c>
      <c r="B209" s="39" t="s">
        <v>4808</v>
      </c>
      <c r="C209" s="39" t="s">
        <v>4825</v>
      </c>
      <c r="D209" s="39">
        <v>20</v>
      </c>
      <c r="E209" s="39">
        <v>1</v>
      </c>
      <c r="F209" s="39" t="s">
        <v>4912</v>
      </c>
      <c r="G209" s="39" t="s">
        <v>4878</v>
      </c>
      <c r="J209" s="39" t="s">
        <v>4111</v>
      </c>
      <c r="N209" s="39"/>
      <c r="O209" s="70"/>
      <c r="P209" s="71"/>
      <c r="Q209" s="72"/>
      <c r="T209" s="70"/>
      <c r="U209" s="73"/>
      <c r="V209" s="74"/>
      <c r="W209" s="75"/>
      <c r="Z209" s="76"/>
      <c r="AC209" s="39" t="s">
        <v>4879</v>
      </c>
      <c r="AD209" s="39"/>
      <c r="AE209" s="39" t="s">
        <v>4916</v>
      </c>
      <c r="AO209" s="39"/>
      <c r="AP209" s="70"/>
      <c r="AQ209" s="71"/>
      <c r="AR209" s="72"/>
      <c r="AU209" s="70"/>
      <c r="AV209" s="77"/>
      <c r="AW209" s="78"/>
      <c r="AX209" s="75"/>
      <c r="BA209" s="76"/>
    </row>
    <row r="210" spans="1:53" ht="48">
      <c r="A210" s="39" t="s">
        <v>4787</v>
      </c>
      <c r="B210" s="39" t="s">
        <v>4809</v>
      </c>
      <c r="C210" s="39" t="s">
        <v>4825</v>
      </c>
      <c r="D210" s="39">
        <v>21</v>
      </c>
      <c r="E210" s="39">
        <v>1</v>
      </c>
      <c r="F210" s="39" t="s">
        <v>4912</v>
      </c>
      <c r="G210" s="39" t="s">
        <v>4880</v>
      </c>
      <c r="J210" s="39" t="s">
        <v>4111</v>
      </c>
      <c r="N210" s="39"/>
      <c r="O210" s="70"/>
      <c r="P210" s="71"/>
      <c r="Q210" s="72"/>
      <c r="T210" s="70"/>
      <c r="U210" s="73"/>
      <c r="V210" s="74"/>
      <c r="W210" s="75"/>
      <c r="Z210" s="76"/>
      <c r="AC210" s="39" t="s">
        <v>4879</v>
      </c>
      <c r="AD210" s="39"/>
      <c r="AE210" s="39" t="s">
        <v>4917</v>
      </c>
      <c r="AO210" s="39"/>
      <c r="AP210" s="70"/>
      <c r="AQ210" s="71"/>
      <c r="AR210" s="72"/>
      <c r="AU210" s="70"/>
      <c r="AV210" s="77"/>
      <c r="AW210" s="78"/>
      <c r="AX210" s="75"/>
      <c r="BA210" s="76"/>
    </row>
    <row r="211" spans="1:53" ht="24">
      <c r="A211" s="39" t="s">
        <v>4787</v>
      </c>
      <c r="B211" s="39" t="s">
        <v>4810</v>
      </c>
      <c r="C211" s="39" t="s">
        <v>4825</v>
      </c>
      <c r="D211" s="39">
        <v>22</v>
      </c>
      <c r="E211" s="39">
        <v>2</v>
      </c>
      <c r="F211" s="39" t="s">
        <v>4912</v>
      </c>
      <c r="G211" s="39" t="s">
        <v>4881</v>
      </c>
      <c r="J211" s="39" t="s">
        <v>29</v>
      </c>
      <c r="N211" s="39"/>
      <c r="O211" s="70"/>
      <c r="P211" s="71"/>
      <c r="Q211" s="72">
        <v>2</v>
      </c>
      <c r="R211" s="63">
        <v>2</v>
      </c>
      <c r="S211" s="43">
        <v>2</v>
      </c>
      <c r="T211" s="70"/>
      <c r="U211" s="73">
        <v>1</v>
      </c>
      <c r="V211" s="74">
        <v>1</v>
      </c>
      <c r="W211" s="75"/>
      <c r="Z211" s="76"/>
      <c r="AC211" s="39" t="s">
        <v>30</v>
      </c>
      <c r="AD211" s="39" t="s">
        <v>4918</v>
      </c>
      <c r="AE211" s="39" t="s">
        <v>4904</v>
      </c>
      <c r="AO211" s="39"/>
      <c r="AP211" s="70"/>
      <c r="AQ211" s="71"/>
      <c r="AR211" s="72"/>
      <c r="AU211" s="70"/>
      <c r="AV211" s="77"/>
      <c r="AW211" s="78"/>
      <c r="AX211" s="75"/>
      <c r="BA211" s="76"/>
    </row>
    <row r="212" spans="1:53" ht="48">
      <c r="A212" s="39" t="s">
        <v>4787</v>
      </c>
      <c r="B212" s="39" t="s">
        <v>4811</v>
      </c>
      <c r="C212" s="39" t="s">
        <v>4825</v>
      </c>
      <c r="D212" s="39">
        <v>23</v>
      </c>
      <c r="E212" s="39">
        <v>3</v>
      </c>
      <c r="F212" s="39" t="s">
        <v>4912</v>
      </c>
      <c r="G212" s="39" t="s">
        <v>4882</v>
      </c>
      <c r="J212" s="39" t="s">
        <v>29</v>
      </c>
      <c r="N212" s="39"/>
      <c r="O212" s="70"/>
      <c r="P212" s="71"/>
      <c r="Q212" s="72">
        <v>4</v>
      </c>
      <c r="R212" s="63">
        <v>0</v>
      </c>
      <c r="S212" s="43">
        <v>1</v>
      </c>
      <c r="T212" s="70"/>
      <c r="U212" s="73">
        <v>1</v>
      </c>
      <c r="V212" s="74"/>
      <c r="W212" s="75"/>
      <c r="Z212" s="76"/>
      <c r="AC212" s="39" t="s">
        <v>30</v>
      </c>
      <c r="AD212" s="39" t="s">
        <v>4900</v>
      </c>
      <c r="AE212" s="39" t="s">
        <v>4905</v>
      </c>
      <c r="AO212" s="39"/>
      <c r="AP212" s="70"/>
      <c r="AQ212" s="71"/>
      <c r="AR212" s="72"/>
      <c r="AU212" s="70"/>
      <c r="AV212" s="77"/>
      <c r="AW212" s="78"/>
      <c r="AX212" s="75"/>
      <c r="BA212" s="76"/>
    </row>
    <row r="213" spans="1:53" ht="36">
      <c r="A213" s="39" t="s">
        <v>4787</v>
      </c>
      <c r="B213" s="39" t="s">
        <v>4812</v>
      </c>
      <c r="C213" s="39" t="s">
        <v>4825</v>
      </c>
      <c r="D213" s="39">
        <v>24</v>
      </c>
      <c r="E213" s="39">
        <v>3</v>
      </c>
      <c r="F213" s="39" t="s">
        <v>4912</v>
      </c>
      <c r="G213" s="39" t="s">
        <v>4883</v>
      </c>
      <c r="J213" s="39" t="s">
        <v>28</v>
      </c>
      <c r="N213" s="39"/>
      <c r="O213" s="70"/>
      <c r="P213" s="71"/>
      <c r="Q213" s="72"/>
      <c r="T213" s="70"/>
      <c r="U213" s="73"/>
      <c r="V213" s="74"/>
      <c r="W213" s="75"/>
      <c r="Z213" s="76"/>
      <c r="AC213" s="39" t="s">
        <v>4333</v>
      </c>
      <c r="AD213" s="39"/>
      <c r="AE213" s="39" t="s">
        <v>4920</v>
      </c>
      <c r="AO213" s="39"/>
      <c r="AP213" s="70"/>
      <c r="AQ213" s="71"/>
      <c r="AR213" s="72"/>
      <c r="AU213" s="70"/>
      <c r="AV213" s="77"/>
      <c r="AW213" s="78"/>
      <c r="AX213" s="75"/>
      <c r="BA213" s="76"/>
    </row>
    <row r="214" spans="1:53" ht="84">
      <c r="A214" s="39" t="s">
        <v>4787</v>
      </c>
      <c r="B214" s="39" t="s">
        <v>4813</v>
      </c>
      <c r="C214" s="39" t="s">
        <v>4825</v>
      </c>
      <c r="D214" s="39">
        <v>25</v>
      </c>
      <c r="E214" s="39">
        <v>3</v>
      </c>
      <c r="F214" s="39" t="s">
        <v>4912</v>
      </c>
      <c r="G214" s="39" t="s">
        <v>4884</v>
      </c>
      <c r="J214" s="39" t="s">
        <v>28</v>
      </c>
      <c r="N214" s="39"/>
      <c r="O214" s="70"/>
      <c r="P214" s="71"/>
      <c r="Q214" s="72"/>
      <c r="T214" s="70"/>
      <c r="U214" s="73"/>
      <c r="V214" s="74"/>
      <c r="W214" s="75"/>
      <c r="Z214" s="76"/>
      <c r="AC214" s="39" t="s">
        <v>4333</v>
      </c>
      <c r="AD214" s="39"/>
      <c r="AE214" s="39" t="s">
        <v>4922</v>
      </c>
      <c r="AO214" s="39"/>
      <c r="AP214" s="70"/>
      <c r="AQ214" s="71"/>
      <c r="AR214" s="72"/>
      <c r="AU214" s="70"/>
      <c r="AV214" s="77"/>
      <c r="AW214" s="78"/>
      <c r="AX214" s="75"/>
      <c r="BA214" s="76"/>
    </row>
    <row r="215" spans="1:53" ht="96">
      <c r="A215" s="39" t="s">
        <v>4787</v>
      </c>
      <c r="B215" s="39" t="s">
        <v>4814</v>
      </c>
      <c r="C215" s="39" t="s">
        <v>4825</v>
      </c>
      <c r="D215" s="39">
        <v>26</v>
      </c>
      <c r="E215" s="39">
        <v>4</v>
      </c>
      <c r="F215" s="39" t="s">
        <v>4912</v>
      </c>
      <c r="G215" s="39" t="s">
        <v>4885</v>
      </c>
      <c r="J215" s="39" t="s">
        <v>28</v>
      </c>
      <c r="N215" s="39"/>
      <c r="O215" s="70"/>
      <c r="P215" s="71"/>
      <c r="Q215" s="72"/>
      <c r="T215" s="70"/>
      <c r="U215" s="73"/>
      <c r="V215" s="74"/>
      <c r="W215" s="75"/>
      <c r="Z215" s="76"/>
      <c r="AC215" s="39" t="s">
        <v>4333</v>
      </c>
      <c r="AD215" s="39"/>
      <c r="AE215" s="39" t="s">
        <v>4919</v>
      </c>
      <c r="AO215" s="39"/>
      <c r="AP215" s="70"/>
      <c r="AQ215" s="71"/>
      <c r="AR215" s="72"/>
      <c r="AU215" s="70"/>
      <c r="AV215" s="77"/>
      <c r="AW215" s="78"/>
      <c r="AX215" s="75"/>
      <c r="BA215" s="76"/>
    </row>
    <row r="216" spans="1:53" ht="36">
      <c r="A216" s="39" t="s">
        <v>4787</v>
      </c>
      <c r="B216" s="39" t="s">
        <v>4815</v>
      </c>
      <c r="C216" s="39" t="s">
        <v>4825</v>
      </c>
      <c r="D216" s="39">
        <v>27</v>
      </c>
      <c r="E216" s="39">
        <v>3</v>
      </c>
      <c r="F216" s="39" t="s">
        <v>4912</v>
      </c>
      <c r="G216" s="39" t="s">
        <v>4886</v>
      </c>
      <c r="J216" s="39" t="s">
        <v>28</v>
      </c>
      <c r="N216" s="39"/>
      <c r="O216" s="70"/>
      <c r="P216" s="71"/>
      <c r="Q216" s="72"/>
      <c r="T216" s="70"/>
      <c r="U216" s="73"/>
      <c r="V216" s="74"/>
      <c r="W216" s="75"/>
      <c r="Z216" s="76"/>
      <c r="AC216" s="39" t="s">
        <v>4335</v>
      </c>
      <c r="AD216" s="39"/>
      <c r="AE216" s="39" t="s">
        <v>4921</v>
      </c>
      <c r="AO216" s="39"/>
      <c r="AP216" s="70"/>
      <c r="AQ216" s="71"/>
      <c r="AR216" s="72"/>
      <c r="AU216" s="70"/>
      <c r="AV216" s="77"/>
      <c r="AW216" s="78"/>
      <c r="AX216" s="75"/>
      <c r="BA216" s="76"/>
    </row>
    <row r="217" spans="1:53" ht="96">
      <c r="A217" s="39" t="s">
        <v>4787</v>
      </c>
      <c r="B217" s="39" t="s">
        <v>4816</v>
      </c>
      <c r="C217" s="39" t="s">
        <v>4825</v>
      </c>
      <c r="D217" s="39">
        <v>28</v>
      </c>
      <c r="E217" s="39">
        <v>1</v>
      </c>
      <c r="F217" s="39" t="s">
        <v>4788</v>
      </c>
      <c r="G217" s="39" t="s">
        <v>4887</v>
      </c>
      <c r="I217" s="39" t="s">
        <v>4077</v>
      </c>
      <c r="J217" s="39" t="s">
        <v>29</v>
      </c>
      <c r="N217" s="39"/>
      <c r="O217" s="70"/>
      <c r="P217" s="71"/>
      <c r="Q217" s="72">
        <v>3</v>
      </c>
      <c r="R217" s="63">
        <v>3</v>
      </c>
      <c r="S217" s="43" t="s">
        <v>4931</v>
      </c>
      <c r="T217" s="70">
        <v>2</v>
      </c>
      <c r="U217" s="73">
        <v>2</v>
      </c>
      <c r="V217" s="74"/>
      <c r="W217" s="75"/>
      <c r="Z217" s="76"/>
      <c r="AC217" s="39" t="s">
        <v>4888</v>
      </c>
      <c r="AD217" s="39" t="s">
        <v>4889</v>
      </c>
      <c r="AE217" s="39" t="s">
        <v>4924</v>
      </c>
      <c r="AO217" s="39"/>
      <c r="AP217" s="70"/>
      <c r="AQ217" s="71"/>
      <c r="AR217" s="72"/>
      <c r="AU217" s="70"/>
      <c r="AV217" s="77"/>
      <c r="AW217" s="78"/>
      <c r="AX217" s="75"/>
      <c r="BA217" s="76"/>
    </row>
    <row r="218" spans="1:53" ht="60">
      <c r="A218" s="39" t="s">
        <v>4787</v>
      </c>
      <c r="B218" s="39" t="s">
        <v>4817</v>
      </c>
      <c r="C218" s="39" t="s">
        <v>4825</v>
      </c>
      <c r="D218" s="39">
        <v>29</v>
      </c>
      <c r="E218" s="39">
        <v>1</v>
      </c>
      <c r="F218" s="39" t="s">
        <v>4788</v>
      </c>
      <c r="G218" s="39" t="s">
        <v>4788</v>
      </c>
      <c r="J218" s="39" t="s">
        <v>28</v>
      </c>
      <c r="M218" s="39" t="s">
        <v>4502</v>
      </c>
      <c r="N218" s="39"/>
      <c r="O218" s="70"/>
      <c r="P218" s="71"/>
      <c r="Q218" s="72"/>
      <c r="T218" s="70"/>
      <c r="U218" s="73"/>
      <c r="V218" s="74"/>
      <c r="W218" s="75"/>
      <c r="Z218" s="76"/>
      <c r="AC218" s="39" t="s">
        <v>4293</v>
      </c>
      <c r="AD218" s="39"/>
      <c r="AE218" s="39" t="s">
        <v>4890</v>
      </c>
      <c r="AO218" s="39"/>
      <c r="AP218" s="70"/>
      <c r="AQ218" s="71"/>
      <c r="AR218" s="72"/>
      <c r="AU218" s="70"/>
      <c r="AV218" s="77"/>
      <c r="AW218" s="78"/>
      <c r="AX218" s="75"/>
      <c r="BA218" s="76"/>
    </row>
    <row r="219" spans="1:53" ht="72">
      <c r="A219" s="39" t="s">
        <v>4787</v>
      </c>
      <c r="B219" s="39" t="s">
        <v>4818</v>
      </c>
      <c r="C219" s="39" t="s">
        <v>4825</v>
      </c>
      <c r="D219" s="39">
        <v>30</v>
      </c>
      <c r="E219" s="39">
        <v>1</v>
      </c>
      <c r="F219" s="39" t="s">
        <v>4788</v>
      </c>
      <c r="G219" s="39" t="s">
        <v>4891</v>
      </c>
      <c r="J219" s="39" t="s">
        <v>4111</v>
      </c>
      <c r="N219" s="39">
        <v>0</v>
      </c>
      <c r="O219" s="70"/>
      <c r="P219" s="71"/>
      <c r="Q219" s="72"/>
      <c r="T219" s="70"/>
      <c r="U219" s="73"/>
      <c r="V219" s="74"/>
      <c r="W219" s="75"/>
      <c r="Z219" s="76"/>
      <c r="AC219" s="39" t="s">
        <v>4143</v>
      </c>
      <c r="AD219" s="39" t="s">
        <v>4892</v>
      </c>
      <c r="AE219" s="39" t="s">
        <v>4923</v>
      </c>
      <c r="AO219" s="39"/>
      <c r="AP219" s="70"/>
      <c r="AQ219" s="71"/>
      <c r="AR219" s="72"/>
      <c r="AU219" s="70"/>
      <c r="AV219" s="77"/>
      <c r="AW219" s="78"/>
      <c r="AX219" s="75"/>
      <c r="BA219" s="76"/>
    </row>
    <row r="220" spans="1:53" ht="60">
      <c r="A220" s="39" t="s">
        <v>4787</v>
      </c>
      <c r="B220" s="39" t="s">
        <v>4819</v>
      </c>
      <c r="C220" s="39" t="s">
        <v>4825</v>
      </c>
      <c r="D220" s="39">
        <v>31</v>
      </c>
      <c r="E220" s="39">
        <v>2</v>
      </c>
      <c r="F220" s="39" t="s">
        <v>4788</v>
      </c>
      <c r="G220" s="39" t="s">
        <v>4893</v>
      </c>
      <c r="J220" s="39" t="s">
        <v>29</v>
      </c>
      <c r="N220" s="39"/>
      <c r="O220" s="70"/>
      <c r="P220" s="71"/>
      <c r="Q220" s="72">
        <v>2</v>
      </c>
      <c r="R220" s="63">
        <v>3</v>
      </c>
      <c r="S220" s="43">
        <v>3</v>
      </c>
      <c r="T220" s="70">
        <v>1</v>
      </c>
      <c r="U220" s="73">
        <v>1</v>
      </c>
      <c r="V220" s="74"/>
      <c r="W220" s="75"/>
      <c r="Z220" s="76"/>
      <c r="AC220" s="39" t="s">
        <v>4894</v>
      </c>
      <c r="AD220" s="39" t="s">
        <v>4902</v>
      </c>
      <c r="AE220" s="39" t="s">
        <v>4901</v>
      </c>
      <c r="AO220" s="39"/>
      <c r="AP220" s="70"/>
      <c r="AQ220" s="71"/>
      <c r="AR220" s="72"/>
      <c r="AU220" s="70"/>
      <c r="AV220" s="77"/>
      <c r="AW220" s="78"/>
      <c r="AX220" s="75"/>
      <c r="BA220" s="76"/>
    </row>
    <row r="221" spans="1:53" ht="36">
      <c r="A221" s="39" t="s">
        <v>4787</v>
      </c>
      <c r="B221" s="39" t="s">
        <v>4820</v>
      </c>
      <c r="C221" s="39" t="s">
        <v>4825</v>
      </c>
      <c r="D221" s="39">
        <v>32</v>
      </c>
      <c r="E221" s="39">
        <v>2</v>
      </c>
      <c r="F221" s="39" t="s">
        <v>4788</v>
      </c>
      <c r="G221" s="39" t="s">
        <v>4895</v>
      </c>
      <c r="J221" s="39" t="s">
        <v>29</v>
      </c>
      <c r="N221" s="39"/>
      <c r="O221" s="70"/>
      <c r="P221" s="71"/>
      <c r="Q221" s="72">
        <v>3</v>
      </c>
      <c r="R221" s="63">
        <v>3</v>
      </c>
      <c r="S221" s="43">
        <v>4</v>
      </c>
      <c r="T221" s="70">
        <v>1</v>
      </c>
      <c r="U221" s="73">
        <v>2</v>
      </c>
      <c r="V221" s="74"/>
      <c r="W221" s="75"/>
      <c r="Z221" s="76"/>
      <c r="AC221" s="39" t="s">
        <v>4896</v>
      </c>
      <c r="AD221" s="39" t="s">
        <v>4903</v>
      </c>
      <c r="AO221" s="39"/>
      <c r="AP221" s="70"/>
      <c r="AQ221" s="71"/>
      <c r="AR221" s="72"/>
      <c r="AU221" s="70"/>
      <c r="AV221" s="77"/>
      <c r="AW221" s="78"/>
      <c r="AX221" s="75"/>
      <c r="BA221" s="76"/>
    </row>
    <row r="222" spans="1:53" ht="60">
      <c r="A222" s="39" t="s">
        <v>4787</v>
      </c>
      <c r="B222" s="39" t="s">
        <v>4821</v>
      </c>
      <c r="C222" s="39" t="s">
        <v>4825</v>
      </c>
      <c r="D222" s="39">
        <v>33</v>
      </c>
      <c r="E222" s="39">
        <v>1</v>
      </c>
      <c r="F222" s="39" t="s">
        <v>4788</v>
      </c>
      <c r="G222" s="39" t="s">
        <v>4897</v>
      </c>
      <c r="J222" s="39" t="s">
        <v>29</v>
      </c>
      <c r="N222" s="39"/>
      <c r="O222" s="70"/>
      <c r="P222" s="71"/>
      <c r="Q222" s="72">
        <v>4</v>
      </c>
      <c r="R222" s="63">
        <v>2</v>
      </c>
      <c r="S222" s="43">
        <v>5</v>
      </c>
      <c r="T222" s="70">
        <v>2</v>
      </c>
      <c r="U222" s="73">
        <v>2</v>
      </c>
      <c r="V222" s="74"/>
      <c r="W222" s="75"/>
      <c r="Z222" s="76">
        <v>1</v>
      </c>
      <c r="AC222" s="39" t="s">
        <v>4898</v>
      </c>
      <c r="AD222" s="39" t="s">
        <v>4900</v>
      </c>
      <c r="AE222" s="39" t="s">
        <v>4899</v>
      </c>
      <c r="AO222" s="39"/>
      <c r="AP222" s="70"/>
      <c r="AQ222" s="71"/>
      <c r="AR222" s="72"/>
      <c r="AU222" s="70"/>
      <c r="AV222" s="77"/>
      <c r="AW222" s="78"/>
      <c r="AX222" s="75"/>
      <c r="BA222" s="76"/>
    </row>
    <row r="223" spans="1:53" ht="36">
      <c r="A223" s="39" t="s">
        <v>4787</v>
      </c>
      <c r="B223" s="39" t="s">
        <v>4822</v>
      </c>
      <c r="C223" s="39" t="s">
        <v>4825</v>
      </c>
      <c r="D223" s="39">
        <v>34</v>
      </c>
      <c r="E223" s="39">
        <v>5</v>
      </c>
      <c r="F223" s="39" t="s">
        <v>4788</v>
      </c>
      <c r="G223" s="39" t="s">
        <v>4906</v>
      </c>
      <c r="J223" s="39" t="s">
        <v>28</v>
      </c>
      <c r="N223" s="39"/>
      <c r="O223" s="70"/>
      <c r="P223" s="71"/>
      <c r="Q223" s="72"/>
      <c r="T223" s="70"/>
      <c r="U223" s="73"/>
      <c r="V223" s="74"/>
      <c r="W223" s="75"/>
      <c r="Z223" s="76"/>
      <c r="AD223" s="39" t="s">
        <v>34</v>
      </c>
      <c r="AE223" s="39" t="s">
        <v>4907</v>
      </c>
      <c r="AO223" s="39"/>
      <c r="AP223" s="70"/>
      <c r="AQ223" s="71"/>
      <c r="AR223" s="72"/>
      <c r="AU223" s="70"/>
      <c r="AV223" s="77"/>
      <c r="AW223" s="78"/>
      <c r="AX223" s="75"/>
      <c r="BA223" s="76"/>
    </row>
    <row r="224" spans="1:53" ht="48">
      <c r="A224" s="39" t="s">
        <v>4787</v>
      </c>
      <c r="B224" s="39" t="s">
        <v>4823</v>
      </c>
      <c r="C224" s="39" t="s">
        <v>4825</v>
      </c>
      <c r="D224" s="39">
        <v>35</v>
      </c>
      <c r="E224" s="39">
        <v>2</v>
      </c>
      <c r="F224" s="39" t="s">
        <v>4788</v>
      </c>
      <c r="G224" s="39" t="s">
        <v>4908</v>
      </c>
      <c r="J224" s="39" t="s">
        <v>28</v>
      </c>
      <c r="N224" s="39"/>
      <c r="O224" s="70"/>
      <c r="P224" s="71"/>
      <c r="Q224" s="72"/>
      <c r="T224" s="70"/>
      <c r="U224" s="73"/>
      <c r="V224" s="74"/>
      <c r="W224" s="75"/>
      <c r="Z224" s="76"/>
      <c r="AD224" s="39"/>
      <c r="AE224" s="39" t="s">
        <v>4909</v>
      </c>
      <c r="AO224" s="39"/>
      <c r="AP224" s="70"/>
      <c r="AQ224" s="71"/>
      <c r="AR224" s="72"/>
      <c r="AU224" s="70"/>
      <c r="AV224" s="77"/>
      <c r="AW224" s="78"/>
      <c r="AX224" s="75"/>
      <c r="BA224" s="76"/>
    </row>
    <row r="225" spans="1:53" ht="84">
      <c r="A225" s="39" t="s">
        <v>4787</v>
      </c>
      <c r="B225" s="69" t="s">
        <v>4824</v>
      </c>
      <c r="C225" s="39" t="s">
        <v>4825</v>
      </c>
      <c r="D225" s="39">
        <v>36</v>
      </c>
      <c r="E225" s="39">
        <v>3</v>
      </c>
      <c r="F225" s="39" t="s">
        <v>4788</v>
      </c>
      <c r="G225" s="39" t="s">
        <v>4910</v>
      </c>
      <c r="J225" s="39" t="s">
        <v>28</v>
      </c>
      <c r="N225" s="39"/>
      <c r="O225" s="70"/>
      <c r="P225" s="71"/>
      <c r="Q225" s="72"/>
      <c r="T225" s="70"/>
      <c r="U225" s="73"/>
      <c r="V225" s="74"/>
      <c r="W225" s="75"/>
      <c r="Z225" s="76"/>
      <c r="AD225" s="39"/>
      <c r="AE225" s="39" t="s">
        <v>4911</v>
      </c>
      <c r="AO225" s="39"/>
      <c r="AP225" s="70"/>
      <c r="AQ225" s="71"/>
      <c r="AR225" s="72"/>
      <c r="AU225" s="70"/>
      <c r="AV225" s="77"/>
      <c r="AW225" s="78"/>
      <c r="AX225" s="75"/>
      <c r="BA225" s="76"/>
    </row>
    <row r="226" spans="1:53">
      <c r="A226" s="39" t="s">
        <v>4787</v>
      </c>
      <c r="B226" s="39" t="s">
        <v>4961</v>
      </c>
      <c r="C226" s="39" t="s">
        <v>4825</v>
      </c>
      <c r="D226" s="39">
        <v>37</v>
      </c>
      <c r="E226" s="39">
        <v>1</v>
      </c>
      <c r="G226" s="39" t="s">
        <v>4952</v>
      </c>
      <c r="J226" s="39" t="s">
        <v>4956</v>
      </c>
      <c r="N226" s="39"/>
      <c r="O226" s="70"/>
      <c r="P226" s="71"/>
      <c r="Q226" s="72"/>
      <c r="T226" s="70"/>
      <c r="U226" s="73"/>
      <c r="V226" s="74"/>
      <c r="W226" s="75"/>
      <c r="Z226" s="76"/>
      <c r="AD226" s="39"/>
      <c r="AH226" s="39" t="s">
        <v>4957</v>
      </c>
      <c r="AK226" s="108" t="s">
        <v>4956</v>
      </c>
      <c r="AO226" s="39"/>
      <c r="AP226" s="70"/>
      <c r="AQ226" s="71"/>
      <c r="AR226" s="72"/>
      <c r="AU226" s="70"/>
      <c r="AV226" s="77"/>
      <c r="AW226" s="78"/>
      <c r="AX226" s="75"/>
      <c r="BA226" s="76"/>
    </row>
    <row r="227" spans="1:53">
      <c r="A227" s="39" t="s">
        <v>4787</v>
      </c>
      <c r="B227" s="39" t="s">
        <v>4962</v>
      </c>
      <c r="C227" s="39" t="s">
        <v>4825</v>
      </c>
      <c r="D227" s="39">
        <v>38</v>
      </c>
      <c r="E227" s="39">
        <v>1</v>
      </c>
      <c r="G227" s="39" t="s">
        <v>4953</v>
      </c>
      <c r="J227" s="39" t="s">
        <v>4956</v>
      </c>
      <c r="N227" s="39"/>
      <c r="O227" s="70"/>
      <c r="P227" s="71"/>
      <c r="Q227" s="72"/>
      <c r="T227" s="70"/>
      <c r="U227" s="73"/>
      <c r="V227" s="74"/>
      <c r="W227" s="75"/>
      <c r="Z227" s="76"/>
      <c r="AD227" s="39"/>
      <c r="AH227" s="39" t="s">
        <v>4958</v>
      </c>
      <c r="AK227" s="108" t="s">
        <v>4956</v>
      </c>
      <c r="AO227" s="39"/>
      <c r="AP227" s="70"/>
      <c r="AQ227" s="71"/>
      <c r="AR227" s="72"/>
      <c r="AU227" s="70"/>
      <c r="AV227" s="77"/>
      <c r="AW227" s="78"/>
      <c r="AX227" s="75"/>
      <c r="BA227" s="76"/>
    </row>
    <row r="228" spans="1:53">
      <c r="A228" s="39" t="s">
        <v>4787</v>
      </c>
      <c r="B228" s="39" t="s">
        <v>4963</v>
      </c>
      <c r="C228" s="39" t="s">
        <v>4825</v>
      </c>
      <c r="D228" s="39">
        <v>39</v>
      </c>
      <c r="E228" s="39">
        <v>1</v>
      </c>
      <c r="G228" s="39" t="s">
        <v>4954</v>
      </c>
      <c r="J228" s="39" t="s">
        <v>4956</v>
      </c>
      <c r="N228" s="39"/>
      <c r="O228" s="70"/>
      <c r="P228" s="71"/>
      <c r="Q228" s="72"/>
      <c r="T228" s="70"/>
      <c r="U228" s="73"/>
      <c r="V228" s="74"/>
      <c r="W228" s="75"/>
      <c r="Z228" s="76"/>
      <c r="AD228" s="39"/>
      <c r="AH228" s="39" t="s">
        <v>4959</v>
      </c>
      <c r="AK228" s="108" t="s">
        <v>4956</v>
      </c>
      <c r="AO228" s="39"/>
      <c r="AP228" s="70"/>
      <c r="AQ228" s="71"/>
      <c r="AR228" s="72"/>
      <c r="AU228" s="70"/>
      <c r="AV228" s="77"/>
      <c r="AW228" s="78"/>
      <c r="AX228" s="75"/>
      <c r="BA228" s="76"/>
    </row>
    <row r="229" spans="1:53">
      <c r="A229" s="39" t="s">
        <v>4787</v>
      </c>
      <c r="B229" s="39" t="s">
        <v>4964</v>
      </c>
      <c r="C229" s="39" t="s">
        <v>4825</v>
      </c>
      <c r="D229" s="39">
        <v>40</v>
      </c>
      <c r="E229" s="39">
        <v>1</v>
      </c>
      <c r="G229" s="39" t="s">
        <v>4955</v>
      </c>
      <c r="J229" s="39" t="s">
        <v>4956</v>
      </c>
      <c r="N229" s="39"/>
      <c r="O229" s="70"/>
      <c r="P229" s="71"/>
      <c r="Q229" s="72"/>
      <c r="T229" s="70"/>
      <c r="U229" s="73"/>
      <c r="V229" s="74"/>
      <c r="W229" s="75"/>
      <c r="Z229" s="76"/>
      <c r="AD229" s="39"/>
      <c r="AH229" s="39" t="s">
        <v>4960</v>
      </c>
      <c r="AK229" s="108" t="s">
        <v>4956</v>
      </c>
      <c r="AO229" s="39"/>
      <c r="AP229" s="70"/>
      <c r="AQ229" s="71"/>
      <c r="AR229" s="72"/>
      <c r="AU229" s="70"/>
      <c r="AV229" s="77"/>
      <c r="AW229" s="78"/>
      <c r="AX229" s="75"/>
      <c r="BA229" s="76"/>
    </row>
    <row r="230" spans="1:53">
      <c r="D230" s="39"/>
      <c r="N230" s="39"/>
      <c r="O230" s="70"/>
      <c r="P230" s="71"/>
      <c r="Q230" s="72"/>
      <c r="T230" s="70"/>
      <c r="U230" s="73"/>
      <c r="V230" s="74"/>
      <c r="W230" s="75"/>
      <c r="Z230" s="76"/>
      <c r="AD230" s="39"/>
      <c r="AO230" s="39"/>
      <c r="AP230" s="70"/>
      <c r="AQ230" s="71"/>
      <c r="AR230" s="72"/>
      <c r="AU230" s="70"/>
      <c r="AV230" s="77"/>
      <c r="AW230" s="78"/>
      <c r="AX230" s="75"/>
      <c r="BA230" s="76"/>
    </row>
    <row r="231" spans="1:53">
      <c r="D231" s="39"/>
      <c r="N231" s="39"/>
      <c r="O231" s="70"/>
      <c r="P231" s="71"/>
      <c r="Q231" s="72"/>
      <c r="T231" s="70"/>
      <c r="U231" s="73"/>
      <c r="V231" s="74"/>
      <c r="W231" s="75"/>
      <c r="Z231" s="76"/>
      <c r="AD231" s="39"/>
      <c r="AO231" s="39"/>
      <c r="AP231" s="70"/>
      <c r="AQ231" s="71"/>
      <c r="AR231" s="72"/>
      <c r="AU231" s="70"/>
      <c r="AV231" s="77"/>
      <c r="AW231" s="78"/>
      <c r="AX231" s="75"/>
      <c r="BA231" s="76"/>
    </row>
    <row r="232" spans="1:53">
      <c r="D232" s="39"/>
      <c r="N232" s="39"/>
      <c r="O232" s="70"/>
      <c r="P232" s="71"/>
      <c r="Q232" s="72"/>
      <c r="T232" s="70"/>
      <c r="U232" s="73"/>
      <c r="V232" s="74"/>
      <c r="W232" s="75"/>
      <c r="Z232" s="76"/>
      <c r="AD232" s="39"/>
      <c r="AO232" s="39"/>
      <c r="AP232" s="70"/>
      <c r="AQ232" s="71"/>
      <c r="AR232" s="72"/>
      <c r="AU232" s="70"/>
      <c r="AV232" s="77"/>
      <c r="AW232" s="78"/>
      <c r="AX232" s="75"/>
      <c r="BA232" s="76"/>
    </row>
    <row r="233" spans="1:53">
      <c r="D233" s="39"/>
      <c r="N233" s="39"/>
      <c r="O233" s="70"/>
      <c r="P233" s="71"/>
      <c r="Q233" s="72"/>
      <c r="T233" s="70"/>
      <c r="U233" s="73"/>
      <c r="V233" s="74"/>
      <c r="W233" s="75"/>
      <c r="Z233" s="76"/>
      <c r="AD233" s="39"/>
      <c r="AO233" s="39"/>
      <c r="AP233" s="70"/>
      <c r="AQ233" s="71"/>
      <c r="AR233" s="72"/>
      <c r="AU233" s="70"/>
      <c r="AV233" s="77"/>
      <c r="AW233" s="78"/>
      <c r="AX233" s="75"/>
      <c r="BA233" s="76"/>
    </row>
    <row r="234" spans="1:53">
      <c r="D234" s="39"/>
      <c r="N234" s="39"/>
      <c r="O234" s="70"/>
      <c r="P234" s="71"/>
      <c r="Q234" s="72"/>
      <c r="T234" s="70"/>
      <c r="U234" s="73"/>
      <c r="V234" s="74"/>
      <c r="W234" s="75"/>
      <c r="Z234" s="76"/>
      <c r="AD234" s="39"/>
      <c r="AO234" s="39"/>
      <c r="AP234" s="70"/>
      <c r="AQ234" s="71"/>
      <c r="AR234" s="72"/>
      <c r="AU234" s="70"/>
      <c r="AV234" s="77"/>
      <c r="AW234" s="78"/>
      <c r="AX234" s="75"/>
      <c r="BA234" s="76"/>
    </row>
    <row r="235" spans="1:53">
      <c r="D235" s="39"/>
      <c r="N235" s="39"/>
      <c r="O235" s="70"/>
      <c r="P235" s="71"/>
      <c r="Q235" s="72"/>
      <c r="T235" s="70"/>
      <c r="U235" s="73"/>
      <c r="V235" s="74"/>
      <c r="W235" s="75"/>
      <c r="Z235" s="76"/>
      <c r="AD235" s="39"/>
      <c r="AO235" s="39"/>
      <c r="AP235" s="70"/>
      <c r="AQ235" s="71"/>
      <c r="AR235" s="72"/>
      <c r="AU235" s="70"/>
      <c r="AV235" s="77"/>
      <c r="AW235" s="78"/>
      <c r="AX235" s="75"/>
      <c r="BA235" s="76"/>
    </row>
    <row r="236" spans="1:53">
      <c r="D236" s="39"/>
      <c r="N236" s="39"/>
      <c r="O236" s="70"/>
      <c r="P236" s="71"/>
      <c r="Q236" s="72"/>
      <c r="T236" s="70"/>
      <c r="U236" s="73"/>
      <c r="V236" s="74"/>
      <c r="W236" s="75"/>
      <c r="Z236" s="76"/>
      <c r="AD236" s="39"/>
      <c r="AO236" s="39"/>
      <c r="AP236" s="70"/>
      <c r="AQ236" s="71"/>
      <c r="AR236" s="72"/>
      <c r="AU236" s="70"/>
      <c r="AV236" s="77"/>
      <c r="AW236" s="78"/>
      <c r="AX236" s="75"/>
      <c r="BA236" s="76"/>
    </row>
    <row r="237" spans="1:53">
      <c r="D237" s="39"/>
      <c r="N237" s="39"/>
      <c r="O237" s="70"/>
      <c r="P237" s="71"/>
      <c r="Q237" s="72"/>
      <c r="T237" s="70"/>
      <c r="U237" s="73"/>
      <c r="V237" s="74"/>
      <c r="W237" s="75"/>
      <c r="Z237" s="76"/>
      <c r="AD237" s="39"/>
      <c r="AO237" s="39"/>
      <c r="AP237" s="70"/>
      <c r="AQ237" s="71"/>
      <c r="AR237" s="72"/>
      <c r="AU237" s="70"/>
      <c r="AV237" s="77"/>
      <c r="AW237" s="78"/>
      <c r="AX237" s="75"/>
      <c r="BA237" s="76"/>
    </row>
    <row r="238" spans="1:53">
      <c r="D238" s="39"/>
      <c r="N238" s="39"/>
      <c r="O238" s="70"/>
      <c r="P238" s="71"/>
      <c r="Q238" s="72"/>
      <c r="T238" s="70"/>
      <c r="U238" s="73"/>
      <c r="V238" s="74"/>
      <c r="W238" s="75"/>
      <c r="Z238" s="76"/>
      <c r="AD238" s="39"/>
      <c r="AO238" s="39"/>
      <c r="AP238" s="70"/>
      <c r="AQ238" s="71"/>
      <c r="AR238" s="72"/>
      <c r="AU238" s="70"/>
      <c r="AV238" s="77"/>
      <c r="AW238" s="78"/>
      <c r="AX238" s="75"/>
      <c r="BA238" s="76"/>
    </row>
    <row r="239" spans="1:53">
      <c r="D239" s="39"/>
      <c r="N239" s="39"/>
      <c r="O239" s="70"/>
      <c r="P239" s="71"/>
      <c r="Q239" s="72"/>
      <c r="T239" s="70"/>
      <c r="U239" s="73"/>
      <c r="V239" s="74"/>
      <c r="W239" s="75"/>
      <c r="Z239" s="76"/>
      <c r="AD239" s="39"/>
      <c r="AO239" s="39"/>
      <c r="AP239" s="70"/>
      <c r="AQ239" s="71"/>
      <c r="AR239" s="72"/>
      <c r="AU239" s="70"/>
      <c r="AV239" s="77"/>
      <c r="AW239" s="78"/>
      <c r="AX239" s="75"/>
      <c r="BA239" s="76"/>
    </row>
    <row r="240" spans="1:53">
      <c r="D240" s="39"/>
      <c r="N240" s="39"/>
      <c r="O240" s="70"/>
      <c r="P240" s="71"/>
      <c r="Q240" s="72"/>
      <c r="T240" s="70"/>
      <c r="U240" s="73"/>
      <c r="V240" s="74"/>
      <c r="W240" s="75"/>
      <c r="Z240" s="76"/>
      <c r="AD240" s="39"/>
      <c r="AO240" s="39"/>
      <c r="AP240" s="70"/>
      <c r="AQ240" s="71"/>
      <c r="AR240" s="72"/>
      <c r="AU240" s="70"/>
      <c r="AV240" s="77"/>
      <c r="AW240" s="78"/>
      <c r="AX240" s="75"/>
      <c r="BA240" s="76"/>
    </row>
    <row r="241" spans="2:53">
      <c r="D241" s="39"/>
      <c r="N241" s="39"/>
      <c r="O241" s="70"/>
      <c r="P241" s="71"/>
      <c r="Q241" s="72"/>
      <c r="T241" s="70"/>
      <c r="U241" s="73"/>
      <c r="V241" s="74"/>
      <c r="W241" s="75"/>
      <c r="Z241" s="76"/>
      <c r="AD241" s="39"/>
      <c r="AO241" s="39"/>
      <c r="AP241" s="70"/>
      <c r="AQ241" s="71"/>
      <c r="AR241" s="72"/>
      <c r="AU241" s="70"/>
      <c r="AV241" s="77"/>
      <c r="AW241" s="78"/>
      <c r="AX241" s="75"/>
      <c r="BA241" s="76"/>
    </row>
    <row r="242" spans="2:53">
      <c r="D242" s="39"/>
      <c r="N242" s="39"/>
      <c r="O242" s="70"/>
      <c r="P242" s="71"/>
      <c r="Q242" s="72"/>
      <c r="T242" s="70"/>
      <c r="U242" s="73"/>
      <c r="V242" s="74"/>
      <c r="W242" s="75"/>
      <c r="Z242" s="76"/>
      <c r="AD242" s="39"/>
      <c r="AO242" s="39"/>
      <c r="AP242" s="70"/>
      <c r="AQ242" s="71"/>
      <c r="AR242" s="72"/>
      <c r="AU242" s="70"/>
      <c r="AV242" s="77"/>
      <c r="AW242" s="78"/>
      <c r="AX242" s="75"/>
      <c r="BA242" s="76"/>
    </row>
    <row r="243" spans="2:53">
      <c r="D243" s="39"/>
      <c r="N243" s="39"/>
      <c r="O243" s="70"/>
      <c r="P243" s="71"/>
      <c r="Q243" s="72"/>
      <c r="T243" s="70"/>
      <c r="U243" s="73"/>
      <c r="V243" s="74"/>
      <c r="W243" s="75"/>
      <c r="Z243" s="76"/>
      <c r="AD243" s="39"/>
      <c r="AO243" s="39"/>
      <c r="AP243" s="70"/>
      <c r="AQ243" s="71"/>
      <c r="AR243" s="72"/>
      <c r="AU243" s="70"/>
      <c r="AV243" s="77"/>
      <c r="AW243" s="78"/>
      <c r="AX243" s="75"/>
      <c r="BA243" s="76"/>
    </row>
    <row r="244" spans="2:53">
      <c r="D244" s="39"/>
      <c r="N244" s="39"/>
      <c r="O244" s="70"/>
      <c r="P244" s="71"/>
      <c r="Q244" s="72"/>
      <c r="T244" s="70"/>
      <c r="U244" s="73"/>
      <c r="V244" s="74"/>
      <c r="W244" s="75"/>
      <c r="Z244" s="76"/>
      <c r="AD244" s="39"/>
      <c r="AO244" s="39"/>
      <c r="AP244" s="70"/>
      <c r="AQ244" s="71"/>
      <c r="AR244" s="72"/>
      <c r="AU244" s="70"/>
      <c r="AV244" s="77"/>
      <c r="AW244" s="78"/>
      <c r="AX244" s="75"/>
      <c r="BA244" s="76"/>
    </row>
    <row r="245" spans="2:53">
      <c r="D245" s="39"/>
      <c r="N245" s="39"/>
      <c r="O245" s="70"/>
      <c r="P245" s="71"/>
      <c r="Q245" s="72"/>
      <c r="T245" s="70"/>
      <c r="U245" s="73"/>
      <c r="V245" s="74"/>
      <c r="W245" s="75"/>
      <c r="Z245" s="76"/>
      <c r="AD245" s="39"/>
      <c r="AO245" s="39"/>
      <c r="AP245" s="70"/>
      <c r="AQ245" s="71"/>
      <c r="AR245" s="72"/>
      <c r="AU245" s="70"/>
      <c r="AV245" s="77"/>
      <c r="AW245" s="78"/>
      <c r="AX245" s="75"/>
      <c r="BA245" s="76"/>
    </row>
    <row r="246" spans="2:53">
      <c r="D246" s="39"/>
      <c r="N246" s="39"/>
      <c r="O246" s="70"/>
      <c r="P246" s="71"/>
      <c r="Q246" s="72"/>
      <c r="T246" s="70"/>
      <c r="U246" s="73"/>
      <c r="V246" s="74"/>
      <c r="W246" s="75"/>
      <c r="Z246" s="76"/>
      <c r="AD246" s="39"/>
      <c r="AO246" s="39"/>
      <c r="AP246" s="70"/>
      <c r="AQ246" s="71"/>
      <c r="AR246" s="72"/>
      <c r="AU246" s="70"/>
      <c r="AV246" s="77"/>
      <c r="AW246" s="78"/>
      <c r="AX246" s="75"/>
      <c r="BA246" s="76"/>
    </row>
    <row r="247" spans="2:53">
      <c r="D247" s="39"/>
      <c r="N247" s="39"/>
      <c r="O247" s="70"/>
      <c r="P247" s="71"/>
      <c r="Q247" s="72"/>
      <c r="T247" s="70"/>
      <c r="U247" s="73"/>
      <c r="V247" s="74"/>
      <c r="W247" s="75"/>
      <c r="Z247" s="76"/>
      <c r="AD247" s="39"/>
      <c r="AO247" s="39"/>
      <c r="AP247" s="70"/>
      <c r="AQ247" s="71"/>
      <c r="AR247" s="72"/>
      <c r="AU247" s="70"/>
      <c r="AV247" s="77"/>
      <c r="AW247" s="78"/>
      <c r="AX247" s="75"/>
      <c r="BA247" s="76"/>
    </row>
    <row r="248" spans="2:53">
      <c r="D248" s="39"/>
      <c r="N248" s="39"/>
      <c r="O248" s="70"/>
      <c r="P248" s="71"/>
      <c r="Q248" s="72"/>
      <c r="T248" s="70"/>
      <c r="U248" s="73"/>
      <c r="V248" s="74"/>
      <c r="W248" s="75"/>
      <c r="Z248" s="76"/>
      <c r="AD248" s="39"/>
      <c r="AO248" s="39"/>
      <c r="AP248" s="70"/>
      <c r="AQ248" s="71"/>
      <c r="AR248" s="72"/>
      <c r="AU248" s="70"/>
      <c r="AV248" s="77"/>
      <c r="AW248" s="78"/>
      <c r="AX248" s="75"/>
      <c r="BA248" s="76"/>
    </row>
    <row r="249" spans="2:53">
      <c r="D249" s="39"/>
      <c r="N249" s="39"/>
      <c r="O249" s="70"/>
      <c r="P249" s="71"/>
      <c r="Q249" s="72"/>
      <c r="T249" s="70"/>
      <c r="U249" s="73"/>
      <c r="V249" s="74"/>
      <c r="W249" s="75"/>
      <c r="Z249" s="76"/>
      <c r="AD249" s="39"/>
      <c r="AO249" s="39"/>
      <c r="AP249" s="70"/>
      <c r="AQ249" s="71"/>
      <c r="AR249" s="72"/>
      <c r="AU249" s="70"/>
      <c r="AV249" s="77"/>
      <c r="AW249" s="78"/>
      <c r="AX249" s="75"/>
      <c r="BA249" s="76"/>
    </row>
    <row r="250" spans="2:53">
      <c r="D250" s="39"/>
      <c r="N250" s="39"/>
      <c r="O250" s="70"/>
      <c r="P250" s="71"/>
      <c r="Q250" s="72"/>
      <c r="T250" s="70"/>
      <c r="U250" s="73"/>
      <c r="V250" s="74"/>
      <c r="W250" s="75"/>
      <c r="Z250" s="76"/>
      <c r="AD250" s="39"/>
      <c r="AO250" s="39"/>
      <c r="AP250" s="70"/>
      <c r="AQ250" s="71"/>
      <c r="AR250" s="72"/>
      <c r="AU250" s="70"/>
      <c r="AV250" s="77"/>
      <c r="AW250" s="78"/>
      <c r="AX250" s="75"/>
      <c r="BA250" s="76"/>
    </row>
    <row r="251" spans="2:53">
      <c r="D251" s="39"/>
      <c r="N251" s="39"/>
      <c r="O251" s="70"/>
      <c r="P251" s="71"/>
      <c r="Q251" s="72"/>
      <c r="T251" s="70"/>
      <c r="U251" s="73"/>
      <c r="V251" s="74"/>
      <c r="W251" s="75"/>
      <c r="Z251" s="76"/>
      <c r="AD251" s="39"/>
      <c r="AO251" s="39"/>
      <c r="AP251" s="70"/>
      <c r="AQ251" s="71"/>
      <c r="AR251" s="72"/>
      <c r="AU251" s="70"/>
      <c r="AV251" s="77"/>
      <c r="AW251" s="78"/>
      <c r="AX251" s="75"/>
      <c r="BA251" s="76"/>
    </row>
    <row r="252" spans="2:53">
      <c r="D252" s="39"/>
      <c r="N252" s="39"/>
      <c r="O252" s="70"/>
      <c r="P252" s="71"/>
      <c r="Q252" s="72"/>
      <c r="T252" s="70"/>
      <c r="U252" s="73"/>
      <c r="V252" s="74"/>
      <c r="W252" s="75"/>
      <c r="Z252" s="76"/>
      <c r="AD252" s="39"/>
      <c r="AO252" s="39"/>
      <c r="AP252" s="70"/>
      <c r="AQ252" s="71"/>
      <c r="AR252" s="72"/>
      <c r="AU252" s="70"/>
      <c r="AV252" s="77"/>
      <c r="AW252" s="78"/>
      <c r="AX252" s="75"/>
      <c r="BA252" s="76"/>
    </row>
    <row r="253" spans="2:53">
      <c r="D253" s="39"/>
      <c r="N253" s="39"/>
      <c r="O253" s="70"/>
      <c r="P253" s="71"/>
      <c r="Q253" s="72"/>
      <c r="T253" s="70"/>
      <c r="U253" s="73"/>
      <c r="V253" s="74"/>
      <c r="W253" s="75"/>
      <c r="Z253" s="76"/>
      <c r="AD253" s="39"/>
      <c r="AO253" s="39"/>
      <c r="AP253" s="70"/>
      <c r="AQ253" s="71"/>
      <c r="AR253" s="72"/>
      <c r="AU253" s="70"/>
      <c r="AV253" s="77"/>
      <c r="AW253" s="78"/>
      <c r="AX253" s="75"/>
      <c r="BA253" s="76"/>
    </row>
    <row r="254" spans="2:53">
      <c r="D254" s="39"/>
      <c r="N254" s="39"/>
      <c r="O254" s="70"/>
      <c r="P254" s="71"/>
      <c r="Q254" s="72"/>
      <c r="T254" s="70"/>
      <c r="U254" s="73"/>
      <c r="V254" s="74"/>
      <c r="W254" s="75"/>
      <c r="Z254" s="76"/>
      <c r="AD254" s="39"/>
      <c r="AO254" s="39"/>
      <c r="AP254" s="70"/>
      <c r="AQ254" s="71"/>
      <c r="AR254" s="72"/>
      <c r="AU254" s="70"/>
      <c r="AV254" s="77"/>
      <c r="AW254" s="78"/>
      <c r="AX254" s="75"/>
      <c r="BA254" s="76"/>
    </row>
    <row r="255" spans="2:53">
      <c r="B255" s="69"/>
      <c r="D255" s="39"/>
      <c r="N255" s="39"/>
      <c r="O255" s="70"/>
      <c r="P255" s="71"/>
      <c r="Q255" s="72"/>
      <c r="T255" s="70"/>
      <c r="U255" s="73"/>
      <c r="V255" s="74"/>
      <c r="W255" s="75"/>
      <c r="Z255" s="76"/>
      <c r="AD255" s="39"/>
      <c r="AO255" s="39"/>
      <c r="AP255" s="70"/>
      <c r="AQ255" s="71"/>
      <c r="AR255" s="72"/>
      <c r="AU255" s="70"/>
      <c r="AV255" s="77"/>
      <c r="AW255" s="78"/>
      <c r="AX255" s="75"/>
      <c r="BA255" s="76"/>
    </row>
    <row r="256" spans="2:53">
      <c r="D256" s="39"/>
      <c r="N256" s="39"/>
      <c r="O256" s="70"/>
      <c r="P256" s="71"/>
      <c r="Q256" s="72"/>
      <c r="T256" s="70"/>
      <c r="U256" s="73"/>
      <c r="V256" s="74"/>
      <c r="W256" s="75"/>
      <c r="Z256" s="76"/>
      <c r="AD256" s="39"/>
      <c r="AO256" s="39"/>
      <c r="AP256" s="70"/>
      <c r="AQ256" s="71"/>
      <c r="AR256" s="72"/>
      <c r="AU256" s="70"/>
      <c r="AV256" s="77"/>
      <c r="AW256" s="78"/>
      <c r="AX256" s="75"/>
      <c r="BA256" s="76"/>
    </row>
    <row r="257" spans="4:53">
      <c r="D257" s="39"/>
      <c r="N257" s="39"/>
      <c r="O257" s="70"/>
      <c r="P257" s="71"/>
      <c r="Q257" s="72"/>
      <c r="T257" s="70"/>
      <c r="U257" s="73"/>
      <c r="V257" s="74"/>
      <c r="W257" s="75"/>
      <c r="Z257" s="76"/>
      <c r="AD257" s="39"/>
      <c r="AO257" s="39"/>
      <c r="AP257" s="70"/>
      <c r="AQ257" s="71"/>
      <c r="AR257" s="72"/>
      <c r="AU257" s="70"/>
      <c r="AV257" s="77"/>
      <c r="AW257" s="78"/>
      <c r="AX257" s="75"/>
      <c r="BA257" s="76"/>
    </row>
    <row r="258" spans="4:53">
      <c r="D258" s="39"/>
      <c r="N258" s="39"/>
      <c r="O258" s="70"/>
      <c r="P258" s="71"/>
      <c r="Q258" s="72"/>
      <c r="T258" s="70"/>
      <c r="U258" s="73"/>
      <c r="V258" s="74"/>
      <c r="W258" s="75"/>
      <c r="Z258" s="76"/>
      <c r="AD258" s="39"/>
      <c r="AO258" s="39"/>
      <c r="AP258" s="70"/>
      <c r="AQ258" s="71"/>
      <c r="AR258" s="72"/>
      <c r="AU258" s="70"/>
      <c r="AV258" s="77"/>
      <c r="AW258" s="78"/>
      <c r="AX258" s="75"/>
      <c r="BA258" s="76"/>
    </row>
    <row r="259" spans="4:53">
      <c r="D259" s="39"/>
      <c r="N259" s="39"/>
      <c r="O259" s="70"/>
      <c r="P259" s="71"/>
      <c r="Q259" s="72"/>
      <c r="T259" s="70"/>
      <c r="U259" s="73"/>
      <c r="V259" s="74"/>
      <c r="W259" s="75"/>
      <c r="Z259" s="76"/>
      <c r="AD259" s="39"/>
      <c r="AO259" s="39"/>
      <c r="AP259" s="70"/>
      <c r="AQ259" s="71"/>
      <c r="AR259" s="72"/>
      <c r="AU259" s="70"/>
      <c r="AV259" s="77"/>
      <c r="AW259" s="78"/>
      <c r="AX259" s="75"/>
      <c r="BA259" s="76"/>
    </row>
    <row r="260" spans="4:53">
      <c r="D260" s="39"/>
      <c r="N260" s="39"/>
      <c r="O260" s="70"/>
      <c r="P260" s="71"/>
      <c r="Q260" s="72"/>
      <c r="T260" s="70"/>
      <c r="U260" s="73"/>
      <c r="V260" s="74"/>
      <c r="W260" s="75"/>
      <c r="Z260" s="76"/>
      <c r="AD260" s="39"/>
      <c r="AO260" s="39"/>
      <c r="AP260" s="70"/>
      <c r="AQ260" s="71"/>
      <c r="AR260" s="72"/>
      <c r="AU260" s="70"/>
      <c r="AV260" s="77"/>
      <c r="AW260" s="78"/>
      <c r="AX260" s="75"/>
      <c r="BA260" s="76"/>
    </row>
    <row r="261" spans="4:53">
      <c r="D261" s="39"/>
      <c r="N261" s="39"/>
      <c r="O261" s="70"/>
      <c r="P261" s="71"/>
      <c r="Q261" s="72"/>
      <c r="T261" s="70"/>
      <c r="U261" s="73"/>
      <c r="V261" s="74"/>
      <c r="W261" s="75"/>
      <c r="Z261" s="76"/>
      <c r="AD261" s="39"/>
      <c r="AO261" s="39"/>
      <c r="AP261" s="70"/>
      <c r="AQ261" s="71"/>
      <c r="AR261" s="72"/>
      <c r="AU261" s="70"/>
      <c r="AV261" s="77"/>
      <c r="AW261" s="78"/>
      <c r="AX261" s="75"/>
      <c r="BA261" s="76"/>
    </row>
    <row r="262" spans="4:53">
      <c r="D262" s="39"/>
      <c r="N262" s="39"/>
      <c r="O262" s="70"/>
      <c r="P262" s="71"/>
      <c r="Q262" s="72"/>
      <c r="T262" s="70"/>
      <c r="U262" s="73"/>
      <c r="V262" s="74"/>
      <c r="W262" s="75"/>
      <c r="Z262" s="76"/>
      <c r="AD262" s="39"/>
      <c r="AO262" s="39"/>
      <c r="AP262" s="70"/>
      <c r="AQ262" s="71"/>
      <c r="AR262" s="72"/>
      <c r="AU262" s="70"/>
      <c r="AV262" s="77"/>
      <c r="AW262" s="78"/>
      <c r="AX262" s="75"/>
      <c r="BA262" s="76"/>
    </row>
    <row r="263" spans="4:53">
      <c r="D263" s="39"/>
      <c r="N263" s="39"/>
      <c r="O263" s="70"/>
      <c r="P263" s="71"/>
      <c r="Q263" s="72"/>
      <c r="T263" s="70"/>
      <c r="U263" s="73"/>
      <c r="V263" s="74"/>
      <c r="W263" s="75"/>
      <c r="Z263" s="76"/>
      <c r="AD263" s="39"/>
      <c r="AO263" s="39"/>
      <c r="AP263" s="70"/>
      <c r="AQ263" s="71"/>
      <c r="AR263" s="72"/>
      <c r="AU263" s="70"/>
      <c r="AV263" s="77"/>
      <c r="AW263" s="78"/>
      <c r="AX263" s="75"/>
      <c r="BA263" s="76"/>
    </row>
    <row r="264" spans="4:53">
      <c r="D264" s="39"/>
      <c r="N264" s="39"/>
      <c r="O264" s="70"/>
      <c r="P264" s="71"/>
      <c r="Q264" s="72"/>
      <c r="T264" s="70"/>
      <c r="U264" s="73"/>
      <c r="V264" s="74"/>
      <c r="W264" s="75"/>
      <c r="Z264" s="76"/>
      <c r="AD264" s="39"/>
      <c r="AO264" s="39"/>
      <c r="AP264" s="70"/>
      <c r="AQ264" s="71"/>
      <c r="AR264" s="72"/>
      <c r="AU264" s="70"/>
      <c r="AV264" s="77"/>
      <c r="AW264" s="78"/>
      <c r="AX264" s="75"/>
      <c r="BA264" s="76"/>
    </row>
    <row r="265" spans="4:53">
      <c r="D265" s="39"/>
      <c r="N265" s="39"/>
      <c r="O265" s="70"/>
      <c r="P265" s="71"/>
      <c r="Q265" s="72"/>
      <c r="T265" s="70"/>
      <c r="U265" s="73"/>
      <c r="V265" s="74"/>
      <c r="W265" s="75"/>
      <c r="Z265" s="76"/>
      <c r="AD265" s="39"/>
      <c r="AO265" s="39"/>
      <c r="AP265" s="70"/>
      <c r="AQ265" s="71"/>
      <c r="AR265" s="72"/>
      <c r="AU265" s="70"/>
      <c r="AV265" s="77"/>
      <c r="AW265" s="78"/>
      <c r="AX265" s="75"/>
      <c r="BA265" s="76"/>
    </row>
    <row r="266" spans="4:53">
      <c r="D266" s="39"/>
      <c r="N266" s="39"/>
      <c r="O266" s="70"/>
      <c r="P266" s="71"/>
      <c r="Q266" s="72"/>
      <c r="T266" s="70"/>
      <c r="U266" s="73"/>
      <c r="V266" s="74"/>
      <c r="W266" s="75"/>
      <c r="Z266" s="76"/>
      <c r="AD266" s="39"/>
      <c r="AO266" s="39"/>
      <c r="AP266" s="70"/>
      <c r="AQ266" s="71"/>
      <c r="AR266" s="72"/>
      <c r="AU266" s="70"/>
      <c r="AV266" s="77"/>
      <c r="AW266" s="78"/>
      <c r="AX266" s="75"/>
      <c r="BA266" s="76"/>
    </row>
    <row r="267" spans="4:53">
      <c r="D267" s="39"/>
      <c r="N267" s="39"/>
      <c r="O267" s="70"/>
      <c r="P267" s="71"/>
      <c r="Q267" s="72"/>
      <c r="T267" s="70"/>
      <c r="U267" s="73"/>
      <c r="V267" s="74"/>
      <c r="W267" s="75"/>
      <c r="Z267" s="76"/>
      <c r="AD267" s="39"/>
      <c r="AO267" s="39"/>
      <c r="AP267" s="70"/>
      <c r="AQ267" s="71"/>
      <c r="AR267" s="72"/>
      <c r="AU267" s="70"/>
      <c r="AV267" s="77"/>
      <c r="AW267" s="78"/>
      <c r="AX267" s="75"/>
      <c r="BA267" s="76"/>
    </row>
    <row r="268" spans="4:53">
      <c r="D268" s="39"/>
      <c r="N268" s="39"/>
      <c r="O268" s="70"/>
      <c r="P268" s="71"/>
      <c r="Q268" s="72"/>
      <c r="T268" s="70"/>
      <c r="U268" s="73"/>
      <c r="V268" s="74"/>
      <c r="W268" s="75"/>
      <c r="Z268" s="76"/>
      <c r="AD268" s="39"/>
      <c r="AO268" s="39"/>
      <c r="AP268" s="70"/>
      <c r="AQ268" s="71"/>
      <c r="AR268" s="72"/>
      <c r="AU268" s="70"/>
      <c r="AV268" s="77"/>
      <c r="AW268" s="78"/>
      <c r="AX268" s="75"/>
      <c r="BA268" s="76"/>
    </row>
    <row r="269" spans="4:53">
      <c r="D269" s="39"/>
      <c r="N269" s="39"/>
      <c r="O269" s="70"/>
      <c r="P269" s="71"/>
      <c r="Q269" s="72"/>
      <c r="T269" s="70"/>
      <c r="U269" s="73"/>
      <c r="V269" s="74"/>
      <c r="W269" s="75"/>
      <c r="Z269" s="76"/>
      <c r="AD269" s="39"/>
      <c r="AO269" s="39"/>
      <c r="AP269" s="70"/>
      <c r="AQ269" s="71"/>
      <c r="AR269" s="72"/>
      <c r="AU269" s="70"/>
      <c r="AV269" s="77"/>
      <c r="AW269" s="78"/>
      <c r="AX269" s="75"/>
      <c r="BA269" s="76"/>
    </row>
    <row r="270" spans="4:53">
      <c r="D270" s="39"/>
      <c r="N270" s="39"/>
      <c r="O270" s="70"/>
      <c r="P270" s="71"/>
      <c r="Q270" s="72"/>
      <c r="T270" s="70"/>
      <c r="U270" s="73"/>
      <c r="V270" s="74"/>
      <c r="W270" s="75"/>
      <c r="Z270" s="76"/>
      <c r="AD270" s="39"/>
      <c r="AO270" s="39"/>
      <c r="AP270" s="70"/>
      <c r="AQ270" s="71"/>
      <c r="AR270" s="72"/>
      <c r="AU270" s="70"/>
      <c r="AV270" s="77"/>
      <c r="AW270" s="78"/>
      <c r="AX270" s="75"/>
      <c r="BA270" s="76"/>
    </row>
    <row r="271" spans="4:53">
      <c r="D271" s="39"/>
      <c r="N271" s="39"/>
      <c r="O271" s="70"/>
      <c r="P271" s="71"/>
      <c r="Q271" s="72"/>
      <c r="T271" s="70"/>
      <c r="U271" s="73"/>
      <c r="V271" s="74"/>
      <c r="W271" s="75"/>
      <c r="Z271" s="76"/>
      <c r="AD271" s="39"/>
      <c r="AO271" s="39"/>
      <c r="AP271" s="70"/>
      <c r="AQ271" s="71"/>
      <c r="AR271" s="72"/>
      <c r="AU271" s="70"/>
      <c r="AV271" s="77"/>
      <c r="AW271" s="78"/>
      <c r="AX271" s="75"/>
      <c r="BA271" s="76"/>
    </row>
    <row r="272" spans="4:53">
      <c r="D272" s="39"/>
      <c r="N272" s="39"/>
      <c r="O272" s="70"/>
      <c r="P272" s="71"/>
      <c r="Q272" s="72"/>
      <c r="T272" s="70"/>
      <c r="U272" s="73"/>
      <c r="V272" s="74"/>
      <c r="W272" s="75"/>
      <c r="Z272" s="76"/>
      <c r="AD272" s="39"/>
      <c r="AO272" s="39"/>
      <c r="AP272" s="70"/>
      <c r="AQ272" s="71"/>
      <c r="AR272" s="72"/>
      <c r="AU272" s="70"/>
      <c r="AV272" s="77"/>
      <c r="AW272" s="78"/>
      <c r="AX272" s="75"/>
      <c r="BA272" s="76"/>
    </row>
    <row r="273" spans="4:53">
      <c r="D273" s="39"/>
      <c r="N273" s="39"/>
      <c r="O273" s="70"/>
      <c r="P273" s="71"/>
      <c r="Q273" s="72"/>
      <c r="T273" s="70"/>
      <c r="U273" s="73"/>
      <c r="V273" s="74"/>
      <c r="W273" s="75"/>
      <c r="Z273" s="76"/>
      <c r="AD273" s="39"/>
      <c r="AO273" s="39"/>
      <c r="AP273" s="70"/>
      <c r="AQ273" s="71"/>
      <c r="AR273" s="72"/>
      <c r="AU273" s="70"/>
      <c r="AV273" s="77"/>
      <c r="AW273" s="78"/>
      <c r="AX273" s="75"/>
      <c r="BA273" s="76"/>
    </row>
    <row r="274" spans="4:53">
      <c r="D274" s="39"/>
      <c r="N274" s="39"/>
      <c r="O274" s="70"/>
      <c r="P274" s="71"/>
      <c r="Q274" s="72"/>
      <c r="T274" s="70"/>
      <c r="U274" s="73"/>
      <c r="V274" s="74"/>
      <c r="W274" s="75"/>
      <c r="Z274" s="76"/>
      <c r="AD274" s="39"/>
      <c r="AO274" s="39"/>
      <c r="AP274" s="70"/>
      <c r="AQ274" s="71"/>
      <c r="AR274" s="72"/>
      <c r="AU274" s="70"/>
      <c r="AV274" s="77"/>
      <c r="AW274" s="78"/>
      <c r="AX274" s="75"/>
      <c r="BA274" s="76"/>
    </row>
    <row r="275" spans="4:53">
      <c r="D275" s="39"/>
      <c r="N275" s="39"/>
      <c r="O275" s="70"/>
      <c r="P275" s="71"/>
      <c r="Q275" s="72"/>
      <c r="T275" s="70"/>
      <c r="U275" s="73"/>
      <c r="V275" s="74"/>
      <c r="W275" s="75"/>
      <c r="Z275" s="76"/>
      <c r="AD275" s="39"/>
      <c r="AO275" s="39"/>
      <c r="AP275" s="70"/>
      <c r="AQ275" s="71"/>
      <c r="AR275" s="72"/>
      <c r="AU275" s="70"/>
      <c r="AV275" s="77"/>
      <c r="AW275" s="78"/>
      <c r="AX275" s="75"/>
      <c r="BA275" s="76"/>
    </row>
    <row r="276" spans="4:53">
      <c r="D276" s="39"/>
      <c r="N276" s="39"/>
      <c r="O276" s="70"/>
      <c r="P276" s="71"/>
      <c r="Q276" s="72"/>
      <c r="T276" s="70"/>
      <c r="U276" s="73"/>
      <c r="V276" s="74"/>
      <c r="W276" s="75"/>
      <c r="Z276" s="76"/>
      <c r="AD276" s="39"/>
      <c r="AO276" s="39"/>
      <c r="AP276" s="70"/>
      <c r="AQ276" s="71"/>
      <c r="AR276" s="72"/>
      <c r="AU276" s="70"/>
      <c r="AV276" s="77"/>
      <c r="AW276" s="78"/>
      <c r="AX276" s="75"/>
      <c r="BA276" s="76"/>
    </row>
    <row r="277" spans="4:53">
      <c r="D277" s="39"/>
      <c r="N277" s="39"/>
      <c r="O277" s="70"/>
      <c r="P277" s="71"/>
      <c r="Q277" s="72"/>
      <c r="T277" s="70"/>
      <c r="U277" s="73"/>
      <c r="V277" s="74"/>
      <c r="W277" s="75"/>
      <c r="Z277" s="76"/>
      <c r="AD277" s="39"/>
      <c r="AO277" s="39"/>
      <c r="AP277" s="70"/>
      <c r="AQ277" s="71"/>
      <c r="AR277" s="72"/>
      <c r="AU277" s="70"/>
      <c r="AV277" s="77"/>
      <c r="AW277" s="78"/>
      <c r="AX277" s="75"/>
      <c r="BA277" s="76"/>
    </row>
    <row r="278" spans="4:53">
      <c r="D278" s="39"/>
      <c r="N278" s="39"/>
      <c r="O278" s="70"/>
      <c r="P278" s="71"/>
      <c r="Q278" s="72"/>
      <c r="T278" s="70"/>
      <c r="U278" s="73"/>
      <c r="V278" s="74"/>
      <c r="W278" s="75"/>
      <c r="Z278" s="76"/>
      <c r="AD278" s="39"/>
      <c r="AO278" s="39"/>
      <c r="AP278" s="70"/>
      <c r="AQ278" s="71"/>
      <c r="AR278" s="72"/>
      <c r="AU278" s="70"/>
      <c r="AV278" s="77"/>
      <c r="AW278" s="78"/>
      <c r="AX278" s="75"/>
      <c r="BA278" s="76"/>
    </row>
    <row r="279" spans="4:53">
      <c r="D279" s="39"/>
      <c r="N279" s="39"/>
      <c r="O279" s="70"/>
      <c r="P279" s="71"/>
      <c r="Q279" s="72"/>
      <c r="T279" s="70"/>
      <c r="U279" s="73"/>
      <c r="V279" s="74"/>
      <c r="W279" s="75"/>
      <c r="Z279" s="76"/>
      <c r="AD279" s="39"/>
      <c r="AO279" s="39"/>
      <c r="AP279" s="70"/>
      <c r="AQ279" s="71"/>
      <c r="AR279" s="72"/>
      <c r="AU279" s="70"/>
      <c r="AV279" s="77"/>
      <c r="AW279" s="78"/>
      <c r="AX279" s="75"/>
      <c r="BA279" s="76"/>
    </row>
    <row r="280" spans="4:53">
      <c r="D280" s="39"/>
      <c r="N280" s="39"/>
      <c r="O280" s="70"/>
      <c r="P280" s="71"/>
      <c r="Q280" s="72"/>
      <c r="T280" s="70"/>
      <c r="U280" s="73"/>
      <c r="V280" s="74"/>
      <c r="W280" s="75"/>
      <c r="Z280" s="76"/>
      <c r="AD280" s="39"/>
      <c r="AO280" s="39"/>
      <c r="AP280" s="70"/>
      <c r="AQ280" s="71"/>
      <c r="AR280" s="72"/>
      <c r="AU280" s="70"/>
      <c r="AV280" s="77"/>
      <c r="AW280" s="78"/>
      <c r="AX280" s="75"/>
      <c r="BA280" s="76"/>
    </row>
    <row r="281" spans="4:53">
      <c r="D281" s="39"/>
      <c r="N281" s="39"/>
      <c r="O281" s="70"/>
      <c r="P281" s="71"/>
      <c r="Q281" s="72"/>
      <c r="T281" s="70"/>
      <c r="U281" s="73"/>
      <c r="V281" s="74"/>
      <c r="W281" s="75"/>
      <c r="Z281" s="76"/>
      <c r="AD281" s="39"/>
      <c r="AO281" s="39"/>
      <c r="AP281" s="70"/>
      <c r="AQ281" s="71"/>
      <c r="AR281" s="72"/>
      <c r="AU281" s="70"/>
      <c r="AV281" s="77"/>
      <c r="AW281" s="78"/>
      <c r="AX281" s="75"/>
      <c r="BA281" s="76"/>
    </row>
    <row r="282" spans="4:53">
      <c r="D282" s="39"/>
      <c r="N282" s="39"/>
      <c r="O282" s="70"/>
      <c r="P282" s="71"/>
      <c r="Q282" s="72"/>
      <c r="T282" s="70"/>
      <c r="U282" s="73"/>
      <c r="V282" s="74"/>
      <c r="W282" s="75"/>
      <c r="Z282" s="76"/>
      <c r="AD282" s="39"/>
      <c r="AO282" s="39"/>
      <c r="AP282" s="70"/>
      <c r="AQ282" s="71"/>
      <c r="AR282" s="72"/>
      <c r="AU282" s="70"/>
      <c r="AV282" s="77"/>
      <c r="AW282" s="78"/>
      <c r="AX282" s="75"/>
      <c r="BA282" s="76"/>
    </row>
    <row r="283" spans="4:53">
      <c r="D283" s="39"/>
      <c r="N283" s="39"/>
      <c r="O283" s="70"/>
      <c r="P283" s="71"/>
      <c r="Q283" s="72"/>
      <c r="T283" s="70"/>
      <c r="U283" s="73"/>
      <c r="V283" s="74"/>
      <c r="W283" s="75"/>
      <c r="Z283" s="76"/>
      <c r="AD283" s="39"/>
      <c r="AO283" s="39"/>
      <c r="AP283" s="70"/>
      <c r="AQ283" s="71"/>
      <c r="AR283" s="72"/>
      <c r="AU283" s="70"/>
      <c r="AV283" s="77"/>
      <c r="AW283" s="78"/>
      <c r="AX283" s="75"/>
      <c r="BA283" s="76"/>
    </row>
    <row r="284" spans="4:53">
      <c r="D284" s="39"/>
      <c r="N284" s="39"/>
      <c r="O284" s="70"/>
      <c r="P284" s="71"/>
      <c r="Q284" s="72"/>
      <c r="T284" s="70"/>
      <c r="U284" s="73"/>
      <c r="V284" s="74"/>
      <c r="W284" s="75"/>
      <c r="Z284" s="76"/>
      <c r="AD284" s="39"/>
      <c r="AO284" s="39"/>
      <c r="AP284" s="70"/>
      <c r="AQ284" s="71"/>
      <c r="AR284" s="72"/>
      <c r="AU284" s="70"/>
      <c r="AV284" s="77"/>
      <c r="AW284" s="78"/>
      <c r="AX284" s="75"/>
      <c r="BA284" s="76"/>
    </row>
    <row r="285" spans="4:53">
      <c r="D285" s="39"/>
      <c r="N285" s="39"/>
      <c r="O285" s="70"/>
      <c r="P285" s="71"/>
      <c r="Q285" s="72"/>
      <c r="T285" s="70"/>
      <c r="U285" s="73"/>
      <c r="V285" s="74"/>
      <c r="W285" s="75"/>
      <c r="Z285" s="76"/>
      <c r="AD285" s="39"/>
      <c r="AO285" s="39"/>
      <c r="AP285" s="70"/>
      <c r="AQ285" s="71"/>
      <c r="AR285" s="72"/>
      <c r="AU285" s="70"/>
      <c r="AV285" s="77"/>
      <c r="AW285" s="78"/>
      <c r="AX285" s="75"/>
      <c r="BA285" s="76"/>
    </row>
    <row r="286" spans="4:53">
      <c r="D286" s="39"/>
      <c r="N286" s="39"/>
      <c r="O286" s="70"/>
      <c r="P286" s="71"/>
      <c r="Q286" s="72"/>
      <c r="T286" s="70"/>
      <c r="U286" s="73"/>
      <c r="V286" s="74"/>
      <c r="W286" s="75"/>
      <c r="Z286" s="76"/>
      <c r="AD286" s="39"/>
      <c r="AO286" s="39"/>
      <c r="AP286" s="70"/>
      <c r="AQ286" s="71"/>
      <c r="AR286" s="72"/>
      <c r="AU286" s="70"/>
      <c r="AV286" s="77"/>
      <c r="AW286" s="78"/>
      <c r="AX286" s="75"/>
      <c r="BA286" s="76"/>
    </row>
    <row r="287" spans="4:53">
      <c r="D287" s="39"/>
      <c r="N287" s="39"/>
      <c r="O287" s="70"/>
      <c r="P287" s="71"/>
      <c r="Q287" s="72"/>
      <c r="T287" s="70"/>
      <c r="U287" s="73"/>
      <c r="V287" s="74"/>
      <c r="W287" s="75"/>
      <c r="Z287" s="76"/>
      <c r="AD287" s="39"/>
      <c r="AO287" s="39"/>
      <c r="AP287" s="70"/>
      <c r="AQ287" s="71"/>
      <c r="AR287" s="72"/>
      <c r="AU287" s="70"/>
      <c r="AV287" s="77"/>
      <c r="AW287" s="78"/>
      <c r="AX287" s="75"/>
      <c r="BA287" s="76"/>
    </row>
    <row r="288" spans="4:53">
      <c r="D288" s="39"/>
      <c r="N288" s="39"/>
      <c r="O288" s="70"/>
      <c r="P288" s="71"/>
      <c r="Q288" s="72"/>
      <c r="T288" s="70"/>
      <c r="U288" s="73"/>
      <c r="V288" s="74"/>
      <c r="W288" s="75"/>
      <c r="Z288" s="76"/>
      <c r="AD288" s="39"/>
      <c r="AO288" s="39"/>
      <c r="AP288" s="70"/>
      <c r="AQ288" s="71"/>
      <c r="AR288" s="72"/>
      <c r="AU288" s="70"/>
      <c r="AV288" s="77"/>
      <c r="AW288" s="78"/>
      <c r="AX288" s="75"/>
      <c r="BA288" s="76"/>
    </row>
    <row r="289" spans="4:53">
      <c r="D289" s="39"/>
      <c r="N289" s="39"/>
      <c r="O289" s="70"/>
      <c r="P289" s="71"/>
      <c r="Q289" s="72"/>
      <c r="T289" s="70"/>
      <c r="U289" s="73"/>
      <c r="V289" s="74"/>
      <c r="W289" s="75"/>
      <c r="Z289" s="76"/>
      <c r="AD289" s="39"/>
      <c r="AO289" s="39"/>
      <c r="AP289" s="70"/>
      <c r="AQ289" s="71"/>
      <c r="AR289" s="72"/>
      <c r="AU289" s="70"/>
      <c r="AV289" s="77"/>
      <c r="AW289" s="78"/>
      <c r="AX289" s="75"/>
      <c r="BA289" s="76"/>
    </row>
    <row r="290" spans="4:53">
      <c r="D290" s="39"/>
      <c r="N290" s="39"/>
      <c r="O290" s="70"/>
      <c r="P290" s="71"/>
      <c r="Q290" s="72"/>
      <c r="T290" s="70"/>
      <c r="U290" s="73"/>
      <c r="V290" s="74"/>
      <c r="W290" s="75"/>
      <c r="Z290" s="76"/>
      <c r="AD290" s="39"/>
      <c r="AO290" s="39"/>
      <c r="AP290" s="70"/>
      <c r="AQ290" s="71"/>
      <c r="AR290" s="72"/>
      <c r="AU290" s="70"/>
      <c r="AV290" s="77"/>
      <c r="AW290" s="78"/>
      <c r="AX290" s="75"/>
      <c r="BA290" s="76"/>
    </row>
    <row r="291" spans="4:53">
      <c r="D291" s="39"/>
      <c r="N291" s="39"/>
      <c r="O291" s="70"/>
      <c r="P291" s="71"/>
      <c r="Q291" s="72"/>
      <c r="T291" s="70"/>
      <c r="U291" s="73"/>
      <c r="V291" s="74"/>
      <c r="W291" s="75"/>
      <c r="Z291" s="76"/>
      <c r="AD291" s="39"/>
      <c r="AO291" s="39"/>
      <c r="AP291" s="70"/>
      <c r="AQ291" s="71"/>
      <c r="AR291" s="72"/>
      <c r="AU291" s="70"/>
      <c r="AV291" s="77"/>
      <c r="AW291" s="78"/>
      <c r="AX291" s="75"/>
      <c r="BA291" s="76"/>
    </row>
    <row r="292" spans="4:53">
      <c r="D292" s="39"/>
      <c r="N292" s="39"/>
      <c r="O292" s="70"/>
      <c r="P292" s="71"/>
      <c r="Q292" s="72"/>
      <c r="T292" s="70"/>
      <c r="U292" s="73"/>
      <c r="V292" s="74"/>
      <c r="W292" s="75"/>
      <c r="Z292" s="76"/>
      <c r="AD292" s="39"/>
      <c r="AO292" s="39"/>
      <c r="AP292" s="70"/>
      <c r="AQ292" s="71"/>
      <c r="AR292" s="72"/>
      <c r="AU292" s="70"/>
      <c r="AV292" s="77"/>
      <c r="AW292" s="78"/>
      <c r="AX292" s="75"/>
      <c r="BA292" s="76"/>
    </row>
    <row r="293" spans="4:53">
      <c r="D293" s="39"/>
      <c r="N293" s="39"/>
      <c r="O293" s="70"/>
      <c r="P293" s="71"/>
      <c r="Q293" s="72"/>
      <c r="T293" s="70"/>
      <c r="U293" s="73"/>
      <c r="V293" s="74"/>
      <c r="W293" s="75"/>
      <c r="Z293" s="76"/>
      <c r="AD293" s="39"/>
      <c r="AO293" s="39"/>
      <c r="AP293" s="70"/>
      <c r="AQ293" s="71"/>
      <c r="AR293" s="72"/>
      <c r="AU293" s="70"/>
      <c r="AV293" s="77"/>
      <c r="AW293" s="78"/>
      <c r="AX293" s="75"/>
      <c r="BA293" s="76"/>
    </row>
    <row r="294" spans="4:53">
      <c r="D294" s="39"/>
      <c r="N294" s="39"/>
      <c r="O294" s="70"/>
      <c r="P294" s="71"/>
      <c r="Q294" s="72"/>
      <c r="T294" s="70"/>
      <c r="U294" s="73"/>
      <c r="V294" s="74"/>
      <c r="W294" s="75"/>
      <c r="Z294" s="76"/>
      <c r="AD294" s="39"/>
      <c r="AO294" s="39"/>
      <c r="AP294" s="70"/>
      <c r="AQ294" s="71"/>
      <c r="AR294" s="72"/>
      <c r="AU294" s="70"/>
      <c r="AV294" s="77"/>
      <c r="AW294" s="78"/>
      <c r="AX294" s="75"/>
      <c r="BA294" s="76"/>
    </row>
    <row r="295" spans="4:53">
      <c r="D295" s="39"/>
      <c r="N295" s="39"/>
      <c r="O295" s="70"/>
      <c r="P295" s="71"/>
      <c r="Q295" s="72"/>
      <c r="T295" s="70"/>
      <c r="U295" s="73"/>
      <c r="V295" s="74"/>
      <c r="W295" s="75"/>
      <c r="Z295" s="76"/>
      <c r="AD295" s="39"/>
      <c r="AO295" s="39"/>
      <c r="AP295" s="70"/>
      <c r="AQ295" s="71"/>
      <c r="AR295" s="72"/>
      <c r="AU295" s="70"/>
      <c r="AV295" s="77"/>
      <c r="AW295" s="78"/>
      <c r="AX295" s="75"/>
      <c r="BA295" s="76"/>
    </row>
    <row r="296" spans="4:53">
      <c r="D296" s="39"/>
      <c r="N296" s="39"/>
      <c r="O296" s="70"/>
      <c r="P296" s="71"/>
      <c r="Q296" s="72"/>
      <c r="T296" s="70"/>
      <c r="U296" s="73"/>
      <c r="V296" s="74"/>
      <c r="W296" s="75"/>
      <c r="Z296" s="76"/>
      <c r="AD296" s="39"/>
      <c r="AO296" s="39"/>
      <c r="AP296" s="70"/>
      <c r="AQ296" s="71"/>
      <c r="AR296" s="72"/>
      <c r="AU296" s="70"/>
      <c r="AV296" s="77"/>
      <c r="AW296" s="78"/>
      <c r="AX296" s="75"/>
      <c r="BA296" s="76"/>
    </row>
    <row r="297" spans="4:53">
      <c r="D297" s="39"/>
      <c r="N297" s="39"/>
      <c r="O297" s="70"/>
      <c r="P297" s="71"/>
      <c r="Q297" s="72"/>
      <c r="T297" s="70"/>
      <c r="U297" s="73"/>
      <c r="V297" s="74"/>
      <c r="W297" s="75"/>
      <c r="Z297" s="76"/>
      <c r="AD297" s="39"/>
      <c r="AO297" s="39"/>
      <c r="AP297" s="70"/>
      <c r="AQ297" s="71"/>
      <c r="AR297" s="72"/>
      <c r="AU297" s="70"/>
      <c r="AV297" s="77"/>
      <c r="AW297" s="78"/>
      <c r="AX297" s="75"/>
      <c r="BA297" s="76"/>
    </row>
    <row r="298" spans="4:53">
      <c r="D298" s="39"/>
      <c r="N298" s="39"/>
      <c r="O298" s="70"/>
      <c r="P298" s="71"/>
      <c r="Q298" s="72"/>
      <c r="T298" s="70"/>
      <c r="U298" s="73"/>
      <c r="V298" s="74"/>
      <c r="W298" s="75"/>
      <c r="Z298" s="76"/>
      <c r="AD298" s="39"/>
      <c r="AO298" s="39"/>
      <c r="AP298" s="70"/>
      <c r="AQ298" s="71"/>
      <c r="AR298" s="72"/>
      <c r="AU298" s="70"/>
      <c r="AV298" s="77"/>
      <c r="AW298" s="78"/>
      <c r="AX298" s="75"/>
      <c r="BA298" s="76"/>
    </row>
    <row r="299" spans="4:53">
      <c r="D299" s="39"/>
      <c r="N299" s="39"/>
      <c r="O299" s="70"/>
      <c r="P299" s="71"/>
      <c r="Q299" s="72"/>
      <c r="T299" s="70"/>
      <c r="U299" s="73"/>
      <c r="V299" s="74"/>
      <c r="W299" s="75"/>
      <c r="Z299" s="76"/>
      <c r="AD299" s="39"/>
      <c r="AO299" s="39"/>
      <c r="AP299" s="70"/>
      <c r="AQ299" s="71"/>
      <c r="AR299" s="72"/>
      <c r="AU299" s="70"/>
      <c r="AV299" s="77"/>
      <c r="AW299" s="78"/>
      <c r="AX299" s="75"/>
      <c r="BA299" s="76"/>
    </row>
    <row r="300" spans="4:53">
      <c r="D300" s="39"/>
      <c r="N300" s="39"/>
      <c r="O300" s="70"/>
      <c r="P300" s="71"/>
      <c r="Q300" s="72"/>
      <c r="T300" s="70"/>
      <c r="U300" s="73"/>
      <c r="V300" s="74"/>
      <c r="W300" s="75"/>
      <c r="Z300" s="76"/>
      <c r="AD300" s="39"/>
      <c r="AO300" s="39"/>
      <c r="AP300" s="70"/>
      <c r="AQ300" s="71"/>
      <c r="AR300" s="72"/>
      <c r="AU300" s="70"/>
      <c r="AV300" s="77"/>
      <c r="AW300" s="78"/>
      <c r="AX300" s="75"/>
      <c r="BA300" s="76"/>
    </row>
    <row r="301" spans="4:53">
      <c r="D301" s="39"/>
      <c r="N301" s="39"/>
      <c r="O301" s="70"/>
      <c r="P301" s="71"/>
      <c r="Q301" s="72"/>
      <c r="T301" s="70"/>
      <c r="U301" s="73"/>
      <c r="V301" s="74"/>
      <c r="W301" s="75"/>
      <c r="Z301" s="76"/>
      <c r="AD301" s="39"/>
      <c r="AO301" s="39"/>
      <c r="AP301" s="70"/>
      <c r="AQ301" s="71"/>
      <c r="AR301" s="72"/>
      <c r="AU301" s="70"/>
      <c r="AV301" s="77"/>
      <c r="AW301" s="78"/>
      <c r="AX301" s="75"/>
      <c r="BA301" s="76"/>
    </row>
    <row r="302" spans="4:53">
      <c r="D302" s="39"/>
      <c r="N302" s="39"/>
      <c r="O302" s="70"/>
      <c r="P302" s="71"/>
      <c r="Q302" s="72"/>
      <c r="T302" s="70"/>
      <c r="U302" s="73"/>
      <c r="V302" s="74"/>
      <c r="W302" s="75"/>
      <c r="Z302" s="76"/>
      <c r="AD302" s="39"/>
      <c r="AO302" s="39"/>
      <c r="AP302" s="70"/>
      <c r="AQ302" s="71"/>
      <c r="AR302" s="72"/>
      <c r="AU302" s="70"/>
      <c r="AV302" s="77"/>
      <c r="AW302" s="78"/>
      <c r="AX302" s="75"/>
      <c r="BA302" s="76"/>
    </row>
    <row r="303" spans="4:53">
      <c r="D303" s="39"/>
      <c r="N303" s="39"/>
      <c r="O303" s="70"/>
      <c r="P303" s="71"/>
      <c r="Q303" s="72"/>
      <c r="T303" s="70"/>
      <c r="U303" s="73"/>
      <c r="V303" s="74"/>
      <c r="W303" s="75"/>
      <c r="Z303" s="76"/>
      <c r="AD303" s="39"/>
      <c r="AO303" s="39"/>
      <c r="AP303" s="70"/>
      <c r="AQ303" s="71"/>
      <c r="AR303" s="72"/>
      <c r="AU303" s="70"/>
      <c r="AV303" s="77"/>
      <c r="AW303" s="78"/>
      <c r="AX303" s="75"/>
      <c r="BA303" s="76"/>
    </row>
    <row r="304" spans="4:53">
      <c r="D304" s="39"/>
      <c r="N304" s="39"/>
      <c r="O304" s="70"/>
      <c r="P304" s="71"/>
      <c r="Q304" s="72"/>
      <c r="T304" s="70"/>
      <c r="U304" s="73"/>
      <c r="V304" s="74"/>
      <c r="W304" s="75"/>
      <c r="Z304" s="76"/>
      <c r="AD304" s="39"/>
      <c r="AO304" s="39"/>
      <c r="AP304" s="70"/>
      <c r="AQ304" s="71"/>
      <c r="AR304" s="72"/>
      <c r="AU304" s="70"/>
      <c r="AV304" s="77"/>
      <c r="AW304" s="78"/>
      <c r="AX304" s="75"/>
      <c r="BA304" s="76"/>
    </row>
    <row r="305" spans="4:53">
      <c r="D305" s="39"/>
      <c r="N305" s="39"/>
      <c r="O305" s="70"/>
      <c r="P305" s="71"/>
      <c r="Q305" s="72"/>
      <c r="T305" s="70"/>
      <c r="U305" s="73"/>
      <c r="V305" s="74"/>
      <c r="W305" s="75"/>
      <c r="Z305" s="76"/>
      <c r="AD305" s="39"/>
      <c r="AO305" s="39"/>
      <c r="AP305" s="70"/>
      <c r="AQ305" s="71"/>
      <c r="AR305" s="72"/>
      <c r="AU305" s="70"/>
      <c r="AV305" s="77"/>
      <c r="AW305" s="78"/>
      <c r="AX305" s="75"/>
      <c r="BA305" s="76"/>
    </row>
    <row r="306" spans="4:53">
      <c r="D306" s="39"/>
      <c r="N306" s="39"/>
      <c r="O306" s="70"/>
      <c r="P306" s="71"/>
      <c r="Q306" s="72"/>
      <c r="T306" s="70"/>
      <c r="U306" s="73"/>
      <c r="V306" s="74"/>
      <c r="W306" s="75"/>
      <c r="Z306" s="76"/>
      <c r="AD306" s="39"/>
      <c r="AO306" s="39"/>
      <c r="AP306" s="70"/>
      <c r="AQ306" s="71"/>
      <c r="AR306" s="72"/>
      <c r="AU306" s="70"/>
      <c r="AV306" s="77"/>
      <c r="AW306" s="78"/>
      <c r="AX306" s="75"/>
      <c r="BA306" s="76"/>
    </row>
    <row r="307" spans="4:53">
      <c r="D307" s="39"/>
      <c r="N307" s="39"/>
      <c r="O307" s="70"/>
      <c r="P307" s="71"/>
      <c r="Q307" s="72"/>
      <c r="T307" s="70"/>
      <c r="U307" s="73"/>
      <c r="V307" s="74"/>
      <c r="W307" s="75"/>
      <c r="Z307" s="76"/>
      <c r="AD307" s="39"/>
      <c r="AO307" s="39"/>
      <c r="AP307" s="70"/>
      <c r="AQ307" s="71"/>
      <c r="AR307" s="72"/>
      <c r="AU307" s="70"/>
      <c r="AV307" s="77"/>
      <c r="AW307" s="78"/>
      <c r="AX307" s="75"/>
      <c r="BA307" s="76"/>
    </row>
    <row r="308" spans="4:53">
      <c r="D308" s="39"/>
      <c r="N308" s="39"/>
      <c r="O308" s="70"/>
      <c r="P308" s="71"/>
      <c r="Q308" s="72"/>
      <c r="T308" s="70"/>
      <c r="U308" s="73"/>
      <c r="V308" s="74"/>
      <c r="W308" s="75"/>
      <c r="Z308" s="76"/>
      <c r="AD308" s="39"/>
      <c r="AO308" s="39"/>
      <c r="AP308" s="70"/>
      <c r="AQ308" s="71"/>
      <c r="AR308" s="72"/>
      <c r="AU308" s="70"/>
      <c r="AV308" s="77"/>
      <c r="AW308" s="78"/>
      <c r="AX308" s="75"/>
      <c r="BA308" s="76"/>
    </row>
    <row r="309" spans="4:53">
      <c r="D309" s="39"/>
      <c r="N309" s="39"/>
      <c r="O309" s="70"/>
      <c r="P309" s="71"/>
      <c r="Q309" s="72"/>
      <c r="T309" s="70"/>
      <c r="U309" s="73"/>
      <c r="V309" s="74"/>
      <c r="W309" s="75"/>
      <c r="Z309" s="76"/>
      <c r="AD309" s="39"/>
      <c r="AO309" s="39"/>
      <c r="AP309" s="70"/>
      <c r="AQ309" s="71"/>
      <c r="AR309" s="72"/>
      <c r="AU309" s="70"/>
      <c r="AV309" s="77"/>
      <c r="AW309" s="78"/>
      <c r="AX309" s="75"/>
      <c r="BA309" s="76"/>
    </row>
    <row r="310" spans="4:53">
      <c r="D310" s="39"/>
      <c r="N310" s="39"/>
      <c r="O310" s="70"/>
      <c r="P310" s="71"/>
      <c r="Q310" s="72"/>
      <c r="T310" s="70"/>
      <c r="U310" s="73"/>
      <c r="V310" s="74"/>
      <c r="W310" s="75"/>
      <c r="Z310" s="76"/>
      <c r="AD310" s="39"/>
      <c r="AO310" s="39"/>
      <c r="AP310" s="70"/>
      <c r="AQ310" s="71"/>
      <c r="AR310" s="72"/>
      <c r="AU310" s="70"/>
      <c r="AV310" s="77"/>
      <c r="AW310" s="78"/>
      <c r="AX310" s="75"/>
      <c r="BA310" s="76"/>
    </row>
    <row r="311" spans="4:53">
      <c r="D311" s="39"/>
      <c r="N311" s="39"/>
      <c r="O311" s="70"/>
      <c r="P311" s="71"/>
      <c r="Q311" s="72"/>
      <c r="T311" s="70"/>
      <c r="U311" s="73"/>
      <c r="V311" s="74"/>
      <c r="W311" s="75"/>
      <c r="Z311" s="76"/>
      <c r="AD311" s="39"/>
      <c r="AO311" s="39"/>
      <c r="AP311" s="70"/>
      <c r="AQ311" s="71"/>
      <c r="AR311" s="72"/>
      <c r="AU311" s="70"/>
      <c r="AV311" s="77"/>
      <c r="AW311" s="78"/>
      <c r="AX311" s="75"/>
      <c r="BA311" s="76"/>
    </row>
    <row r="312" spans="4:53">
      <c r="D312" s="39"/>
      <c r="N312" s="39"/>
      <c r="O312" s="70"/>
      <c r="P312" s="71"/>
      <c r="Q312" s="72"/>
      <c r="T312" s="70"/>
      <c r="U312" s="73"/>
      <c r="V312" s="74"/>
      <c r="W312" s="75"/>
      <c r="Z312" s="76"/>
      <c r="AD312" s="39"/>
      <c r="AO312" s="39"/>
      <c r="AP312" s="70"/>
      <c r="AQ312" s="71"/>
      <c r="AR312" s="72"/>
      <c r="AU312" s="70"/>
      <c r="AV312" s="77"/>
      <c r="AW312" s="78"/>
      <c r="AX312" s="75"/>
      <c r="BA312" s="76"/>
    </row>
    <row r="313" spans="4:53">
      <c r="D313" s="39"/>
      <c r="N313" s="39"/>
      <c r="O313" s="70"/>
      <c r="P313" s="71"/>
      <c r="Q313" s="72"/>
      <c r="T313" s="70"/>
      <c r="U313" s="73"/>
      <c r="V313" s="74"/>
      <c r="W313" s="75"/>
      <c r="Z313" s="76"/>
      <c r="AD313" s="39"/>
      <c r="AO313" s="39"/>
      <c r="AP313" s="70"/>
      <c r="AQ313" s="71"/>
      <c r="AR313" s="72"/>
      <c r="AU313" s="70"/>
      <c r="AV313" s="77"/>
      <c r="AW313" s="78"/>
      <c r="AX313" s="75"/>
      <c r="BA313" s="76"/>
    </row>
    <row r="314" spans="4:53">
      <c r="D314" s="39"/>
      <c r="N314" s="39"/>
      <c r="O314" s="70"/>
      <c r="P314" s="71"/>
      <c r="Q314" s="72"/>
      <c r="T314" s="70"/>
      <c r="U314" s="73"/>
      <c r="V314" s="74"/>
      <c r="W314" s="75"/>
      <c r="Z314" s="76"/>
      <c r="AD314" s="39"/>
      <c r="AO314" s="39"/>
      <c r="AP314" s="70"/>
      <c r="AQ314" s="71"/>
      <c r="AR314" s="72"/>
      <c r="AU314" s="70"/>
      <c r="AV314" s="77"/>
      <c r="AW314" s="78"/>
      <c r="AX314" s="75"/>
      <c r="BA314" s="76"/>
    </row>
    <row r="315" spans="4:53">
      <c r="D315" s="39"/>
      <c r="N315" s="39"/>
      <c r="O315" s="70"/>
      <c r="P315" s="71"/>
      <c r="Q315" s="72"/>
      <c r="T315" s="70"/>
      <c r="U315" s="73"/>
      <c r="V315" s="74"/>
      <c r="W315" s="75"/>
      <c r="Z315" s="76"/>
      <c r="AD315" s="39"/>
      <c r="AO315" s="39"/>
      <c r="AP315" s="70"/>
      <c r="AQ315" s="71"/>
      <c r="AR315" s="72"/>
      <c r="AU315" s="70"/>
      <c r="AV315" s="77"/>
      <c r="AW315" s="78"/>
      <c r="AX315" s="75"/>
      <c r="BA315" s="76"/>
    </row>
    <row r="316" spans="4:53">
      <c r="D316" s="39"/>
      <c r="N316" s="39"/>
      <c r="O316" s="70"/>
      <c r="P316" s="71"/>
      <c r="Q316" s="72"/>
      <c r="T316" s="70"/>
      <c r="U316" s="73"/>
      <c r="V316" s="74"/>
      <c r="W316" s="75"/>
      <c r="Z316" s="76"/>
      <c r="AD316" s="39"/>
      <c r="AO316" s="39"/>
      <c r="AP316" s="70"/>
      <c r="AQ316" s="71"/>
      <c r="AR316" s="72"/>
      <c r="AU316" s="70"/>
      <c r="AV316" s="77"/>
      <c r="AW316" s="78"/>
      <c r="AX316" s="75"/>
      <c r="BA316" s="76"/>
    </row>
    <row r="317" spans="4:53">
      <c r="D317" s="39"/>
      <c r="N317" s="39"/>
      <c r="O317" s="70"/>
      <c r="P317" s="71"/>
      <c r="Q317" s="72"/>
      <c r="T317" s="70"/>
      <c r="U317" s="73"/>
      <c r="V317" s="74"/>
      <c r="W317" s="75"/>
      <c r="Z317" s="76"/>
      <c r="AD317" s="39"/>
      <c r="AO317" s="39"/>
      <c r="AP317" s="70"/>
      <c r="AQ317" s="71"/>
      <c r="AR317" s="72"/>
      <c r="AU317" s="70"/>
      <c r="AV317" s="77"/>
      <c r="AW317" s="78"/>
      <c r="AX317" s="75"/>
      <c r="BA317" s="76"/>
    </row>
    <row r="318" spans="4:53">
      <c r="D318" s="39"/>
      <c r="N318" s="39"/>
      <c r="O318" s="70"/>
      <c r="P318" s="71"/>
      <c r="Q318" s="72"/>
      <c r="T318" s="70"/>
      <c r="U318" s="73"/>
      <c r="V318" s="74"/>
      <c r="W318" s="75"/>
      <c r="Z318" s="76"/>
      <c r="AD318" s="39"/>
      <c r="AO318" s="39"/>
      <c r="AP318" s="70"/>
      <c r="AQ318" s="71"/>
      <c r="AR318" s="72"/>
      <c r="AU318" s="70"/>
      <c r="AV318" s="77"/>
      <c r="AW318" s="78"/>
      <c r="AX318" s="75"/>
      <c r="BA318" s="76"/>
    </row>
    <row r="319" spans="4:53">
      <c r="D319" s="39"/>
      <c r="N319" s="39"/>
      <c r="O319" s="70"/>
      <c r="P319" s="71"/>
      <c r="Q319" s="72"/>
      <c r="T319" s="70"/>
      <c r="U319" s="73"/>
      <c r="V319" s="74"/>
      <c r="W319" s="75"/>
      <c r="Z319" s="76"/>
      <c r="AD319" s="39"/>
      <c r="AO319" s="39"/>
      <c r="AP319" s="70"/>
      <c r="AQ319" s="71"/>
      <c r="AR319" s="72"/>
      <c r="AU319" s="70"/>
      <c r="AV319" s="77"/>
      <c r="AW319" s="78"/>
      <c r="AX319" s="75"/>
      <c r="BA319" s="76"/>
    </row>
    <row r="320" spans="4:53">
      <c r="D320" s="39"/>
      <c r="N320" s="39"/>
      <c r="O320" s="70"/>
      <c r="P320" s="71"/>
      <c r="Q320" s="72"/>
      <c r="T320" s="70"/>
      <c r="U320" s="73"/>
      <c r="V320" s="74"/>
      <c r="W320" s="75"/>
      <c r="Z320" s="76"/>
      <c r="AD320" s="39"/>
      <c r="AO320" s="39"/>
      <c r="AP320" s="70"/>
      <c r="AQ320" s="71"/>
      <c r="AR320" s="72"/>
      <c r="AU320" s="70"/>
      <c r="AV320" s="77"/>
      <c r="AW320" s="78"/>
      <c r="AX320" s="75"/>
      <c r="BA320" s="76"/>
    </row>
    <row r="321" spans="4:53">
      <c r="D321" s="39"/>
      <c r="N321" s="39"/>
      <c r="O321" s="70"/>
      <c r="P321" s="71"/>
      <c r="Q321" s="72"/>
      <c r="T321" s="70"/>
      <c r="U321" s="73"/>
      <c r="V321" s="74"/>
      <c r="W321" s="75"/>
      <c r="Z321" s="76"/>
      <c r="AD321" s="39"/>
      <c r="AO321" s="39"/>
      <c r="AP321" s="70"/>
      <c r="AQ321" s="71"/>
      <c r="AR321" s="72"/>
      <c r="AU321" s="70"/>
      <c r="AV321" s="77"/>
      <c r="AW321" s="78"/>
      <c r="AX321" s="75"/>
      <c r="BA321" s="76"/>
    </row>
    <row r="322" spans="4:53">
      <c r="D322" s="39"/>
      <c r="N322" s="39"/>
      <c r="O322" s="70"/>
      <c r="P322" s="71"/>
      <c r="Q322" s="72"/>
      <c r="T322" s="70"/>
      <c r="U322" s="73"/>
      <c r="V322" s="74"/>
      <c r="W322" s="75"/>
      <c r="Z322" s="76"/>
      <c r="AD322" s="39"/>
      <c r="AO322" s="39"/>
      <c r="AP322" s="70"/>
      <c r="AQ322" s="71"/>
      <c r="AR322" s="72"/>
      <c r="AU322" s="70"/>
      <c r="AV322" s="77"/>
      <c r="AW322" s="78"/>
      <c r="AX322" s="75"/>
      <c r="BA322" s="76"/>
    </row>
    <row r="323" spans="4:53">
      <c r="D323" s="39"/>
      <c r="N323" s="39"/>
      <c r="O323" s="70"/>
      <c r="P323" s="71"/>
      <c r="Q323" s="72"/>
      <c r="T323" s="70"/>
      <c r="U323" s="73"/>
      <c r="V323" s="74"/>
      <c r="W323" s="75"/>
      <c r="Z323" s="76"/>
      <c r="AD323" s="39"/>
      <c r="AO323" s="39"/>
      <c r="AP323" s="70"/>
      <c r="AQ323" s="71"/>
      <c r="AR323" s="72"/>
      <c r="AU323" s="70"/>
      <c r="AV323" s="77"/>
      <c r="AW323" s="78"/>
      <c r="AX323" s="75"/>
      <c r="BA323" s="76"/>
    </row>
    <row r="324" spans="4:53">
      <c r="D324" s="39"/>
      <c r="N324" s="39"/>
      <c r="O324" s="70"/>
      <c r="P324" s="71"/>
      <c r="Q324" s="72"/>
      <c r="T324" s="70"/>
      <c r="U324" s="73"/>
      <c r="V324" s="74"/>
      <c r="W324" s="75"/>
      <c r="Z324" s="76"/>
      <c r="AD324" s="39"/>
      <c r="AO324" s="39"/>
      <c r="AP324" s="70"/>
      <c r="AQ324" s="71"/>
      <c r="AR324" s="72"/>
      <c r="AU324" s="70"/>
      <c r="AV324" s="77"/>
      <c r="AW324" s="78"/>
      <c r="AX324" s="75"/>
      <c r="BA324" s="76"/>
    </row>
    <row r="325" spans="4:53">
      <c r="D325" s="39"/>
      <c r="N325" s="39"/>
      <c r="O325" s="70"/>
      <c r="P325" s="71"/>
      <c r="Q325" s="72"/>
      <c r="T325" s="70"/>
      <c r="U325" s="73"/>
      <c r="V325" s="74"/>
      <c r="W325" s="75"/>
      <c r="Z325" s="76"/>
      <c r="AD325" s="39"/>
      <c r="AO325" s="39"/>
      <c r="AP325" s="70"/>
      <c r="AQ325" s="71"/>
      <c r="AR325" s="72"/>
      <c r="AU325" s="70"/>
      <c r="AV325" s="77"/>
      <c r="AW325" s="78"/>
      <c r="AX325" s="75"/>
      <c r="BA325" s="76"/>
    </row>
    <row r="326" spans="4:53">
      <c r="D326" s="39"/>
      <c r="N326" s="39"/>
      <c r="O326" s="70"/>
      <c r="P326" s="71"/>
      <c r="Q326" s="72"/>
      <c r="T326" s="70"/>
      <c r="U326" s="73"/>
      <c r="V326" s="74"/>
      <c r="W326" s="75"/>
      <c r="Z326" s="76"/>
      <c r="AD326" s="39"/>
      <c r="AO326" s="39"/>
      <c r="AP326" s="70"/>
      <c r="AQ326" s="71"/>
      <c r="AR326" s="72"/>
      <c r="AU326" s="70"/>
      <c r="AV326" s="77"/>
      <c r="AW326" s="78"/>
      <c r="AX326" s="75"/>
      <c r="BA326" s="76"/>
    </row>
    <row r="327" spans="4:53">
      <c r="D327" s="39"/>
      <c r="N327" s="39"/>
      <c r="O327" s="70"/>
      <c r="P327" s="71"/>
      <c r="Q327" s="72"/>
      <c r="T327" s="70"/>
      <c r="U327" s="73"/>
      <c r="V327" s="74"/>
      <c r="W327" s="75"/>
      <c r="Z327" s="76"/>
      <c r="AD327" s="39"/>
      <c r="AO327" s="39"/>
      <c r="AP327" s="70"/>
      <c r="AQ327" s="71"/>
      <c r="AR327" s="72"/>
      <c r="AU327" s="70"/>
      <c r="AV327" s="77"/>
      <c r="AW327" s="78"/>
      <c r="AX327" s="75"/>
      <c r="BA327" s="76"/>
    </row>
    <row r="328" spans="4:53">
      <c r="D328" s="39"/>
      <c r="N328" s="39"/>
      <c r="O328" s="70"/>
      <c r="P328" s="71"/>
      <c r="Q328" s="72"/>
      <c r="T328" s="70"/>
      <c r="U328" s="73"/>
      <c r="V328" s="74"/>
      <c r="W328" s="75"/>
      <c r="Z328" s="76"/>
      <c r="AD328" s="39"/>
      <c r="AO328" s="39"/>
      <c r="AP328" s="70"/>
      <c r="AQ328" s="71"/>
      <c r="AR328" s="72"/>
      <c r="AU328" s="70"/>
      <c r="AV328" s="77"/>
      <c r="AW328" s="78"/>
      <c r="AX328" s="75"/>
      <c r="BA328" s="76"/>
    </row>
    <row r="329" spans="4:53">
      <c r="D329" s="39"/>
      <c r="N329" s="39"/>
      <c r="O329" s="70"/>
      <c r="P329" s="71"/>
      <c r="Q329" s="72"/>
      <c r="T329" s="70"/>
      <c r="U329" s="73"/>
      <c r="V329" s="74"/>
      <c r="W329" s="75"/>
      <c r="Z329" s="76"/>
      <c r="AD329" s="39"/>
      <c r="AO329" s="39"/>
      <c r="AP329" s="70"/>
      <c r="AQ329" s="71"/>
      <c r="AR329" s="72"/>
      <c r="AU329" s="70"/>
      <c r="AV329" s="77"/>
      <c r="AW329" s="78"/>
      <c r="AX329" s="75"/>
      <c r="BA329" s="76"/>
    </row>
    <row r="330" spans="4:53">
      <c r="D330" s="39"/>
      <c r="N330" s="39"/>
      <c r="O330" s="70"/>
      <c r="P330" s="71"/>
      <c r="Q330" s="72"/>
      <c r="T330" s="70"/>
      <c r="U330" s="73"/>
      <c r="V330" s="74"/>
      <c r="W330" s="75"/>
      <c r="Z330" s="76"/>
      <c r="AD330" s="39"/>
      <c r="AO330" s="39"/>
      <c r="AP330" s="70"/>
      <c r="AQ330" s="71"/>
      <c r="AR330" s="72"/>
      <c r="AU330" s="70"/>
      <c r="AV330" s="77"/>
      <c r="AW330" s="78"/>
      <c r="AX330" s="75"/>
      <c r="BA330" s="76"/>
    </row>
    <row r="331" spans="4:53">
      <c r="D331" s="39"/>
      <c r="N331" s="39"/>
      <c r="O331" s="70"/>
      <c r="P331" s="71"/>
      <c r="Q331" s="72"/>
      <c r="T331" s="70"/>
      <c r="U331" s="73"/>
      <c r="V331" s="74"/>
      <c r="W331" s="75"/>
      <c r="Z331" s="76"/>
      <c r="AD331" s="39"/>
      <c r="AO331" s="39"/>
      <c r="AP331" s="70"/>
      <c r="AQ331" s="71"/>
      <c r="AR331" s="72"/>
      <c r="AU331" s="70"/>
      <c r="AV331" s="77"/>
      <c r="AW331" s="78"/>
      <c r="AX331" s="75"/>
      <c r="BA331" s="76"/>
    </row>
    <row r="332" spans="4:53">
      <c r="D332" s="39"/>
      <c r="N332" s="39"/>
      <c r="O332" s="70"/>
      <c r="P332" s="71"/>
      <c r="Q332" s="72"/>
      <c r="T332" s="70"/>
      <c r="U332" s="73"/>
      <c r="V332" s="74"/>
      <c r="W332" s="75"/>
      <c r="Z332" s="76"/>
      <c r="AD332" s="39"/>
      <c r="AO332" s="39"/>
      <c r="AP332" s="70"/>
      <c r="AQ332" s="71"/>
      <c r="AR332" s="72"/>
      <c r="AU332" s="70"/>
      <c r="AV332" s="77"/>
      <c r="AW332" s="78"/>
      <c r="AX332" s="75"/>
      <c r="BA332" s="76"/>
    </row>
    <row r="333" spans="4:53">
      <c r="D333" s="39"/>
      <c r="N333" s="39"/>
      <c r="O333" s="70"/>
      <c r="P333" s="71"/>
      <c r="Q333" s="72"/>
      <c r="T333" s="70"/>
      <c r="U333" s="73"/>
      <c r="V333" s="74"/>
      <c r="W333" s="75"/>
      <c r="Z333" s="76"/>
      <c r="AD333" s="39"/>
      <c r="AO333" s="39"/>
      <c r="AP333" s="70"/>
      <c r="AQ333" s="71"/>
      <c r="AR333" s="72"/>
      <c r="AU333" s="70"/>
      <c r="AV333" s="77"/>
      <c r="AW333" s="78"/>
      <c r="AX333" s="75"/>
      <c r="BA333" s="76"/>
    </row>
    <row r="334" spans="4:53">
      <c r="D334" s="39"/>
      <c r="N334" s="39"/>
      <c r="O334" s="70"/>
      <c r="P334" s="71"/>
      <c r="Q334" s="72"/>
      <c r="T334" s="70"/>
      <c r="U334" s="73"/>
      <c r="V334" s="74"/>
      <c r="W334" s="75"/>
      <c r="Z334" s="76"/>
      <c r="AD334" s="39"/>
      <c r="AO334" s="39"/>
      <c r="AP334" s="70"/>
      <c r="AQ334" s="71"/>
      <c r="AR334" s="72"/>
      <c r="AU334" s="70"/>
      <c r="AV334" s="77"/>
      <c r="AW334" s="78"/>
      <c r="AX334" s="75"/>
      <c r="BA334" s="76"/>
    </row>
    <row r="335" spans="4:53">
      <c r="D335" s="39"/>
      <c r="N335" s="39"/>
      <c r="O335" s="70"/>
      <c r="P335" s="71"/>
      <c r="Q335" s="72"/>
      <c r="T335" s="70"/>
      <c r="U335" s="73"/>
      <c r="V335" s="74"/>
      <c r="W335" s="75"/>
      <c r="Z335" s="76"/>
      <c r="AD335" s="39"/>
      <c r="AO335" s="39"/>
      <c r="AP335" s="70"/>
      <c r="AQ335" s="71"/>
      <c r="AR335" s="72"/>
      <c r="AU335" s="70"/>
      <c r="AV335" s="77"/>
      <c r="AW335" s="78"/>
      <c r="AX335" s="75"/>
      <c r="BA335" s="76"/>
    </row>
    <row r="336" spans="4:53">
      <c r="D336" s="39"/>
      <c r="N336" s="39"/>
      <c r="O336" s="70"/>
      <c r="P336" s="71"/>
      <c r="Q336" s="72"/>
      <c r="T336" s="70"/>
      <c r="U336" s="73"/>
      <c r="V336" s="74"/>
      <c r="W336" s="75"/>
      <c r="Z336" s="76"/>
      <c r="AD336" s="39"/>
      <c r="AO336" s="39"/>
      <c r="AP336" s="70"/>
      <c r="AQ336" s="71"/>
      <c r="AR336" s="72"/>
      <c r="AU336" s="70"/>
      <c r="AV336" s="77"/>
      <c r="AW336" s="78"/>
      <c r="AX336" s="75"/>
      <c r="BA336" s="76"/>
    </row>
    <row r="337" spans="4:53">
      <c r="D337" s="39"/>
      <c r="N337" s="39"/>
      <c r="O337" s="70"/>
      <c r="P337" s="71"/>
      <c r="Q337" s="72"/>
      <c r="T337" s="70"/>
      <c r="U337" s="73"/>
      <c r="V337" s="74"/>
      <c r="W337" s="75"/>
      <c r="Z337" s="76"/>
      <c r="AD337" s="39"/>
      <c r="AO337" s="39"/>
      <c r="AP337" s="70"/>
      <c r="AQ337" s="71"/>
      <c r="AR337" s="72"/>
      <c r="AU337" s="70"/>
      <c r="AV337" s="77"/>
      <c r="AW337" s="78"/>
      <c r="AX337" s="75"/>
      <c r="BA337" s="76"/>
    </row>
    <row r="338" spans="4:53">
      <c r="D338" s="39"/>
      <c r="N338" s="39"/>
      <c r="O338" s="70"/>
      <c r="P338" s="71"/>
      <c r="Q338" s="72"/>
      <c r="T338" s="70"/>
      <c r="U338" s="73"/>
      <c r="V338" s="74"/>
      <c r="W338" s="75"/>
      <c r="Z338" s="76"/>
      <c r="AD338" s="39"/>
      <c r="AO338" s="39"/>
      <c r="AP338" s="70"/>
      <c r="AQ338" s="71"/>
      <c r="AR338" s="72"/>
      <c r="AU338" s="70"/>
      <c r="AV338" s="77"/>
      <c r="AW338" s="78"/>
      <c r="AX338" s="75"/>
      <c r="BA338" s="76"/>
    </row>
    <row r="339" spans="4:53">
      <c r="D339" s="39"/>
      <c r="N339" s="39"/>
      <c r="O339" s="70"/>
      <c r="P339" s="71"/>
      <c r="Q339" s="72"/>
      <c r="T339" s="70"/>
      <c r="U339" s="73"/>
      <c r="V339" s="74"/>
      <c r="W339" s="75"/>
      <c r="Z339" s="76"/>
      <c r="AD339" s="39"/>
      <c r="AO339" s="39"/>
      <c r="AP339" s="70"/>
      <c r="AQ339" s="71"/>
      <c r="AR339" s="72"/>
      <c r="AU339" s="70"/>
      <c r="AV339" s="77"/>
      <c r="AW339" s="78"/>
      <c r="AX339" s="75"/>
      <c r="BA339" s="76"/>
    </row>
    <row r="340" spans="4:53">
      <c r="D340" s="39"/>
      <c r="N340" s="39"/>
      <c r="O340" s="70"/>
      <c r="P340" s="71"/>
      <c r="Q340" s="72"/>
      <c r="T340" s="70"/>
      <c r="U340" s="73"/>
      <c r="V340" s="74"/>
      <c r="W340" s="75"/>
      <c r="Z340" s="76"/>
      <c r="AD340" s="39"/>
      <c r="AO340" s="39"/>
      <c r="AP340" s="70"/>
      <c r="AQ340" s="71"/>
      <c r="AR340" s="72"/>
      <c r="AU340" s="70"/>
      <c r="AV340" s="77"/>
      <c r="AW340" s="78"/>
      <c r="AX340" s="75"/>
      <c r="BA340" s="76"/>
    </row>
    <row r="341" spans="4:53">
      <c r="D341" s="39"/>
      <c r="N341" s="39"/>
      <c r="O341" s="70"/>
      <c r="P341" s="71"/>
      <c r="Q341" s="72"/>
      <c r="T341" s="70"/>
      <c r="U341" s="73"/>
      <c r="V341" s="74"/>
      <c r="W341" s="75"/>
      <c r="Z341" s="76"/>
      <c r="AD341" s="39"/>
      <c r="AO341" s="39"/>
      <c r="AP341" s="70"/>
      <c r="AQ341" s="71"/>
      <c r="AR341" s="72"/>
      <c r="AU341" s="70"/>
      <c r="AV341" s="77"/>
      <c r="AW341" s="78"/>
      <c r="AX341" s="75"/>
      <c r="BA341" s="76"/>
    </row>
    <row r="342" spans="4:53">
      <c r="D342" s="39"/>
      <c r="N342" s="39"/>
      <c r="O342" s="70"/>
      <c r="P342" s="71"/>
      <c r="Q342" s="72"/>
      <c r="T342" s="70"/>
      <c r="U342" s="73"/>
      <c r="V342" s="74"/>
      <c r="W342" s="75"/>
      <c r="Z342" s="76"/>
      <c r="AD342" s="39"/>
      <c r="AO342" s="39"/>
      <c r="AP342" s="70"/>
      <c r="AQ342" s="71"/>
      <c r="AR342" s="72"/>
      <c r="AU342" s="70"/>
      <c r="AV342" s="77"/>
      <c r="AW342" s="78"/>
      <c r="AX342" s="75"/>
      <c r="BA342" s="76"/>
    </row>
    <row r="343" spans="4:53">
      <c r="D343" s="39"/>
      <c r="N343" s="39"/>
      <c r="O343" s="70"/>
      <c r="P343" s="71"/>
      <c r="Q343" s="72"/>
      <c r="T343" s="70"/>
      <c r="U343" s="73"/>
      <c r="V343" s="74"/>
      <c r="W343" s="75"/>
      <c r="Z343" s="76"/>
      <c r="AD343" s="39"/>
      <c r="AO343" s="39"/>
      <c r="AP343" s="70"/>
      <c r="AQ343" s="71"/>
      <c r="AR343" s="72"/>
      <c r="AU343" s="70"/>
      <c r="AV343" s="77"/>
      <c r="AW343" s="78"/>
      <c r="AX343" s="75"/>
      <c r="BA343" s="76"/>
    </row>
    <row r="344" spans="4:53">
      <c r="D344" s="39"/>
      <c r="N344" s="39"/>
      <c r="O344" s="70"/>
      <c r="P344" s="71"/>
      <c r="Q344" s="72"/>
      <c r="T344" s="70"/>
      <c r="U344" s="73"/>
      <c r="V344" s="74"/>
      <c r="W344" s="75"/>
      <c r="Z344" s="76"/>
      <c r="AD344" s="39"/>
      <c r="AO344" s="39"/>
      <c r="AP344" s="70"/>
      <c r="AQ344" s="71"/>
      <c r="AR344" s="72"/>
      <c r="AU344" s="70"/>
      <c r="AV344" s="77"/>
      <c r="AW344" s="78"/>
      <c r="AX344" s="75"/>
      <c r="BA344" s="76"/>
    </row>
    <row r="345" spans="4:53">
      <c r="D345" s="39"/>
      <c r="N345" s="39"/>
      <c r="O345" s="70"/>
      <c r="P345" s="71"/>
      <c r="Q345" s="72"/>
      <c r="T345" s="70"/>
      <c r="U345" s="73"/>
      <c r="V345" s="74"/>
      <c r="W345" s="75"/>
      <c r="Z345" s="76"/>
      <c r="AD345" s="39"/>
      <c r="AO345" s="39"/>
      <c r="AP345" s="70"/>
      <c r="AQ345" s="71"/>
      <c r="AR345" s="72"/>
      <c r="AU345" s="70"/>
      <c r="AV345" s="77"/>
      <c r="AW345" s="78"/>
      <c r="AX345" s="75"/>
      <c r="BA345" s="76"/>
    </row>
    <row r="346" spans="4:53">
      <c r="D346" s="39"/>
      <c r="N346" s="39"/>
      <c r="O346" s="70"/>
      <c r="P346" s="71"/>
      <c r="Q346" s="72"/>
      <c r="T346" s="70"/>
      <c r="U346" s="73"/>
      <c r="V346" s="74"/>
      <c r="W346" s="75"/>
      <c r="Z346" s="76"/>
      <c r="AD346" s="39"/>
      <c r="AO346" s="39"/>
      <c r="AP346" s="70"/>
      <c r="AQ346" s="71"/>
      <c r="AR346" s="72"/>
      <c r="AU346" s="70"/>
      <c r="AV346" s="77"/>
      <c r="AW346" s="78"/>
      <c r="AX346" s="75"/>
      <c r="BA346" s="76"/>
    </row>
    <row r="347" spans="4:53">
      <c r="D347" s="39"/>
      <c r="N347" s="39"/>
      <c r="O347" s="70"/>
      <c r="P347" s="71"/>
      <c r="Q347" s="72"/>
      <c r="T347" s="70"/>
      <c r="U347" s="73"/>
      <c r="V347" s="74"/>
      <c r="W347" s="75"/>
      <c r="Z347" s="76"/>
      <c r="AD347" s="39"/>
      <c r="AO347" s="39"/>
      <c r="AP347" s="70"/>
      <c r="AQ347" s="71"/>
      <c r="AR347" s="72"/>
      <c r="AU347" s="70"/>
      <c r="AV347" s="77"/>
      <c r="AW347" s="78"/>
      <c r="AX347" s="75"/>
      <c r="BA347" s="76"/>
    </row>
    <row r="348" spans="4:53">
      <c r="AO348" s="39"/>
      <c r="AP348" s="70"/>
      <c r="AQ348" s="71"/>
      <c r="AR348" s="72"/>
      <c r="AU348" s="70"/>
      <c r="AV348" s="77"/>
      <c r="AW348" s="78"/>
      <c r="AX348" s="75"/>
      <c r="BA348" s="76"/>
    </row>
    <row r="349" spans="4:53">
      <c r="AO349" s="39"/>
      <c r="AP349" s="70"/>
      <c r="AQ349" s="71"/>
      <c r="AR349" s="72"/>
      <c r="AU349" s="70"/>
      <c r="AV349" s="77"/>
      <c r="AW349" s="78"/>
      <c r="AX349" s="75"/>
      <c r="BA349" s="76"/>
    </row>
    <row r="350" spans="4:53">
      <c r="AO350" s="39"/>
      <c r="AP350" s="70"/>
      <c r="AQ350" s="71"/>
      <c r="AR350" s="72"/>
      <c r="AU350" s="70"/>
      <c r="AV350" s="77"/>
      <c r="AW350" s="78"/>
      <c r="AX350" s="75"/>
      <c r="BA350" s="76"/>
    </row>
    <row r="351" spans="4:53">
      <c r="AO351" s="39"/>
      <c r="AP351" s="70"/>
      <c r="AQ351" s="71"/>
      <c r="AR351" s="72"/>
      <c r="AU351" s="70"/>
      <c r="AV351" s="77"/>
      <c r="AW351" s="78"/>
      <c r="AX351" s="75"/>
      <c r="BA351" s="76"/>
    </row>
    <row r="352" spans="4:53">
      <c r="AO352" s="39"/>
      <c r="AP352" s="70"/>
      <c r="AQ352" s="71"/>
      <c r="AR352" s="72"/>
      <c r="AU352" s="70"/>
      <c r="AV352" s="77"/>
      <c r="AW352" s="78"/>
      <c r="AX352" s="75"/>
      <c r="BA352" s="76"/>
    </row>
    <row r="353" spans="41:53">
      <c r="AO353" s="39"/>
      <c r="AP353" s="70"/>
      <c r="AQ353" s="71"/>
      <c r="AR353" s="72"/>
      <c r="AU353" s="70"/>
      <c r="AV353" s="77"/>
      <c r="AW353" s="78"/>
      <c r="AX353" s="75"/>
      <c r="BA353" s="76"/>
    </row>
    <row r="354" spans="41:53">
      <c r="AO354" s="39"/>
      <c r="AP354" s="70"/>
      <c r="AQ354" s="71"/>
      <c r="AR354" s="72"/>
      <c r="AU354" s="70"/>
      <c r="AV354" s="77"/>
      <c r="AW354" s="78"/>
      <c r="AX354" s="75"/>
      <c r="BA354" s="76"/>
    </row>
    <row r="355" spans="41:53">
      <c r="AO355" s="39"/>
      <c r="AP355" s="70"/>
      <c r="AQ355" s="71"/>
      <c r="AR355" s="72"/>
      <c r="AU355" s="70"/>
      <c r="AV355" s="77"/>
      <c r="AW355" s="78"/>
      <c r="AX355" s="75"/>
      <c r="BA355" s="76"/>
    </row>
    <row r="356" spans="41:53">
      <c r="AO356" s="39"/>
      <c r="AP356" s="70"/>
      <c r="AQ356" s="71"/>
      <c r="AR356" s="72"/>
      <c r="AU356" s="70"/>
      <c r="AV356" s="77"/>
      <c r="AW356" s="78"/>
      <c r="AX356" s="75"/>
      <c r="BA356" s="76"/>
    </row>
    <row r="357" spans="41:53">
      <c r="AO357" s="39"/>
      <c r="AP357" s="70"/>
      <c r="AQ357" s="71"/>
      <c r="AR357" s="72"/>
      <c r="AU357" s="70"/>
      <c r="AV357" s="77"/>
      <c r="AW357" s="78"/>
      <c r="AX357" s="75"/>
      <c r="BA357" s="76"/>
    </row>
    <row r="358" spans="41:53">
      <c r="AO358" s="39"/>
      <c r="AP358" s="70"/>
      <c r="AQ358" s="71"/>
      <c r="AR358" s="72"/>
      <c r="AU358" s="70"/>
      <c r="AV358" s="77"/>
      <c r="AW358" s="78"/>
      <c r="AX358" s="75"/>
      <c r="BA358" s="76"/>
    </row>
    <row r="359" spans="41:53">
      <c r="AO359" s="39"/>
      <c r="AP359" s="70"/>
      <c r="AQ359" s="71"/>
      <c r="AR359" s="72"/>
      <c r="AU359" s="70"/>
      <c r="AV359" s="77"/>
      <c r="AW359" s="78"/>
      <c r="AX359" s="75"/>
      <c r="BA359" s="76"/>
    </row>
    <row r="360" spans="41:53">
      <c r="AO360" s="39"/>
      <c r="AP360" s="70"/>
      <c r="AQ360" s="71"/>
      <c r="AR360" s="72"/>
      <c r="AU360" s="70"/>
      <c r="AV360" s="77"/>
      <c r="AW360" s="78"/>
      <c r="AX360" s="75"/>
      <c r="BA360" s="76"/>
    </row>
    <row r="361" spans="41:53">
      <c r="AO361" s="39"/>
      <c r="AP361" s="70"/>
      <c r="AQ361" s="71"/>
      <c r="AR361" s="72"/>
      <c r="AU361" s="70"/>
      <c r="AV361" s="77"/>
      <c r="AW361" s="78"/>
      <c r="AX361" s="75"/>
      <c r="BA361" s="76"/>
    </row>
    <row r="362" spans="41:53">
      <c r="AO362" s="39"/>
      <c r="AP362" s="70"/>
      <c r="AQ362" s="71"/>
      <c r="AR362" s="72"/>
      <c r="AU362" s="70"/>
      <c r="AV362" s="77"/>
      <c r="AW362" s="78"/>
      <c r="AX362" s="75"/>
      <c r="BA362" s="76"/>
    </row>
    <row r="363" spans="41:53">
      <c r="AO363" s="39"/>
      <c r="AP363" s="70"/>
      <c r="AQ363" s="71"/>
      <c r="AR363" s="72"/>
      <c r="AU363" s="70"/>
      <c r="AV363" s="77"/>
      <c r="AW363" s="78"/>
      <c r="AX363" s="75"/>
      <c r="BA363" s="76"/>
    </row>
    <row r="364" spans="41:53">
      <c r="AO364" s="39"/>
      <c r="AP364" s="70"/>
      <c r="AQ364" s="71"/>
      <c r="AR364" s="72"/>
      <c r="AU364" s="70"/>
      <c r="AV364" s="77"/>
      <c r="AW364" s="78"/>
      <c r="AX364" s="75"/>
      <c r="BA364" s="76"/>
    </row>
    <row r="365" spans="41:53">
      <c r="AO365" s="39"/>
      <c r="AP365" s="70"/>
      <c r="AQ365" s="71"/>
      <c r="AR365" s="72"/>
      <c r="AU365" s="70"/>
      <c r="AV365" s="77"/>
      <c r="AW365" s="78"/>
      <c r="AX365" s="75"/>
      <c r="BA365" s="76"/>
    </row>
    <row r="366" spans="41:53">
      <c r="AO366" s="39"/>
      <c r="AP366" s="70"/>
      <c r="AQ366" s="71"/>
      <c r="AR366" s="72"/>
      <c r="AU366" s="70"/>
      <c r="AV366" s="77"/>
      <c r="AW366" s="78"/>
      <c r="AX366" s="75"/>
      <c r="BA366" s="76"/>
    </row>
    <row r="367" spans="41:53">
      <c r="AO367" s="39"/>
      <c r="AP367" s="70"/>
      <c r="AQ367" s="71"/>
      <c r="AR367" s="72"/>
      <c r="AU367" s="70"/>
      <c r="AV367" s="77"/>
      <c r="AW367" s="78"/>
      <c r="AX367" s="75"/>
      <c r="BA367" s="76"/>
    </row>
    <row r="368" spans="41:53">
      <c r="AO368" s="39"/>
      <c r="AP368" s="70"/>
      <c r="AQ368" s="71"/>
      <c r="AR368" s="72"/>
      <c r="AU368" s="70"/>
      <c r="AV368" s="77"/>
      <c r="AW368" s="78"/>
      <c r="AX368" s="75"/>
      <c r="BA368" s="76"/>
    </row>
    <row r="369" spans="41:53">
      <c r="AO369" s="39"/>
      <c r="AP369" s="70"/>
      <c r="AQ369" s="71"/>
      <c r="AR369" s="72"/>
      <c r="AU369" s="70"/>
      <c r="AV369" s="77"/>
      <c r="AW369" s="78"/>
      <c r="AX369" s="75"/>
      <c r="BA369" s="76"/>
    </row>
    <row r="370" spans="41:53">
      <c r="AO370" s="39"/>
      <c r="AP370" s="70"/>
      <c r="AQ370" s="71"/>
      <c r="AR370" s="72"/>
      <c r="AU370" s="70"/>
      <c r="AV370" s="77"/>
      <c r="AW370" s="78"/>
      <c r="AX370" s="75"/>
      <c r="BA370" s="76"/>
    </row>
    <row r="371" spans="41:53">
      <c r="AO371" s="39"/>
      <c r="AP371" s="70"/>
      <c r="AQ371" s="71"/>
      <c r="AR371" s="72"/>
      <c r="AU371" s="70"/>
      <c r="AV371" s="77"/>
      <c r="AW371" s="78"/>
      <c r="AX371" s="75"/>
      <c r="BA371" s="76"/>
    </row>
    <row r="372" spans="41:53">
      <c r="AO372" s="39"/>
      <c r="AP372" s="70"/>
      <c r="AQ372" s="71"/>
      <c r="AR372" s="72"/>
      <c r="AU372" s="70"/>
      <c r="AV372" s="77"/>
      <c r="AW372" s="78"/>
      <c r="AX372" s="75"/>
      <c r="BA372" s="76"/>
    </row>
    <row r="373" spans="41:53">
      <c r="AO373" s="39"/>
      <c r="AP373" s="70"/>
      <c r="AQ373" s="71"/>
      <c r="AR373" s="72"/>
      <c r="AU373" s="70"/>
      <c r="AV373" s="77"/>
      <c r="AW373" s="78"/>
      <c r="AX373" s="75"/>
      <c r="BA373" s="76"/>
    </row>
    <row r="374" spans="41:53">
      <c r="AO374" s="39"/>
      <c r="AP374" s="70"/>
      <c r="AQ374" s="71"/>
      <c r="AR374" s="72"/>
      <c r="AU374" s="70"/>
      <c r="AV374" s="77"/>
      <c r="AW374" s="78"/>
      <c r="AX374" s="75"/>
      <c r="BA374" s="76"/>
    </row>
    <row r="375" spans="41:53">
      <c r="AO375" s="39"/>
      <c r="AP375" s="70"/>
      <c r="AQ375" s="71"/>
      <c r="AR375" s="72"/>
      <c r="AU375" s="70"/>
      <c r="AV375" s="77"/>
      <c r="AW375" s="78"/>
      <c r="AX375" s="75"/>
      <c r="BA375" s="76"/>
    </row>
    <row r="376" spans="41:53">
      <c r="AO376" s="39"/>
      <c r="AP376" s="70"/>
      <c r="AQ376" s="71"/>
      <c r="AR376" s="72"/>
      <c r="AU376" s="70"/>
      <c r="AV376" s="77"/>
      <c r="AW376" s="78"/>
      <c r="AX376" s="75"/>
      <c r="BA376" s="76"/>
    </row>
    <row r="377" spans="41:53">
      <c r="AO377" s="39"/>
      <c r="AP377" s="70"/>
      <c r="AQ377" s="71"/>
      <c r="AR377" s="72"/>
      <c r="AU377" s="70"/>
      <c r="AV377" s="77"/>
      <c r="AW377" s="78"/>
      <c r="AX377" s="75"/>
      <c r="BA377" s="76"/>
    </row>
    <row r="378" spans="41:53">
      <c r="AO378" s="39"/>
      <c r="AP378" s="70"/>
      <c r="AQ378" s="71"/>
      <c r="AR378" s="72"/>
      <c r="AU378" s="70"/>
      <c r="AV378" s="77"/>
      <c r="AW378" s="78"/>
      <c r="AX378" s="75"/>
      <c r="BA378" s="76"/>
    </row>
    <row r="379" spans="41:53">
      <c r="AO379" s="39"/>
      <c r="AP379" s="70"/>
      <c r="AQ379" s="71"/>
      <c r="AR379" s="72"/>
      <c r="AU379" s="70"/>
      <c r="AV379" s="77"/>
      <c r="AW379" s="78"/>
      <c r="AX379" s="75"/>
      <c r="BA379" s="76"/>
    </row>
    <row r="380" spans="41:53">
      <c r="AO380" s="39"/>
      <c r="AP380" s="70"/>
      <c r="AQ380" s="71"/>
      <c r="AR380" s="72"/>
      <c r="AU380" s="70"/>
      <c r="AV380" s="77"/>
      <c r="AW380" s="78"/>
      <c r="AX380" s="75"/>
      <c r="BA380" s="76"/>
    </row>
    <row r="381" spans="41:53">
      <c r="AO381" s="39"/>
      <c r="AP381" s="70"/>
      <c r="AQ381" s="71"/>
      <c r="AR381" s="72"/>
      <c r="AU381" s="70"/>
      <c r="AV381" s="77"/>
      <c r="AW381" s="78"/>
      <c r="AX381" s="75"/>
      <c r="BA381" s="76"/>
    </row>
    <row r="382" spans="41:53">
      <c r="AO382" s="39"/>
      <c r="AP382" s="70"/>
      <c r="AQ382" s="71"/>
      <c r="AR382" s="72"/>
      <c r="AU382" s="70"/>
      <c r="AV382" s="77"/>
      <c r="AW382" s="78"/>
      <c r="AX382" s="75"/>
      <c r="BA382" s="76"/>
    </row>
    <row r="383" spans="41:53">
      <c r="AO383" s="39"/>
      <c r="AP383" s="70"/>
      <c r="AQ383" s="71"/>
      <c r="AR383" s="72"/>
      <c r="AU383" s="70"/>
      <c r="AV383" s="77"/>
      <c r="AW383" s="78"/>
      <c r="AX383" s="75"/>
      <c r="BA383" s="76"/>
    </row>
    <row r="384" spans="41:53">
      <c r="AO384" s="39"/>
      <c r="AP384" s="70"/>
      <c r="AQ384" s="71"/>
      <c r="AR384" s="72"/>
      <c r="AU384" s="70"/>
      <c r="AV384" s="77"/>
      <c r="AW384" s="78"/>
      <c r="AX384" s="75"/>
      <c r="BA384" s="76"/>
    </row>
    <row r="385" spans="41:53">
      <c r="AO385" s="39"/>
      <c r="AP385" s="70"/>
      <c r="AQ385" s="71"/>
      <c r="AR385" s="72"/>
      <c r="AU385" s="70"/>
      <c r="AV385" s="77"/>
      <c r="AW385" s="78"/>
      <c r="AX385" s="75"/>
      <c r="BA385" s="76"/>
    </row>
    <row r="386" spans="41:53">
      <c r="AO386" s="39"/>
      <c r="AP386" s="70"/>
      <c r="AQ386" s="71"/>
      <c r="AR386" s="72"/>
      <c r="AU386" s="70"/>
      <c r="AV386" s="77"/>
      <c r="AW386" s="78"/>
      <c r="AX386" s="75"/>
      <c r="BA386" s="76"/>
    </row>
    <row r="387" spans="41:53">
      <c r="AO387" s="39"/>
      <c r="AP387" s="70"/>
      <c r="AQ387" s="71"/>
      <c r="AR387" s="72"/>
      <c r="AU387" s="70"/>
      <c r="AV387" s="77"/>
      <c r="AW387" s="78"/>
      <c r="AX387" s="75"/>
      <c r="BA387" s="76"/>
    </row>
    <row r="388" spans="41:53">
      <c r="AO388" s="39"/>
      <c r="AP388" s="70"/>
      <c r="AQ388" s="71"/>
      <c r="AR388" s="72"/>
      <c r="AU388" s="70"/>
      <c r="AV388" s="77"/>
      <c r="AW388" s="78"/>
      <c r="AX388" s="75"/>
      <c r="BA388" s="76"/>
    </row>
    <row r="389" spans="41:53">
      <c r="AO389" s="39"/>
      <c r="AP389" s="70"/>
      <c r="AQ389" s="71"/>
      <c r="AR389" s="72"/>
      <c r="AU389" s="70"/>
      <c r="AV389" s="77"/>
      <c r="AW389" s="78"/>
      <c r="AX389" s="75"/>
      <c r="BA389" s="76"/>
    </row>
    <row r="390" spans="41:53">
      <c r="AO390" s="39"/>
      <c r="AP390" s="70"/>
      <c r="AQ390" s="71"/>
      <c r="AR390" s="72"/>
      <c r="AU390" s="70"/>
      <c r="AV390" s="77"/>
      <c r="AW390" s="78"/>
      <c r="AX390" s="75"/>
      <c r="BA390" s="76"/>
    </row>
    <row r="391" spans="41:53">
      <c r="AO391" s="39"/>
      <c r="AP391" s="70"/>
      <c r="AQ391" s="71"/>
      <c r="AR391" s="72"/>
      <c r="AU391" s="70"/>
      <c r="AV391" s="77"/>
      <c r="AW391" s="78"/>
      <c r="AX391" s="75"/>
      <c r="BA391" s="76"/>
    </row>
    <row r="392" spans="41:53">
      <c r="AO392" s="39"/>
      <c r="AP392" s="70"/>
      <c r="AQ392" s="71"/>
      <c r="AR392" s="72"/>
      <c r="AU392" s="70"/>
      <c r="AV392" s="77"/>
      <c r="AW392" s="78"/>
      <c r="AX392" s="75"/>
      <c r="BA392" s="76"/>
    </row>
    <row r="393" spans="41:53">
      <c r="AO393" s="39"/>
      <c r="AP393" s="70"/>
      <c r="AQ393" s="71"/>
      <c r="AR393" s="72"/>
      <c r="AU393" s="70"/>
      <c r="AV393" s="77"/>
      <c r="AW393" s="78"/>
      <c r="AX393" s="75"/>
      <c r="BA393" s="76"/>
    </row>
    <row r="394" spans="41:53">
      <c r="AO394" s="39"/>
      <c r="AP394" s="70"/>
      <c r="AQ394" s="71"/>
      <c r="AR394" s="72"/>
      <c r="AU394" s="70"/>
      <c r="AV394" s="77"/>
      <c r="AW394" s="78"/>
      <c r="AX394" s="75"/>
      <c r="BA394" s="76"/>
    </row>
    <row r="395" spans="41:53">
      <c r="AO395" s="39"/>
      <c r="AP395" s="70"/>
      <c r="AQ395" s="71"/>
      <c r="AR395" s="72"/>
      <c r="AU395" s="70"/>
      <c r="AV395" s="77"/>
      <c r="AW395" s="78"/>
      <c r="AX395" s="75"/>
      <c r="BA395" s="76"/>
    </row>
    <row r="396" spans="41:53">
      <c r="AO396" s="39"/>
      <c r="AP396" s="70"/>
      <c r="AQ396" s="71"/>
      <c r="AR396" s="72"/>
      <c r="AU396" s="70"/>
      <c r="AV396" s="77"/>
      <c r="AW396" s="78"/>
      <c r="AX396" s="75"/>
      <c r="BA396" s="76"/>
    </row>
    <row r="397" spans="41:53">
      <c r="AO397" s="39"/>
      <c r="AP397" s="70"/>
      <c r="AQ397" s="71"/>
      <c r="AR397" s="72"/>
      <c r="AU397" s="70"/>
      <c r="AV397" s="77"/>
      <c r="AW397" s="78"/>
      <c r="AX397" s="75"/>
      <c r="BA397" s="76"/>
    </row>
    <row r="398" spans="41:53">
      <c r="AO398" s="39"/>
      <c r="AP398" s="70"/>
      <c r="AQ398" s="71"/>
      <c r="AR398" s="72"/>
      <c r="AU398" s="70"/>
      <c r="AV398" s="77"/>
      <c r="AW398" s="78"/>
      <c r="AX398" s="75"/>
      <c r="BA398" s="76"/>
    </row>
    <row r="399" spans="41:53">
      <c r="AO399" s="39"/>
      <c r="AP399" s="70"/>
      <c r="AQ399" s="71"/>
      <c r="AR399" s="72"/>
      <c r="AU399" s="70"/>
      <c r="AV399" s="77"/>
      <c r="AW399" s="78"/>
      <c r="AX399" s="75"/>
      <c r="BA399" s="76"/>
    </row>
    <row r="400" spans="41:53">
      <c r="AO400" s="39"/>
      <c r="AP400" s="70"/>
      <c r="AQ400" s="71"/>
      <c r="AR400" s="72"/>
      <c r="AU400" s="70"/>
      <c r="AV400" s="77"/>
      <c r="AW400" s="78"/>
      <c r="AX400" s="75"/>
      <c r="BA400" s="76"/>
    </row>
    <row r="401" spans="41:53">
      <c r="AO401" s="39"/>
      <c r="AP401" s="70"/>
      <c r="AQ401" s="71"/>
      <c r="AR401" s="72"/>
      <c r="AU401" s="70"/>
      <c r="AV401" s="77"/>
      <c r="AW401" s="78"/>
      <c r="AX401" s="75"/>
      <c r="BA401" s="76"/>
    </row>
    <row r="402" spans="41:53">
      <c r="AO402" s="39"/>
      <c r="AP402" s="70"/>
      <c r="AQ402" s="71"/>
      <c r="AR402" s="72"/>
      <c r="AU402" s="70"/>
      <c r="AV402" s="77"/>
      <c r="AW402" s="78"/>
      <c r="AX402" s="75"/>
      <c r="BA402" s="76"/>
    </row>
    <row r="403" spans="41:53">
      <c r="AO403" s="39"/>
      <c r="AP403" s="70"/>
      <c r="AQ403" s="71"/>
      <c r="AR403" s="72"/>
      <c r="AU403" s="70"/>
      <c r="AV403" s="77"/>
      <c r="AW403" s="78"/>
      <c r="AX403" s="75"/>
      <c r="BA403" s="76"/>
    </row>
    <row r="404" spans="41:53">
      <c r="AO404" s="39"/>
      <c r="AP404" s="70"/>
      <c r="AQ404" s="71"/>
      <c r="AR404" s="72"/>
      <c r="AU404" s="70"/>
      <c r="AV404" s="77"/>
      <c r="AW404" s="78"/>
      <c r="AX404" s="75"/>
      <c r="BA404" s="76"/>
    </row>
    <row r="405" spans="41:53">
      <c r="AO405" s="39"/>
      <c r="AP405" s="70"/>
      <c r="AQ405" s="71"/>
      <c r="AR405" s="72"/>
      <c r="AU405" s="70"/>
      <c r="AV405" s="77"/>
      <c r="AW405" s="78"/>
      <c r="AX405" s="75"/>
      <c r="BA405" s="76"/>
    </row>
    <row r="406" spans="41:53">
      <c r="AO406" s="39"/>
      <c r="AP406" s="70"/>
      <c r="AQ406" s="71"/>
      <c r="AR406" s="72"/>
      <c r="AU406" s="70"/>
      <c r="AV406" s="77"/>
      <c r="AW406" s="78"/>
      <c r="AX406" s="75"/>
      <c r="BA406" s="76"/>
    </row>
    <row r="407" spans="41:53">
      <c r="AO407" s="39"/>
      <c r="AP407" s="70"/>
      <c r="AQ407" s="71"/>
      <c r="AR407" s="72"/>
      <c r="AU407" s="70"/>
      <c r="AV407" s="77"/>
      <c r="AW407" s="78"/>
      <c r="AX407" s="75"/>
      <c r="BA407" s="76"/>
    </row>
    <row r="408" spans="41:53">
      <c r="AO408" s="39"/>
      <c r="AP408" s="70"/>
      <c r="AQ408" s="71"/>
      <c r="AR408" s="72"/>
      <c r="AU408" s="70"/>
      <c r="AV408" s="77"/>
      <c r="AW408" s="78"/>
      <c r="AX408" s="75"/>
      <c r="BA408" s="76"/>
    </row>
    <row r="409" spans="41:53">
      <c r="AO409" s="39"/>
      <c r="AP409" s="70"/>
      <c r="AQ409" s="71"/>
      <c r="AR409" s="72"/>
      <c r="AU409" s="70"/>
      <c r="AV409" s="77"/>
      <c r="AW409" s="78"/>
      <c r="AX409" s="75"/>
      <c r="BA409" s="76"/>
    </row>
    <row r="410" spans="41:53">
      <c r="AO410" s="39"/>
      <c r="AP410" s="70"/>
      <c r="AQ410" s="71"/>
      <c r="AR410" s="72"/>
      <c r="AU410" s="70"/>
      <c r="AV410" s="77"/>
      <c r="AW410" s="78"/>
      <c r="AX410" s="75"/>
      <c r="BA410" s="76"/>
    </row>
    <row r="411" spans="41:53">
      <c r="AO411" s="39"/>
      <c r="AP411" s="70"/>
      <c r="AQ411" s="71"/>
      <c r="AR411" s="72"/>
      <c r="AU411" s="70"/>
      <c r="AV411" s="77"/>
      <c r="AW411" s="78"/>
      <c r="AX411" s="75"/>
      <c r="BA411" s="76"/>
    </row>
    <row r="412" spans="41:53">
      <c r="AO412" s="39"/>
      <c r="AP412" s="70"/>
      <c r="AQ412" s="71"/>
      <c r="AR412" s="72"/>
      <c r="AU412" s="70"/>
      <c r="AV412" s="77"/>
      <c r="AW412" s="78"/>
      <c r="AX412" s="75"/>
      <c r="BA412" s="76"/>
    </row>
    <row r="413" spans="41:53">
      <c r="AO413" s="39"/>
      <c r="AP413" s="70"/>
      <c r="AQ413" s="71"/>
      <c r="AR413" s="72"/>
      <c r="AU413" s="70"/>
      <c r="AV413" s="77"/>
      <c r="AW413" s="78"/>
      <c r="AX413" s="75"/>
      <c r="BA413" s="76"/>
    </row>
    <row r="414" spans="41:53">
      <c r="AO414" s="39"/>
      <c r="AP414" s="70"/>
      <c r="AQ414" s="71"/>
      <c r="AR414" s="72"/>
      <c r="AU414" s="70"/>
      <c r="AV414" s="77"/>
      <c r="AW414" s="78"/>
      <c r="AX414" s="75"/>
      <c r="BA414" s="76"/>
    </row>
    <row r="415" spans="41:53">
      <c r="AO415" s="39"/>
      <c r="AP415" s="70"/>
      <c r="AQ415" s="71"/>
      <c r="AR415" s="72"/>
      <c r="AU415" s="70"/>
      <c r="AV415" s="77"/>
      <c r="AW415" s="78"/>
      <c r="AX415" s="75"/>
      <c r="BA415" s="76"/>
    </row>
    <row r="416" spans="41:53">
      <c r="AO416" s="39"/>
      <c r="AP416" s="70"/>
      <c r="AQ416" s="71"/>
      <c r="AR416" s="72"/>
      <c r="AU416" s="70"/>
      <c r="AV416" s="77"/>
      <c r="AW416" s="78"/>
      <c r="AX416" s="75"/>
      <c r="BA416" s="76"/>
    </row>
    <row r="417" spans="41:53">
      <c r="AO417" s="39"/>
      <c r="AP417" s="70"/>
      <c r="AQ417" s="71"/>
      <c r="AR417" s="72"/>
      <c r="AU417" s="70"/>
      <c r="AV417" s="77"/>
      <c r="AW417" s="78"/>
      <c r="AX417" s="75"/>
      <c r="BA417" s="76"/>
    </row>
    <row r="418" spans="41:53">
      <c r="AO418" s="39"/>
      <c r="AP418" s="70"/>
      <c r="AQ418" s="71"/>
      <c r="AR418" s="72"/>
      <c r="AU418" s="70"/>
      <c r="AV418" s="77"/>
      <c r="AW418" s="78"/>
      <c r="AX418" s="75"/>
      <c r="BA418" s="76"/>
    </row>
    <row r="419" spans="41:53">
      <c r="AO419" s="39"/>
      <c r="AP419" s="70"/>
      <c r="AQ419" s="71"/>
      <c r="AR419" s="72"/>
      <c r="AU419" s="70"/>
      <c r="AV419" s="77"/>
      <c r="AW419" s="78"/>
      <c r="AX419" s="75"/>
      <c r="BA419" s="76"/>
    </row>
    <row r="420" spans="41:53">
      <c r="AO420" s="39"/>
      <c r="AP420" s="70"/>
      <c r="AQ420" s="71"/>
      <c r="AR420" s="72"/>
      <c r="AU420" s="70"/>
      <c r="AV420" s="77"/>
      <c r="AW420" s="78"/>
      <c r="AX420" s="75"/>
      <c r="BA420" s="76"/>
    </row>
    <row r="421" spans="41:53">
      <c r="AO421" s="39"/>
      <c r="AP421" s="70"/>
      <c r="AQ421" s="71"/>
      <c r="AR421" s="72"/>
      <c r="AU421" s="70"/>
      <c r="AV421" s="77"/>
      <c r="AW421" s="78"/>
      <c r="AX421" s="75"/>
      <c r="BA421" s="76"/>
    </row>
    <row r="422" spans="41:53">
      <c r="AO422" s="39"/>
      <c r="AP422" s="70"/>
      <c r="AQ422" s="71"/>
      <c r="AR422" s="72"/>
      <c r="AU422" s="70"/>
      <c r="AV422" s="77"/>
      <c r="AW422" s="78"/>
      <c r="AX422" s="75"/>
      <c r="BA422" s="76"/>
    </row>
    <row r="423" spans="41:53">
      <c r="AO423" s="39"/>
      <c r="AP423" s="70"/>
      <c r="AQ423" s="71"/>
      <c r="AR423" s="72"/>
      <c r="AU423" s="70"/>
      <c r="AV423" s="77"/>
      <c r="AW423" s="78"/>
      <c r="AX423" s="75"/>
      <c r="BA423" s="76"/>
    </row>
    <row r="424" spans="41:53">
      <c r="AO424" s="39"/>
      <c r="AP424" s="70"/>
      <c r="AQ424" s="71"/>
      <c r="AR424" s="72"/>
      <c r="AU424" s="70"/>
      <c r="AV424" s="77"/>
      <c r="AW424" s="78"/>
      <c r="AX424" s="75"/>
      <c r="BA424" s="76"/>
    </row>
    <row r="425" spans="41:53">
      <c r="AO425" s="39"/>
      <c r="AP425" s="70"/>
      <c r="AQ425" s="71"/>
      <c r="AR425" s="72"/>
      <c r="AU425" s="70"/>
      <c r="AV425" s="77"/>
      <c r="AW425" s="78"/>
      <c r="AX425" s="75"/>
      <c r="BA425" s="76"/>
    </row>
    <row r="426" spans="41:53">
      <c r="AO426" s="39"/>
      <c r="AP426" s="70"/>
      <c r="AQ426" s="71"/>
      <c r="AR426" s="72"/>
      <c r="AU426" s="70"/>
      <c r="AV426" s="77"/>
      <c r="AW426" s="78"/>
      <c r="AX426" s="75"/>
      <c r="BA426" s="76"/>
    </row>
    <row r="427" spans="41:53">
      <c r="AO427" s="39"/>
      <c r="AP427" s="70"/>
      <c r="AQ427" s="71"/>
      <c r="AR427" s="72"/>
      <c r="AU427" s="70"/>
      <c r="AV427" s="77"/>
      <c r="AW427" s="78"/>
      <c r="AX427" s="75"/>
      <c r="BA427" s="76"/>
    </row>
    <row r="428" spans="41:53">
      <c r="AO428" s="39"/>
      <c r="AP428" s="70"/>
      <c r="AQ428" s="71"/>
      <c r="AR428" s="72"/>
      <c r="AU428" s="70"/>
      <c r="AV428" s="77"/>
      <c r="AW428" s="78"/>
      <c r="AX428" s="75"/>
      <c r="BA428" s="76"/>
    </row>
    <row r="429" spans="41:53">
      <c r="AO429" s="39"/>
      <c r="AP429" s="70"/>
      <c r="AQ429" s="71"/>
      <c r="AR429" s="72"/>
      <c r="AU429" s="70"/>
      <c r="AV429" s="77"/>
      <c r="AW429" s="78"/>
      <c r="AX429" s="75"/>
      <c r="BA429" s="76"/>
    </row>
    <row r="430" spans="41:53">
      <c r="AO430" s="39"/>
      <c r="AP430" s="70"/>
      <c r="AQ430" s="71"/>
      <c r="AR430" s="72"/>
      <c r="AU430" s="70"/>
      <c r="AV430" s="77"/>
      <c r="AW430" s="78"/>
      <c r="AX430" s="75"/>
      <c r="BA430" s="76"/>
    </row>
    <row r="431" spans="41:53">
      <c r="AO431" s="39"/>
      <c r="AP431" s="70"/>
      <c r="AQ431" s="71"/>
      <c r="AR431" s="72"/>
      <c r="AU431" s="70"/>
      <c r="AV431" s="77"/>
      <c r="AW431" s="78"/>
      <c r="AX431" s="75"/>
      <c r="BA431" s="76"/>
    </row>
    <row r="432" spans="41:53">
      <c r="AO432" s="39"/>
      <c r="AP432" s="70"/>
      <c r="AQ432" s="71"/>
      <c r="AR432" s="72"/>
      <c r="AU432" s="70"/>
      <c r="AV432" s="77"/>
      <c r="AW432" s="78"/>
      <c r="AX432" s="75"/>
      <c r="BA432" s="76"/>
    </row>
    <row r="433" spans="41:53">
      <c r="AO433" s="39"/>
      <c r="AP433" s="70"/>
      <c r="AQ433" s="71"/>
      <c r="AR433" s="72"/>
      <c r="AU433" s="70"/>
      <c r="AV433" s="77"/>
      <c r="AW433" s="78"/>
      <c r="AX433" s="75"/>
      <c r="BA433" s="76"/>
    </row>
    <row r="434" spans="41:53">
      <c r="AO434" s="39"/>
      <c r="AP434" s="70"/>
      <c r="AQ434" s="71"/>
      <c r="AR434" s="72"/>
      <c r="AU434" s="70"/>
      <c r="AV434" s="77"/>
      <c r="AW434" s="78"/>
      <c r="AX434" s="75"/>
      <c r="BA434" s="76"/>
    </row>
    <row r="435" spans="41:53">
      <c r="AO435" s="39"/>
      <c r="AP435" s="70"/>
      <c r="AQ435" s="71"/>
      <c r="AR435" s="72"/>
      <c r="AU435" s="70"/>
      <c r="AV435" s="77"/>
      <c r="AW435" s="78"/>
      <c r="AX435" s="75"/>
      <c r="BA435" s="76"/>
    </row>
    <row r="436" spans="41:53">
      <c r="AO436" s="39"/>
      <c r="AP436" s="70"/>
      <c r="AQ436" s="71"/>
      <c r="AR436" s="72"/>
      <c r="AU436" s="70"/>
      <c r="AV436" s="77"/>
      <c r="AW436" s="78"/>
      <c r="AX436" s="75"/>
      <c r="BA436" s="76"/>
    </row>
    <row r="437" spans="41:53">
      <c r="AO437" s="39"/>
      <c r="AP437" s="70"/>
      <c r="AQ437" s="71"/>
      <c r="AR437" s="72"/>
      <c r="AU437" s="70"/>
      <c r="AV437" s="77"/>
      <c r="AW437" s="78"/>
      <c r="AX437" s="75"/>
      <c r="BA437" s="76"/>
    </row>
    <row r="438" spans="41:53">
      <c r="AO438" s="39"/>
      <c r="AP438" s="70"/>
      <c r="AQ438" s="71"/>
      <c r="AR438" s="72"/>
      <c r="AU438" s="70"/>
      <c r="AV438" s="77"/>
      <c r="AW438" s="78"/>
      <c r="AX438" s="75"/>
      <c r="BA438" s="76"/>
    </row>
    <row r="439" spans="41:53">
      <c r="AO439" s="39"/>
      <c r="AP439" s="70"/>
      <c r="AQ439" s="71"/>
      <c r="AR439" s="72"/>
      <c r="AU439" s="70"/>
      <c r="AV439" s="77"/>
      <c r="AW439" s="78"/>
      <c r="AX439" s="75"/>
      <c r="BA439" s="76"/>
    </row>
    <row r="440" spans="41:53">
      <c r="AO440" s="39"/>
      <c r="AP440" s="70"/>
      <c r="AQ440" s="71"/>
      <c r="AR440" s="72"/>
      <c r="AU440" s="70"/>
      <c r="AV440" s="77"/>
      <c r="AW440" s="78"/>
      <c r="AX440" s="75"/>
      <c r="BA440" s="76"/>
    </row>
    <row r="441" spans="41:53">
      <c r="AO441" s="39"/>
      <c r="AP441" s="70"/>
      <c r="AQ441" s="71"/>
      <c r="AR441" s="72"/>
      <c r="AU441" s="70"/>
      <c r="AV441" s="77"/>
      <c r="AW441" s="78"/>
      <c r="AX441" s="75"/>
      <c r="BA441" s="76"/>
    </row>
    <row r="442" spans="41:53">
      <c r="AO442" s="39"/>
      <c r="AP442" s="70"/>
      <c r="AQ442" s="71"/>
      <c r="AR442" s="72"/>
      <c r="AU442" s="70"/>
      <c r="AV442" s="77"/>
      <c r="AW442" s="78"/>
      <c r="AX442" s="75"/>
      <c r="BA442" s="76"/>
    </row>
    <row r="443" spans="41:53">
      <c r="AO443" s="39"/>
      <c r="AP443" s="70"/>
      <c r="AQ443" s="71"/>
      <c r="AR443" s="72"/>
      <c r="AU443" s="70"/>
      <c r="AV443" s="77"/>
      <c r="AW443" s="78"/>
      <c r="AX443" s="75"/>
      <c r="BA443" s="76"/>
    </row>
    <row r="444" spans="41:53">
      <c r="AO444" s="39"/>
      <c r="AP444" s="70"/>
      <c r="AQ444" s="71"/>
      <c r="AR444" s="72"/>
      <c r="AU444" s="70"/>
      <c r="AV444" s="77"/>
      <c r="AW444" s="78"/>
      <c r="AX444" s="75"/>
      <c r="BA444" s="76"/>
    </row>
    <row r="445" spans="41:53">
      <c r="AO445" s="39"/>
      <c r="AP445" s="70"/>
      <c r="AQ445" s="71"/>
      <c r="AR445" s="72"/>
      <c r="AU445" s="70"/>
      <c r="AV445" s="77"/>
      <c r="AW445" s="78"/>
      <c r="AX445" s="75"/>
      <c r="BA445" s="76"/>
    </row>
    <row r="446" spans="41:53">
      <c r="AO446" s="39"/>
      <c r="AP446" s="70"/>
      <c r="AQ446" s="71"/>
      <c r="AR446" s="72"/>
      <c r="AU446" s="70"/>
      <c r="AV446" s="77"/>
      <c r="AW446" s="78"/>
      <c r="AX446" s="75"/>
      <c r="BA446" s="76"/>
    </row>
    <row r="447" spans="41:53">
      <c r="AO447" s="39"/>
      <c r="AP447" s="70"/>
      <c r="AQ447" s="71"/>
      <c r="AR447" s="72"/>
      <c r="AU447" s="70"/>
      <c r="AV447" s="77"/>
      <c r="AW447" s="78"/>
      <c r="AX447" s="75"/>
      <c r="BA447" s="76"/>
    </row>
    <row r="448" spans="41:53">
      <c r="AO448" s="39"/>
      <c r="AP448" s="70"/>
      <c r="AQ448" s="71"/>
      <c r="AR448" s="72"/>
      <c r="AU448" s="70"/>
      <c r="AV448" s="77"/>
      <c r="AW448" s="78"/>
      <c r="AX448" s="75"/>
      <c r="BA448" s="76"/>
    </row>
    <row r="449" spans="41:53">
      <c r="AO449" s="39"/>
      <c r="AP449" s="70"/>
      <c r="AQ449" s="71"/>
      <c r="AR449" s="72"/>
      <c r="AU449" s="70"/>
      <c r="AV449" s="77"/>
      <c r="AW449" s="78"/>
      <c r="AX449" s="75"/>
      <c r="BA449" s="76"/>
    </row>
    <row r="450" spans="41:53">
      <c r="AO450" s="39"/>
      <c r="AP450" s="70"/>
      <c r="AQ450" s="71"/>
      <c r="AR450" s="72"/>
      <c r="AU450" s="70"/>
      <c r="AV450" s="77"/>
      <c r="AW450" s="78"/>
      <c r="AX450" s="75"/>
      <c r="BA450" s="76"/>
    </row>
    <row r="451" spans="41:53">
      <c r="AO451" s="39"/>
      <c r="AP451" s="70"/>
      <c r="AQ451" s="71"/>
      <c r="AR451" s="72"/>
      <c r="AU451" s="70"/>
      <c r="AV451" s="77"/>
      <c r="AW451" s="78"/>
      <c r="AX451" s="75"/>
      <c r="BA451" s="76"/>
    </row>
    <row r="452" spans="41:53">
      <c r="AO452" s="39"/>
      <c r="AP452" s="70"/>
      <c r="AQ452" s="71"/>
      <c r="AR452" s="72"/>
      <c r="AU452" s="70"/>
      <c r="AV452" s="77"/>
      <c r="AW452" s="78"/>
      <c r="AX452" s="75"/>
      <c r="BA452" s="76"/>
    </row>
    <row r="453" spans="41:53">
      <c r="AO453" s="39"/>
      <c r="AP453" s="70"/>
      <c r="AQ453" s="71"/>
      <c r="AR453" s="72"/>
      <c r="AU453" s="70"/>
      <c r="AV453" s="77"/>
      <c r="AW453" s="78"/>
      <c r="AX453" s="75"/>
      <c r="BA453" s="76"/>
    </row>
    <row r="454" spans="41:53">
      <c r="AO454" s="39"/>
      <c r="AP454" s="70"/>
      <c r="AQ454" s="71"/>
      <c r="AR454" s="72"/>
      <c r="AU454" s="70"/>
      <c r="AV454" s="77"/>
      <c r="AW454" s="78"/>
      <c r="AX454" s="75"/>
      <c r="BA454" s="76"/>
    </row>
    <row r="455" spans="41:53">
      <c r="AO455" s="39"/>
      <c r="AP455" s="70"/>
      <c r="AQ455" s="71"/>
      <c r="AR455" s="72"/>
      <c r="AU455" s="70"/>
      <c r="AV455" s="77"/>
      <c r="AW455" s="78"/>
      <c r="AX455" s="75"/>
      <c r="BA455" s="76"/>
    </row>
    <row r="456" spans="41:53">
      <c r="AO456" s="39"/>
      <c r="AP456" s="70"/>
      <c r="AQ456" s="71"/>
      <c r="AR456" s="72"/>
      <c r="AU456" s="70"/>
      <c r="AV456" s="77"/>
      <c r="AW456" s="78"/>
      <c r="AX456" s="75"/>
      <c r="BA456" s="76"/>
    </row>
    <row r="457" spans="41:53">
      <c r="AO457" s="39"/>
      <c r="AP457" s="70"/>
      <c r="AQ457" s="71"/>
      <c r="AR457" s="72"/>
      <c r="AU457" s="70"/>
      <c r="AV457" s="77"/>
      <c r="AW457" s="78"/>
      <c r="AX457" s="75"/>
      <c r="BA457" s="76"/>
    </row>
    <row r="458" spans="41:53">
      <c r="AO458" s="39"/>
      <c r="AP458" s="70"/>
      <c r="AQ458" s="71"/>
      <c r="AR458" s="72"/>
      <c r="AU458" s="70"/>
      <c r="AV458" s="77"/>
      <c r="AW458" s="78"/>
      <c r="AX458" s="75"/>
      <c r="BA458" s="76"/>
    </row>
    <row r="459" spans="41:53">
      <c r="AO459" s="39"/>
      <c r="AP459" s="70"/>
      <c r="AQ459" s="71"/>
      <c r="AR459" s="72"/>
      <c r="AU459" s="70"/>
      <c r="AV459" s="77"/>
      <c r="AW459" s="78"/>
      <c r="AX459" s="75"/>
      <c r="BA459" s="76"/>
    </row>
    <row r="460" spans="41:53">
      <c r="AO460" s="39"/>
      <c r="AP460" s="70"/>
      <c r="AQ460" s="71"/>
      <c r="AR460" s="72"/>
      <c r="AU460" s="70"/>
      <c r="AV460" s="77"/>
      <c r="AW460" s="78"/>
      <c r="AX460" s="75"/>
      <c r="BA460" s="76"/>
    </row>
    <row r="461" spans="41:53">
      <c r="AO461" s="39"/>
      <c r="AP461" s="70"/>
      <c r="AQ461" s="71"/>
      <c r="AR461" s="72"/>
      <c r="AU461" s="70"/>
      <c r="AV461" s="77"/>
      <c r="AW461" s="78"/>
      <c r="AX461" s="75"/>
      <c r="BA461" s="76"/>
    </row>
    <row r="462" spans="41:53">
      <c r="AO462" s="39"/>
      <c r="AP462" s="70"/>
      <c r="AQ462" s="71"/>
      <c r="AR462" s="72"/>
      <c r="AU462" s="70"/>
      <c r="AV462" s="77"/>
      <c r="AW462" s="78"/>
      <c r="AX462" s="75"/>
      <c r="BA462" s="76"/>
    </row>
    <row r="463" spans="41:53">
      <c r="AO463" s="39"/>
      <c r="AP463" s="70"/>
      <c r="AQ463" s="71"/>
      <c r="AR463" s="72"/>
      <c r="AU463" s="70"/>
      <c r="AV463" s="77"/>
      <c r="AW463" s="78"/>
      <c r="AX463" s="75"/>
      <c r="BA463" s="76"/>
    </row>
    <row r="464" spans="41:53">
      <c r="AO464" s="39"/>
      <c r="AP464" s="70"/>
      <c r="AQ464" s="71"/>
      <c r="AR464" s="72"/>
      <c r="AU464" s="70"/>
      <c r="AV464" s="77"/>
      <c r="AW464" s="78"/>
      <c r="AX464" s="75"/>
      <c r="BA464" s="76"/>
    </row>
    <row r="465" spans="41:53">
      <c r="AO465" s="39"/>
      <c r="AP465" s="70"/>
      <c r="AQ465" s="71"/>
      <c r="AR465" s="72"/>
      <c r="AU465" s="70"/>
      <c r="AV465" s="77"/>
      <c r="AW465" s="78"/>
      <c r="AX465" s="75"/>
      <c r="BA465" s="76"/>
    </row>
    <row r="466" spans="41:53">
      <c r="AO466" s="39"/>
      <c r="AP466" s="70"/>
      <c r="AQ466" s="71"/>
      <c r="AR466" s="72"/>
      <c r="AU466" s="70"/>
      <c r="AV466" s="77"/>
      <c r="AW466" s="78"/>
      <c r="AX466" s="75"/>
      <c r="BA466" s="76"/>
    </row>
    <row r="467" spans="41:53">
      <c r="AO467" s="39"/>
      <c r="AP467" s="70"/>
      <c r="AQ467" s="71"/>
      <c r="AR467" s="72"/>
      <c r="AU467" s="70"/>
      <c r="AV467" s="77"/>
      <c r="AW467" s="78"/>
      <c r="AX467" s="75"/>
      <c r="BA467" s="76"/>
    </row>
    <row r="468" spans="41:53">
      <c r="AO468" s="39"/>
      <c r="AP468" s="70"/>
      <c r="AQ468" s="71"/>
      <c r="AR468" s="72"/>
      <c r="AU468" s="70"/>
      <c r="AV468" s="77"/>
      <c r="AW468" s="78"/>
      <c r="AX468" s="75"/>
      <c r="BA468" s="76"/>
    </row>
    <row r="469" spans="41:53">
      <c r="AO469" s="39"/>
      <c r="AP469" s="70"/>
      <c r="AQ469" s="71"/>
      <c r="AR469" s="72"/>
      <c r="AU469" s="70"/>
      <c r="AV469" s="77"/>
      <c r="AW469" s="78"/>
      <c r="AX469" s="75"/>
      <c r="BA469" s="76"/>
    </row>
    <row r="470" spans="41:53">
      <c r="AO470" s="39"/>
      <c r="AP470" s="70"/>
      <c r="AQ470" s="71"/>
      <c r="AR470" s="72"/>
      <c r="AU470" s="70"/>
      <c r="AV470" s="77"/>
      <c r="AW470" s="78"/>
      <c r="AX470" s="75"/>
      <c r="BA470" s="76"/>
    </row>
    <row r="471" spans="41:53">
      <c r="AO471" s="39"/>
      <c r="AP471" s="70"/>
      <c r="AQ471" s="71"/>
      <c r="AR471" s="72"/>
      <c r="AU471" s="70"/>
      <c r="AV471" s="77"/>
      <c r="AW471" s="78"/>
      <c r="AX471" s="75"/>
      <c r="BA471" s="76"/>
    </row>
    <row r="472" spans="41:53">
      <c r="AO472" s="39"/>
      <c r="AP472" s="70"/>
      <c r="AQ472" s="71"/>
      <c r="AR472" s="72"/>
      <c r="AU472" s="70"/>
      <c r="AV472" s="77"/>
      <c r="AW472" s="78"/>
      <c r="AX472" s="75"/>
      <c r="BA472" s="76"/>
    </row>
    <row r="473" spans="41:53">
      <c r="AO473" s="39"/>
      <c r="AP473" s="70"/>
      <c r="AQ473" s="71"/>
      <c r="AR473" s="72"/>
      <c r="AU473" s="70"/>
      <c r="AV473" s="77"/>
      <c r="AW473" s="78"/>
      <c r="AX473" s="75"/>
      <c r="BA473" s="76"/>
    </row>
    <row r="474" spans="41:53">
      <c r="AO474" s="39"/>
      <c r="AP474" s="70"/>
      <c r="AQ474" s="71"/>
      <c r="AR474" s="72"/>
      <c r="AU474" s="70"/>
      <c r="AV474" s="77"/>
      <c r="AW474" s="78"/>
      <c r="AX474" s="75"/>
      <c r="BA474" s="76"/>
    </row>
    <row r="475" spans="41:53">
      <c r="AO475" s="39"/>
      <c r="AP475" s="70"/>
      <c r="AQ475" s="71"/>
      <c r="AR475" s="72"/>
      <c r="AU475" s="70"/>
      <c r="AV475" s="77"/>
      <c r="AW475" s="78"/>
      <c r="AX475" s="75"/>
      <c r="BA475" s="76"/>
    </row>
    <row r="476" spans="41:53">
      <c r="AO476" s="39"/>
      <c r="AP476" s="70"/>
      <c r="AQ476" s="71"/>
      <c r="AR476" s="72"/>
      <c r="AU476" s="70"/>
      <c r="AV476" s="77"/>
      <c r="AW476" s="78"/>
      <c r="AX476" s="75"/>
      <c r="BA476" s="76"/>
    </row>
    <row r="477" spans="41:53">
      <c r="AO477" s="39"/>
      <c r="AP477" s="70"/>
      <c r="AQ477" s="71"/>
      <c r="AR477" s="72"/>
      <c r="AU477" s="70"/>
      <c r="AV477" s="77"/>
      <c r="AW477" s="78"/>
      <c r="AX477" s="75"/>
      <c r="BA477" s="76"/>
    </row>
    <row r="478" spans="41:53">
      <c r="AO478" s="39"/>
      <c r="AP478" s="70"/>
      <c r="AQ478" s="71"/>
      <c r="AR478" s="72"/>
      <c r="AU478" s="70"/>
      <c r="AV478" s="77"/>
      <c r="AW478" s="78"/>
      <c r="AX478" s="75"/>
      <c r="BA478" s="76"/>
    </row>
    <row r="479" spans="41:53">
      <c r="AO479" s="39"/>
      <c r="AP479" s="70"/>
      <c r="AQ479" s="71"/>
      <c r="AR479" s="72"/>
      <c r="AU479" s="70"/>
      <c r="AV479" s="77"/>
      <c r="AW479" s="78"/>
      <c r="AX479" s="75"/>
      <c r="BA479" s="76"/>
    </row>
    <row r="480" spans="41:53">
      <c r="AO480" s="39"/>
      <c r="AP480" s="70"/>
      <c r="AQ480" s="71"/>
      <c r="AR480" s="72"/>
      <c r="AU480" s="70"/>
      <c r="AV480" s="77"/>
      <c r="AW480" s="78"/>
      <c r="AX480" s="75"/>
      <c r="BA480" s="76"/>
    </row>
    <row r="481" spans="41:53">
      <c r="AO481" s="39"/>
      <c r="AP481" s="70"/>
      <c r="AQ481" s="71"/>
      <c r="AR481" s="72"/>
      <c r="AU481" s="70"/>
      <c r="AV481" s="77"/>
      <c r="AW481" s="78"/>
      <c r="AX481" s="75"/>
      <c r="BA481" s="76"/>
    </row>
    <row r="482" spans="41:53">
      <c r="AO482" s="39"/>
      <c r="AP482" s="70"/>
      <c r="AQ482" s="71"/>
      <c r="AR482" s="72"/>
      <c r="AU482" s="70"/>
      <c r="AV482" s="77"/>
      <c r="AW482" s="78"/>
      <c r="AX482" s="75"/>
      <c r="BA482" s="76"/>
    </row>
    <row r="483" spans="41:53">
      <c r="AO483" s="39"/>
      <c r="AP483" s="70"/>
      <c r="AQ483" s="71"/>
      <c r="AR483" s="72"/>
      <c r="AU483" s="70"/>
      <c r="AV483" s="77"/>
      <c r="AW483" s="78"/>
      <c r="AX483" s="75"/>
      <c r="BA483" s="76"/>
    </row>
    <row r="484" spans="41:53">
      <c r="AO484" s="39"/>
      <c r="AP484" s="70"/>
      <c r="AQ484" s="71"/>
      <c r="AR484" s="72"/>
      <c r="AU484" s="70"/>
      <c r="AV484" s="77"/>
      <c r="AW484" s="78"/>
      <c r="AX484" s="75"/>
      <c r="BA484" s="76"/>
    </row>
    <row r="485" spans="41:53">
      <c r="AO485" s="39"/>
      <c r="AP485" s="70"/>
      <c r="AQ485" s="71"/>
      <c r="AR485" s="72"/>
      <c r="AU485" s="70"/>
      <c r="AV485" s="77"/>
      <c r="AW485" s="78"/>
      <c r="AX485" s="75"/>
      <c r="BA485" s="76"/>
    </row>
    <row r="486" spans="41:53">
      <c r="AO486" s="39"/>
      <c r="AP486" s="70"/>
      <c r="AQ486" s="71"/>
      <c r="AR486" s="72"/>
      <c r="AU486" s="70"/>
      <c r="AV486" s="77"/>
      <c r="AW486" s="78"/>
      <c r="AX486" s="75"/>
      <c r="BA486" s="76"/>
    </row>
    <row r="487" spans="41:53">
      <c r="AO487" s="39"/>
      <c r="AP487" s="70"/>
      <c r="AQ487" s="71"/>
      <c r="AR487" s="72"/>
      <c r="AU487" s="70"/>
      <c r="AV487" s="77"/>
      <c r="AW487" s="78"/>
      <c r="AX487" s="75"/>
      <c r="BA487" s="76"/>
    </row>
    <row r="488" spans="41:53">
      <c r="AO488" s="39"/>
      <c r="AP488" s="70"/>
      <c r="AQ488" s="71"/>
      <c r="AR488" s="72"/>
      <c r="AU488" s="70"/>
      <c r="AV488" s="77"/>
      <c r="AW488" s="78"/>
      <c r="AX488" s="75"/>
      <c r="BA488" s="76"/>
    </row>
    <row r="489" spans="41:53">
      <c r="AO489" s="39"/>
      <c r="AP489" s="70"/>
      <c r="AQ489" s="71"/>
      <c r="AR489" s="72"/>
      <c r="AU489" s="70"/>
      <c r="AV489" s="77"/>
      <c r="AW489" s="78"/>
      <c r="AX489" s="75"/>
      <c r="BA489" s="76"/>
    </row>
    <row r="490" spans="41:53">
      <c r="AO490" s="39"/>
      <c r="AP490" s="70"/>
      <c r="AQ490" s="71"/>
      <c r="AR490" s="72"/>
      <c r="AU490" s="70"/>
      <c r="AV490" s="77"/>
      <c r="AW490" s="78"/>
      <c r="AX490" s="75"/>
      <c r="BA490" s="76"/>
    </row>
    <row r="491" spans="41:53">
      <c r="AO491" s="39"/>
      <c r="AP491" s="70"/>
      <c r="AQ491" s="71"/>
      <c r="AR491" s="72"/>
      <c r="AU491" s="70"/>
      <c r="AV491" s="77"/>
      <c r="AW491" s="78"/>
      <c r="AX491" s="75"/>
      <c r="BA491" s="76"/>
    </row>
    <row r="492" spans="41:53">
      <c r="AO492" s="39"/>
      <c r="AP492" s="70"/>
      <c r="AQ492" s="71"/>
      <c r="AR492" s="72"/>
      <c r="AU492" s="70"/>
      <c r="AV492" s="77"/>
      <c r="AW492" s="78"/>
      <c r="AX492" s="75"/>
      <c r="BA492" s="76"/>
    </row>
    <row r="493" spans="41:53">
      <c r="AO493" s="39"/>
      <c r="AP493" s="70"/>
      <c r="AQ493" s="71"/>
      <c r="AR493" s="72"/>
      <c r="AU493" s="70"/>
      <c r="AV493" s="77"/>
      <c r="AW493" s="78"/>
      <c r="AX493" s="75"/>
      <c r="BA493" s="76"/>
    </row>
    <row r="494" spans="41:53">
      <c r="AO494" s="39"/>
      <c r="AP494" s="70"/>
      <c r="AQ494" s="71"/>
      <c r="AR494" s="72"/>
      <c r="AU494" s="70"/>
      <c r="AV494" s="77"/>
      <c r="AW494" s="78"/>
      <c r="AX494" s="75"/>
      <c r="BA494" s="76"/>
    </row>
    <row r="495" spans="41:53">
      <c r="AO495" s="39"/>
      <c r="AP495" s="70"/>
      <c r="AQ495" s="71"/>
      <c r="AR495" s="72"/>
      <c r="AU495" s="70"/>
      <c r="AV495" s="77"/>
      <c r="AW495" s="78"/>
      <c r="AX495" s="75"/>
      <c r="BA495" s="76"/>
    </row>
    <row r="496" spans="41:53">
      <c r="AO496" s="39"/>
      <c r="AP496" s="70"/>
      <c r="AQ496" s="71"/>
      <c r="AR496" s="72"/>
      <c r="AU496" s="70"/>
      <c r="AV496" s="77"/>
      <c r="AW496" s="78"/>
      <c r="AX496" s="75"/>
      <c r="BA496" s="76"/>
    </row>
    <row r="497" spans="41:53">
      <c r="AO497" s="39"/>
      <c r="AP497" s="70"/>
      <c r="AQ497" s="71"/>
      <c r="AR497" s="72"/>
      <c r="AU497" s="70"/>
      <c r="AV497" s="77"/>
      <c r="AW497" s="78"/>
      <c r="AX497" s="75"/>
      <c r="BA497" s="76"/>
    </row>
    <row r="498" spans="41:53">
      <c r="AO498" s="39"/>
      <c r="AP498" s="70"/>
      <c r="AQ498" s="71"/>
      <c r="AR498" s="72"/>
      <c r="AU498" s="70"/>
      <c r="AV498" s="77"/>
      <c r="AW498" s="78"/>
      <c r="AX498" s="75"/>
      <c r="BA498" s="76"/>
    </row>
    <row r="499" spans="41:53">
      <c r="AO499" s="39"/>
      <c r="AP499" s="70"/>
      <c r="AQ499" s="71"/>
      <c r="AR499" s="72"/>
      <c r="AU499" s="70"/>
      <c r="AV499" s="77"/>
      <c r="AW499" s="78"/>
      <c r="AX499" s="75"/>
      <c r="BA499" s="76"/>
    </row>
    <row r="500" spans="41:53">
      <c r="AO500" s="39"/>
      <c r="AP500" s="70"/>
      <c r="AQ500" s="71"/>
      <c r="AR500" s="72"/>
      <c r="AU500" s="70"/>
      <c r="AV500" s="77"/>
      <c r="AW500" s="78"/>
      <c r="AX500" s="75"/>
      <c r="BA500" s="76"/>
    </row>
    <row r="501" spans="41:53">
      <c r="AO501" s="39"/>
      <c r="AP501" s="70"/>
      <c r="AQ501" s="71"/>
      <c r="AR501" s="72"/>
      <c r="AU501" s="70"/>
      <c r="AV501" s="77"/>
      <c r="AW501" s="78"/>
      <c r="AX501" s="75"/>
      <c r="BA501" s="76"/>
    </row>
    <row r="502" spans="41:53">
      <c r="AO502" s="39"/>
      <c r="AP502" s="70"/>
      <c r="AQ502" s="71"/>
      <c r="AR502" s="72"/>
      <c r="AU502" s="70"/>
      <c r="AV502" s="77"/>
      <c r="AW502" s="78"/>
      <c r="AX502" s="75"/>
      <c r="BA502" s="76"/>
    </row>
    <row r="503" spans="41:53">
      <c r="AO503" s="39"/>
      <c r="AP503" s="70"/>
      <c r="AQ503" s="71"/>
      <c r="AR503" s="72"/>
      <c r="AU503" s="70"/>
      <c r="AV503" s="77"/>
      <c r="AW503" s="78"/>
      <c r="AX503" s="75"/>
      <c r="BA503" s="76"/>
    </row>
    <row r="504" spans="41:53">
      <c r="AO504" s="39"/>
      <c r="AP504" s="70"/>
      <c r="AQ504" s="71"/>
      <c r="AR504" s="72"/>
      <c r="AU504" s="70"/>
      <c r="AV504" s="77"/>
      <c r="AW504" s="78"/>
      <c r="AX504" s="75"/>
      <c r="BA504" s="76"/>
    </row>
    <row r="505" spans="41:53">
      <c r="AO505" s="39"/>
      <c r="AP505" s="70"/>
      <c r="AQ505" s="71"/>
      <c r="AR505" s="72"/>
      <c r="AU505" s="70"/>
      <c r="AV505" s="77"/>
      <c r="AW505" s="78"/>
      <c r="AX505" s="75"/>
      <c r="BA505" s="76"/>
    </row>
    <row r="506" spans="41:53">
      <c r="AO506" s="39"/>
      <c r="AP506" s="70"/>
      <c r="AQ506" s="71"/>
      <c r="AR506" s="72"/>
      <c r="AU506" s="70"/>
      <c r="AV506" s="77"/>
      <c r="AW506" s="78"/>
      <c r="AX506" s="75"/>
      <c r="BA506" s="76"/>
    </row>
    <row r="507" spans="41:53">
      <c r="AO507" s="39"/>
      <c r="AP507" s="70"/>
      <c r="AQ507" s="71"/>
      <c r="AR507" s="72"/>
      <c r="AU507" s="70"/>
      <c r="AV507" s="77"/>
      <c r="AW507" s="78"/>
      <c r="AX507" s="75"/>
      <c r="BA507" s="76"/>
    </row>
    <row r="508" spans="41:53">
      <c r="AO508" s="39"/>
      <c r="AP508" s="70"/>
      <c r="AQ508" s="71"/>
      <c r="AR508" s="72"/>
      <c r="AU508" s="70"/>
      <c r="AV508" s="77"/>
      <c r="AW508" s="78"/>
      <c r="AX508" s="75"/>
      <c r="BA508" s="76"/>
    </row>
    <row r="509" spans="41:53">
      <c r="AO509" s="39"/>
      <c r="AP509" s="70"/>
      <c r="AQ509" s="71"/>
      <c r="AR509" s="72"/>
      <c r="AU509" s="70"/>
      <c r="AV509" s="77"/>
      <c r="AW509" s="78"/>
      <c r="AX509" s="75"/>
      <c r="BA509" s="76"/>
    </row>
    <row r="510" spans="41:53">
      <c r="AO510" s="39"/>
      <c r="AP510" s="70"/>
      <c r="AQ510" s="71"/>
      <c r="AR510" s="72"/>
      <c r="AU510" s="70"/>
      <c r="AV510" s="77"/>
      <c r="AW510" s="78"/>
      <c r="AX510" s="75"/>
      <c r="BA510" s="76"/>
    </row>
    <row r="511" spans="41:53">
      <c r="AO511" s="39"/>
      <c r="AP511" s="70"/>
      <c r="AQ511" s="71"/>
      <c r="AR511" s="72"/>
      <c r="AU511" s="70"/>
      <c r="AV511" s="77"/>
      <c r="AW511" s="78"/>
      <c r="AX511" s="75"/>
      <c r="BA511" s="76"/>
    </row>
    <row r="512" spans="41:53">
      <c r="AO512" s="39"/>
      <c r="AP512" s="70"/>
      <c r="AQ512" s="71"/>
      <c r="AR512" s="72"/>
      <c r="AU512" s="70"/>
      <c r="AV512" s="77"/>
      <c r="AW512" s="78"/>
      <c r="AX512" s="75"/>
      <c r="BA512" s="76"/>
    </row>
    <row r="513" spans="41:53">
      <c r="AO513" s="39"/>
      <c r="AP513" s="70"/>
      <c r="AQ513" s="71"/>
      <c r="AR513" s="72"/>
      <c r="AU513" s="70"/>
      <c r="AV513" s="77"/>
      <c r="AW513" s="78"/>
      <c r="AX513" s="75"/>
      <c r="BA513" s="76"/>
    </row>
    <row r="514" spans="41:53">
      <c r="AO514" s="39"/>
      <c r="AP514" s="70"/>
      <c r="AQ514" s="71"/>
      <c r="AR514" s="72"/>
      <c r="AU514" s="70"/>
      <c r="AV514" s="77"/>
      <c r="AW514" s="78"/>
      <c r="AX514" s="75"/>
      <c r="BA514" s="76"/>
    </row>
    <row r="515" spans="41:53">
      <c r="AO515" s="39"/>
      <c r="AP515" s="70"/>
      <c r="AQ515" s="71"/>
      <c r="AR515" s="72"/>
      <c r="AU515" s="70"/>
      <c r="AV515" s="77"/>
      <c r="AW515" s="78"/>
      <c r="AX515" s="75"/>
      <c r="BA515" s="76"/>
    </row>
    <row r="516" spans="41:53">
      <c r="AO516" s="39"/>
      <c r="AP516" s="70"/>
      <c r="AQ516" s="71"/>
      <c r="AR516" s="72"/>
      <c r="AU516" s="70"/>
      <c r="AV516" s="77"/>
      <c r="AW516" s="78"/>
      <c r="AX516" s="75"/>
      <c r="BA516" s="76"/>
    </row>
    <row r="517" spans="41:53">
      <c r="AO517" s="39"/>
      <c r="AP517" s="70"/>
      <c r="AQ517" s="71"/>
      <c r="AR517" s="72"/>
      <c r="AU517" s="70"/>
      <c r="AV517" s="77"/>
      <c r="AW517" s="78"/>
      <c r="AX517" s="75"/>
      <c r="BA517" s="76"/>
    </row>
    <row r="518" spans="41:53">
      <c r="AO518" s="39"/>
      <c r="AP518" s="70"/>
      <c r="AQ518" s="71"/>
      <c r="AR518" s="72"/>
      <c r="AU518" s="70"/>
      <c r="AV518" s="77"/>
      <c r="AW518" s="78"/>
      <c r="AX518" s="75"/>
      <c r="BA518" s="76"/>
    </row>
    <row r="519" spans="41:53">
      <c r="AO519" s="39"/>
      <c r="AP519" s="70"/>
      <c r="AQ519" s="71"/>
      <c r="AR519" s="72"/>
      <c r="AU519" s="70"/>
      <c r="AV519" s="77"/>
      <c r="AW519" s="78"/>
      <c r="AX519" s="75"/>
      <c r="BA519" s="76"/>
    </row>
    <row r="520" spans="41:53">
      <c r="AO520" s="39"/>
      <c r="AP520" s="70"/>
      <c r="AQ520" s="71"/>
      <c r="AR520" s="72"/>
      <c r="AU520" s="70"/>
      <c r="AV520" s="77"/>
      <c r="AW520" s="78"/>
      <c r="AX520" s="75"/>
      <c r="BA520" s="76"/>
    </row>
    <row r="521" spans="41:53">
      <c r="AO521" s="39"/>
      <c r="AP521" s="70"/>
      <c r="AQ521" s="71"/>
      <c r="AR521" s="72"/>
      <c r="AU521" s="70"/>
      <c r="AV521" s="77"/>
      <c r="AW521" s="78"/>
      <c r="AX521" s="75"/>
      <c r="BA521" s="76"/>
    </row>
    <row r="522" spans="41:53">
      <c r="AO522" s="39"/>
      <c r="AP522" s="70"/>
      <c r="AQ522" s="71"/>
      <c r="AR522" s="72"/>
      <c r="AU522" s="70"/>
      <c r="AV522" s="77"/>
      <c r="AW522" s="78"/>
      <c r="AX522" s="75"/>
      <c r="BA522" s="76"/>
    </row>
    <row r="523" spans="41:53">
      <c r="AO523" s="39"/>
      <c r="AP523" s="70"/>
      <c r="AQ523" s="71"/>
      <c r="AR523" s="72"/>
      <c r="AU523" s="70"/>
      <c r="AV523" s="77"/>
      <c r="AW523" s="78"/>
      <c r="AX523" s="75"/>
      <c r="BA523" s="76"/>
    </row>
    <row r="524" spans="41:53">
      <c r="AO524" s="39"/>
      <c r="AP524" s="70"/>
      <c r="AQ524" s="71"/>
      <c r="AR524" s="72"/>
      <c r="AU524" s="70"/>
      <c r="AV524" s="77"/>
      <c r="AW524" s="78"/>
      <c r="AX524" s="75"/>
      <c r="BA524" s="76"/>
    </row>
    <row r="525" spans="41:53">
      <c r="AO525" s="39"/>
      <c r="AP525" s="70"/>
      <c r="AQ525" s="71"/>
      <c r="AR525" s="72"/>
      <c r="AU525" s="70"/>
      <c r="AV525" s="77"/>
      <c r="AW525" s="78"/>
      <c r="AX525" s="75"/>
      <c r="BA525" s="76"/>
    </row>
    <row r="526" spans="41:53">
      <c r="AO526" s="39"/>
      <c r="AP526" s="70"/>
      <c r="AQ526" s="71"/>
      <c r="AR526" s="72"/>
      <c r="AU526" s="70"/>
      <c r="AV526" s="77"/>
      <c r="AW526" s="78"/>
      <c r="AX526" s="75"/>
      <c r="BA526" s="76"/>
    </row>
    <row r="527" spans="41:53">
      <c r="AO527" s="39"/>
      <c r="AP527" s="70"/>
      <c r="AQ527" s="71"/>
      <c r="AR527" s="72"/>
      <c r="AU527" s="70"/>
      <c r="AV527" s="77"/>
      <c r="AW527" s="78"/>
      <c r="AX527" s="75"/>
      <c r="BA527" s="76"/>
    </row>
    <row r="528" spans="41:53">
      <c r="AO528" s="39"/>
      <c r="AP528" s="70"/>
      <c r="AQ528" s="71"/>
      <c r="AR528" s="72"/>
      <c r="AU528" s="70"/>
      <c r="AV528" s="77"/>
      <c r="AW528" s="78"/>
      <c r="AX528" s="75"/>
      <c r="BA528" s="76"/>
    </row>
    <row r="529" spans="41:53">
      <c r="AO529" s="39"/>
      <c r="AP529" s="70"/>
      <c r="AQ529" s="71"/>
      <c r="AR529" s="72"/>
      <c r="AU529" s="70"/>
      <c r="AV529" s="77"/>
      <c r="AW529" s="78"/>
      <c r="AX529" s="75"/>
      <c r="BA529" s="76"/>
    </row>
    <row r="530" spans="41:53">
      <c r="AO530" s="39"/>
      <c r="AP530" s="70"/>
      <c r="AQ530" s="71"/>
      <c r="AR530" s="72"/>
      <c r="AU530" s="70"/>
      <c r="AV530" s="77"/>
      <c r="AW530" s="78"/>
      <c r="AX530" s="75"/>
      <c r="BA530" s="76"/>
    </row>
    <row r="531" spans="41:53">
      <c r="AO531" s="39"/>
      <c r="AP531" s="70"/>
      <c r="AQ531" s="71"/>
      <c r="AR531" s="72"/>
      <c r="AU531" s="70"/>
      <c r="AV531" s="77"/>
      <c r="AW531" s="78"/>
      <c r="AX531" s="75"/>
      <c r="BA531" s="76"/>
    </row>
    <row r="532" spans="41:53">
      <c r="AO532" s="39"/>
      <c r="AP532" s="70"/>
      <c r="AQ532" s="71"/>
      <c r="AR532" s="72"/>
      <c r="AU532" s="70"/>
      <c r="AV532" s="77"/>
      <c r="AW532" s="78"/>
      <c r="AX532" s="75"/>
      <c r="BA532" s="76"/>
    </row>
    <row r="533" spans="41:53">
      <c r="AO533" s="39"/>
      <c r="AP533" s="70"/>
      <c r="AQ533" s="71"/>
      <c r="AR533" s="72"/>
      <c r="AU533" s="70"/>
      <c r="AV533" s="77"/>
      <c r="AW533" s="78"/>
      <c r="AX533" s="75"/>
      <c r="BA533" s="76"/>
    </row>
    <row r="534" spans="41:53">
      <c r="AO534" s="39"/>
      <c r="AP534" s="70"/>
      <c r="AQ534" s="71"/>
      <c r="AR534" s="72"/>
      <c r="AU534" s="70"/>
      <c r="AV534" s="77"/>
      <c r="AW534" s="78"/>
      <c r="AX534" s="75"/>
      <c r="BA534" s="76"/>
    </row>
    <row r="535" spans="41:53">
      <c r="AO535" s="39"/>
      <c r="AP535" s="70"/>
      <c r="AQ535" s="71"/>
      <c r="AR535" s="72"/>
      <c r="AU535" s="70"/>
      <c r="AV535" s="77"/>
      <c r="AW535" s="78"/>
      <c r="AX535" s="75"/>
      <c r="BA535" s="76"/>
    </row>
    <row r="536" spans="41:53">
      <c r="AO536" s="39"/>
      <c r="AP536" s="70"/>
      <c r="AQ536" s="71"/>
      <c r="AR536" s="72"/>
      <c r="AU536" s="70"/>
      <c r="AV536" s="77"/>
      <c r="AW536" s="78"/>
      <c r="AX536" s="75"/>
      <c r="BA536" s="76"/>
    </row>
    <row r="537" spans="41:53">
      <c r="AO537" s="39"/>
      <c r="AP537" s="70"/>
      <c r="AQ537" s="71"/>
      <c r="AR537" s="72"/>
      <c r="AU537" s="70"/>
      <c r="AV537" s="77"/>
      <c r="AW537" s="78"/>
      <c r="AX537" s="75"/>
      <c r="BA537" s="76"/>
    </row>
    <row r="538" spans="41:53">
      <c r="AO538" s="39"/>
      <c r="AP538" s="70"/>
      <c r="AQ538" s="71"/>
      <c r="AR538" s="72"/>
      <c r="AU538" s="70"/>
      <c r="AV538" s="77"/>
      <c r="AW538" s="78"/>
      <c r="AX538" s="75"/>
      <c r="BA538" s="76"/>
    </row>
    <row r="539" spans="41:53">
      <c r="AO539" s="39"/>
      <c r="AP539" s="70"/>
      <c r="AQ539" s="71"/>
      <c r="AR539" s="72"/>
      <c r="AU539" s="70"/>
      <c r="AV539" s="77"/>
      <c r="AW539" s="78"/>
      <c r="AX539" s="75"/>
      <c r="BA539" s="76"/>
    </row>
    <row r="540" spans="41:53">
      <c r="AO540" s="39"/>
      <c r="AP540" s="70"/>
      <c r="AQ540" s="71"/>
      <c r="AR540" s="72"/>
      <c r="AU540" s="70"/>
      <c r="AV540" s="77"/>
      <c r="AW540" s="78"/>
      <c r="AX540" s="75"/>
      <c r="BA540" s="76"/>
    </row>
    <row r="541" spans="41:53">
      <c r="AO541" s="39"/>
      <c r="AP541" s="70"/>
      <c r="AQ541" s="71"/>
      <c r="AR541" s="72"/>
      <c r="AU541" s="70"/>
      <c r="AV541" s="77"/>
      <c r="AW541" s="78"/>
      <c r="AX541" s="75"/>
      <c r="BA541" s="76"/>
    </row>
    <row r="542" spans="41:53">
      <c r="AO542" s="39"/>
      <c r="AP542" s="70"/>
      <c r="AQ542" s="71"/>
      <c r="AR542" s="72"/>
      <c r="AU542" s="70"/>
      <c r="AV542" s="77"/>
      <c r="AW542" s="78"/>
      <c r="AX542" s="75"/>
      <c r="BA542" s="76"/>
    </row>
    <row r="543" spans="41:53">
      <c r="AO543" s="39"/>
      <c r="AP543" s="70"/>
      <c r="AQ543" s="71"/>
      <c r="AR543" s="72"/>
      <c r="AU543" s="70"/>
      <c r="AV543" s="77"/>
      <c r="AW543" s="78"/>
      <c r="AX543" s="75"/>
      <c r="BA543" s="76"/>
    </row>
    <row r="544" spans="41:53">
      <c r="AO544" s="39"/>
      <c r="AP544" s="70"/>
      <c r="AQ544" s="71"/>
      <c r="AR544" s="72"/>
      <c r="AU544" s="70"/>
      <c r="AV544" s="77"/>
      <c r="AW544" s="78"/>
      <c r="AX544" s="75"/>
      <c r="BA544" s="76"/>
    </row>
    <row r="545" spans="41:53">
      <c r="AO545" s="39"/>
      <c r="AP545" s="70"/>
      <c r="AQ545" s="71"/>
      <c r="AR545" s="72"/>
      <c r="AU545" s="70"/>
      <c r="AV545" s="77"/>
      <c r="AW545" s="78"/>
      <c r="AX545" s="75"/>
      <c r="BA545" s="76"/>
    </row>
    <row r="546" spans="41:53">
      <c r="AO546" s="39"/>
      <c r="AP546" s="70"/>
      <c r="AQ546" s="71"/>
      <c r="AR546" s="72"/>
      <c r="AU546" s="70"/>
      <c r="AV546" s="77"/>
      <c r="AW546" s="78"/>
      <c r="AX546" s="75"/>
      <c r="BA546" s="76"/>
    </row>
    <row r="547" spans="41:53">
      <c r="AO547" s="39"/>
      <c r="AP547" s="70"/>
      <c r="AQ547" s="71"/>
      <c r="AR547" s="72"/>
      <c r="AU547" s="70"/>
      <c r="AV547" s="77"/>
      <c r="AW547" s="78"/>
      <c r="AX547" s="75"/>
      <c r="BA547" s="76"/>
    </row>
    <row r="548" spans="41:53">
      <c r="AO548" s="39"/>
      <c r="AP548" s="70"/>
      <c r="AQ548" s="71"/>
      <c r="AR548" s="72"/>
      <c r="AU548" s="70"/>
      <c r="AV548" s="77"/>
      <c r="AW548" s="78"/>
      <c r="AX548" s="75"/>
      <c r="BA548" s="76"/>
    </row>
    <row r="549" spans="41:53">
      <c r="AO549" s="39"/>
      <c r="AP549" s="70"/>
      <c r="AQ549" s="71"/>
      <c r="AR549" s="72"/>
      <c r="AU549" s="70"/>
      <c r="AV549" s="77"/>
      <c r="AW549" s="78"/>
      <c r="AX549" s="75"/>
      <c r="BA549" s="76"/>
    </row>
    <row r="550" spans="41:53">
      <c r="AO550" s="39"/>
      <c r="AP550" s="70"/>
      <c r="AQ550" s="71"/>
      <c r="AR550" s="72"/>
      <c r="AU550" s="70"/>
      <c r="AV550" s="77"/>
      <c r="AW550" s="78"/>
      <c r="AX550" s="75"/>
      <c r="BA550" s="76"/>
    </row>
    <row r="551" spans="41:53">
      <c r="AO551" s="39"/>
      <c r="AP551" s="70"/>
      <c r="AQ551" s="71"/>
      <c r="AR551" s="72"/>
      <c r="AU551" s="70"/>
      <c r="AV551" s="77"/>
      <c r="AW551" s="78"/>
      <c r="AX551" s="75"/>
      <c r="BA551" s="76"/>
    </row>
    <row r="552" spans="41:53">
      <c r="AO552" s="39"/>
      <c r="AP552" s="70"/>
      <c r="AQ552" s="71"/>
      <c r="AR552" s="72"/>
      <c r="AU552" s="70"/>
      <c r="AV552" s="77"/>
      <c r="AW552" s="78"/>
      <c r="AX552" s="75"/>
      <c r="BA552" s="76"/>
    </row>
    <row r="553" spans="41:53">
      <c r="AO553" s="39"/>
      <c r="AP553" s="70"/>
      <c r="AQ553" s="71"/>
      <c r="AR553" s="72"/>
      <c r="AU553" s="70"/>
      <c r="AV553" s="77"/>
      <c r="AW553" s="78"/>
      <c r="AX553" s="75"/>
      <c r="BA553" s="76"/>
    </row>
    <row r="554" spans="41:53">
      <c r="AO554" s="39"/>
      <c r="AP554" s="70"/>
      <c r="AQ554" s="71"/>
      <c r="AR554" s="72"/>
      <c r="AU554" s="70"/>
      <c r="AV554" s="77"/>
      <c r="AW554" s="78"/>
      <c r="AX554" s="75"/>
      <c r="BA554" s="76"/>
    </row>
    <row r="555" spans="41:53">
      <c r="AO555" s="39"/>
      <c r="AP555" s="70"/>
      <c r="AQ555" s="71"/>
      <c r="AR555" s="72"/>
      <c r="AU555" s="70"/>
      <c r="AV555" s="77"/>
      <c r="AW555" s="78"/>
      <c r="AX555" s="75"/>
      <c r="BA555" s="76"/>
    </row>
    <row r="556" spans="41:53">
      <c r="AO556" s="39"/>
      <c r="AP556" s="70"/>
      <c r="AQ556" s="71"/>
      <c r="AR556" s="72"/>
      <c r="AU556" s="70"/>
      <c r="AV556" s="77"/>
      <c r="AW556" s="78"/>
      <c r="AX556" s="75"/>
      <c r="BA556" s="76"/>
    </row>
    <row r="557" spans="41:53">
      <c r="AO557" s="39"/>
      <c r="AP557" s="70"/>
      <c r="AQ557" s="71"/>
      <c r="AR557" s="72"/>
      <c r="AU557" s="70"/>
      <c r="AV557" s="77"/>
      <c r="AW557" s="78"/>
      <c r="AX557" s="75"/>
      <c r="BA557" s="76"/>
    </row>
    <row r="558" spans="41:53">
      <c r="AO558" s="39"/>
      <c r="AP558" s="70"/>
      <c r="AQ558" s="71"/>
      <c r="AR558" s="72"/>
      <c r="AU558" s="70"/>
      <c r="AV558" s="77"/>
      <c r="AW558" s="78"/>
      <c r="AX558" s="75"/>
      <c r="BA558" s="76"/>
    </row>
    <row r="559" spans="41:53">
      <c r="AO559" s="39"/>
      <c r="AP559" s="70"/>
      <c r="AQ559" s="71"/>
      <c r="AR559" s="72"/>
      <c r="AU559" s="70"/>
      <c r="AV559" s="77"/>
      <c r="AW559" s="78"/>
      <c r="AX559" s="75"/>
      <c r="BA559" s="76"/>
    </row>
    <row r="560" spans="41:53">
      <c r="AO560" s="39"/>
      <c r="AP560" s="70"/>
      <c r="AQ560" s="71"/>
      <c r="AR560" s="72"/>
      <c r="AU560" s="70"/>
      <c r="AV560" s="77"/>
      <c r="AW560" s="78"/>
      <c r="AX560" s="75"/>
      <c r="BA560" s="76"/>
    </row>
    <row r="561" spans="41:53">
      <c r="AO561" s="39"/>
      <c r="AP561" s="70"/>
      <c r="AQ561" s="71"/>
      <c r="AR561" s="72"/>
      <c r="AU561" s="70"/>
      <c r="AV561" s="77"/>
      <c r="AW561" s="78"/>
      <c r="AX561" s="75"/>
      <c r="BA561" s="76"/>
    </row>
    <row r="562" spans="41:53">
      <c r="AO562" s="39"/>
      <c r="AP562" s="70"/>
      <c r="AQ562" s="71"/>
      <c r="AR562" s="72"/>
      <c r="AU562" s="70"/>
      <c r="AV562" s="77"/>
      <c r="AW562" s="78"/>
      <c r="AX562" s="75"/>
      <c r="BA562" s="76"/>
    </row>
    <row r="563" spans="41:53">
      <c r="AO563" s="39"/>
      <c r="AP563" s="70"/>
      <c r="AQ563" s="71"/>
      <c r="AR563" s="72"/>
      <c r="AU563" s="70"/>
      <c r="AV563" s="77"/>
      <c r="AW563" s="78"/>
      <c r="AX563" s="75"/>
      <c r="BA563" s="76"/>
    </row>
    <row r="564" spans="41:53">
      <c r="AO564" s="39"/>
      <c r="AP564" s="70"/>
      <c r="AQ564" s="71"/>
      <c r="AR564" s="72"/>
      <c r="AU564" s="70"/>
      <c r="AV564" s="77"/>
      <c r="AW564" s="78"/>
      <c r="AX564" s="75"/>
      <c r="BA564" s="76"/>
    </row>
    <row r="565" spans="41:53">
      <c r="AO565" s="39"/>
      <c r="AP565" s="70"/>
      <c r="AQ565" s="71"/>
      <c r="AR565" s="72"/>
      <c r="AU565" s="70"/>
      <c r="AV565" s="77"/>
      <c r="AW565" s="78"/>
      <c r="AX565" s="75"/>
      <c r="BA565" s="76"/>
    </row>
    <row r="566" spans="41:53">
      <c r="AO566" s="39"/>
      <c r="AP566" s="70"/>
      <c r="AQ566" s="71"/>
      <c r="AR566" s="72"/>
      <c r="AU566" s="70"/>
      <c r="AV566" s="77"/>
      <c r="AW566" s="78"/>
      <c r="AX566" s="75"/>
      <c r="BA566" s="76"/>
    </row>
    <row r="567" spans="41:53">
      <c r="AO567" s="39"/>
      <c r="AP567" s="70"/>
      <c r="AQ567" s="71"/>
      <c r="AR567" s="72"/>
      <c r="AU567" s="70"/>
      <c r="AV567" s="77"/>
      <c r="AW567" s="78"/>
      <c r="AX567" s="75"/>
      <c r="BA567" s="76"/>
    </row>
    <row r="568" spans="41:53">
      <c r="AO568" s="39"/>
      <c r="AP568" s="70"/>
      <c r="AQ568" s="71"/>
      <c r="AR568" s="72"/>
      <c r="AU568" s="70"/>
      <c r="AV568" s="77"/>
      <c r="AW568" s="78"/>
      <c r="AX568" s="75"/>
      <c r="BA568" s="76"/>
    </row>
    <row r="569" spans="41:53">
      <c r="AO569" s="39"/>
      <c r="AP569" s="70"/>
      <c r="AQ569" s="71"/>
      <c r="AR569" s="72"/>
      <c r="AU569" s="70"/>
      <c r="AV569" s="77"/>
      <c r="AW569" s="78"/>
      <c r="AX569" s="75"/>
      <c r="BA569" s="76"/>
    </row>
    <row r="570" spans="41:53">
      <c r="AO570" s="39"/>
      <c r="AP570" s="70"/>
      <c r="AQ570" s="71"/>
      <c r="AR570" s="72"/>
      <c r="AU570" s="70"/>
      <c r="AV570" s="77"/>
      <c r="AW570" s="78"/>
      <c r="AX570" s="75"/>
      <c r="BA570" s="76"/>
    </row>
    <row r="571" spans="41:53">
      <c r="AO571" s="39"/>
      <c r="AP571" s="70"/>
      <c r="AQ571" s="71"/>
      <c r="AR571" s="72"/>
      <c r="AU571" s="70"/>
      <c r="AV571" s="77"/>
      <c r="AW571" s="78"/>
      <c r="AX571" s="75"/>
      <c r="BA571" s="76"/>
    </row>
    <row r="572" spans="41:53">
      <c r="AO572" s="39"/>
      <c r="AP572" s="70"/>
      <c r="AQ572" s="71"/>
      <c r="AR572" s="72"/>
      <c r="AU572" s="70"/>
      <c r="AV572" s="77"/>
      <c r="AW572" s="78"/>
      <c r="AX572" s="75"/>
      <c r="BA572" s="76"/>
    </row>
    <row r="573" spans="41:53">
      <c r="AO573" s="39"/>
      <c r="AP573" s="70"/>
      <c r="AQ573" s="71"/>
      <c r="AR573" s="72"/>
      <c r="AU573" s="70"/>
      <c r="AV573" s="77"/>
      <c r="AW573" s="78"/>
      <c r="AX573" s="75"/>
      <c r="BA573" s="76"/>
    </row>
    <row r="574" spans="41:53">
      <c r="AO574" s="39"/>
      <c r="AP574" s="70"/>
      <c r="AQ574" s="71"/>
      <c r="AR574" s="72"/>
      <c r="AU574" s="70"/>
      <c r="AV574" s="77"/>
      <c r="AW574" s="78"/>
      <c r="AX574" s="75"/>
      <c r="BA574" s="76"/>
    </row>
    <row r="575" spans="41:53">
      <c r="AO575" s="39"/>
      <c r="AP575" s="70"/>
      <c r="AQ575" s="71"/>
      <c r="AR575" s="72"/>
      <c r="AU575" s="70"/>
      <c r="AV575" s="77"/>
      <c r="AW575" s="78"/>
      <c r="AX575" s="75"/>
      <c r="BA575" s="76"/>
    </row>
    <row r="576" spans="41:53">
      <c r="AO576" s="39"/>
      <c r="AP576" s="70"/>
      <c r="AQ576" s="71"/>
      <c r="AR576" s="72"/>
      <c r="AU576" s="70"/>
      <c r="AV576" s="77"/>
      <c r="AW576" s="78"/>
      <c r="AX576" s="75"/>
      <c r="BA576" s="76"/>
    </row>
    <row r="577" spans="41:53">
      <c r="AO577" s="39"/>
      <c r="AP577" s="70"/>
      <c r="AQ577" s="71"/>
      <c r="AR577" s="72"/>
      <c r="AU577" s="70"/>
      <c r="AV577" s="77"/>
      <c r="AW577" s="78"/>
      <c r="AX577" s="75"/>
      <c r="BA577" s="76"/>
    </row>
    <row r="578" spans="41:53">
      <c r="AO578" s="39"/>
      <c r="AP578" s="70"/>
      <c r="AQ578" s="71"/>
      <c r="AR578" s="72"/>
      <c r="AU578" s="70"/>
      <c r="AV578" s="77"/>
      <c r="AW578" s="78"/>
      <c r="AX578" s="75"/>
      <c r="BA578" s="76"/>
    </row>
    <row r="579" spans="41:53">
      <c r="AO579" s="39"/>
      <c r="AP579" s="70"/>
      <c r="AQ579" s="71"/>
      <c r="AR579" s="72"/>
      <c r="AU579" s="70"/>
      <c r="AV579" s="77"/>
      <c r="AW579" s="78"/>
      <c r="AX579" s="75"/>
      <c r="BA579" s="76"/>
    </row>
    <row r="580" spans="41:53">
      <c r="AO580" s="39"/>
      <c r="AP580" s="70"/>
      <c r="AQ580" s="71"/>
      <c r="AR580" s="72"/>
      <c r="AU580" s="70"/>
      <c r="AV580" s="77"/>
      <c r="AW580" s="78"/>
      <c r="AX580" s="75"/>
      <c r="BA580" s="76"/>
    </row>
    <row r="581" spans="41:53">
      <c r="AO581" s="39"/>
      <c r="AP581" s="70"/>
      <c r="AQ581" s="71"/>
      <c r="AR581" s="72"/>
      <c r="AU581" s="70"/>
      <c r="AV581" s="77"/>
      <c r="AW581" s="78"/>
      <c r="AX581" s="75"/>
      <c r="BA581" s="76"/>
    </row>
    <row r="582" spans="41:53">
      <c r="AO582" s="39"/>
      <c r="AP582" s="70"/>
      <c r="AQ582" s="71"/>
      <c r="AR582" s="72"/>
      <c r="AU582" s="70"/>
      <c r="AV582" s="77"/>
      <c r="AW582" s="78"/>
      <c r="AX582" s="75"/>
      <c r="BA582" s="76"/>
    </row>
    <row r="583" spans="41:53">
      <c r="AO583" s="39"/>
      <c r="AP583" s="70"/>
      <c r="AQ583" s="71"/>
      <c r="AR583" s="72"/>
      <c r="AU583" s="70"/>
      <c r="AV583" s="77"/>
      <c r="AW583" s="78"/>
      <c r="AX583" s="75"/>
      <c r="BA583" s="76"/>
    </row>
    <row r="584" spans="41:53">
      <c r="AO584" s="39"/>
      <c r="AP584" s="70"/>
      <c r="AQ584" s="71"/>
      <c r="AR584" s="72"/>
      <c r="AU584" s="70"/>
      <c r="AV584" s="77"/>
      <c r="AW584" s="78"/>
      <c r="AX584" s="75"/>
      <c r="BA584" s="76"/>
    </row>
    <row r="585" spans="41:53">
      <c r="AO585" s="39"/>
      <c r="AP585" s="70"/>
      <c r="AQ585" s="71"/>
      <c r="AR585" s="72"/>
      <c r="AU585" s="70"/>
      <c r="AV585" s="77"/>
      <c r="AW585" s="78"/>
      <c r="AX585" s="75"/>
      <c r="BA585" s="76"/>
    </row>
    <row r="586" spans="41:53">
      <c r="AO586" s="39"/>
      <c r="AP586" s="70"/>
      <c r="AQ586" s="71"/>
      <c r="AR586" s="72"/>
      <c r="AU586" s="70"/>
      <c r="AV586" s="77"/>
      <c r="AW586" s="78"/>
      <c r="AX586" s="75"/>
      <c r="BA586" s="76"/>
    </row>
    <row r="587" spans="41:53">
      <c r="AO587" s="39"/>
      <c r="AP587" s="70"/>
      <c r="AQ587" s="71"/>
      <c r="AR587" s="72"/>
      <c r="AU587" s="70"/>
      <c r="AV587" s="77"/>
      <c r="AW587" s="78"/>
      <c r="AX587" s="75"/>
      <c r="BA587" s="76"/>
    </row>
    <row r="588" spans="41:53">
      <c r="AO588" s="39"/>
      <c r="AP588" s="70"/>
      <c r="AQ588" s="71"/>
      <c r="AR588" s="72"/>
      <c r="AU588" s="70"/>
      <c r="AV588" s="77"/>
      <c r="AW588" s="78"/>
      <c r="AX588" s="75"/>
      <c r="BA588" s="76"/>
    </row>
    <row r="589" spans="41:53">
      <c r="AO589" s="39"/>
      <c r="AP589" s="70"/>
      <c r="AQ589" s="71"/>
      <c r="AR589" s="72"/>
      <c r="AU589" s="70"/>
      <c r="AV589" s="77"/>
      <c r="AW589" s="78"/>
      <c r="AX589" s="75"/>
      <c r="BA589" s="76"/>
    </row>
    <row r="590" spans="41:53">
      <c r="AO590" s="39"/>
      <c r="AP590" s="70"/>
      <c r="AQ590" s="71"/>
      <c r="AR590" s="72"/>
      <c r="AU590" s="70"/>
      <c r="AV590" s="77"/>
      <c r="AW590" s="78"/>
      <c r="AX590" s="75"/>
      <c r="BA590" s="76"/>
    </row>
    <row r="591" spans="41:53">
      <c r="AO591" s="39"/>
      <c r="AP591" s="70"/>
      <c r="AQ591" s="71"/>
      <c r="AR591" s="72"/>
      <c r="AU591" s="70"/>
      <c r="AV591" s="77"/>
      <c r="AW591" s="78"/>
      <c r="AX591" s="75"/>
      <c r="BA591" s="76"/>
    </row>
    <row r="592" spans="41:53">
      <c r="AO592" s="39"/>
      <c r="AP592" s="70"/>
      <c r="AQ592" s="71"/>
      <c r="AR592" s="72"/>
      <c r="AU592" s="70"/>
      <c r="AV592" s="77"/>
      <c r="AW592" s="78"/>
      <c r="AX592" s="75"/>
      <c r="BA592" s="76"/>
    </row>
    <row r="593" spans="41:53">
      <c r="AO593" s="39"/>
      <c r="AP593" s="70"/>
      <c r="AQ593" s="71"/>
      <c r="AR593" s="72"/>
      <c r="AU593" s="70"/>
      <c r="AV593" s="77"/>
      <c r="AW593" s="78"/>
      <c r="AX593" s="75"/>
      <c r="BA593" s="76"/>
    </row>
    <row r="594" spans="41:53">
      <c r="AO594" s="39"/>
      <c r="AP594" s="70"/>
      <c r="AQ594" s="71"/>
      <c r="AR594" s="72"/>
      <c r="AU594" s="70"/>
      <c r="AV594" s="77"/>
      <c r="AW594" s="78"/>
      <c r="AX594" s="75"/>
      <c r="BA594" s="76"/>
    </row>
    <row r="595" spans="41:53">
      <c r="AO595" s="39"/>
      <c r="AP595" s="70"/>
      <c r="AQ595" s="71"/>
      <c r="AR595" s="72"/>
      <c r="AU595" s="70"/>
      <c r="AV595" s="77"/>
      <c r="AW595" s="78"/>
      <c r="AX595" s="75"/>
      <c r="BA595" s="76"/>
    </row>
    <row r="596" spans="41:53">
      <c r="AO596" s="39"/>
      <c r="AP596" s="70"/>
      <c r="AQ596" s="71"/>
      <c r="AR596" s="72"/>
      <c r="AU596" s="70"/>
      <c r="AV596" s="77"/>
      <c r="AW596" s="78"/>
      <c r="AX596" s="75"/>
      <c r="BA596" s="76"/>
    </row>
    <row r="597" spans="41:53">
      <c r="AO597" s="39"/>
      <c r="AP597" s="70"/>
      <c r="AQ597" s="71"/>
      <c r="AR597" s="72"/>
      <c r="AU597" s="70"/>
      <c r="AV597" s="77"/>
      <c r="AW597" s="78"/>
      <c r="AX597" s="75"/>
      <c r="BA597" s="76"/>
    </row>
    <row r="598" spans="41:53">
      <c r="AO598" s="39"/>
      <c r="AP598" s="70"/>
      <c r="AQ598" s="71"/>
      <c r="AR598" s="72"/>
      <c r="AU598" s="70"/>
      <c r="AV598" s="77"/>
      <c r="AW598" s="78"/>
      <c r="AX598" s="75"/>
      <c r="BA598" s="76"/>
    </row>
    <row r="599" spans="41:53">
      <c r="AO599" s="39"/>
      <c r="AP599" s="70"/>
      <c r="AQ599" s="71"/>
      <c r="AR599" s="72"/>
      <c r="AU599" s="70"/>
      <c r="AV599" s="77"/>
      <c r="AW599" s="78"/>
      <c r="AX599" s="75"/>
      <c r="BA599" s="76"/>
    </row>
    <row r="600" spans="41:53">
      <c r="AO600" s="39"/>
      <c r="AP600" s="70"/>
      <c r="AQ600" s="71"/>
      <c r="AR600" s="72"/>
      <c r="AU600" s="70"/>
      <c r="AV600" s="77"/>
      <c r="AW600" s="78"/>
      <c r="AX600" s="75"/>
      <c r="BA600" s="76"/>
    </row>
    <row r="601" spans="41:53">
      <c r="AO601" s="39"/>
      <c r="AP601" s="70"/>
      <c r="AQ601" s="71"/>
      <c r="AR601" s="72"/>
      <c r="AU601" s="70"/>
      <c r="AV601" s="77"/>
      <c r="AW601" s="78"/>
      <c r="AX601" s="75"/>
      <c r="BA601" s="76"/>
    </row>
    <row r="602" spans="41:53">
      <c r="AO602" s="39"/>
      <c r="AP602" s="70"/>
      <c r="AQ602" s="71"/>
      <c r="AR602" s="72"/>
      <c r="AU602" s="70"/>
      <c r="AV602" s="77"/>
      <c r="AW602" s="78"/>
      <c r="AX602" s="75"/>
      <c r="BA602" s="76"/>
    </row>
    <row r="603" spans="41:53">
      <c r="AO603" s="39"/>
      <c r="AP603" s="70"/>
      <c r="AQ603" s="71"/>
      <c r="AR603" s="72"/>
      <c r="AU603" s="70"/>
      <c r="AV603" s="77"/>
      <c r="AW603" s="78"/>
      <c r="AX603" s="75"/>
      <c r="BA603" s="76"/>
    </row>
    <row r="604" spans="41:53">
      <c r="AO604" s="39"/>
      <c r="AP604" s="70"/>
      <c r="AQ604" s="71"/>
      <c r="AR604" s="72"/>
      <c r="AU604" s="70"/>
      <c r="AV604" s="77"/>
      <c r="AW604" s="78"/>
      <c r="AX604" s="75"/>
      <c r="BA604" s="76"/>
    </row>
    <row r="605" spans="41:53">
      <c r="AO605" s="39"/>
      <c r="AP605" s="70"/>
      <c r="AQ605" s="71"/>
      <c r="AR605" s="72"/>
      <c r="AU605" s="70"/>
      <c r="AV605" s="77"/>
      <c r="AW605" s="78"/>
      <c r="AX605" s="75"/>
      <c r="BA605" s="76"/>
    </row>
    <row r="606" spans="41:53">
      <c r="AO606" s="39"/>
      <c r="AP606" s="70"/>
      <c r="AQ606" s="71"/>
      <c r="AR606" s="72"/>
      <c r="AU606" s="70"/>
      <c r="AV606" s="77"/>
      <c r="AW606" s="78"/>
      <c r="AX606" s="75"/>
      <c r="BA606" s="76"/>
    </row>
    <row r="607" spans="41:53">
      <c r="AO607" s="39"/>
      <c r="AP607" s="70"/>
      <c r="AQ607" s="71"/>
      <c r="AR607" s="72"/>
      <c r="AU607" s="70"/>
      <c r="AV607" s="77"/>
      <c r="AW607" s="78"/>
      <c r="AX607" s="75"/>
      <c r="BA607" s="76"/>
    </row>
    <row r="608" spans="41:53">
      <c r="AO608" s="39"/>
      <c r="AP608" s="70"/>
      <c r="AQ608" s="71"/>
      <c r="AR608" s="72"/>
      <c r="AU608" s="70"/>
      <c r="AV608" s="77"/>
      <c r="AW608" s="78"/>
      <c r="AX608" s="75"/>
      <c r="BA608" s="76"/>
    </row>
    <row r="609" spans="41:53">
      <c r="AO609" s="39"/>
      <c r="AP609" s="70"/>
      <c r="AQ609" s="71"/>
      <c r="AR609" s="72"/>
      <c r="AU609" s="70"/>
      <c r="AV609" s="77"/>
      <c r="AW609" s="78"/>
      <c r="AX609" s="75"/>
      <c r="BA609" s="76"/>
    </row>
    <row r="610" spans="41:53">
      <c r="AO610" s="39"/>
      <c r="AP610" s="70"/>
      <c r="AQ610" s="71"/>
      <c r="AR610" s="72"/>
      <c r="AU610" s="70"/>
      <c r="AV610" s="77"/>
      <c r="AW610" s="78"/>
      <c r="AX610" s="75"/>
      <c r="BA610" s="76"/>
    </row>
    <row r="611" spans="41:53">
      <c r="AO611" s="39"/>
      <c r="AP611" s="70"/>
      <c r="AQ611" s="71"/>
      <c r="AR611" s="72"/>
      <c r="AU611" s="70"/>
      <c r="AV611" s="77"/>
      <c r="AW611" s="78"/>
      <c r="AX611" s="75"/>
      <c r="BA611" s="76"/>
    </row>
    <row r="612" spans="41:53">
      <c r="AO612" s="39"/>
      <c r="AP612" s="70"/>
      <c r="AQ612" s="71"/>
      <c r="AR612" s="72"/>
      <c r="AU612" s="70"/>
      <c r="AV612" s="77"/>
      <c r="AW612" s="78"/>
      <c r="AX612" s="75"/>
      <c r="BA612" s="76"/>
    </row>
    <row r="613" spans="41:53">
      <c r="AO613" s="39"/>
      <c r="AP613" s="70"/>
      <c r="AQ613" s="71"/>
      <c r="AR613" s="72"/>
      <c r="AU613" s="70"/>
      <c r="AV613" s="77"/>
      <c r="AW613" s="78"/>
      <c r="AX613" s="75"/>
      <c r="BA613" s="76"/>
    </row>
    <row r="614" spans="41:53">
      <c r="AO614" s="39"/>
      <c r="AP614" s="70"/>
      <c r="AQ614" s="71"/>
      <c r="AR614" s="72"/>
      <c r="AU614" s="70"/>
      <c r="AV614" s="77"/>
      <c r="AW614" s="78"/>
      <c r="AX614" s="75"/>
      <c r="BA614" s="76"/>
    </row>
    <row r="615" spans="41:53">
      <c r="AO615" s="39"/>
      <c r="AP615" s="70"/>
      <c r="AQ615" s="71"/>
      <c r="AR615" s="72"/>
      <c r="AU615" s="70"/>
      <c r="AV615" s="77"/>
      <c r="AW615" s="78"/>
      <c r="AX615" s="75"/>
      <c r="BA615" s="76"/>
    </row>
    <row r="616" spans="41:53">
      <c r="AO616" s="39"/>
      <c r="AP616" s="70"/>
      <c r="AQ616" s="71"/>
      <c r="AR616" s="72"/>
      <c r="AU616" s="70"/>
      <c r="AV616" s="77"/>
      <c r="AW616" s="78"/>
      <c r="AX616" s="75"/>
      <c r="BA616" s="76"/>
    </row>
    <row r="617" spans="41:53">
      <c r="AO617" s="39"/>
      <c r="AP617" s="70"/>
      <c r="AQ617" s="71"/>
      <c r="AR617" s="72"/>
      <c r="AU617" s="70"/>
      <c r="AV617" s="77"/>
      <c r="AW617" s="78"/>
      <c r="AX617" s="75"/>
      <c r="BA617" s="76"/>
    </row>
    <row r="618" spans="41:53">
      <c r="AO618" s="39"/>
      <c r="AP618" s="70"/>
      <c r="AQ618" s="71"/>
      <c r="AR618" s="72"/>
      <c r="AU618" s="70"/>
      <c r="AV618" s="77"/>
      <c r="AW618" s="78"/>
      <c r="AX618" s="75"/>
      <c r="BA618" s="76"/>
    </row>
    <row r="619" spans="41:53">
      <c r="AO619" s="39"/>
      <c r="AP619" s="70"/>
      <c r="AQ619" s="71"/>
      <c r="AR619" s="72"/>
      <c r="AU619" s="70"/>
      <c r="AV619" s="77"/>
      <c r="AW619" s="78"/>
      <c r="AX619" s="75"/>
      <c r="BA619" s="76"/>
    </row>
    <row r="620" spans="41:53">
      <c r="AO620" s="39"/>
      <c r="AP620" s="70"/>
      <c r="AQ620" s="71"/>
      <c r="AR620" s="72"/>
      <c r="AU620" s="70"/>
      <c r="AV620" s="77"/>
      <c r="AW620" s="78"/>
      <c r="AX620" s="75"/>
      <c r="BA620" s="76"/>
    </row>
    <row r="621" spans="41:53">
      <c r="AO621" s="39"/>
      <c r="AP621" s="70"/>
      <c r="AQ621" s="71"/>
      <c r="AR621" s="72"/>
      <c r="AU621" s="70"/>
      <c r="AV621" s="77"/>
      <c r="AW621" s="78"/>
      <c r="AX621" s="75"/>
      <c r="BA621" s="76"/>
    </row>
    <row r="622" spans="41:53">
      <c r="AO622" s="39"/>
      <c r="AP622" s="70"/>
      <c r="AQ622" s="71"/>
      <c r="AR622" s="72"/>
      <c r="AU622" s="70"/>
      <c r="AV622" s="77"/>
      <c r="AW622" s="78"/>
      <c r="AX622" s="75"/>
      <c r="BA622" s="76"/>
    </row>
    <row r="623" spans="41:53">
      <c r="AO623" s="39"/>
      <c r="AP623" s="70"/>
      <c r="AQ623" s="71"/>
      <c r="AR623" s="72"/>
      <c r="AU623" s="70"/>
      <c r="AV623" s="77"/>
      <c r="AW623" s="78"/>
      <c r="AX623" s="75"/>
      <c r="BA623" s="76"/>
    </row>
    <row r="624" spans="41:53">
      <c r="AO624" s="39"/>
      <c r="AP624" s="70"/>
      <c r="AQ624" s="71"/>
      <c r="AR624" s="72"/>
      <c r="AU624" s="70"/>
      <c r="AV624" s="77"/>
      <c r="AW624" s="78"/>
      <c r="AX624" s="75"/>
      <c r="BA624" s="76"/>
    </row>
    <row r="625" spans="41:53">
      <c r="AO625" s="39"/>
      <c r="AP625" s="70"/>
      <c r="AQ625" s="71"/>
      <c r="AR625" s="72"/>
      <c r="AU625" s="70"/>
      <c r="AV625" s="77"/>
      <c r="AW625" s="78"/>
      <c r="AX625" s="75"/>
      <c r="BA625" s="76"/>
    </row>
    <row r="626" spans="41:53">
      <c r="AO626" s="39"/>
      <c r="AP626" s="70"/>
      <c r="AQ626" s="71"/>
      <c r="AR626" s="72"/>
      <c r="AU626" s="70"/>
      <c r="AV626" s="77"/>
      <c r="AW626" s="78"/>
      <c r="AX626" s="75"/>
      <c r="BA626" s="76"/>
    </row>
    <row r="627" spans="41:53">
      <c r="AO627" s="39"/>
      <c r="AP627" s="70"/>
      <c r="AQ627" s="71"/>
      <c r="AR627" s="72"/>
      <c r="AU627" s="70"/>
      <c r="AV627" s="77"/>
      <c r="AW627" s="78"/>
      <c r="AX627" s="75"/>
      <c r="BA627" s="76"/>
    </row>
    <row r="628" spans="41:53">
      <c r="AO628" s="39"/>
      <c r="AP628" s="70"/>
      <c r="AQ628" s="71"/>
      <c r="AR628" s="72"/>
      <c r="AU628" s="70"/>
      <c r="AV628" s="77"/>
      <c r="AW628" s="78"/>
      <c r="AX628" s="75"/>
      <c r="BA628" s="76"/>
    </row>
    <row r="629" spans="41:53">
      <c r="AO629" s="39"/>
      <c r="AP629" s="70"/>
      <c r="AQ629" s="71"/>
      <c r="AR629" s="72"/>
      <c r="AU629" s="70"/>
      <c r="AV629" s="77"/>
      <c r="AW629" s="78"/>
      <c r="AX629" s="75"/>
      <c r="BA629" s="76"/>
    </row>
    <row r="630" spans="41:53">
      <c r="AO630" s="39"/>
      <c r="AP630" s="70"/>
      <c r="AQ630" s="71"/>
      <c r="AR630" s="72"/>
      <c r="AU630" s="70"/>
      <c r="AV630" s="77"/>
      <c r="AW630" s="78"/>
      <c r="AX630" s="75"/>
      <c r="BA630" s="76"/>
    </row>
    <row r="631" spans="41:53">
      <c r="AO631" s="39"/>
      <c r="AP631" s="70"/>
      <c r="AQ631" s="71"/>
      <c r="AR631" s="72"/>
      <c r="AU631" s="70"/>
      <c r="AV631" s="77"/>
      <c r="AW631" s="78"/>
      <c r="AX631" s="75"/>
      <c r="BA631" s="76"/>
    </row>
    <row r="632" spans="41:53">
      <c r="AO632" s="39"/>
      <c r="AP632" s="70"/>
      <c r="AQ632" s="71"/>
      <c r="AR632" s="72"/>
      <c r="AU632" s="70"/>
      <c r="AV632" s="77"/>
      <c r="AW632" s="78"/>
      <c r="AX632" s="75"/>
      <c r="BA632" s="76"/>
    </row>
    <row r="633" spans="41:53">
      <c r="AO633" s="39"/>
      <c r="AP633" s="70"/>
      <c r="AQ633" s="71"/>
      <c r="AR633" s="72"/>
      <c r="AU633" s="70"/>
      <c r="AV633" s="77"/>
      <c r="AW633" s="78"/>
      <c r="AX633" s="75"/>
      <c r="BA633" s="76"/>
    </row>
    <row r="634" spans="41:53">
      <c r="AO634" s="39"/>
      <c r="AP634" s="70"/>
      <c r="AQ634" s="71"/>
      <c r="AR634" s="72"/>
      <c r="AU634" s="70"/>
      <c r="AV634" s="77"/>
      <c r="AW634" s="78"/>
      <c r="AX634" s="75"/>
      <c r="BA634" s="76"/>
    </row>
    <row r="635" spans="41:53">
      <c r="AO635" s="39"/>
      <c r="AP635" s="70"/>
      <c r="AQ635" s="71"/>
      <c r="AR635" s="72"/>
      <c r="AU635" s="70"/>
      <c r="AV635" s="77"/>
      <c r="AW635" s="78"/>
      <c r="AX635" s="75"/>
      <c r="BA635" s="76"/>
    </row>
    <row r="636" spans="41:53">
      <c r="AO636" s="39"/>
      <c r="AP636" s="70"/>
      <c r="AQ636" s="71"/>
      <c r="AR636" s="72"/>
      <c r="AU636" s="70"/>
      <c r="AV636" s="77"/>
      <c r="AW636" s="78"/>
      <c r="AX636" s="75"/>
      <c r="BA636" s="76"/>
    </row>
    <row r="637" spans="41:53">
      <c r="AO637" s="39"/>
      <c r="AP637" s="70"/>
      <c r="AQ637" s="71"/>
      <c r="AR637" s="72"/>
      <c r="AU637" s="70"/>
      <c r="AV637" s="77"/>
      <c r="AW637" s="78"/>
      <c r="AX637" s="75"/>
      <c r="BA637" s="76"/>
    </row>
    <row r="638" spans="41:53">
      <c r="AO638" s="39"/>
      <c r="AP638" s="70"/>
      <c r="AQ638" s="71"/>
      <c r="AR638" s="72"/>
      <c r="AU638" s="70"/>
      <c r="AV638" s="77"/>
      <c r="AW638" s="78"/>
      <c r="AX638" s="75"/>
      <c r="BA638" s="76"/>
    </row>
    <row r="639" spans="41:53">
      <c r="AO639" s="39"/>
      <c r="AP639" s="70"/>
      <c r="AQ639" s="71"/>
      <c r="AR639" s="72"/>
      <c r="AU639" s="70"/>
      <c r="AV639" s="77"/>
      <c r="AW639" s="78"/>
      <c r="AX639" s="75"/>
      <c r="BA639" s="76"/>
    </row>
    <row r="640" spans="41:53">
      <c r="AO640" s="39"/>
      <c r="AP640" s="70"/>
      <c r="AQ640" s="71"/>
      <c r="AR640" s="72"/>
      <c r="AU640" s="70"/>
      <c r="AV640" s="77"/>
      <c r="AW640" s="78"/>
      <c r="AX640" s="75"/>
      <c r="BA640" s="76"/>
    </row>
    <row r="641" spans="41:53">
      <c r="AO641" s="39"/>
      <c r="AP641" s="70"/>
      <c r="AQ641" s="71"/>
      <c r="AR641" s="72"/>
      <c r="AU641" s="70"/>
      <c r="AV641" s="77"/>
      <c r="AW641" s="78"/>
      <c r="AX641" s="75"/>
      <c r="BA641" s="76"/>
    </row>
    <row r="642" spans="41:53">
      <c r="AO642" s="39"/>
      <c r="AP642" s="70"/>
      <c r="AQ642" s="71"/>
      <c r="AR642" s="72"/>
      <c r="AU642" s="70"/>
      <c r="AV642" s="77"/>
      <c r="AW642" s="78"/>
      <c r="AX642" s="75"/>
      <c r="BA642" s="76"/>
    </row>
    <row r="643" spans="41:53">
      <c r="AO643" s="39"/>
      <c r="AP643" s="70"/>
      <c r="AQ643" s="71"/>
      <c r="AR643" s="72"/>
      <c r="AU643" s="70"/>
      <c r="AV643" s="77"/>
      <c r="AW643" s="78"/>
      <c r="AX643" s="75"/>
      <c r="BA643" s="76"/>
    </row>
    <row r="644" spans="41:53">
      <c r="AO644" s="39"/>
      <c r="AP644" s="70"/>
      <c r="AQ644" s="71"/>
      <c r="AR644" s="72"/>
      <c r="AU644" s="70"/>
      <c r="AV644" s="77"/>
      <c r="AW644" s="78"/>
      <c r="AX644" s="75"/>
      <c r="BA644" s="76"/>
    </row>
    <row r="645" spans="41:53">
      <c r="AO645" s="39"/>
      <c r="AP645" s="70"/>
      <c r="AQ645" s="71"/>
      <c r="AR645" s="72"/>
      <c r="AU645" s="70"/>
      <c r="AV645" s="77"/>
      <c r="AW645" s="78"/>
      <c r="AX645" s="75"/>
      <c r="BA645" s="76"/>
    </row>
    <row r="646" spans="41:53">
      <c r="AO646" s="39"/>
      <c r="AP646" s="70"/>
      <c r="AQ646" s="71"/>
      <c r="AR646" s="72"/>
      <c r="AU646" s="70"/>
      <c r="AV646" s="77"/>
      <c r="AW646" s="78"/>
      <c r="AX646" s="75"/>
      <c r="BA646" s="76"/>
    </row>
    <row r="647" spans="41:53">
      <c r="AO647" s="39"/>
      <c r="AP647" s="70"/>
      <c r="AQ647" s="71"/>
      <c r="AR647" s="72"/>
      <c r="AU647" s="70"/>
      <c r="AV647" s="77"/>
      <c r="AW647" s="78"/>
      <c r="AX647" s="75"/>
      <c r="BA647" s="76"/>
    </row>
    <row r="648" spans="41:53">
      <c r="AO648" s="39"/>
      <c r="AP648" s="70"/>
      <c r="AQ648" s="71"/>
      <c r="AR648" s="72"/>
      <c r="AU648" s="70"/>
      <c r="AV648" s="77"/>
      <c r="AW648" s="78"/>
      <c r="AX648" s="75"/>
      <c r="BA648" s="76"/>
    </row>
    <row r="649" spans="41:53">
      <c r="AO649" s="39"/>
      <c r="AP649" s="70"/>
      <c r="AQ649" s="71"/>
      <c r="AR649" s="72"/>
      <c r="AU649" s="70"/>
      <c r="AV649" s="77"/>
      <c r="AW649" s="78"/>
      <c r="AX649" s="75"/>
      <c r="BA649" s="76"/>
    </row>
    <row r="650" spans="41:53">
      <c r="AO650" s="39"/>
      <c r="AP650" s="70"/>
      <c r="AQ650" s="71"/>
      <c r="AR650" s="72"/>
      <c r="AU650" s="70"/>
      <c r="AV650" s="77"/>
      <c r="AW650" s="78"/>
      <c r="AX650" s="75"/>
      <c r="BA650" s="76"/>
    </row>
    <row r="651" spans="41:53">
      <c r="AO651" s="39"/>
      <c r="AP651" s="70"/>
      <c r="AQ651" s="71"/>
      <c r="AR651" s="72"/>
      <c r="AU651" s="70"/>
      <c r="AV651" s="77"/>
      <c r="AW651" s="78"/>
      <c r="AX651" s="75"/>
      <c r="BA651" s="76"/>
    </row>
    <row r="652" spans="41:53">
      <c r="AO652" s="39"/>
      <c r="AP652" s="70"/>
      <c r="AQ652" s="71"/>
      <c r="AR652" s="72"/>
      <c r="AU652" s="70"/>
      <c r="AV652" s="77"/>
      <c r="AW652" s="78"/>
      <c r="AX652" s="75"/>
      <c r="BA652" s="76"/>
    </row>
    <row r="653" spans="41:53">
      <c r="AO653" s="39"/>
      <c r="AP653" s="70"/>
      <c r="AQ653" s="71"/>
      <c r="AR653" s="72"/>
      <c r="AU653" s="70"/>
      <c r="AV653" s="77"/>
      <c r="AW653" s="78"/>
      <c r="AX653" s="75"/>
      <c r="BA653" s="76"/>
    </row>
    <row r="654" spans="41:53">
      <c r="AO654" s="39"/>
      <c r="AP654" s="70"/>
      <c r="AQ654" s="71"/>
      <c r="AR654" s="72"/>
      <c r="AU654" s="70"/>
      <c r="AV654" s="77"/>
      <c r="AW654" s="78"/>
      <c r="AX654" s="75"/>
      <c r="BA654" s="76"/>
    </row>
    <row r="655" spans="41:53">
      <c r="AO655" s="39"/>
      <c r="AP655" s="70"/>
      <c r="AQ655" s="71"/>
      <c r="AR655" s="72"/>
      <c r="AU655" s="70"/>
      <c r="AV655" s="77"/>
      <c r="AW655" s="78"/>
      <c r="AX655" s="75"/>
      <c r="BA655" s="76"/>
    </row>
    <row r="656" spans="41:53">
      <c r="AO656" s="39"/>
      <c r="AP656" s="70"/>
      <c r="AQ656" s="71"/>
      <c r="AR656" s="72"/>
      <c r="AU656" s="70"/>
      <c r="AV656" s="77"/>
      <c r="AW656" s="78"/>
      <c r="AX656" s="75"/>
      <c r="BA656" s="76"/>
    </row>
    <row r="657" spans="41:53">
      <c r="AO657" s="39"/>
      <c r="AP657" s="70"/>
      <c r="AQ657" s="71"/>
      <c r="AR657" s="72"/>
      <c r="AU657" s="70"/>
      <c r="AV657" s="77"/>
      <c r="AW657" s="78"/>
      <c r="AX657" s="75"/>
      <c r="BA657" s="76"/>
    </row>
    <row r="658" spans="41:53">
      <c r="AO658" s="39"/>
      <c r="AP658" s="70"/>
      <c r="AQ658" s="71"/>
      <c r="AR658" s="72"/>
      <c r="AU658" s="70"/>
      <c r="AV658" s="77"/>
      <c r="AW658" s="78"/>
      <c r="AX658" s="75"/>
      <c r="BA658" s="76"/>
    </row>
    <row r="659" spans="41:53">
      <c r="AO659" s="39"/>
      <c r="AP659" s="70"/>
      <c r="AQ659" s="71"/>
      <c r="AR659" s="72"/>
      <c r="AU659" s="70"/>
      <c r="AV659" s="77"/>
      <c r="AW659" s="78"/>
      <c r="AX659" s="75"/>
      <c r="BA659" s="76"/>
    </row>
    <row r="660" spans="41:53">
      <c r="AO660" s="39"/>
      <c r="AP660" s="70"/>
      <c r="AQ660" s="71"/>
      <c r="AR660" s="72"/>
      <c r="AU660" s="70"/>
      <c r="AV660" s="77"/>
      <c r="AW660" s="78"/>
      <c r="AX660" s="75"/>
      <c r="BA660" s="76"/>
    </row>
    <row r="661" spans="41:53">
      <c r="AO661" s="39"/>
      <c r="AP661" s="70"/>
      <c r="AQ661" s="71"/>
      <c r="AR661" s="72"/>
      <c r="AU661" s="70"/>
      <c r="AV661" s="77"/>
      <c r="AW661" s="78"/>
      <c r="AX661" s="75"/>
      <c r="BA661" s="76"/>
    </row>
    <row r="662" spans="41:53">
      <c r="AO662" s="39"/>
      <c r="AP662" s="70"/>
      <c r="AQ662" s="71"/>
      <c r="AR662" s="72"/>
      <c r="AU662" s="70"/>
      <c r="AV662" s="77"/>
      <c r="AW662" s="78"/>
      <c r="AX662" s="75"/>
      <c r="BA662" s="76"/>
    </row>
    <row r="663" spans="41:53">
      <c r="AO663" s="39"/>
      <c r="AP663" s="70"/>
      <c r="AQ663" s="71"/>
      <c r="AR663" s="72"/>
      <c r="AU663" s="70"/>
      <c r="AV663" s="77"/>
      <c r="AW663" s="78"/>
      <c r="AX663" s="75"/>
      <c r="BA663" s="76"/>
    </row>
    <row r="664" spans="41:53">
      <c r="AO664" s="39"/>
      <c r="AP664" s="70"/>
      <c r="AQ664" s="71"/>
      <c r="AR664" s="72"/>
      <c r="AU664" s="70"/>
      <c r="AV664" s="77"/>
      <c r="AW664" s="78"/>
      <c r="AX664" s="75"/>
      <c r="BA664" s="76"/>
    </row>
    <row r="665" spans="41:53">
      <c r="AO665" s="39"/>
      <c r="AP665" s="70"/>
      <c r="AQ665" s="71"/>
      <c r="AR665" s="72"/>
      <c r="AU665" s="70"/>
      <c r="AV665" s="77"/>
      <c r="AW665" s="78"/>
      <c r="AX665" s="75"/>
      <c r="BA665" s="76"/>
    </row>
    <row r="666" spans="41:53">
      <c r="AO666" s="39"/>
      <c r="AP666" s="70"/>
      <c r="AQ666" s="71"/>
      <c r="AR666" s="72"/>
      <c r="AU666" s="70"/>
      <c r="AV666" s="77"/>
      <c r="AW666" s="78"/>
      <c r="AX666" s="75"/>
      <c r="BA666" s="76"/>
    </row>
    <row r="667" spans="41:53">
      <c r="AO667" s="39"/>
      <c r="AP667" s="70"/>
      <c r="AQ667" s="71"/>
      <c r="AR667" s="72"/>
      <c r="AU667" s="70"/>
      <c r="AV667" s="77"/>
      <c r="AW667" s="78"/>
      <c r="AX667" s="75"/>
      <c r="BA667" s="76"/>
    </row>
    <row r="668" spans="41:53">
      <c r="AO668" s="39"/>
      <c r="AP668" s="70"/>
      <c r="AQ668" s="71"/>
      <c r="AR668" s="72"/>
      <c r="AU668" s="70"/>
      <c r="AV668" s="77"/>
      <c r="AW668" s="78"/>
      <c r="AX668" s="75"/>
      <c r="BA668" s="76"/>
    </row>
    <row r="669" spans="41:53">
      <c r="AO669" s="39"/>
      <c r="AP669" s="70"/>
      <c r="AQ669" s="71"/>
      <c r="AR669" s="72"/>
      <c r="AU669" s="70"/>
      <c r="AV669" s="77"/>
      <c r="AW669" s="78"/>
      <c r="AX669" s="75"/>
      <c r="BA669" s="76"/>
    </row>
    <row r="670" spans="41:53">
      <c r="AO670" s="39"/>
      <c r="AP670" s="70"/>
      <c r="AQ670" s="71"/>
      <c r="AR670" s="72"/>
      <c r="AU670" s="70"/>
      <c r="AV670" s="77"/>
      <c r="AW670" s="78"/>
      <c r="AX670" s="75"/>
      <c r="BA670" s="76"/>
    </row>
    <row r="671" spans="41:53">
      <c r="AO671" s="39"/>
      <c r="AP671" s="70"/>
      <c r="AQ671" s="71"/>
      <c r="AR671" s="72"/>
      <c r="AU671" s="70"/>
      <c r="AV671" s="77"/>
      <c r="AW671" s="78"/>
      <c r="AX671" s="75"/>
      <c r="BA671" s="76"/>
    </row>
    <row r="672" spans="41:53">
      <c r="AO672" s="39"/>
      <c r="AP672" s="70"/>
      <c r="AQ672" s="71"/>
      <c r="AR672" s="72"/>
      <c r="AU672" s="70"/>
      <c r="AV672" s="77"/>
      <c r="AW672" s="78"/>
      <c r="AX672" s="75"/>
      <c r="BA672" s="76"/>
    </row>
    <row r="673" spans="41:53">
      <c r="AO673" s="39"/>
      <c r="AP673" s="70"/>
      <c r="AQ673" s="71"/>
      <c r="AR673" s="72"/>
      <c r="AU673" s="70"/>
      <c r="AV673" s="77"/>
      <c r="AW673" s="78"/>
      <c r="AX673" s="75"/>
      <c r="BA673" s="76"/>
    </row>
    <row r="674" spans="41:53">
      <c r="AO674" s="39"/>
      <c r="AP674" s="70"/>
      <c r="AQ674" s="71"/>
      <c r="AR674" s="72"/>
      <c r="AU674" s="70"/>
      <c r="AV674" s="77"/>
      <c r="AW674" s="78"/>
      <c r="AX674" s="75"/>
      <c r="BA674" s="76"/>
    </row>
    <row r="675" spans="41:53">
      <c r="AO675" s="39"/>
      <c r="AP675" s="70"/>
      <c r="AQ675" s="71"/>
      <c r="AR675" s="72"/>
      <c r="AU675" s="70"/>
      <c r="AV675" s="77"/>
      <c r="AW675" s="78"/>
      <c r="AX675" s="75"/>
      <c r="BA675" s="76"/>
    </row>
    <row r="676" spans="41:53">
      <c r="AO676" s="39"/>
      <c r="AP676" s="70"/>
      <c r="AQ676" s="71"/>
      <c r="AR676" s="72"/>
      <c r="AU676" s="70"/>
      <c r="AV676" s="77"/>
      <c r="AW676" s="78"/>
      <c r="AX676" s="75"/>
      <c r="BA676" s="76"/>
    </row>
    <row r="677" spans="41:53">
      <c r="AO677" s="39"/>
      <c r="AP677" s="70"/>
      <c r="AQ677" s="71"/>
      <c r="AR677" s="72"/>
      <c r="AU677" s="70"/>
      <c r="AV677" s="77"/>
      <c r="AW677" s="78"/>
      <c r="AX677" s="75"/>
      <c r="BA677" s="76"/>
    </row>
    <row r="678" spans="41:53">
      <c r="AO678" s="39"/>
      <c r="AP678" s="70"/>
      <c r="AQ678" s="71"/>
      <c r="AR678" s="72"/>
      <c r="AU678" s="70"/>
      <c r="AV678" s="77"/>
      <c r="AW678" s="78"/>
      <c r="AX678" s="75"/>
      <c r="BA678" s="76"/>
    </row>
    <row r="679" spans="41:53">
      <c r="AO679" s="39"/>
      <c r="AP679" s="70"/>
      <c r="AQ679" s="71"/>
      <c r="AR679" s="72"/>
      <c r="AU679" s="70"/>
      <c r="AV679" s="77"/>
      <c r="AW679" s="78"/>
      <c r="AX679" s="75"/>
      <c r="BA679" s="76"/>
    </row>
    <row r="680" spans="41:53">
      <c r="AO680" s="39"/>
      <c r="AP680" s="70"/>
      <c r="AQ680" s="71"/>
      <c r="AR680" s="72"/>
      <c r="AU680" s="70"/>
      <c r="AV680" s="77"/>
      <c r="AW680" s="78"/>
      <c r="AX680" s="75"/>
      <c r="BA680" s="76"/>
    </row>
    <row r="681" spans="41:53">
      <c r="AO681" s="39"/>
      <c r="AP681" s="70"/>
      <c r="AQ681" s="71"/>
      <c r="AR681" s="72"/>
      <c r="AU681" s="70"/>
      <c r="AV681" s="77"/>
      <c r="AW681" s="78"/>
      <c r="AX681" s="75"/>
      <c r="BA681" s="76"/>
    </row>
    <row r="682" spans="41:53">
      <c r="AO682" s="39"/>
      <c r="AP682" s="70"/>
      <c r="AQ682" s="71"/>
      <c r="AR682" s="72"/>
      <c r="AU682" s="70"/>
      <c r="AV682" s="77"/>
      <c r="AW682" s="78"/>
      <c r="AX682" s="75"/>
      <c r="BA682" s="76"/>
    </row>
    <row r="683" spans="41:53">
      <c r="AO683" s="39"/>
      <c r="AP683" s="70"/>
      <c r="AQ683" s="71"/>
      <c r="AR683" s="72"/>
      <c r="AU683" s="70"/>
      <c r="AV683" s="77"/>
      <c r="AW683" s="78"/>
      <c r="AX683" s="75"/>
      <c r="BA683" s="76"/>
    </row>
    <row r="684" spans="41:53">
      <c r="AO684" s="39"/>
      <c r="AP684" s="70"/>
      <c r="AQ684" s="71"/>
      <c r="AR684" s="72"/>
      <c r="AU684" s="70"/>
      <c r="AV684" s="77"/>
      <c r="AW684" s="78"/>
      <c r="AX684" s="75"/>
      <c r="BA684" s="76"/>
    </row>
    <row r="685" spans="41:53">
      <c r="AO685" s="39"/>
      <c r="AP685" s="70"/>
      <c r="AQ685" s="71"/>
      <c r="AR685" s="72"/>
      <c r="AU685" s="70"/>
      <c r="AV685" s="77"/>
      <c r="AW685" s="78"/>
      <c r="AX685" s="75"/>
      <c r="BA685" s="76"/>
    </row>
    <row r="686" spans="41:53">
      <c r="AO686" s="39"/>
      <c r="AP686" s="70"/>
      <c r="AQ686" s="71"/>
      <c r="AR686" s="72"/>
      <c r="AU686" s="70"/>
      <c r="AV686" s="77"/>
      <c r="AW686" s="78"/>
      <c r="AX686" s="75"/>
      <c r="BA686" s="76"/>
    </row>
    <row r="687" spans="41:53">
      <c r="AO687" s="39"/>
      <c r="AP687" s="70"/>
      <c r="AQ687" s="71"/>
      <c r="AR687" s="72"/>
      <c r="AU687" s="70"/>
      <c r="AV687" s="77"/>
      <c r="AW687" s="78"/>
      <c r="AX687" s="75"/>
      <c r="BA687" s="76"/>
    </row>
    <row r="688" spans="41:53">
      <c r="AO688" s="39"/>
      <c r="AP688" s="70"/>
      <c r="AQ688" s="71"/>
      <c r="AR688" s="72"/>
      <c r="AU688" s="70"/>
      <c r="AV688" s="77"/>
      <c r="AW688" s="78"/>
      <c r="AX688" s="75"/>
      <c r="BA688" s="76"/>
    </row>
    <row r="689" spans="41:53">
      <c r="AO689" s="39"/>
      <c r="AP689" s="70"/>
      <c r="AQ689" s="71"/>
      <c r="AR689" s="72"/>
      <c r="AU689" s="70"/>
      <c r="AV689" s="77"/>
      <c r="AW689" s="78"/>
      <c r="AX689" s="75"/>
      <c r="BA689" s="76"/>
    </row>
    <row r="690" spans="41:53">
      <c r="AO690" s="39"/>
      <c r="AP690" s="70"/>
      <c r="AQ690" s="71"/>
      <c r="AR690" s="72"/>
      <c r="AU690" s="70"/>
      <c r="AV690" s="77"/>
      <c r="AW690" s="78"/>
      <c r="AX690" s="75"/>
      <c r="BA690" s="76"/>
    </row>
    <row r="691" spans="41:53">
      <c r="AO691" s="39"/>
      <c r="AP691" s="70"/>
      <c r="AQ691" s="71"/>
      <c r="AR691" s="72"/>
      <c r="AU691" s="70"/>
      <c r="AV691" s="77"/>
      <c r="AW691" s="78"/>
      <c r="AX691" s="75"/>
      <c r="BA691" s="76"/>
    </row>
    <row r="692" spans="41:53">
      <c r="AO692" s="39"/>
      <c r="AP692" s="70"/>
      <c r="AQ692" s="71"/>
      <c r="AR692" s="72"/>
      <c r="AU692" s="70"/>
      <c r="AV692" s="77"/>
      <c r="AW692" s="78"/>
      <c r="AX692" s="75"/>
      <c r="BA692" s="76"/>
    </row>
    <row r="693" spans="41:53">
      <c r="AO693" s="39"/>
      <c r="AP693" s="70"/>
      <c r="AQ693" s="71"/>
      <c r="AR693" s="72"/>
      <c r="AU693" s="70"/>
      <c r="AV693" s="77"/>
      <c r="AW693" s="78"/>
      <c r="AX693" s="75"/>
      <c r="BA693" s="76"/>
    </row>
    <row r="694" spans="41:53">
      <c r="AO694" s="39"/>
      <c r="AP694" s="70"/>
      <c r="AQ694" s="71"/>
      <c r="AR694" s="72"/>
      <c r="AU694" s="70"/>
      <c r="AV694" s="77"/>
      <c r="AW694" s="78"/>
      <c r="AX694" s="75"/>
      <c r="BA694" s="76"/>
    </row>
    <row r="695" spans="41:53">
      <c r="AO695" s="39"/>
      <c r="AP695" s="70"/>
      <c r="AQ695" s="71"/>
      <c r="AR695" s="72"/>
      <c r="AU695" s="70"/>
      <c r="AV695" s="77"/>
      <c r="AW695" s="78"/>
      <c r="AX695" s="75"/>
      <c r="BA695" s="76"/>
    </row>
    <row r="696" spans="41:53">
      <c r="AO696" s="39"/>
      <c r="AP696" s="70"/>
      <c r="AQ696" s="71"/>
      <c r="AR696" s="72"/>
      <c r="AU696" s="70"/>
      <c r="AV696" s="77"/>
      <c r="AW696" s="78"/>
      <c r="AX696" s="75"/>
      <c r="BA696" s="76"/>
    </row>
    <row r="697" spans="41:53">
      <c r="AO697" s="39"/>
      <c r="AP697" s="70"/>
      <c r="AQ697" s="71"/>
      <c r="AR697" s="72"/>
      <c r="AU697" s="70"/>
      <c r="AV697" s="77"/>
      <c r="AW697" s="78"/>
      <c r="AX697" s="75"/>
      <c r="BA697" s="76"/>
    </row>
    <row r="698" spans="41:53">
      <c r="AO698" s="39"/>
      <c r="AP698" s="70"/>
      <c r="AQ698" s="71"/>
      <c r="AR698" s="72"/>
      <c r="AU698" s="70"/>
      <c r="AV698" s="77"/>
      <c r="AW698" s="78"/>
      <c r="AX698" s="75"/>
      <c r="BA698" s="76"/>
    </row>
    <row r="699" spans="41:53">
      <c r="AO699" s="39"/>
      <c r="AP699" s="70"/>
      <c r="AQ699" s="71"/>
      <c r="AR699" s="72"/>
      <c r="AU699" s="70"/>
      <c r="AV699" s="77"/>
      <c r="AW699" s="78"/>
      <c r="AX699" s="75"/>
      <c r="BA699" s="76"/>
    </row>
    <row r="700" spans="41:53">
      <c r="AO700" s="39"/>
      <c r="AP700" s="70"/>
      <c r="AQ700" s="71"/>
      <c r="AR700" s="72"/>
      <c r="AU700" s="70"/>
      <c r="AV700" s="77"/>
      <c r="AW700" s="78"/>
      <c r="AX700" s="75"/>
      <c r="BA700" s="76"/>
    </row>
    <row r="701" spans="41:53">
      <c r="AO701" s="39"/>
      <c r="AP701" s="70"/>
      <c r="AQ701" s="71"/>
      <c r="AR701" s="72"/>
      <c r="AU701" s="70"/>
      <c r="AV701" s="77"/>
      <c r="AW701" s="78"/>
      <c r="AX701" s="75"/>
      <c r="BA701" s="76"/>
    </row>
    <row r="702" spans="41:53">
      <c r="AO702" s="39"/>
      <c r="AP702" s="70"/>
      <c r="AQ702" s="71"/>
      <c r="AR702" s="72"/>
      <c r="AU702" s="70"/>
      <c r="AV702" s="77"/>
      <c r="AW702" s="78"/>
      <c r="AX702" s="75"/>
      <c r="BA702" s="76"/>
    </row>
    <row r="703" spans="41:53">
      <c r="AO703" s="39"/>
      <c r="AP703" s="70"/>
      <c r="AQ703" s="71"/>
      <c r="AR703" s="72"/>
      <c r="AU703" s="70"/>
      <c r="AV703" s="77"/>
      <c r="AW703" s="78"/>
      <c r="AX703" s="75"/>
      <c r="BA703" s="76"/>
    </row>
    <row r="704" spans="41:53">
      <c r="AO704" s="39"/>
      <c r="AP704" s="70"/>
      <c r="AQ704" s="71"/>
      <c r="AR704" s="72"/>
      <c r="AU704" s="70"/>
      <c r="AV704" s="77"/>
      <c r="AW704" s="78"/>
      <c r="AX704" s="75"/>
      <c r="BA704" s="76"/>
    </row>
    <row r="705" spans="41:53">
      <c r="AO705" s="39"/>
      <c r="AP705" s="70"/>
      <c r="AQ705" s="71"/>
      <c r="AR705" s="72"/>
      <c r="AU705" s="70"/>
      <c r="AV705" s="77"/>
      <c r="AW705" s="78"/>
      <c r="AX705" s="75"/>
      <c r="BA705" s="76"/>
    </row>
    <row r="706" spans="41:53">
      <c r="AO706" s="39"/>
      <c r="AP706" s="70"/>
      <c r="AQ706" s="71"/>
      <c r="AR706" s="72"/>
      <c r="AU706" s="70"/>
      <c r="AV706" s="77"/>
      <c r="AW706" s="78"/>
      <c r="AX706" s="75"/>
      <c r="BA706" s="76"/>
    </row>
    <row r="707" spans="41:53">
      <c r="AO707" s="39"/>
      <c r="AP707" s="70"/>
      <c r="AQ707" s="71"/>
      <c r="AR707" s="72"/>
      <c r="AU707" s="70"/>
      <c r="AV707" s="77"/>
      <c r="AW707" s="78"/>
      <c r="AX707" s="75"/>
      <c r="BA707" s="76"/>
    </row>
    <row r="708" spans="41:53">
      <c r="AO708" s="39"/>
      <c r="AP708" s="70"/>
      <c r="AQ708" s="71"/>
      <c r="AR708" s="72"/>
      <c r="AU708" s="70"/>
      <c r="AV708" s="77"/>
      <c r="AW708" s="78"/>
      <c r="AX708" s="75"/>
      <c r="BA708" s="76"/>
    </row>
    <row r="709" spans="41:53">
      <c r="AO709" s="39"/>
      <c r="AP709" s="70"/>
      <c r="AQ709" s="71"/>
      <c r="AR709" s="72"/>
      <c r="AU709" s="70"/>
      <c r="AV709" s="77"/>
      <c r="AW709" s="78"/>
      <c r="AX709" s="75"/>
      <c r="BA709" s="76"/>
    </row>
    <row r="710" spans="41:53">
      <c r="AO710" s="39"/>
      <c r="AP710" s="70"/>
      <c r="AQ710" s="71"/>
      <c r="AR710" s="72"/>
      <c r="AU710" s="70"/>
      <c r="AV710" s="77"/>
      <c r="AW710" s="78"/>
      <c r="AX710" s="75"/>
      <c r="BA710" s="76"/>
    </row>
    <row r="711" spans="41:53">
      <c r="AO711" s="39"/>
      <c r="AP711" s="70"/>
      <c r="AQ711" s="71"/>
      <c r="AR711" s="72"/>
      <c r="AU711" s="70"/>
      <c r="AV711" s="77"/>
      <c r="AW711" s="78"/>
      <c r="AX711" s="75"/>
      <c r="BA711" s="76"/>
    </row>
    <row r="712" spans="41:53">
      <c r="AO712" s="39"/>
      <c r="AP712" s="70"/>
      <c r="AQ712" s="71"/>
      <c r="AR712" s="72"/>
      <c r="AU712" s="70"/>
      <c r="AV712" s="77"/>
      <c r="AW712" s="78"/>
      <c r="AX712" s="75"/>
      <c r="BA712" s="76"/>
    </row>
    <row r="713" spans="41:53">
      <c r="AO713" s="39"/>
      <c r="AP713" s="70"/>
      <c r="AQ713" s="71"/>
      <c r="AR713" s="72"/>
      <c r="AU713" s="70"/>
      <c r="AV713" s="77"/>
      <c r="AW713" s="78"/>
      <c r="AX713" s="75"/>
      <c r="BA713" s="76"/>
    </row>
    <row r="714" spans="41:53">
      <c r="AO714" s="39"/>
      <c r="AP714" s="70"/>
      <c r="AQ714" s="71"/>
      <c r="AR714" s="72"/>
      <c r="AU714" s="70"/>
      <c r="AV714" s="77"/>
      <c r="AW714" s="78"/>
      <c r="AX714" s="75"/>
      <c r="BA714" s="76"/>
    </row>
    <row r="715" spans="41:53">
      <c r="AO715" s="39"/>
      <c r="AP715" s="70"/>
      <c r="AQ715" s="71"/>
      <c r="AR715" s="72"/>
      <c r="AU715" s="70"/>
      <c r="AV715" s="77"/>
      <c r="AW715" s="78"/>
      <c r="AX715" s="75"/>
      <c r="BA715" s="76"/>
    </row>
    <row r="716" spans="41:53">
      <c r="AO716" s="39"/>
      <c r="AP716" s="70"/>
      <c r="AQ716" s="71"/>
      <c r="AR716" s="72"/>
      <c r="AU716" s="70"/>
      <c r="AV716" s="77"/>
      <c r="AW716" s="78"/>
      <c r="AX716" s="75"/>
      <c r="BA716" s="76"/>
    </row>
    <row r="717" spans="41:53">
      <c r="AO717" s="39"/>
      <c r="AP717" s="70"/>
      <c r="AQ717" s="71"/>
      <c r="AR717" s="72"/>
      <c r="AU717" s="70"/>
      <c r="AV717" s="77"/>
      <c r="AW717" s="78"/>
      <c r="AX717" s="75"/>
      <c r="BA717" s="76"/>
    </row>
    <row r="718" spans="41:53">
      <c r="AO718" s="39"/>
      <c r="AP718" s="70"/>
      <c r="AQ718" s="71"/>
      <c r="AR718" s="72"/>
      <c r="AU718" s="70"/>
      <c r="AV718" s="77"/>
      <c r="AW718" s="78"/>
      <c r="AX718" s="75"/>
      <c r="BA718" s="76"/>
    </row>
    <row r="719" spans="41:53">
      <c r="AO719" s="39"/>
      <c r="AP719" s="70"/>
      <c r="AQ719" s="71"/>
      <c r="AR719" s="72"/>
      <c r="AU719" s="70"/>
      <c r="AV719" s="77"/>
      <c r="AW719" s="78"/>
      <c r="AX719" s="75"/>
      <c r="BA719" s="76"/>
    </row>
    <row r="720" spans="41:53">
      <c r="AO720" s="39"/>
      <c r="AP720" s="70"/>
      <c r="AQ720" s="71"/>
      <c r="AR720" s="72"/>
      <c r="AU720" s="70"/>
      <c r="AV720" s="77"/>
      <c r="AW720" s="78"/>
      <c r="AX720" s="75"/>
      <c r="BA720" s="76"/>
    </row>
    <row r="721" spans="41:53">
      <c r="AO721" s="39"/>
      <c r="AP721" s="70"/>
      <c r="AQ721" s="71"/>
      <c r="AR721" s="72"/>
      <c r="AU721" s="70"/>
      <c r="AV721" s="77"/>
      <c r="AW721" s="78"/>
      <c r="AX721" s="75"/>
      <c r="BA721" s="76"/>
    </row>
    <row r="722" spans="41:53">
      <c r="AO722" s="39"/>
      <c r="AP722" s="70"/>
      <c r="AQ722" s="71"/>
      <c r="AR722" s="72"/>
      <c r="AU722" s="70"/>
      <c r="AV722" s="77"/>
      <c r="AW722" s="78"/>
      <c r="AX722" s="75"/>
      <c r="BA722" s="76"/>
    </row>
    <row r="723" spans="41:53">
      <c r="AO723" s="39"/>
      <c r="AP723" s="70"/>
      <c r="AQ723" s="71"/>
      <c r="AR723" s="72"/>
      <c r="AU723" s="70"/>
      <c r="AV723" s="77"/>
      <c r="AW723" s="78"/>
      <c r="AX723" s="75"/>
      <c r="BA723" s="76"/>
    </row>
    <row r="724" spans="41:53">
      <c r="AO724" s="39"/>
      <c r="AP724" s="70"/>
      <c r="AQ724" s="71"/>
      <c r="AR724" s="72"/>
      <c r="AU724" s="70"/>
      <c r="AV724" s="77"/>
      <c r="AW724" s="78"/>
      <c r="AX724" s="75"/>
      <c r="BA724" s="76"/>
    </row>
    <row r="725" spans="41:53">
      <c r="AO725" s="39"/>
      <c r="AP725" s="70"/>
      <c r="AQ725" s="71"/>
      <c r="AR725" s="72"/>
      <c r="AU725" s="70"/>
      <c r="AV725" s="77"/>
      <c r="AW725" s="78"/>
      <c r="AX725" s="75"/>
      <c r="BA725" s="76"/>
    </row>
    <row r="726" spans="41:53">
      <c r="AO726" s="39"/>
      <c r="AP726" s="70"/>
      <c r="AQ726" s="71"/>
      <c r="AR726" s="72"/>
      <c r="AU726" s="70"/>
      <c r="AV726" s="77"/>
      <c r="AW726" s="78"/>
      <c r="AX726" s="75"/>
      <c r="BA726" s="76"/>
    </row>
    <row r="727" spans="41:53">
      <c r="AO727" s="39"/>
      <c r="AP727" s="70"/>
      <c r="AQ727" s="71"/>
      <c r="AR727" s="72"/>
      <c r="AU727" s="70"/>
      <c r="AV727" s="77"/>
      <c r="AW727" s="78"/>
      <c r="AX727" s="75"/>
      <c r="BA727" s="76"/>
    </row>
    <row r="728" spans="41:53">
      <c r="AO728" s="39"/>
      <c r="AP728" s="70"/>
      <c r="AQ728" s="71"/>
      <c r="AR728" s="72"/>
      <c r="AU728" s="70"/>
      <c r="AV728" s="77"/>
      <c r="AW728" s="78"/>
      <c r="AX728" s="75"/>
      <c r="BA728" s="76"/>
    </row>
    <row r="729" spans="41:53">
      <c r="AO729" s="39"/>
      <c r="AP729" s="70"/>
      <c r="AQ729" s="71"/>
      <c r="AR729" s="72"/>
      <c r="AU729" s="70"/>
      <c r="AV729" s="77"/>
      <c r="AW729" s="78"/>
      <c r="AX729" s="75"/>
      <c r="BA729" s="76"/>
    </row>
    <row r="730" spans="41:53">
      <c r="AO730" s="39"/>
      <c r="AP730" s="70"/>
      <c r="AQ730" s="71"/>
      <c r="AR730" s="72"/>
      <c r="AU730" s="70"/>
      <c r="AV730" s="77"/>
      <c r="AW730" s="78"/>
      <c r="AX730" s="75"/>
      <c r="BA730" s="76"/>
    </row>
    <row r="731" spans="41:53">
      <c r="AO731" s="39"/>
      <c r="AP731" s="70"/>
      <c r="AQ731" s="71"/>
      <c r="AR731" s="72"/>
      <c r="AU731" s="70"/>
      <c r="AV731" s="77"/>
      <c r="AW731" s="78"/>
      <c r="AX731" s="75"/>
      <c r="BA731" s="76"/>
    </row>
    <row r="732" spans="41:53">
      <c r="AO732" s="39"/>
      <c r="AP732" s="70"/>
      <c r="AQ732" s="71"/>
      <c r="AR732" s="72"/>
      <c r="AU732" s="70"/>
      <c r="AV732" s="77"/>
      <c r="AW732" s="78"/>
      <c r="AX732" s="75"/>
      <c r="BA732" s="76"/>
    </row>
    <row r="733" spans="41:53">
      <c r="AO733" s="39"/>
      <c r="AP733" s="70"/>
      <c r="AQ733" s="71"/>
      <c r="AR733" s="72"/>
      <c r="AU733" s="70"/>
      <c r="AV733" s="77"/>
      <c r="AW733" s="78"/>
      <c r="AX733" s="75"/>
      <c r="BA733" s="76"/>
    </row>
    <row r="734" spans="41:53">
      <c r="AO734" s="39"/>
      <c r="AP734" s="70"/>
      <c r="AQ734" s="71"/>
      <c r="AR734" s="72"/>
      <c r="AU734" s="70"/>
      <c r="AV734" s="77"/>
      <c r="AW734" s="78"/>
      <c r="AX734" s="75"/>
      <c r="BA734" s="76"/>
    </row>
    <row r="735" spans="41:53">
      <c r="AO735" s="39"/>
      <c r="AP735" s="70"/>
      <c r="AQ735" s="71"/>
      <c r="AR735" s="72"/>
      <c r="AU735" s="70"/>
      <c r="AV735" s="77"/>
      <c r="AW735" s="78"/>
      <c r="AX735" s="75"/>
      <c r="BA735" s="76"/>
    </row>
    <row r="736" spans="41:53">
      <c r="AO736" s="39"/>
      <c r="AP736" s="70"/>
      <c r="AQ736" s="71"/>
      <c r="AR736" s="72"/>
      <c r="AU736" s="70"/>
      <c r="AV736" s="77"/>
      <c r="AW736" s="78"/>
      <c r="AX736" s="75"/>
      <c r="BA736" s="76"/>
    </row>
    <row r="737" spans="41:53">
      <c r="AO737" s="39"/>
      <c r="AP737" s="70"/>
      <c r="AQ737" s="71"/>
      <c r="AR737" s="72"/>
      <c r="AU737" s="70"/>
      <c r="AV737" s="77"/>
      <c r="AW737" s="78"/>
      <c r="AX737" s="75"/>
      <c r="BA737" s="76"/>
    </row>
    <row r="738" spans="41:53">
      <c r="AO738" s="39"/>
      <c r="AP738" s="70"/>
      <c r="AQ738" s="71"/>
      <c r="AR738" s="72"/>
      <c r="AU738" s="70"/>
      <c r="AV738" s="77"/>
      <c r="AW738" s="78"/>
      <c r="AX738" s="75"/>
      <c r="BA738" s="76"/>
    </row>
    <row r="739" spans="41:53">
      <c r="AO739" s="39"/>
      <c r="AP739" s="70"/>
      <c r="AQ739" s="71"/>
      <c r="AR739" s="72"/>
      <c r="AU739" s="70"/>
      <c r="AV739" s="77"/>
      <c r="AW739" s="78"/>
      <c r="AX739" s="75"/>
      <c r="BA739" s="76"/>
    </row>
    <row r="740" spans="41:53">
      <c r="AO740" s="39"/>
      <c r="AP740" s="70"/>
      <c r="AQ740" s="71"/>
      <c r="AR740" s="72"/>
      <c r="AU740" s="70"/>
      <c r="AV740" s="77"/>
      <c r="AW740" s="78"/>
      <c r="AX740" s="75"/>
      <c r="BA740" s="76"/>
    </row>
    <row r="741" spans="41:53">
      <c r="AO741" s="39"/>
      <c r="AP741" s="70"/>
      <c r="AQ741" s="71"/>
      <c r="AR741" s="72"/>
      <c r="AU741" s="70"/>
      <c r="AV741" s="77"/>
      <c r="AW741" s="78"/>
      <c r="AX741" s="75"/>
      <c r="BA741" s="76"/>
    </row>
    <row r="742" spans="41:53">
      <c r="AO742" s="39"/>
      <c r="AP742" s="70"/>
      <c r="AQ742" s="71"/>
      <c r="AR742" s="72"/>
      <c r="AU742" s="70"/>
      <c r="AV742" s="77"/>
      <c r="AW742" s="78"/>
      <c r="AX742" s="75"/>
      <c r="BA742" s="76"/>
    </row>
    <row r="743" spans="41:53">
      <c r="AO743" s="39"/>
      <c r="AP743" s="70"/>
      <c r="AQ743" s="71"/>
      <c r="AR743" s="72"/>
      <c r="AU743" s="70"/>
      <c r="AV743" s="77"/>
      <c r="AW743" s="78"/>
      <c r="AX743" s="75"/>
      <c r="BA743" s="76"/>
    </row>
    <row r="744" spans="41:53">
      <c r="AO744" s="39"/>
      <c r="AP744" s="70"/>
      <c r="AQ744" s="71"/>
      <c r="AR744" s="72"/>
      <c r="AU744" s="70"/>
      <c r="AV744" s="77"/>
      <c r="AW744" s="78"/>
      <c r="AX744" s="75"/>
      <c r="BA744" s="76"/>
    </row>
    <row r="745" spans="41:53">
      <c r="AO745" s="39"/>
      <c r="AP745" s="70"/>
      <c r="AQ745" s="71"/>
      <c r="AR745" s="72"/>
      <c r="AU745" s="70"/>
      <c r="AV745" s="77"/>
      <c r="AW745" s="78"/>
      <c r="AX745" s="75"/>
      <c r="BA745" s="76"/>
    </row>
    <row r="746" spans="41:53">
      <c r="AO746" s="39"/>
      <c r="AP746" s="70"/>
      <c r="AQ746" s="71"/>
      <c r="AR746" s="72"/>
      <c r="AU746" s="70"/>
      <c r="AV746" s="77"/>
      <c r="AW746" s="78"/>
      <c r="AX746" s="75"/>
      <c r="BA746" s="76"/>
    </row>
    <row r="747" spans="41:53">
      <c r="AO747" s="39"/>
      <c r="AP747" s="70"/>
      <c r="AQ747" s="71"/>
      <c r="AR747" s="72"/>
      <c r="AU747" s="70"/>
      <c r="AV747" s="77"/>
      <c r="AW747" s="78"/>
      <c r="AX747" s="75"/>
      <c r="BA747" s="76"/>
    </row>
    <row r="748" spans="41:53">
      <c r="AO748" s="39"/>
      <c r="AP748" s="70"/>
      <c r="AQ748" s="71"/>
      <c r="AR748" s="72"/>
      <c r="AU748" s="70"/>
      <c r="AV748" s="77"/>
      <c r="AW748" s="78"/>
      <c r="AX748" s="75"/>
      <c r="BA748" s="76"/>
    </row>
    <row r="749" spans="41:53">
      <c r="AO749" s="39"/>
      <c r="AP749" s="70"/>
      <c r="AQ749" s="71"/>
      <c r="AR749" s="72"/>
      <c r="AU749" s="70"/>
      <c r="AV749" s="77"/>
      <c r="AW749" s="78"/>
      <c r="AX749" s="75"/>
      <c r="BA749" s="76"/>
    </row>
    <row r="750" spans="41:53">
      <c r="AO750" s="39"/>
      <c r="AP750" s="70"/>
      <c r="AQ750" s="71"/>
      <c r="AR750" s="72"/>
      <c r="AU750" s="70"/>
      <c r="AV750" s="77"/>
      <c r="AW750" s="78"/>
      <c r="AX750" s="75"/>
      <c r="BA750" s="76"/>
    </row>
    <row r="751" spans="41:53">
      <c r="AO751" s="39"/>
      <c r="AP751" s="70"/>
      <c r="AQ751" s="71"/>
      <c r="AR751" s="72"/>
      <c r="AU751" s="70"/>
      <c r="AV751" s="77"/>
      <c r="AW751" s="78"/>
      <c r="AX751" s="75"/>
      <c r="BA751" s="76"/>
    </row>
    <row r="752" spans="41:53">
      <c r="AO752" s="39"/>
      <c r="AP752" s="70"/>
      <c r="AQ752" s="71"/>
      <c r="AR752" s="72"/>
      <c r="AU752" s="70"/>
      <c r="AV752" s="77"/>
      <c r="AW752" s="78"/>
      <c r="AX752" s="75"/>
      <c r="BA752" s="76"/>
    </row>
    <row r="753" spans="41:53">
      <c r="AO753" s="39"/>
      <c r="AP753" s="70"/>
      <c r="AQ753" s="71"/>
      <c r="AR753" s="72"/>
      <c r="AU753" s="70"/>
      <c r="AV753" s="77"/>
      <c r="AW753" s="78"/>
      <c r="AX753" s="75"/>
      <c r="BA753" s="76"/>
    </row>
    <row r="754" spans="41:53">
      <c r="AO754" s="39"/>
      <c r="AP754" s="70"/>
      <c r="AQ754" s="71"/>
      <c r="AR754" s="72"/>
      <c r="AU754" s="70"/>
      <c r="AV754" s="77"/>
      <c r="AW754" s="78"/>
      <c r="AX754" s="75"/>
      <c r="BA754" s="76"/>
    </row>
    <row r="755" spans="41:53">
      <c r="AO755" s="39"/>
      <c r="AP755" s="70"/>
      <c r="AQ755" s="71"/>
      <c r="AR755" s="72"/>
      <c r="AU755" s="70"/>
      <c r="AV755" s="77"/>
      <c r="AW755" s="78"/>
      <c r="AX755" s="75"/>
      <c r="BA755" s="76"/>
    </row>
    <row r="756" spans="41:53">
      <c r="AO756" s="39"/>
      <c r="AP756" s="70"/>
      <c r="AQ756" s="71"/>
      <c r="AR756" s="72"/>
      <c r="AU756" s="70"/>
      <c r="AV756" s="77"/>
      <c r="AW756" s="78"/>
      <c r="AX756" s="75"/>
      <c r="BA756" s="76"/>
    </row>
    <row r="757" spans="41:53">
      <c r="AO757" s="39"/>
      <c r="AP757" s="70"/>
      <c r="AQ757" s="71"/>
      <c r="AR757" s="72"/>
      <c r="AU757" s="70"/>
      <c r="AV757" s="77"/>
      <c r="AW757" s="78"/>
      <c r="AX757" s="75"/>
      <c r="BA757" s="76"/>
    </row>
    <row r="758" spans="41:53">
      <c r="AO758" s="39"/>
      <c r="AP758" s="70"/>
      <c r="AQ758" s="71"/>
      <c r="AR758" s="72"/>
      <c r="AU758" s="70"/>
      <c r="AV758" s="77"/>
      <c r="AW758" s="78"/>
      <c r="AX758" s="75"/>
      <c r="BA758" s="76"/>
    </row>
    <row r="759" spans="41:53">
      <c r="AO759" s="39"/>
      <c r="AP759" s="70"/>
      <c r="AQ759" s="71"/>
      <c r="AR759" s="72"/>
      <c r="AU759" s="70"/>
      <c r="AV759" s="77"/>
      <c r="AW759" s="78"/>
      <c r="AX759" s="75"/>
      <c r="BA759" s="76"/>
    </row>
    <row r="760" spans="41:53">
      <c r="AO760" s="39"/>
      <c r="AP760" s="70"/>
      <c r="AQ760" s="71"/>
      <c r="AR760" s="72"/>
      <c r="AU760" s="70"/>
      <c r="AV760" s="77"/>
      <c r="AW760" s="78"/>
      <c r="AX760" s="75"/>
      <c r="BA760" s="76"/>
    </row>
    <row r="761" spans="41:53">
      <c r="AO761" s="39"/>
      <c r="AP761" s="70"/>
      <c r="AQ761" s="71"/>
      <c r="AR761" s="72"/>
      <c r="AU761" s="70"/>
      <c r="AV761" s="77"/>
      <c r="AW761" s="78"/>
      <c r="AX761" s="75"/>
      <c r="BA761" s="76"/>
    </row>
    <row r="762" spans="41:53">
      <c r="AO762" s="39"/>
      <c r="AP762" s="70"/>
      <c r="AQ762" s="71"/>
      <c r="AR762" s="72"/>
      <c r="AU762" s="70"/>
      <c r="AV762" s="77"/>
      <c r="AW762" s="78"/>
      <c r="AX762" s="75"/>
      <c r="BA762" s="76"/>
    </row>
    <row r="763" spans="41:53">
      <c r="AO763" s="39"/>
      <c r="AP763" s="70"/>
      <c r="AQ763" s="71"/>
      <c r="AR763" s="72"/>
      <c r="AU763" s="70"/>
      <c r="AV763" s="77"/>
      <c r="AW763" s="78"/>
      <c r="AX763" s="75"/>
      <c r="BA763" s="76"/>
    </row>
    <row r="764" spans="41:53">
      <c r="AO764" s="39"/>
      <c r="AP764" s="70"/>
      <c r="AQ764" s="71"/>
      <c r="AR764" s="72"/>
      <c r="AU764" s="70"/>
      <c r="AV764" s="77"/>
      <c r="AW764" s="78"/>
      <c r="AX764" s="75"/>
      <c r="BA764" s="76"/>
    </row>
    <row r="765" spans="41:53">
      <c r="AO765" s="39"/>
      <c r="AP765" s="70"/>
      <c r="AQ765" s="71"/>
      <c r="AR765" s="72"/>
      <c r="AU765" s="70"/>
      <c r="AV765" s="77"/>
      <c r="AW765" s="78"/>
      <c r="AX765" s="75"/>
      <c r="BA765" s="76"/>
    </row>
    <row r="766" spans="41:53">
      <c r="AO766" s="39"/>
      <c r="AP766" s="70"/>
      <c r="AQ766" s="71"/>
      <c r="AR766" s="72"/>
      <c r="AU766" s="70"/>
      <c r="AV766" s="77"/>
      <c r="AW766" s="78"/>
      <c r="AX766" s="75"/>
      <c r="BA766" s="76"/>
    </row>
    <row r="767" spans="41:53">
      <c r="AO767" s="39"/>
      <c r="AP767" s="70"/>
      <c r="AQ767" s="71"/>
      <c r="AR767" s="72"/>
      <c r="AU767" s="70"/>
      <c r="AV767" s="77"/>
      <c r="AW767" s="78"/>
      <c r="AX767" s="75"/>
      <c r="BA767" s="76"/>
    </row>
    <row r="768" spans="41:53">
      <c r="AO768" s="39"/>
      <c r="AP768" s="70"/>
      <c r="AQ768" s="71"/>
      <c r="AR768" s="72"/>
      <c r="AU768" s="70"/>
      <c r="AV768" s="77"/>
      <c r="AW768" s="78"/>
      <c r="AX768" s="75"/>
      <c r="BA768" s="76"/>
    </row>
    <row r="769" spans="41:53">
      <c r="AO769" s="39"/>
      <c r="AP769" s="70"/>
      <c r="AQ769" s="71"/>
      <c r="AR769" s="72"/>
      <c r="AU769" s="70"/>
      <c r="AV769" s="77"/>
      <c r="AW769" s="78"/>
      <c r="AX769" s="75"/>
      <c r="BA769" s="76"/>
    </row>
    <row r="770" spans="41:53">
      <c r="AO770" s="39"/>
      <c r="AP770" s="70"/>
      <c r="AQ770" s="71"/>
      <c r="AR770" s="72"/>
      <c r="AU770" s="70"/>
      <c r="AV770" s="77"/>
      <c r="AW770" s="78"/>
      <c r="AX770" s="75"/>
      <c r="BA770" s="76"/>
    </row>
    <row r="771" spans="41:53">
      <c r="AO771" s="39"/>
      <c r="AP771" s="70"/>
      <c r="AQ771" s="71"/>
      <c r="AR771" s="72"/>
      <c r="AU771" s="70"/>
      <c r="AV771" s="77"/>
      <c r="AW771" s="78"/>
      <c r="AX771" s="75"/>
      <c r="BA771" s="76"/>
    </row>
    <row r="772" spans="41:53">
      <c r="AO772" s="39"/>
      <c r="AP772" s="70"/>
      <c r="AQ772" s="71"/>
      <c r="AR772" s="72"/>
      <c r="AU772" s="70"/>
      <c r="AV772" s="77"/>
      <c r="AW772" s="78"/>
      <c r="AX772" s="75"/>
      <c r="BA772" s="76"/>
    </row>
    <row r="773" spans="41:53">
      <c r="AO773" s="39"/>
      <c r="AP773" s="70"/>
      <c r="AQ773" s="71"/>
      <c r="AR773" s="72"/>
      <c r="AU773" s="70"/>
      <c r="AV773" s="77"/>
      <c r="AW773" s="78"/>
      <c r="AX773" s="75"/>
      <c r="BA773" s="76"/>
    </row>
    <row r="774" spans="41:53">
      <c r="AO774" s="39"/>
      <c r="AP774" s="70"/>
      <c r="AQ774" s="71"/>
      <c r="AR774" s="72"/>
      <c r="AU774" s="70"/>
      <c r="AV774" s="77"/>
      <c r="AW774" s="78"/>
      <c r="AX774" s="75"/>
      <c r="BA774" s="76"/>
    </row>
    <row r="775" spans="41:53">
      <c r="AO775" s="39"/>
      <c r="AP775" s="70"/>
      <c r="AQ775" s="71"/>
      <c r="AR775" s="72"/>
      <c r="AU775" s="70"/>
      <c r="AV775" s="77"/>
      <c r="AW775" s="78"/>
      <c r="AX775" s="75"/>
      <c r="BA775" s="76"/>
    </row>
    <row r="776" spans="41:53">
      <c r="AO776" s="39"/>
      <c r="AP776" s="70"/>
      <c r="AQ776" s="71"/>
      <c r="AR776" s="72"/>
      <c r="AU776" s="70"/>
      <c r="AV776" s="77"/>
      <c r="AW776" s="78"/>
      <c r="AX776" s="75"/>
      <c r="BA776" s="76"/>
    </row>
    <row r="777" spans="41:53">
      <c r="AO777" s="39"/>
      <c r="AP777" s="70"/>
      <c r="AQ777" s="71"/>
      <c r="AR777" s="72"/>
      <c r="AU777" s="70"/>
      <c r="AV777" s="77"/>
      <c r="AW777" s="78"/>
      <c r="AX777" s="75"/>
      <c r="BA777" s="76"/>
    </row>
    <row r="778" spans="41:53">
      <c r="AO778" s="39"/>
      <c r="AP778" s="70"/>
      <c r="AQ778" s="71"/>
      <c r="AR778" s="72"/>
      <c r="AU778" s="70"/>
      <c r="AV778" s="77"/>
      <c r="AW778" s="78"/>
      <c r="AX778" s="75"/>
      <c r="BA778" s="76"/>
    </row>
    <row r="779" spans="41:53">
      <c r="AO779" s="39"/>
      <c r="AP779" s="70"/>
      <c r="AQ779" s="71"/>
      <c r="AR779" s="72"/>
      <c r="AU779" s="70"/>
      <c r="AV779" s="77"/>
      <c r="AW779" s="78"/>
      <c r="AX779" s="75"/>
      <c r="BA779" s="76"/>
    </row>
    <row r="780" spans="41:53">
      <c r="AO780" s="39"/>
      <c r="AP780" s="70"/>
      <c r="AQ780" s="71"/>
      <c r="AR780" s="72"/>
      <c r="AU780" s="70"/>
      <c r="AV780" s="77"/>
      <c r="AW780" s="78"/>
      <c r="AX780" s="75"/>
      <c r="BA780" s="76"/>
    </row>
    <row r="781" spans="41:53">
      <c r="AO781" s="39"/>
      <c r="AP781" s="70"/>
      <c r="AQ781" s="71"/>
      <c r="AR781" s="72"/>
      <c r="AU781" s="70"/>
      <c r="AV781" s="77"/>
      <c r="AW781" s="78"/>
      <c r="AX781" s="75"/>
      <c r="BA781" s="76"/>
    </row>
    <row r="782" spans="41:53">
      <c r="AO782" s="39"/>
      <c r="AP782" s="70"/>
      <c r="AQ782" s="71"/>
      <c r="AR782" s="72"/>
      <c r="AU782" s="70"/>
      <c r="AV782" s="77"/>
      <c r="AW782" s="78"/>
      <c r="AX782" s="75"/>
      <c r="BA782" s="76"/>
    </row>
    <row r="783" spans="41:53">
      <c r="AO783" s="39"/>
      <c r="AP783" s="70"/>
      <c r="AQ783" s="71"/>
      <c r="AR783" s="72"/>
      <c r="AU783" s="70"/>
      <c r="AV783" s="77"/>
      <c r="AW783" s="78"/>
      <c r="AX783" s="75"/>
      <c r="BA783" s="76"/>
    </row>
    <row r="784" spans="41:53">
      <c r="AO784" s="39"/>
      <c r="AP784" s="70"/>
      <c r="AQ784" s="71"/>
      <c r="AR784" s="72"/>
      <c r="AU784" s="70"/>
      <c r="AV784" s="77"/>
      <c r="AW784" s="78"/>
      <c r="AX784" s="75"/>
      <c r="BA784" s="76"/>
    </row>
    <row r="785" spans="41:53">
      <c r="AO785" s="39"/>
      <c r="AP785" s="70"/>
      <c r="AQ785" s="71"/>
      <c r="AR785" s="72"/>
      <c r="AU785" s="70"/>
      <c r="AV785" s="77"/>
      <c r="AW785" s="78"/>
      <c r="AX785" s="75"/>
      <c r="BA785" s="76"/>
    </row>
    <row r="786" spans="41:53">
      <c r="AO786" s="39"/>
      <c r="AP786" s="70"/>
      <c r="AQ786" s="71"/>
      <c r="AR786" s="72"/>
      <c r="AU786" s="70"/>
      <c r="AV786" s="77"/>
      <c r="AW786" s="78"/>
      <c r="AX786" s="75"/>
      <c r="BA786" s="76"/>
    </row>
    <row r="787" spans="41:53">
      <c r="AO787" s="39"/>
      <c r="AP787" s="70"/>
      <c r="AQ787" s="71"/>
      <c r="AR787" s="72"/>
      <c r="AU787" s="70"/>
      <c r="AV787" s="77"/>
      <c r="AW787" s="78"/>
      <c r="AX787" s="75"/>
      <c r="BA787" s="76"/>
    </row>
    <row r="788" spans="41:53">
      <c r="AO788" s="39"/>
      <c r="AP788" s="70"/>
      <c r="AQ788" s="71"/>
      <c r="AR788" s="72"/>
      <c r="AU788" s="70"/>
      <c r="AV788" s="77"/>
      <c r="AW788" s="78"/>
      <c r="AX788" s="75"/>
      <c r="BA788" s="76"/>
    </row>
    <row r="789" spans="41:53">
      <c r="AO789" s="39"/>
      <c r="AP789" s="70"/>
      <c r="AQ789" s="71"/>
      <c r="AR789" s="72"/>
      <c r="AU789" s="70"/>
      <c r="AV789" s="77"/>
      <c r="AW789" s="78"/>
      <c r="AX789" s="75"/>
      <c r="BA789" s="76"/>
    </row>
    <row r="790" spans="41:53">
      <c r="AO790" s="39"/>
      <c r="AP790" s="70"/>
      <c r="AQ790" s="71"/>
      <c r="AR790" s="72"/>
      <c r="AU790" s="70"/>
      <c r="AV790" s="77"/>
      <c r="AW790" s="78"/>
      <c r="AX790" s="75"/>
      <c r="BA790" s="76"/>
    </row>
    <row r="791" spans="41:53">
      <c r="AO791" s="39"/>
      <c r="AP791" s="70"/>
      <c r="AQ791" s="71"/>
      <c r="AR791" s="72"/>
      <c r="AU791" s="70"/>
      <c r="AV791" s="77"/>
      <c r="AW791" s="78"/>
      <c r="AX791" s="75"/>
      <c r="BA791" s="76"/>
    </row>
    <row r="792" spans="41:53">
      <c r="AO792" s="39"/>
      <c r="AP792" s="70"/>
      <c r="AQ792" s="71"/>
      <c r="AR792" s="72"/>
      <c r="AU792" s="70"/>
      <c r="AV792" s="77"/>
      <c r="AW792" s="78"/>
      <c r="AX792" s="75"/>
      <c r="BA792" s="76"/>
    </row>
    <row r="793" spans="41:53">
      <c r="AO793" s="39"/>
      <c r="AP793" s="70"/>
      <c r="AQ793" s="71"/>
      <c r="AR793" s="72"/>
      <c r="AU793" s="70"/>
      <c r="AV793" s="77"/>
      <c r="AW793" s="78"/>
      <c r="AX793" s="75"/>
      <c r="BA793" s="76"/>
    </row>
    <row r="794" spans="41:53">
      <c r="AO794" s="39"/>
      <c r="AP794" s="70"/>
      <c r="AQ794" s="71"/>
      <c r="AR794" s="72"/>
      <c r="AU794" s="70"/>
      <c r="AV794" s="77"/>
      <c r="AW794" s="78"/>
      <c r="AX794" s="75"/>
      <c r="BA794" s="76"/>
    </row>
    <row r="795" spans="41:53">
      <c r="AO795" s="39"/>
      <c r="AP795" s="70"/>
      <c r="AQ795" s="71"/>
      <c r="AR795" s="72"/>
      <c r="AU795" s="70"/>
      <c r="AV795" s="77"/>
      <c r="AW795" s="78"/>
      <c r="AX795" s="75"/>
      <c r="BA795" s="76"/>
    </row>
    <row r="796" spans="41:53">
      <c r="AO796" s="39"/>
      <c r="AP796" s="70"/>
      <c r="AQ796" s="71"/>
      <c r="AR796" s="72"/>
      <c r="AU796" s="70"/>
      <c r="AV796" s="77"/>
      <c r="AW796" s="78"/>
      <c r="AX796" s="75"/>
      <c r="BA796" s="76"/>
    </row>
    <row r="797" spans="41:53">
      <c r="AO797" s="39"/>
      <c r="AP797" s="70"/>
      <c r="AQ797" s="71"/>
      <c r="AR797" s="72"/>
      <c r="AU797" s="70"/>
      <c r="AV797" s="77"/>
      <c r="AW797" s="78"/>
      <c r="AX797" s="75"/>
      <c r="BA797" s="76"/>
    </row>
    <row r="798" spans="41:53">
      <c r="AO798" s="39"/>
      <c r="AP798" s="70"/>
      <c r="AQ798" s="71"/>
      <c r="AR798" s="72"/>
      <c r="AU798" s="70"/>
      <c r="AV798" s="77"/>
      <c r="AW798" s="78"/>
      <c r="AX798" s="75"/>
      <c r="BA798" s="76"/>
    </row>
    <row r="799" spans="41:53">
      <c r="AO799" s="39"/>
      <c r="AP799" s="70"/>
      <c r="AQ799" s="71"/>
      <c r="AR799" s="72"/>
      <c r="AU799" s="70"/>
      <c r="AV799" s="77"/>
      <c r="AW799" s="78"/>
      <c r="AX799" s="75"/>
      <c r="BA799" s="76"/>
    </row>
    <row r="800" spans="41:53">
      <c r="AO800" s="39"/>
      <c r="AP800" s="70"/>
      <c r="AQ800" s="71"/>
      <c r="AR800" s="72"/>
      <c r="AU800" s="70"/>
      <c r="AV800" s="77"/>
      <c r="AW800" s="78"/>
      <c r="AX800" s="75"/>
      <c r="BA800" s="76"/>
    </row>
    <row r="801" spans="41:53">
      <c r="AO801" s="39"/>
      <c r="AP801" s="70"/>
      <c r="AQ801" s="71"/>
      <c r="AR801" s="72"/>
      <c r="AU801" s="70"/>
      <c r="AV801" s="77"/>
      <c r="AW801" s="78"/>
      <c r="AX801" s="75"/>
      <c r="BA801" s="76"/>
    </row>
    <row r="802" spans="41:53">
      <c r="AO802" s="39"/>
      <c r="AP802" s="70"/>
      <c r="AQ802" s="71"/>
      <c r="AR802" s="72"/>
      <c r="AU802" s="70"/>
      <c r="AV802" s="77"/>
      <c r="AW802" s="78"/>
      <c r="AX802" s="75"/>
      <c r="BA802" s="76"/>
    </row>
    <row r="803" spans="41:53">
      <c r="AO803" s="39"/>
      <c r="AP803" s="70"/>
      <c r="AQ803" s="71"/>
      <c r="AR803" s="72"/>
      <c r="AU803" s="70"/>
      <c r="AV803" s="77"/>
      <c r="AW803" s="78"/>
      <c r="AX803" s="75"/>
      <c r="BA803" s="76"/>
    </row>
    <row r="804" spans="41:53">
      <c r="AO804" s="39"/>
      <c r="AP804" s="70"/>
      <c r="AQ804" s="71"/>
      <c r="AR804" s="72"/>
      <c r="AU804" s="70"/>
      <c r="AV804" s="77"/>
      <c r="AW804" s="78"/>
      <c r="AX804" s="75"/>
      <c r="BA804" s="76"/>
    </row>
    <row r="805" spans="41:53">
      <c r="AO805" s="39"/>
      <c r="AP805" s="70"/>
      <c r="AQ805" s="71"/>
      <c r="AR805" s="72"/>
      <c r="AU805" s="70"/>
      <c r="AV805" s="77"/>
      <c r="AW805" s="78"/>
      <c r="AX805" s="75"/>
      <c r="BA805" s="76"/>
    </row>
    <row r="806" spans="41:53">
      <c r="AO806" s="39"/>
      <c r="AP806" s="70"/>
      <c r="AQ806" s="71"/>
      <c r="AR806" s="72"/>
      <c r="AU806" s="70"/>
      <c r="AV806" s="77"/>
      <c r="AW806" s="78"/>
      <c r="AX806" s="75"/>
      <c r="BA806" s="76"/>
    </row>
    <row r="807" spans="41:53">
      <c r="AO807" s="39"/>
      <c r="AP807" s="70"/>
      <c r="AQ807" s="71"/>
      <c r="AR807" s="72"/>
      <c r="AU807" s="70"/>
      <c r="AV807" s="77"/>
      <c r="AW807" s="78"/>
      <c r="AX807" s="75"/>
      <c r="BA807" s="76"/>
    </row>
    <row r="808" spans="41:53">
      <c r="AO808" s="39"/>
      <c r="AP808" s="70"/>
      <c r="AQ808" s="71"/>
      <c r="AR808" s="72"/>
      <c r="AU808" s="70"/>
      <c r="AV808" s="77"/>
      <c r="AW808" s="78"/>
      <c r="AX808" s="75"/>
      <c r="BA808" s="76"/>
    </row>
    <row r="809" spans="41:53">
      <c r="AO809" s="39"/>
      <c r="AP809" s="70"/>
      <c r="AQ809" s="71"/>
      <c r="AR809" s="72"/>
      <c r="AU809" s="70"/>
      <c r="AV809" s="77"/>
      <c r="AW809" s="78"/>
      <c r="AX809" s="75"/>
      <c r="BA809" s="76"/>
    </row>
    <row r="810" spans="41:53">
      <c r="AO810" s="39"/>
      <c r="AP810" s="70"/>
      <c r="AQ810" s="71"/>
      <c r="AR810" s="72"/>
      <c r="AU810" s="70"/>
      <c r="AV810" s="77"/>
      <c r="AW810" s="78"/>
      <c r="AX810" s="75"/>
      <c r="BA810" s="76"/>
    </row>
    <row r="811" spans="41:53">
      <c r="AO811" s="39"/>
      <c r="AP811" s="70"/>
      <c r="AQ811" s="71"/>
      <c r="AR811" s="72"/>
      <c r="AU811" s="70"/>
      <c r="AV811" s="77"/>
      <c r="AW811" s="78"/>
      <c r="AX811" s="75"/>
      <c r="BA811" s="76"/>
    </row>
    <row r="812" spans="41:53">
      <c r="AO812" s="39"/>
      <c r="AP812" s="70"/>
      <c r="AQ812" s="71"/>
      <c r="AR812" s="72"/>
      <c r="AU812" s="70"/>
      <c r="AV812" s="77"/>
      <c r="AW812" s="78"/>
      <c r="AX812" s="75"/>
      <c r="BA812" s="76"/>
    </row>
    <row r="813" spans="41:53">
      <c r="AO813" s="39"/>
      <c r="AP813" s="70"/>
      <c r="AQ813" s="71"/>
      <c r="AR813" s="72"/>
      <c r="AU813" s="70"/>
      <c r="AV813" s="77"/>
      <c r="AW813" s="78"/>
      <c r="AX813" s="75"/>
      <c r="BA813" s="76"/>
    </row>
    <row r="814" spans="41:53">
      <c r="AO814" s="39"/>
      <c r="AP814" s="70"/>
      <c r="AQ814" s="71"/>
      <c r="AR814" s="72"/>
      <c r="AU814" s="70"/>
      <c r="AV814" s="77"/>
      <c r="AW814" s="78"/>
      <c r="AX814" s="75"/>
      <c r="BA814" s="76"/>
    </row>
    <row r="815" spans="41:53">
      <c r="AO815" s="39"/>
      <c r="AP815" s="70"/>
      <c r="AQ815" s="71"/>
      <c r="AR815" s="72"/>
      <c r="AU815" s="70"/>
      <c r="AV815" s="77"/>
      <c r="AW815" s="78"/>
      <c r="AX815" s="75"/>
      <c r="BA815" s="76"/>
    </row>
    <row r="816" spans="41:53">
      <c r="AO816" s="39"/>
      <c r="AP816" s="70"/>
      <c r="AQ816" s="71"/>
      <c r="AR816" s="72"/>
      <c r="AU816" s="70"/>
      <c r="AV816" s="77"/>
      <c r="AW816" s="78"/>
      <c r="AX816" s="75"/>
      <c r="BA816" s="76"/>
    </row>
    <row r="817" spans="41:53">
      <c r="AO817" s="39"/>
      <c r="AP817" s="70"/>
      <c r="AQ817" s="71"/>
      <c r="AR817" s="72"/>
      <c r="AU817" s="70"/>
      <c r="AV817" s="77"/>
      <c r="AW817" s="78"/>
      <c r="AX817" s="75"/>
      <c r="BA817" s="76"/>
    </row>
    <row r="818" spans="41:53">
      <c r="AO818" s="39"/>
      <c r="AP818" s="70"/>
      <c r="AQ818" s="71"/>
      <c r="AR818" s="72"/>
      <c r="AU818" s="70"/>
      <c r="AV818" s="77"/>
      <c r="AW818" s="78"/>
      <c r="AX818" s="75"/>
      <c r="BA818" s="76"/>
    </row>
    <row r="819" spans="41:53">
      <c r="AO819" s="39"/>
      <c r="AP819" s="70"/>
      <c r="AQ819" s="71"/>
      <c r="AR819" s="72"/>
      <c r="AU819" s="70"/>
      <c r="AV819" s="77"/>
      <c r="AW819" s="78"/>
      <c r="AX819" s="75"/>
      <c r="BA819" s="76"/>
    </row>
    <row r="820" spans="41:53">
      <c r="AO820" s="39"/>
      <c r="AP820" s="70"/>
      <c r="AQ820" s="71"/>
      <c r="AR820" s="72"/>
      <c r="AU820" s="70"/>
      <c r="AV820" s="77"/>
      <c r="AW820" s="78"/>
      <c r="AX820" s="75"/>
      <c r="BA820" s="76"/>
    </row>
    <row r="821" spans="41:53">
      <c r="AO821" s="39"/>
      <c r="AP821" s="70"/>
      <c r="AQ821" s="71"/>
      <c r="AR821" s="72"/>
      <c r="AU821" s="70"/>
      <c r="AV821" s="77"/>
      <c r="AW821" s="78"/>
      <c r="AX821" s="75"/>
      <c r="BA821" s="76"/>
    </row>
    <row r="822" spans="41:53">
      <c r="AO822" s="39"/>
      <c r="AP822" s="70"/>
      <c r="AQ822" s="71"/>
      <c r="AR822" s="72"/>
      <c r="AU822" s="70"/>
      <c r="AV822" s="77"/>
      <c r="AW822" s="78"/>
      <c r="AX822" s="75"/>
      <c r="BA822" s="76"/>
    </row>
    <row r="823" spans="41:53">
      <c r="AO823" s="39"/>
      <c r="AP823" s="70"/>
      <c r="AQ823" s="71"/>
      <c r="AR823" s="72"/>
      <c r="AU823" s="70"/>
      <c r="AV823" s="77"/>
      <c r="AW823" s="78"/>
      <c r="AX823" s="75"/>
      <c r="BA823" s="76"/>
    </row>
    <row r="824" spans="41:53">
      <c r="AO824" s="39"/>
      <c r="AP824" s="70"/>
      <c r="AQ824" s="71"/>
      <c r="AR824" s="72"/>
      <c r="AU824" s="70"/>
      <c r="AV824" s="77"/>
      <c r="AW824" s="78"/>
      <c r="AX824" s="75"/>
      <c r="BA824" s="76"/>
    </row>
    <row r="825" spans="41:53">
      <c r="AO825" s="39"/>
      <c r="AP825" s="70"/>
      <c r="AQ825" s="71"/>
      <c r="AR825" s="72"/>
      <c r="AU825" s="70"/>
      <c r="AV825" s="77"/>
      <c r="AW825" s="78"/>
      <c r="AX825" s="75"/>
      <c r="BA825" s="76"/>
    </row>
    <row r="826" spans="41:53">
      <c r="AO826" s="39"/>
      <c r="AP826" s="70"/>
      <c r="AQ826" s="71"/>
      <c r="AR826" s="72"/>
      <c r="AU826" s="70"/>
      <c r="AV826" s="77"/>
      <c r="AW826" s="78"/>
      <c r="AX826" s="75"/>
      <c r="BA826" s="76"/>
    </row>
    <row r="827" spans="41:53">
      <c r="AO827" s="39"/>
      <c r="AP827" s="70"/>
      <c r="AQ827" s="71"/>
      <c r="AR827" s="72"/>
      <c r="AU827" s="70"/>
      <c r="AV827" s="77"/>
      <c r="AW827" s="78"/>
      <c r="AX827" s="75"/>
      <c r="BA827" s="76"/>
    </row>
    <row r="828" spans="41:53">
      <c r="AO828" s="39"/>
      <c r="AP828" s="70"/>
      <c r="AQ828" s="71"/>
      <c r="AR828" s="72"/>
      <c r="AU828" s="70"/>
      <c r="AV828" s="77"/>
      <c r="AW828" s="78"/>
      <c r="AX828" s="75"/>
      <c r="BA828" s="76"/>
    </row>
    <row r="829" spans="41:53">
      <c r="AO829" s="39"/>
      <c r="AP829" s="70"/>
      <c r="AQ829" s="71"/>
      <c r="AR829" s="72"/>
      <c r="AU829" s="70"/>
      <c r="AV829" s="77"/>
      <c r="AW829" s="78"/>
      <c r="AX829" s="75"/>
      <c r="BA829" s="76"/>
    </row>
    <row r="830" spans="41:53">
      <c r="AO830" s="39"/>
      <c r="AP830" s="70"/>
      <c r="AQ830" s="71"/>
      <c r="AR830" s="72"/>
      <c r="AU830" s="70"/>
      <c r="AV830" s="77"/>
      <c r="AW830" s="78"/>
      <c r="AX830" s="75"/>
      <c r="BA830" s="76"/>
    </row>
    <row r="831" spans="41:53">
      <c r="AO831" s="39"/>
      <c r="AP831" s="70"/>
      <c r="AQ831" s="71"/>
      <c r="AR831" s="72"/>
      <c r="AU831" s="70"/>
      <c r="AV831" s="77"/>
      <c r="AW831" s="78"/>
      <c r="AX831" s="75"/>
      <c r="BA831" s="76"/>
    </row>
    <row r="832" spans="41:53">
      <c r="AO832" s="39"/>
      <c r="AP832" s="70"/>
      <c r="AQ832" s="71"/>
      <c r="AR832" s="72"/>
      <c r="AU832" s="70"/>
      <c r="AV832" s="77"/>
      <c r="AW832" s="78"/>
      <c r="AX832" s="75"/>
      <c r="BA832" s="76"/>
    </row>
    <row r="833" spans="41:53">
      <c r="AO833" s="39"/>
      <c r="AP833" s="70"/>
      <c r="AQ833" s="71"/>
      <c r="AR833" s="72"/>
      <c r="AU833" s="70"/>
      <c r="AV833" s="77"/>
      <c r="AW833" s="78"/>
      <c r="AX833" s="75"/>
      <c r="BA833" s="76"/>
    </row>
    <row r="834" spans="41:53">
      <c r="AO834" s="39"/>
      <c r="AP834" s="70"/>
      <c r="AQ834" s="71"/>
      <c r="AR834" s="72"/>
      <c r="AU834" s="70"/>
      <c r="AV834" s="77"/>
      <c r="AW834" s="78"/>
      <c r="AX834" s="75"/>
      <c r="BA834" s="76"/>
    </row>
    <row r="835" spans="41:53">
      <c r="AO835" s="39"/>
      <c r="AP835" s="70"/>
      <c r="AQ835" s="71"/>
      <c r="AR835" s="72"/>
      <c r="AU835" s="70"/>
      <c r="AV835" s="77"/>
      <c r="AW835" s="78"/>
      <c r="AX835" s="75"/>
      <c r="BA835" s="76"/>
    </row>
    <row r="836" spans="41:53">
      <c r="AO836" s="39"/>
      <c r="AP836" s="70"/>
      <c r="AQ836" s="71"/>
      <c r="AR836" s="72"/>
      <c r="AU836" s="70"/>
      <c r="AV836" s="77"/>
      <c r="AW836" s="78"/>
      <c r="AX836" s="75"/>
      <c r="BA836" s="76"/>
    </row>
    <row r="837" spans="41:53">
      <c r="AO837" s="39"/>
      <c r="AP837" s="70"/>
      <c r="AQ837" s="71"/>
      <c r="AR837" s="72"/>
      <c r="AU837" s="70"/>
      <c r="AV837" s="77"/>
      <c r="AW837" s="78"/>
      <c r="AX837" s="75"/>
      <c r="BA837" s="76"/>
    </row>
    <row r="838" spans="41:53">
      <c r="AO838" s="39"/>
      <c r="AP838" s="70"/>
      <c r="AQ838" s="71"/>
      <c r="AR838" s="72"/>
      <c r="AU838" s="70"/>
      <c r="AV838" s="77"/>
      <c r="AW838" s="78"/>
      <c r="AX838" s="75"/>
      <c r="BA838" s="76"/>
    </row>
    <row r="839" spans="41:53">
      <c r="AO839" s="39"/>
      <c r="AP839" s="70"/>
      <c r="AQ839" s="71"/>
      <c r="AR839" s="72"/>
      <c r="AU839" s="70"/>
      <c r="AV839" s="77"/>
      <c r="AW839" s="78"/>
      <c r="AX839" s="75"/>
      <c r="BA839" s="76"/>
    </row>
    <row r="840" spans="41:53">
      <c r="AO840" s="39"/>
      <c r="AP840" s="70"/>
      <c r="AQ840" s="71"/>
      <c r="AR840" s="72"/>
      <c r="AU840" s="70"/>
      <c r="AV840" s="77"/>
      <c r="AW840" s="78"/>
      <c r="AX840" s="75"/>
      <c r="BA840" s="76"/>
    </row>
    <row r="841" spans="41:53">
      <c r="AO841" s="39"/>
      <c r="AP841" s="70"/>
      <c r="AQ841" s="71"/>
      <c r="AR841" s="72"/>
      <c r="AU841" s="70"/>
      <c r="AV841" s="77"/>
      <c r="AW841" s="78"/>
      <c r="AX841" s="75"/>
      <c r="BA841" s="76"/>
    </row>
    <row r="842" spans="41:53">
      <c r="AO842" s="39"/>
      <c r="AP842" s="70"/>
      <c r="AQ842" s="71"/>
      <c r="AR842" s="72"/>
      <c r="AU842" s="70"/>
      <c r="AV842" s="77"/>
      <c r="AW842" s="78"/>
      <c r="AX842" s="75"/>
      <c r="BA842" s="76"/>
    </row>
    <row r="843" spans="41:53">
      <c r="AO843" s="39"/>
      <c r="AP843" s="70"/>
      <c r="AQ843" s="71"/>
      <c r="AR843" s="72"/>
      <c r="AU843" s="70"/>
      <c r="AV843" s="77"/>
      <c r="AW843" s="78"/>
      <c r="AX843" s="75"/>
      <c r="BA843" s="76"/>
    </row>
    <row r="844" spans="41:53">
      <c r="AO844" s="39"/>
      <c r="AP844" s="70"/>
      <c r="AQ844" s="71"/>
      <c r="AR844" s="72"/>
      <c r="AU844" s="70"/>
      <c r="AV844" s="77"/>
      <c r="AW844" s="78"/>
      <c r="AX844" s="75"/>
      <c r="BA844" s="76"/>
    </row>
    <row r="845" spans="41:53">
      <c r="AO845" s="39"/>
      <c r="AP845" s="70"/>
      <c r="AQ845" s="71"/>
      <c r="AR845" s="72"/>
      <c r="AU845" s="70"/>
      <c r="AV845" s="77"/>
      <c r="AW845" s="78"/>
      <c r="AX845" s="75"/>
      <c r="BA845" s="76"/>
    </row>
    <row r="846" spans="41:53">
      <c r="AO846" s="39"/>
      <c r="AP846" s="70"/>
      <c r="AQ846" s="71"/>
      <c r="AR846" s="72"/>
      <c r="AU846" s="70"/>
      <c r="AV846" s="77"/>
      <c r="AW846" s="78"/>
      <c r="AX846" s="75"/>
      <c r="BA846" s="76"/>
    </row>
    <row r="847" spans="41:53">
      <c r="AO847" s="39"/>
      <c r="AP847" s="70"/>
      <c r="AQ847" s="71"/>
      <c r="AR847" s="72"/>
      <c r="AU847" s="70"/>
      <c r="AV847" s="77"/>
      <c r="AW847" s="78"/>
      <c r="AX847" s="75"/>
      <c r="BA847" s="76"/>
    </row>
    <row r="848" spans="41:53">
      <c r="AO848" s="39"/>
      <c r="AP848" s="70"/>
      <c r="AQ848" s="71"/>
      <c r="AR848" s="72"/>
      <c r="AU848" s="70"/>
      <c r="AV848" s="77"/>
      <c r="AW848" s="78"/>
      <c r="AX848" s="75"/>
      <c r="BA848" s="76"/>
    </row>
    <row r="849" spans="41:53">
      <c r="AO849" s="39"/>
      <c r="AP849" s="70"/>
      <c r="AQ849" s="71"/>
      <c r="AR849" s="72"/>
      <c r="AU849" s="70"/>
      <c r="AV849" s="77"/>
      <c r="AW849" s="78"/>
      <c r="AX849" s="75"/>
      <c r="BA849" s="76"/>
    </row>
    <row r="850" spans="41:53">
      <c r="AO850" s="39"/>
      <c r="AP850" s="70"/>
      <c r="AQ850" s="71"/>
      <c r="AR850" s="72"/>
      <c r="AU850" s="70"/>
      <c r="AV850" s="77"/>
      <c r="AW850" s="78"/>
      <c r="AX850" s="75"/>
      <c r="BA850" s="76"/>
    </row>
    <row r="851" spans="41:53">
      <c r="AO851" s="39"/>
      <c r="AP851" s="70"/>
      <c r="AQ851" s="71"/>
      <c r="AR851" s="72"/>
      <c r="AU851" s="70"/>
      <c r="AV851" s="77"/>
      <c r="AW851" s="78"/>
      <c r="AX851" s="75"/>
      <c r="BA851" s="76"/>
    </row>
    <row r="852" spans="41:53">
      <c r="AO852" s="39"/>
      <c r="AP852" s="70"/>
      <c r="AQ852" s="71"/>
      <c r="AR852" s="72"/>
      <c r="AU852" s="70"/>
      <c r="AV852" s="77"/>
      <c r="AW852" s="78"/>
      <c r="AX852" s="75"/>
      <c r="BA852" s="76"/>
    </row>
    <row r="853" spans="41:53">
      <c r="AO853" s="39"/>
      <c r="AP853" s="70"/>
      <c r="AQ853" s="71"/>
      <c r="AR853" s="72"/>
      <c r="AU853" s="70"/>
      <c r="AV853" s="77"/>
      <c r="AW853" s="78"/>
      <c r="AX853" s="75"/>
      <c r="BA853" s="76"/>
    </row>
    <row r="854" spans="41:53">
      <c r="AO854" s="39"/>
      <c r="AP854" s="70"/>
      <c r="AQ854" s="71"/>
      <c r="AR854" s="72"/>
      <c r="AU854" s="70"/>
      <c r="AV854" s="77"/>
      <c r="AW854" s="78"/>
      <c r="AX854" s="75"/>
      <c r="BA854" s="76"/>
    </row>
    <row r="855" spans="41:53">
      <c r="AO855" s="39"/>
      <c r="AP855" s="70"/>
      <c r="AQ855" s="71"/>
      <c r="AR855" s="72"/>
      <c r="AU855" s="70"/>
      <c r="AV855" s="77"/>
      <c r="AW855" s="78"/>
      <c r="AX855" s="75"/>
      <c r="BA855" s="76"/>
    </row>
    <row r="856" spans="41:53">
      <c r="AO856" s="39"/>
      <c r="AP856" s="70"/>
      <c r="AQ856" s="71"/>
      <c r="AR856" s="72"/>
      <c r="AU856" s="70"/>
      <c r="AV856" s="77"/>
      <c r="AW856" s="78"/>
      <c r="AX856" s="75"/>
      <c r="BA856" s="76"/>
    </row>
    <row r="857" spans="41:53">
      <c r="AO857" s="39"/>
      <c r="AP857" s="70"/>
      <c r="AQ857" s="71"/>
      <c r="AR857" s="72"/>
      <c r="AU857" s="70"/>
      <c r="AV857" s="77"/>
      <c r="AW857" s="78"/>
      <c r="AX857" s="75"/>
      <c r="BA857" s="76"/>
    </row>
    <row r="858" spans="41:53">
      <c r="AO858" s="39"/>
      <c r="AP858" s="70"/>
      <c r="AQ858" s="71"/>
      <c r="AR858" s="72"/>
      <c r="AU858" s="70"/>
      <c r="AV858" s="77"/>
      <c r="AW858" s="78"/>
      <c r="AX858" s="75"/>
      <c r="BA858" s="76"/>
    </row>
    <row r="859" spans="41:53">
      <c r="AO859" s="39"/>
      <c r="AP859" s="70"/>
      <c r="AQ859" s="71"/>
      <c r="AR859" s="72"/>
      <c r="AU859" s="70"/>
      <c r="AV859" s="77"/>
      <c r="AW859" s="78"/>
      <c r="AX859" s="75"/>
      <c r="BA859" s="76"/>
    </row>
    <row r="860" spans="41:53">
      <c r="AO860" s="39"/>
      <c r="AP860" s="70"/>
      <c r="AQ860" s="71"/>
      <c r="AR860" s="72"/>
      <c r="AU860" s="70"/>
      <c r="AV860" s="77"/>
      <c r="AW860" s="78"/>
      <c r="AX860" s="75"/>
      <c r="BA860" s="76"/>
    </row>
    <row r="861" spans="41:53">
      <c r="AO861" s="39"/>
      <c r="AP861" s="70"/>
      <c r="AQ861" s="71"/>
      <c r="AR861" s="72"/>
      <c r="AU861" s="70"/>
      <c r="AV861" s="77"/>
      <c r="AW861" s="78"/>
      <c r="AX861" s="75"/>
      <c r="BA861" s="76"/>
    </row>
    <row r="862" spans="41:53">
      <c r="AO862" s="39"/>
      <c r="AP862" s="70"/>
      <c r="AQ862" s="71"/>
      <c r="AR862" s="72"/>
      <c r="AU862" s="70"/>
      <c r="AV862" s="77"/>
      <c r="AW862" s="78"/>
      <c r="AX862" s="75"/>
      <c r="BA862" s="76"/>
    </row>
    <row r="863" spans="41:53">
      <c r="AO863" s="39"/>
      <c r="AP863" s="70"/>
      <c r="AQ863" s="71"/>
      <c r="AR863" s="72"/>
      <c r="AU863" s="70"/>
      <c r="AV863" s="77"/>
      <c r="AW863" s="78"/>
      <c r="AX863" s="75"/>
      <c r="BA863" s="76"/>
    </row>
    <row r="864" spans="41:53">
      <c r="AO864" s="39"/>
      <c r="AP864" s="70"/>
      <c r="AQ864" s="71"/>
      <c r="AR864" s="72"/>
      <c r="AU864" s="70"/>
      <c r="AV864" s="77"/>
      <c r="AW864" s="78"/>
      <c r="AX864" s="75"/>
      <c r="BA864" s="76"/>
    </row>
    <row r="865" spans="41:53">
      <c r="AO865" s="39"/>
      <c r="AP865" s="70"/>
      <c r="AQ865" s="71"/>
      <c r="AR865" s="72"/>
      <c r="AU865" s="70"/>
      <c r="AV865" s="77"/>
      <c r="AW865" s="78"/>
      <c r="AX865" s="75"/>
      <c r="BA865" s="76"/>
    </row>
    <row r="866" spans="41:53">
      <c r="AO866" s="39"/>
      <c r="AP866" s="70"/>
      <c r="AQ866" s="71"/>
      <c r="AR866" s="72"/>
      <c r="AU866" s="70"/>
      <c r="AV866" s="77"/>
      <c r="AW866" s="78"/>
      <c r="AX866" s="75"/>
      <c r="BA866" s="76"/>
    </row>
    <row r="867" spans="41:53">
      <c r="AO867" s="39"/>
      <c r="AP867" s="70"/>
      <c r="AQ867" s="71"/>
      <c r="AR867" s="72"/>
      <c r="AU867" s="70"/>
      <c r="AV867" s="77"/>
      <c r="AW867" s="78"/>
      <c r="AX867" s="75"/>
      <c r="BA867" s="76"/>
    </row>
    <row r="868" spans="41:53">
      <c r="AO868" s="39"/>
      <c r="AP868" s="70"/>
      <c r="AQ868" s="71"/>
      <c r="AR868" s="72"/>
      <c r="AU868" s="70"/>
      <c r="AV868" s="77"/>
      <c r="AW868" s="78"/>
      <c r="AX868" s="75"/>
      <c r="BA868" s="76"/>
    </row>
    <row r="869" spans="41:53">
      <c r="AO869" s="39"/>
      <c r="AP869" s="70"/>
      <c r="AQ869" s="71"/>
      <c r="AR869" s="72"/>
      <c r="AU869" s="70"/>
      <c r="AV869" s="77"/>
      <c r="AW869" s="78"/>
      <c r="AX869" s="75"/>
      <c r="BA869" s="76"/>
    </row>
    <row r="870" spans="41:53">
      <c r="AO870" s="39"/>
      <c r="AP870" s="70"/>
      <c r="AQ870" s="71"/>
      <c r="AR870" s="72"/>
      <c r="AU870" s="70"/>
      <c r="AV870" s="77"/>
      <c r="AW870" s="78"/>
      <c r="AX870" s="75"/>
      <c r="BA870" s="76"/>
    </row>
    <row r="871" spans="41:53">
      <c r="AO871" s="39"/>
      <c r="AP871" s="70"/>
      <c r="AQ871" s="71"/>
      <c r="AR871" s="72"/>
      <c r="AU871" s="70"/>
      <c r="AV871" s="77"/>
      <c r="AW871" s="78"/>
      <c r="AX871" s="75"/>
      <c r="BA871" s="76"/>
    </row>
    <row r="872" spans="41:53">
      <c r="AO872" s="39"/>
      <c r="AP872" s="70"/>
      <c r="AQ872" s="71"/>
      <c r="AR872" s="72"/>
      <c r="AU872" s="70"/>
      <c r="AV872" s="77"/>
      <c r="AW872" s="78"/>
      <c r="AX872" s="75"/>
      <c r="BA872" s="76"/>
    </row>
    <row r="873" spans="41:53">
      <c r="AO873" s="39"/>
      <c r="AP873" s="70"/>
      <c r="AQ873" s="71"/>
      <c r="AR873" s="72"/>
      <c r="AU873" s="70"/>
      <c r="AV873" s="77"/>
      <c r="AW873" s="78"/>
      <c r="AX873" s="75"/>
      <c r="BA873" s="76"/>
    </row>
    <row r="874" spans="41:53">
      <c r="AO874" s="39"/>
      <c r="AP874" s="70"/>
      <c r="AQ874" s="71"/>
      <c r="AR874" s="72"/>
      <c r="AU874" s="70"/>
      <c r="AV874" s="77"/>
      <c r="AW874" s="78"/>
      <c r="AX874" s="75"/>
      <c r="BA874" s="76"/>
    </row>
    <row r="875" spans="41:53">
      <c r="AO875" s="39"/>
      <c r="AP875" s="70"/>
      <c r="AQ875" s="71"/>
      <c r="AR875" s="72"/>
      <c r="AU875" s="70"/>
      <c r="AV875" s="77"/>
      <c r="AW875" s="78"/>
      <c r="AX875" s="75"/>
      <c r="BA875" s="76"/>
    </row>
    <row r="876" spans="41:53">
      <c r="AO876" s="39"/>
      <c r="AP876" s="70"/>
      <c r="AQ876" s="71"/>
      <c r="AR876" s="72"/>
      <c r="AU876" s="70"/>
      <c r="AV876" s="77"/>
      <c r="AW876" s="78"/>
      <c r="AX876" s="75"/>
      <c r="BA876" s="76"/>
    </row>
    <row r="877" spans="41:53">
      <c r="AO877" s="39"/>
      <c r="AP877" s="70"/>
      <c r="AQ877" s="71"/>
      <c r="AR877" s="72"/>
      <c r="AU877" s="70"/>
      <c r="AV877" s="77"/>
      <c r="AW877" s="78"/>
      <c r="AX877" s="75"/>
      <c r="BA877" s="76"/>
    </row>
    <row r="878" spans="41:53">
      <c r="AO878" s="39"/>
      <c r="AP878" s="70"/>
      <c r="AQ878" s="71"/>
      <c r="AR878" s="72"/>
      <c r="AU878" s="70"/>
      <c r="AV878" s="77"/>
      <c r="AW878" s="78"/>
      <c r="AX878" s="75"/>
      <c r="BA878" s="76"/>
    </row>
    <row r="879" spans="41:53">
      <c r="AO879" s="39"/>
      <c r="AP879" s="70"/>
      <c r="AQ879" s="71"/>
      <c r="AR879" s="72"/>
      <c r="AU879" s="70"/>
      <c r="AV879" s="77"/>
      <c r="AW879" s="78"/>
      <c r="AX879" s="75"/>
      <c r="BA879" s="76"/>
    </row>
    <row r="880" spans="41:53">
      <c r="AO880" s="39"/>
      <c r="AP880" s="70"/>
      <c r="AQ880" s="71"/>
      <c r="AR880" s="72"/>
      <c r="AU880" s="70"/>
      <c r="AV880" s="77"/>
      <c r="AW880" s="78"/>
      <c r="AX880" s="75"/>
      <c r="BA880" s="76"/>
    </row>
    <row r="881" spans="41:53">
      <c r="AO881" s="39"/>
      <c r="AP881" s="70"/>
      <c r="AQ881" s="71"/>
      <c r="AR881" s="72"/>
      <c r="AU881" s="70"/>
      <c r="AV881" s="77"/>
      <c r="AW881" s="78"/>
      <c r="AX881" s="75"/>
      <c r="BA881" s="76"/>
    </row>
    <row r="882" spans="41:53">
      <c r="AO882" s="39"/>
      <c r="AP882" s="70"/>
      <c r="AQ882" s="71"/>
      <c r="AR882" s="72"/>
      <c r="AU882" s="70"/>
      <c r="AV882" s="77"/>
      <c r="AW882" s="78"/>
      <c r="AX882" s="75"/>
      <c r="BA882" s="76"/>
    </row>
    <row r="883" spans="41:53">
      <c r="AO883" s="39"/>
      <c r="AP883" s="70"/>
      <c r="AQ883" s="71"/>
      <c r="AR883" s="72"/>
      <c r="AU883" s="70"/>
      <c r="AV883" s="77"/>
      <c r="AW883" s="78"/>
      <c r="AX883" s="75"/>
      <c r="BA883" s="76"/>
    </row>
    <row r="884" spans="41:53">
      <c r="AO884" s="39"/>
      <c r="AP884" s="70"/>
      <c r="AQ884" s="71"/>
      <c r="AR884" s="72"/>
      <c r="AU884" s="70"/>
      <c r="AV884" s="77"/>
      <c r="AW884" s="78"/>
      <c r="AX884" s="75"/>
      <c r="BA884" s="76"/>
    </row>
    <row r="885" spans="41:53">
      <c r="AO885" s="39"/>
      <c r="AP885" s="70"/>
      <c r="AQ885" s="71"/>
      <c r="AR885" s="72"/>
      <c r="AU885" s="70"/>
      <c r="AV885" s="77"/>
      <c r="AW885" s="78"/>
      <c r="AX885" s="75"/>
      <c r="BA885" s="76"/>
    </row>
    <row r="886" spans="41:53">
      <c r="AO886" s="39"/>
      <c r="AP886" s="70"/>
      <c r="AQ886" s="71"/>
      <c r="AR886" s="72"/>
      <c r="AU886" s="70"/>
      <c r="AV886" s="77"/>
      <c r="AW886" s="78"/>
      <c r="AX886" s="75"/>
      <c r="BA886" s="76"/>
    </row>
    <row r="887" spans="41:53">
      <c r="AO887" s="39"/>
      <c r="AP887" s="70"/>
      <c r="AQ887" s="71"/>
      <c r="AR887" s="72"/>
      <c r="AU887" s="70"/>
      <c r="AV887" s="77"/>
      <c r="AW887" s="78"/>
      <c r="AX887" s="75"/>
      <c r="BA887" s="76"/>
    </row>
    <row r="888" spans="41:53">
      <c r="AO888" s="39"/>
      <c r="AP888" s="70"/>
      <c r="AQ888" s="71"/>
      <c r="AR888" s="72"/>
      <c r="AU888" s="70"/>
      <c r="AV888" s="77"/>
      <c r="AW888" s="78"/>
      <c r="AX888" s="75"/>
      <c r="BA888" s="76"/>
    </row>
    <row r="889" spans="41:53">
      <c r="AO889" s="39"/>
      <c r="AP889" s="70"/>
      <c r="AQ889" s="71"/>
      <c r="AR889" s="72"/>
      <c r="AU889" s="70"/>
      <c r="AV889" s="77"/>
      <c r="AW889" s="78"/>
      <c r="AX889" s="75"/>
      <c r="BA889" s="76"/>
    </row>
    <row r="890" spans="41:53">
      <c r="AO890" s="39"/>
      <c r="AP890" s="70"/>
      <c r="AQ890" s="71"/>
      <c r="AR890" s="72"/>
      <c r="AU890" s="70"/>
      <c r="AV890" s="77"/>
      <c r="AW890" s="78"/>
      <c r="AX890" s="75"/>
      <c r="BA890" s="76"/>
    </row>
    <row r="891" spans="41:53">
      <c r="AO891" s="39"/>
      <c r="AP891" s="70"/>
      <c r="AQ891" s="71"/>
      <c r="AR891" s="72"/>
      <c r="AU891" s="70"/>
      <c r="AV891" s="77"/>
      <c r="AW891" s="78"/>
      <c r="AX891" s="75"/>
      <c r="BA891" s="76"/>
    </row>
    <row r="892" spans="41:53">
      <c r="AO892" s="39"/>
      <c r="AP892" s="70"/>
      <c r="AQ892" s="71"/>
      <c r="AR892" s="72"/>
      <c r="AU892" s="70"/>
      <c r="AV892" s="77"/>
      <c r="AW892" s="78"/>
      <c r="AX892" s="75"/>
      <c r="BA892" s="76"/>
    </row>
    <row r="893" spans="41:53">
      <c r="AO893" s="39"/>
      <c r="AP893" s="70"/>
      <c r="AQ893" s="71"/>
      <c r="AR893" s="72"/>
      <c r="AU893" s="70"/>
      <c r="AV893" s="77"/>
      <c r="AW893" s="78"/>
      <c r="AX893" s="75"/>
      <c r="BA893" s="76"/>
    </row>
    <row r="894" spans="41:53">
      <c r="AO894" s="39"/>
      <c r="AP894" s="70"/>
      <c r="AQ894" s="71"/>
      <c r="AR894" s="72"/>
      <c r="AU894" s="70"/>
      <c r="AV894" s="77"/>
      <c r="AW894" s="78"/>
      <c r="AX894" s="75"/>
      <c r="BA894" s="76"/>
    </row>
    <row r="895" spans="41:53">
      <c r="AO895" s="39"/>
      <c r="AP895" s="70"/>
      <c r="AQ895" s="71"/>
      <c r="AR895" s="72"/>
      <c r="AU895" s="70"/>
      <c r="AV895" s="77"/>
      <c r="AW895" s="78"/>
      <c r="AX895" s="75"/>
      <c r="BA895" s="76"/>
    </row>
    <row r="896" spans="41:53">
      <c r="AO896" s="39"/>
      <c r="AP896" s="70"/>
      <c r="AQ896" s="71"/>
      <c r="AR896" s="72"/>
      <c r="AU896" s="70"/>
      <c r="AV896" s="77"/>
      <c r="AW896" s="78"/>
      <c r="AX896" s="75"/>
      <c r="BA896" s="76"/>
    </row>
    <row r="897" spans="41:53">
      <c r="AO897" s="39"/>
      <c r="AP897" s="70"/>
      <c r="AQ897" s="71"/>
      <c r="AR897" s="72"/>
      <c r="AU897" s="70"/>
      <c r="AV897" s="77"/>
      <c r="AW897" s="78"/>
      <c r="AX897" s="75"/>
      <c r="BA897" s="76"/>
    </row>
    <row r="898" spans="41:53">
      <c r="AO898" s="39"/>
      <c r="AP898" s="70"/>
      <c r="AQ898" s="71"/>
      <c r="AR898" s="72"/>
      <c r="AU898" s="70"/>
      <c r="AV898" s="77"/>
      <c r="AW898" s="78"/>
      <c r="AX898" s="75"/>
      <c r="BA898" s="76"/>
    </row>
    <row r="899" spans="41:53">
      <c r="AO899" s="39"/>
      <c r="AP899" s="70"/>
      <c r="AQ899" s="71"/>
      <c r="AR899" s="72"/>
      <c r="AU899" s="70"/>
      <c r="AV899" s="77"/>
      <c r="AW899" s="78"/>
      <c r="AX899" s="75"/>
      <c r="BA899" s="76"/>
    </row>
    <row r="900" spans="41:53">
      <c r="AO900" s="39"/>
      <c r="AP900" s="70"/>
      <c r="AQ900" s="71"/>
      <c r="AR900" s="72"/>
      <c r="AU900" s="70"/>
      <c r="AV900" s="77"/>
      <c r="AW900" s="78"/>
      <c r="AX900" s="75"/>
      <c r="BA900" s="76"/>
    </row>
    <row r="901" spans="41:53">
      <c r="AO901" s="39"/>
      <c r="AP901" s="70"/>
      <c r="AQ901" s="71"/>
      <c r="AR901" s="72"/>
      <c r="AU901" s="70"/>
      <c r="AV901" s="77"/>
      <c r="AW901" s="78"/>
      <c r="AX901" s="75"/>
      <c r="BA901" s="76"/>
    </row>
    <row r="902" spans="41:53">
      <c r="AO902" s="39"/>
      <c r="AP902" s="70"/>
      <c r="AQ902" s="71"/>
      <c r="AR902" s="72"/>
      <c r="AU902" s="70"/>
      <c r="AV902" s="77"/>
      <c r="AW902" s="78"/>
      <c r="AX902" s="75"/>
      <c r="BA902" s="76"/>
    </row>
    <row r="903" spans="41:53">
      <c r="AO903" s="39"/>
      <c r="AP903" s="70"/>
      <c r="AQ903" s="71"/>
      <c r="AR903" s="72"/>
      <c r="AU903" s="70"/>
      <c r="AV903" s="77"/>
      <c r="AW903" s="78"/>
      <c r="AX903" s="75"/>
      <c r="BA903" s="76"/>
    </row>
    <row r="904" spans="41:53">
      <c r="AO904" s="39"/>
      <c r="AP904" s="70"/>
      <c r="AQ904" s="71"/>
      <c r="AR904" s="72"/>
      <c r="AU904" s="70"/>
      <c r="AV904" s="77"/>
      <c r="AW904" s="78"/>
      <c r="AX904" s="75"/>
      <c r="BA904" s="76"/>
    </row>
    <row r="905" spans="41:53">
      <c r="AO905" s="39"/>
      <c r="AP905" s="70"/>
      <c r="AQ905" s="71"/>
      <c r="AR905" s="72"/>
      <c r="AU905" s="70"/>
      <c r="AV905" s="77"/>
      <c r="AW905" s="78"/>
      <c r="AX905" s="75"/>
      <c r="BA905" s="76"/>
    </row>
    <row r="906" spans="41:53">
      <c r="AO906" s="39"/>
      <c r="AP906" s="70"/>
      <c r="AQ906" s="71"/>
      <c r="AR906" s="72"/>
      <c r="AU906" s="70"/>
      <c r="AV906" s="77"/>
      <c r="AW906" s="78"/>
      <c r="AX906" s="75"/>
      <c r="BA906" s="76"/>
    </row>
    <row r="907" spans="41:53">
      <c r="AO907" s="39"/>
      <c r="AP907" s="70"/>
      <c r="AQ907" s="71"/>
      <c r="AR907" s="72"/>
      <c r="AU907" s="70"/>
      <c r="AV907" s="77"/>
      <c r="AW907" s="78"/>
      <c r="AX907" s="75"/>
      <c r="BA907" s="76"/>
    </row>
    <row r="908" spans="41:53">
      <c r="AO908" s="39"/>
      <c r="AP908" s="70"/>
      <c r="AQ908" s="71"/>
      <c r="AR908" s="72"/>
      <c r="AU908" s="70"/>
      <c r="AV908" s="77"/>
      <c r="AW908" s="78"/>
      <c r="AX908" s="75"/>
      <c r="BA908" s="76"/>
    </row>
    <row r="909" spans="41:53">
      <c r="AO909" s="39"/>
      <c r="AP909" s="70"/>
      <c r="AQ909" s="71"/>
      <c r="AR909" s="72"/>
      <c r="AU909" s="70"/>
      <c r="AV909" s="77"/>
      <c r="AW909" s="78"/>
      <c r="AX909" s="75"/>
      <c r="BA909" s="76"/>
    </row>
    <row r="910" spans="41:53">
      <c r="AO910" s="39"/>
      <c r="AP910" s="70"/>
      <c r="AQ910" s="71"/>
      <c r="AR910" s="72"/>
      <c r="AU910" s="70"/>
      <c r="AV910" s="77"/>
      <c r="AW910" s="78"/>
      <c r="AX910" s="75"/>
      <c r="BA910" s="76"/>
    </row>
    <row r="911" spans="41:53">
      <c r="AO911" s="39"/>
      <c r="AP911" s="70"/>
      <c r="AQ911" s="71"/>
      <c r="AR911" s="72"/>
      <c r="AU911" s="70"/>
      <c r="AV911" s="77"/>
      <c r="AW911" s="78"/>
      <c r="AX911" s="75"/>
      <c r="BA911" s="76"/>
    </row>
    <row r="912" spans="41:53">
      <c r="AO912" s="39"/>
      <c r="AP912" s="70"/>
      <c r="AQ912" s="71"/>
      <c r="AR912" s="72"/>
      <c r="AU912" s="70"/>
      <c r="AV912" s="77"/>
      <c r="AW912" s="78"/>
      <c r="AX912" s="75"/>
      <c r="BA912" s="76"/>
    </row>
    <row r="913" spans="41:53">
      <c r="AO913" s="39"/>
      <c r="AP913" s="70"/>
      <c r="AQ913" s="71"/>
      <c r="AR913" s="72"/>
      <c r="AU913" s="70"/>
      <c r="AV913" s="77"/>
      <c r="AW913" s="78"/>
      <c r="AX913" s="75"/>
      <c r="BA913" s="76"/>
    </row>
    <row r="914" spans="41:53">
      <c r="AO914" s="39"/>
      <c r="AP914" s="70"/>
      <c r="AQ914" s="71"/>
      <c r="AR914" s="72"/>
      <c r="AU914" s="70"/>
      <c r="AV914" s="77"/>
      <c r="AW914" s="78"/>
      <c r="AX914" s="75"/>
      <c r="BA914" s="76"/>
    </row>
    <row r="915" spans="41:53">
      <c r="AO915" s="39"/>
      <c r="AP915" s="70"/>
      <c r="AQ915" s="71"/>
      <c r="AR915" s="72"/>
      <c r="AU915" s="70"/>
      <c r="AV915" s="77"/>
      <c r="AW915" s="78"/>
      <c r="AX915" s="75"/>
      <c r="BA915" s="76"/>
    </row>
    <row r="916" spans="41:53">
      <c r="AO916" s="39"/>
      <c r="AP916" s="70"/>
      <c r="AQ916" s="71"/>
      <c r="AR916" s="72"/>
      <c r="AU916" s="70"/>
      <c r="AV916" s="77"/>
      <c r="AW916" s="78"/>
      <c r="AX916" s="75"/>
      <c r="BA916" s="76"/>
    </row>
    <row r="917" spans="41:53">
      <c r="AO917" s="39"/>
      <c r="AP917" s="70"/>
      <c r="AQ917" s="71"/>
      <c r="AR917" s="72"/>
      <c r="AU917" s="70"/>
      <c r="AV917" s="77"/>
      <c r="AW917" s="78"/>
      <c r="AX917" s="75"/>
      <c r="BA917" s="76"/>
    </row>
    <row r="918" spans="41:53">
      <c r="AO918" s="39"/>
      <c r="AP918" s="70"/>
      <c r="AQ918" s="71"/>
      <c r="AR918" s="72"/>
      <c r="AU918" s="70"/>
      <c r="AV918" s="77"/>
      <c r="AW918" s="78"/>
      <c r="AX918" s="75"/>
      <c r="BA918" s="76"/>
    </row>
    <row r="919" spans="41:53">
      <c r="AO919" s="39"/>
      <c r="AP919" s="70"/>
      <c r="AQ919" s="71"/>
      <c r="AR919" s="72"/>
      <c r="AU919" s="70"/>
      <c r="AV919" s="77"/>
      <c r="AW919" s="78"/>
      <c r="AX919" s="75"/>
      <c r="BA919" s="76"/>
    </row>
    <row r="920" spans="41:53">
      <c r="AO920" s="39"/>
      <c r="AP920" s="70"/>
      <c r="AQ920" s="71"/>
      <c r="AR920" s="72"/>
      <c r="AU920" s="70"/>
      <c r="AV920" s="77"/>
      <c r="AW920" s="78"/>
      <c r="AX920" s="75"/>
      <c r="BA920" s="76"/>
    </row>
    <row r="921" spans="41:53">
      <c r="AO921" s="39"/>
      <c r="AP921" s="70"/>
      <c r="AQ921" s="71"/>
      <c r="AR921" s="72"/>
      <c r="AU921" s="70"/>
      <c r="AV921" s="77"/>
      <c r="AW921" s="78"/>
      <c r="AX921" s="75"/>
      <c r="BA921" s="76"/>
    </row>
    <row r="922" spans="41:53">
      <c r="AO922" s="39"/>
      <c r="AP922" s="70"/>
      <c r="AQ922" s="71"/>
      <c r="AR922" s="72"/>
      <c r="AU922" s="70"/>
      <c r="AV922" s="77"/>
      <c r="AW922" s="78"/>
      <c r="AX922" s="75"/>
      <c r="BA922" s="76"/>
    </row>
    <row r="923" spans="41:53">
      <c r="AO923" s="39"/>
      <c r="AP923" s="70"/>
      <c r="AQ923" s="71"/>
      <c r="AR923" s="72"/>
      <c r="AU923" s="70"/>
      <c r="AV923" s="77"/>
      <c r="AW923" s="78"/>
      <c r="AX923" s="75"/>
      <c r="BA923" s="76"/>
    </row>
    <row r="924" spans="41:53">
      <c r="AO924" s="39"/>
      <c r="AP924" s="70"/>
      <c r="AQ924" s="71"/>
      <c r="AR924" s="72"/>
      <c r="AU924" s="70"/>
      <c r="AV924" s="77"/>
      <c r="AW924" s="78"/>
      <c r="AX924" s="75"/>
      <c r="BA924" s="76"/>
    </row>
    <row r="925" spans="41:53">
      <c r="AO925" s="39"/>
      <c r="AP925" s="70"/>
      <c r="AQ925" s="71"/>
      <c r="AR925" s="72"/>
      <c r="AU925" s="70"/>
      <c r="AV925" s="77"/>
      <c r="AW925" s="78"/>
      <c r="AX925" s="75"/>
      <c r="BA925" s="76"/>
    </row>
    <row r="926" spans="41:53">
      <c r="AO926" s="39"/>
      <c r="AP926" s="70"/>
      <c r="AQ926" s="71"/>
      <c r="AR926" s="72"/>
      <c r="AU926" s="70"/>
      <c r="AV926" s="77"/>
      <c r="AW926" s="78"/>
      <c r="AX926" s="75"/>
      <c r="BA926" s="76"/>
    </row>
    <row r="927" spans="41:53">
      <c r="AO927" s="39"/>
      <c r="AP927" s="70"/>
      <c r="AQ927" s="71"/>
      <c r="AR927" s="72"/>
      <c r="AU927" s="70"/>
      <c r="AV927" s="77"/>
      <c r="AW927" s="78"/>
      <c r="AX927" s="75"/>
      <c r="BA927" s="76"/>
    </row>
    <row r="928" spans="41:53">
      <c r="AO928" s="39"/>
      <c r="AP928" s="70"/>
      <c r="AQ928" s="71"/>
      <c r="AR928" s="72"/>
      <c r="AU928" s="70"/>
      <c r="AV928" s="77"/>
      <c r="AW928" s="78"/>
      <c r="AX928" s="75"/>
      <c r="BA928" s="76"/>
    </row>
    <row r="929" spans="41:53">
      <c r="AO929" s="39"/>
      <c r="AP929" s="70"/>
      <c r="AQ929" s="71"/>
      <c r="AR929" s="72"/>
      <c r="AU929" s="70"/>
      <c r="AV929" s="77"/>
      <c r="AW929" s="78"/>
      <c r="AX929" s="75"/>
      <c r="BA929" s="76"/>
    </row>
    <row r="930" spans="41:53">
      <c r="AO930" s="39"/>
      <c r="AP930" s="70"/>
      <c r="AQ930" s="71"/>
      <c r="AR930" s="72"/>
      <c r="AU930" s="70"/>
      <c r="AV930" s="77"/>
      <c r="AW930" s="78"/>
      <c r="AX930" s="75"/>
      <c r="BA930" s="76"/>
    </row>
    <row r="931" spans="41:53">
      <c r="AO931" s="39"/>
      <c r="AP931" s="70"/>
      <c r="AQ931" s="71"/>
      <c r="AR931" s="72"/>
      <c r="AU931" s="70"/>
      <c r="AV931" s="77"/>
      <c r="AW931" s="78"/>
      <c r="AX931" s="75"/>
      <c r="BA931" s="76"/>
    </row>
    <row r="932" spans="41:53">
      <c r="AO932" s="39"/>
      <c r="AP932" s="70"/>
      <c r="AQ932" s="71"/>
      <c r="AR932" s="72"/>
      <c r="AU932" s="70"/>
      <c r="AV932" s="77"/>
      <c r="AW932" s="78"/>
      <c r="AX932" s="75"/>
      <c r="BA932" s="76"/>
    </row>
    <row r="933" spans="41:53">
      <c r="AO933" s="39"/>
      <c r="AP933" s="70"/>
      <c r="AQ933" s="71"/>
      <c r="AR933" s="72"/>
      <c r="AU933" s="70"/>
      <c r="AV933" s="77"/>
      <c r="AW933" s="78"/>
      <c r="AX933" s="75"/>
      <c r="BA933" s="76"/>
    </row>
    <row r="934" spans="41:53">
      <c r="AO934" s="39"/>
      <c r="AP934" s="70"/>
      <c r="AQ934" s="71"/>
      <c r="AR934" s="72"/>
      <c r="AU934" s="70"/>
      <c r="AV934" s="77"/>
      <c r="AW934" s="78"/>
      <c r="AX934" s="75"/>
      <c r="BA934" s="76"/>
    </row>
    <row r="935" spans="41:53">
      <c r="AO935" s="39"/>
      <c r="AP935" s="70"/>
      <c r="AQ935" s="71"/>
      <c r="AR935" s="72"/>
      <c r="AU935" s="70"/>
      <c r="AV935" s="77"/>
      <c r="AW935" s="78"/>
      <c r="AX935" s="75"/>
      <c r="BA935" s="76"/>
    </row>
    <row r="936" spans="41:53">
      <c r="AO936" s="39"/>
      <c r="AP936" s="70"/>
      <c r="AQ936" s="71"/>
      <c r="AR936" s="72"/>
      <c r="AU936" s="70"/>
      <c r="AV936" s="77"/>
      <c r="AW936" s="78"/>
      <c r="AX936" s="75"/>
      <c r="BA936" s="76"/>
    </row>
    <row r="937" spans="41:53">
      <c r="AO937" s="39"/>
      <c r="AP937" s="70"/>
      <c r="AQ937" s="71"/>
      <c r="AR937" s="72"/>
      <c r="AU937" s="70"/>
      <c r="AV937" s="77"/>
      <c r="AW937" s="78"/>
      <c r="AX937" s="75"/>
      <c r="BA937" s="76"/>
    </row>
    <row r="938" spans="41:53">
      <c r="AO938" s="39"/>
      <c r="AP938" s="70"/>
      <c r="AQ938" s="71"/>
      <c r="AR938" s="72"/>
      <c r="AU938" s="70"/>
      <c r="AV938" s="77"/>
      <c r="AW938" s="78"/>
      <c r="AX938" s="75"/>
      <c r="BA938" s="76"/>
    </row>
    <row r="939" spans="41:53">
      <c r="AO939" s="39"/>
      <c r="AP939" s="70"/>
      <c r="AQ939" s="71"/>
      <c r="AR939" s="72"/>
      <c r="AU939" s="70"/>
      <c r="AV939" s="77"/>
      <c r="AW939" s="78"/>
      <c r="AX939" s="75"/>
      <c r="BA939" s="76"/>
    </row>
    <row r="940" spans="41:53">
      <c r="AO940" s="39"/>
      <c r="AP940" s="70"/>
      <c r="AQ940" s="71"/>
      <c r="AR940" s="72"/>
      <c r="AU940" s="70"/>
      <c r="AV940" s="77"/>
      <c r="AW940" s="78"/>
      <c r="AX940" s="75"/>
      <c r="BA940" s="76"/>
    </row>
    <row r="941" spans="41:53">
      <c r="AO941" s="39"/>
      <c r="AP941" s="70"/>
      <c r="AQ941" s="71"/>
      <c r="AR941" s="72"/>
      <c r="AU941" s="70"/>
      <c r="AV941" s="77"/>
      <c r="AW941" s="78"/>
      <c r="AX941" s="75"/>
      <c r="BA941" s="76"/>
    </row>
    <row r="942" spans="41:53">
      <c r="AO942" s="39"/>
      <c r="AP942" s="70"/>
      <c r="AQ942" s="71"/>
      <c r="AR942" s="72"/>
      <c r="AU942" s="70"/>
      <c r="AV942" s="77"/>
      <c r="AW942" s="78"/>
      <c r="AX942" s="75"/>
      <c r="BA942" s="76"/>
    </row>
    <row r="943" spans="41:53">
      <c r="AO943" s="39"/>
      <c r="AP943" s="70"/>
      <c r="AQ943" s="71"/>
      <c r="AR943" s="72"/>
      <c r="AU943" s="70"/>
      <c r="AV943" s="77"/>
      <c r="AW943" s="78"/>
      <c r="AX943" s="75"/>
      <c r="BA943" s="76"/>
    </row>
    <row r="944" spans="41:53">
      <c r="AO944" s="39"/>
      <c r="AP944" s="70"/>
      <c r="AQ944" s="71"/>
      <c r="AR944" s="72"/>
      <c r="AU944" s="70"/>
      <c r="AV944" s="77"/>
      <c r="AW944" s="78"/>
      <c r="AX944" s="75"/>
      <c r="BA944" s="76"/>
    </row>
    <row r="945" spans="41:53">
      <c r="AO945" s="39"/>
      <c r="AP945" s="70"/>
      <c r="AQ945" s="71"/>
      <c r="AR945" s="72"/>
      <c r="AU945" s="70"/>
      <c r="AV945" s="77"/>
      <c r="AW945" s="78"/>
      <c r="AX945" s="75"/>
      <c r="BA945" s="76"/>
    </row>
    <row r="946" spans="41:53">
      <c r="AO946" s="39"/>
      <c r="AP946" s="70"/>
      <c r="AQ946" s="71"/>
      <c r="AR946" s="72"/>
      <c r="AU946" s="70"/>
      <c r="AV946" s="77"/>
      <c r="AW946" s="78"/>
      <c r="AX946" s="75"/>
      <c r="BA946" s="76"/>
    </row>
    <row r="947" spans="41:53">
      <c r="AO947" s="39"/>
      <c r="AP947" s="70"/>
      <c r="AQ947" s="71"/>
      <c r="AR947" s="72"/>
      <c r="AU947" s="70"/>
      <c r="AV947" s="77"/>
      <c r="AW947" s="78"/>
      <c r="AX947" s="75"/>
      <c r="BA947" s="76"/>
    </row>
    <row r="948" spans="41:53">
      <c r="AO948" s="39"/>
      <c r="AP948" s="70"/>
      <c r="AQ948" s="71"/>
      <c r="AR948" s="72"/>
      <c r="AU948" s="70"/>
      <c r="AV948" s="77"/>
      <c r="AW948" s="78"/>
      <c r="AX948" s="75"/>
      <c r="BA948" s="76"/>
    </row>
    <row r="949" spans="41:53">
      <c r="AO949" s="39"/>
      <c r="AP949" s="70"/>
      <c r="AQ949" s="71"/>
      <c r="AR949" s="72"/>
      <c r="AU949" s="70"/>
      <c r="AV949" s="77"/>
      <c r="AW949" s="78"/>
      <c r="AX949" s="75"/>
      <c r="BA949" s="76"/>
    </row>
    <row r="950" spans="41:53">
      <c r="AO950" s="39"/>
      <c r="AP950" s="70"/>
      <c r="AQ950" s="71"/>
      <c r="AR950" s="72"/>
      <c r="AU950" s="70"/>
      <c r="AV950" s="77"/>
      <c r="AW950" s="78"/>
      <c r="AX950" s="75"/>
      <c r="BA950" s="76"/>
    </row>
    <row r="951" spans="41:53">
      <c r="AO951" s="39"/>
      <c r="AP951" s="70"/>
      <c r="AQ951" s="71"/>
      <c r="AR951" s="72"/>
      <c r="AU951" s="70"/>
      <c r="AV951" s="77"/>
      <c r="AW951" s="78"/>
      <c r="AX951" s="75"/>
      <c r="BA951" s="76"/>
    </row>
    <row r="952" spans="41:53">
      <c r="AO952" s="39"/>
      <c r="AP952" s="70"/>
      <c r="AQ952" s="71"/>
      <c r="AR952" s="72"/>
      <c r="AU952" s="70"/>
      <c r="AV952" s="77"/>
      <c r="AW952" s="78"/>
      <c r="AX952" s="75"/>
      <c r="BA952" s="76"/>
    </row>
    <row r="953" spans="41:53">
      <c r="AO953" s="39"/>
      <c r="AP953" s="70"/>
      <c r="AQ953" s="71"/>
      <c r="AR953" s="72"/>
      <c r="AU953" s="70"/>
      <c r="AV953" s="77"/>
      <c r="AW953" s="78"/>
      <c r="AX953" s="75"/>
      <c r="BA953" s="76"/>
    </row>
    <row r="954" spans="41:53">
      <c r="AO954" s="39"/>
      <c r="AP954" s="70"/>
      <c r="AQ954" s="71"/>
      <c r="AR954" s="72"/>
      <c r="AU954" s="70"/>
      <c r="AV954" s="77"/>
      <c r="AW954" s="78"/>
      <c r="AX954" s="75"/>
      <c r="BA954" s="76"/>
    </row>
    <row r="955" spans="41:53">
      <c r="AO955" s="39"/>
      <c r="AP955" s="70"/>
      <c r="AQ955" s="71"/>
      <c r="AR955" s="72"/>
      <c r="AU955" s="70"/>
      <c r="AV955" s="77"/>
      <c r="AW955" s="78"/>
      <c r="AX955" s="75"/>
      <c r="BA955" s="76"/>
    </row>
    <row r="956" spans="41:53">
      <c r="AO956" s="39"/>
      <c r="AP956" s="70"/>
      <c r="AQ956" s="71"/>
      <c r="AR956" s="72"/>
      <c r="AU956" s="70"/>
      <c r="AV956" s="77"/>
      <c r="AW956" s="78"/>
      <c r="AX956" s="75"/>
      <c r="BA956" s="76"/>
    </row>
    <row r="957" spans="41:53">
      <c r="AO957" s="39"/>
      <c r="AP957" s="70"/>
      <c r="AQ957" s="71"/>
      <c r="AR957" s="72"/>
      <c r="AU957" s="70"/>
      <c r="AV957" s="77"/>
      <c r="AW957" s="78"/>
      <c r="AX957" s="75"/>
      <c r="BA957" s="76"/>
    </row>
    <row r="958" spans="41:53">
      <c r="AO958" s="39"/>
      <c r="AP958" s="70"/>
      <c r="AQ958" s="71"/>
      <c r="AR958" s="72"/>
      <c r="AU958" s="70"/>
      <c r="AV958" s="77"/>
      <c r="AW958" s="78"/>
      <c r="AX958" s="75"/>
      <c r="BA958" s="76"/>
    </row>
    <row r="959" spans="41:53">
      <c r="AO959" s="39"/>
      <c r="AP959" s="70"/>
      <c r="AQ959" s="71"/>
      <c r="AR959" s="72"/>
      <c r="AU959" s="70"/>
      <c r="AV959" s="77"/>
      <c r="AW959" s="78"/>
      <c r="AX959" s="75"/>
      <c r="BA959" s="76"/>
    </row>
    <row r="960" spans="41:53">
      <c r="AO960" s="39"/>
      <c r="AP960" s="70"/>
      <c r="AQ960" s="71"/>
      <c r="AR960" s="72"/>
      <c r="AU960" s="70"/>
      <c r="AV960" s="77"/>
      <c r="AW960" s="78"/>
      <c r="AX960" s="75"/>
      <c r="BA960" s="76"/>
    </row>
    <row r="961" spans="41:53">
      <c r="AO961" s="39"/>
      <c r="AP961" s="70"/>
      <c r="AQ961" s="71"/>
      <c r="AR961" s="72"/>
      <c r="AU961" s="70"/>
      <c r="AV961" s="77"/>
      <c r="AW961" s="78"/>
      <c r="AX961" s="75"/>
      <c r="BA961" s="76"/>
    </row>
    <row r="962" spans="41:53">
      <c r="AO962" s="39"/>
      <c r="AP962" s="70"/>
      <c r="AQ962" s="71"/>
      <c r="AR962" s="72"/>
      <c r="AU962" s="70"/>
      <c r="AV962" s="77"/>
      <c r="AW962" s="78"/>
      <c r="AX962" s="75"/>
      <c r="BA962" s="76"/>
    </row>
    <row r="963" spans="41:53">
      <c r="AO963" s="39"/>
      <c r="AP963" s="70"/>
      <c r="AQ963" s="71"/>
      <c r="AR963" s="72"/>
      <c r="AU963" s="70"/>
      <c r="AV963" s="77"/>
      <c r="AW963" s="78"/>
      <c r="AX963" s="75"/>
      <c r="BA963" s="76"/>
    </row>
    <row r="964" spans="41:53">
      <c r="AO964" s="39"/>
      <c r="AP964" s="70"/>
      <c r="AQ964" s="71"/>
      <c r="AR964" s="72"/>
      <c r="AU964" s="70"/>
      <c r="AV964" s="77"/>
      <c r="AW964" s="78"/>
      <c r="AX964" s="75"/>
      <c r="BA964" s="76"/>
    </row>
    <row r="965" spans="41:53">
      <c r="AO965" s="39"/>
      <c r="AP965" s="70"/>
      <c r="AQ965" s="71"/>
      <c r="AR965" s="72"/>
      <c r="AU965" s="70"/>
      <c r="AV965" s="77"/>
      <c r="AW965" s="78"/>
      <c r="AX965" s="75"/>
      <c r="BA965" s="76"/>
    </row>
    <row r="966" spans="41:53">
      <c r="AO966" s="39"/>
      <c r="AP966" s="70"/>
      <c r="AQ966" s="71"/>
      <c r="AR966" s="72"/>
      <c r="AU966" s="70"/>
      <c r="AV966" s="77"/>
      <c r="AW966" s="78"/>
      <c r="AX966" s="75"/>
      <c r="BA966" s="76"/>
    </row>
    <row r="967" spans="41:53">
      <c r="AO967" s="39"/>
      <c r="AP967" s="70"/>
      <c r="AQ967" s="71"/>
      <c r="AR967" s="72"/>
      <c r="AU967" s="70"/>
      <c r="AV967" s="77"/>
      <c r="AW967" s="78"/>
      <c r="AX967" s="75"/>
      <c r="BA967" s="76"/>
    </row>
    <row r="968" spans="41:53">
      <c r="AO968" s="39"/>
      <c r="AP968" s="70"/>
      <c r="AQ968" s="71"/>
      <c r="AR968" s="72"/>
      <c r="AU968" s="70"/>
      <c r="AV968" s="77"/>
      <c r="AW968" s="78"/>
      <c r="AX968" s="75"/>
      <c r="BA968" s="76"/>
    </row>
    <row r="969" spans="41:53">
      <c r="AO969" s="39"/>
      <c r="AP969" s="70"/>
      <c r="AQ969" s="71"/>
      <c r="AR969" s="72"/>
      <c r="AU969" s="70"/>
      <c r="AV969" s="77"/>
      <c r="AW969" s="78"/>
      <c r="AX969" s="75"/>
      <c r="BA969" s="76"/>
    </row>
    <row r="970" spans="41:53">
      <c r="AO970" s="39"/>
      <c r="AP970" s="70"/>
      <c r="AQ970" s="71"/>
      <c r="AR970" s="72"/>
      <c r="AU970" s="70"/>
      <c r="AV970" s="77"/>
      <c r="AW970" s="78"/>
      <c r="AX970" s="75"/>
      <c r="BA970" s="76"/>
    </row>
    <row r="971" spans="41:53">
      <c r="AO971" s="39"/>
      <c r="AP971" s="70"/>
      <c r="AQ971" s="71"/>
      <c r="AR971" s="72"/>
      <c r="AU971" s="70"/>
      <c r="AV971" s="77"/>
      <c r="AW971" s="78"/>
      <c r="AX971" s="75"/>
      <c r="BA971" s="76"/>
    </row>
    <row r="972" spans="41:53">
      <c r="AO972" s="39"/>
      <c r="AP972" s="70"/>
      <c r="AQ972" s="71"/>
      <c r="AR972" s="72"/>
      <c r="AU972" s="70"/>
      <c r="AV972" s="77"/>
      <c r="AW972" s="78"/>
      <c r="AX972" s="75"/>
      <c r="BA972" s="76"/>
    </row>
    <row r="973" spans="41:53">
      <c r="AO973" s="39"/>
      <c r="AP973" s="70"/>
      <c r="AQ973" s="71"/>
      <c r="AR973" s="72"/>
      <c r="AU973" s="70"/>
      <c r="AV973" s="77"/>
      <c r="AW973" s="78"/>
      <c r="AX973" s="75"/>
      <c r="BA973" s="76"/>
    </row>
    <row r="974" spans="41:53">
      <c r="AO974" s="39"/>
      <c r="AP974" s="70"/>
      <c r="AQ974" s="71"/>
      <c r="AR974" s="72"/>
      <c r="AU974" s="70"/>
      <c r="AV974" s="77"/>
      <c r="AW974" s="78"/>
      <c r="AX974" s="75"/>
      <c r="BA974" s="76"/>
    </row>
    <row r="975" spans="41:53">
      <c r="AO975" s="39"/>
      <c r="AP975" s="70"/>
      <c r="AQ975" s="71"/>
      <c r="AR975" s="72"/>
      <c r="AU975" s="70"/>
      <c r="AV975" s="77"/>
      <c r="AW975" s="78"/>
      <c r="AX975" s="75"/>
      <c r="BA975" s="76"/>
    </row>
    <row r="976" spans="41:53">
      <c r="AO976" s="39"/>
      <c r="AP976" s="70"/>
      <c r="AQ976" s="71"/>
      <c r="AR976" s="72"/>
      <c r="AU976" s="70"/>
      <c r="AV976" s="77"/>
      <c r="AW976" s="78"/>
      <c r="AX976" s="75"/>
      <c r="BA976" s="76"/>
    </row>
    <row r="977" spans="41:53">
      <c r="AO977" s="39"/>
      <c r="AP977" s="70"/>
      <c r="AQ977" s="71"/>
      <c r="AR977" s="72"/>
      <c r="AU977" s="70"/>
      <c r="AV977" s="77"/>
      <c r="AW977" s="78"/>
      <c r="AX977" s="75"/>
      <c r="BA977" s="76"/>
    </row>
    <row r="978" spans="41:53">
      <c r="AO978" s="39"/>
      <c r="AP978" s="70"/>
      <c r="AQ978" s="71"/>
      <c r="AR978" s="72"/>
      <c r="AU978" s="70"/>
      <c r="AV978" s="77"/>
      <c r="AW978" s="78"/>
      <c r="AX978" s="75"/>
      <c r="BA978" s="76"/>
    </row>
    <row r="979" spans="41:53">
      <c r="AO979" s="39"/>
      <c r="AP979" s="70"/>
      <c r="AQ979" s="71"/>
      <c r="AR979" s="72"/>
      <c r="AU979" s="70"/>
      <c r="AV979" s="77"/>
      <c r="AW979" s="78"/>
      <c r="AX979" s="75"/>
      <c r="BA979" s="76"/>
    </row>
    <row r="980" spans="41:53">
      <c r="AO980" s="39"/>
      <c r="AP980" s="70"/>
      <c r="AQ980" s="71"/>
      <c r="AR980" s="72"/>
      <c r="AU980" s="70"/>
      <c r="AV980" s="77"/>
      <c r="AW980" s="78"/>
      <c r="AX980" s="75"/>
      <c r="BA980" s="76"/>
    </row>
    <row r="981" spans="41:53">
      <c r="AO981" s="39"/>
      <c r="AP981" s="70"/>
      <c r="AQ981" s="71"/>
      <c r="AR981" s="72"/>
      <c r="AU981" s="70"/>
      <c r="AV981" s="77"/>
      <c r="AW981" s="78"/>
      <c r="AX981" s="75"/>
      <c r="BA981" s="76"/>
    </row>
    <row r="982" spans="41:53">
      <c r="AO982" s="39"/>
      <c r="AP982" s="70"/>
      <c r="AQ982" s="71"/>
      <c r="AR982" s="72"/>
      <c r="AU982" s="70"/>
      <c r="AV982" s="77"/>
      <c r="AW982" s="78"/>
      <c r="AX982" s="75"/>
      <c r="BA982" s="76"/>
    </row>
    <row r="983" spans="41:53">
      <c r="AO983" s="39"/>
      <c r="AP983" s="70"/>
      <c r="AQ983" s="71"/>
      <c r="AR983" s="72"/>
      <c r="AU983" s="70"/>
      <c r="AV983" s="77"/>
      <c r="AW983" s="78"/>
      <c r="AX983" s="75"/>
      <c r="BA983" s="76"/>
    </row>
    <row r="984" spans="41:53">
      <c r="AO984" s="39"/>
      <c r="AP984" s="70"/>
      <c r="AQ984" s="71"/>
      <c r="AR984" s="72"/>
      <c r="AU984" s="70"/>
      <c r="AV984" s="77"/>
      <c r="AW984" s="78"/>
      <c r="AX984" s="75"/>
      <c r="BA984" s="76"/>
    </row>
    <row r="985" spans="41:53">
      <c r="AO985" s="39"/>
      <c r="AP985" s="70"/>
      <c r="AQ985" s="71"/>
      <c r="AR985" s="72"/>
      <c r="AU985" s="70"/>
      <c r="AV985" s="77"/>
      <c r="AW985" s="78"/>
      <c r="AX985" s="75"/>
      <c r="BA985" s="76"/>
    </row>
    <row r="986" spans="41:53">
      <c r="AO986" s="39"/>
      <c r="AP986" s="70"/>
      <c r="AQ986" s="71"/>
      <c r="AR986" s="72"/>
      <c r="AU986" s="70"/>
      <c r="AV986" s="77"/>
      <c r="AW986" s="78"/>
      <c r="AX986" s="75"/>
      <c r="BA986" s="76"/>
    </row>
    <row r="987" spans="41:53">
      <c r="AO987" s="39"/>
      <c r="AP987" s="70"/>
      <c r="AQ987" s="71"/>
      <c r="AR987" s="72"/>
      <c r="AU987" s="70"/>
      <c r="AV987" s="77"/>
      <c r="AW987" s="78"/>
      <c r="AX987" s="75"/>
      <c r="BA987" s="76"/>
    </row>
    <row r="988" spans="41:53">
      <c r="AO988" s="39"/>
      <c r="AP988" s="70"/>
      <c r="AQ988" s="71"/>
      <c r="AR988" s="72"/>
      <c r="AU988" s="70"/>
      <c r="AV988" s="77"/>
      <c r="AW988" s="78"/>
      <c r="AX988" s="75"/>
      <c r="BA988" s="76"/>
    </row>
    <row r="989" spans="41:53">
      <c r="AO989" s="39"/>
      <c r="AP989" s="70"/>
      <c r="AQ989" s="71"/>
      <c r="AR989" s="72"/>
      <c r="AU989" s="70"/>
      <c r="AV989" s="77"/>
      <c r="AW989" s="78"/>
      <c r="AX989" s="75"/>
      <c r="BA989" s="76"/>
    </row>
    <row r="990" spans="41:53">
      <c r="AO990" s="39"/>
      <c r="AP990" s="70"/>
      <c r="AQ990" s="71"/>
      <c r="AR990" s="72"/>
      <c r="AU990" s="70"/>
      <c r="AV990" s="77"/>
      <c r="AW990" s="78"/>
      <c r="AX990" s="75"/>
      <c r="BA990" s="76"/>
    </row>
    <row r="991" spans="41:53">
      <c r="AO991" s="39"/>
      <c r="AP991" s="70"/>
      <c r="AQ991" s="71"/>
      <c r="AR991" s="72"/>
      <c r="AU991" s="70"/>
      <c r="AV991" s="77"/>
      <c r="AW991" s="78"/>
      <c r="AX991" s="75"/>
      <c r="BA991" s="76"/>
    </row>
    <row r="992" spans="41:53">
      <c r="AO992" s="39"/>
      <c r="AP992" s="70"/>
      <c r="AQ992" s="71"/>
      <c r="AR992" s="72"/>
      <c r="AU992" s="70"/>
      <c r="AV992" s="77"/>
      <c r="AW992" s="78"/>
      <c r="AX992" s="75"/>
      <c r="BA992" s="76"/>
    </row>
    <row r="993" spans="41:53">
      <c r="AO993" s="39"/>
      <c r="AP993" s="70"/>
      <c r="AQ993" s="71"/>
      <c r="AR993" s="72"/>
      <c r="AU993" s="70"/>
      <c r="AV993" s="77"/>
      <c r="AW993" s="78"/>
      <c r="AX993" s="75"/>
      <c r="BA993" s="76"/>
    </row>
    <row r="994" spans="41:53">
      <c r="AO994" s="39"/>
      <c r="AP994" s="70"/>
      <c r="AQ994" s="71"/>
      <c r="AR994" s="72"/>
      <c r="AU994" s="70"/>
      <c r="AV994" s="77"/>
      <c r="AW994" s="78"/>
      <c r="AX994" s="75"/>
      <c r="BA994" s="76"/>
    </row>
    <row r="995" spans="41:53">
      <c r="AO995" s="39"/>
      <c r="AP995" s="70"/>
      <c r="AQ995" s="71"/>
      <c r="AR995" s="72"/>
      <c r="AU995" s="70"/>
      <c r="AV995" s="77"/>
      <c r="AW995" s="78"/>
      <c r="AX995" s="75"/>
      <c r="BA995" s="76"/>
    </row>
    <row r="996" spans="41:53">
      <c r="AO996" s="39"/>
      <c r="AP996" s="70"/>
      <c r="AQ996" s="71"/>
      <c r="AR996" s="72"/>
      <c r="AU996" s="70"/>
      <c r="AV996" s="77"/>
      <c r="AW996" s="78"/>
      <c r="AX996" s="75"/>
      <c r="BA996" s="76"/>
    </row>
    <row r="997" spans="41:53">
      <c r="AO997" s="39"/>
      <c r="AP997" s="70"/>
      <c r="AQ997" s="71"/>
      <c r="AR997" s="72"/>
      <c r="AU997" s="70"/>
      <c r="AV997" s="77"/>
      <c r="AW997" s="78"/>
      <c r="AX997" s="75"/>
      <c r="BA997" s="76"/>
    </row>
    <row r="998" spans="41:53">
      <c r="AO998" s="39"/>
      <c r="AP998" s="70"/>
      <c r="AQ998" s="71"/>
      <c r="AR998" s="72"/>
      <c r="AU998" s="70"/>
      <c r="AV998" s="77"/>
      <c r="AW998" s="78"/>
      <c r="AX998" s="75"/>
      <c r="BA998" s="76"/>
    </row>
    <row r="999" spans="41:53">
      <c r="AO999" s="39"/>
      <c r="AP999" s="70"/>
      <c r="AQ999" s="71"/>
      <c r="AR999" s="72"/>
      <c r="AU999" s="70"/>
      <c r="AV999" s="77"/>
      <c r="AW999" s="78"/>
      <c r="AX999" s="75"/>
      <c r="BA999" s="76"/>
    </row>
    <row r="1000" spans="41:53">
      <c r="AO1000" s="39"/>
      <c r="AP1000" s="70"/>
      <c r="AQ1000" s="71"/>
      <c r="AR1000" s="72"/>
      <c r="AU1000" s="70"/>
      <c r="AV1000" s="77"/>
      <c r="AW1000" s="78"/>
      <c r="AX1000" s="75"/>
      <c r="BA1000" s="76"/>
    </row>
    <row r="1001" spans="41:53">
      <c r="AO1001" s="39"/>
      <c r="AP1001" s="70"/>
      <c r="AQ1001" s="71"/>
      <c r="AR1001" s="72"/>
      <c r="AU1001" s="70"/>
      <c r="AV1001" s="77"/>
      <c r="AW1001" s="78"/>
      <c r="AX1001" s="75"/>
      <c r="BA1001" s="76"/>
    </row>
    <row r="1002" spans="41:53">
      <c r="AO1002" s="39"/>
      <c r="AP1002" s="70"/>
      <c r="AQ1002" s="71"/>
      <c r="AR1002" s="72"/>
      <c r="AU1002" s="70"/>
      <c r="AV1002" s="77"/>
      <c r="AW1002" s="78"/>
      <c r="AX1002" s="75"/>
      <c r="BA1002" s="76"/>
    </row>
    <row r="1003" spans="41:53">
      <c r="AO1003" s="39"/>
      <c r="AP1003" s="70"/>
      <c r="AQ1003" s="71"/>
      <c r="AR1003" s="72"/>
      <c r="AU1003" s="70"/>
      <c r="AV1003" s="77"/>
      <c r="AW1003" s="78"/>
      <c r="AX1003" s="75"/>
      <c r="BA1003" s="76"/>
    </row>
    <row r="1004" spans="41:53">
      <c r="AO1004" s="39"/>
      <c r="AP1004" s="70"/>
      <c r="AQ1004" s="71"/>
      <c r="AR1004" s="72"/>
      <c r="AU1004" s="70"/>
      <c r="AV1004" s="77"/>
      <c r="AW1004" s="78"/>
      <c r="AX1004" s="75"/>
      <c r="BA1004" s="76"/>
    </row>
    <row r="1005" spans="41:53">
      <c r="AO1005" s="39"/>
      <c r="AP1005" s="70"/>
      <c r="AQ1005" s="71"/>
      <c r="AR1005" s="72"/>
      <c r="AU1005" s="70"/>
      <c r="AV1005" s="77"/>
      <c r="AW1005" s="78"/>
      <c r="AX1005" s="75"/>
      <c r="BA1005" s="76"/>
    </row>
    <row r="1006" spans="41:53">
      <c r="AO1006" s="39"/>
      <c r="AP1006" s="70"/>
      <c r="AQ1006" s="71"/>
      <c r="AR1006" s="72"/>
      <c r="AU1006" s="70"/>
      <c r="AV1006" s="77"/>
      <c r="AW1006" s="78"/>
      <c r="AX1006" s="75"/>
      <c r="BA1006" s="76"/>
    </row>
    <row r="1007" spans="41:53">
      <c r="AO1007" s="39"/>
      <c r="AP1007" s="70"/>
      <c r="AQ1007" s="71"/>
      <c r="AR1007" s="72"/>
      <c r="AU1007" s="70"/>
      <c r="AV1007" s="77"/>
      <c r="AW1007" s="78"/>
      <c r="AX1007" s="75"/>
      <c r="BA1007" s="76"/>
    </row>
    <row r="1008" spans="41:53">
      <c r="AO1008" s="39"/>
      <c r="AP1008" s="70"/>
      <c r="AQ1008" s="71"/>
      <c r="AR1008" s="72"/>
      <c r="AU1008" s="70"/>
      <c r="AV1008" s="77"/>
      <c r="AW1008" s="78"/>
      <c r="AX1008" s="75"/>
      <c r="BA1008" s="76"/>
    </row>
    <row r="1009" spans="41:53">
      <c r="AO1009" s="39"/>
      <c r="AP1009" s="70"/>
      <c r="AQ1009" s="71"/>
      <c r="AR1009" s="72"/>
      <c r="AU1009" s="70"/>
      <c r="AV1009" s="77"/>
      <c r="AW1009" s="78"/>
      <c r="AX1009" s="75"/>
      <c r="BA1009" s="76"/>
    </row>
    <row r="1010" spans="41:53">
      <c r="AO1010" s="39"/>
      <c r="AP1010" s="70"/>
      <c r="AQ1010" s="71"/>
      <c r="AR1010" s="72"/>
      <c r="AU1010" s="70"/>
      <c r="AV1010" s="77"/>
      <c r="AW1010" s="78"/>
      <c r="AX1010" s="75"/>
      <c r="BA1010" s="76"/>
    </row>
    <row r="1011" spans="41:53">
      <c r="AO1011" s="39"/>
      <c r="AP1011" s="70"/>
      <c r="AQ1011" s="71"/>
      <c r="AR1011" s="72"/>
      <c r="AU1011" s="70"/>
      <c r="AV1011" s="77"/>
      <c r="AW1011" s="78"/>
      <c r="AX1011" s="75"/>
      <c r="BA1011" s="76"/>
    </row>
    <row r="1012" spans="41:53">
      <c r="AO1012" s="39"/>
      <c r="AP1012" s="70"/>
      <c r="AQ1012" s="71"/>
      <c r="AR1012" s="72"/>
      <c r="AU1012" s="70"/>
      <c r="AV1012" s="77"/>
      <c r="AW1012" s="78"/>
      <c r="AX1012" s="75"/>
      <c r="BA1012" s="76"/>
    </row>
    <row r="1013" spans="41:53">
      <c r="AO1013" s="39"/>
      <c r="AP1013" s="70"/>
      <c r="AQ1013" s="71"/>
      <c r="AR1013" s="72"/>
      <c r="AU1013" s="70"/>
      <c r="AV1013" s="77"/>
      <c r="AW1013" s="78"/>
      <c r="AX1013" s="75"/>
      <c r="BA1013" s="76"/>
    </row>
    <row r="1014" spans="41:53">
      <c r="AO1014" s="39"/>
      <c r="AP1014" s="70"/>
      <c r="AQ1014" s="71"/>
      <c r="AR1014" s="72"/>
      <c r="AU1014" s="70"/>
      <c r="AV1014" s="77"/>
      <c r="AW1014" s="78"/>
      <c r="AX1014" s="75"/>
      <c r="BA1014" s="76"/>
    </row>
    <row r="1015" spans="41:53">
      <c r="AO1015" s="39"/>
      <c r="AP1015" s="70"/>
      <c r="AQ1015" s="71"/>
      <c r="AR1015" s="72"/>
      <c r="AU1015" s="70"/>
      <c r="AV1015" s="77"/>
      <c r="AW1015" s="78"/>
      <c r="AX1015" s="75"/>
      <c r="BA1015" s="76"/>
    </row>
    <row r="1016" spans="41:53">
      <c r="AO1016" s="39"/>
      <c r="AP1016" s="70"/>
      <c r="AQ1016" s="71"/>
      <c r="AR1016" s="72"/>
      <c r="AU1016" s="70"/>
      <c r="AV1016" s="77"/>
      <c r="AW1016" s="78"/>
      <c r="AX1016" s="75"/>
      <c r="BA1016" s="76"/>
    </row>
    <row r="1017" spans="41:53">
      <c r="AO1017" s="39"/>
      <c r="AP1017" s="70"/>
      <c r="AQ1017" s="71"/>
      <c r="AR1017" s="72"/>
      <c r="AU1017" s="70"/>
      <c r="AV1017" s="77"/>
      <c r="AW1017" s="78"/>
      <c r="AX1017" s="75"/>
      <c r="BA1017" s="76"/>
    </row>
    <row r="1018" spans="41:53">
      <c r="AO1018" s="39"/>
      <c r="AP1018" s="70"/>
      <c r="AQ1018" s="71"/>
      <c r="AR1018" s="72"/>
      <c r="AU1018" s="70"/>
      <c r="AV1018" s="77"/>
      <c r="AW1018" s="78"/>
      <c r="AX1018" s="75"/>
      <c r="BA1018" s="76"/>
    </row>
    <row r="1019" spans="41:53">
      <c r="AO1019" s="39"/>
      <c r="AP1019" s="70"/>
      <c r="AQ1019" s="71"/>
      <c r="AR1019" s="72"/>
      <c r="AU1019" s="70"/>
      <c r="AV1019" s="77"/>
      <c r="AW1019" s="78"/>
      <c r="AX1019" s="75"/>
      <c r="BA1019" s="76"/>
    </row>
    <row r="1020" spans="41:53">
      <c r="AO1020" s="39"/>
      <c r="AP1020" s="70"/>
      <c r="AQ1020" s="71"/>
      <c r="AR1020" s="72"/>
      <c r="AU1020" s="70"/>
      <c r="AV1020" s="77"/>
      <c r="AW1020" s="78"/>
      <c r="AX1020" s="75"/>
      <c r="BA1020" s="76"/>
    </row>
    <row r="1021" spans="41:53">
      <c r="AO1021" s="39"/>
      <c r="AP1021" s="70"/>
      <c r="AQ1021" s="71"/>
      <c r="AR1021" s="72"/>
      <c r="AU1021" s="70"/>
      <c r="AV1021" s="77"/>
      <c r="AW1021" s="78"/>
      <c r="AX1021" s="75"/>
      <c r="BA1021" s="76"/>
    </row>
    <row r="1022" spans="41:53">
      <c r="AO1022" s="39"/>
      <c r="AP1022" s="70"/>
      <c r="AQ1022" s="71"/>
      <c r="AR1022" s="72"/>
      <c r="AU1022" s="70"/>
      <c r="AV1022" s="77"/>
      <c r="AW1022" s="78"/>
      <c r="AX1022" s="75"/>
      <c r="BA1022" s="76"/>
    </row>
    <row r="1023" spans="41:53">
      <c r="AO1023" s="39"/>
      <c r="AP1023" s="70"/>
      <c r="AQ1023" s="71"/>
      <c r="AR1023" s="72"/>
      <c r="AU1023" s="70"/>
      <c r="AV1023" s="77"/>
      <c r="AW1023" s="78"/>
      <c r="AX1023" s="75"/>
      <c r="BA1023" s="76"/>
    </row>
    <row r="1024" spans="41:53">
      <c r="AO1024" s="39"/>
      <c r="AP1024" s="70"/>
      <c r="AQ1024" s="71"/>
      <c r="AR1024" s="72"/>
      <c r="AU1024" s="70"/>
      <c r="AV1024" s="77"/>
      <c r="AW1024" s="78"/>
      <c r="AX1024" s="75"/>
      <c r="BA1024" s="76"/>
    </row>
    <row r="1025" spans="41:53">
      <c r="AO1025" s="39"/>
      <c r="AP1025" s="70"/>
      <c r="AQ1025" s="71"/>
      <c r="AR1025" s="72"/>
      <c r="AU1025" s="70"/>
      <c r="AV1025" s="77"/>
      <c r="AW1025" s="78"/>
      <c r="AX1025" s="75"/>
      <c r="BA1025" s="76"/>
    </row>
    <row r="1026" spans="41:53">
      <c r="AO1026" s="39"/>
      <c r="AP1026" s="70"/>
      <c r="AQ1026" s="71"/>
      <c r="AR1026" s="72"/>
      <c r="AU1026" s="70"/>
      <c r="AV1026" s="77"/>
      <c r="AW1026" s="78"/>
      <c r="AX1026" s="75"/>
      <c r="BA1026" s="76"/>
    </row>
    <row r="1027" spans="41:53">
      <c r="AO1027" s="39"/>
      <c r="AP1027" s="70"/>
      <c r="AQ1027" s="71"/>
      <c r="AR1027" s="72"/>
      <c r="AU1027" s="70"/>
      <c r="AV1027" s="77"/>
      <c r="AW1027" s="78"/>
      <c r="AX1027" s="75"/>
      <c r="BA1027" s="76"/>
    </row>
    <row r="1028" spans="41:53">
      <c r="AO1028" s="39"/>
      <c r="AP1028" s="70"/>
      <c r="AQ1028" s="71"/>
      <c r="AR1028" s="72"/>
      <c r="AU1028" s="70"/>
      <c r="AV1028" s="77"/>
      <c r="AW1028" s="78"/>
      <c r="AX1028" s="75"/>
      <c r="BA1028" s="76"/>
    </row>
    <row r="1029" spans="41:53">
      <c r="AO1029" s="39"/>
      <c r="AP1029" s="70"/>
      <c r="AQ1029" s="71"/>
      <c r="AR1029" s="72"/>
      <c r="AU1029" s="70"/>
      <c r="AV1029" s="77"/>
      <c r="AW1029" s="78"/>
      <c r="AX1029" s="75"/>
      <c r="BA1029" s="76"/>
    </row>
    <row r="1030" spans="41:53">
      <c r="AO1030" s="39"/>
      <c r="AP1030" s="70"/>
      <c r="AQ1030" s="71"/>
      <c r="AR1030" s="72"/>
      <c r="AU1030" s="70"/>
      <c r="AV1030" s="77"/>
      <c r="AW1030" s="78"/>
      <c r="AX1030" s="75"/>
      <c r="BA1030" s="76"/>
    </row>
    <row r="1031" spans="41:53">
      <c r="AO1031" s="39"/>
      <c r="AP1031" s="70"/>
      <c r="AQ1031" s="71"/>
      <c r="AR1031" s="72"/>
      <c r="AU1031" s="70"/>
      <c r="AV1031" s="77"/>
      <c r="AW1031" s="78"/>
      <c r="AX1031" s="75"/>
      <c r="BA1031" s="76"/>
    </row>
    <row r="1032" spans="41:53">
      <c r="AO1032" s="39"/>
      <c r="AP1032" s="70"/>
      <c r="AQ1032" s="71"/>
      <c r="AR1032" s="72"/>
      <c r="AU1032" s="70"/>
      <c r="AV1032" s="77"/>
      <c r="AW1032" s="78"/>
      <c r="AX1032" s="75"/>
      <c r="BA1032" s="76"/>
    </row>
    <row r="1033" spans="41:53">
      <c r="AO1033" s="39"/>
      <c r="AP1033" s="70"/>
      <c r="AQ1033" s="71"/>
      <c r="AR1033" s="72"/>
      <c r="AU1033" s="70"/>
      <c r="AV1033" s="77"/>
      <c r="AW1033" s="78"/>
      <c r="AX1033" s="75"/>
      <c r="BA1033" s="76"/>
    </row>
    <row r="1034" spans="41:53">
      <c r="AO1034" s="39"/>
      <c r="AP1034" s="70"/>
      <c r="AQ1034" s="71"/>
      <c r="AR1034" s="72"/>
      <c r="AU1034" s="70"/>
      <c r="AV1034" s="77"/>
      <c r="AW1034" s="78"/>
      <c r="AX1034" s="75"/>
      <c r="BA1034" s="76"/>
    </row>
    <row r="1035" spans="41:53">
      <c r="AO1035" s="39"/>
      <c r="AP1035" s="70"/>
      <c r="AQ1035" s="71"/>
      <c r="AR1035" s="72"/>
      <c r="AU1035" s="70"/>
      <c r="AV1035" s="77"/>
      <c r="AW1035" s="78"/>
      <c r="AX1035" s="75"/>
      <c r="BA1035" s="76"/>
    </row>
    <row r="1036" spans="41:53">
      <c r="AO1036" s="39"/>
      <c r="AP1036" s="70"/>
      <c r="AQ1036" s="71"/>
      <c r="AR1036" s="72"/>
      <c r="AU1036" s="70"/>
      <c r="AV1036" s="77"/>
      <c r="AW1036" s="78"/>
      <c r="AX1036" s="75"/>
      <c r="BA1036" s="76"/>
    </row>
    <row r="1037" spans="41:53">
      <c r="AO1037" s="39"/>
      <c r="AP1037" s="70"/>
      <c r="AQ1037" s="71"/>
      <c r="AR1037" s="72"/>
      <c r="AU1037" s="70"/>
      <c r="AV1037" s="77"/>
      <c r="AW1037" s="78"/>
      <c r="AX1037" s="75"/>
      <c r="BA1037" s="76"/>
    </row>
    <row r="1038" spans="41:53">
      <c r="AO1038" s="39"/>
      <c r="AP1038" s="70"/>
      <c r="AQ1038" s="71"/>
      <c r="AR1038" s="72"/>
      <c r="AU1038" s="70"/>
      <c r="AV1038" s="77"/>
      <c r="AW1038" s="78"/>
      <c r="AX1038" s="75"/>
      <c r="BA1038" s="76"/>
    </row>
    <row r="1039" spans="41:53">
      <c r="AO1039" s="39"/>
      <c r="AP1039" s="70"/>
      <c r="AQ1039" s="71"/>
      <c r="AR1039" s="72"/>
      <c r="AU1039" s="70"/>
      <c r="AV1039" s="77"/>
      <c r="AW1039" s="78"/>
      <c r="AX1039" s="75"/>
      <c r="BA1039" s="76"/>
    </row>
    <row r="1040" spans="41:53">
      <c r="AO1040" s="39"/>
      <c r="AP1040" s="70"/>
      <c r="AQ1040" s="71"/>
      <c r="AR1040" s="72"/>
      <c r="AU1040" s="70"/>
      <c r="AV1040" s="77"/>
      <c r="AW1040" s="78"/>
      <c r="AX1040" s="75"/>
      <c r="BA1040" s="76"/>
    </row>
    <row r="1041" spans="41:53">
      <c r="AO1041" s="39"/>
      <c r="AP1041" s="70"/>
      <c r="AQ1041" s="71"/>
      <c r="AR1041" s="72"/>
      <c r="AU1041" s="70"/>
      <c r="AV1041" s="77"/>
      <c r="AW1041" s="78"/>
      <c r="AX1041" s="75"/>
      <c r="BA1041" s="76"/>
    </row>
    <row r="1042" spans="41:53">
      <c r="AO1042" s="39"/>
      <c r="AP1042" s="70"/>
      <c r="AQ1042" s="71"/>
      <c r="AR1042" s="72"/>
      <c r="AU1042" s="70"/>
      <c r="AV1042" s="77"/>
      <c r="AW1042" s="78"/>
      <c r="AX1042" s="75"/>
      <c r="BA1042" s="76"/>
    </row>
    <row r="1043" spans="41:53">
      <c r="AO1043" s="39"/>
      <c r="AP1043" s="70"/>
      <c r="AQ1043" s="71"/>
      <c r="AR1043" s="72"/>
      <c r="AU1043" s="70"/>
      <c r="AV1043" s="77"/>
      <c r="AW1043" s="78"/>
      <c r="AX1043" s="75"/>
      <c r="BA1043" s="76"/>
    </row>
    <row r="1044" spans="41:53">
      <c r="AO1044" s="39"/>
      <c r="AP1044" s="70"/>
      <c r="AQ1044" s="71"/>
      <c r="AR1044" s="72"/>
      <c r="AU1044" s="70"/>
      <c r="AV1044" s="77"/>
      <c r="AW1044" s="78"/>
      <c r="AX1044" s="75"/>
      <c r="BA1044" s="76"/>
    </row>
    <row r="1045" spans="41:53">
      <c r="AO1045" s="39"/>
      <c r="AP1045" s="70"/>
      <c r="AQ1045" s="71"/>
      <c r="AR1045" s="72"/>
      <c r="AU1045" s="70"/>
      <c r="AV1045" s="77"/>
      <c r="AW1045" s="78"/>
      <c r="AX1045" s="75"/>
      <c r="BA1045" s="76"/>
    </row>
    <row r="1046" spans="41:53">
      <c r="AO1046" s="39"/>
      <c r="AP1046" s="70"/>
      <c r="AQ1046" s="71"/>
      <c r="AR1046" s="72"/>
      <c r="AU1046" s="70"/>
      <c r="AV1046" s="77"/>
      <c r="AW1046" s="78"/>
      <c r="AX1046" s="75"/>
      <c r="BA1046" s="76"/>
    </row>
    <row r="1047" spans="41:53">
      <c r="AO1047" s="39"/>
      <c r="AP1047" s="70"/>
      <c r="AQ1047" s="71"/>
      <c r="AR1047" s="72"/>
      <c r="AU1047" s="70"/>
      <c r="AV1047" s="77"/>
      <c r="AW1047" s="78"/>
      <c r="AX1047" s="75"/>
      <c r="BA1047" s="76"/>
    </row>
    <row r="1048" spans="41:53">
      <c r="AO1048" s="39"/>
      <c r="AP1048" s="70"/>
      <c r="AQ1048" s="71"/>
      <c r="AR1048" s="72"/>
      <c r="AU1048" s="70"/>
      <c r="AV1048" s="77"/>
      <c r="AW1048" s="78"/>
      <c r="AX1048" s="75"/>
      <c r="BA1048" s="76"/>
    </row>
    <row r="1049" spans="41:53">
      <c r="AO1049" s="39"/>
      <c r="AP1049" s="70"/>
      <c r="AQ1049" s="71"/>
      <c r="AR1049" s="72"/>
      <c r="AU1049" s="70"/>
      <c r="AV1049" s="77"/>
      <c r="AW1049" s="78"/>
      <c r="AX1049" s="75"/>
      <c r="BA1049" s="76"/>
    </row>
    <row r="1050" spans="41:53">
      <c r="AO1050" s="39"/>
      <c r="AP1050" s="70"/>
      <c r="AQ1050" s="71"/>
      <c r="AR1050" s="72"/>
      <c r="AU1050" s="70"/>
      <c r="AV1050" s="77"/>
      <c r="AW1050" s="78"/>
      <c r="AX1050" s="75"/>
      <c r="BA1050" s="76"/>
    </row>
    <row r="1051" spans="41:53">
      <c r="AO1051" s="39"/>
      <c r="AP1051" s="70"/>
      <c r="AQ1051" s="71"/>
      <c r="AR1051" s="72"/>
      <c r="AU1051" s="70"/>
      <c r="AV1051" s="77"/>
      <c r="AW1051" s="78"/>
      <c r="AX1051" s="75"/>
      <c r="BA1051" s="76"/>
    </row>
    <row r="1052" spans="41:53">
      <c r="AO1052" s="39"/>
      <c r="AP1052" s="70"/>
      <c r="AQ1052" s="71"/>
      <c r="AR1052" s="72"/>
      <c r="AU1052" s="70"/>
      <c r="AV1052" s="77"/>
      <c r="AW1052" s="78"/>
      <c r="AX1052" s="75"/>
      <c r="BA1052" s="76"/>
    </row>
    <row r="1053" spans="41:53">
      <c r="AO1053" s="39"/>
      <c r="AP1053" s="70"/>
      <c r="AQ1053" s="71"/>
      <c r="AR1053" s="72"/>
      <c r="AU1053" s="70"/>
      <c r="AV1053" s="77"/>
      <c r="AW1053" s="78"/>
      <c r="AX1053" s="75"/>
      <c r="BA1053" s="76"/>
    </row>
    <row r="1054" spans="41:53">
      <c r="AO1054" s="39"/>
      <c r="AP1054" s="70"/>
      <c r="AQ1054" s="71"/>
      <c r="AR1054" s="72"/>
      <c r="AU1054" s="70"/>
      <c r="AV1054" s="77"/>
      <c r="AW1054" s="78"/>
      <c r="AX1054" s="75"/>
      <c r="BA1054" s="76"/>
    </row>
    <row r="1055" spans="41:53">
      <c r="AO1055" s="39"/>
      <c r="AP1055" s="70"/>
      <c r="AQ1055" s="71"/>
      <c r="AR1055" s="72"/>
      <c r="AU1055" s="70"/>
      <c r="AV1055" s="77"/>
      <c r="AW1055" s="78"/>
      <c r="AX1055" s="75"/>
      <c r="BA1055" s="76"/>
    </row>
    <row r="1056" spans="41:53">
      <c r="AO1056" s="39"/>
      <c r="AP1056" s="70"/>
      <c r="AQ1056" s="71"/>
      <c r="AR1056" s="72"/>
      <c r="AU1056" s="70"/>
      <c r="AV1056" s="77"/>
      <c r="AW1056" s="78"/>
      <c r="AX1056" s="75"/>
      <c r="BA1056" s="76"/>
    </row>
    <row r="1057" spans="41:53">
      <c r="AO1057" s="39"/>
      <c r="AP1057" s="70"/>
      <c r="AQ1057" s="71"/>
      <c r="AR1057" s="72"/>
      <c r="AU1057" s="70"/>
      <c r="AV1057" s="77"/>
      <c r="AW1057" s="78"/>
      <c r="AX1057" s="75"/>
      <c r="BA1057" s="76"/>
    </row>
    <row r="1058" spans="41:53">
      <c r="AO1058" s="39"/>
      <c r="AP1058" s="70"/>
      <c r="AQ1058" s="71"/>
      <c r="AR1058" s="72"/>
      <c r="AU1058" s="70"/>
      <c r="AV1058" s="77"/>
      <c r="AW1058" s="78"/>
      <c r="AX1058" s="75"/>
      <c r="BA1058" s="76"/>
    </row>
    <row r="1059" spans="41:53">
      <c r="AO1059" s="39"/>
      <c r="AP1059" s="70"/>
      <c r="AQ1059" s="71"/>
      <c r="AR1059" s="72"/>
      <c r="AU1059" s="70"/>
      <c r="AV1059" s="77"/>
      <c r="AW1059" s="78"/>
      <c r="AX1059" s="75"/>
      <c r="BA1059" s="76"/>
    </row>
    <row r="1060" spans="41:53">
      <c r="AO1060" s="39"/>
      <c r="AP1060" s="70"/>
      <c r="AQ1060" s="71"/>
      <c r="AR1060" s="72"/>
      <c r="AU1060" s="70"/>
      <c r="AV1060" s="77"/>
      <c r="AW1060" s="78"/>
      <c r="AX1060" s="75"/>
      <c r="BA1060" s="76"/>
    </row>
    <row r="1061" spans="41:53">
      <c r="AO1061" s="39"/>
      <c r="AP1061" s="70"/>
      <c r="AQ1061" s="71"/>
      <c r="AR1061" s="72"/>
      <c r="AU1061" s="70"/>
      <c r="AV1061" s="77"/>
      <c r="AW1061" s="78"/>
      <c r="AX1061" s="75"/>
      <c r="BA1061" s="76"/>
    </row>
    <row r="1062" spans="41:53">
      <c r="AO1062" s="39"/>
      <c r="AP1062" s="70"/>
      <c r="AQ1062" s="71"/>
      <c r="AR1062" s="72"/>
      <c r="AU1062" s="70"/>
      <c r="AV1062" s="77"/>
      <c r="AW1062" s="78"/>
      <c r="AX1062" s="75"/>
      <c r="BA1062" s="76"/>
    </row>
    <row r="1063" spans="41:53">
      <c r="AO1063" s="39"/>
      <c r="AP1063" s="70"/>
      <c r="AQ1063" s="71"/>
      <c r="AR1063" s="72"/>
      <c r="AU1063" s="70"/>
      <c r="AV1063" s="77"/>
      <c r="AW1063" s="78"/>
      <c r="AX1063" s="75"/>
      <c r="BA1063" s="76"/>
    </row>
    <row r="1064" spans="41:53">
      <c r="AO1064" s="39"/>
      <c r="AP1064" s="70"/>
      <c r="AQ1064" s="71"/>
      <c r="AR1064" s="72"/>
      <c r="AU1064" s="70"/>
      <c r="AV1064" s="77"/>
      <c r="AW1064" s="78"/>
      <c r="AX1064" s="75"/>
      <c r="BA1064" s="76"/>
    </row>
    <row r="1065" spans="41:53">
      <c r="AO1065" s="39"/>
      <c r="AP1065" s="70"/>
      <c r="AQ1065" s="71"/>
      <c r="AR1065" s="72"/>
      <c r="AU1065" s="70"/>
      <c r="AV1065" s="77"/>
      <c r="AW1065" s="78"/>
      <c r="AX1065" s="75"/>
      <c r="BA1065" s="76"/>
    </row>
    <row r="1066" spans="41:53">
      <c r="AO1066" s="39"/>
      <c r="AP1066" s="70"/>
      <c r="AQ1066" s="71"/>
      <c r="AR1066" s="72"/>
      <c r="AU1066" s="70"/>
      <c r="AV1066" s="77"/>
      <c r="AW1066" s="78"/>
      <c r="AX1066" s="75"/>
      <c r="BA1066" s="76"/>
    </row>
    <row r="1067" spans="41:53">
      <c r="AO1067" s="39"/>
      <c r="AP1067" s="70"/>
      <c r="AQ1067" s="71"/>
      <c r="AR1067" s="72"/>
      <c r="AU1067" s="70"/>
      <c r="AV1067" s="77"/>
      <c r="AW1067" s="78"/>
      <c r="AX1067" s="75"/>
      <c r="BA1067" s="76"/>
    </row>
    <row r="1068" spans="41:53">
      <c r="AO1068" s="39"/>
      <c r="AP1068" s="70"/>
      <c r="AQ1068" s="71"/>
      <c r="AR1068" s="72"/>
      <c r="AU1068" s="70"/>
      <c r="AV1068" s="77"/>
      <c r="AW1068" s="78"/>
      <c r="AX1068" s="75"/>
      <c r="BA1068" s="76"/>
    </row>
    <row r="1069" spans="41:53">
      <c r="AO1069" s="39"/>
      <c r="AP1069" s="70"/>
      <c r="AQ1069" s="71"/>
      <c r="AR1069" s="72"/>
      <c r="AU1069" s="70"/>
      <c r="AV1069" s="77"/>
      <c r="AW1069" s="78"/>
      <c r="AX1069" s="75"/>
      <c r="BA1069" s="76"/>
    </row>
    <row r="1070" spans="41:53">
      <c r="AO1070" s="39"/>
      <c r="AP1070" s="70"/>
      <c r="AQ1070" s="71"/>
      <c r="AR1070" s="72"/>
      <c r="AU1070" s="70"/>
      <c r="AV1070" s="77"/>
      <c r="AW1070" s="78"/>
      <c r="AX1070" s="75"/>
      <c r="BA1070" s="76"/>
    </row>
    <row r="1071" spans="41:53">
      <c r="AO1071" s="39"/>
      <c r="AP1071" s="70"/>
      <c r="AQ1071" s="71"/>
      <c r="AR1071" s="72"/>
      <c r="AU1071" s="70"/>
      <c r="AV1071" s="77"/>
      <c r="AW1071" s="78"/>
      <c r="AX1071" s="75"/>
      <c r="BA1071" s="76"/>
    </row>
    <row r="1072" spans="41:53">
      <c r="AO1072" s="39"/>
      <c r="AP1072" s="70"/>
      <c r="AQ1072" s="71"/>
      <c r="AR1072" s="72"/>
      <c r="AU1072" s="70"/>
      <c r="AV1072" s="77"/>
      <c r="AW1072" s="78"/>
      <c r="AX1072" s="75"/>
      <c r="BA1072" s="76"/>
    </row>
    <row r="1073" spans="41:53">
      <c r="AO1073" s="39"/>
      <c r="AP1073" s="70"/>
      <c r="AQ1073" s="71"/>
      <c r="AR1073" s="72"/>
      <c r="AU1073" s="70"/>
      <c r="AV1073" s="77"/>
      <c r="AW1073" s="78"/>
      <c r="AX1073" s="75"/>
      <c r="BA1073" s="76"/>
    </row>
    <row r="1074" spans="41:53">
      <c r="AO1074" s="39"/>
      <c r="AP1074" s="70"/>
      <c r="AQ1074" s="71"/>
      <c r="AR1074" s="72"/>
      <c r="AU1074" s="70"/>
      <c r="AV1074" s="77"/>
      <c r="AW1074" s="78"/>
      <c r="AX1074" s="75"/>
      <c r="BA1074" s="76"/>
    </row>
    <row r="1075" spans="41:53">
      <c r="AO1075" s="39"/>
      <c r="AP1075" s="70"/>
      <c r="AQ1075" s="71"/>
      <c r="AR1075" s="72"/>
      <c r="AU1075" s="70"/>
      <c r="AV1075" s="77"/>
      <c r="AW1075" s="78"/>
      <c r="AX1075" s="75"/>
      <c r="BA1075" s="76"/>
    </row>
    <row r="1076" spans="41:53">
      <c r="AO1076" s="39"/>
      <c r="AP1076" s="70"/>
      <c r="AQ1076" s="71"/>
      <c r="AR1076" s="72"/>
      <c r="AU1076" s="70"/>
      <c r="AV1076" s="77"/>
      <c r="AW1076" s="78"/>
      <c r="AX1076" s="75"/>
      <c r="BA1076" s="76"/>
    </row>
    <row r="1077" spans="41:53">
      <c r="AO1077" s="39"/>
      <c r="AP1077" s="70"/>
      <c r="AQ1077" s="71"/>
      <c r="AR1077" s="72"/>
      <c r="AU1077" s="70"/>
      <c r="AV1077" s="77"/>
      <c r="AW1077" s="78"/>
      <c r="AX1077" s="75"/>
      <c r="BA1077" s="76"/>
    </row>
    <row r="1078" spans="41:53">
      <c r="AO1078" s="39"/>
      <c r="AP1078" s="70"/>
      <c r="AQ1078" s="71"/>
      <c r="AR1078" s="72"/>
      <c r="AU1078" s="70"/>
      <c r="AV1078" s="77"/>
      <c r="AW1078" s="78"/>
      <c r="AX1078" s="75"/>
      <c r="BA1078" s="76"/>
    </row>
    <row r="1079" spans="41:53">
      <c r="AO1079" s="39"/>
      <c r="AP1079" s="70"/>
      <c r="AQ1079" s="71"/>
      <c r="AR1079" s="72"/>
      <c r="AU1079" s="70"/>
      <c r="AV1079" s="77"/>
      <c r="AW1079" s="78"/>
      <c r="AX1079" s="75"/>
      <c r="BA1079" s="76"/>
    </row>
    <row r="1080" spans="41:53">
      <c r="AO1080" s="39"/>
      <c r="AP1080" s="70"/>
      <c r="AQ1080" s="71"/>
      <c r="AR1080" s="72"/>
      <c r="AU1080" s="70"/>
      <c r="AV1080" s="77"/>
      <c r="AW1080" s="78"/>
      <c r="AX1080" s="75"/>
      <c r="BA1080" s="76"/>
    </row>
    <row r="1081" spans="41:53">
      <c r="AO1081" s="39"/>
      <c r="AP1081" s="70"/>
      <c r="AQ1081" s="71"/>
      <c r="AR1081" s="72"/>
      <c r="AU1081" s="70"/>
      <c r="AV1081" s="77"/>
      <c r="AW1081" s="78"/>
      <c r="AX1081" s="75"/>
      <c r="BA1081" s="76"/>
    </row>
    <row r="1082" spans="41:53">
      <c r="AO1082" s="39"/>
      <c r="AP1082" s="70"/>
      <c r="AQ1082" s="71"/>
      <c r="AR1082" s="72"/>
      <c r="AU1082" s="70"/>
      <c r="AV1082" s="77"/>
      <c r="AW1082" s="78"/>
      <c r="AX1082" s="75"/>
      <c r="BA1082" s="76"/>
    </row>
    <row r="1083" spans="41:53">
      <c r="AO1083" s="39"/>
      <c r="AP1083" s="70"/>
      <c r="AQ1083" s="71"/>
      <c r="AR1083" s="72"/>
      <c r="AU1083" s="70"/>
      <c r="AV1083" s="77"/>
      <c r="AW1083" s="78"/>
      <c r="AX1083" s="75"/>
      <c r="BA1083" s="76"/>
    </row>
    <row r="1084" spans="41:53">
      <c r="AO1084" s="39"/>
      <c r="AP1084" s="70"/>
      <c r="AQ1084" s="71"/>
      <c r="AR1084" s="72"/>
      <c r="AU1084" s="70"/>
      <c r="AV1084" s="77"/>
      <c r="AW1084" s="78"/>
      <c r="AX1084" s="75"/>
      <c r="BA1084" s="76"/>
    </row>
    <row r="1085" spans="41:53">
      <c r="AO1085" s="39"/>
      <c r="AP1085" s="70"/>
      <c r="AQ1085" s="71"/>
      <c r="AR1085" s="72"/>
      <c r="AU1085" s="70"/>
      <c r="AV1085" s="77"/>
      <c r="AW1085" s="78"/>
      <c r="AX1085" s="75"/>
      <c r="BA1085" s="76"/>
    </row>
    <row r="1086" spans="41:53">
      <c r="AO1086" s="39"/>
      <c r="AP1086" s="70"/>
      <c r="AQ1086" s="71"/>
      <c r="AR1086" s="72"/>
      <c r="AU1086" s="70"/>
      <c r="AV1086" s="77"/>
      <c r="AW1086" s="78"/>
      <c r="AX1086" s="75"/>
      <c r="BA1086" s="76"/>
    </row>
    <row r="1087" spans="41:53">
      <c r="AO1087" s="39"/>
      <c r="AP1087" s="70"/>
      <c r="AQ1087" s="71"/>
      <c r="AR1087" s="72"/>
      <c r="AU1087" s="70"/>
      <c r="AV1087" s="77"/>
      <c r="AW1087" s="78"/>
      <c r="AX1087" s="75"/>
      <c r="BA1087" s="76"/>
    </row>
    <row r="1088" spans="41:53">
      <c r="AO1088" s="39"/>
      <c r="AP1088" s="70"/>
      <c r="AQ1088" s="71"/>
      <c r="AR1088" s="72"/>
      <c r="AU1088" s="70"/>
      <c r="AV1088" s="77"/>
      <c r="AW1088" s="78"/>
      <c r="AX1088" s="75"/>
      <c r="BA1088" s="76"/>
    </row>
    <row r="1089" spans="41:53">
      <c r="AO1089" s="39"/>
      <c r="AP1089" s="70"/>
      <c r="AQ1089" s="71"/>
      <c r="AR1089" s="72"/>
      <c r="AU1089" s="70"/>
      <c r="AV1089" s="77"/>
      <c r="AW1089" s="78"/>
      <c r="AX1089" s="75"/>
      <c r="BA1089" s="76"/>
    </row>
    <row r="1090" spans="41:53">
      <c r="AO1090" s="39"/>
      <c r="AP1090" s="70"/>
      <c r="AQ1090" s="71"/>
      <c r="AR1090" s="72"/>
      <c r="AU1090" s="70"/>
      <c r="AV1090" s="77"/>
      <c r="AW1090" s="78"/>
      <c r="AX1090" s="75"/>
      <c r="BA1090" s="76"/>
    </row>
    <row r="1091" spans="41:53">
      <c r="AO1091" s="39"/>
      <c r="AP1091" s="70"/>
      <c r="AQ1091" s="71"/>
      <c r="AR1091" s="72"/>
      <c r="AU1091" s="70"/>
      <c r="AV1091" s="77"/>
      <c r="AW1091" s="78"/>
      <c r="AX1091" s="75"/>
      <c r="BA1091" s="76"/>
    </row>
    <row r="1092" spans="41:53">
      <c r="AO1092" s="39"/>
      <c r="AP1092" s="70"/>
      <c r="AQ1092" s="71"/>
      <c r="AR1092" s="72"/>
      <c r="AU1092" s="70"/>
      <c r="AV1092" s="77"/>
      <c r="AW1092" s="78"/>
      <c r="AX1092" s="75"/>
      <c r="BA1092" s="76"/>
    </row>
    <row r="1093" spans="41:53">
      <c r="AO1093" s="39"/>
      <c r="AP1093" s="70"/>
      <c r="AQ1093" s="71"/>
      <c r="AR1093" s="72"/>
      <c r="AU1093" s="70"/>
      <c r="AV1093" s="77"/>
      <c r="AW1093" s="78"/>
      <c r="AX1093" s="75"/>
      <c r="BA1093" s="76"/>
    </row>
    <row r="1094" spans="41:53">
      <c r="AO1094" s="39"/>
      <c r="AP1094" s="70"/>
      <c r="AQ1094" s="71"/>
      <c r="AR1094" s="72"/>
      <c r="AU1094" s="70"/>
      <c r="AV1094" s="77"/>
      <c r="AW1094" s="78"/>
      <c r="AX1094" s="75"/>
      <c r="BA1094" s="76"/>
    </row>
    <row r="1095" spans="41:53">
      <c r="AO1095" s="39"/>
      <c r="AP1095" s="70"/>
      <c r="AQ1095" s="71"/>
      <c r="AR1095" s="72"/>
      <c r="AU1095" s="70"/>
      <c r="AV1095" s="77"/>
      <c r="AW1095" s="78"/>
      <c r="AX1095" s="75"/>
      <c r="BA1095" s="76"/>
    </row>
    <row r="1096" spans="41:53">
      <c r="AO1096" s="39"/>
      <c r="AP1096" s="70"/>
      <c r="AQ1096" s="71"/>
      <c r="AR1096" s="72"/>
      <c r="AU1096" s="70"/>
      <c r="AV1096" s="77"/>
      <c r="AW1096" s="78"/>
      <c r="AX1096" s="75"/>
      <c r="BA1096" s="76"/>
    </row>
    <row r="1097" spans="41:53">
      <c r="AO1097" s="39"/>
      <c r="AP1097" s="70"/>
      <c r="AQ1097" s="71"/>
      <c r="AR1097" s="72"/>
      <c r="AU1097" s="70"/>
      <c r="AV1097" s="77"/>
      <c r="AW1097" s="78"/>
      <c r="AX1097" s="75"/>
      <c r="BA1097" s="76"/>
    </row>
    <row r="1098" spans="41:53">
      <c r="AO1098" s="39"/>
      <c r="AP1098" s="70"/>
      <c r="AQ1098" s="71"/>
      <c r="AR1098" s="72"/>
      <c r="AU1098" s="70"/>
      <c r="AV1098" s="77"/>
      <c r="AW1098" s="78"/>
      <c r="AX1098" s="75"/>
      <c r="BA1098" s="76"/>
    </row>
    <row r="1099" spans="41:53">
      <c r="AO1099" s="39"/>
      <c r="AP1099" s="70"/>
      <c r="AQ1099" s="71"/>
      <c r="AR1099" s="72"/>
      <c r="AU1099" s="70"/>
      <c r="AV1099" s="77"/>
      <c r="AW1099" s="78"/>
      <c r="AX1099" s="75"/>
      <c r="BA1099" s="76"/>
    </row>
    <row r="1100" spans="41:53">
      <c r="AO1100" s="39"/>
      <c r="AP1100" s="70"/>
      <c r="AQ1100" s="71"/>
      <c r="AR1100" s="72"/>
      <c r="AU1100" s="70"/>
      <c r="AV1100" s="77"/>
      <c r="AW1100" s="78"/>
      <c r="AX1100" s="75"/>
      <c r="BA1100" s="76"/>
    </row>
    <row r="1101" spans="41:53">
      <c r="AO1101" s="39"/>
      <c r="AP1101" s="70"/>
      <c r="AQ1101" s="71"/>
      <c r="AR1101" s="72"/>
      <c r="AU1101" s="70"/>
      <c r="AV1101" s="77"/>
      <c r="AW1101" s="78"/>
      <c r="AX1101" s="75"/>
      <c r="BA1101" s="76"/>
    </row>
    <row r="1102" spans="41:53">
      <c r="AO1102" s="39"/>
      <c r="AP1102" s="70"/>
      <c r="AQ1102" s="71"/>
      <c r="AR1102" s="72"/>
      <c r="AU1102" s="70"/>
      <c r="AV1102" s="77"/>
      <c r="AW1102" s="78"/>
      <c r="AX1102" s="75"/>
      <c r="BA1102" s="76"/>
    </row>
    <row r="1103" spans="41:53">
      <c r="AO1103" s="39"/>
      <c r="AP1103" s="70"/>
      <c r="AQ1103" s="71"/>
      <c r="AR1103" s="72"/>
      <c r="AU1103" s="70"/>
      <c r="AV1103" s="77"/>
      <c r="AW1103" s="78"/>
      <c r="AX1103" s="75"/>
      <c r="BA1103" s="76"/>
    </row>
    <row r="1104" spans="41:53">
      <c r="AO1104" s="39"/>
      <c r="AP1104" s="70"/>
      <c r="AQ1104" s="71"/>
      <c r="AR1104" s="72"/>
      <c r="AU1104" s="70"/>
      <c r="AV1104" s="77"/>
      <c r="AW1104" s="78"/>
      <c r="AX1104" s="75"/>
      <c r="BA1104" s="76"/>
    </row>
    <row r="1105" spans="41:53">
      <c r="AO1105" s="39"/>
      <c r="AP1105" s="70"/>
      <c r="AQ1105" s="71"/>
      <c r="AR1105" s="72"/>
      <c r="AU1105" s="70"/>
      <c r="AV1105" s="77"/>
      <c r="AW1105" s="78"/>
      <c r="AX1105" s="75"/>
      <c r="BA1105" s="76"/>
    </row>
    <row r="1106" spans="41:53">
      <c r="AO1106" s="39"/>
      <c r="AP1106" s="70"/>
      <c r="AQ1106" s="71"/>
      <c r="AR1106" s="72"/>
      <c r="AU1106" s="70"/>
      <c r="AV1106" s="77"/>
      <c r="AW1106" s="78"/>
      <c r="AX1106" s="75"/>
      <c r="BA1106" s="76"/>
    </row>
    <row r="1107" spans="41:53">
      <c r="AO1107" s="39"/>
      <c r="AP1107" s="70"/>
      <c r="AQ1107" s="71"/>
      <c r="AR1107" s="72"/>
      <c r="AU1107" s="70"/>
      <c r="AV1107" s="77"/>
      <c r="AW1107" s="78"/>
      <c r="AX1107" s="75"/>
      <c r="BA1107" s="76"/>
    </row>
    <row r="1108" spans="41:53">
      <c r="AO1108" s="39"/>
      <c r="AP1108" s="70"/>
      <c r="AQ1108" s="71"/>
      <c r="AR1108" s="72"/>
      <c r="AU1108" s="70"/>
      <c r="AV1108" s="77"/>
      <c r="AW1108" s="78"/>
      <c r="AX1108" s="75"/>
      <c r="BA1108" s="76"/>
    </row>
    <row r="1109" spans="41:53">
      <c r="AO1109" s="39"/>
      <c r="AP1109" s="70"/>
      <c r="AQ1109" s="71"/>
      <c r="AR1109" s="72"/>
      <c r="AU1109" s="70"/>
      <c r="AV1109" s="77"/>
      <c r="AW1109" s="78"/>
      <c r="AX1109" s="75"/>
      <c r="BA1109" s="76"/>
    </row>
    <row r="1110" spans="41:53">
      <c r="AO1110" s="39"/>
      <c r="AP1110" s="70"/>
      <c r="AQ1110" s="71"/>
      <c r="AR1110" s="72"/>
      <c r="AU1110" s="70"/>
      <c r="AV1110" s="77"/>
      <c r="AW1110" s="78"/>
      <c r="AX1110" s="75"/>
      <c r="BA1110" s="76"/>
    </row>
    <row r="1111" spans="41:53">
      <c r="AO1111" s="39"/>
      <c r="AP1111" s="70"/>
      <c r="AQ1111" s="71"/>
      <c r="AR1111" s="72"/>
      <c r="AU1111" s="70"/>
      <c r="AV1111" s="77"/>
      <c r="AW1111" s="78"/>
      <c r="AX1111" s="75"/>
      <c r="BA1111" s="76"/>
    </row>
    <row r="1112" spans="41:53">
      <c r="AO1112" s="39"/>
      <c r="AP1112" s="70"/>
      <c r="AQ1112" s="71"/>
      <c r="AR1112" s="72"/>
      <c r="AU1112" s="70"/>
      <c r="AV1112" s="77"/>
      <c r="AW1112" s="78"/>
      <c r="AX1112" s="75"/>
      <c r="BA1112" s="76"/>
    </row>
    <row r="1113" spans="41:53">
      <c r="AO1113" s="39"/>
      <c r="AP1113" s="70"/>
      <c r="AQ1113" s="71"/>
      <c r="AR1113" s="72"/>
      <c r="AU1113" s="70"/>
      <c r="AV1113" s="77"/>
      <c r="AW1113" s="78"/>
      <c r="AX1113" s="75"/>
      <c r="BA1113" s="76"/>
    </row>
    <row r="1114" spans="41:53">
      <c r="AO1114" s="39"/>
      <c r="AP1114" s="70"/>
      <c r="AQ1114" s="71"/>
      <c r="AR1114" s="72"/>
      <c r="AU1114" s="70"/>
      <c r="AV1114" s="77"/>
      <c r="AW1114" s="78"/>
      <c r="AX1114" s="75"/>
      <c r="BA1114" s="76"/>
    </row>
    <row r="1115" spans="41:53">
      <c r="AO1115" s="39"/>
      <c r="AP1115" s="70"/>
      <c r="AQ1115" s="71"/>
      <c r="AR1115" s="72"/>
      <c r="AU1115" s="70"/>
      <c r="AV1115" s="77"/>
      <c r="AW1115" s="78"/>
      <c r="AX1115" s="75"/>
      <c r="BA1115" s="76"/>
    </row>
    <row r="1116" spans="41:53">
      <c r="AO1116" s="39"/>
      <c r="AP1116" s="70"/>
      <c r="AQ1116" s="71"/>
      <c r="AR1116" s="72"/>
      <c r="AU1116" s="70"/>
      <c r="AV1116" s="77"/>
      <c r="AW1116" s="78"/>
      <c r="AX1116" s="75"/>
      <c r="BA1116" s="76"/>
    </row>
    <row r="1117" spans="41:53">
      <c r="AO1117" s="39"/>
      <c r="AP1117" s="70"/>
      <c r="AQ1117" s="71"/>
      <c r="AR1117" s="72"/>
      <c r="AU1117" s="70"/>
      <c r="AV1117" s="77"/>
      <c r="AW1117" s="78"/>
      <c r="AX1117" s="75"/>
      <c r="BA1117" s="76"/>
    </row>
    <row r="1118" spans="41:53">
      <c r="AO1118" s="39"/>
      <c r="AP1118" s="70"/>
      <c r="AQ1118" s="71"/>
      <c r="AR1118" s="72"/>
      <c r="AU1118" s="70"/>
      <c r="AV1118" s="77"/>
      <c r="AW1118" s="78"/>
      <c r="AX1118" s="75"/>
      <c r="BA1118" s="76"/>
    </row>
    <row r="1119" spans="41:53">
      <c r="AO1119" s="39"/>
      <c r="AP1119" s="70"/>
      <c r="AQ1119" s="71"/>
      <c r="AR1119" s="72"/>
      <c r="AU1119" s="70"/>
      <c r="AV1119" s="77"/>
      <c r="AW1119" s="78"/>
      <c r="AX1119" s="75"/>
      <c r="BA1119" s="76"/>
    </row>
    <row r="1120" spans="41:53">
      <c r="AO1120" s="39"/>
      <c r="AP1120" s="70"/>
      <c r="AQ1120" s="71"/>
      <c r="AR1120" s="72"/>
      <c r="AU1120" s="70"/>
      <c r="AV1120" s="77"/>
      <c r="AW1120" s="78"/>
      <c r="AX1120" s="75"/>
      <c r="BA1120" s="76"/>
    </row>
    <row r="1121" spans="41:53">
      <c r="AO1121" s="39"/>
      <c r="AP1121" s="70"/>
      <c r="AQ1121" s="71"/>
      <c r="AR1121" s="72"/>
      <c r="AU1121" s="70"/>
      <c r="AV1121" s="77"/>
      <c r="AW1121" s="78"/>
      <c r="AX1121" s="75"/>
      <c r="BA1121" s="76"/>
    </row>
    <row r="1122" spans="41:53">
      <c r="AO1122" s="39"/>
      <c r="AP1122" s="70"/>
      <c r="AQ1122" s="71"/>
      <c r="AR1122" s="72"/>
      <c r="AU1122" s="70"/>
      <c r="AV1122" s="77"/>
      <c r="AW1122" s="78"/>
      <c r="AX1122" s="75"/>
      <c r="BA1122" s="76"/>
    </row>
    <row r="1123" spans="41:53">
      <c r="AO1123" s="39"/>
      <c r="AP1123" s="70"/>
      <c r="AQ1123" s="71"/>
      <c r="AR1123" s="72"/>
      <c r="AU1123" s="70"/>
      <c r="AV1123" s="77"/>
      <c r="AW1123" s="78"/>
      <c r="AX1123" s="75"/>
      <c r="BA1123" s="76"/>
    </row>
    <row r="1124" spans="41:53">
      <c r="AO1124" s="39"/>
      <c r="AP1124" s="70"/>
      <c r="AQ1124" s="71"/>
      <c r="AR1124" s="72"/>
      <c r="AU1124" s="70"/>
      <c r="AV1124" s="77"/>
      <c r="AW1124" s="78"/>
      <c r="AX1124" s="75"/>
      <c r="BA1124" s="76"/>
    </row>
    <row r="1125" spans="41:53">
      <c r="AO1125" s="39"/>
      <c r="AP1125" s="70"/>
      <c r="AQ1125" s="71"/>
      <c r="AR1125" s="72"/>
      <c r="AU1125" s="70"/>
      <c r="AV1125" s="77"/>
      <c r="AW1125" s="78"/>
      <c r="AX1125" s="75"/>
      <c r="BA1125" s="76"/>
    </row>
    <row r="1126" spans="41:53">
      <c r="AO1126" s="39"/>
      <c r="AP1126" s="70"/>
      <c r="AQ1126" s="71"/>
      <c r="AR1126" s="72"/>
      <c r="AU1126" s="70"/>
      <c r="AV1126" s="77"/>
      <c r="AW1126" s="78"/>
      <c r="AX1126" s="75"/>
      <c r="BA1126" s="76"/>
    </row>
    <row r="1127" spans="41:53">
      <c r="AO1127" s="39"/>
      <c r="AP1127" s="70"/>
      <c r="AQ1127" s="71"/>
      <c r="AR1127" s="72"/>
      <c r="AU1127" s="70"/>
      <c r="AV1127" s="77"/>
      <c r="AW1127" s="78"/>
      <c r="AX1127" s="75"/>
      <c r="BA1127" s="76"/>
    </row>
    <row r="1128" spans="41:53">
      <c r="AO1128" s="39"/>
      <c r="AP1128" s="70"/>
      <c r="AQ1128" s="71"/>
      <c r="AR1128" s="72"/>
      <c r="AU1128" s="70"/>
      <c r="AV1128" s="77"/>
      <c r="AW1128" s="78"/>
      <c r="AX1128" s="75"/>
      <c r="BA1128" s="76"/>
    </row>
    <row r="1129" spans="41:53">
      <c r="AO1129" s="39"/>
      <c r="AP1129" s="70"/>
      <c r="AQ1129" s="71"/>
      <c r="AR1129" s="72"/>
      <c r="AU1129" s="70"/>
      <c r="AV1129" s="77"/>
      <c r="AW1129" s="78"/>
      <c r="AX1129" s="75"/>
      <c r="BA1129" s="76"/>
    </row>
    <row r="1130" spans="41:53">
      <c r="AO1130" s="39"/>
      <c r="AP1130" s="70"/>
      <c r="AQ1130" s="71"/>
      <c r="AR1130" s="72"/>
      <c r="AU1130" s="70"/>
      <c r="AV1130" s="77"/>
      <c r="AW1130" s="78"/>
      <c r="AX1130" s="75"/>
      <c r="BA1130" s="76"/>
    </row>
    <row r="1131" spans="41:53">
      <c r="AO1131" s="39"/>
      <c r="AP1131" s="70"/>
      <c r="AQ1131" s="71"/>
      <c r="AR1131" s="72"/>
      <c r="AU1131" s="70"/>
      <c r="AV1131" s="77"/>
      <c r="AW1131" s="78"/>
      <c r="AX1131" s="75"/>
      <c r="BA1131" s="76"/>
    </row>
    <row r="1132" spans="41:53">
      <c r="AO1132" s="39"/>
      <c r="AP1132" s="70"/>
      <c r="AQ1132" s="71"/>
      <c r="AR1132" s="72"/>
      <c r="AU1132" s="70"/>
      <c r="AV1132" s="77"/>
      <c r="AW1132" s="78"/>
      <c r="AX1132" s="75"/>
      <c r="BA1132" s="76"/>
    </row>
    <row r="1133" spans="41:53">
      <c r="AO1133" s="39"/>
      <c r="AP1133" s="70"/>
      <c r="AQ1133" s="71"/>
      <c r="AR1133" s="72"/>
      <c r="AU1133" s="70"/>
      <c r="AV1133" s="77"/>
      <c r="AW1133" s="78"/>
      <c r="AX1133" s="75"/>
      <c r="BA1133" s="76"/>
    </row>
    <row r="1134" spans="41:53">
      <c r="AO1134" s="39"/>
      <c r="AP1134" s="70"/>
      <c r="AQ1134" s="71"/>
      <c r="AR1134" s="72"/>
      <c r="AU1134" s="70"/>
      <c r="AV1134" s="77"/>
      <c r="AW1134" s="78"/>
      <c r="AX1134" s="75"/>
      <c r="BA1134" s="76"/>
    </row>
    <row r="1135" spans="41:53">
      <c r="AO1135" s="39"/>
      <c r="AP1135" s="70"/>
      <c r="AQ1135" s="71"/>
      <c r="AR1135" s="72"/>
      <c r="AU1135" s="70"/>
      <c r="AV1135" s="77"/>
      <c r="AW1135" s="78"/>
      <c r="AX1135" s="75"/>
      <c r="BA1135" s="76"/>
    </row>
    <row r="1136" spans="41:53">
      <c r="AO1136" s="39"/>
      <c r="AP1136" s="70"/>
      <c r="AQ1136" s="71"/>
      <c r="AR1136" s="72"/>
      <c r="AU1136" s="70"/>
      <c r="AV1136" s="77"/>
      <c r="AW1136" s="78"/>
      <c r="AX1136" s="75"/>
      <c r="BA1136" s="76"/>
    </row>
    <row r="1137" spans="41:53">
      <c r="AO1137" s="39"/>
      <c r="AP1137" s="70"/>
      <c r="AQ1137" s="71"/>
      <c r="AR1137" s="72"/>
      <c r="AU1137" s="70"/>
      <c r="AV1137" s="77"/>
      <c r="AW1137" s="78"/>
      <c r="AX1137" s="75"/>
      <c r="BA1137" s="76"/>
    </row>
    <row r="1138" spans="41:53">
      <c r="AO1138" s="39"/>
      <c r="AP1138" s="70"/>
      <c r="AQ1138" s="71"/>
      <c r="AR1138" s="72"/>
      <c r="AU1138" s="70"/>
      <c r="AV1138" s="77"/>
      <c r="AW1138" s="78"/>
      <c r="AX1138" s="75"/>
      <c r="BA1138" s="76"/>
    </row>
    <row r="1139" spans="41:53">
      <c r="AO1139" s="39"/>
      <c r="AP1139" s="70"/>
      <c r="AQ1139" s="71"/>
      <c r="AR1139" s="72"/>
      <c r="AU1139" s="70"/>
      <c r="AV1139" s="77"/>
      <c r="AW1139" s="78"/>
      <c r="AX1139" s="75"/>
      <c r="BA1139" s="76"/>
    </row>
    <row r="1140" spans="41:53">
      <c r="AO1140" s="39"/>
      <c r="AP1140" s="70"/>
      <c r="AQ1140" s="71"/>
      <c r="AR1140" s="72"/>
      <c r="AU1140" s="70"/>
      <c r="AV1140" s="77"/>
      <c r="AW1140" s="78"/>
      <c r="AX1140" s="75"/>
      <c r="BA1140" s="76"/>
    </row>
    <row r="1141" spans="41:53">
      <c r="AO1141" s="39"/>
      <c r="AP1141" s="70"/>
      <c r="AQ1141" s="71"/>
      <c r="AR1141" s="72"/>
      <c r="AU1141" s="70"/>
      <c r="AV1141" s="77"/>
      <c r="AW1141" s="78"/>
      <c r="AX1141" s="75"/>
      <c r="BA1141" s="76"/>
    </row>
    <row r="1142" spans="41:53">
      <c r="AO1142" s="39"/>
      <c r="AP1142" s="70"/>
      <c r="AQ1142" s="71"/>
      <c r="AR1142" s="72"/>
      <c r="AU1142" s="70"/>
      <c r="AV1142" s="77"/>
      <c r="AW1142" s="78"/>
      <c r="AX1142" s="75"/>
      <c r="BA1142" s="76"/>
    </row>
    <row r="1143" spans="41:53">
      <c r="AO1143" s="39"/>
      <c r="AP1143" s="70"/>
      <c r="AQ1143" s="71"/>
      <c r="AR1143" s="72"/>
      <c r="AU1143" s="70"/>
      <c r="AV1143" s="77"/>
      <c r="AW1143" s="78"/>
      <c r="AX1143" s="75"/>
      <c r="BA1143" s="76"/>
    </row>
    <row r="1144" spans="41:53">
      <c r="AO1144" s="39"/>
      <c r="AP1144" s="70"/>
      <c r="AQ1144" s="71"/>
      <c r="AR1144" s="72"/>
      <c r="AU1144" s="70"/>
      <c r="AV1144" s="77"/>
      <c r="AW1144" s="78"/>
      <c r="AX1144" s="75"/>
      <c r="BA1144" s="76"/>
    </row>
    <row r="1145" spans="41:53">
      <c r="AO1145" s="39"/>
      <c r="AP1145" s="70"/>
      <c r="AQ1145" s="71"/>
      <c r="AR1145" s="72"/>
      <c r="AU1145" s="70"/>
      <c r="AV1145" s="77"/>
      <c r="AW1145" s="78"/>
      <c r="AX1145" s="75"/>
      <c r="BA1145" s="76"/>
    </row>
    <row r="1146" spans="41:53">
      <c r="AO1146" s="39"/>
      <c r="AP1146" s="70"/>
      <c r="AQ1146" s="71"/>
      <c r="AR1146" s="72"/>
      <c r="AU1146" s="70"/>
      <c r="AV1146" s="77"/>
      <c r="AW1146" s="78"/>
      <c r="AX1146" s="75"/>
      <c r="BA1146" s="76"/>
    </row>
    <row r="1147" spans="41:53">
      <c r="AO1147" s="39"/>
      <c r="AP1147" s="70"/>
      <c r="AQ1147" s="71"/>
      <c r="AR1147" s="72"/>
      <c r="AU1147" s="70"/>
      <c r="AV1147" s="77"/>
      <c r="AW1147" s="78"/>
      <c r="AX1147" s="75"/>
      <c r="BA1147" s="76"/>
    </row>
    <row r="1148" spans="41:53">
      <c r="AO1148" s="39"/>
      <c r="AP1148" s="70"/>
      <c r="AQ1148" s="71"/>
      <c r="AR1148" s="72"/>
      <c r="AU1148" s="70"/>
      <c r="AV1148" s="77"/>
      <c r="AW1148" s="78"/>
      <c r="AX1148" s="75"/>
      <c r="BA1148" s="76"/>
    </row>
    <row r="1149" spans="41:53">
      <c r="AO1149" s="39"/>
      <c r="AP1149" s="70"/>
      <c r="AQ1149" s="71"/>
      <c r="AR1149" s="72"/>
      <c r="AU1149" s="70"/>
      <c r="AV1149" s="77"/>
      <c r="AW1149" s="78"/>
      <c r="AX1149" s="75"/>
      <c r="BA1149" s="76"/>
    </row>
    <row r="1150" spans="41:53">
      <c r="AO1150" s="39"/>
      <c r="AP1150" s="70"/>
      <c r="AQ1150" s="71"/>
      <c r="AR1150" s="72"/>
      <c r="AU1150" s="70"/>
      <c r="AV1150" s="77"/>
      <c r="AW1150" s="78"/>
      <c r="AX1150" s="75"/>
      <c r="BA1150" s="76"/>
    </row>
    <row r="1151" spans="41:53">
      <c r="AO1151" s="39"/>
      <c r="AP1151" s="70"/>
      <c r="AQ1151" s="71"/>
      <c r="AR1151" s="72"/>
      <c r="AU1151" s="70"/>
      <c r="AV1151" s="77"/>
      <c r="AW1151" s="78"/>
      <c r="AX1151" s="75"/>
      <c r="BA1151" s="76"/>
    </row>
    <row r="1152" spans="41:53">
      <c r="AO1152" s="39"/>
      <c r="AP1152" s="70"/>
      <c r="AQ1152" s="71"/>
      <c r="AR1152" s="72"/>
      <c r="AU1152" s="70"/>
      <c r="AV1152" s="77"/>
      <c r="AW1152" s="78"/>
      <c r="AX1152" s="75"/>
      <c r="BA1152" s="76"/>
    </row>
    <row r="1153" spans="41:53">
      <c r="AO1153" s="39"/>
      <c r="AP1153" s="70"/>
      <c r="AQ1153" s="71"/>
      <c r="AR1153" s="72"/>
      <c r="AU1153" s="70"/>
      <c r="AV1153" s="77"/>
      <c r="AW1153" s="78"/>
      <c r="AX1153" s="75"/>
      <c r="BA1153" s="76"/>
    </row>
    <row r="1154" spans="41:53">
      <c r="AO1154" s="39"/>
      <c r="AP1154" s="70"/>
      <c r="AQ1154" s="71"/>
      <c r="AR1154" s="72"/>
      <c r="AU1154" s="70"/>
      <c r="AV1154" s="77"/>
      <c r="AW1154" s="78"/>
      <c r="AX1154" s="75"/>
      <c r="BA1154" s="76"/>
    </row>
    <row r="1155" spans="41:53">
      <c r="AO1155" s="39"/>
      <c r="AP1155" s="70"/>
      <c r="AQ1155" s="71"/>
      <c r="AR1155" s="72"/>
      <c r="AU1155" s="70"/>
      <c r="AV1155" s="77"/>
      <c r="AW1155" s="78"/>
      <c r="AX1155" s="75"/>
      <c r="BA1155" s="76"/>
    </row>
    <row r="1156" spans="41:53">
      <c r="AO1156" s="39"/>
      <c r="AP1156" s="70"/>
      <c r="AQ1156" s="71"/>
      <c r="AR1156" s="72"/>
      <c r="AU1156" s="70"/>
      <c r="AV1156" s="77"/>
      <c r="AW1156" s="78"/>
      <c r="AX1156" s="75"/>
      <c r="BA1156" s="76"/>
    </row>
    <row r="1157" spans="41:53">
      <c r="AO1157" s="39"/>
      <c r="AP1157" s="70"/>
      <c r="AQ1157" s="71"/>
      <c r="AR1157" s="72"/>
      <c r="AU1157" s="70"/>
      <c r="AV1157" s="77"/>
      <c r="AW1157" s="78"/>
      <c r="AX1157" s="75"/>
      <c r="BA1157" s="76"/>
    </row>
    <row r="1158" spans="41:53">
      <c r="AO1158" s="39"/>
      <c r="AP1158" s="70"/>
      <c r="AQ1158" s="71"/>
      <c r="AR1158" s="72"/>
      <c r="AU1158" s="70"/>
      <c r="AV1158" s="77"/>
      <c r="AW1158" s="78"/>
      <c r="AX1158" s="75"/>
      <c r="BA1158" s="76"/>
    </row>
    <row r="1159" spans="41:53">
      <c r="AO1159" s="39"/>
      <c r="AP1159" s="70"/>
      <c r="AQ1159" s="71"/>
      <c r="AR1159" s="72"/>
      <c r="AU1159" s="70"/>
      <c r="AV1159" s="77"/>
      <c r="AW1159" s="78"/>
      <c r="AX1159" s="75"/>
      <c r="BA1159" s="76"/>
    </row>
    <row r="1160" spans="41:53">
      <c r="AO1160" s="39"/>
      <c r="AP1160" s="70"/>
      <c r="AQ1160" s="71"/>
      <c r="AR1160" s="72"/>
      <c r="AU1160" s="70"/>
      <c r="AV1160" s="77"/>
      <c r="AW1160" s="78"/>
      <c r="AX1160" s="75"/>
      <c r="BA1160" s="76"/>
    </row>
    <row r="1161" spans="41:53">
      <c r="AO1161" s="39"/>
      <c r="AP1161" s="70"/>
      <c r="AQ1161" s="71"/>
      <c r="AR1161" s="72"/>
      <c r="AU1161" s="70"/>
      <c r="AV1161" s="77"/>
      <c r="AW1161" s="78"/>
      <c r="AX1161" s="75"/>
      <c r="BA1161" s="76"/>
    </row>
    <row r="1162" spans="41:53">
      <c r="AO1162" s="39"/>
      <c r="AP1162" s="70"/>
      <c r="AQ1162" s="71"/>
      <c r="AR1162" s="72"/>
      <c r="AU1162" s="70"/>
      <c r="AV1162" s="77"/>
      <c r="AW1162" s="78"/>
      <c r="AX1162" s="75"/>
      <c r="BA1162" s="76"/>
    </row>
    <row r="1163" spans="41:53">
      <c r="AO1163" s="39"/>
      <c r="AP1163" s="70"/>
      <c r="AQ1163" s="71"/>
      <c r="AR1163" s="72"/>
      <c r="AU1163" s="70"/>
      <c r="AV1163" s="77"/>
      <c r="AW1163" s="78"/>
      <c r="AX1163" s="75"/>
      <c r="BA1163" s="76"/>
    </row>
    <row r="1164" spans="41:53">
      <c r="AO1164" s="39"/>
      <c r="AP1164" s="70"/>
      <c r="AQ1164" s="71"/>
      <c r="AR1164" s="72"/>
      <c r="AU1164" s="70"/>
      <c r="AV1164" s="77"/>
      <c r="AW1164" s="78"/>
      <c r="AX1164" s="75"/>
      <c r="BA1164" s="76"/>
    </row>
    <row r="1165" spans="41:53">
      <c r="AO1165" s="39"/>
      <c r="AP1165" s="70"/>
      <c r="AQ1165" s="71"/>
      <c r="AR1165" s="72"/>
      <c r="AU1165" s="70"/>
      <c r="AV1165" s="77"/>
      <c r="AW1165" s="78"/>
      <c r="AX1165" s="75"/>
      <c r="BA1165" s="76"/>
    </row>
    <row r="1166" spans="41:53">
      <c r="AO1166" s="39"/>
      <c r="AP1166" s="70"/>
      <c r="AQ1166" s="71"/>
      <c r="AR1166" s="72"/>
      <c r="AU1166" s="70"/>
      <c r="AV1166" s="77"/>
      <c r="AW1166" s="78"/>
      <c r="AX1166" s="75"/>
      <c r="BA1166" s="76"/>
    </row>
    <row r="1167" spans="41:53">
      <c r="AO1167" s="39"/>
      <c r="AP1167" s="70"/>
      <c r="AQ1167" s="71"/>
      <c r="AR1167" s="72"/>
      <c r="AU1167" s="70"/>
      <c r="AV1167" s="77"/>
      <c r="AW1167" s="78"/>
      <c r="AX1167" s="75"/>
      <c r="BA1167" s="76"/>
    </row>
    <row r="1168" spans="41:53">
      <c r="AO1168" s="39"/>
      <c r="AP1168" s="70"/>
      <c r="AQ1168" s="71"/>
      <c r="AR1168" s="72"/>
      <c r="AU1168" s="70"/>
      <c r="AV1168" s="77"/>
      <c r="AW1168" s="78"/>
      <c r="AX1168" s="75"/>
      <c r="BA1168" s="76"/>
    </row>
    <row r="1169" spans="41:53">
      <c r="AO1169" s="39"/>
      <c r="AP1169" s="70"/>
      <c r="AQ1169" s="71"/>
      <c r="AR1169" s="72"/>
      <c r="AU1169" s="70"/>
      <c r="AV1169" s="77"/>
      <c r="AW1169" s="78"/>
      <c r="AX1169" s="75"/>
      <c r="BA1169" s="76"/>
    </row>
    <row r="1170" spans="41:53">
      <c r="AO1170" s="39"/>
      <c r="AP1170" s="70"/>
      <c r="AQ1170" s="71"/>
      <c r="AR1170" s="72"/>
      <c r="AU1170" s="70"/>
      <c r="AV1170" s="77"/>
      <c r="AW1170" s="78"/>
      <c r="AX1170" s="75"/>
      <c r="BA1170" s="76"/>
    </row>
    <row r="1171" spans="41:53">
      <c r="AO1171" s="39"/>
      <c r="AP1171" s="70"/>
      <c r="AQ1171" s="71"/>
      <c r="AR1171" s="72"/>
      <c r="AU1171" s="70"/>
      <c r="AV1171" s="77"/>
      <c r="AW1171" s="78"/>
      <c r="AX1171" s="75"/>
      <c r="BA1171" s="76"/>
    </row>
    <row r="1172" spans="41:53">
      <c r="AO1172" s="39"/>
      <c r="AP1172" s="70"/>
      <c r="AQ1172" s="71"/>
      <c r="AR1172" s="72"/>
      <c r="AU1172" s="70"/>
      <c r="AV1172" s="77"/>
      <c r="AW1172" s="78"/>
      <c r="AX1172" s="75"/>
      <c r="BA1172" s="76"/>
    </row>
    <row r="1173" spans="41:53">
      <c r="AO1173" s="39"/>
      <c r="AP1173" s="70"/>
      <c r="AQ1173" s="71"/>
      <c r="AR1173" s="72"/>
      <c r="AU1173" s="70"/>
      <c r="AV1173" s="77"/>
      <c r="AW1173" s="78"/>
      <c r="AX1173" s="75"/>
      <c r="BA1173" s="76"/>
    </row>
    <row r="1174" spans="41:53">
      <c r="AO1174" s="39"/>
      <c r="AP1174" s="70"/>
      <c r="AQ1174" s="71"/>
      <c r="AR1174" s="72"/>
      <c r="AU1174" s="70"/>
      <c r="AV1174" s="77"/>
      <c r="AW1174" s="78"/>
      <c r="AX1174" s="75"/>
      <c r="BA1174" s="76"/>
    </row>
    <row r="1175" spans="41:53">
      <c r="AO1175" s="39"/>
      <c r="AP1175" s="70"/>
      <c r="AQ1175" s="71"/>
      <c r="AR1175" s="72"/>
      <c r="AU1175" s="70"/>
      <c r="AV1175" s="77"/>
      <c r="AW1175" s="78"/>
      <c r="AX1175" s="75"/>
      <c r="BA1175" s="76"/>
    </row>
    <row r="1176" spans="41:53">
      <c r="AO1176" s="39"/>
      <c r="AP1176" s="70"/>
      <c r="AQ1176" s="71"/>
      <c r="AR1176" s="72"/>
      <c r="AU1176" s="70"/>
      <c r="AV1176" s="77"/>
      <c r="AW1176" s="78"/>
      <c r="AX1176" s="75"/>
      <c r="BA1176" s="76"/>
    </row>
    <row r="1177" spans="41:53">
      <c r="AO1177" s="39"/>
      <c r="AP1177" s="70"/>
      <c r="AQ1177" s="71"/>
      <c r="AR1177" s="72"/>
      <c r="AU1177" s="70"/>
      <c r="AV1177" s="77"/>
      <c r="AW1177" s="78"/>
      <c r="AX1177" s="75"/>
      <c r="BA1177" s="76"/>
    </row>
    <row r="1178" spans="41:53">
      <c r="AO1178" s="39"/>
      <c r="AP1178" s="70"/>
      <c r="AQ1178" s="71"/>
      <c r="AR1178" s="72"/>
      <c r="AU1178" s="70"/>
      <c r="AV1178" s="77"/>
      <c r="AW1178" s="78"/>
      <c r="AX1178" s="75"/>
      <c r="BA1178" s="76"/>
    </row>
    <row r="1179" spans="41:53">
      <c r="AO1179" s="39"/>
      <c r="AP1179" s="70"/>
      <c r="AQ1179" s="71"/>
      <c r="AR1179" s="72"/>
      <c r="AU1179" s="70"/>
      <c r="AV1179" s="77"/>
      <c r="AW1179" s="78"/>
      <c r="AX1179" s="75"/>
      <c r="BA1179" s="76"/>
    </row>
    <row r="1180" spans="41:53">
      <c r="AO1180" s="39"/>
      <c r="AP1180" s="70"/>
      <c r="AQ1180" s="71"/>
      <c r="AR1180" s="72"/>
      <c r="AU1180" s="70"/>
      <c r="AV1180" s="77"/>
      <c r="AW1180" s="78"/>
      <c r="AX1180" s="75"/>
      <c r="BA1180" s="76"/>
    </row>
    <row r="1181" spans="41:53">
      <c r="AO1181" s="39"/>
      <c r="AP1181" s="70"/>
      <c r="AQ1181" s="71"/>
      <c r="AR1181" s="72"/>
      <c r="AU1181" s="70"/>
      <c r="AV1181" s="77"/>
      <c r="AW1181" s="78"/>
      <c r="AX1181" s="75"/>
      <c r="BA1181" s="76"/>
    </row>
    <row r="1182" spans="41:53">
      <c r="AO1182" s="39"/>
      <c r="AP1182" s="70"/>
      <c r="AQ1182" s="71"/>
      <c r="AR1182" s="72"/>
      <c r="AU1182" s="70"/>
      <c r="AV1182" s="77"/>
      <c r="AW1182" s="78"/>
      <c r="AX1182" s="75"/>
      <c r="BA1182" s="76"/>
    </row>
    <row r="1183" spans="41:53">
      <c r="AO1183" s="39"/>
      <c r="AP1183" s="70"/>
      <c r="AQ1183" s="71"/>
      <c r="AR1183" s="72"/>
      <c r="AU1183" s="70"/>
      <c r="AV1183" s="77"/>
      <c r="AW1183" s="78"/>
      <c r="AX1183" s="75"/>
      <c r="BA1183" s="76"/>
    </row>
    <row r="1184" spans="41:53">
      <c r="AO1184" s="39"/>
      <c r="AP1184" s="70"/>
      <c r="AQ1184" s="71"/>
      <c r="AR1184" s="72"/>
      <c r="AU1184" s="70"/>
      <c r="AV1184" s="77"/>
      <c r="AW1184" s="78"/>
      <c r="AX1184" s="75"/>
      <c r="BA1184" s="76"/>
    </row>
    <row r="1185" spans="41:53">
      <c r="AO1185" s="39"/>
      <c r="AP1185" s="70"/>
      <c r="AQ1185" s="71"/>
      <c r="AR1185" s="72"/>
      <c r="AU1185" s="70"/>
      <c r="AV1185" s="77"/>
      <c r="AW1185" s="78"/>
      <c r="AX1185" s="75"/>
      <c r="BA1185" s="76"/>
    </row>
    <row r="1186" spans="41:53">
      <c r="AO1186" s="39"/>
      <c r="AP1186" s="70"/>
      <c r="AQ1186" s="71"/>
      <c r="AR1186" s="72"/>
      <c r="AU1186" s="70"/>
      <c r="AV1186" s="77"/>
      <c r="AW1186" s="78"/>
      <c r="AX1186" s="75"/>
      <c r="BA1186" s="76"/>
    </row>
    <row r="1187" spans="41:53">
      <c r="AO1187" s="39"/>
      <c r="AP1187" s="70"/>
      <c r="AQ1187" s="71"/>
      <c r="AR1187" s="72"/>
      <c r="AU1187" s="70"/>
      <c r="AV1187" s="77"/>
      <c r="AW1187" s="78"/>
      <c r="AX1187" s="75"/>
      <c r="BA1187" s="76"/>
    </row>
  </sheetData>
  <sortState ref="A2:BI188">
    <sortCondition ref="C2:C188"/>
    <sortCondition ref="D2:D188"/>
  </sortState>
  <conditionalFormatting sqref="K1 K348:K1048576 AL1 AL184:AL190 AK2 AK117:AK121 AK132 AK134:AK150 AK160:AK183 AL192 AL196:AL1048576 AK7:AK111 AK124:AK129">
    <cfRule type="cellIs" dxfId="198" priority="199" operator="equal">
      <formula>"Seeker"</formula>
    </cfRule>
    <cfRule type="cellIs" dxfId="197" priority="200" operator="equal">
      <formula>"Neutral"</formula>
    </cfRule>
    <cfRule type="cellIs" dxfId="196" priority="201" operator="equal">
      <formula>"Rogue"</formula>
    </cfRule>
    <cfRule type="cellIs" dxfId="195" priority="202" operator="equal">
      <formula>"Guardian"</formula>
    </cfRule>
    <cfRule type="cellIs" dxfId="194" priority="203" operator="equal">
      <formula>"Survivor"</formula>
    </cfRule>
    <cfRule type="cellIs" dxfId="193" priority="204" operator="equal">
      <formula>"Mystic"</formula>
    </cfRule>
  </conditionalFormatting>
  <conditionalFormatting sqref="K2:K99 K101:K104">
    <cfRule type="cellIs" dxfId="192" priority="193" operator="equal">
      <formula>"seeker"</formula>
    </cfRule>
    <cfRule type="cellIs" dxfId="191" priority="194" operator="equal">
      <formula>"neutral"</formula>
    </cfRule>
    <cfRule type="cellIs" dxfId="190" priority="195" operator="equal">
      <formula>"rogue"</formula>
    </cfRule>
    <cfRule type="cellIs" dxfId="189" priority="196" operator="equal">
      <formula>"Guardian"</formula>
    </cfRule>
    <cfRule type="cellIs" dxfId="188" priority="197" operator="equal">
      <formula>"Survivor"</formula>
    </cfRule>
    <cfRule type="cellIs" dxfId="187" priority="198" operator="equal">
      <formula>"Mystic"</formula>
    </cfRule>
  </conditionalFormatting>
  <conditionalFormatting sqref="K134:K152 K158:K169 K171:K193 K105:K122 K195:K347 K124:K132">
    <cfRule type="cellIs" dxfId="186" priority="187" operator="equal">
      <formula>"seeker"</formula>
    </cfRule>
    <cfRule type="cellIs" dxfId="185" priority="188" operator="equal">
      <formula>"neutral"</formula>
    </cfRule>
    <cfRule type="cellIs" dxfId="184" priority="189" operator="equal">
      <formula>"rogue"</formula>
    </cfRule>
    <cfRule type="cellIs" dxfId="183" priority="190" operator="equal">
      <formula>"Guardian"</formula>
    </cfRule>
    <cfRule type="cellIs" dxfId="182" priority="191" operator="equal">
      <formula>"Survivor"</formula>
    </cfRule>
    <cfRule type="cellIs" dxfId="181" priority="192" operator="equal">
      <formula>"Mystic"</formula>
    </cfRule>
  </conditionalFormatting>
  <conditionalFormatting sqref="K100">
    <cfRule type="cellIs" dxfId="180" priority="181" operator="equal">
      <formula>"seeker"</formula>
    </cfRule>
    <cfRule type="cellIs" dxfId="179" priority="182" operator="equal">
      <formula>"neutral"</formula>
    </cfRule>
    <cfRule type="cellIs" dxfId="178" priority="183" operator="equal">
      <formula>"rogue"</formula>
    </cfRule>
    <cfRule type="cellIs" dxfId="177" priority="184" operator="equal">
      <formula>"Guardian"</formula>
    </cfRule>
    <cfRule type="cellIs" dxfId="176" priority="185" operator="equal">
      <formula>"Survivor"</formula>
    </cfRule>
    <cfRule type="cellIs" dxfId="175" priority="186" operator="equal">
      <formula>"Mystic"</formula>
    </cfRule>
  </conditionalFormatting>
  <conditionalFormatting sqref="AL112:AL116">
    <cfRule type="cellIs" dxfId="174" priority="175" operator="equal">
      <formula>"seeker"</formula>
    </cfRule>
    <cfRule type="cellIs" dxfId="173" priority="176" operator="equal">
      <formula>"neutral"</formula>
    </cfRule>
    <cfRule type="cellIs" dxfId="172" priority="177" operator="equal">
      <formula>"rogue"</formula>
    </cfRule>
    <cfRule type="cellIs" dxfId="171" priority="178" operator="equal">
      <formula>"Guardian"</formula>
    </cfRule>
    <cfRule type="cellIs" dxfId="170" priority="179" operator="equal">
      <formula>"Survivor"</formula>
    </cfRule>
    <cfRule type="cellIs" dxfId="169" priority="180" operator="equal">
      <formula>"Mystic"</formula>
    </cfRule>
  </conditionalFormatting>
  <conditionalFormatting sqref="AL130:AL131">
    <cfRule type="cellIs" dxfId="168" priority="169" operator="equal">
      <formula>"seeker"</formula>
    </cfRule>
    <cfRule type="cellIs" dxfId="167" priority="170" operator="equal">
      <formula>"neutral"</formula>
    </cfRule>
    <cfRule type="cellIs" dxfId="166" priority="171" operator="equal">
      <formula>"rogue"</formula>
    </cfRule>
    <cfRule type="cellIs" dxfId="165" priority="172" operator="equal">
      <formula>"Guardian"</formula>
    </cfRule>
    <cfRule type="cellIs" dxfId="164" priority="173" operator="equal">
      <formula>"Survivor"</formula>
    </cfRule>
    <cfRule type="cellIs" dxfId="163" priority="174" operator="equal">
      <formula>"Mystic"</formula>
    </cfRule>
  </conditionalFormatting>
  <conditionalFormatting sqref="AK133">
    <cfRule type="cellIs" dxfId="162" priority="163" operator="equal">
      <formula>"Seeker"</formula>
    </cfRule>
    <cfRule type="cellIs" dxfId="161" priority="164" operator="equal">
      <formula>"Neutral"</formula>
    </cfRule>
    <cfRule type="cellIs" dxfId="160" priority="165" operator="equal">
      <formula>"Rogue"</formula>
    </cfRule>
    <cfRule type="cellIs" dxfId="159" priority="166" operator="equal">
      <formula>"Guardian"</formula>
    </cfRule>
    <cfRule type="cellIs" dxfId="158" priority="167" operator="equal">
      <formula>"Survivor"</formula>
    </cfRule>
    <cfRule type="cellIs" dxfId="157" priority="168" operator="equal">
      <formula>"Mystic"</formula>
    </cfRule>
  </conditionalFormatting>
  <conditionalFormatting sqref="K133">
    <cfRule type="cellIs" dxfId="156" priority="157" operator="equal">
      <formula>"seeker"</formula>
    </cfRule>
    <cfRule type="cellIs" dxfId="155" priority="158" operator="equal">
      <formula>"neutral"</formula>
    </cfRule>
    <cfRule type="cellIs" dxfId="154" priority="159" operator="equal">
      <formula>"rogue"</formula>
    </cfRule>
    <cfRule type="cellIs" dxfId="153" priority="160" operator="equal">
      <formula>"Guardian"</formula>
    </cfRule>
    <cfRule type="cellIs" dxfId="152" priority="161" operator="equal">
      <formula>"Survivor"</formula>
    </cfRule>
    <cfRule type="cellIs" dxfId="151" priority="162" operator="equal">
      <formula>"Mystic"</formula>
    </cfRule>
  </conditionalFormatting>
  <conditionalFormatting sqref="AL151:AL152 AL158:AL159">
    <cfRule type="cellIs" dxfId="150" priority="151" operator="equal">
      <formula>"seeker"</formula>
    </cfRule>
    <cfRule type="cellIs" dxfId="149" priority="152" operator="equal">
      <formula>"neutral"</formula>
    </cfRule>
    <cfRule type="cellIs" dxfId="148" priority="153" operator="equal">
      <formula>"rogue"</formula>
    </cfRule>
    <cfRule type="cellIs" dxfId="147" priority="154" operator="equal">
      <formula>"Guardian"</formula>
    </cfRule>
    <cfRule type="cellIs" dxfId="146" priority="155" operator="equal">
      <formula>"Survivor"</formula>
    </cfRule>
    <cfRule type="cellIs" dxfId="145" priority="156" operator="equal">
      <formula>"Mystic"</formula>
    </cfRule>
  </conditionalFormatting>
  <conditionalFormatting sqref="K153">
    <cfRule type="cellIs" dxfId="144" priority="145" operator="equal">
      <formula>"seeker"</formula>
    </cfRule>
    <cfRule type="cellIs" dxfId="143" priority="146" operator="equal">
      <formula>"neutral"</formula>
    </cfRule>
    <cfRule type="cellIs" dxfId="142" priority="147" operator="equal">
      <formula>"rogue"</formula>
    </cfRule>
    <cfRule type="cellIs" dxfId="141" priority="148" operator="equal">
      <formula>"Guardian"</formula>
    </cfRule>
    <cfRule type="cellIs" dxfId="140" priority="149" operator="equal">
      <formula>"Survivor"</formula>
    </cfRule>
    <cfRule type="cellIs" dxfId="139" priority="150" operator="equal">
      <formula>"Mystic"</formula>
    </cfRule>
  </conditionalFormatting>
  <conditionalFormatting sqref="AL153">
    <cfRule type="cellIs" dxfId="138" priority="139" operator="equal">
      <formula>"seeker"</formula>
    </cfRule>
    <cfRule type="cellIs" dxfId="137" priority="140" operator="equal">
      <formula>"neutral"</formula>
    </cfRule>
    <cfRule type="cellIs" dxfId="136" priority="141" operator="equal">
      <formula>"rogue"</formula>
    </cfRule>
    <cfRule type="cellIs" dxfId="135" priority="142" operator="equal">
      <formula>"Guardian"</formula>
    </cfRule>
    <cfRule type="cellIs" dxfId="134" priority="143" operator="equal">
      <formula>"Survivor"</formula>
    </cfRule>
    <cfRule type="cellIs" dxfId="133" priority="144" operator="equal">
      <formula>"Mystic"</formula>
    </cfRule>
  </conditionalFormatting>
  <conditionalFormatting sqref="K154">
    <cfRule type="cellIs" dxfId="132" priority="133" operator="equal">
      <formula>"seeker"</formula>
    </cfRule>
    <cfRule type="cellIs" dxfId="131" priority="134" operator="equal">
      <formula>"neutral"</formula>
    </cfRule>
    <cfRule type="cellIs" dxfId="130" priority="135" operator="equal">
      <formula>"rogue"</formula>
    </cfRule>
    <cfRule type="cellIs" dxfId="129" priority="136" operator="equal">
      <formula>"Guardian"</formula>
    </cfRule>
    <cfRule type="cellIs" dxfId="128" priority="137" operator="equal">
      <formula>"Survivor"</formula>
    </cfRule>
    <cfRule type="cellIs" dxfId="127" priority="138" operator="equal">
      <formula>"Mystic"</formula>
    </cfRule>
  </conditionalFormatting>
  <conditionalFormatting sqref="AL154">
    <cfRule type="cellIs" dxfId="126" priority="127" operator="equal">
      <formula>"seeker"</formula>
    </cfRule>
    <cfRule type="cellIs" dxfId="125" priority="128" operator="equal">
      <formula>"neutral"</formula>
    </cfRule>
    <cfRule type="cellIs" dxfId="124" priority="129" operator="equal">
      <formula>"rogue"</formula>
    </cfRule>
    <cfRule type="cellIs" dxfId="123" priority="130" operator="equal">
      <formula>"Guardian"</formula>
    </cfRule>
    <cfRule type="cellIs" dxfId="122" priority="131" operator="equal">
      <formula>"Survivor"</formula>
    </cfRule>
    <cfRule type="cellIs" dxfId="121" priority="132" operator="equal">
      <formula>"Mystic"</formula>
    </cfRule>
  </conditionalFormatting>
  <conditionalFormatting sqref="K155">
    <cfRule type="cellIs" dxfId="120" priority="121" operator="equal">
      <formula>"seeker"</formula>
    </cfRule>
    <cfRule type="cellIs" dxfId="119" priority="122" operator="equal">
      <formula>"neutral"</formula>
    </cfRule>
    <cfRule type="cellIs" dxfId="118" priority="123" operator="equal">
      <formula>"rogue"</formula>
    </cfRule>
    <cfRule type="cellIs" dxfId="117" priority="124" operator="equal">
      <formula>"Guardian"</formula>
    </cfRule>
    <cfRule type="cellIs" dxfId="116" priority="125" operator="equal">
      <formula>"Survivor"</formula>
    </cfRule>
    <cfRule type="cellIs" dxfId="115" priority="126" operator="equal">
      <formula>"Mystic"</formula>
    </cfRule>
  </conditionalFormatting>
  <conditionalFormatting sqref="AL155">
    <cfRule type="cellIs" dxfId="114" priority="115" operator="equal">
      <formula>"seeker"</formula>
    </cfRule>
    <cfRule type="cellIs" dxfId="113" priority="116" operator="equal">
      <formula>"neutral"</formula>
    </cfRule>
    <cfRule type="cellIs" dxfId="112" priority="117" operator="equal">
      <formula>"rogue"</formula>
    </cfRule>
    <cfRule type="cellIs" dxfId="111" priority="118" operator="equal">
      <formula>"Guardian"</formula>
    </cfRule>
    <cfRule type="cellIs" dxfId="110" priority="119" operator="equal">
      <formula>"Survivor"</formula>
    </cfRule>
    <cfRule type="cellIs" dxfId="109" priority="120" operator="equal">
      <formula>"Mystic"</formula>
    </cfRule>
  </conditionalFormatting>
  <conditionalFormatting sqref="K156">
    <cfRule type="cellIs" dxfId="108" priority="109" operator="equal">
      <formula>"seeker"</formula>
    </cfRule>
    <cfRule type="cellIs" dxfId="107" priority="110" operator="equal">
      <formula>"neutral"</formula>
    </cfRule>
    <cfRule type="cellIs" dxfId="106" priority="111" operator="equal">
      <formula>"rogue"</formula>
    </cfRule>
    <cfRule type="cellIs" dxfId="105" priority="112" operator="equal">
      <formula>"Guardian"</formula>
    </cfRule>
    <cfRule type="cellIs" dxfId="104" priority="113" operator="equal">
      <formula>"Survivor"</formula>
    </cfRule>
    <cfRule type="cellIs" dxfId="103" priority="114" operator="equal">
      <formula>"Mystic"</formula>
    </cfRule>
  </conditionalFormatting>
  <conditionalFormatting sqref="AL156">
    <cfRule type="cellIs" dxfId="102" priority="103" operator="equal">
      <formula>"seeker"</formula>
    </cfRule>
    <cfRule type="cellIs" dxfId="101" priority="104" operator="equal">
      <formula>"neutral"</formula>
    </cfRule>
    <cfRule type="cellIs" dxfId="100" priority="105" operator="equal">
      <formula>"rogue"</formula>
    </cfRule>
    <cfRule type="cellIs" dxfId="99" priority="106" operator="equal">
      <formula>"Guardian"</formula>
    </cfRule>
    <cfRule type="cellIs" dxfId="98" priority="107" operator="equal">
      <formula>"Survivor"</formula>
    </cfRule>
    <cfRule type="cellIs" dxfId="97" priority="108" operator="equal">
      <formula>"Mystic"</formula>
    </cfRule>
  </conditionalFormatting>
  <conditionalFormatting sqref="K157">
    <cfRule type="cellIs" dxfId="96" priority="97" operator="equal">
      <formula>"seeker"</formula>
    </cfRule>
    <cfRule type="cellIs" dxfId="95" priority="98" operator="equal">
      <formula>"neutral"</formula>
    </cfRule>
    <cfRule type="cellIs" dxfId="94" priority="99" operator="equal">
      <formula>"rogue"</formula>
    </cfRule>
    <cfRule type="cellIs" dxfId="93" priority="100" operator="equal">
      <formula>"Guardian"</formula>
    </cfRule>
    <cfRule type="cellIs" dxfId="92" priority="101" operator="equal">
      <formula>"Survivor"</formula>
    </cfRule>
    <cfRule type="cellIs" dxfId="91" priority="102" operator="equal">
      <formula>"Mystic"</formula>
    </cfRule>
  </conditionalFormatting>
  <conditionalFormatting sqref="AL157">
    <cfRule type="cellIs" dxfId="90" priority="91" operator="equal">
      <formula>"seeker"</formula>
    </cfRule>
    <cfRule type="cellIs" dxfId="89" priority="92" operator="equal">
      <formula>"neutral"</formula>
    </cfRule>
    <cfRule type="cellIs" dxfId="88" priority="93" operator="equal">
      <formula>"rogue"</formula>
    </cfRule>
    <cfRule type="cellIs" dxfId="87" priority="94" operator="equal">
      <formula>"Guardian"</formula>
    </cfRule>
    <cfRule type="cellIs" dxfId="86" priority="95" operator="equal">
      <formula>"Survivor"</formula>
    </cfRule>
    <cfRule type="cellIs" dxfId="85" priority="96" operator="equal">
      <formula>"Mystic"</formula>
    </cfRule>
  </conditionalFormatting>
  <conditionalFormatting sqref="K170">
    <cfRule type="cellIs" dxfId="84" priority="85" operator="equal">
      <formula>"seeker"</formula>
    </cfRule>
    <cfRule type="cellIs" dxfId="83" priority="86" operator="equal">
      <formula>"neutral"</formula>
    </cfRule>
    <cfRule type="cellIs" dxfId="82" priority="87" operator="equal">
      <formula>"rogue"</formula>
    </cfRule>
    <cfRule type="cellIs" dxfId="81" priority="88" operator="equal">
      <formula>"Guardian"</formula>
    </cfRule>
    <cfRule type="cellIs" dxfId="80" priority="89" operator="equal">
      <formula>"Survivor"</formula>
    </cfRule>
    <cfRule type="cellIs" dxfId="79" priority="90" operator="equal">
      <formula>"Mystic"</formula>
    </cfRule>
  </conditionalFormatting>
  <conditionalFormatting sqref="AK190">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AL191">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L193">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K194">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L195">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AL194">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K3">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AK4">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K5">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AK6">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AK122">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AK123">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J123">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89"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108">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96">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60">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60">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96">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108">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72">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108">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56">
      <c r="A798" s="3" t="s">
        <v>3799</v>
      </c>
      <c r="B798" s="5" t="s">
        <v>3421</v>
      </c>
      <c r="C798" s="3"/>
    </row>
    <row r="799" spans="1:3" ht="120">
      <c r="A799" s="3" t="s">
        <v>3800</v>
      </c>
      <c r="B799" s="5" t="s">
        <v>3422</v>
      </c>
      <c r="C799" s="3"/>
    </row>
    <row r="800" spans="1:3" ht="108">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20">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22" sqref="B22"/>
    </sheetView>
  </sheetViews>
  <sheetFormatPr defaultRowHeight="15"/>
  <cols>
    <col min="2" max="2" width="3.5703125" style="37" bestFit="1" customWidth="1"/>
    <col min="3" max="3" width="12.140625" bestFit="1" customWidth="1"/>
  </cols>
  <sheetData>
    <row r="2" spans="2:3">
      <c r="B2" s="36" t="s">
        <v>4058</v>
      </c>
      <c r="C2" s="31" t="s">
        <v>1939</v>
      </c>
    </row>
    <row r="3" spans="2:3">
      <c r="B3" s="32" t="s">
        <v>4059</v>
      </c>
      <c r="C3" s="31" t="s">
        <v>4039</v>
      </c>
    </row>
    <row r="4" spans="2:3">
      <c r="B4" s="36" t="s">
        <v>4060</v>
      </c>
      <c r="C4" s="31" t="s">
        <v>4040</v>
      </c>
    </row>
    <row r="5" spans="2:3">
      <c r="B5" s="36" t="s">
        <v>4061</v>
      </c>
      <c r="C5" s="31" t="s">
        <v>4041</v>
      </c>
    </row>
    <row r="6" spans="2:3">
      <c r="B6" s="36" t="s">
        <v>4062</v>
      </c>
      <c r="C6" s="31" t="s">
        <v>4042</v>
      </c>
    </row>
    <row r="7" spans="2:3">
      <c r="B7" s="36" t="s">
        <v>4063</v>
      </c>
      <c r="C7" s="31" t="s">
        <v>4043</v>
      </c>
    </row>
    <row r="8" spans="2:3">
      <c r="B8" s="36" t="s">
        <v>4064</v>
      </c>
      <c r="C8" s="31" t="s">
        <v>4044</v>
      </c>
    </row>
    <row r="9" spans="2:3">
      <c r="B9" s="36" t="s">
        <v>4065</v>
      </c>
      <c r="C9" s="31" t="s">
        <v>4045</v>
      </c>
    </row>
    <row r="10" spans="2:3">
      <c r="B10" s="36" t="s">
        <v>4066</v>
      </c>
      <c r="C10" s="31" t="s">
        <v>4046</v>
      </c>
    </row>
    <row r="11" spans="2:3">
      <c r="B11" s="36" t="s">
        <v>4067</v>
      </c>
      <c r="C11" s="31" t="s">
        <v>4047</v>
      </c>
    </row>
    <row r="12" spans="2:3">
      <c r="B12" s="36" t="s">
        <v>4068</v>
      </c>
      <c r="C12" s="31" t="s">
        <v>4048</v>
      </c>
    </row>
    <row r="13" spans="2:3">
      <c r="B13" s="32" t="s">
        <v>4069</v>
      </c>
      <c r="C13" s="31" t="s">
        <v>4049</v>
      </c>
    </row>
    <row r="14" spans="2:3">
      <c r="B14" s="32" t="s">
        <v>4070</v>
      </c>
      <c r="C14" s="31" t="s">
        <v>4050</v>
      </c>
    </row>
    <row r="15" spans="2:3">
      <c r="B15" s="32" t="s">
        <v>4071</v>
      </c>
      <c r="C15" s="31" t="s">
        <v>4051</v>
      </c>
    </row>
    <row r="16" spans="2:3">
      <c r="B16" s="32" t="s">
        <v>4072</v>
      </c>
      <c r="C16" s="31" t="s">
        <v>4052</v>
      </c>
    </row>
    <row r="17" spans="2:3">
      <c r="B17" s="32" t="s">
        <v>4073</v>
      </c>
      <c r="C17" s="31" t="s">
        <v>4053</v>
      </c>
    </row>
    <row r="18" spans="2:3">
      <c r="B18" s="32" t="s">
        <v>4074</v>
      </c>
      <c r="C18" s="31" t="s">
        <v>4054</v>
      </c>
    </row>
    <row r="19" spans="2:3">
      <c r="B19" s="32" t="s">
        <v>4075</v>
      </c>
      <c r="C19" s="31" t="s">
        <v>4055</v>
      </c>
    </row>
    <row r="20" spans="2:3">
      <c r="B20" s="32" t="s">
        <v>4076</v>
      </c>
      <c r="C20" s="31" t="s">
        <v>4056</v>
      </c>
    </row>
    <row r="21" spans="2:3">
      <c r="B21" s="32" t="s">
        <v>4077</v>
      </c>
      <c r="C21" s="31" t="s">
        <v>3</v>
      </c>
    </row>
    <row r="22" spans="2:3">
      <c r="B22" s="32" t="s">
        <v>4078</v>
      </c>
      <c r="C22" s="31"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5"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5"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5"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5"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5"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5"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5"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5"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5"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5"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2016-12-31T03:23:22Z</dcterms:modified>
</cp:coreProperties>
</file>