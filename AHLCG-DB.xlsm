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activeTab="1"/>
  </bookViews>
  <sheets>
    <sheet name="Sets" sheetId="2" r:id="rId1"/>
    <sheet name="Card Data" sheetId="1" r:id="rId2"/>
    <sheet name="FAQ" sheetId="3" r:id="rId3"/>
    <sheet name="Special Characters" sheetId="7" r:id="rId4"/>
    <sheet name="Tables" sheetId="4" state="hidden" r:id="rId5"/>
    <sheet name="Sheet2" sheetId="6" state="hidden" r:id="rId6"/>
    <sheet name="Sheet1" sheetId="8" r:id="rId7"/>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E15" i="8" l="1"/>
  <c r="C15" i="8"/>
  <c r="D15" i="8"/>
  <c r="H3" i="8"/>
  <c r="H35" i="8"/>
  <c r="H59" i="8"/>
  <c r="H15" i="8"/>
  <c r="E16" i="8"/>
  <c r="D16" i="8"/>
  <c r="C16" i="8"/>
  <c r="H16" i="8" s="1"/>
  <c r="E18" i="8"/>
  <c r="D18" i="8"/>
  <c r="C18" i="8"/>
  <c r="H18" i="8" s="1"/>
  <c r="E20" i="8"/>
  <c r="D20" i="8"/>
  <c r="C20" i="8"/>
  <c r="H20" i="8" s="1"/>
  <c r="E22" i="8"/>
  <c r="D22" i="8"/>
  <c r="C22" i="8"/>
  <c r="H22" i="8" s="1"/>
  <c r="E24" i="8"/>
  <c r="D24" i="8"/>
  <c r="C24" i="8"/>
  <c r="H24" i="8" s="1"/>
  <c r="E26" i="8"/>
  <c r="D26" i="8"/>
  <c r="C26" i="8"/>
  <c r="H26" i="8" s="1"/>
  <c r="E28" i="8"/>
  <c r="D28" i="8"/>
  <c r="C28" i="8"/>
  <c r="H28" i="8" s="1"/>
  <c r="E30" i="8"/>
  <c r="D30" i="8"/>
  <c r="C30" i="8"/>
  <c r="H30" i="8" s="1"/>
  <c r="E32" i="8"/>
  <c r="D32" i="8"/>
  <c r="C32" i="8"/>
  <c r="H32" i="8" s="1"/>
  <c r="E34" i="8"/>
  <c r="D34" i="8"/>
  <c r="C34" i="8"/>
  <c r="H34" i="8" s="1"/>
  <c r="E36" i="8"/>
  <c r="D36" i="8"/>
  <c r="C36" i="8"/>
  <c r="H36" i="8" s="1"/>
  <c r="E38" i="8"/>
  <c r="D38" i="8"/>
  <c r="C38" i="8"/>
  <c r="H38" i="8" s="1"/>
  <c r="E40" i="8"/>
  <c r="D40" i="8"/>
  <c r="C40" i="8"/>
  <c r="H40" i="8" s="1"/>
  <c r="E42" i="8"/>
  <c r="D42" i="8"/>
  <c r="C42" i="8"/>
  <c r="H42" i="8" s="1"/>
  <c r="E44" i="8"/>
  <c r="D44" i="8"/>
  <c r="C44" i="8"/>
  <c r="H44" i="8" s="1"/>
  <c r="E46" i="8"/>
  <c r="D46" i="8"/>
  <c r="C46" i="8"/>
  <c r="H46" i="8" s="1"/>
  <c r="E48" i="8"/>
  <c r="D48" i="8"/>
  <c r="C48" i="8"/>
  <c r="H48" i="8" s="1"/>
  <c r="E50" i="8"/>
  <c r="D50" i="8"/>
  <c r="C50" i="8"/>
  <c r="H50" i="8" s="1"/>
  <c r="C13" i="8"/>
  <c r="H13" i="8" s="1"/>
  <c r="D13" i="8"/>
  <c r="E13" i="8"/>
  <c r="C3" i="8"/>
  <c r="D3" i="8"/>
  <c r="E3" i="8"/>
  <c r="C4" i="8"/>
  <c r="H4" i="8" s="1"/>
  <c r="D4" i="8"/>
  <c r="E4" i="8"/>
  <c r="C5" i="8"/>
  <c r="H5" i="8" s="1"/>
  <c r="D5" i="8"/>
  <c r="E5" i="8"/>
  <c r="C6" i="8"/>
  <c r="H6" i="8" s="1"/>
  <c r="D6" i="8"/>
  <c r="E6" i="8"/>
  <c r="C7" i="8"/>
  <c r="H7" i="8" s="1"/>
  <c r="D7" i="8"/>
  <c r="E7" i="8"/>
  <c r="C8" i="8"/>
  <c r="H8" i="8" s="1"/>
  <c r="D8" i="8"/>
  <c r="E8" i="8"/>
  <c r="C9" i="8"/>
  <c r="H9" i="8" s="1"/>
  <c r="D9" i="8"/>
  <c r="E9" i="8"/>
  <c r="C10" i="8"/>
  <c r="H10" i="8" s="1"/>
  <c r="D10" i="8"/>
  <c r="E10" i="8"/>
  <c r="C11" i="8"/>
  <c r="H11" i="8" s="1"/>
  <c r="D11" i="8"/>
  <c r="E11" i="8"/>
  <c r="C12" i="8"/>
  <c r="H12" i="8" s="1"/>
  <c r="D12" i="8"/>
  <c r="E12" i="8"/>
  <c r="C14" i="8"/>
  <c r="H14" i="8" s="1"/>
  <c r="D14" i="8"/>
  <c r="E14" i="8"/>
  <c r="C17" i="8"/>
  <c r="H17" i="8" s="1"/>
  <c r="D17" i="8"/>
  <c r="E17" i="8"/>
  <c r="C19" i="8"/>
  <c r="H19" i="8" s="1"/>
  <c r="D19" i="8"/>
  <c r="E19" i="8"/>
  <c r="C21" i="8"/>
  <c r="H21" i="8" s="1"/>
  <c r="D21" i="8"/>
  <c r="E21" i="8"/>
  <c r="C23" i="8"/>
  <c r="H23" i="8" s="1"/>
  <c r="D23" i="8"/>
  <c r="E23" i="8"/>
  <c r="C25" i="8"/>
  <c r="H25" i="8" s="1"/>
  <c r="D25" i="8"/>
  <c r="E25" i="8"/>
  <c r="C27" i="8"/>
  <c r="H27" i="8" s="1"/>
  <c r="D27" i="8"/>
  <c r="E27" i="8"/>
  <c r="C29" i="8"/>
  <c r="H29" i="8" s="1"/>
  <c r="D29" i="8"/>
  <c r="E29" i="8"/>
  <c r="C31" i="8"/>
  <c r="H31" i="8" s="1"/>
  <c r="D31" i="8"/>
  <c r="E31" i="8"/>
  <c r="C33" i="8"/>
  <c r="H33" i="8" s="1"/>
  <c r="D33" i="8"/>
  <c r="E33" i="8"/>
  <c r="C35" i="8"/>
  <c r="D35" i="8"/>
  <c r="E35" i="8"/>
  <c r="C37" i="8"/>
  <c r="H37" i="8" s="1"/>
  <c r="D37" i="8"/>
  <c r="E37" i="8"/>
  <c r="C39" i="8"/>
  <c r="H39" i="8" s="1"/>
  <c r="D39" i="8"/>
  <c r="E39" i="8"/>
  <c r="C41" i="8"/>
  <c r="H41" i="8" s="1"/>
  <c r="D41" i="8"/>
  <c r="E41" i="8"/>
  <c r="C43" i="8"/>
  <c r="H43" i="8" s="1"/>
  <c r="D43" i="8"/>
  <c r="E43" i="8"/>
  <c r="C45" i="8"/>
  <c r="H45" i="8" s="1"/>
  <c r="D45" i="8"/>
  <c r="E45" i="8"/>
  <c r="C47" i="8"/>
  <c r="H47" i="8" s="1"/>
  <c r="D47" i="8"/>
  <c r="E47" i="8"/>
  <c r="C49" i="8"/>
  <c r="H49" i="8" s="1"/>
  <c r="D49" i="8"/>
  <c r="E49" i="8"/>
  <c r="C51" i="8"/>
  <c r="H51" i="8" s="1"/>
  <c r="D51" i="8"/>
  <c r="E51" i="8"/>
  <c r="C52" i="8"/>
  <c r="H52" i="8" s="1"/>
  <c r="D52" i="8"/>
  <c r="E52" i="8"/>
  <c r="C53" i="8"/>
  <c r="H53" i="8" s="1"/>
  <c r="D53" i="8"/>
  <c r="E53" i="8"/>
  <c r="C54" i="8"/>
  <c r="H54" i="8" s="1"/>
  <c r="D54" i="8"/>
  <c r="E54" i="8"/>
  <c r="C55" i="8"/>
  <c r="H55" i="8" s="1"/>
  <c r="D55" i="8"/>
  <c r="E55" i="8"/>
  <c r="C56" i="8"/>
  <c r="H56" i="8" s="1"/>
  <c r="D56" i="8"/>
  <c r="E56" i="8"/>
  <c r="C57" i="8"/>
  <c r="H57" i="8" s="1"/>
  <c r="D57" i="8"/>
  <c r="E57" i="8"/>
  <c r="C58" i="8"/>
  <c r="H58" i="8" s="1"/>
  <c r="D58" i="8"/>
  <c r="E58" i="8"/>
  <c r="C59" i="8"/>
  <c r="D59" i="8"/>
  <c r="E59" i="8"/>
  <c r="C60" i="8"/>
  <c r="H60" i="8" s="1"/>
  <c r="D60" i="8"/>
  <c r="E60" i="8"/>
  <c r="D2" i="8"/>
  <c r="C2" i="8"/>
  <c r="H2" i="8" s="1"/>
  <c r="E2" i="8"/>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<sst xmlns="http://schemas.openxmlformats.org/spreadsheetml/2006/main" count="9690" uniqueCount="6037">
  <si>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</si>
  <si>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</si>
  <si>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</si>
  <si>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</si>
  <si>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</si>
  <si>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</si>
  <si>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</si>
  <si>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</si>
  <si>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</si>
  <si>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</si>
  <si>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</si>
  <si>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</si>
  <si>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</si>
  <si>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</si>
  <si>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</si>
  <si>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</si>
  <si>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</si>
  <si>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</si>
  <si>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</si>
  <si>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</si>
  <si>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</si>
  <si>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</si>
  <si>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</si>
  <si>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</si>
  <si>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</si>
  <si>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</si>
  <si>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</si>
  <si>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</si>
  <si>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</si>
  <si>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</si>
  <si>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</si>
  <si>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</si>
  <si>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</si>
  <si>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</si>
  <si>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</si>
  <si>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</si>
  <si>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</si>
  <si>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</si>
  <si>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</si>
  <si>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</si>
  <si>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</si>
  <si>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</si>
  <si>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</si>
  <si>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</si>
  <si>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</si>
  <si>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</si>
  <si>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</si>
  <si>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</si>
  <si>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</si>
  <si>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</si>
  <si>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</si>
  <si>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</si>
  <si>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</si>
  <si>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</si>
  <si>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</si>
  <si>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</si>
  <si>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</si>
  <si>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</si>
  <si>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</si>
  <si>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</si>
  <si>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</si>
  <si>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</si>
  <si>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</si>
  <si>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</si>
  <si>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</si>
  <si>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</si>
  <si>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</si>
  <si>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</si>
  <si>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</si>
  <si>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</si>
  <si>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</si>
  <si>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</si>
  <si>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</si>
  <si>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</si>
  <si>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</si>
  <si>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</si>
  <si>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</si>
  <si>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</si>
  <si>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</si>
  <si>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</si>
  <si>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</si>
  <si>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</si>
  <si>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</si>
  <si>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</si>
  <si>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</si>
  <si>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</si>
  <si>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</si>
  <si>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</si>
  <si>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</si>
  <si>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</si>
  <si>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</si>
  <si>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</si>
  <si>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</si>
  <si>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</si>
  <si>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</si>
  <si>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</si>
  <si>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</si>
  <si>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</si>
  <si>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</si>
  <si>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</si>
  <si>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</si>
  <si>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</si>
  <si>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</si>
  <si>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</si>
  <si>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</si>
  <si>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</si>
  <si>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</si>
  <si>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</si>
  <si>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</si>
  <si>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</si>
  <si>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</si>
  <si>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</si>
  <si>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</si>
  <si>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</si>
  <si>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</si>
  <si>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</si>
  <si>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</si>
  <si>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</si>
  <si>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</si>
  <si>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</si>
  <si>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</si>
  <si>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</si>
  <si>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</si>
  <si>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</si>
  <si>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</si>
  <si>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</si>
  <si>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</si>
  <si>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</si>
  <si>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</si>
  <si>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</si>
  <si>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</si>
  <si>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</si>
  <si>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</si>
  <si>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</si>
  <si>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</si>
  <si>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</si>
  <si>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</si>
  <si>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</si>
  <si>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</si>
  <si>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</si>
  <si>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</si>
  <si>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</si>
  <si>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</si>
  <si>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</si>
  <si>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</si>
  <si>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</si>
  <si>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</si>
  <si>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</si>
  <si>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</si>
  <si>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</si>
  <si>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</si>
  <si>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</si>
  <si>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</si>
  <si>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</si>
  <si>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</si>
  <si>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</si>
  <si>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</si>
  <si>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</si>
  <si>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</si>
  <si>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</si>
  <si>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</si>
  <si>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</si>
  <si>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</si>
  <si>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</si>
  <si>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</si>
  <si>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</si>
  <si>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</si>
  <si>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</si>
  <si>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</si>
  <si>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</si>
  <si>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</si>
  <si>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</si>
  <si>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</si>
  <si>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</si>
  <si>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</si>
  <si>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</si>
  <si>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</si>
  <si>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</si>
  <si>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</si>
  <si>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</si>
  <si>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</si>
  <si>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</si>
  <si>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</si>
  <si>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</si>
  <si>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</si>
  <si>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</si>
  <si>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</si>
  <si>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</si>
  <si>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</si>
  <si>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</si>
  <si>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</si>
  <si>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</si>
  <si>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</si>
  <si>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</si>
  <si>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</si>
  <si>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</si>
  <si>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</si>
  <si>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</si>
  <si>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</si>
  <si>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</si>
  <si>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</si>
  <si>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</si>
  <si>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</si>
  <si>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</si>
  <si>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</si>
  <si>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</si>
  <si>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</si>
  <si>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</si>
  <si>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</si>
  <si>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</si>
  <si>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</si>
  <si>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</si>
  <si>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</si>
  <si>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</si>
  <si>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</si>
  <si>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</si>
  <si>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</si>
  <si>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</si>
  <si>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</si>
  <si>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</si>
  <si>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</si>
  <si>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</si>
  <si>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</si>
  <si>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</si>
  <si>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</si>
  <si>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</si>
  <si>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</si>
  <si>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</si>
  <si>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</si>
  <si>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</si>
  <si>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</si>
  <si>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</si>
  <si>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</si>
  <si>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</si>
  <si>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</si>
  <si>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</si>
  <si>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</si>
  <si>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</si>
  <si>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</si>
  <si>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</si>
  <si>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</si>
  <si>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</si>
  <si>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</si>
  <si>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</si>
  <si>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</si>
  <si>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</si>
  <si>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</si>
  <si>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</si>
  <si>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</si>
  <si>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</si>
  <si>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</si>
  <si>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</si>
  <si>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</si>
  <si>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</si>
  <si>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</si>
  <si>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</si>
  <si>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</si>
  <si>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</si>
  <si>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</si>
  <si>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</si>
  <si>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</si>
  <si>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</si>
  <si>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</si>
  <si>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</si>
  <si>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</si>
  <si>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</si>
  <si>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</si>
  <si>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</si>
  <si>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</si>
  <si>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</si>
  <si>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</si>
  <si>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</si>
  <si>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</si>
  <si>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</si>
  <si>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</si>
  <si>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</si>
  <si>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</si>
  <si>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</si>
  <si>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</si>
  <si>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</si>
  <si>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</si>
  <si>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</si>
  <si>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</si>
  <si>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</si>
  <si>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</si>
  <si>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</si>
  <si>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</si>
  <si>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</si>
  <si>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</si>
  <si>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</si>
  <si>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</si>
  <si>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</si>
  <si>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</si>
  <si>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</si>
  <si>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</si>
  <si>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</si>
  <si>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</si>
  <si>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</si>
  <si>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</si>
  <si>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</si>
  <si>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</si>
  <si>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</si>
  <si>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</si>
  <si>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</si>
  <si>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</si>
  <si>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</si>
  <si>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</si>
  <si>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</si>
  <si>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</si>
  <si>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</si>
  <si>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</si>
  <si>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</si>
  <si>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</si>
  <si>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</si>
  <si>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</si>
  <si>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</si>
  <si>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</si>
  <si>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</si>
  <si>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</si>
  <si>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</si>
  <si>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</si>
  <si>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</si>
  <si>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</si>
  <si>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</si>
  <si>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</si>
  <si>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</si>
  <si>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</si>
  <si>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</si>
  <si>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</si>
  <si>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</si>
  <si>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</si>
  <si>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</si>
  <si>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</si>
  <si>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</si>
  <si>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</si>
  <si>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</si>
  <si>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</si>
  <si>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</si>
  <si>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</si>
  <si>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</si>
  <si>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</si>
  <si>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</si>
  <si>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</si>
  <si>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</si>
  <si>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</si>
  <si>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</si>
  <si>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</si>
  <si>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</si>
  <si>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</si>
  <si>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</si>
  <si>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</si>
  <si>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</si>
  <si>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</si>
  <si>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</si>
  <si>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</si>
  <si>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</si>
  <si>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</si>
  <si>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</si>
  <si>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</si>
  <si>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</si>
  <si>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</si>
  <si>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</si>
  <si>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</si>
  <si>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</si>
  <si>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</si>
  <si>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</si>
  <si>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</si>
  <si>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</si>
  <si>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</si>
  <si>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</si>
  <si>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</si>
  <si>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</si>
  <si>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</si>
  <si>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</si>
  <si>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</si>
  <si>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</si>
  <si>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</si>
  <si>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</si>
  <si>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</si>
  <si>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</si>
  <si>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</si>
  <si>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</si>
  <si>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</si>
  <si>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</si>
  <si>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</si>
  <si>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</si>
  <si>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</si>
  <si>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</si>
  <si>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</si>
  <si>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</si>
  <si>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</si>
  <si>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</si>
  <si>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</si>
  <si>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</si>
  <si>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</si>
  <si>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</si>
  <si>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</si>
  <si>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</si>
  <si>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</si>
  <si>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</si>
  <si>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</si>
  <si>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</si>
  <si>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</si>
  <si>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</si>
  <si>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</si>
  <si>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</si>
  <si>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</si>
  <si>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</si>
  <si>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</si>
  <si>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</si>
  <si>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</si>
  <si>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</si>
  <si>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</si>
  <si>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</si>
  <si>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</si>
  <si>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</si>
  <si>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</si>
  <si>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</si>
  <si>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</si>
  <si>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</si>
  <si>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</si>
  <si>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</si>
  <si>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</si>
  <si>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</si>
  <si>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</si>
  <si>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</si>
  <si>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</si>
  <si>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</si>
  <si>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</si>
  <si>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</si>
  <si>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</si>
  <si>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</si>
  <si>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</si>
  <si>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</si>
  <si>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</si>
  <si>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</si>
  <si>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</si>
  <si>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</si>
  <si>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</si>
  <si>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</si>
  <si>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</si>
  <si>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</si>
  <si>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</si>
  <si>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</si>
  <si>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</si>
  <si>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</si>
  <si>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</si>
  <si>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</si>
  <si>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</si>
  <si>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</si>
  <si>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</si>
  <si>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</si>
  <si>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</si>
  <si>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</si>
  <si>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</si>
  <si>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</si>
  <si>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</si>
  <si>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</si>
  <si>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</si>
  <si>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</si>
  <si>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</si>
  <si>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</si>
  <si>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</si>
  <si>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</si>
  <si>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</si>
  <si>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</si>
  <si>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</si>
  <si>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</si>
  <si>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</si>
  <si>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</si>
  <si>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</si>
  <si>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</si>
  <si>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</si>
  <si>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</si>
  <si>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</si>
  <si>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</si>
  <si>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</si>
  <si>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</si>
  <si>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</si>
  <si>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</si>
  <si>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</si>
  <si>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</si>
  <si>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</si>
  <si>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</si>
  <si>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</si>
  <si>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</si>
  <si>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</si>
  <si>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</si>
  <si>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</si>
  <si>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</si>
  <si>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</si>
  <si>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</si>
  <si>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</si>
  <si>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</si>
  <si>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</si>
  <si>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</si>
  <si>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</si>
  <si>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</si>
  <si>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</si>
  <si>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</si>
  <si>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</si>
  <si>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</si>
  <si>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</si>
  <si>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</si>
  <si>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</si>
  <si>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</si>
  <si>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</si>
  <si>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</si>
  <si>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</si>
  <si>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</si>
  <si>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</si>
  <si>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</si>
  <si>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</si>
  <si>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</si>
  <si>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</si>
  <si>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</si>
  <si>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</si>
  <si>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</si>
  <si>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</si>
  <si>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</si>
  <si>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</si>
  <si>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</si>
  <si>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</si>
  <si>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</si>
  <si>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</si>
  <si>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</si>
  <si>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</si>
  <si>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</si>
  <si>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</si>
  <si>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</si>
  <si>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</si>
  <si>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</si>
  <si>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</si>
  <si>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</si>
  <si>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</si>
  <si>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</si>
  <si>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</si>
  <si>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</si>
  <si>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</si>
  <si>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</si>
  <si>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</si>
  <si>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</si>
  <si>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</si>
  <si>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</si>
  <si>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</si>
  <si>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</si>
  <si>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</si>
  <si>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</si>
  <si>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</si>
  <si>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</si>
  <si>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</si>
  <si>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</si>
  <si>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</si>
  <si>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</si>
  <si>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</si>
  <si>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</si>
  <si>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</si>
  <si>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</si>
  <si>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</si>
  <si>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</si>
  <si>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</si>
  <si>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</si>
  <si>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</si>
  <si>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</si>
  <si>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</si>
  <si>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</si>
  <si>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</si>
  <si>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</si>
  <si>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</si>
  <si>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</si>
  <si>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</si>
  <si>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</si>
  <si>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</si>
  <si>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</si>
  <si>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</si>
  <si>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</si>
  <si>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</si>
  <si>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</si>
  <si>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</si>
  <si>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</si>
  <si>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</si>
  <si>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</si>
  <si>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</si>
  <si>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</si>
  <si>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</si>
  <si>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</si>
  <si>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</si>
  <si>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</si>
  <si>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</si>
  <si>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</si>
  <si>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</si>
  <si>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</si>
  <si>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</si>
  <si>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</si>
  <si>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</si>
  <si>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</si>
  <si>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</si>
  <si>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</si>
  <si>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</si>
  <si>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</si>
  <si>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</si>
  <si>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</si>
  <si>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</si>
  <si>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</si>
  <si>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</si>
  <si>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</si>
  <si>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</si>
  <si>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</si>
  <si>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</si>
  <si>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</si>
  <si>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</si>
  <si>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</si>
  <si>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</si>
  <si>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</si>
  <si>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</si>
  <si>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</si>
  <si>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</si>
  <si>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</si>
  <si>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</si>
  <si>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</si>
  <si>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</si>
  <si>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</si>
  <si>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</si>
  <si>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</si>
  <si>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</si>
  <si>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</si>
  <si>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</si>
  <si>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</si>
  <si>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</si>
  <si>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</si>
  <si>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</si>
  <si>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</si>
  <si>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</si>
  <si>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</si>
  <si>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</si>
  <si>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</si>
  <si>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</si>
  <si>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</si>
  <si>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</si>
  <si>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</si>
  <si>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</si>
  <si>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</si>
  <si>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</si>
  <si>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</si>
  <si>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</si>
  <si>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</si>
  <si>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</si>
  <si>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</si>
  <si>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</si>
  <si>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</si>
  <si>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</si>
  <si>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</si>
  <si>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</si>
  <si>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</si>
  <si>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</si>
  <si>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</si>
  <si>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</si>
  <si>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</si>
  <si>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</si>
  <si>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</si>
  <si>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</si>
  <si>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</si>
  <si>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</si>
  <si>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</si>
  <si>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</si>
  <si>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</si>
  <si>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</si>
  <si>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</si>
  <si>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</si>
  <si>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</si>
  <si>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</si>
  <si>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</si>
  <si>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</si>
  <si>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</si>
  <si>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</si>
  <si>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</si>
  <si>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</si>
  <si>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</si>
  <si>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</si>
  <si>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</si>
  <si>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</si>
  <si>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</si>
  <si>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</si>
  <si>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</si>
  <si>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</si>
  <si>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</si>
  <si>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</si>
  <si>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</si>
  <si>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</si>
  <si>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</si>
  <si>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</si>
  <si>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</si>
  <si>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</si>
  <si>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</si>
  <si>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</si>
  <si>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</si>
  <si>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</si>
  <si>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</si>
  <si>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</si>
  <si>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</si>
  <si>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</si>
  <si>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</si>
  <si>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</si>
  <si>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</si>
  <si>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</si>
  <si>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</si>
  <si>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</si>
  <si>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</si>
  <si>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</si>
  <si>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</si>
  <si>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</si>
  <si>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</si>
  <si>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</si>
  <si>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</si>
  <si>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</si>
  <si>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</si>
  <si>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</si>
  <si>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</si>
  <si>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</si>
  <si>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</si>
  <si>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</si>
  <si>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</si>
  <si>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</si>
  <si>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</si>
  <si>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</si>
  <si>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</si>
  <si>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</si>
  <si>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</si>
  <si>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</si>
  <si>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</si>
  <si>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</si>
  <si>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</si>
  <si>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</si>
  <si>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</si>
  <si>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</si>
  <si>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</si>
  <si>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</si>
  <si>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</si>
  <si>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</si>
  <si>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</si>
  <si>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</si>
  <si>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</si>
  <si>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</si>
  <si>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</si>
  <si>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</si>
  <si>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</si>
  <si>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</si>
  <si>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</si>
  <si>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</si>
  <si>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</si>
  <si>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</si>
  <si>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</si>
  <si>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</si>
  <si>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</si>
  <si>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</si>
  <si>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</si>
  <si>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</si>
  <si>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</si>
  <si>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</si>
  <si>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</si>
  <si>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</si>
  <si>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</si>
  <si>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</si>
  <si>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</si>
  <si>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</si>
  <si>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</si>
  <si>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</si>
  <si>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</si>
  <si>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</si>
  <si>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</si>
  <si>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</si>
  <si>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</si>
  <si>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</si>
  <si>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</si>
  <si>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</si>
  <si>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</si>
  <si>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</si>
  <si>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</si>
  <si>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</si>
  <si>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</si>
  <si>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</si>
  <si>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</si>
  <si>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</si>
  <si>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</si>
  <si>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</si>
  <si>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</si>
  <si>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</si>
  <si>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</si>
  <si>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</si>
  <si>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</si>
  <si>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</si>
  <si>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</si>
  <si>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</si>
  <si>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</si>
  <si>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</si>
  <si>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</si>
  <si>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</si>
  <si>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</si>
  <si>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</si>
  <si>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</si>
  <si>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</si>
  <si>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</si>
  <si>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</si>
  <si>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</si>
  <si>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</si>
  <si>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</si>
  <si>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</si>
  <si>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</si>
  <si>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</si>
  <si>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</si>
  <si>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</si>
  <si>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</si>
  <si>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</si>
  <si>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</si>
  <si>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</si>
  <si>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</si>
  <si>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</si>
  <si>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</si>
  <si>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</si>
  <si>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</si>
  <si>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</si>
  <si>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</si>
  <si>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</si>
  <si>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</si>
  <si>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</si>
  <si>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</si>
  <si>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</si>
  <si>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</si>
  <si>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</si>
  <si>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</si>
  <si>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</si>
  <si>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</si>
  <si>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</si>
  <si>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</si>
  <si>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</si>
  <si>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</si>
  <si>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</si>
  <si>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</si>
  <si>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</si>
  <si>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</si>
  <si>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</si>
  <si>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</si>
  <si>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</si>
  <si>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</si>
  <si>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</si>
  <si>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</si>
  <si>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</si>
  <si>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</si>
  <si>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</si>
  <si>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</si>
  <si>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</si>
  <si>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</si>
  <si>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</si>
  <si>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</si>
  <si>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</si>
  <si>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</si>
  <si>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</si>
  <si>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</si>
  <si>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</si>
  <si>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</si>
  <si>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</si>
  <si>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</si>
  <si>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</si>
  <si>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</si>
  <si>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</si>
  <si>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</si>
  <si>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</si>
  <si>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</si>
  <si>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</si>
  <si>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</si>
  <si>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</si>
  <si>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</si>
  <si>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</si>
  <si>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</si>
  <si>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</si>
  <si>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</si>
  <si>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</si>
  <si>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</si>
  <si>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</si>
  <si>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</si>
  <si>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</si>
  <si>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</si>
  <si>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</si>
  <si>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</si>
  <si>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</si>
  <si>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</si>
  <si>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</si>
  <si>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</si>
  <si>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</si>
  <si>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</si>
  <si>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</si>
  <si>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</si>
  <si>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</si>
  <si>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</si>
  <si>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</si>
  <si>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</si>
  <si>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</si>
  <si>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</si>
  <si>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</si>
  <si>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</si>
  <si>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</si>
  <si>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</si>
  <si>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</si>
  <si>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</si>
  <si>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</si>
  <si>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</si>
  <si>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</si>
  <si>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</si>
  <si>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</si>
  <si>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</si>
  <si>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</si>
  <si>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</si>
  <si>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</si>
  <si>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</si>
  <si>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</si>
  <si>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</si>
  <si>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</si>
  <si>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</si>
  <si>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</si>
  <si>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</si>
  <si>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</si>
  <si>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</si>
  <si>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</si>
  <si>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</si>
  <si>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</si>
  <si>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</si>
  <si>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</si>
  <si>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</si>
  <si>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</si>
  <si>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</si>
  <si>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</si>
  <si>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</si>
  <si>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</si>
  <si>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</si>
  <si>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</si>
  <si>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</si>
  <si>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</si>
  <si>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</si>
  <si>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</si>
  <si>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</si>
  <si>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</si>
  <si>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</si>
  <si>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</si>
  <si>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</si>
  <si>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</si>
  <si>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</si>
  <si>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</si>
  <si>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</si>
  <si>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</si>
  <si>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</si>
  <si>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</si>
  <si>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</si>
  <si>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</si>
  <si>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</si>
  <si>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</si>
  <si>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</si>
  <si>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</si>
  <si>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</si>
  <si>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</si>
  <si>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</si>
  <si>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</si>
  <si>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</si>
  <si>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</si>
  <si>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</si>
  <si>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</si>
  <si>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</si>
  <si>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</si>
  <si>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</si>
  <si>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</si>
  <si>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</si>
  <si>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</si>
  <si>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</si>
  <si>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</si>
  <si>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</si>
  <si>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</si>
  <si>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</si>
  <si>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</si>
  <si>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</si>
  <si>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</si>
  <si>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</si>
  <si>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</si>
  <si>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</si>
  <si>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</si>
  <si>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</si>
  <si>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</si>
  <si>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</si>
  <si>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</si>
  <si>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</si>
  <si>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</si>
  <si>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</si>
  <si>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</si>
  <si>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</si>
  <si>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</si>
  <si>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</si>
  <si>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</si>
  <si>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</si>
  <si>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</si>
  <si>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</si>
  <si>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</si>
  <si>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</si>
  <si>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</si>
  <si>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</si>
  <si>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</si>
  <si>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</si>
  <si>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</si>
  <si>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</si>
  <si>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</si>
  <si>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</si>
  <si>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</si>
  <si>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</si>
  <si>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</si>
  <si>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</si>
  <si>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</si>
  <si>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</si>
  <si>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</si>
  <si>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</si>
  <si>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</si>
  <si>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</si>
  <si>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</si>
  <si>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</si>
  <si>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</si>
  <si>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</si>
  <si>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</si>
  <si>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</si>
  <si>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</si>
  <si>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</si>
  <si>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</si>
  <si>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</si>
  <si>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</si>
  <si>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</si>
  <si>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</si>
  <si>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</si>
  <si>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</si>
  <si>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</si>
  <si>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</si>
  <si>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</si>
  <si>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</si>
  <si>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</si>
  <si>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</si>
  <si>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</si>
  <si>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</si>
  <si>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</si>
  <si>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</si>
  <si>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</si>
  <si>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</si>
  <si>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</si>
  <si>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</si>
  <si>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</si>
  <si>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</si>
  <si>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</si>
  <si>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</si>
  <si>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</si>
  <si>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</si>
  <si>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</si>
  <si>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</si>
  <si>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</si>
  <si>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</si>
  <si>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</si>
  <si>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</si>
  <si>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</si>
  <si>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</si>
  <si>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</si>
  <si>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</si>
  <si>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</si>
  <si>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</si>
  <si>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</si>
  <si>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</si>
  <si>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</si>
  <si>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</si>
  <si>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</si>
  <si>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</si>
  <si>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</si>
  <si>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</si>
  <si>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</si>
  <si>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</si>
  <si>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</si>
  <si>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</si>
  <si>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</si>
  <si>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</si>
  <si>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</si>
  <si>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</si>
  <si>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</si>
  <si>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</si>
  <si>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</si>
  <si>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</si>
  <si>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</si>
  <si>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</si>
  <si>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</si>
  <si>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</si>
  <si>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</si>
  <si>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</si>
  <si>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</si>
  <si>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</si>
  <si>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</si>
  <si>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</si>
  <si>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</si>
  <si>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</si>
  <si>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</si>
  <si>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</si>
  <si>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</si>
  <si>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</si>
  <si>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</si>
  <si>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</si>
  <si>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</si>
  <si>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</si>
  <si>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</si>
  <si>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</si>
  <si>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</si>
  <si>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</si>
  <si>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</si>
  <si>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</si>
  <si>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</si>
  <si>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</si>
  <si>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</si>
  <si>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</si>
  <si>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</si>
  <si>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</si>
  <si>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</si>
  <si>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</si>
  <si>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</si>
  <si>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</si>
  <si>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</si>
  <si>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</si>
  <si>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</si>
  <si>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</si>
  <si>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</si>
  <si>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</si>
  <si>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</si>
  <si>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</si>
  <si>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</si>
  <si>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</si>
  <si>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</si>
  <si>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</si>
  <si>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</si>
  <si>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</si>
  <si>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</si>
  <si>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</si>
  <si>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</si>
  <si>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</si>
  <si>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</si>
  <si>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</si>
  <si>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</si>
  <si>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</si>
  <si>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</si>
  <si>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</si>
  <si>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</si>
  <si>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</si>
  <si>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</si>
  <si>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</si>
  <si>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</si>
  <si>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</si>
  <si>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</si>
  <si>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</si>
  <si>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</si>
  <si>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</si>
  <si>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</si>
  <si>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</si>
  <si>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</si>
  <si>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</si>
  <si>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</si>
  <si>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</si>
  <si>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</si>
  <si>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</si>
  <si>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</si>
  <si>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</si>
  <si>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</si>
  <si>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</si>
  <si>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</si>
  <si>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</si>
  <si>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</si>
  <si>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</si>
  <si>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</si>
  <si>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</si>
  <si>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</si>
  <si>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</si>
  <si>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</si>
  <si>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</si>
  <si>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</si>
  <si>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</si>
  <si>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</si>
  <si>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</si>
  <si>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</si>
  <si>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</si>
  <si>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</si>
  <si>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</si>
  <si>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</si>
  <si>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</si>
  <si>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</si>
  <si>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</si>
  <si>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</si>
  <si>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</si>
  <si>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</si>
  <si>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</si>
  <si>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</si>
  <si>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</si>
  <si>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</si>
  <si>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</si>
  <si>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</si>
  <si>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</si>
  <si>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</si>
  <si>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</si>
  <si>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</si>
  <si>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</si>
  <si>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</si>
  <si>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</si>
  <si>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</si>
  <si>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</si>
  <si>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</si>
  <si>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</si>
  <si>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</si>
  <si>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</si>
  <si>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</si>
  <si>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</si>
  <si>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</si>
  <si>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</si>
  <si>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</si>
  <si>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</si>
  <si>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</si>
  <si>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</si>
  <si>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</si>
  <si>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</si>
  <si>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</si>
  <si>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</si>
  <si>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</si>
  <si>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</si>
  <si>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</si>
  <si>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</si>
  <si>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</si>
  <si>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</si>
  <si>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</si>
  <si>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</si>
  <si>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</si>
  <si>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</si>
  <si>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</si>
  <si>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</si>
  <si>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</si>
  <si>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</si>
  <si>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</si>
  <si>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</si>
  <si>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</si>
  <si>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</si>
  <si>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</si>
  <si>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</si>
  <si>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</si>
  <si>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</si>
  <si>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</si>
  <si>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</si>
  <si>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</si>
  <si>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</si>
  <si>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</si>
  <si>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</si>
  <si>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</si>
  <si>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</si>
  <si>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</si>
  <si>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</si>
  <si>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</si>
  <si>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</si>
  <si>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</si>
  <si>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</si>
  <si>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</si>
  <si>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</si>
  <si>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</si>
  <si>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</si>
  <si>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</si>
  <si>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</si>
  <si>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</si>
  <si>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</si>
  <si>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</si>
  <si>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</si>
  <si>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</si>
  <si>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</si>
  <si>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</si>
  <si>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</si>
  <si>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</si>
  <si>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</si>
  <si>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</si>
  <si>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</si>
  <si>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</si>
  <si>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</si>
  <si>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</si>
  <si>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</si>
  <si>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</si>
  <si>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</si>
  <si>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</si>
  <si>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</si>
  <si>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</si>
  <si>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</si>
  <si>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</si>
  <si>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</si>
  <si>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</si>
  <si>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</si>
  <si>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</si>
  <si>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</si>
  <si>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</si>
  <si>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</si>
  <si>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</si>
  <si>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</si>
  <si>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</si>
  <si>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</si>
  <si>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</si>
  <si>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</si>
  <si>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</si>
  <si>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</si>
  <si>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</si>
  <si>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</si>
  <si>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</si>
  <si>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</si>
  <si>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</si>
  <si>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</si>
  <si>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</si>
  <si>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</si>
  <si>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</si>
  <si>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</si>
  <si>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</si>
  <si>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</si>
  <si>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</si>
  <si>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</si>
  <si>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</si>
  <si>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</si>
  <si>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</si>
  <si>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</si>
  <si>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</si>
  <si>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</si>
  <si>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</si>
  <si>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</si>
  <si>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</si>
  <si>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</si>
  <si>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</si>
  <si>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</si>
  <si>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</si>
  <si>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</si>
  <si>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</si>
  <si>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</si>
  <si>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</si>
  <si>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</si>
  <si>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</si>
  <si>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</si>
  <si>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</si>
  <si>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</si>
  <si>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</si>
  <si>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</si>
  <si>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</si>
  <si>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</si>
  <si>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</si>
  <si>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</si>
  <si>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</si>
  <si>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</si>
  <si>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</si>
  <si>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</si>
  <si>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</si>
  <si>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</si>
  <si>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</si>
  <si>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</si>
  <si>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</si>
  <si>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</si>
  <si>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</si>
  <si>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</si>
  <si>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</si>
  <si>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</si>
  <si>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</si>
  <si>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</si>
  <si>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</si>
  <si>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</si>
  <si>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</si>
  <si>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</si>
  <si>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</si>
  <si>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</si>
  <si>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</si>
  <si>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</si>
  <si>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</si>
  <si>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</si>
  <si>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</si>
  <si>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</si>
  <si>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</si>
  <si>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</si>
  <si>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</si>
  <si>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</si>
  <si>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</si>
  <si>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</si>
  <si>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</si>
  <si>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</si>
  <si>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</si>
  <si>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</si>
  <si>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</si>
  <si>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</si>
  <si>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</si>
  <si>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</si>
  <si>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</si>
  <si>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</si>
  <si>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</si>
  <si>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</si>
  <si>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</si>
  <si>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</si>
  <si>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</si>
  <si>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</si>
  <si>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</si>
  <si>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</si>
  <si>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</si>
  <si>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</si>
  <si>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</si>
  <si>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</si>
  <si>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</si>
  <si>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</si>
  <si>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</si>
  <si>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</si>
  <si>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</si>
  <si>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</si>
  <si>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</si>
  <si>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</si>
  <si>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</si>
  <si>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</si>
  <si>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</si>
  <si>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</si>
  <si>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</si>
  <si>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</si>
  <si>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</si>
  <si>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</si>
  <si>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</si>
  <si>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</si>
  <si>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</si>
  <si>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</si>
  <si>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</si>
  <si>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</si>
  <si>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</si>
  <si>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</si>
  <si>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</si>
  <si>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</si>
  <si>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</si>
  <si>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</si>
  <si>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</si>
  <si>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</si>
  <si>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</si>
  <si>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</si>
  <si>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</si>
  <si>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</si>
  <si>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</si>
  <si>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</si>
  <si>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</si>
  <si>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</si>
  <si>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</si>
  <si>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</si>
  <si>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</si>
  <si>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</si>
  <si>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</si>
  <si>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</si>
  <si>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</si>
  <si>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</si>
  <si>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</si>
  <si>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</si>
  <si>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</si>
  <si>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</si>
  <si>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</si>
  <si>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</si>
  <si>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</si>
  <si>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</si>
  <si>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</si>
  <si>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</si>
  <si>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</si>
  <si>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</si>
  <si>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</si>
  <si>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</si>
  <si>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</si>
  <si>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</si>
  <si>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</si>
  <si>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</si>
  <si>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</si>
  <si>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</si>
  <si>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</si>
  <si>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</si>
  <si>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</si>
  <si>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</si>
  <si>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</si>
  <si>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</si>
  <si>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</si>
  <si>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</si>
  <si>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</si>
  <si>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</si>
  <si>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</si>
  <si>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</si>
  <si>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</si>
  <si>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</si>
  <si>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</si>
  <si>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</si>
  <si>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</si>
  <si>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</si>
  <si>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</si>
  <si>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</si>
  <si>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</si>
  <si>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</si>
  <si>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</si>
  <si>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</si>
  <si>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</si>
  <si>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</si>
  <si>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</si>
  <si>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</si>
  <si>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</si>
  <si>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</si>
  <si>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</si>
  <si>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</si>
  <si>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</si>
  <si>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</si>
  <si>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</si>
  <si>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</si>
  <si>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</si>
  <si>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</si>
  <si>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</si>
  <si>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</si>
  <si>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</si>
  <si>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</si>
  <si>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</si>
  <si>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</si>
  <si>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</si>
  <si>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</si>
  <si>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</si>
  <si>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</si>
  <si>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</si>
  <si>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</si>
  <si>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</si>
  <si>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</si>
  <si>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</si>
  <si>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</si>
  <si>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</si>
  <si>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</si>
  <si>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</si>
  <si>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</si>
  <si>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</si>
  <si>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</si>
  <si>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</si>
  <si>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</si>
  <si>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</si>
  <si>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</si>
  <si>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</si>
  <si>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</si>
  <si>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</si>
  <si>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</si>
  <si>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</si>
  <si>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</si>
  <si>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</si>
  <si>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</si>
  <si>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</si>
  <si>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</si>
  <si>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</si>
  <si>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</si>
  <si>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</si>
  <si>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</si>
  <si>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</si>
  <si>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</si>
  <si>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</si>
  <si>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</si>
  <si>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</si>
  <si>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</si>
  <si>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</si>
  <si>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</si>
  <si>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</si>
  <si>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</si>
  <si>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</si>
  <si>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</si>
  <si>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</si>
  <si>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</si>
  <si>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</si>
  <si>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</si>
  <si>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</si>
  <si>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</si>
  <si>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</si>
  <si>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</si>
  <si>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</si>
  <si>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</si>
  <si>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</si>
  <si>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</si>
  <si>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</si>
  <si>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</si>
  <si>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</si>
  <si>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</si>
  <si>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</si>
  <si>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</si>
  <si>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</si>
  <si>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</si>
  <si>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</si>
  <si>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</si>
  <si>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</si>
  <si>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</si>
  <si>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</si>
  <si>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</si>
  <si>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</si>
  <si>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</si>
  <si>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</si>
  <si>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</si>
  <si>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</si>
  <si>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</si>
  <si>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</si>
  <si>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</si>
  <si>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</si>
  <si>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</si>
  <si>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</si>
  <si>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</si>
  <si>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</si>
  <si>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</si>
  <si>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</si>
  <si>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</si>
  <si>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</si>
  <si>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</si>
  <si>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</si>
  <si>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</si>
  <si>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</si>
  <si>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</si>
  <si>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</si>
  <si>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</si>
  <si>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</si>
  <si>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</si>
  <si>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</si>
  <si>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</si>
  <si>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</si>
  <si>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</si>
  <si>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</si>
  <si>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</si>
  <si>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</si>
  <si>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</si>
  <si>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</si>
  <si>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</si>
  <si>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</si>
  <si>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</si>
  <si>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</si>
  <si>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</si>
  <si>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</si>
  <si>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</si>
  <si>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</si>
  <si>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</si>
  <si>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</si>
  <si>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</si>
  <si>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</si>
  <si>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</si>
  <si>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</si>
  <si>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</si>
  <si>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</si>
  <si>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</si>
  <si>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</si>
  <si>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</si>
  <si>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</si>
  <si>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</si>
  <si>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</si>
  <si>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</si>
  <si>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</si>
  <si>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</si>
  <si>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</si>
  <si>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</si>
  <si>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</si>
  <si>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</si>
  <si>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</si>
  <si>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</si>
  <si>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</si>
  <si>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</si>
  <si>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</si>
  <si>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</si>
  <si>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</si>
  <si>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</si>
  <si>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</si>
  <si>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</si>
  <si>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</si>
  <si>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</si>
  <si>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</si>
  <si>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</si>
  <si>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</si>
  <si>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</si>
  <si>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</si>
  <si>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</si>
  <si>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</si>
  <si>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</si>
  <si>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</si>
  <si>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</si>
  <si>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</si>
  <si>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</si>
  <si>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</si>
  <si>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</si>
  <si>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</si>
  <si>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</si>
  <si>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</si>
  <si>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</si>
  <si>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</si>
  <si>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</si>
  <si>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</si>
  <si>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</si>
  <si>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</si>
  <si>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</si>
  <si>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</si>
  <si>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</si>
  <si>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</si>
  <si>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</si>
  <si>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</si>
  <si>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</si>
  <si>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</si>
  <si>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</si>
  <si>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</si>
  <si>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</si>
  <si>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</si>
  <si>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</si>
  <si>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</si>
  <si>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</si>
  <si>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</si>
  <si>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</si>
  <si>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</si>
  <si>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</si>
  <si>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</si>
  <si>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</si>
  <si>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</si>
  <si>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</si>
  <si>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</si>
  <si>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</si>
  <si>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</si>
  <si>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</si>
  <si>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</si>
  <si>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</si>
  <si>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</si>
  <si>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</si>
  <si>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</si>
  <si>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</si>
  <si>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</si>
  <si>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</si>
  <si>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</si>
  <si>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</si>
  <si>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</si>
  <si>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</si>
  <si>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</si>
  <si>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</si>
  <si>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</si>
  <si>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</si>
  <si>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</si>
  <si>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</si>
  <si>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</si>
  <si>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</si>
  <si>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</si>
  <si>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</si>
  <si>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</si>
  <si>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</si>
  <si>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</si>
  <si>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</si>
  <si>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</si>
  <si>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</si>
  <si>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</si>
  <si>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</si>
  <si>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</si>
  <si>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</si>
  <si>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</si>
  <si>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</si>
  <si>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</si>
  <si>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</si>
  <si>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</si>
  <si>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</si>
  <si>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</si>
  <si>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</si>
  <si>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</si>
  <si>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</si>
  <si>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</si>
  <si>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</si>
  <si>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</si>
  <si>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</si>
  <si>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</si>
  <si>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</si>
  <si>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</si>
  <si>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</si>
  <si>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</si>
  <si>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</si>
  <si>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</si>
  <si>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</si>
  <si>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</si>
  <si>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</si>
  <si>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</si>
  <si>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</si>
  <si>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</si>
  <si>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</si>
  <si>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</si>
  <si>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</si>
  <si>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</si>
  <si>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</si>
  <si>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</si>
  <si>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</si>
  <si>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</si>
  <si>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</si>
  <si>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</si>
  <si>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</si>
  <si>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</si>
  <si>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</si>
  <si>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</si>
  <si>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</si>
  <si>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</si>
  <si>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</si>
  <si>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</si>
  <si>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</si>
  <si>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</si>
  <si>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</si>
  <si>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</si>
  <si>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</si>
  <si>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</si>
  <si>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</si>
  <si>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</si>
  <si>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</si>
  <si>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</si>
  <si>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</si>
  <si>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</si>
  <si>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</si>
  <si>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</si>
  <si>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</si>
  <si>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</si>
  <si>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</si>
  <si>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</si>
  <si>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</si>
  <si>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</si>
  <si>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</si>
  <si>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</si>
  <si>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</si>
  <si>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</si>
  <si>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</si>
  <si>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</si>
  <si>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</si>
  <si>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</si>
  <si>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</si>
  <si>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</si>
  <si>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</si>
  <si>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</si>
  <si>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</si>
  <si>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</si>
  <si>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</si>
  <si>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</si>
  <si>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</si>
  <si>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</si>
  <si>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</si>
  <si>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</si>
  <si>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</si>
  <si>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</si>
  <si>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</si>
  <si>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</si>
  <si>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</si>
  <si>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</si>
  <si>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</si>
  <si>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</si>
  <si>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</si>
  <si>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</si>
  <si>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</si>
  <si>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</si>
  <si>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</si>
  <si>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</si>
  <si>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</si>
  <si>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</si>
  <si>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</si>
  <si>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</si>
  <si>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</si>
  <si>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</si>
  <si>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</si>
  <si>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</si>
  <si>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</si>
  <si>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</si>
  <si>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</si>
  <si>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</si>
  <si>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</si>
  <si>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</si>
  <si>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</si>
  <si>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</si>
  <si>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</si>
  <si>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</si>
  <si>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</si>
  <si>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</si>
  <si>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</si>
  <si>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</si>
  <si>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</si>
  <si>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</si>
  <si>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</si>
  <si>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</si>
  <si>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</si>
  <si>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</si>
  <si>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</si>
  <si>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</si>
  <si>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</si>
  <si>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</si>
  <si>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</si>
  <si>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</si>
  <si>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</si>
  <si>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</si>
  <si>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</si>
  <si>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</si>
  <si>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</si>
  <si>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</si>
  <si>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</si>
  <si>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</si>
  <si>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</si>
  <si>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</si>
  <si>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</si>
  <si>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</si>
  <si>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</si>
  <si>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</si>
  <si>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</si>
  <si>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</si>
  <si>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</si>
  <si>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</si>
  <si>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</si>
  <si>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</si>
  <si>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</si>
  <si>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</si>
  <si>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</si>
  <si>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</si>
  <si>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</si>
  <si>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</si>
  <si>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</si>
  <si>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</si>
  <si>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</si>
  <si>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</si>
  <si>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</si>
  <si>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</si>
  <si>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</si>
  <si>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</si>
  <si>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</si>
  <si>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</si>
  <si>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</si>
  <si>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</si>
  <si>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</si>
  <si>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</si>
  <si>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</si>
  <si>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</si>
  <si>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</si>
  <si>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</si>
  <si>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</si>
  <si>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</si>
  <si>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</si>
  <si>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</si>
  <si>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</si>
  <si>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</si>
  <si>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</si>
  <si>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</si>
  <si>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</si>
  <si>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</si>
  <si>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</si>
  <si>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</si>
  <si>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</si>
  <si>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</si>
  <si>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</si>
  <si>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</si>
  <si>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</si>
  <si>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</si>
  <si>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</si>
  <si>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</si>
  <si>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</si>
  <si>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</si>
  <si>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</si>
  <si>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</si>
  <si>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</si>
  <si>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</si>
  <si>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</si>
  <si>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</si>
  <si>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</si>
  <si>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</si>
  <si>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</si>
  <si>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</si>
  <si>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</si>
  <si>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</si>
  <si>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</si>
  <si>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</si>
  <si>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</si>
  <si>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</si>
  <si>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</si>
  <si>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</si>
  <si>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</si>
  <si>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</si>
  <si>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</si>
  <si>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</si>
  <si>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</si>
  <si>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</si>
  <si>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</si>
  <si>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</si>
  <si>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</si>
  <si>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</si>
  <si>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</si>
  <si>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</si>
  <si>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</si>
  <si>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</si>
  <si>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</si>
  <si>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</si>
  <si>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</si>
  <si>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</si>
  <si>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</si>
  <si>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</si>
  <si>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</si>
  <si>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</si>
  <si>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</si>
  <si>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</si>
  <si>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</si>
  <si>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</si>
  <si>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</si>
  <si>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</si>
  <si>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</si>
  <si>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</si>
  <si>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</si>
  <si>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</si>
  <si>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</si>
  <si>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</si>
  <si>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</si>
  <si>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</si>
  <si>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</si>
  <si>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</si>
  <si>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</si>
  <si>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</si>
  <si>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</si>
  <si>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</si>
  <si>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</si>
  <si>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</si>
  <si>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</si>
  <si>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</si>
  <si>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</si>
  <si>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</si>
  <si>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</si>
  <si>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</si>
  <si>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</si>
  <si>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</si>
  <si>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</si>
  <si>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</si>
  <si>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</si>
  <si>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</si>
  <si>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</si>
  <si>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</si>
  <si>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</si>
  <si>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</si>
  <si>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</si>
  <si>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</si>
  <si>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</si>
  <si>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</si>
  <si>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</si>
  <si>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</si>
  <si>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</si>
  <si>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</si>
  <si>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</si>
  <si>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</si>
  <si>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</si>
  <si>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</si>
  <si>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</si>
  <si>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</si>
  <si>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</si>
  <si>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</si>
  <si>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</si>
  <si>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</si>
  <si>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</si>
  <si>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</si>
  <si>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</si>
  <si>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</si>
  <si>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</si>
  <si>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</si>
  <si>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</si>
  <si>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</si>
  <si>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</si>
  <si>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</si>
  <si>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</si>
  <si>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</si>
  <si>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</si>
  <si>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</si>
  <si>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</si>
  <si>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</si>
  <si>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</si>
  <si>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</si>
  <si>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</si>
  <si>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</si>
  <si>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</si>
  <si>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</si>
  <si>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</si>
  <si>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</si>
  <si>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</si>
  <si>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</si>
  <si>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</si>
  <si>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</si>
  <si>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</si>
  <si>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</si>
  <si>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</si>
  <si>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</si>
  <si>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</si>
  <si>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</si>
  <si>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</si>
  <si>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</si>
  <si>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</si>
  <si>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</si>
  <si>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</si>
  <si>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</si>
  <si>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</si>
  <si>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</si>
  <si>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</si>
  <si>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</si>
  <si>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</si>
  <si>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</si>
  <si>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</si>
  <si>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</si>
  <si>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</si>
  <si>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</si>
  <si>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</si>
  <si>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</si>
  <si>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</si>
  <si>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</si>
  <si>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</si>
  <si>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</si>
  <si>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</si>
  <si>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</si>
  <si>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</si>
  <si>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</si>
  <si>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</si>
  <si>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</si>
  <si>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</si>
  <si>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</si>
  <si>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</si>
  <si>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</si>
  <si>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</si>
  <si>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</si>
  <si>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</si>
  <si>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</si>
  <si>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</si>
  <si>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</si>
  <si>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</si>
  <si>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</si>
  <si>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</si>
  <si>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</si>
  <si>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</si>
  <si>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</si>
  <si>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</si>
  <si>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</si>
  <si>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</si>
  <si>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</si>
  <si>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</si>
  <si>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</si>
  <si>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</si>
  <si>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</si>
  <si>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</si>
  <si>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</si>
  <si>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</si>
  <si>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</si>
  <si>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</si>
  <si>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</si>
  <si>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</si>
  <si>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</si>
  <si>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</si>
  <si>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</si>
  <si>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</si>
  <si>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</si>
  <si>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</si>
  <si>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</si>
  <si>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</si>
  <si>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</si>
  <si>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</si>
  <si>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</si>
  <si>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</si>
  <si>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</si>
  <si>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</si>
  <si>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</si>
  <si>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</si>
  <si>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</si>
  <si>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</si>
  <si>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</si>
  <si>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</si>
  <si>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</si>
  <si>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</si>
  <si>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</si>
  <si>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</si>
  <si>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</si>
  <si>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</si>
  <si>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</si>
  <si>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</si>
  <si>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</si>
  <si>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</si>
  <si>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</si>
  <si>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</si>
  <si>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</si>
  <si>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</si>
  <si>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</si>
  <si>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</si>
  <si>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</si>
  <si>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</si>
  <si>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</si>
  <si>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</si>
  <si>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</si>
  <si>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</si>
  <si>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</si>
  <si>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</si>
  <si>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</si>
  <si>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</si>
  <si>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</si>
  <si>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</si>
  <si>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</si>
  <si>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</si>
  <si>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</si>
  <si>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</si>
  <si>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</si>
  <si>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</si>
  <si>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</si>
  <si>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</si>
  <si>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</si>
  <si>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</si>
  <si>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</si>
  <si>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</si>
  <si>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</si>
  <si>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</si>
  <si>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</si>
  <si>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</si>
  <si>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</si>
  <si>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</si>
  <si>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</si>
  <si>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</si>
  <si>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</si>
  <si>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</si>
  <si>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</si>
  <si>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</si>
  <si>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</si>
  <si>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</si>
  <si>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</si>
  <si>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</si>
  <si>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</si>
  <si>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</si>
  <si>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</si>
  <si>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</si>
  <si>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</si>
  <si>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</si>
  <si>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</si>
  <si>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</si>
  <si>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</si>
  <si>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</si>
  <si>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</si>
  <si>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</si>
  <si>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</si>
  <si>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</si>
  <si>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</si>
  <si>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</si>
  <si>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</si>
  <si>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</si>
  <si>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</si>
  <si>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</si>
  <si>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</si>
  <si>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</si>
  <si>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</si>
  <si>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</si>
  <si>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</si>
  <si>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</si>
  <si>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</si>
  <si>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</si>
  <si>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</si>
  <si>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</si>
  <si>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</si>
  <si>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</si>
  <si>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</si>
  <si>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</si>
  <si>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</si>
  <si>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</si>
  <si>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</si>
  <si>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</si>
  <si>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</si>
  <si>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</si>
  <si>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</si>
  <si>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</si>
  <si>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</si>
  <si>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</si>
  <si>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</si>
  <si>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</si>
  <si>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</si>
  <si>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</si>
  <si>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</si>
  <si>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</si>
  <si>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</si>
  <si>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</si>
  <si>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</si>
  <si>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</si>
  <si>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</si>
  <si>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</si>
  <si>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</si>
  <si>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</si>
  <si>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</si>
  <si>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</si>
  <si>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</si>
  <si>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</si>
  <si>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</si>
  <si>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</si>
  <si>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</si>
  <si>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</si>
  <si>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</si>
  <si>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</si>
  <si>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</si>
  <si>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</si>
  <si>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</si>
  <si>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</si>
  <si>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</si>
  <si>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</si>
  <si>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</si>
  <si>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</si>
  <si>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</si>
  <si>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</si>
  <si>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</si>
  <si>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</si>
  <si>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</si>
  <si>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</si>
  <si>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</si>
  <si>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</si>
  <si>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</si>
  <si>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</si>
  <si>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</si>
  <si>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</si>
  <si>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</si>
  <si>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</si>
  <si>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</si>
  <si>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</si>
  <si>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</si>
  <si>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</si>
  <si>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</si>
  <si>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</si>
  <si>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</si>
  <si>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</si>
  <si>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</si>
  <si>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</si>
  <si>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</si>
  <si>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</si>
  <si>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</si>
  <si>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</si>
  <si>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</si>
  <si>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</si>
  <si>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</si>
  <si>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</si>
  <si>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</si>
  <si>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</si>
  <si>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</si>
  <si>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</si>
  <si>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</si>
  <si>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</si>
  <si>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</si>
  <si>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</si>
  <si>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</si>
  <si>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</si>
  <si>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</si>
  <si>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</si>
  <si>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</si>
  <si>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</si>
  <si>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</si>
  <si>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</si>
  <si>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</si>
  <si>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</si>
  <si>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</si>
  <si>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</si>
  <si>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</si>
  <si>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</si>
  <si>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</si>
  <si>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</si>
  <si>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</si>
  <si>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</si>
  <si>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</si>
  <si>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</si>
  <si>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</si>
  <si>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</si>
  <si>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</si>
  <si>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</si>
  <si>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</si>
  <si>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</si>
  <si>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</si>
  <si>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</si>
  <si>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</si>
  <si>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</si>
  <si>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</si>
  <si>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</si>
  <si>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</si>
  <si>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</si>
  <si>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</si>
  <si>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</si>
  <si>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</si>
  <si>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</si>
  <si>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</si>
  <si>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</si>
  <si>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</si>
  <si>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</si>
  <si>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</si>
  <si>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</si>
  <si>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</si>
  <si>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</si>
  <si>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</si>
  <si>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</si>
  <si>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</si>
  <si>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</si>
  <si>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</si>
  <si>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</si>
  <si>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</si>
  <si>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</si>
  <si>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</si>
  <si>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</si>
  <si>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</si>
  <si>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</si>
  <si>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</si>
  <si>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</si>
  <si>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</si>
  <si>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</si>
  <si>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</si>
  <si>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</si>
  <si>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</si>
  <si>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</si>
  <si>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</si>
  <si>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</si>
  <si>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</si>
  <si>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</si>
  <si>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</si>
  <si>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</si>
  <si>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</si>
  <si>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</si>
  <si>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</si>
  <si>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</si>
  <si>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</si>
  <si>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</si>
  <si>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</si>
  <si>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</si>
  <si>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</si>
  <si>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</si>
  <si>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</si>
  <si>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</si>
  <si>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</si>
  <si>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</si>
  <si>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</si>
  <si>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</si>
  <si>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</si>
  <si>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</si>
  <si>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</si>
  <si>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</si>
  <si>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</si>
  <si>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</si>
  <si>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</si>
  <si>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</si>
  <si>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</si>
  <si>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</si>
  <si>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</si>
  <si>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</si>
  <si>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</si>
  <si>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</si>
  <si>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</si>
  <si>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</si>
  <si>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</si>
  <si>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</si>
  <si>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</si>
  <si>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</si>
  <si>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</si>
  <si>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</si>
  <si>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</si>
  <si>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</si>
  <si>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</si>
  <si>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</si>
  <si>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</si>
  <si>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</si>
  <si>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</si>
  <si>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</si>
  <si>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</si>
  <si>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</si>
  <si>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</si>
  <si>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</si>
  <si>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</si>
  <si>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</si>
  <si>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</si>
  <si>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</si>
  <si>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</si>
  <si>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</si>
  <si>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</si>
  <si>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</si>
  <si>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</si>
  <si>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</si>
  <si>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</si>
  <si>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</si>
  <si>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</si>
  <si>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</si>
  <si>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</si>
  <si>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</si>
  <si>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</si>
  <si>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</si>
  <si>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</si>
  <si>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</si>
  <si>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</si>
  <si>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</si>
  <si>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</si>
  <si>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</si>
  <si>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</si>
  <si>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</si>
  <si>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</si>
  <si>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</si>
  <si>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</si>
  <si>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</si>
  <si>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</si>
  <si>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</si>
  <si>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</si>
  <si>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</si>
  <si>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</si>
  <si>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</si>
  <si>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</si>
  <si>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</si>
  <si>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</si>
  <si>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</si>
  <si>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</si>
  <si>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</si>
  <si>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</si>
  <si>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</si>
  <si>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</si>
  <si>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</si>
  <si>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</si>
  <si>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</si>
  <si>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</si>
  <si>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</si>
  <si>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</si>
  <si>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</si>
  <si>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</si>
  <si>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</si>
  <si>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</si>
  <si>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</si>
  <si>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</si>
  <si>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</si>
  <si>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</si>
  <si>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</si>
  <si>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</si>
  <si>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</si>
  <si>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</si>
  <si>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</si>
  <si>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</si>
  <si>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</si>
  <si>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</si>
  <si>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</si>
  <si>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</si>
  <si>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</si>
  <si>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</si>
  <si>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</si>
  <si>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</si>
  <si>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</si>
  <si>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</si>
  <si>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</si>
  <si>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</si>
  <si>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</si>
  <si>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</si>
  <si>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</si>
  <si>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</si>
  <si>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</si>
  <si>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</si>
  <si>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</si>
  <si>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</si>
  <si>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</si>
  <si>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</si>
  <si>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</si>
  <si>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</si>
  <si>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</si>
  <si>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</si>
  <si>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</si>
  <si>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</si>
  <si>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</si>
  <si>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</si>
  <si>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</si>
  <si>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</si>
  <si>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</si>
  <si>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</si>
  <si>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</si>
  <si>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</si>
  <si>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</si>
  <si>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</si>
  <si>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</si>
  <si>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</si>
  <si>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</si>
  <si>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</si>
  <si>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</si>
  <si>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</si>
  <si>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</si>
  <si>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</si>
  <si>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</si>
  <si>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</si>
  <si>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</si>
  <si>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</si>
  <si>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</si>
  <si>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</si>
  <si>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</si>
  <si>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</si>
  <si>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</si>
  <si>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</si>
  <si>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</si>
  <si>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</si>
  <si>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</si>
  <si>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</si>
  <si>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</si>
  <si>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</si>
  <si>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</si>
  <si>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</si>
  <si>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</si>
  <si>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</si>
  <si>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</si>
  <si>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</si>
  <si>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</si>
  <si>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</si>
  <si>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</si>
  <si>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</si>
  <si>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</si>
  <si>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</si>
  <si>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</si>
  <si>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</si>
  <si>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</si>
  <si>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</si>
  <si>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</si>
  <si>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</si>
  <si>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</si>
  <si>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</si>
  <si>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</si>
  <si>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</si>
  <si>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</si>
  <si>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</si>
  <si>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</si>
  <si>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</si>
  <si>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</si>
  <si>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</si>
  <si>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</si>
  <si>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</si>
  <si>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</si>
  <si>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</si>
  <si>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</si>
  <si>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</si>
  <si>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</si>
  <si>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</si>
  <si>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</si>
  <si>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</si>
  <si>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</si>
  <si>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</si>
  <si>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</si>
  <si>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</si>
  <si>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</si>
  <si>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</si>
  <si>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</si>
  <si>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</si>
  <si>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</si>
  <si>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</si>
  <si>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</si>
  <si>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</si>
  <si>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</si>
  <si>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</si>
  <si>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</si>
  <si>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</si>
  <si>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</si>
  <si>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</si>
  <si>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</si>
  <si>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</si>
  <si>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</si>
  <si>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</si>
  <si>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</si>
  <si>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</si>
  <si>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</si>
  <si>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</si>
  <si>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</si>
  <si>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</si>
  <si>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</si>
  <si>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</si>
  <si>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</si>
  <si>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</si>
  <si>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</si>
  <si>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</si>
  <si>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</si>
  <si>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</si>
  <si>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</si>
  <si>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</si>
  <si>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</si>
  <si>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</si>
  <si>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</si>
  <si>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</si>
  <si>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</si>
  <si>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</si>
  <si>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</si>
  <si>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</si>
  <si>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</si>
  <si>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</si>
  <si>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</si>
  <si>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</si>
  <si>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</si>
  <si>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</si>
  <si>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</si>
  <si>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</si>
  <si>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</si>
  <si>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</si>
  <si>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</si>
  <si>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</si>
  <si>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</si>
  <si>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</si>
  <si>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</si>
  <si>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</si>
  <si>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</si>
  <si>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</si>
  <si>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</si>
  <si>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</si>
  <si>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</si>
  <si>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</si>
  <si>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</si>
  <si>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</si>
  <si>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</si>
  <si>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</si>
  <si>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</si>
  <si>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</si>
  <si>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</si>
  <si>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</si>
  <si>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</si>
  <si>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</si>
  <si>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</si>
  <si>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</si>
  <si>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</si>
  <si>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</si>
  <si>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</si>
  <si>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</si>
  <si>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</si>
  <si>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</si>
  <si>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</si>
  <si>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</si>
  <si>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</si>
  <si>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</si>
  <si>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</si>
  <si>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</si>
  <si>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</si>
  <si>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</si>
  <si>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</si>
  <si>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</si>
  <si>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</si>
  <si>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</si>
  <si>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</si>
  <si>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</si>
  <si>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</si>
  <si>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</si>
  <si>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</si>
  <si>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</si>
  <si>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</si>
  <si>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</si>
  <si>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</si>
  <si>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</si>
  <si>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</si>
  <si>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</si>
  <si>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</si>
  <si>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</si>
  <si>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</si>
  <si>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</si>
  <si>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</si>
  <si>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</si>
  <si>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</si>
  <si>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</si>
  <si>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</si>
  <si>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</si>
  <si>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</si>
  <si>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</si>
  <si>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</si>
  <si>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</si>
  <si>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</si>
  <si>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</si>
  <si>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</si>
  <si>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</si>
  <si>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</si>
  <si>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</si>
  <si>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</si>
  <si>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</si>
  <si>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</si>
  <si>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</si>
  <si>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</si>
  <si>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</si>
  <si>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</si>
  <si>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</si>
  <si>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</si>
  <si>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</si>
  <si>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</si>
  <si>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</si>
  <si>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</si>
  <si>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</si>
  <si>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</si>
  <si>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</si>
  <si>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</si>
  <si>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</si>
  <si>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</si>
  <si>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</si>
  <si>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</si>
  <si>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</si>
  <si>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</si>
  <si>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</si>
  <si>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</si>
  <si>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</si>
  <si>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</si>
  <si>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</si>
  <si>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</si>
  <si>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</si>
  <si>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</si>
  <si>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</si>
  <si>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</si>
  <si>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</si>
  <si>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</si>
  <si>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</si>
  <si>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</si>
  <si>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</si>
  <si>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</si>
  <si>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</si>
  <si>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</si>
  <si>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</si>
  <si>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</si>
  <si>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</si>
  <si>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</si>
  <si>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</si>
  <si>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</si>
  <si>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</si>
  <si>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</si>
  <si>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</si>
  <si>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</si>
  <si>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</si>
  <si>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</si>
  <si>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</si>
  <si>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</si>
  <si>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</si>
  <si>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</si>
  <si>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</si>
  <si>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</si>
  <si>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</si>
  <si>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</si>
  <si>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</si>
  <si>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</si>
  <si>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</si>
  <si>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</si>
  <si>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</si>
  <si>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</si>
  <si>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</si>
  <si>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</si>
  <si>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</si>
  <si>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</si>
  <si>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</si>
  <si>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</si>
  <si>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</si>
  <si>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</si>
  <si>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</si>
  <si>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</si>
  <si>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</si>
  <si>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</si>
  <si>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</si>
  <si>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</si>
  <si>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</si>
  <si>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</si>
  <si>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</si>
  <si>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</si>
  <si>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</si>
  <si>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</si>
  <si>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</si>
  <si>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</si>
  <si>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</si>
  <si>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</si>
  <si>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</si>
  <si>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</si>
  <si>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</si>
  <si>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</si>
  <si>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</si>
  <si>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</si>
  <si>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</si>
  <si>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</si>
  <si>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</si>
  <si>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</si>
  <si>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</si>
  <si>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</si>
  <si>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</si>
  <si>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</si>
  <si>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</si>
  <si>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</si>
  <si>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</si>
  <si>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</si>
  <si>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</si>
  <si>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</si>
  <si>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</si>
  <si>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</si>
  <si>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</si>
  <si>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</si>
  <si>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</si>
  <si>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</si>
  <si>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</si>
  <si>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</si>
  <si>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</si>
  <si>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</si>
  <si>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</si>
  <si>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</si>
  <si>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</si>
  <si>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</si>
  <si>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</si>
  <si>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</si>
  <si>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</si>
  <si>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</si>
  <si>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</si>
  <si>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</si>
  <si>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</si>
  <si>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</si>
  <si>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</si>
  <si>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</si>
  <si>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</si>
  <si>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</si>
  <si>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</si>
  <si>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</si>
  <si>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</si>
  <si>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</si>
  <si>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</si>
  <si>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</si>
  <si>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</si>
  <si>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</si>
  <si>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</si>
  <si>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</si>
  <si>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</si>
  <si>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</si>
  <si>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</si>
  <si>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</si>
  <si>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</si>
  <si>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</si>
  <si>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</si>
  <si>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</si>
  <si>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</si>
  <si>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</si>
  <si>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</si>
  <si>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</si>
  <si>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</si>
  <si>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</si>
  <si>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</si>
  <si>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</si>
  <si>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</si>
  <si>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</si>
  <si>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</si>
  <si>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</si>
  <si>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</si>
  <si>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</si>
  <si>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</si>
  <si>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</si>
  <si>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</si>
  <si>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</si>
  <si>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</si>
  <si>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</si>
  <si>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</si>
  <si>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</si>
  <si>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</si>
  <si>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</si>
  <si>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</si>
  <si>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</si>
  <si>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</si>
  <si>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</si>
  <si>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</si>
  <si>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</si>
  <si>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</si>
  <si>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</si>
  <si>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</si>
  <si>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</si>
  <si>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</si>
  <si>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</si>
  <si>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</si>
  <si>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</si>
  <si>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</si>
  <si>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</si>
  <si>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</si>
  <si>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</si>
  <si>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</si>
  <si>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</si>
  <si>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</si>
  <si>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</si>
  <si>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</si>
  <si>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</si>
  <si>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</si>
  <si>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</si>
  <si>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</si>
  <si>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</si>
  <si>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</si>
  <si>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</si>
  <si>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</si>
  <si>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</si>
  <si>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</si>
  <si>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</si>
  <si>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</si>
  <si>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</si>
  <si>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</si>
  <si>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</si>
  <si>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</si>
  <si>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</si>
  <si>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</si>
  <si>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</si>
  <si>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</si>
  <si>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</si>
  <si>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</si>
  <si>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</si>
  <si>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</si>
  <si>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</si>
  <si>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</si>
  <si>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</si>
  <si>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</si>
  <si>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</si>
  <si>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</si>
  <si>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</si>
  <si>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</si>
  <si>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</si>
  <si>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</si>
  <si>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</si>
  <si>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</si>
  <si>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</si>
  <si>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</si>
  <si>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</si>
  <si>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</si>
  <si>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</si>
  <si>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</si>
  <si>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</si>
  <si>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</si>
  <si>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</si>
  <si>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</si>
  <si>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</si>
  <si>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</si>
  <si>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</si>
  <si>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</si>
  <si>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</si>
  <si>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</si>
  <si>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</si>
  <si>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</si>
  <si>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</si>
  <si>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</si>
  <si>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</si>
  <si>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</si>
  <si>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</si>
  <si>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</si>
  <si>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</si>
  <si>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</si>
  <si>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</si>
  <si>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</si>
  <si>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</si>
  <si>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</si>
  <si>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</si>
  <si>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</si>
  <si>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</si>
  <si>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</si>
  <si>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</si>
  <si>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</si>
  <si>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</si>
  <si>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</si>
  <si>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</si>
  <si>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</si>
  <si>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</si>
  <si>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</si>
  <si>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</si>
  <si>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</si>
  <si>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</si>
  <si>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</si>
  <si>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</si>
  <si>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</si>
  <si>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</si>
  <si>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</si>
  <si>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</si>
  <si>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</si>
  <si>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</si>
  <si>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</si>
  <si>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</si>
  <si>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</si>
  <si>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</si>
  <si>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</si>
  <si>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</si>
  <si>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</si>
  <si>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</si>
  <si>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</si>
  <si>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</si>
  <si>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</si>
  <si>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</si>
  <si>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</si>
  <si>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</si>
  <si>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</si>
  <si>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</si>
  <si>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</si>
  <si>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</si>
  <si>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</si>
  <si>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</si>
  <si>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</si>
  <si>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</si>
  <si>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</si>
  <si>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</si>
  <si>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</si>
  <si>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</si>
  <si>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</si>
  <si>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</si>
  <si>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</si>
  <si>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</si>
  <si>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</si>
  <si>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</si>
  <si>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</si>
  <si>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</si>
  <si>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</si>
  <si>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</si>
  <si>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</si>
  <si>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</si>
  <si>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</si>
  <si>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</si>
  <si>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</si>
  <si>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</si>
  <si>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</si>
  <si>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</si>
  <si>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</si>
  <si>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</si>
  <si>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</si>
  <si>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</si>
  <si>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</si>
  <si>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</si>
  <si>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</si>
  <si>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</si>
  <si>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</si>
  <si>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</si>
  <si>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</si>
  <si>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</si>
  <si>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</si>
  <si>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</si>
  <si>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</si>
  <si>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</si>
  <si>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</si>
  <si>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</si>
  <si>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</si>
  <si>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</si>
  <si>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</si>
  <si>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</si>
  <si>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</si>
  <si>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</si>
  <si>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</si>
  <si>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</si>
  <si>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</si>
  <si>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</si>
  <si>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</si>
  <si>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</si>
  <si>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</si>
  <si>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</si>
  <si>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</si>
  <si>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</si>
  <si>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</si>
  <si>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</si>
  <si>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</si>
  <si>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</si>
  <si>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</si>
  <si>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</si>
  <si>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</si>
  <si>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</si>
  <si>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</si>
  <si>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</si>
  <si>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</si>
  <si>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</si>
  <si>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</si>
  <si>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</si>
  <si>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</si>
  <si>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</si>
  <si>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</si>
  <si>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</si>
  <si>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</si>
  <si>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</si>
  <si>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</si>
  <si>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</si>
  <si>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</si>
  <si>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</si>
  <si>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</si>
  <si>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</si>
  <si>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</si>
  <si>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</si>
  <si>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</si>
  <si>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</si>
  <si>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</si>
  <si>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</si>
  <si>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</si>
  <si>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</si>
  <si>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</si>
  <si>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</si>
  <si>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</si>
  <si>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</si>
  <si>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</si>
  <si>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</si>
  <si>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</si>
  <si>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</si>
  <si>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</si>
  <si>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</si>
  <si>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</si>
  <si>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</si>
  <si>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</si>
  <si>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</si>
  <si>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</si>
  <si>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</si>
  <si>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</si>
  <si>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</si>
  <si>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</si>
  <si>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</si>
  <si>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</si>
  <si>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</si>
  <si>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</si>
  <si>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</si>
  <si>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</si>
  <si>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</si>
  <si>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</si>
  <si>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</si>
  <si>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</si>
  <si>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</si>
  <si>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</si>
  <si>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</si>
  <si>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</si>
  <si>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</si>
  <si>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</si>
  <si>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</si>
  <si>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</si>
  <si>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</si>
  <si>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</si>
  <si>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</si>
  <si>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</si>
  <si>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</si>
  <si>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</si>
  <si>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</si>
  <si>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</si>
  <si>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</si>
  <si>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</si>
  <si>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</si>
  <si>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</si>
  <si>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</si>
  <si>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</si>
  <si>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</si>
  <si>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</si>
  <si>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</si>
  <si>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</si>
  <si>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</si>
  <si>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</si>
  <si>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</si>
  <si>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</si>
  <si>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</si>
  <si>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</si>
  <si>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</si>
  <si>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</si>
  <si>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</si>
  <si>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</si>
  <si>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</si>
  <si>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</si>
  <si>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</si>
  <si>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</si>
  <si>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</si>
  <si>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</si>
  <si>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</si>
  <si>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</si>
  <si>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</si>
  <si>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</si>
  <si>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</si>
  <si>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</si>
  <si>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</si>
  <si>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</si>
  <si>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</si>
  <si>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</si>
  <si>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</si>
  <si>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</si>
  <si>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</si>
  <si>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</si>
  <si>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</si>
  <si>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</si>
  <si>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</si>
  <si>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</si>
  <si>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</si>
  <si>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</si>
  <si>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</si>
  <si>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</si>
  <si>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</si>
  <si>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</si>
  <si>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</si>
  <si>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</si>
  <si>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</si>
  <si>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</si>
  <si>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</si>
  <si>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</si>
  <si>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</si>
  <si>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</si>
  <si>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</si>
  <si>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</si>
  <si>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</si>
  <si>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</si>
  <si>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</si>
  <si>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</si>
  <si>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</si>
  <si>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</si>
  <si>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</si>
  <si>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</si>
  <si>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</si>
  <si>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</si>
  <si>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</si>
  <si>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</si>
  <si>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</si>
  <si>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</si>
  <si>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</si>
  <si>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</si>
  <si>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</si>
  <si>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</si>
  <si>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</si>
  <si>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</si>
  <si>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</si>
  <si>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</si>
  <si>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</si>
  <si>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</si>
  <si>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</si>
  <si>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</si>
  <si>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</si>
  <si>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</si>
  <si>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</si>
  <si>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</si>
  <si>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</si>
  <si>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</si>
  <si>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</si>
  <si>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</si>
  <si>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</si>
  <si>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</si>
  <si>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</si>
  <si>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</si>
  <si>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</si>
  <si>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</si>
  <si>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</si>
  <si>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</si>
  <si>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</si>
  <si>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</si>
  <si>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</si>
  <si>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</si>
  <si>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</si>
  <si>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</si>
  <si>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</si>
  <si>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</si>
  <si>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</si>
  <si>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</si>
  <si>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</si>
  <si>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</si>
  <si>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</si>
  <si>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</si>
  <si>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</si>
  <si>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</si>
  <si>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</si>
  <si>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</si>
  <si>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</si>
  <si>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</si>
  <si>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</si>
  <si>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</si>
  <si>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</si>
  <si>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</si>
  <si>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</si>
  <si>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</si>
  <si>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</si>
  <si>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</si>
  <si>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</si>
  <si>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</si>
  <si>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</si>
  <si>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</si>
  <si>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</si>
  <si>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</si>
  <si>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</si>
  <si>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</si>
  <si>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</si>
  <si>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</si>
  <si>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</si>
  <si>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</si>
  <si>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</si>
  <si>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</si>
  <si>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</si>
  <si>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</si>
  <si>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</si>
  <si>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</si>
  <si>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</si>
  <si>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</si>
  <si>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</si>
  <si>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</si>
  <si>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</si>
  <si>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</si>
  <si>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</si>
  <si>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</si>
  <si>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</si>
  <si>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</si>
  <si>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</si>
  <si>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</si>
  <si>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</si>
  <si>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</si>
  <si>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</si>
  <si>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</si>
  <si>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</si>
  <si>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</si>
  <si>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</si>
  <si>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</si>
  <si>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</si>
  <si>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</si>
  <si>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</si>
  <si>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</si>
  <si>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</si>
  <si>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</si>
  <si>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</si>
  <si>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</si>
  <si>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</si>
  <si>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</si>
  <si>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</si>
  <si>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</si>
  <si>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</si>
  <si>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</si>
  <si>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</si>
  <si>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</si>
  <si>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</si>
  <si>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</si>
  <si>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</si>
  <si>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</si>
  <si>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</si>
  <si>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</si>
  <si>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</si>
  <si>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</si>
  <si>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</si>
  <si>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</si>
  <si>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</si>
  <si>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</si>
  <si>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</si>
  <si>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</si>
  <si>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</si>
  <si>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</si>
  <si>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</si>
  <si>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</si>
  <si>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</si>
  <si>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</si>
  <si>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</si>
  <si>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</si>
  <si>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</si>
  <si>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</si>
  <si>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</si>
  <si>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</si>
  <si>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</si>
  <si>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</si>
  <si>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</si>
  <si>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</si>
  <si>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</si>
  <si>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</si>
  <si>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</si>
  <si>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</si>
  <si>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</si>
  <si>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</si>
  <si>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</si>
  <si>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</si>
  <si>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</si>
  <si>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</si>
  <si>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</si>
  <si>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</si>
  <si>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</si>
  <si>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</si>
  <si>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</si>
  <si>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</si>
  <si>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</si>
  <si>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</si>
  <si>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</si>
  <si>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</si>
  <si>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</si>
  <si>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</si>
  <si>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</si>
  <si>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</si>
  <si>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</si>
  <si>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</si>
  <si>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</si>
  <si>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</si>
  <si>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</si>
  <si>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</si>
  <si>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</si>
  <si>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</si>
  <si>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</si>
  <si>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</si>
  <si>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</si>
  <si>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</si>
  <si>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</si>
  <si>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</si>
  <si>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</si>
  <si>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</si>
  <si>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</si>
  <si>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</si>
  <si>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</si>
  <si>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</si>
  <si>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</si>
  <si>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</si>
  <si>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</si>
  <si>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</si>
  <si>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</si>
  <si>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</si>
  <si>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</si>
  <si>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</si>
  <si>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</si>
  <si>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</si>
  <si>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</si>
  <si>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</si>
  <si>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</si>
  <si>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</si>
  <si>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</si>
  <si>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</si>
  <si>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</si>
  <si>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</si>
  <si>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</si>
  <si>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</si>
  <si>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</si>
  <si>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</si>
  <si>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</si>
  <si>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</si>
  <si>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</si>
  <si>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</si>
  <si>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</si>
  <si>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</si>
  <si>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</si>
  <si>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</si>
  <si>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</si>
  <si>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</si>
  <si>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</si>
  <si>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</si>
  <si>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</si>
  <si>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</si>
  <si>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</si>
  <si>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</si>
  <si>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</si>
  <si>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</si>
  <si>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</si>
  <si>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</si>
  <si>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</si>
  <si>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</si>
  <si>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</si>
  <si>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</si>
  <si>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</si>
  <si>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</si>
  <si>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</si>
  <si>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</si>
  <si>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</si>
  <si>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</si>
  <si>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</si>
  <si>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</si>
  <si>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</si>
  <si>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</si>
  <si>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</si>
  <si>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</si>
  <si>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</si>
  <si>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</si>
  <si>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</si>
  <si>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</si>
  <si>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</si>
  <si>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</si>
  <si>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</si>
  <si>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</si>
  <si>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</si>
  <si>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</si>
  <si>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</si>
  <si>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</si>
  <si>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</si>
  <si>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</si>
  <si>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</si>
  <si>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</si>
  <si>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</si>
  <si>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</si>
  <si>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</si>
  <si>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</si>
  <si>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</si>
  <si>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</si>
  <si>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</si>
  <si>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</si>
  <si>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</si>
  <si>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</si>
  <si>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</si>
  <si>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</si>
  <si>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</si>
  <si>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</si>
  <si>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</si>
  <si>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</si>
  <si>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</si>
  <si>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</si>
  <si>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</si>
  <si>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</si>
  <si>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</si>
  <si>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</si>
  <si>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</si>
  <si>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</si>
  <si>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</si>
  <si>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</si>
  <si>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</si>
  <si>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</si>
  <si>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</si>
  <si>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</si>
  <si>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</si>
  <si>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</si>
  <si>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</si>
  <si>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</si>
  <si>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</si>
  <si>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</si>
  <si>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</si>
  <si>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</si>
  <si>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</si>
  <si>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</si>
  <si>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</si>
  <si>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</si>
  <si>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</si>
  <si>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</si>
  <si>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</si>
  <si>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</si>
  <si>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</si>
  <si>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</si>
  <si>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</si>
  <si>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</si>
  <si>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</si>
  <si>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</si>
  <si>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</si>
  <si>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</si>
  <si>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</si>
  <si>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</si>
  <si>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</si>
  <si>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</si>
  <si>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</si>
  <si>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</si>
  <si>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</si>
  <si>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</si>
  <si>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</si>
  <si>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</si>
  <si>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</si>
  <si>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</si>
  <si>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</si>
  <si>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</si>
  <si>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</si>
  <si>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</si>
  <si>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</si>
  <si>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</si>
  <si>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</si>
  <si>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</si>
  <si>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</si>
  <si>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</si>
  <si>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</si>
  <si>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</si>
  <si>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</si>
  <si>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</si>
  <si>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</si>
  <si>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</si>
  <si>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</si>
  <si>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</si>
  <si>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</si>
  <si>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</si>
  <si>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</si>
  <si>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</si>
  <si>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</si>
  <si>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</si>
  <si>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</si>
  <si>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</si>
  <si>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</si>
  <si>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</si>
  <si>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</si>
  <si>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</si>
  <si>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</si>
  <si>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</si>
  <si>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</si>
  <si>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</si>
  <si>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</si>
  <si>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</si>
  <si>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</si>
  <si>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</si>
  <si>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</si>
  <si>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</si>
  <si>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</si>
  <si>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</si>
  <si>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</si>
  <si>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</si>
  <si>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</si>
  <si>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</si>
  <si>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</si>
  <si>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</si>
  <si>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</si>
  <si>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</si>
  <si>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</si>
  <si>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</si>
  <si>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</si>
  <si>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</si>
  <si>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</si>
  <si>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</si>
  <si>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</si>
  <si>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</si>
  <si>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</si>
  <si>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</si>
  <si>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</si>
  <si>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</si>
  <si>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</si>
  <si>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</si>
  <si>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</si>
  <si>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</si>
  <si>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</si>
  <si>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</si>
  <si>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</si>
  <si>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</si>
  <si>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</si>
  <si>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</si>
  <si>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</si>
  <si>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</si>
  <si>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</si>
  <si>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</si>
  <si>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</si>
  <si>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</si>
  <si>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</si>
  <si>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</si>
  <si>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</si>
  <si>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</si>
  <si>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</si>
  <si>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</si>
  <si>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</si>
  <si>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</si>
  <si>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</si>
  <si>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</si>
  <si>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</si>
  <si>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</si>
  <si>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</si>
  <si>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</si>
  <si>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</si>
  <si>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</si>
  <si>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</si>
  <si>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</si>
  <si>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</si>
  <si>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</si>
  <si>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</si>
  <si>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</si>
  <si>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</si>
  <si>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</si>
  <si>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</si>
  <si>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</si>
  <si>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</si>
  <si>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</si>
  <si>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</si>
  <si>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</si>
  <si>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</si>
  <si>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</si>
  <si>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</si>
  <si>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</si>
  <si>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</si>
  <si>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</si>
  <si>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</si>
  <si>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</si>
  <si>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</si>
  <si>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</si>
  <si>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</si>
  <si>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</si>
  <si>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</si>
  <si>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</si>
  <si>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</si>
  <si>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</si>
  <si>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</si>
  <si>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</si>
  <si>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</si>
  <si>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</si>
  <si>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</si>
  <si>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</si>
  <si>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</si>
  <si>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</si>
  <si>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</si>
  <si>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</si>
  <si>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</si>
  <si>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</si>
  <si>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</si>
  <si>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</si>
  <si>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</si>
  <si>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</si>
  <si>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</si>
  <si>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</si>
  <si>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</si>
  <si>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</si>
  <si>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</si>
  <si>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</si>
  <si>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</si>
  <si>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</si>
  <si>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</si>
  <si>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</si>
  <si>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</si>
  <si>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</si>
  <si>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</si>
  <si>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</si>
  <si>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</si>
  <si>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</si>
  <si>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</si>
  <si>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</si>
  <si>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</si>
  <si>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</si>
  <si>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</si>
  <si>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</si>
  <si>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</si>
  <si>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</si>
  <si>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</si>
  <si>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</si>
  <si>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</si>
  <si>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</si>
  <si>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</si>
  <si>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</si>
  <si>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</si>
  <si>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</si>
  <si>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</si>
  <si>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</si>
  <si>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</si>
  <si>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</si>
  <si>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</si>
  <si>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</si>
  <si>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</si>
  <si>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</si>
  <si>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</si>
  <si>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</si>
  <si>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</si>
  <si>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</si>
  <si>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</si>
  <si>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</si>
  <si>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</si>
  <si>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</si>
  <si>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</si>
  <si>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</si>
  <si>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</si>
  <si>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</si>
  <si>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</si>
  <si>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</si>
  <si>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</si>
  <si>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</si>
  <si>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</si>
  <si>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</si>
  <si>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</si>
  <si>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</si>
  <si>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</si>
  <si>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</si>
  <si>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</si>
  <si>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</si>
  <si>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</si>
  <si>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</si>
  <si>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</si>
  <si>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</si>
  <si>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</si>
  <si>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</si>
  <si>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</si>
  <si>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</si>
  <si>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</si>
  <si>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</si>
  <si>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</si>
  <si>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</si>
  <si>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</si>
  <si>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</si>
  <si>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</si>
  <si>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</si>
  <si>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</si>
  <si>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</si>
  <si>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</si>
  <si>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</si>
  <si>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</si>
  <si>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</si>
  <si>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</si>
  <si>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</si>
  <si>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</si>
  <si>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</si>
  <si>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</si>
  <si>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</si>
  <si>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</si>
  <si>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</si>
  <si>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</si>
  <si>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</si>
  <si>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</si>
  <si>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</si>
  <si>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</si>
  <si>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</si>
  <si>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</si>
  <si>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</si>
  <si>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</si>
  <si>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</si>
  <si>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</si>
  <si>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</si>
  <si>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</si>
  <si>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</si>
  <si>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</si>
  <si>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</si>
  <si>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</si>
  <si>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</si>
  <si>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</si>
  <si>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</si>
  <si>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</si>
  <si>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</si>
  <si>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</si>
  <si>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</si>
  <si>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</si>
  <si>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</si>
  <si>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</si>
  <si>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</si>
  <si>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</si>
  <si>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</si>
  <si>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</si>
  <si>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</si>
  <si>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</si>
  <si>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</si>
  <si>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</si>
  <si>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</si>
  <si>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</si>
  <si>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</si>
  <si>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</si>
  <si>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</si>
  <si>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</si>
  <si>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</si>
  <si>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</si>
  <si>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</si>
  <si>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</si>
  <si>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</si>
  <si>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</si>
  <si>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</si>
  <si>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</si>
  <si>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</si>
  <si>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</si>
  <si>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</si>
  <si>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</si>
  <si>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</si>
  <si>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</si>
  <si>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</si>
  <si>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</si>
  <si>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</si>
  <si>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</si>
  <si>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</si>
  <si>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</si>
  <si>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</si>
  <si>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</si>
  <si>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</si>
  <si>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</si>
  <si>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</si>
  <si>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</si>
  <si>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</si>
  <si>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</si>
  <si>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</si>
  <si>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</si>
  <si>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</si>
  <si>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</si>
  <si>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</si>
  <si>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</si>
  <si>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</si>
  <si>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</si>
  <si>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</si>
  <si>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</si>
  <si>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</si>
  <si>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</si>
  <si>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</si>
  <si>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</si>
  <si>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</si>
  <si>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</si>
  <si>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</si>
  <si>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</si>
  <si>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</si>
  <si>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</si>
  <si>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</si>
  <si>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</si>
  <si>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</si>
  <si>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</si>
  <si>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</si>
  <si>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</si>
  <si>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</si>
  <si>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</si>
  <si>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</si>
  <si>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</si>
  <si>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</si>
  <si>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</si>
  <si>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</si>
  <si>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</si>
  <si>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</si>
  <si>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</si>
  <si>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</si>
  <si>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</si>
  <si>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</si>
  <si>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</si>
  <si>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</si>
  <si>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</si>
  <si>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</si>
  <si>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</si>
  <si>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</si>
  <si>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</si>
  <si>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</si>
  <si>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</si>
  <si>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</si>
  <si>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</si>
  <si>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</si>
  <si>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</si>
  <si>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</si>
  <si>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</si>
  <si>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</si>
  <si>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</si>
  <si>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</si>
  <si>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</si>
  <si>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</si>
  <si>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</si>
  <si>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</si>
  <si>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</si>
  <si>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</si>
  <si>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</si>
  <si>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</si>
  <si>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</si>
  <si>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</si>
  <si>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</si>
  <si>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</si>
  <si>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</si>
  <si>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</si>
  <si>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</si>
  <si>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</si>
  <si>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</si>
  <si>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</si>
  <si>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</si>
  <si>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</si>
  <si>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</si>
  <si>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</si>
  <si>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</si>
  <si>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</si>
  <si>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</si>
  <si>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</si>
  <si>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</si>
  <si>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</si>
  <si>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</si>
  <si>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</si>
  <si>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</si>
  <si>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</si>
  <si>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</si>
  <si>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</si>
  <si>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</si>
  <si>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</si>
  <si>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</si>
  <si>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</si>
  <si>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</si>
  <si>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</si>
  <si>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</si>
  <si>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</si>
  <si>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</si>
  <si>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</si>
  <si>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</si>
  <si>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</si>
  <si>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</si>
  <si>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</si>
  <si>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</si>
  <si>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</si>
  <si>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</si>
  <si>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</si>
  <si>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</si>
  <si>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</si>
  <si>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</si>
  <si>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</si>
  <si>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</si>
  <si>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</si>
  <si>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</si>
  <si>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</si>
  <si>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</si>
  <si>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</si>
  <si>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</si>
  <si>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</si>
  <si>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</si>
  <si>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</si>
  <si>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</si>
  <si>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</si>
  <si>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</si>
  <si>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</si>
  <si>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</si>
  <si>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</si>
  <si>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</si>
  <si>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</si>
  <si>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</si>
  <si>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</si>
  <si>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</si>
  <si>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</si>
  <si>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</si>
  <si>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</si>
  <si>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</si>
  <si>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</si>
  <si>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</si>
  <si>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</si>
  <si>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</si>
  <si>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</si>
  <si>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</si>
  <si>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</si>
  <si>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</si>
  <si>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</si>
  <si>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</si>
  <si>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</si>
  <si>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</si>
  <si>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</si>
  <si>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</si>
  <si>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</si>
  <si>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</si>
  <si>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</si>
  <si>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</si>
  <si>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</si>
  <si>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</si>
  <si>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</si>
  <si>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</si>
  <si>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</si>
  <si>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</si>
  <si>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</si>
  <si>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</si>
  <si>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</si>
  <si>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</si>
  <si>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</si>
  <si>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</si>
  <si>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</si>
  <si>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</si>
  <si>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</si>
  <si>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</si>
  <si>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</si>
  <si>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</si>
  <si>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</si>
  <si>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</si>
  <si>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</si>
  <si>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</si>
  <si>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</si>
  <si>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</si>
  <si>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</si>
  <si>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</si>
  <si>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</si>
  <si>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</si>
  <si>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</si>
  <si>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</si>
  <si>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</si>
  <si>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</si>
  <si>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</si>
  <si>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</si>
  <si>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</si>
  <si>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</si>
  <si>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</si>
  <si>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</si>
  <si>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</si>
  <si>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</si>
  <si>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</si>
  <si>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</si>
  <si>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</si>
  <si>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</si>
  <si>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</si>
  <si>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</si>
  <si>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</si>
  <si>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</si>
  <si>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</si>
  <si>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</si>
  <si>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</si>
  <si>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</si>
  <si>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</si>
  <si>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</si>
  <si>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</si>
  <si>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</si>
  <si>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</si>
  <si>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</si>
  <si>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</si>
  <si>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</si>
  <si>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</si>
  <si>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</si>
  <si>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</si>
  <si>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</si>
  <si>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</si>
  <si>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</si>
  <si>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</si>
  <si>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</si>
  <si>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</si>
  <si>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</si>
  <si>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</si>
  <si>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</si>
  <si>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</si>
  <si>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</si>
  <si>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</si>
  <si>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</si>
  <si>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</si>
  <si>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</si>
  <si>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</si>
  <si>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</si>
  <si>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</si>
  <si>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</si>
  <si>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</si>
  <si>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</si>
  <si>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</si>
  <si>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</si>
  <si>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</si>
  <si>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</si>
  <si>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</si>
  <si>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</si>
  <si>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</si>
  <si>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</si>
  <si>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</si>
  <si>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</si>
  <si>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</si>
  <si>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</si>
  <si>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</si>
  <si>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</si>
  <si>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</si>
  <si>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</si>
  <si>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</si>
  <si>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</si>
  <si>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</si>
  <si>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</si>
  <si>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</si>
  <si>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</si>
  <si>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</si>
  <si>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</si>
  <si>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</si>
  <si>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</si>
  <si>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</si>
  <si>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</si>
  <si>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</si>
  <si>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</si>
  <si>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</si>
  <si>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</si>
  <si>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</si>
  <si>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</si>
  <si>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</si>
  <si>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</si>
  <si>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</si>
  <si>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</si>
  <si>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</si>
  <si>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</si>
  <si>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</si>
  <si>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</si>
  <si>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</si>
  <si>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</si>
  <si>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</si>
  <si>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</si>
  <si>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</si>
  <si>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</si>
  <si>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</si>
  <si>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</si>
  <si>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</si>
  <si>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</si>
  <si>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</si>
  <si>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</si>
  <si>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</si>
  <si>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</si>
  <si>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</si>
  <si>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</si>
  <si>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</si>
  <si>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</si>
  <si>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</si>
  <si>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</si>
  <si>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</si>
  <si>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</si>
  <si>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</si>
  <si>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</si>
  <si>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</si>
  <si>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</si>
  <si>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</si>
  <si>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</si>
  <si>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</si>
  <si>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</si>
  <si>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</si>
  <si>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</si>
  <si>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</si>
  <si>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</si>
  <si>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</si>
  <si>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</si>
  <si>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</si>
  <si>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</si>
  <si>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</si>
  <si>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</si>
  <si>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</si>
  <si>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</si>
  <si>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</si>
  <si>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</si>
  <si>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</si>
  <si>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</si>
  <si>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</si>
  <si>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</si>
  <si>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</si>
  <si>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</si>
  <si>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</si>
  <si>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</si>
  <si>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</si>
  <si>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</si>
  <si>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</si>
  <si>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</si>
  <si>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</si>
  <si>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</si>
  <si>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</si>
  <si>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</si>
  <si>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</si>
  <si>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</si>
  <si>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</si>
  <si>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</si>
  <si>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</si>
  <si>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</si>
  <si>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</si>
  <si>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</si>
  <si>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</si>
  <si>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</si>
  <si>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</si>
  <si>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</si>
  <si>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</si>
  <si>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</si>
  <si>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</si>
  <si>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</si>
  <si>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</si>
  <si>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</si>
  <si>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</si>
  <si>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</si>
  <si>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</si>
  <si>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</si>
  <si>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</si>
  <si>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</si>
  <si>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</si>
  <si>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</si>
  <si>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</si>
  <si>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</si>
  <si>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</si>
  <si>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</si>
  <si>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</si>
  <si>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</si>
  <si>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</si>
  <si>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</si>
  <si>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</si>
  <si>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</si>
  <si>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</si>
  <si>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</si>
  <si>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</si>
  <si>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</si>
  <si>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</si>
  <si>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</si>
  <si>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</si>
  <si>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</si>
  <si>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</si>
  <si>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</si>
  <si>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</si>
  <si>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</si>
  <si>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</si>
  <si>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</si>
  <si>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</si>
  <si>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</si>
  <si>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</si>
  <si>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</si>
  <si>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</si>
  <si>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</si>
  <si>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</si>
  <si>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</si>
  <si>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</si>
  <si>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</si>
  <si>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</si>
  <si>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</si>
  <si>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</si>
  <si>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</si>
  <si>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</si>
  <si>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</si>
  <si>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</si>
  <si>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</si>
  <si>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</si>
  <si>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</si>
  <si>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</si>
  <si>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</si>
  <si>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</si>
  <si>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</si>
  <si>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</si>
  <si>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</si>
  <si>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</si>
  <si>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</si>
  <si>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</si>
  <si>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</si>
  <si>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</si>
  <si>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</si>
  <si>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</si>
  <si>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</si>
  <si>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</si>
  <si>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</si>
  <si>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</si>
  <si>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</si>
  <si>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</si>
  <si>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</si>
  <si>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</si>
  <si>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</si>
  <si>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</si>
  <si>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</si>
  <si>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</si>
  <si>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</si>
  <si>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</si>
  <si>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</si>
  <si>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</si>
  <si>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</si>
  <si>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</si>
  <si>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</si>
  <si>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</si>
  <si>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</si>
  <si>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</si>
  <si>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</si>
  <si>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</si>
  <si>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</si>
  <si>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</si>
  <si>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</si>
  <si>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</si>
  <si>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</si>
  <si>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</si>
  <si>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</si>
  <si>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</si>
  <si>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</si>
  <si>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</si>
  <si>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</si>
  <si>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</si>
  <si>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</si>
  <si>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</si>
  <si>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</si>
  <si>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</si>
  <si>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</si>
  <si>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</si>
  <si>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</si>
  <si>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</si>
  <si>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</si>
  <si>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</si>
  <si>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</si>
  <si>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</si>
  <si>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</si>
  <si>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</si>
  <si>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</si>
  <si>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</si>
  <si>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</si>
  <si>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</si>
  <si>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</si>
  <si>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</si>
  <si>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</si>
  <si>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</si>
  <si>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</si>
  <si>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</si>
  <si>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</si>
  <si>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</si>
  <si>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</si>
  <si>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</si>
  <si>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</si>
  <si>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</si>
  <si>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</si>
  <si>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</si>
  <si>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</si>
  <si>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</si>
  <si>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</si>
  <si>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</si>
  <si>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</si>
  <si>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</si>
  <si>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</si>
  <si>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</si>
  <si>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</si>
  <si>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</si>
  <si>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</si>
  <si>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</si>
  <si>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</si>
  <si>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</si>
  <si>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</si>
  <si>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</si>
  <si>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</si>
  <si>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</si>
  <si>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</si>
  <si>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</si>
  <si>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</si>
  <si>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</si>
  <si>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</si>
  <si>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</si>
  <si>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</si>
  <si>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</si>
  <si>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</si>
  <si>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</si>
  <si>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</si>
  <si>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</si>
  <si>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</si>
  <si>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</si>
  <si>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</si>
  <si>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</si>
  <si>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</si>
  <si>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</si>
  <si>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</si>
  <si>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</si>
  <si>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</si>
  <si>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</si>
  <si>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</si>
  <si>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</si>
  <si>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</si>
  <si>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</si>
  <si>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</si>
  <si>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</si>
  <si>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</si>
  <si>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</si>
  <si>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</si>
  <si>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</si>
  <si>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</si>
  <si>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</si>
  <si>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</si>
  <si>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</si>
  <si>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</si>
  <si>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</si>
  <si>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</si>
  <si>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</si>
  <si>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</si>
  <si>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</si>
  <si>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</si>
  <si>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</si>
  <si>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</si>
  <si>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</si>
  <si>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</si>
  <si>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</si>
  <si>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</si>
  <si>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</si>
  <si>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</si>
  <si>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</si>
  <si>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</si>
  <si>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</si>
  <si>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</si>
  <si>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</si>
  <si>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</si>
  <si>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</si>
  <si>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</si>
  <si>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</si>
  <si>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</si>
  <si>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</si>
  <si>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</si>
  <si>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</si>
  <si>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</si>
  <si>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</si>
  <si>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</si>
  <si>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</si>
  <si>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</si>
  <si>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</si>
  <si>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</si>
  <si>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</si>
  <si>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</si>
  <si>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</si>
  <si>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</si>
  <si>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</si>
  <si>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</si>
  <si>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</si>
  <si>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</si>
  <si>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</si>
  <si>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</si>
  <si>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</si>
  <si>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</si>
  <si>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</si>
  <si>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</si>
  <si>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</si>
  <si>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</si>
  <si>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</si>
  <si>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</si>
  <si>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</si>
  <si>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</si>
  <si>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</si>
  <si>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</si>
  <si>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</si>
  <si>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</si>
  <si>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</si>
  <si>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</si>
  <si>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</si>
  <si>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</si>
  <si>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</si>
  <si>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</si>
  <si>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</si>
  <si>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</si>
  <si>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</si>
  <si>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</si>
  <si>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</si>
  <si>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</si>
  <si>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</si>
  <si>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</si>
  <si>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</si>
  <si>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</si>
  <si>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</si>
  <si>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</si>
  <si>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</si>
  <si>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</si>
  <si>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</si>
  <si>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</si>
  <si>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</si>
  <si>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</si>
  <si>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</si>
  <si>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</si>
  <si>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</si>
  <si>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</si>
  <si>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</si>
  <si>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</si>
  <si>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</si>
  <si>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</si>
  <si>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</si>
  <si>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</si>
  <si>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</si>
  <si>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</si>
  <si>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</si>
  <si>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</si>
  <si>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</si>
  <si>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</si>
  <si>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</si>
  <si>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</si>
  <si>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</si>
  <si>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</si>
  <si>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</si>
  <si>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</si>
  <si>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</si>
  <si>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</si>
  <si>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</si>
  <si>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</si>
  <si>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</si>
  <si>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</si>
  <si>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</si>
  <si>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</si>
  <si>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</si>
  <si>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</si>
  <si>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</si>
  <si>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</si>
  <si>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</si>
  <si>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</si>
  <si>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</si>
  <si>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</si>
  <si>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</si>
  <si>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</si>
  <si>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</si>
  <si>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</si>
  <si>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</si>
  <si>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</si>
  <si>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</si>
  <si>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</si>
  <si>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</si>
  <si>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</si>
  <si>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</si>
  <si>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</si>
  <si>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</si>
  <si>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</si>
  <si>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</si>
  <si>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</si>
  <si>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</si>
  <si>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</si>
  <si>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</si>
  <si>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</si>
  <si>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</si>
  <si>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</si>
  <si>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</si>
  <si>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</si>
  <si>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</si>
  <si>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</si>
  <si>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</si>
  <si>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</si>
  <si>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</si>
  <si>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</si>
  <si>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</si>
  <si>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</si>
  <si>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</si>
  <si>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</si>
  <si>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</si>
  <si>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</si>
  <si>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</si>
  <si>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</si>
  <si>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</si>
  <si>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</si>
  <si>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</si>
  <si>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</si>
  <si>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</si>
  <si>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</si>
  <si>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</si>
  <si>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</si>
  <si>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</si>
  <si>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</si>
  <si>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</si>
  <si>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</si>
  <si>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</si>
  <si>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</si>
  <si>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</si>
  <si>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</si>
  <si>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</si>
  <si>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</si>
  <si>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</si>
  <si>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</si>
  <si>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</si>
  <si>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</si>
  <si>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</si>
  <si>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</si>
  <si>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</si>
  <si>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</si>
  <si>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</si>
  <si>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</si>
  <si>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</si>
  <si>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</si>
  <si>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</si>
  <si>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</si>
  <si>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</si>
  <si>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</si>
  <si>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</si>
  <si>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</si>
  <si>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</si>
  <si>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</si>
  <si>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</si>
  <si>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</si>
  <si>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</si>
  <si>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</si>
  <si>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</si>
  <si>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</si>
  <si>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</si>
  <si>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</si>
  <si>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</si>
  <si>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</si>
  <si>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</si>
  <si>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</si>
  <si>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</si>
  <si>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</si>
  <si>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</si>
  <si>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</si>
  <si>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</si>
  <si>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</si>
  <si>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</si>
  <si>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</si>
  <si>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</si>
  <si>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</si>
  <si>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</si>
  <si>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</si>
  <si>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</si>
  <si>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</si>
  <si>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</si>
  <si>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</si>
  <si>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</si>
  <si>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</si>
  <si>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</si>
  <si>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</si>
  <si>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</si>
  <si>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</si>
  <si>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</si>
  <si>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</si>
  <si>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</si>
  <si>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</si>
  <si>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</si>
  <si>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</si>
  <si>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</si>
  <si>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</si>
  <si>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</si>
  <si>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</si>
  <si>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</si>
  <si>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</si>
  <si>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</si>
  <si>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</si>
  <si>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</si>
  <si>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</si>
  <si>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</si>
  <si>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</si>
  <si>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</si>
  <si>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</si>
  <si>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</si>
  <si>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</si>
  <si>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</si>
  <si>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</si>
  <si>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</si>
  <si>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</si>
  <si>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</si>
  <si>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</si>
  <si>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</si>
  <si>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</si>
  <si>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</si>
  <si>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</si>
  <si>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</si>
  <si>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</si>
  <si>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</si>
  <si>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</si>
  <si>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</si>
  <si>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</si>
  <si>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</si>
  <si>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</si>
  <si>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</si>
  <si>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</si>
  <si>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</si>
  <si>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</si>
  <si>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</si>
  <si>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</si>
  <si>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</si>
  <si>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</si>
  <si>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</si>
  <si>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</si>
  <si>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</si>
  <si>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</si>
  <si>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</si>
  <si>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</si>
  <si>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</si>
  <si>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</si>
  <si>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</si>
  <si>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</si>
  <si>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</si>
  <si>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</si>
  <si>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</si>
  <si>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</si>
  <si>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</si>
  <si>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</si>
  <si>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</si>
  <si>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</si>
  <si>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</si>
  <si>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</si>
  <si>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</si>
  <si>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</si>
  <si>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</si>
  <si>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</si>
  <si>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</si>
  <si>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</si>
  <si>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</si>
  <si>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</si>
  <si>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</si>
  <si>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</si>
  <si>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</si>
  <si>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</si>
  <si>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</si>
  <si>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</si>
  <si>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</si>
  <si>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</si>
  <si>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</si>
  <si>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</si>
  <si>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</si>
  <si>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</si>
  <si>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</si>
  <si>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</si>
  <si>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</si>
  <si>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</si>
  <si>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</si>
  <si>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</si>
  <si>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</si>
  <si>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</si>
  <si>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</si>
  <si>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</si>
  <si>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</si>
  <si>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</si>
  <si>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</si>
  <si>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</si>
  <si>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</si>
  <si>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</si>
  <si>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</si>
  <si>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</si>
  <si>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</si>
  <si>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</si>
  <si>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</si>
  <si>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</si>
  <si>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</si>
  <si>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</si>
  <si>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</si>
  <si>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</si>
  <si>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</si>
  <si>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</si>
  <si>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</si>
  <si>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</si>
  <si>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</si>
  <si>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</si>
  <si>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</si>
  <si>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</si>
  <si>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</si>
  <si>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</si>
  <si>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</si>
  <si>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</si>
  <si>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</si>
  <si>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</si>
  <si>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</si>
  <si>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</si>
  <si>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</si>
  <si>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</si>
  <si>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</si>
  <si>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</si>
  <si>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</si>
  <si>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</si>
  <si>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</si>
  <si>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</si>
  <si>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</si>
  <si>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</si>
  <si>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</si>
  <si>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</si>
  <si>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</si>
  <si>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</si>
  <si>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</si>
  <si>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</si>
  <si>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</si>
  <si>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</si>
  <si>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</si>
  <si>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</si>
  <si>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</si>
  <si>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</si>
  <si>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</si>
  <si>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</si>
  <si>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</si>
  <si>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</si>
  <si>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</si>
  <si>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</si>
  <si>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</si>
  <si>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</si>
  <si>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</si>
  <si>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</si>
  <si>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</si>
  <si>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</si>
  <si>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</si>
  <si>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</si>
  <si>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</si>
  <si>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</si>
  <si>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</si>
  <si>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</si>
  <si>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</si>
  <si>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</si>
  <si>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</si>
  <si>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</si>
  <si>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</si>
  <si>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</si>
  <si>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</si>
  <si>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</si>
  <si>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</si>
  <si>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</si>
  <si>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</si>
  <si>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</si>
  <si>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</si>
  <si>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</si>
  <si>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</si>
  <si>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</si>
  <si>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</si>
  <si>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</si>
  <si>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</si>
  <si>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</si>
  <si>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</si>
  <si>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</si>
  <si>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</si>
  <si>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</si>
  <si>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</si>
  <si>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</si>
  <si>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</si>
  <si>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</si>
  <si>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</si>
  <si>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</si>
  <si>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</si>
  <si>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</si>
  <si>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</si>
  <si>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</si>
  <si>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</si>
  <si>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</si>
  <si>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</si>
  <si>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</si>
  <si>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</si>
  <si>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</si>
  <si>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</si>
  <si>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</si>
  <si>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</si>
  <si>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</si>
  <si>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</si>
  <si>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</si>
  <si>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</si>
  <si>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</si>
  <si>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</si>
  <si>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</si>
  <si>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</si>
  <si>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</si>
  <si>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</si>
  <si>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</si>
  <si>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</si>
  <si>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</si>
  <si>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</si>
  <si>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</si>
  <si>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</si>
  <si>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</si>
  <si>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</si>
  <si>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</si>
  <si>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</si>
  <si>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</si>
  <si>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</si>
  <si>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</si>
  <si>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</si>
  <si>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</si>
  <si>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</si>
  <si>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</si>
  <si>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</si>
  <si>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</si>
  <si>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</si>
  <si>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</si>
  <si>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</si>
  <si>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</si>
  <si>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</si>
  <si>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</si>
  <si>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</si>
  <si>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</si>
  <si>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</si>
  <si>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</si>
  <si>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</si>
  <si>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</si>
  <si>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</si>
  <si>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</si>
  <si>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</si>
  <si>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</si>
  <si>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</si>
  <si>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</si>
  <si>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</si>
  <si>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</si>
  <si>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</si>
  <si>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</si>
  <si>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</si>
  <si>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</si>
  <si>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</si>
  <si>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</si>
  <si>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</si>
  <si>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</si>
  <si>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</si>
  <si>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</si>
  <si>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</si>
  <si>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</si>
  <si>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</si>
  <si>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</si>
  <si>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</si>
  <si>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</si>
  <si>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</si>
  <si>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</si>
  <si>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</si>
  <si>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</si>
  <si>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</si>
  <si>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</si>
  <si>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</si>
  <si>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</si>
  <si>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</si>
  <si>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</si>
  <si>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</si>
  <si>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</si>
  <si>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</si>
  <si>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</si>
  <si>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</si>
  <si>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</si>
  <si>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</si>
  <si>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</si>
  <si>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</si>
  <si>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</si>
  <si>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</si>
  <si>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</si>
  <si>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</si>
  <si>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</si>
  <si>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</si>
  <si>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</si>
  <si>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</si>
  <si>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</si>
  <si>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</si>
  <si>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</si>
  <si>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</si>
  <si>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</si>
  <si>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</si>
  <si>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</si>
  <si>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</si>
  <si>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</si>
  <si>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</si>
  <si>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</si>
  <si>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</si>
  <si>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</si>
  <si>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</si>
  <si>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</si>
  <si>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</si>
  <si>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</si>
  <si>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</si>
  <si>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</si>
  <si>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</si>
  <si>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</si>
  <si>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</si>
  <si>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</si>
  <si>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</si>
  <si>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</si>
  <si>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</si>
  <si>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</si>
  <si>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</si>
  <si>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</si>
  <si>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</si>
  <si>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</si>
  <si>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</si>
  <si>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</si>
  <si>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</si>
  <si>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</si>
  <si>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</si>
  <si>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</si>
  <si>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</si>
  <si>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</si>
  <si>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</si>
  <si>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</si>
  <si>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</si>
  <si>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</si>
  <si>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</si>
  <si>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</si>
  <si>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</si>
  <si>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</si>
  <si>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</si>
  <si>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</si>
  <si>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</si>
  <si>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</si>
  <si>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</si>
  <si>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</si>
  <si>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</si>
  <si>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</si>
  <si>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</si>
  <si>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</si>
  <si>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</si>
  <si>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</si>
  <si>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</si>
  <si>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</si>
  <si>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</si>
  <si>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</si>
  <si>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</si>
  <si>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</si>
  <si>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</si>
  <si>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</si>
  <si>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</si>
  <si>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</si>
  <si>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</si>
  <si>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</si>
  <si>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</si>
  <si>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</si>
  <si>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</si>
  <si>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</si>
  <si>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</si>
  <si>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</si>
  <si>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</si>
  <si>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</si>
  <si>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</si>
  <si>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</si>
  <si>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</si>
  <si>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</si>
  <si>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</si>
  <si>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</si>
  <si>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</si>
  <si>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</si>
  <si>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</si>
  <si>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</si>
  <si>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</si>
  <si>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</si>
  <si>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</si>
  <si>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</si>
  <si>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</si>
  <si>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</si>
  <si>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</si>
  <si>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</si>
  <si>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</si>
  <si>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</si>
  <si>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</si>
  <si>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</si>
  <si>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</si>
  <si>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</si>
  <si>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</si>
  <si>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</si>
  <si>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</si>
  <si>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</si>
  <si>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</si>
  <si>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</si>
  <si>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</si>
  <si>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</si>
  <si>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</si>
  <si>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</si>
  <si>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</si>
  <si>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</si>
  <si>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</si>
  <si>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</si>
  <si>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</si>
  <si>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</si>
  <si>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</si>
  <si>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</si>
  <si>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</si>
  <si>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</si>
  <si>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</si>
  <si>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</si>
  <si>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</si>
  <si>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</si>
  <si>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</si>
  <si>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</si>
  <si>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</si>
  <si>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</si>
  <si>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</si>
  <si>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</si>
  <si>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</si>
  <si>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</si>
  <si>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</si>
  <si>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</si>
  <si>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</si>
  <si>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</si>
  <si>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</si>
  <si>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</si>
  <si>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</si>
  <si>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</si>
  <si>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</si>
  <si>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</si>
  <si>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</si>
  <si>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</si>
  <si>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</si>
  <si>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</si>
  <si>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</si>
  <si>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</si>
  <si>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</si>
  <si>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</si>
  <si>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</si>
  <si>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</si>
  <si>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</si>
  <si>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</si>
  <si>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</si>
  <si>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</si>
  <si>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</si>
  <si>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</si>
  <si>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</si>
  <si>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</si>
  <si>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</si>
  <si>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</si>
  <si>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</si>
  <si>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</si>
  <si>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</si>
  <si>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</si>
  <si>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</si>
  <si>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</si>
  <si>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</si>
  <si>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</si>
  <si>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</si>
  <si>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</si>
  <si>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</si>
  <si>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</si>
  <si>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</si>
  <si>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</si>
  <si>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</si>
  <si>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</si>
  <si>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</si>
  <si>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</si>
  <si>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</si>
  <si>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</si>
  <si>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</si>
  <si>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</si>
  <si>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</si>
  <si>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</si>
  <si>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</si>
  <si>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</si>
  <si>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</si>
  <si>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</si>
  <si>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</si>
  <si>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</si>
  <si>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</si>
  <si>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</si>
  <si>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</si>
  <si>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</si>
  <si>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</si>
  <si>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</si>
  <si>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</si>
  <si>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</si>
  <si>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</si>
  <si>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</si>
  <si>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</si>
  <si>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</si>
  <si>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</si>
  <si>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</si>
  <si>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</si>
  <si>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</si>
  <si>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</si>
  <si>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</si>
  <si>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</si>
  <si>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</si>
  <si>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</si>
  <si>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</si>
  <si>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</si>
  <si>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</si>
  <si>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</si>
  <si>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</si>
  <si>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</si>
  <si>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</si>
  <si>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</si>
  <si>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</si>
  <si>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</si>
  <si>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</si>
  <si>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</si>
  <si>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</si>
  <si>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</si>
  <si>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</si>
  <si>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</si>
  <si>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</si>
  <si>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</si>
  <si>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</si>
  <si>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</si>
  <si>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</si>
  <si>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</si>
  <si>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</si>
  <si>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</si>
  <si>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</si>
  <si>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</si>
  <si>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</si>
  <si>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</si>
  <si>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</si>
  <si>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</si>
  <si>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</si>
  <si>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</si>
  <si>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</si>
  <si>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</si>
  <si>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</si>
  <si>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</si>
  <si>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</si>
  <si>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</si>
  <si>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</si>
  <si>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</si>
  <si>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</si>
  <si>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</si>
  <si>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</si>
  <si>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</si>
  <si>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</si>
  <si>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</si>
  <si>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</si>
  <si>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</si>
  <si>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</si>
  <si>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</si>
  <si>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</si>
  <si>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</si>
  <si>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</si>
  <si>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</si>
  <si>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</si>
  <si>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</si>
  <si>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</si>
  <si>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</si>
  <si>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</si>
  <si>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</si>
  <si>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</si>
  <si>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</si>
  <si>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</si>
  <si>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</si>
  <si>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</si>
  <si>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</si>
  <si>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</si>
  <si>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</si>
  <si>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</si>
  <si>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</si>
  <si>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</si>
  <si>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</si>
  <si>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</si>
  <si>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</si>
  <si>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</si>
  <si>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</si>
  <si>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</si>
  <si>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</si>
  <si>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</si>
  <si>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</si>
  <si>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</si>
  <si>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</si>
  <si>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</si>
  <si>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</si>
  <si>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</si>
  <si>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</si>
  <si>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</si>
  <si>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</si>
  <si>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</si>
  <si>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</si>
  <si>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</si>
  <si>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</si>
  <si>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</si>
  <si>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</si>
  <si>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</si>
  <si>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</si>
  <si>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</si>
  <si>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</si>
  <si>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</si>
  <si>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</si>
  <si>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</si>
  <si>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</si>
  <si>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</si>
  <si>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</si>
  <si>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</si>
  <si>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</si>
  <si>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</si>
  <si>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</si>
  <si>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</si>
  <si>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</si>
  <si>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</si>
  <si>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</si>
  <si>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</si>
  <si>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</si>
  <si>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</si>
  <si>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</si>
  <si>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</si>
  <si>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</si>
  <si>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</si>
  <si>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</si>
  <si>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</si>
  <si>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</si>
  <si>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</si>
  <si>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</si>
  <si>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</si>
  <si>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</si>
  <si>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</si>
  <si>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</si>
  <si>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</si>
  <si>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</si>
  <si>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</si>
  <si>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</si>
  <si>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</si>
  <si>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</si>
  <si>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</si>
  <si>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</si>
  <si>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</si>
  <si>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</si>
  <si>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</si>
  <si>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</si>
  <si>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</si>
  <si>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</si>
  <si>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</si>
  <si>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</si>
  <si>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</si>
  <si>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</si>
  <si>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</si>
  <si>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</si>
  <si>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</si>
  <si>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</si>
  <si>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</si>
  <si>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</si>
  <si>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</si>
  <si>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</si>
  <si>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</si>
  <si>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</si>
  <si>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</si>
  <si>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</si>
  <si>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</si>
  <si>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</si>
  <si>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</si>
  <si>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</si>
  <si>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</si>
  <si>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</si>
  <si>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</si>
  <si>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</si>
  <si>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</si>
  <si>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</si>
  <si>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</si>
  <si>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</si>
  <si>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</si>
  <si>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</si>
  <si>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</si>
  <si>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</si>
  <si>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</si>
  <si>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</si>
  <si>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</si>
  <si>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</si>
  <si>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</si>
  <si>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</si>
  <si>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</si>
  <si>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</si>
  <si>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</si>
  <si>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</si>
  <si>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</si>
  <si>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</si>
  <si>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</si>
  <si>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</si>
  <si>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</si>
  <si>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</si>
  <si>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</si>
  <si>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</si>
  <si>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</si>
  <si>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</si>
  <si>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</si>
  <si>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</si>
  <si>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</si>
  <si>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</si>
  <si>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</si>
  <si>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</si>
  <si>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</si>
  <si>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</si>
  <si>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</si>
  <si>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</si>
  <si>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</si>
  <si>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</si>
  <si>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</si>
  <si>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</si>
  <si>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</si>
  <si>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</si>
  <si>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</si>
  <si>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</si>
  <si>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</si>
  <si>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</si>
  <si>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</si>
  <si>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</si>
  <si>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</si>
  <si>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</si>
  <si>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</si>
  <si>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</si>
  <si>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</si>
  <si>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</si>
  <si>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</si>
  <si>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</si>
  <si>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</si>
  <si>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</si>
  <si>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</si>
  <si>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</si>
  <si>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</si>
  <si>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</si>
  <si>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</si>
  <si>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</si>
  <si>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</si>
  <si>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</si>
  <si>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</si>
  <si>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</si>
  <si>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</si>
  <si>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</si>
  <si>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</si>
  <si>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</si>
  <si>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</si>
  <si>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</si>
  <si>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</si>
  <si>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</si>
  <si>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</si>
  <si>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</si>
  <si>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</si>
  <si>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</si>
  <si>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</si>
  <si>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</si>
  <si>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</si>
  <si>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</si>
  <si>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</si>
  <si>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</si>
  <si>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</si>
  <si>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</si>
  <si>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</si>
  <si>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</si>
  <si>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</si>
  <si>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</si>
  <si>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</si>
  <si>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</si>
  <si>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</si>
  <si>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</si>
  <si>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</si>
  <si>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</si>
  <si>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</si>
  <si>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</si>
  <si>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</si>
  <si>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</si>
  <si>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</si>
  <si>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</si>
  <si>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</si>
  <si>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</si>
  <si>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</si>
  <si>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</si>
  <si>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</si>
  <si>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</si>
  <si>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</si>
  <si>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</si>
  <si>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</si>
  <si>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</si>
  <si>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</si>
  <si>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</si>
  <si>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</si>
  <si>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</si>
  <si>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</si>
  <si>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</si>
  <si>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</si>
  <si>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</si>
  <si>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</si>
  <si>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</si>
  <si>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</si>
  <si>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</si>
  <si>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</si>
  <si>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</si>
  <si>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</si>
  <si>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</si>
  <si>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</si>
  <si>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</si>
  <si>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</si>
  <si>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</si>
  <si>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</si>
  <si>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</si>
  <si>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</si>
  <si>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</si>
  <si>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</si>
  <si>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</si>
  <si>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</si>
  <si>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</si>
  <si>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</si>
  <si>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</si>
  <si>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</si>
  <si>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</si>
  <si>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</si>
  <si>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</si>
  <si>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</si>
  <si>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</si>
  <si>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</si>
  <si>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</si>
  <si>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</si>
  <si>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</si>
  <si>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</si>
  <si>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</si>
  <si>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</si>
  <si>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</si>
  <si>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</si>
  <si>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</si>
  <si>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</si>
  <si>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</si>
  <si>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</si>
  <si>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</si>
  <si>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</si>
  <si>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</si>
  <si>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</si>
  <si>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</si>
  <si>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</si>
  <si>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</si>
  <si>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</si>
  <si>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</si>
  <si>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</si>
  <si>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</si>
  <si>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</si>
  <si>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</si>
  <si>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</si>
  <si>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</si>
  <si>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</si>
  <si>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</si>
  <si>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</si>
  <si>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</si>
  <si>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</si>
  <si>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</si>
  <si>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</si>
  <si>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</si>
  <si>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</si>
  <si>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</si>
  <si>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</si>
  <si>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</si>
  <si>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</si>
  <si>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</si>
  <si>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</si>
  <si>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</si>
  <si>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</si>
  <si>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</si>
  <si>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</si>
  <si>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</si>
  <si>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</si>
  <si>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</si>
  <si>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</si>
  <si>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</si>
  <si>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</si>
  <si>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</si>
  <si>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</si>
  <si>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</si>
  <si>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</si>
  <si>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</si>
  <si>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</si>
  <si>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</si>
  <si>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</si>
  <si>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</si>
  <si>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</si>
  <si>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</si>
  <si>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</si>
  <si>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</si>
  <si>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</si>
  <si>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</si>
  <si>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</si>
  <si>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</si>
  <si>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</si>
  <si>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</si>
  <si>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</si>
  <si>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</si>
  <si>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</si>
  <si>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</si>
  <si>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</si>
  <si>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</si>
  <si>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</si>
  <si>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</si>
  <si>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</si>
  <si>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</si>
  <si>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</si>
  <si>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</si>
  <si>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Permanent._x000D_
In between each game of a campaign, you may swap up to two level 0 cards out of your deck in exchange for an equal number of level 0 cards. (You must still follow all deckbuilding rules for your investigator).</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</si>
  <si>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</si>
  <si>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</si>
  <si>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</si>
  <si>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</si>
  <si>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</si>
  <si>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</si>
  <si>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</si>
  <si>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</si>
  <si>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</si>
  <si>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</si>
  <si>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</si>
  <si>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</si>
  <si>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</si>
  <si>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</si>
  <si>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</si>
  <si>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</si>
  <si>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</si>
  <si>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</si>
  <si>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</si>
  <si>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</si>
  <si>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</si>
  <si>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</si>
  <si>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</si>
  <si>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</si>
  <si>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</si>
  <si>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</si>
  <si>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</si>
  <si>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</si>
  <si>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</si>
  <si>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</si>
  <si>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</si>
  <si>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</si>
  <si>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</si>
  <si>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</si>
  <si>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</si>
  <si>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</si>
  <si>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</si>
  <si>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</si>
  <si>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</si>
  <si>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</si>
  <si>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</si>
  <si>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</si>
  <si>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</si>
  <si>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</si>
  <si>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</si>
  <si>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</si>
  <si>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</si>
  <si>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</si>
  <si>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</si>
  <si>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</si>
  <si>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</si>
  <si>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</si>
  <si>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</si>
  <si>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</si>
  <si>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</si>
  <si>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</si>
  <si>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</si>
  <si>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</si>
  <si>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</si>
  <si>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</si>
  <si>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</si>
  <si>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</si>
  <si>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</si>
  <si>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</si>
  <si>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</si>
  <si>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</si>
  <si>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</si>
  <si>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</si>
  <si>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</si>
  <si>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</si>
  <si>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</si>
  <si>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</si>
  <si>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</si>
  <si>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</si>
  <si>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</si>
  <si>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</si>
  <si>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</si>
  <si>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</si>
  <si>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</si>
  <si>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</si>
  <si>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</si>
  <si>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</si>
  <si>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</si>
  <si>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</si>
  <si>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</si>
  <si>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</si>
  <si>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</si>
  <si>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</si>
  <si>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</si>
  <si>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</si>
  <si>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</si>
  <si>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</si>
  <si>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</si>
  <si>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</si>
  <si>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</si>
  <si>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</si>
  <si>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</si>
  <si>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</si>
  <si>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</si>
  <si>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</si>
  <si>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</si>
  <si>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</si>
  <si>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</si>
  <si>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</si>
  <si>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</si>
  <si>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</si>
  <si>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</si>
  <si>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</si>
  <si>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</si>
  <si>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</si>
  <si>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</si>
  <si>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</si>
  <si>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</si>
  <si>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</si>
  <si>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</si>
  <si>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</si>
  <si>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</si>
  <si>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</si>
  <si>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</si>
  <si>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</si>
  <si>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</si>
  <si>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</si>
  <si>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</si>
  <si>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</si>
  <si>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</si>
  <si>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</si>
  <si>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</si>
  <si>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</si>
  <si>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</si>
  <si>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</si>
  <si>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</si>
  <si>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</si>
  <si>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</si>
  <si>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</si>
  <si>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</si>
  <si>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</si>
  <si>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</si>
  <si>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</si>
  <si>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</si>
  <si>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</si>
  <si>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</si>
  <si>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</si>
  <si>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</si>
  <si>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</si>
  <si>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</si>
  <si>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</si>
  <si>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</si>
  <si>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</si>
  <si>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</si>
  <si>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</si>
  <si>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</si>
  <si>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</si>
  <si>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</si>
  <si>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</si>
  <si>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</si>
  <si>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</si>
  <si>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</si>
  <si>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</si>
  <si>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</si>
  <si>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</si>
  <si>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</si>
  <si>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</si>
  <si>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</si>
  <si>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</si>
  <si>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</si>
  <si>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</si>
  <si>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</si>
  <si>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</si>
  <si>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</si>
  <si>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</si>
  <si>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</si>
  <si>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</si>
  <si>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</si>
  <si>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</si>
  <si>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</si>
  <si>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</si>
  <si>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</si>
  <si>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</si>
  <si>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</si>
  <si>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</si>
  <si>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</si>
  <si>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</si>
  <si>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</si>
  <si>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</si>
  <si>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</si>
  <si>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</si>
  <si>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</si>
  <si>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</si>
  <si>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</si>
  <si>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</si>
  <si>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</si>
  <si>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</si>
  <si>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</si>
  <si>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</si>
  <si>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</si>
  <si>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</si>
  <si>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</si>
  <si>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</si>
  <si>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</si>
  <si>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</si>
  <si>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</si>
  <si>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</si>
  <si>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</si>
  <si>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</si>
  <si>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</si>
  <si>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</si>
  <si>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</si>
  <si>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</si>
  <si>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</si>
  <si>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</si>
  <si>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</si>
  <si>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</si>
  <si>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</si>
  <si>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</si>
  <si>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</si>
  <si>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</si>
  <si>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</si>
  <si>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</si>
  <si>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</si>
  <si>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</si>
  <si>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</si>
  <si>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</si>
  <si>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</si>
  <si>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</si>
  <si>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</si>
  <si>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</si>
  <si>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</si>
  <si>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</si>
  <si>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</si>
  <si>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</si>
  <si>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</si>
  <si>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</si>
  <si>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</si>
  <si>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</si>
  <si>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</si>
  <si>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</si>
  <si>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</si>
  <si>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</si>
  <si>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</si>
  <si>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</si>
  <si>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</si>
  <si>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</si>
  <si>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</si>
  <si>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</si>
  <si>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</si>
  <si>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</si>
  <si>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</si>
  <si>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</si>
  <si>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</si>
  <si>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</si>
  <si>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</si>
  <si>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</si>
  <si>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</si>
  <si>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</si>
  <si>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</si>
  <si>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</si>
  <si>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</si>
  <si>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</si>
  <si>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</si>
  <si>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</si>
  <si>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</si>
  <si>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</si>
  <si>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</si>
  <si>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</si>
  <si>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</si>
  <si>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</si>
  <si>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</si>
  <si>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</si>
  <si>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</si>
  <si>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</si>
  <si>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</si>
  <si>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</si>
  <si>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</si>
  <si>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</si>
  <si>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</si>
  <si>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</si>
  <si>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</si>
  <si>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</si>
  <si>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</si>
  <si>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</si>
  <si>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</si>
  <si>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</si>
  <si>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</si>
  <si>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</si>
  <si>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</si>
  <si>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</si>
  <si>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</si>
  <si>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</si>
  <si>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</si>
  <si>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</si>
  <si>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</si>
  <si>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</si>
  <si>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</si>
  <si>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</si>
  <si>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</si>
  <si>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</si>
  <si>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</si>
  <si>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</si>
  <si>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</si>
  <si>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</si>
  <si>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</si>
  <si>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</si>
  <si>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</si>
  <si>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</si>
  <si>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</si>
  <si>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</si>
  <si>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</si>
  <si>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</si>
  <si>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</si>
  <si>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</si>
  <si>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</si>
  <si>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</si>
  <si>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</si>
  <si>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</si>
  <si>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</si>
  <si>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</si>
  <si>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</si>
  <si>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</si>
  <si>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</si>
  <si>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</si>
  <si>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</si>
  <si>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</si>
  <si>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</si>
  <si>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</si>
  <si>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</si>
  <si>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</si>
  <si>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</si>
  <si>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</si>
  <si>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</si>
  <si>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</si>
  <si>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</si>
  <si>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</si>
  <si>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</si>
  <si>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</si>
  <si>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</si>
  <si>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</si>
  <si>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</si>
  <si>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</si>
  <si>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</si>
  <si>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</si>
  <si>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</si>
  <si>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</si>
  <si>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</si>
  <si>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</si>
  <si>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</si>
  <si>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</si>
  <si>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</si>
  <si>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</si>
  <si>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</si>
  <si>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</si>
  <si>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</si>
  <si>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</si>
  <si>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</si>
  <si>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</si>
  <si>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</si>
  <si>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Permanent._x000D_θ Spend 2 resources: You get +1 έ until the end of the phase._x000D_θ Spend 2 resources: You get +1 ή until the end of the phase.</t>
  </si>
  <si>
    <t>Play only if there is a clue on your location._x000D_Draw 3 cards.</t>
  </si>
  <si>
    <t>Permanent._x000D_While you have 5 or more cards in your hand, Higher Education gains:_x000D_θ Spend 1 resource: You get +2 ά for this skill test._x000D_θ Spend 1 resource: You get +2 έ for this skill test.</t>
  </si>
  <si>
    <t>Limit 1 per investigator._x000D_ι When your turn begins, if there are no other investigators at your location: Gain 1 resource.</t>
  </si>
  <si>
    <t>Permanent._x000D_θ Spend 2 resources: You get +3 έ for this skill test._x000D_θ Spend 2 resources: You get +3 ί for this skill test.</t>
  </si>
  <si>
    <t>Permanent._x000D_θ Add 1 doom to Blood Pact: You get +3 ά for this skill test. (Limit once per test.)_x000D_θ Add 1 doom to Blood Pact: You get +3 ή for this skill test. (Limit once per test.)</t>
  </si>
  <si>
    <t>Permanent._x000D_θ Spend 1 resource: You get +1 ή for this skill test._x000D_θ Spend 1 resource: You get +1 ί for this skill test.</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</si>
  <si>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</si>
  <si>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</si>
  <si>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</si>
  <si>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</si>
  <si>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</si>
  <si>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</si>
  <si>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</si>
  <si>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</si>
  <si>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</si>
  <si>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</si>
  <si>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</si>
  <si>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</si>
  <si>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</si>
  <si>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</si>
  <si>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</si>
  <si>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</si>
  <si>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</si>
  <si>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</si>
  <si>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</si>
  <si>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</si>
  <si>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</si>
  <si>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</si>
  <si>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</si>
  <si>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</si>
  <si>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C:\Users\timc\Desktop\New folder\New folder\AHC05_184.jpg</t>
  </si>
  <si>
    <t>C:\Users\timc\Desktop\New folder\New folder\AHC05_185.jpg</t>
  </si>
  <si>
    <t>C:\Users\timc\Desktop\New folder\New folder\AHC05_186.jpg</t>
  </si>
  <si>
    <t>C:\Users\timc\Desktop\New folder\New folder\AHC05_187.jpg</t>
  </si>
  <si>
    <t>C:\Users\timc\Desktop\New folder\New folder\AHC05_188.jpg</t>
  </si>
  <si>
    <t>C:\Users\timc\Desktop\New folder\New folder\AHC05_189.jpg</t>
  </si>
  <si>
    <t>C:\Users\timc\Desktop\New folder\New folder\AHC05_190.jpg</t>
  </si>
  <si>
    <t>C:\Users\timc\Desktop\New folder\New folder\AHC05_191.jpg</t>
  </si>
  <si>
    <t>C:\Users\timc\Desktop\New folder\New folder\AHC05_192.jpg</t>
  </si>
  <si>
    <t>C:\Users\timc\Desktop\New folder\New folder\AHC05_193.jpg</t>
  </si>
  <si>
    <t>C:\Users\timc\Desktop\New folder\New folder\AHC05_194.jpg</t>
  </si>
  <si>
    <t>C:\Users\timc\Desktop\New folder\New folder\AHC05_195b.jpg</t>
  </si>
  <si>
    <t>C:\Users\timc\Desktop\New folder\New folder\AHC05_196.jpg</t>
  </si>
  <si>
    <t>C:\Users\timc\Desktop\New folder\New folder\AHC05_196b.jpg</t>
  </si>
  <si>
    <t>C:\Users\timc\Desktop\New folder\New folder\AHC05_197.jpg</t>
  </si>
  <si>
    <t>C:\Users\timc\Desktop\New folder\New folder\AHC05_197b.jpg</t>
  </si>
  <si>
    <t>C:\Users\timc\Desktop\New folder\New folder\AHC05_198.jpg</t>
  </si>
  <si>
    <t>C:\Users\timc\Desktop\New folder\New folder\AHC05_198b.jpg</t>
  </si>
  <si>
    <t>C:\Users\timc\Desktop\New folder\New folder\AHC05_199.jpg</t>
  </si>
  <si>
    <t>C:\Users\timc\Desktop\New folder\New folder\AHC05_199b.jpg</t>
  </si>
  <si>
    <t>C:\Users\timc\Desktop\New folder\New folder\AHC05_200.jpg</t>
  </si>
  <si>
    <t>C:\Users\timc\Desktop\New folder\New folder\AHC05_200b.jpg</t>
  </si>
  <si>
    <t>C:\Users\timc\Desktop\New folder\New folder\AHC05_201.jpg</t>
  </si>
  <si>
    <t>C:\Users\timc\Desktop\New folder\New folder\AHC05_201b.jpg</t>
  </si>
  <si>
    <t>C:\Users\timc\Desktop\New folder\New folder\AHC05_202.jpg</t>
  </si>
  <si>
    <t>C:\Users\timc\Desktop\New folder\New folder\AHC05_202b.jpg</t>
  </si>
  <si>
    <t>C:\Users\timc\Desktop\New folder\New folder\AHC05_203.jpg</t>
  </si>
  <si>
    <t>C:\Users\timc\Desktop\New folder\New folder\AHC05_203b.jpg</t>
  </si>
  <si>
    <t>C:\Users\timc\Desktop\New folder\New folder\AHC05_204.jpg</t>
  </si>
  <si>
    <t>C:\Users\timc\Desktop\New folder\New folder\AHC05_204b.jpg</t>
  </si>
  <si>
    <t>C:\Users\timc\Desktop\New folder\New folder\AHC05_205.jpg</t>
  </si>
  <si>
    <t>C:\Users\timc\Desktop\New folder\New folder\AHC05_205b.jpg</t>
  </si>
  <si>
    <t>C:\Users\timc\Desktop\New folder\New folder\AHC05_206.jpg</t>
  </si>
  <si>
    <t>C:\Users\timc\Desktop\New folder\New folder\AHC05_206b.jpg</t>
  </si>
  <si>
    <t>C:\Users\timc\Desktop\New folder\New folder\AHC05_207.jpg</t>
  </si>
  <si>
    <t>C:\Users\timc\Desktop\New folder\New folder\AHC05_207b.jpg</t>
  </si>
  <si>
    <t>C:\Users\timc\Desktop\New folder\New folder\AHC05_208.jpg</t>
  </si>
  <si>
    <t>C:\Users\timc\Desktop\New folder\New folder\AHC05_208b.jpg</t>
  </si>
  <si>
    <t>C:\Users\timc\Desktop\New folder\New folder\AHC05_209.jpg</t>
  </si>
  <si>
    <t>C:\Users\timc\Desktop\New folder\New folder\AHC05_209b.jpg</t>
  </si>
  <si>
    <t>C:\Users\timc\Desktop\New folder\New folder\AHC05_210.jpg</t>
  </si>
  <si>
    <t>C:\Users\timc\Desktop\New folder\New folder\AHC05_210b.jpg</t>
  </si>
  <si>
    <t>C:\Users\timc\Desktop\New folder\New folder\AHC05_211.jpg</t>
  </si>
  <si>
    <t>C:\Users\timc\Desktop\New folder\New folder\AHC05_211b.jpg</t>
  </si>
  <si>
    <t>C:\Users\timc\Desktop\New folder\New folder\AHC05_212.jpg</t>
  </si>
  <si>
    <t>C:\Users\timc\Desktop\New folder\New folder\AHC05_212b.jpg</t>
  </si>
  <si>
    <t>C:\Users\timc\Desktop\New folder\New folder\AHC05_213.jpg</t>
  </si>
  <si>
    <t>C:\Users\timc\Desktop\New folder\New folder\AHC05_213b.jpg</t>
  </si>
  <si>
    <t>C:\Users\timc\Desktop\New folder\New folder\AHC05_214.jpg</t>
  </si>
  <si>
    <t>C:\Users\timc\Desktop\New folder\New folder\AHC05_215.jpg</t>
  </si>
  <si>
    <t>C:\Users\timc\Desktop\New folder\New folder\AHC05_216.jpg</t>
  </si>
  <si>
    <t>C:\Users\timc\Desktop\New folder\New folder\AHC05_217.jpg</t>
  </si>
  <si>
    <t>C:\Users\timc\Desktop\New folder\New folder\AHC05_218.jpg</t>
  </si>
  <si>
    <t>C:\Users\timc\Desktop\New folder\New folder\AHC05_219.jpg</t>
  </si>
  <si>
    <t>C:\Users\timc\Desktop\New folder\New folder\AHC05_220.jpg</t>
  </si>
  <si>
    <t>C:\Users\timc\Desktop\New folder\New folder\AHC05_221.jpg</t>
  </si>
  <si>
    <t>C:\Users\timc\Desktop\New folder\New folder\AHC05_222.jpg</t>
  </si>
  <si>
    <t>C:\Users\timc\Desktop\New folder\New folder\AHC05_223.jpg</t>
  </si>
  <si>
    <t>C:\Users\timc\Desktop\New folder\New folder\AHC05_224.jpg</t>
  </si>
  <si>
    <t>rename "%1" "%2.jpg"</t>
  </si>
  <si>
    <t>b</t>
  </si>
  <si>
    <t>You start each game with 2 fewer resources.</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</si>
</sst>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3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8" borderId="2" xfId="0" applyFont="1" applyFill="1" applyBorder="1" applyAlignment="1">
      <alignment horizontal="left" vertical="top" wrapText="1"/>
    </xf>
    <xf numFmtId="11" fontId="24" fillId="0" borderId="0" xfId="0" applyNumberFormat="1" applyFont="1" applyAlignment="1">
      <alignment horizontal="left" vertical="top" wrapText="1"/>
    </xf>
    <xf numFmtId="0" fontId="24" fillId="0" borderId="0" xfId="0" applyNumberFormat="1" applyFont="1" applyFill="1" applyAlignment="1">
      <alignment horizontal="left" vertical="top" wrapText="1"/>
    </xf>
    <xf numFmtId="0" fontId="24" fillId="0" borderId="7" xfId="0" applyFont="1" applyBorder="1" applyAlignment="1">
      <alignment horizontal="left" vertical="top" wrapText="1"/>
    </xf>
    <xf numFmtId="0" fontId="24"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4" fillId="17" borderId="0" xfId="0" applyFont="1" applyFill="1" applyAlignment="1">
      <alignment horizontal="left" vertical="top" wrapText="1"/>
    </xf>
    <xf numFmtId="0" fontId="24" fillId="2"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3" fillId="3" borderId="0" xfId="0" applyFont="1" applyFill="1" applyAlignment="1">
      <alignment horizontal="left" textRotation="180" wrapText="1"/>
    </xf>
    <xf numFmtId="0" fontId="23" fillId="3" borderId="0" xfId="0" applyNumberFormat="1" applyFont="1" applyFill="1" applyAlignment="1">
      <alignment horizontal="left" textRotation="180" wrapText="1"/>
    </xf>
    <xf numFmtId="0" fontId="23" fillId="3" borderId="0" xfId="0" applyFont="1" applyFill="1" applyAlignment="1">
      <alignment horizontal="left" wrapText="1"/>
    </xf>
    <xf numFmtId="0" fontId="23" fillId="3" borderId="0" xfId="0" applyNumberFormat="1" applyFont="1" applyFill="1" applyAlignment="1">
      <alignment horizontal="left" wrapText="1"/>
    </xf>
    <xf numFmtId="0" fontId="23" fillId="11" borderId="0" xfId="0" applyFont="1" applyFill="1" applyAlignment="1">
      <alignment horizontal="left" wrapText="1"/>
    </xf>
    <xf numFmtId="0" fontId="23" fillId="11" borderId="0" xfId="0" applyFont="1" applyFill="1" applyAlignment="1">
      <alignment horizontal="left" textRotation="180" wrapText="1"/>
    </xf>
    <xf numFmtId="0" fontId="23" fillId="11" borderId="0" xfId="0" applyNumberFormat="1" applyFont="1" applyFill="1" applyAlignment="1">
      <alignment horizontal="left" wrapText="1"/>
    </xf>
    <xf numFmtId="0" fontId="26" fillId="15" borderId="0" xfId="0" applyFont="1" applyFill="1" applyAlignment="1">
      <alignment horizontal="left" wrapText="1"/>
    </xf>
    <xf numFmtId="0" fontId="27" fillId="0" borderId="0" xfId="0" applyFont="1" applyAlignment="1">
      <alignment horizontal="left" vertical="top"/>
    </xf>
    <xf numFmtId="0" fontId="24" fillId="2" borderId="0" xfId="0" applyNumberFormat="1" applyFont="1" applyFill="1" applyAlignment="1">
      <alignment horizontal="left" vertical="top"/>
    </xf>
    <xf numFmtId="0" fontId="24" fillId="2" borderId="0" xfId="0" applyFont="1" applyFill="1" applyAlignment="1">
      <alignment horizontal="left" vertical="top"/>
    </xf>
    <xf numFmtId="0" fontId="24" fillId="0" borderId="0" xfId="0" applyNumberFormat="1" applyFont="1" applyAlignment="1">
      <alignment horizontal="left" vertical="top"/>
    </xf>
    <xf numFmtId="0" fontId="23" fillId="3" borderId="0" xfId="0" applyNumberFormat="1" applyFont="1" applyFill="1" applyAlignment="1">
      <alignment horizontal="center" textRotation="180" wrapText="1"/>
    </xf>
    <xf numFmtId="0" fontId="23" fillId="3" borderId="2" xfId="0" applyNumberFormat="1" applyFont="1" applyFill="1" applyBorder="1" applyAlignment="1">
      <alignment horizontal="center" textRotation="180" wrapText="1"/>
    </xf>
    <xf numFmtId="0" fontId="23" fillId="3" borderId="2" xfId="0" applyFont="1" applyFill="1" applyBorder="1" applyAlignment="1">
      <alignment horizontal="center" textRotation="180" wrapText="1"/>
    </xf>
    <xf numFmtId="0" fontId="23" fillId="11" borderId="0" xfId="0" applyNumberFormat="1" applyFont="1" applyFill="1" applyAlignment="1">
      <alignment horizontal="center" textRotation="180" wrapText="1"/>
    </xf>
    <xf numFmtId="0" fontId="23" fillId="11" borderId="2" xfId="0" applyNumberFormat="1" applyFont="1" applyFill="1" applyBorder="1" applyAlignment="1">
      <alignment horizontal="center" textRotation="180" wrapText="1"/>
    </xf>
    <xf numFmtId="0" fontId="23" fillId="11" borderId="2" xfId="0" applyFont="1" applyFill="1" applyBorder="1" applyAlignment="1">
      <alignment horizontal="center" textRotation="180" wrapText="1"/>
    </xf>
    <xf numFmtId="0" fontId="24" fillId="0" borderId="0" xfId="0" applyNumberFormat="1" applyFont="1" applyAlignment="1">
      <alignment horizontal="center" vertical="top" wrapText="1"/>
    </xf>
    <xf numFmtId="0" fontId="24" fillId="9" borderId="2" xfId="0" applyNumberFormat="1" applyFont="1" applyFill="1" applyBorder="1" applyAlignment="1">
      <alignment horizontal="center" vertical="top" wrapText="1"/>
    </xf>
    <xf numFmtId="0" fontId="24" fillId="4" borderId="2" xfId="0" applyNumberFormat="1" applyFont="1" applyFill="1" applyBorder="1" applyAlignment="1">
      <alignment horizontal="center" vertical="top" wrapText="1"/>
    </xf>
    <xf numFmtId="0" fontId="24" fillId="10" borderId="2" xfId="0" applyNumberFormat="1" applyFont="1" applyFill="1" applyBorder="1" applyAlignment="1">
      <alignment horizontal="center" vertical="top" wrapText="1"/>
    </xf>
    <xf numFmtId="0" fontId="24" fillId="8" borderId="2" xfId="0" applyFont="1" applyFill="1" applyBorder="1" applyAlignment="1">
      <alignment horizontal="center" vertical="top" wrapText="1"/>
    </xf>
    <xf numFmtId="0" fontId="24" fillId="8" borderId="2" xfId="0" applyFont="1" applyFill="1" applyBorder="1" applyAlignment="1">
      <alignment horizontal="center" vertical="top"/>
    </xf>
    <xf numFmtId="0" fontId="24" fillId="7" borderId="2" xfId="0" applyFont="1" applyFill="1" applyBorder="1" applyAlignment="1">
      <alignment horizontal="center" vertical="top" wrapText="1"/>
    </xf>
    <xf numFmtId="0" fontId="25" fillId="13" borderId="2" xfId="0" applyNumberFormat="1" applyFont="1" applyFill="1" applyBorder="1" applyAlignment="1">
      <alignment horizontal="center" vertical="top" wrapText="1"/>
    </xf>
    <xf numFmtId="0" fontId="25" fillId="14" borderId="2" xfId="0" applyNumberFormat="1" applyFont="1" applyFill="1" applyBorder="1" applyAlignment="1">
      <alignment horizontal="center" vertical="top" wrapText="1"/>
    </xf>
    <xf numFmtId="0" fontId="24" fillId="6" borderId="2" xfId="0" applyNumberFormat="1" applyFont="1" applyFill="1" applyBorder="1" applyAlignment="1">
      <alignment horizontal="center" vertical="top" wrapText="1"/>
    </xf>
    <xf numFmtId="0" fontId="24" fillId="5" borderId="2" xfId="0" applyNumberFormat="1" applyFont="1" applyFill="1" applyBorder="1" applyAlignment="1">
      <alignment horizontal="center" vertical="top" wrapText="1"/>
    </xf>
    <xf numFmtId="0" fontId="24" fillId="0" borderId="0" xfId="0" applyFont="1" applyAlignment="1">
      <alignment horizontal="center" vertical="top" wrapText="1"/>
    </xf>
    <xf numFmtId="0" fontId="24" fillId="0" borderId="0" xfId="0" quotePrefix="1" applyFont="1" applyAlignment="1">
      <alignment horizontal="center" vertical="top" wrapText="1"/>
    </xf>
    <xf numFmtId="0" fontId="24" fillId="9" borderId="2" xfId="0" applyFont="1" applyFill="1" applyBorder="1" applyAlignment="1">
      <alignment horizontal="center" vertical="top" wrapText="1"/>
    </xf>
    <xf numFmtId="0" fontId="24" fillId="4" borderId="2" xfId="0" applyFont="1" applyFill="1" applyBorder="1" applyAlignment="1">
      <alignment horizontal="center" vertical="top" wrapText="1"/>
    </xf>
    <xf numFmtId="0" fontId="24" fillId="10" borderId="2" xfId="0"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4" fillId="6" borderId="2" xfId="0" applyFont="1" applyFill="1" applyBorder="1" applyAlignment="1">
      <alignment horizontal="center" vertical="top" wrapText="1"/>
    </xf>
    <xf numFmtId="0" fontId="24" fillId="5" borderId="2" xfId="0" applyFont="1" applyFill="1" applyBorder="1" applyAlignment="1">
      <alignment horizontal="center" vertical="top" wrapText="1"/>
    </xf>
    <xf numFmtId="0" fontId="24" fillId="8" borderId="2" xfId="0" quotePrefix="1" applyFont="1" applyFill="1" applyBorder="1" applyAlignment="1">
      <alignment horizontal="center" vertical="top" wrapText="1"/>
    </xf>
    <xf numFmtId="0" fontId="25" fillId="13" borderId="2" xfId="0" applyFont="1" applyFill="1" applyBorder="1" applyAlignment="1">
      <alignment horizontal="center" vertical="top" wrapText="1"/>
    </xf>
    <xf numFmtId="0" fontId="25" fillId="14" borderId="2" xfId="0" applyFont="1" applyFill="1" applyBorder="1" applyAlignment="1">
      <alignment horizontal="center" vertical="top" wrapText="1"/>
    </xf>
    <xf numFmtId="0" fontId="24" fillId="0" borderId="7" xfId="0" applyFont="1" applyBorder="1" applyAlignment="1">
      <alignment horizontal="center" vertical="top" wrapText="1"/>
    </xf>
    <xf numFmtId="0" fontId="24" fillId="9" borderId="9" xfId="0" applyFont="1" applyFill="1" applyBorder="1" applyAlignment="1">
      <alignment horizontal="center" vertical="top" wrapText="1"/>
    </xf>
    <xf numFmtId="0" fontId="24" fillId="4" borderId="9" xfId="0" applyFont="1" applyFill="1" applyBorder="1" applyAlignment="1">
      <alignment horizontal="center" vertical="top" wrapText="1"/>
    </xf>
    <xf numFmtId="0" fontId="24" fillId="10" borderId="9" xfId="0" applyFont="1" applyFill="1" applyBorder="1" applyAlignment="1">
      <alignment horizontal="center" vertical="top" wrapText="1"/>
    </xf>
    <xf numFmtId="0" fontId="24" fillId="8" borderId="9" xfId="0" applyFont="1" applyFill="1" applyBorder="1" applyAlignment="1">
      <alignment horizontal="center" vertical="top" wrapText="1"/>
    </xf>
    <xf numFmtId="0" fontId="24" fillId="7" borderId="9" xfId="0" applyFont="1" applyFill="1" applyBorder="1" applyAlignment="1">
      <alignment horizontal="center" vertical="top" wrapText="1"/>
    </xf>
    <xf numFmtId="0" fontId="25" fillId="13" borderId="9" xfId="0" applyFont="1" applyFill="1" applyBorder="1" applyAlignment="1">
      <alignment horizontal="center" vertical="top" wrapText="1"/>
    </xf>
    <xf numFmtId="0" fontId="25" fillId="14" borderId="9" xfId="0" applyFont="1" applyFill="1" applyBorder="1" applyAlignment="1">
      <alignment horizontal="center" vertical="top" wrapText="1"/>
    </xf>
    <xf numFmtId="0" fontId="24" fillId="6" borderId="9" xfId="0" applyFont="1" applyFill="1" applyBorder="1" applyAlignment="1">
      <alignment horizontal="center" vertical="top" wrapText="1"/>
    </xf>
    <xf numFmtId="0" fontId="24" fillId="5" borderId="9" xfId="0" applyFont="1" applyFill="1" applyBorder="1" applyAlignment="1">
      <alignment horizontal="center" vertical="top" wrapText="1"/>
    </xf>
    <xf numFmtId="0" fontId="24" fillId="9" borderId="8" xfId="0" applyFont="1" applyFill="1" applyBorder="1" applyAlignment="1">
      <alignment horizontal="center" vertical="top" wrapText="1"/>
    </xf>
    <xf numFmtId="0" fontId="24" fillId="4" borderId="8" xfId="0" applyFont="1" applyFill="1" applyBorder="1" applyAlignment="1">
      <alignment horizontal="center" vertical="top" wrapText="1"/>
    </xf>
    <xf numFmtId="0" fontId="24" fillId="10" borderId="8" xfId="0" applyFont="1" applyFill="1" applyBorder="1" applyAlignment="1">
      <alignment horizontal="center" vertical="top" wrapText="1"/>
    </xf>
    <xf numFmtId="0" fontId="24" fillId="8" borderId="8" xfId="0" applyFont="1" applyFill="1" applyBorder="1" applyAlignment="1">
      <alignment horizontal="center" vertical="top" wrapText="1"/>
    </xf>
    <xf numFmtId="0" fontId="24" fillId="7" borderId="8" xfId="0" applyFont="1" applyFill="1" applyBorder="1" applyAlignment="1">
      <alignment horizontal="center" vertical="top" wrapText="1"/>
    </xf>
    <xf numFmtId="0" fontId="25" fillId="13" borderId="8" xfId="0" applyFont="1" applyFill="1" applyBorder="1" applyAlignment="1">
      <alignment horizontal="center" vertical="top" wrapText="1"/>
    </xf>
    <xf numFmtId="0" fontId="25" fillId="14" borderId="8" xfId="0" applyFont="1" applyFill="1" applyBorder="1" applyAlignment="1">
      <alignment horizontal="center" vertical="top" wrapText="1"/>
    </xf>
    <xf numFmtId="0" fontId="24" fillId="6" borderId="8" xfId="0" applyFont="1" applyFill="1" applyBorder="1" applyAlignment="1">
      <alignment horizontal="center" vertical="top" wrapText="1"/>
    </xf>
    <xf numFmtId="0" fontId="24" fillId="5" borderId="8" xfId="0" applyFont="1" applyFill="1" applyBorder="1" applyAlignment="1">
      <alignment horizontal="center" vertical="top" wrapText="1"/>
    </xf>
    <xf numFmtId="0" fontId="28" fillId="0" borderId="0" xfId="0" applyNumberFormat="1" applyFont="1" applyAlignment="1">
      <alignment horizontal="center" vertical="top"/>
    </xf>
    <xf numFmtId="0" fontId="24" fillId="9" borderId="2" xfId="0" applyNumberFormat="1" applyFont="1" applyFill="1" applyBorder="1" applyAlignment="1">
      <alignment horizontal="center" vertical="top"/>
    </xf>
    <xf numFmtId="0" fontId="24" fillId="4" borderId="2" xfId="0" applyNumberFormat="1" applyFont="1" applyFill="1" applyBorder="1" applyAlignment="1">
      <alignment horizontal="center" vertical="top"/>
    </xf>
    <xf numFmtId="0" fontId="24" fillId="10" borderId="2" xfId="0" applyNumberFormat="1" applyFont="1" applyFill="1" applyBorder="1" applyAlignment="1">
      <alignment horizontal="center" vertical="top"/>
    </xf>
    <xf numFmtId="0" fontId="25" fillId="13" borderId="2" xfId="0" applyNumberFormat="1" applyFont="1" applyFill="1" applyBorder="1" applyAlignment="1">
      <alignment horizontal="center" vertical="top"/>
    </xf>
    <xf numFmtId="0" fontId="25" fillId="14" borderId="2" xfId="0" applyNumberFormat="1" applyFont="1" applyFill="1" applyBorder="1" applyAlignment="1">
      <alignment horizontal="center" vertical="top"/>
    </xf>
    <xf numFmtId="0" fontId="24" fillId="6" borderId="2" xfId="0" applyNumberFormat="1" applyFont="1" applyFill="1" applyBorder="1" applyAlignment="1">
      <alignment horizontal="center" vertical="top"/>
    </xf>
    <xf numFmtId="0" fontId="24" fillId="5" borderId="2" xfId="0" applyNumberFormat="1" applyFont="1" applyFill="1" applyBorder="1" applyAlignment="1">
      <alignment horizontal="center" vertical="top"/>
    </xf>
    <xf numFmtId="0" fontId="24" fillId="0" borderId="0" xfId="0" applyNumberFormat="1" applyFont="1" applyAlignment="1">
      <alignment horizontal="center" vertical="top"/>
    </xf>
    <xf numFmtId="0" fontId="24" fillId="18" borderId="2" xfId="0" applyFont="1" applyFill="1" applyBorder="1" applyAlignment="1">
      <alignment horizontal="center" vertical="top"/>
    </xf>
    <xf numFmtId="11" fontId="24" fillId="2" borderId="0" xfId="0" applyNumberFormat="1" applyFont="1" applyFill="1" applyAlignment="1">
      <alignment horizontal="left" vertical="top"/>
    </xf>
    <xf numFmtId="11" fontId="24" fillId="0" borderId="0" xfId="0" applyNumberFormat="1" applyFont="1" applyAlignment="1">
      <alignment horizontal="left" vertical="top"/>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0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26" sqref="A26"/>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29" t="s">
        <v>3303</v>
      </c>
      <c r="H1" s="130"/>
      <c r="I1" s="130"/>
      <c r="J1" s="131"/>
      <c r="K1" s="27"/>
      <c r="L1" s="35"/>
      <c r="M1" s="23"/>
      <c r="N1" s="132" t="s">
        <v>4</v>
      </c>
      <c r="O1" s="132"/>
      <c r="P1" s="132"/>
      <c r="Q1" s="132"/>
      <c r="R1" s="132"/>
      <c r="S1" s="132"/>
      <c r="T1" s="132"/>
      <c r="U1" s="21"/>
      <c r="V1" s="132" t="s">
        <v>4079</v>
      </c>
      <c r="W1" s="132"/>
      <c r="X1" s="132"/>
      <c r="Y1" s="132"/>
      <c r="Z1" s="132"/>
      <c r="AA1" s="132"/>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5900</v>
      </c>
      <c r="B10" s="14" t="s">
        <v>5838</v>
      </c>
      <c r="C10" s="16" t="s">
        <v>2107</v>
      </c>
      <c r="E10" s="14" t="s">
        <v>5943</v>
      </c>
      <c r="G10" s="24">
        <f>SUMIF('Card Data'!$A:$A,$A10,'Card Data'!$E:$E)</f>
        <v>60</v>
      </c>
      <c r="H10" s="24">
        <f>SUMIFS('Card Data'!$E:$E,'Card Data'!$A:$A,$A10,'Card Data'!$K:$K,"&lt;&gt;",'Card Data'!$J:$J,"&lt;&gt;Investigator")</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G11" s="24">
        <f>SUMIF('Card Data'!$A:$A,$A11,'Card Data'!$E:$E)</f>
        <v>0</v>
      </c>
      <c r="H11" s="24">
        <f>SUMIFS('Card Data'!$E:$E,'Card Data'!$A:$A,$A11,'Card Data'!$K:$K,"&lt;&gt;",'Card Data'!$J:$J,"&lt;&gt;Investigator")</f>
        <v>0</v>
      </c>
      <c r="I11" s="24">
        <f>SUMIFS('Card Data'!$E:$E,'Card Data'!$A:$A,$A11,'Card Data'!$K:$K,"",'Card Data'!$J:$J,"&lt;&gt;Campaign")+SUMIFS('Card Data'!$E:$E,'Card Data'!$A:$A,$A11,'Card Data'!$K:$K,"Burden")-J11</f>
        <v>0</v>
      </c>
      <c r="J11" s="24">
        <f>SUMIFS('Card Data'!$E:$E,'Card Data'!$J:$J,J$2,'Card Data'!$A:$A,$A11,'Card Data'!$AD:$AD,"&lt;&gt;*Side Quest.*")</f>
        <v>0</v>
      </c>
      <c r="K11" s="24">
        <f>COUNTIFS('Card Data'!$J:$J,K$2,'Card Data'!$A:$A,$A11,'Card Data'!$AD:$AD,"&lt;&gt;*Side Quest.*")</f>
        <v>0</v>
      </c>
      <c r="L11" s="24">
        <f>COUNTIFS('Card Data'!$J:$J,L$2,'Card Data'!$A:$A,$A11,'Card Data'!$AD:$AD,"&lt;&gt;*Side Quest.*")</f>
        <v>0</v>
      </c>
      <c r="M11" s="26"/>
      <c r="N11" s="24">
        <f>COUNTIFS('Card Data'!$J:$J,N$2,'Card Data'!$A:$A,$A11)</f>
        <v>0</v>
      </c>
      <c r="O11" s="24">
        <f>COUNTIFS('Card Data'!$J:$J,O$2,'Card Data'!$A:$A,$A11)</f>
        <v>0</v>
      </c>
      <c r="P11" s="24">
        <f>COUNTIFS('Card Data'!$J:$J,P$2,'Card Data'!$A:$A,$A11)</f>
        <v>0</v>
      </c>
      <c r="Q11" s="24">
        <f>COUNTIFS('Card Data'!$J:$J,Q$2,'Card Data'!$A:$A,$A11)</f>
        <v>0</v>
      </c>
      <c r="R11" s="24">
        <f>COUNTIFS('Card Data'!$J:$J,R$2,'Card Data'!$A:$A,$A11)</f>
        <v>0</v>
      </c>
      <c r="S11" s="24">
        <f>COUNTIFS('Card Data'!$J:$J,S$2,'Card Data'!$A:$A,$A11)</f>
        <v>0</v>
      </c>
      <c r="T11" s="24">
        <f>COUNTIFS('Card Data'!$J:$J,T$2,'Card Data'!$A:$A,$A11)</f>
        <v>0</v>
      </c>
      <c r="U11" s="26"/>
      <c r="V11" s="24">
        <f>COUNTIFS('Card Data'!$K:$K,V$2,'Card Data'!$A:$A,$A11)</f>
        <v>0</v>
      </c>
      <c r="W11" s="24">
        <f>COUNTIFS('Card Data'!$K:$K,W$2,'Card Data'!$A:$A,$A11)</f>
        <v>0</v>
      </c>
      <c r="X11" s="24">
        <f>COUNTIFS('Card Data'!$K:$K,X$2,'Card Data'!$A:$A,$A11)</f>
        <v>0</v>
      </c>
      <c r="Y11" s="24">
        <f>COUNTIFS('Card Data'!$K:$K,Y$2,'Card Data'!$A:$A,$A11)</f>
        <v>0</v>
      </c>
      <c r="Z11" s="24">
        <f>COUNTIFS('Card Data'!$K:$K,Z$2,'Card Data'!$A:$A,$A11)</f>
        <v>0</v>
      </c>
      <c r="AA11" s="24">
        <f>COUNTIFS('Card Data'!$K:$K,AA$2,'Card Data'!$A:$A,$A11)</f>
        <v>0</v>
      </c>
    </row>
    <row r="12" spans="1:27">
      <c r="G12" s="24">
        <f>SUMIF('Card Data'!$A:$A,$A12,'Card Data'!$E:$E)</f>
        <v>0</v>
      </c>
      <c r="H12" s="24">
        <f>SUMIFS('Card Data'!$E:$E,'Card Data'!$A:$A,$A12,'Card Data'!$K:$K,"&lt;&gt;",'Card Data'!$J:$J,"&lt;&gt;Investigator")</f>
        <v>0</v>
      </c>
      <c r="I12" s="24">
        <f>SUMIFS('Card Data'!$E:$E,'Card Data'!$A:$A,$A12,'Card Data'!$K:$K,"",'Card Data'!$J:$J,"&lt;&gt;Campaign")+SUMIFS('Card Data'!$E:$E,'Card Data'!$A:$A,$A12,'Card Data'!$K:$K,"Burden")-J12</f>
        <v>0</v>
      </c>
      <c r="J12" s="24">
        <f>SUMIFS('Card Data'!$E:$E,'Card Data'!$J:$J,J$2,'Card Data'!$A:$A,$A12,'Card Data'!$AD:$AD,"&lt;&gt;*Side Quest.*")</f>
        <v>0</v>
      </c>
      <c r="K12" s="24">
        <f>COUNTIFS('Card Data'!$J:$J,K$2,'Card Data'!$A:$A,$A12,'Card Data'!$AD:$AD,"&lt;&gt;*Side Quest.*")</f>
        <v>0</v>
      </c>
      <c r="L12" s="24">
        <f>COUNTIFS('Card Data'!$J:$J,L$2,'Card Data'!$A:$A,$A12,'Card Data'!$AD:$AD,"&lt;&gt;*Side Quest.*")</f>
        <v>0</v>
      </c>
      <c r="M12" s="26"/>
      <c r="N12" s="24">
        <f>COUNTIFS('Card Data'!$J:$J,N$2,'Card Data'!$A:$A,$A12)</f>
        <v>0</v>
      </c>
      <c r="O12" s="24">
        <f>COUNTIFS('Card Data'!$J:$J,O$2,'Card Data'!$A:$A,$A12)</f>
        <v>0</v>
      </c>
      <c r="P12" s="24">
        <f>COUNTIFS('Card Data'!$J:$J,P$2,'Card Data'!$A:$A,$A12)</f>
        <v>0</v>
      </c>
      <c r="Q12" s="24">
        <f>COUNTIFS('Card Data'!$J:$J,Q$2,'Card Data'!$A:$A,$A12)</f>
        <v>0</v>
      </c>
      <c r="R12" s="24">
        <f>COUNTIFS('Card Data'!$J:$J,R$2,'Card Data'!$A:$A,$A12)</f>
        <v>0</v>
      </c>
      <c r="S12" s="24">
        <f>COUNTIFS('Card Data'!$J:$J,S$2,'Card Data'!$A:$A,$A12)</f>
        <v>0</v>
      </c>
      <c r="T12" s="24">
        <f>COUNTIFS('Card Data'!$J:$J,T$2,'Card Data'!$A:$A,$A12)</f>
        <v>0</v>
      </c>
      <c r="U12" s="26"/>
      <c r="V12" s="24">
        <f>COUNTIFS('Card Data'!$K:$K,V$2,'Card Data'!$A:$A,$A12)</f>
        <v>0</v>
      </c>
      <c r="W12" s="24">
        <f>COUNTIFS('Card Data'!$K:$K,W$2,'Card Data'!$A:$A,$A12)</f>
        <v>0</v>
      </c>
      <c r="X12" s="24">
        <f>COUNTIFS('Card Data'!$K:$K,X$2,'Card Data'!$A:$A,$A12)</f>
        <v>0</v>
      </c>
      <c r="Y12" s="24">
        <f>COUNTIFS('Card Data'!$K:$K,Y$2,'Card Data'!$A:$A,$A12)</f>
        <v>0</v>
      </c>
      <c r="Z12" s="24">
        <f>COUNTIFS('Card Data'!$K:$K,Z$2,'Card Data'!$A:$A,$A12)</f>
        <v>0</v>
      </c>
      <c r="AA12" s="24">
        <f>COUNTIFS('Card Data'!$K:$K,AA$2,'Card Data'!$A:$A,$A12)</f>
        <v>0</v>
      </c>
    </row>
    <row r="13" spans="1:27">
      <c r="G13" s="24">
        <f>SUMIF('Card Data'!$A:$A,$A13,'Card Data'!$E:$E)</f>
        <v>0</v>
      </c>
      <c r="H13" s="24">
        <f>SUMIFS('Card Data'!$E:$E,'Card Data'!$A:$A,$A13,'Card Data'!$K:$K,"&lt;&gt;",'Card Data'!$J:$J,"&lt;&gt;Investigator")</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sheetData>
  <mergeCells count="3">
    <mergeCell ref="G1:J1"/>
    <mergeCell ref="N1:T1"/>
    <mergeCell ref="V1:AA1"/>
  </mergeCells>
  <conditionalFormatting sqref="V2">
    <cfRule type="cellIs" dxfId="305" priority="29" operator="equal">
      <formula>"Fellowship"</formula>
    </cfRule>
    <cfRule type="cellIs" dxfId="304" priority="30" operator="equal">
      <formula>"Neutral"</formula>
    </cfRule>
    <cfRule type="cellIs" dxfId="303" priority="31" operator="equal">
      <formula>"Baggins"</formula>
    </cfRule>
    <cfRule type="cellIs" dxfId="302" priority="32" operator="equal">
      <formula>"Lore"</formula>
    </cfRule>
    <cfRule type="cellIs" dxfId="301" priority="33" operator="equal">
      <formula>"Spirit"</formula>
    </cfRule>
    <cfRule type="cellIs" dxfId="300" priority="34" operator="equal">
      <formula>"Tactics"</formula>
    </cfRule>
    <cfRule type="cellIs" dxfId="299" priority="35" operator="equal">
      <formula>"Leadership"</formula>
    </cfRule>
  </conditionalFormatting>
  <conditionalFormatting sqref="W2">
    <cfRule type="cellIs" dxfId="298" priority="22" operator="equal">
      <formula>"Fellowship"</formula>
    </cfRule>
    <cfRule type="cellIs" dxfId="297" priority="23" operator="equal">
      <formula>"Neutral"</formula>
    </cfRule>
    <cfRule type="cellIs" dxfId="296" priority="24" operator="equal">
      <formula>"Baggins"</formula>
    </cfRule>
    <cfRule type="cellIs" dxfId="295" priority="25" operator="equal">
      <formula>"Lore"</formula>
    </cfRule>
    <cfRule type="cellIs" dxfId="294" priority="26" operator="equal">
      <formula>"Spirit"</formula>
    </cfRule>
    <cfRule type="cellIs" dxfId="293" priority="27" operator="equal">
      <formula>"Tactics"</formula>
    </cfRule>
    <cfRule type="cellIs" dxfId="292" priority="28" operator="equal">
      <formula>"Leadership"</formula>
    </cfRule>
  </conditionalFormatting>
  <conditionalFormatting sqref="X2">
    <cfRule type="cellIs" dxfId="291" priority="15" operator="equal">
      <formula>"Fellowship"</formula>
    </cfRule>
    <cfRule type="cellIs" dxfId="290" priority="16" operator="equal">
      <formula>"Neutral"</formula>
    </cfRule>
    <cfRule type="cellIs" dxfId="289" priority="17" operator="equal">
      <formula>"Baggins"</formula>
    </cfRule>
    <cfRule type="cellIs" dxfId="288" priority="18" operator="equal">
      <formula>"Lore"</formula>
    </cfRule>
    <cfRule type="cellIs" dxfId="287" priority="19" operator="equal">
      <formula>"Spirit"</formula>
    </cfRule>
    <cfRule type="cellIs" dxfId="286" priority="20" operator="equal">
      <formula>"Tactics"</formula>
    </cfRule>
    <cfRule type="cellIs" dxfId="285" priority="21" operator="equal">
      <formula>"Leadership"</formula>
    </cfRule>
  </conditionalFormatting>
  <conditionalFormatting sqref="Y2:Z2">
    <cfRule type="cellIs" dxfId="284" priority="8" operator="equal">
      <formula>"Fellowship"</formula>
    </cfRule>
    <cfRule type="cellIs" dxfId="283" priority="9" operator="equal">
      <formula>"Neutral"</formula>
    </cfRule>
    <cfRule type="cellIs" dxfId="282" priority="10" operator="equal">
      <formula>"Baggins"</formula>
    </cfRule>
    <cfRule type="cellIs" dxfId="281" priority="11" operator="equal">
      <formula>"Lore"</formula>
    </cfRule>
    <cfRule type="cellIs" dxfId="280" priority="12" operator="equal">
      <formula>"Spirit"</formula>
    </cfRule>
    <cfRule type="cellIs" dxfId="279" priority="13" operator="equal">
      <formula>"Tactics"</formula>
    </cfRule>
    <cfRule type="cellIs" dxfId="278" priority="14" operator="equal">
      <formula>"Leadership"</formula>
    </cfRule>
  </conditionalFormatting>
  <conditionalFormatting sqref="AA2">
    <cfRule type="cellIs" dxfId="277" priority="1" operator="equal">
      <formula>"Fellowship"</formula>
    </cfRule>
    <cfRule type="cellIs" dxfId="276" priority="2" operator="equal">
      <formula>"Neutral"</formula>
    </cfRule>
    <cfRule type="cellIs" dxfId="275" priority="3" operator="equal">
      <formula>"Baggins"</formula>
    </cfRule>
    <cfRule type="cellIs" dxfId="274" priority="4" operator="equal">
      <formula>"Lore"</formula>
    </cfRule>
    <cfRule type="cellIs" dxfId="273" priority="5" operator="equal">
      <formula>"Spirit"</formula>
    </cfRule>
    <cfRule type="cellIs" dxfId="272" priority="6" operator="equal">
      <formula>"Tactics"</formula>
    </cfRule>
    <cfRule type="cellIs" dxfId="2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P1023"/>
  <sheetViews>
    <sheetView tabSelected="1" zoomScale="70" zoomScaleNormal="70" workbookViewId="0">
      <pane xSplit="7" ySplit="1" topLeftCell="H310" activePane="bottomRight" state="frozen"/>
      <selection activeCell="E1" sqref="E1"/>
      <selection pane="topRight" activeCell="F1" sqref="F1"/>
      <selection pane="bottomLeft" activeCell="E2" sqref="E2"/>
      <selection pane="bottomRight" activeCell="AF315" sqref="AF315"/>
    </sheetView>
  </sheetViews>
  <sheetFormatPr defaultColWidth="9.140625" defaultRowHeight="12" outlineLevelCol="1"/>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36.7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48">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36">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48">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72">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60">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72">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36">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72">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36">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72">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24">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48">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60">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24">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36">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24">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36">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36">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36">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24">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24">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36">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36">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24">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24">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48">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36">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84">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24">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48">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24">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24">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24">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36">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36">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24">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48">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24">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48">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24">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36">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24">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36">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24">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24">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24">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75">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24">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24">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24">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75">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24">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75">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36">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36">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75">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60">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75">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48">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48">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24">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36">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24">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24">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48">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75">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36">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48">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24">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60">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75">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36">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36">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24">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24">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24">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75">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36">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24">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48">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48">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36">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24">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24">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4226</v>
      </c>
      <c r="AE86" s="36"/>
      <c r="AF86" s="36" t="s">
        <v>4272</v>
      </c>
      <c r="AO86" s="37"/>
      <c r="AP86" s="86"/>
      <c r="AQ86" s="88"/>
      <c r="AR86" s="89"/>
      <c r="AS86" s="90"/>
      <c r="AV86" s="88"/>
      <c r="AW86" s="96"/>
      <c r="AX86" s="97"/>
      <c r="AY86" s="93"/>
      <c r="BB86" s="94"/>
      <c r="BE86" s="37"/>
      <c r="BF86" s="36"/>
    </row>
    <row r="87" spans="1:58" ht="36">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36">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24">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24">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24">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24">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75">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75">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75">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24">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36">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48">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48">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24">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24">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36">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72">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36">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48">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72">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48">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48">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36">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24">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24">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24">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60">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36">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60">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24">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24">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48">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36">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48">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24">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72">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36">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24">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24">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24">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24">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24">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24">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24">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24">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36">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24">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24">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36">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24">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24">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24">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24">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24">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96">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48">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48">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60">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60">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60">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48">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36">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24">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24">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24">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24">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24">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36">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60">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36">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24">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24">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24">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24">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72">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48">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24">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24">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48">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24">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36">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48">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24">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36">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60">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36">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36">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36">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36">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24">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24">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36">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48">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84">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96">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08">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68">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08">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92">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60">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36">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30">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72">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24">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60">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30">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60">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30">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84">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24">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24">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36">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72">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48">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24">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48">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36">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84">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96">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36">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96">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60">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72">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60">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36">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60">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36">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48">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84">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72">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72">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84">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96">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84">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84">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84">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48">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72">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72">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72">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48">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48">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36">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36">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48">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36">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48">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36">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36">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48">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60">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60">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48">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60">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48">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48">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60">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48">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60">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84">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36">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60">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60">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72">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36">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48">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48">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60">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36">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72">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72">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84">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84">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72">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72">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48">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60">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36">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60">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36">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72">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48">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24">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72">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48">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36">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24">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24">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36">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36">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36">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36">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24">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72">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36">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36">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36">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72">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24">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36">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72">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48">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24">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24">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24">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24">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5833</v>
      </c>
      <c r="AF315" s="36" t="s">
        <v>6036</v>
      </c>
      <c r="AP315" s="86"/>
      <c r="AQ315" s="88"/>
      <c r="AR315" s="89"/>
      <c r="AS315" s="90"/>
      <c r="AV315" s="88"/>
      <c r="AW315" s="96"/>
      <c r="AX315" s="97"/>
      <c r="AY315" s="93"/>
      <c r="BB315" s="94"/>
    </row>
    <row r="316" spans="1:59" ht="48">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48">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24">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72">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72">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60">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60">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24">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96">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24">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24">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36">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24">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36">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24">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48">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60">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24">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48">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36">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60">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36">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5837</v>
      </c>
    </row>
    <row r="338" spans="1:62" ht="72">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5837</v>
      </c>
    </row>
    <row r="339" spans="1:62" ht="36">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60">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48">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96">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36">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84">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80">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84">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84">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24">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36">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48">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84">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24">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24">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24">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24">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72">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48">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5837</v>
      </c>
    </row>
    <row r="358" spans="1:62" ht="36">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36">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36">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24">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60">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60">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36">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48">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72">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60">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36">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24">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48">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60">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48">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36">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72">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24">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24">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60">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36">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72">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60">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60">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48">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24">
      <c r="A388" s="54" t="s">
        <v>5568</v>
      </c>
      <c r="B388" s="54" t="s">
        <v>5751</v>
      </c>
      <c r="C388" s="54" t="s">
        <v>5830</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60">
      <c r="A389" s="36" t="s">
        <v>5568</v>
      </c>
      <c r="B389" s="36" t="s">
        <v>5752</v>
      </c>
      <c r="C389" s="36" t="s">
        <v>5830</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24">
      <c r="A390" s="36" t="s">
        <v>5568</v>
      </c>
      <c r="B390" s="36" t="s">
        <v>5753</v>
      </c>
      <c r="C390" s="36" t="s">
        <v>5830</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24">
      <c r="A391" s="36" t="s">
        <v>5568</v>
      </c>
      <c r="B391" s="36" t="s">
        <v>5754</v>
      </c>
      <c r="C391" s="36" t="s">
        <v>5830</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36">
      <c r="A392" s="36" t="s">
        <v>5568</v>
      </c>
      <c r="B392" s="36" t="s">
        <v>5755</v>
      </c>
      <c r="C392" s="36" t="s">
        <v>5830</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60">
      <c r="A393" s="36" t="s">
        <v>5568</v>
      </c>
      <c r="B393" s="36" t="s">
        <v>5756</v>
      </c>
      <c r="C393" s="36" t="s">
        <v>5830</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F393" s="36" t="s">
        <v>5588</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36">
      <c r="A394" s="36" t="s">
        <v>5568</v>
      </c>
      <c r="B394" s="36" t="s">
        <v>5757</v>
      </c>
      <c r="C394" s="36" t="s">
        <v>5830</v>
      </c>
      <c r="D394" s="68">
        <v>111</v>
      </c>
      <c r="E394" s="46">
        <v>2</v>
      </c>
      <c r="F394" s="46"/>
      <c r="G394" s="46" t="s">
        <v>5589</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5590</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48">
      <c r="A395" s="36" t="s">
        <v>5568</v>
      </c>
      <c r="B395" s="36" t="s">
        <v>5758</v>
      </c>
      <c r="C395" s="36" t="s">
        <v>5830</v>
      </c>
      <c r="D395" s="68">
        <v>112</v>
      </c>
      <c r="E395" s="46">
        <v>2</v>
      </c>
      <c r="F395" s="46"/>
      <c r="G395" s="46" t="s">
        <v>5591</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5592</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48">
      <c r="A396" s="36" t="s">
        <v>5568</v>
      </c>
      <c r="B396" s="36" t="s">
        <v>5759</v>
      </c>
      <c r="C396" s="36" t="s">
        <v>5830</v>
      </c>
      <c r="D396" s="68">
        <v>113</v>
      </c>
      <c r="E396" s="46">
        <v>2</v>
      </c>
      <c r="F396" s="46"/>
      <c r="G396" s="46" t="s">
        <v>5593</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5594</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48">
      <c r="A397" s="36" t="s">
        <v>5568</v>
      </c>
      <c r="B397" s="36" t="s">
        <v>5760</v>
      </c>
      <c r="C397" s="36" t="s">
        <v>5830</v>
      </c>
      <c r="D397" s="68">
        <v>114</v>
      </c>
      <c r="E397" s="46">
        <v>2</v>
      </c>
      <c r="F397" s="46"/>
      <c r="G397" s="46" t="s">
        <v>5595</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5596</v>
      </c>
      <c r="AF397" s="36" t="s">
        <v>5597</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72">
      <c r="A398" s="36" t="s">
        <v>5568</v>
      </c>
      <c r="B398" s="36" t="s">
        <v>5761</v>
      </c>
      <c r="C398" s="36" t="s">
        <v>5830</v>
      </c>
      <c r="D398" s="68">
        <v>115</v>
      </c>
      <c r="E398" s="46">
        <v>2</v>
      </c>
      <c r="F398" s="46"/>
      <c r="G398" s="46" t="s">
        <v>5598</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5599</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36">
      <c r="A399" s="36" t="s">
        <v>5568</v>
      </c>
      <c r="B399" s="36" t="s">
        <v>5762</v>
      </c>
      <c r="C399" s="36" t="s">
        <v>5830</v>
      </c>
      <c r="D399" s="68">
        <v>116</v>
      </c>
      <c r="E399" s="46">
        <v>2</v>
      </c>
      <c r="F399" s="46"/>
      <c r="G399" s="46" t="s">
        <v>5600</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5601</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36">
      <c r="A400" s="36" t="s">
        <v>5568</v>
      </c>
      <c r="B400" s="36" t="s">
        <v>5763</v>
      </c>
      <c r="C400" s="36" t="s">
        <v>5830</v>
      </c>
      <c r="D400" s="68">
        <v>117</v>
      </c>
      <c r="E400" s="46">
        <v>2</v>
      </c>
      <c r="F400" s="46"/>
      <c r="G400" s="46" t="s">
        <v>5602</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5603</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84">
      <c r="A401" s="36" t="s">
        <v>5568</v>
      </c>
      <c r="B401" s="36" t="s">
        <v>5764</v>
      </c>
      <c r="C401" s="36" t="s">
        <v>5830</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5604</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5717</v>
      </c>
      <c r="BI401" s="46"/>
      <c r="BJ401" s="46"/>
      <c r="BK401" s="46"/>
      <c r="BL401" s="46"/>
      <c r="BM401" s="46"/>
      <c r="BN401" s="46"/>
      <c r="BO401" s="46"/>
      <c r="BP401" s="46"/>
    </row>
    <row r="402" spans="1:68" ht="72">
      <c r="A402" s="36" t="s">
        <v>5568</v>
      </c>
      <c r="B402" s="36" t="s">
        <v>5765</v>
      </c>
      <c r="C402" s="36" t="s">
        <v>5830</v>
      </c>
      <c r="D402" s="68">
        <v>119</v>
      </c>
      <c r="E402" s="46">
        <v>1</v>
      </c>
      <c r="F402" s="46" t="s">
        <v>5569</v>
      </c>
      <c r="G402" s="46" t="s">
        <v>5605</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5606</v>
      </c>
      <c r="AH402" s="46"/>
      <c r="AI402" s="46" t="s">
        <v>5718</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5719</v>
      </c>
      <c r="BI402" s="46"/>
      <c r="BJ402" s="46"/>
      <c r="BK402" s="46"/>
      <c r="BL402" s="46"/>
      <c r="BM402" s="46"/>
      <c r="BN402" s="46"/>
      <c r="BO402" s="46"/>
      <c r="BP402" s="46"/>
    </row>
    <row r="403" spans="1:68" ht="72">
      <c r="A403" s="36" t="s">
        <v>5568</v>
      </c>
      <c r="B403" s="36" t="s">
        <v>5766</v>
      </c>
      <c r="C403" s="36" t="s">
        <v>5830</v>
      </c>
      <c r="D403" s="68">
        <v>120</v>
      </c>
      <c r="E403" s="46">
        <v>1</v>
      </c>
      <c r="F403" s="46" t="s">
        <v>5569</v>
      </c>
      <c r="G403" s="46" t="s">
        <v>5607</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5606</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5719</v>
      </c>
      <c r="BI403" s="46"/>
      <c r="BJ403" s="46"/>
      <c r="BK403" s="46"/>
      <c r="BL403" s="46"/>
      <c r="BM403" s="46"/>
      <c r="BN403" s="46"/>
      <c r="BO403" s="46"/>
      <c r="BP403" s="46"/>
    </row>
    <row r="404" spans="1:68" ht="36">
      <c r="A404" s="36" t="s">
        <v>5568</v>
      </c>
      <c r="B404" s="36" t="s">
        <v>5767</v>
      </c>
      <c r="C404" s="36" t="s">
        <v>5830</v>
      </c>
      <c r="D404" s="68">
        <v>121</v>
      </c>
      <c r="E404" s="46">
        <v>1</v>
      </c>
      <c r="F404" s="46" t="s">
        <v>5569</v>
      </c>
      <c r="G404" s="46" t="s">
        <v>5608</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5606</v>
      </c>
      <c r="AH404" s="46"/>
      <c r="AI404" s="46" t="s">
        <v>5721</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5722</v>
      </c>
      <c r="BI404" s="46"/>
      <c r="BJ404" s="46"/>
      <c r="BK404" s="46"/>
      <c r="BL404" s="46"/>
      <c r="BM404" s="46"/>
      <c r="BN404" s="46"/>
      <c r="BO404" s="46"/>
      <c r="BP404" s="46"/>
    </row>
    <row r="405" spans="1:68" ht="120">
      <c r="A405" s="36" t="s">
        <v>5568</v>
      </c>
      <c r="B405" s="36" t="s">
        <v>5768</v>
      </c>
      <c r="C405" s="36" t="s">
        <v>5830</v>
      </c>
      <c r="D405" s="68">
        <v>122</v>
      </c>
      <c r="E405" s="46">
        <v>1</v>
      </c>
      <c r="F405" s="46" t="s">
        <v>5569</v>
      </c>
      <c r="G405" s="46" t="s">
        <v>5609</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5720</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5723</v>
      </c>
      <c r="BI405" s="46"/>
      <c r="BJ405" s="46"/>
      <c r="BK405" s="46"/>
      <c r="BL405" s="46"/>
      <c r="BM405" s="46"/>
      <c r="BN405" s="46"/>
      <c r="BO405" s="46"/>
      <c r="BP405" s="46"/>
    </row>
    <row r="406" spans="1:68" ht="48">
      <c r="A406" s="36" t="s">
        <v>5568</v>
      </c>
      <c r="B406" s="36" t="s">
        <v>5769</v>
      </c>
      <c r="C406" s="36" t="s">
        <v>5830</v>
      </c>
      <c r="D406" s="68">
        <v>123</v>
      </c>
      <c r="E406" s="46">
        <v>1</v>
      </c>
      <c r="F406" s="46" t="s">
        <v>5569</v>
      </c>
      <c r="G406" s="46" t="s">
        <v>5610</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5611</v>
      </c>
      <c r="AH406" s="46"/>
      <c r="AI406" s="46" t="s">
        <v>5724</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5725</v>
      </c>
      <c r="BI406" s="46"/>
      <c r="BJ406" s="46"/>
      <c r="BK406" s="46"/>
      <c r="BL406" s="46"/>
      <c r="BM406" s="46"/>
      <c r="BN406" s="46"/>
      <c r="BO406" s="46"/>
      <c r="BP406" s="46"/>
    </row>
    <row r="407" spans="1:68" ht="72">
      <c r="A407" s="36" t="s">
        <v>5568</v>
      </c>
      <c r="B407" s="36" t="s">
        <v>5770</v>
      </c>
      <c r="C407" s="36" t="s">
        <v>5830</v>
      </c>
      <c r="D407" s="68">
        <v>124</v>
      </c>
      <c r="E407" s="46">
        <v>1</v>
      </c>
      <c r="F407" s="46" t="s">
        <v>5569</v>
      </c>
      <c r="G407" s="46" t="s">
        <v>5612</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5611</v>
      </c>
      <c r="AH407" s="46"/>
      <c r="AI407" s="46" t="s">
        <v>5726</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5727</v>
      </c>
      <c r="BI407" s="46"/>
      <c r="BJ407" s="46"/>
      <c r="BK407" s="46"/>
      <c r="BL407" s="46"/>
      <c r="BM407" s="46"/>
      <c r="BN407" s="46"/>
      <c r="BO407" s="46"/>
      <c r="BP407" s="46"/>
    </row>
    <row r="408" spans="1:68" ht="48">
      <c r="A408" s="36" t="s">
        <v>5568</v>
      </c>
      <c r="B408" s="36" t="s">
        <v>5771</v>
      </c>
      <c r="C408" s="36" t="s">
        <v>5830</v>
      </c>
      <c r="D408" s="68">
        <v>125</v>
      </c>
      <c r="E408" s="46">
        <v>1</v>
      </c>
      <c r="F408" s="46" t="s">
        <v>5569</v>
      </c>
      <c r="G408" s="46" t="s">
        <v>5613</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5614</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5728</v>
      </c>
      <c r="BI408" s="46"/>
      <c r="BJ408" s="46"/>
      <c r="BK408" s="46"/>
      <c r="BL408" s="46"/>
      <c r="BM408" s="46"/>
      <c r="BN408" s="46"/>
      <c r="BO408" s="46"/>
      <c r="BP408" s="46"/>
    </row>
    <row r="409" spans="1:68" ht="48">
      <c r="A409" s="36" t="s">
        <v>5568</v>
      </c>
      <c r="B409" s="36" t="s">
        <v>5772</v>
      </c>
      <c r="C409" s="36" t="s">
        <v>5830</v>
      </c>
      <c r="D409" s="68">
        <v>126</v>
      </c>
      <c r="E409" s="46">
        <v>1</v>
      </c>
      <c r="F409" s="46" t="s">
        <v>5569</v>
      </c>
      <c r="G409" s="46" t="s">
        <v>5615</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5615</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5616</v>
      </c>
      <c r="BI409" s="46"/>
      <c r="BJ409" s="46"/>
      <c r="BK409" s="46"/>
      <c r="BL409" s="46"/>
      <c r="BM409" s="46"/>
      <c r="BN409" s="46"/>
      <c r="BO409" s="46"/>
      <c r="BP409" s="46"/>
    </row>
    <row r="410" spans="1:68" ht="48">
      <c r="A410" s="36" t="s">
        <v>5568</v>
      </c>
      <c r="B410" s="36" t="s">
        <v>5773</v>
      </c>
      <c r="C410" s="36" t="s">
        <v>5830</v>
      </c>
      <c r="D410" s="68">
        <v>127</v>
      </c>
      <c r="E410" s="46">
        <v>1</v>
      </c>
      <c r="F410" s="46" t="s">
        <v>5569</v>
      </c>
      <c r="G410" s="46" t="s">
        <v>5617</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5617</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5618</v>
      </c>
      <c r="BI410" s="46"/>
      <c r="BJ410" s="46"/>
      <c r="BK410" s="46"/>
      <c r="BL410" s="46"/>
      <c r="BM410" s="46"/>
      <c r="BN410" s="46"/>
      <c r="BO410" s="46"/>
      <c r="BP410" s="46"/>
    </row>
    <row r="411" spans="1:68" ht="36">
      <c r="A411" s="36" t="s">
        <v>5568</v>
      </c>
      <c r="B411" s="36" t="s">
        <v>5774</v>
      </c>
      <c r="C411" s="36" t="s">
        <v>5830</v>
      </c>
      <c r="D411" s="68">
        <v>128</v>
      </c>
      <c r="E411" s="46">
        <v>1</v>
      </c>
      <c r="F411" s="46" t="s">
        <v>5569</v>
      </c>
      <c r="G411" s="46" t="s">
        <v>5619</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5619</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5620</v>
      </c>
      <c r="BI411" s="46"/>
      <c r="BJ411" s="46"/>
      <c r="BK411" s="46"/>
      <c r="BL411" s="46"/>
      <c r="BM411" s="46"/>
      <c r="BN411" s="46"/>
      <c r="BO411" s="46"/>
      <c r="BP411" s="46"/>
    </row>
    <row r="412" spans="1:68" ht="24">
      <c r="A412" s="36" t="s">
        <v>5568</v>
      </c>
      <c r="B412" s="36" t="s">
        <v>5775</v>
      </c>
      <c r="C412" s="36" t="s">
        <v>5830</v>
      </c>
      <c r="D412" s="68">
        <v>129</v>
      </c>
      <c r="E412" s="46">
        <v>1</v>
      </c>
      <c r="F412" s="46" t="s">
        <v>5569</v>
      </c>
      <c r="G412" s="46" t="s">
        <v>5619</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5619</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5621</v>
      </c>
      <c r="BI412" s="46"/>
      <c r="BJ412" s="46"/>
      <c r="BK412" s="46"/>
      <c r="BL412" s="46"/>
      <c r="BM412" s="46"/>
      <c r="BN412" s="46"/>
      <c r="BO412" s="46"/>
      <c r="BP412" s="46"/>
    </row>
    <row r="413" spans="1:68" ht="24">
      <c r="A413" s="36" t="s">
        <v>5568</v>
      </c>
      <c r="B413" s="36" t="s">
        <v>5776</v>
      </c>
      <c r="C413" s="36" t="s">
        <v>5830</v>
      </c>
      <c r="D413" s="68">
        <v>130</v>
      </c>
      <c r="E413" s="46">
        <v>1</v>
      </c>
      <c r="F413" s="46" t="s">
        <v>5569</v>
      </c>
      <c r="G413" s="46" t="s">
        <v>5622</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5622</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5623</v>
      </c>
      <c r="BI413" s="46"/>
      <c r="BJ413" s="46"/>
      <c r="BK413" s="46"/>
      <c r="BL413" s="46"/>
      <c r="BM413" s="46"/>
      <c r="BN413" s="46"/>
      <c r="BO413" s="46"/>
      <c r="BP413" s="46"/>
    </row>
    <row r="414" spans="1:68" ht="24">
      <c r="A414" s="36" t="s">
        <v>5568</v>
      </c>
      <c r="B414" s="36" t="s">
        <v>5777</v>
      </c>
      <c r="C414" s="36" t="s">
        <v>5830</v>
      </c>
      <c r="D414" s="68">
        <v>131</v>
      </c>
      <c r="E414" s="46">
        <v>1</v>
      </c>
      <c r="F414" s="46" t="s">
        <v>5569</v>
      </c>
      <c r="G414" s="46" t="s">
        <v>5622</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5622</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5624</v>
      </c>
      <c r="BI414" s="46"/>
      <c r="BJ414" s="46"/>
      <c r="BK414" s="46"/>
      <c r="BL414" s="46"/>
      <c r="BM414" s="46"/>
      <c r="BN414" s="46"/>
      <c r="BO414" s="46"/>
      <c r="BP414" s="46"/>
    </row>
    <row r="415" spans="1:68" ht="36">
      <c r="A415" s="36" t="s">
        <v>5568</v>
      </c>
      <c r="B415" s="36" t="s">
        <v>5778</v>
      </c>
      <c r="C415" s="36" t="s">
        <v>5830</v>
      </c>
      <c r="D415" s="68">
        <v>132</v>
      </c>
      <c r="E415" s="46">
        <v>1</v>
      </c>
      <c r="F415" s="46" t="s">
        <v>5569</v>
      </c>
      <c r="G415" s="46" t="s">
        <v>5625</v>
      </c>
      <c r="I415" s="46"/>
      <c r="J415" s="46" t="s">
        <v>31</v>
      </c>
      <c r="K415" s="46"/>
      <c r="L415" s="46"/>
      <c r="M415" s="46"/>
      <c r="N415" s="117"/>
      <c r="O415" s="118"/>
      <c r="P415" s="119"/>
      <c r="Q415" s="120"/>
      <c r="R415" s="80"/>
      <c r="U415" s="118"/>
      <c r="V415" s="121"/>
      <c r="W415" s="122"/>
      <c r="X415" s="123"/>
      <c r="Y415" s="80"/>
      <c r="AA415" s="124"/>
      <c r="AB415" s="65"/>
      <c r="AC415" s="46"/>
      <c r="AD415" s="46" t="s">
        <v>5627</v>
      </c>
      <c r="AH415" s="46"/>
      <c r="AI415" s="46" t="s">
        <v>5625</v>
      </c>
      <c r="AJ415" s="46" t="s">
        <v>5626</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5627</v>
      </c>
      <c r="BG415" s="36" t="s">
        <v>5628</v>
      </c>
      <c r="BI415" s="46"/>
      <c r="BJ415" s="46"/>
      <c r="BK415" s="46"/>
      <c r="BL415" s="46"/>
      <c r="BM415" s="46"/>
      <c r="BN415" s="46"/>
      <c r="BO415" s="46"/>
      <c r="BP415" s="46"/>
    </row>
    <row r="416" spans="1:68" ht="24">
      <c r="A416" s="36" t="s">
        <v>5568</v>
      </c>
      <c r="B416" s="36" t="s">
        <v>5779</v>
      </c>
      <c r="C416" s="36" t="s">
        <v>5830</v>
      </c>
      <c r="D416" s="68">
        <v>133</v>
      </c>
      <c r="E416" s="46">
        <v>1</v>
      </c>
      <c r="F416" s="46" t="s">
        <v>5569</v>
      </c>
      <c r="G416" s="46" t="s">
        <v>5625</v>
      </c>
      <c r="I416" s="46"/>
      <c r="J416" s="46" t="s">
        <v>31</v>
      </c>
      <c r="K416" s="46"/>
      <c r="L416" s="46"/>
      <c r="M416" s="46"/>
      <c r="N416" s="117"/>
      <c r="O416" s="118"/>
      <c r="P416" s="119"/>
      <c r="Q416" s="120"/>
      <c r="R416" s="80"/>
      <c r="U416" s="118"/>
      <c r="V416" s="121"/>
      <c r="W416" s="122"/>
      <c r="X416" s="123"/>
      <c r="Y416" s="80"/>
      <c r="AA416" s="124"/>
      <c r="AB416" s="65"/>
      <c r="AC416" s="46"/>
      <c r="AD416" s="46" t="s">
        <v>5627</v>
      </c>
      <c r="AH416" s="46"/>
      <c r="AI416" s="46" t="s">
        <v>5625</v>
      </c>
      <c r="AJ416" s="46" t="s">
        <v>5629</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5627</v>
      </c>
      <c r="BG416" s="36" t="s">
        <v>5630</v>
      </c>
      <c r="BI416" s="46"/>
      <c r="BJ416" s="46"/>
      <c r="BK416" s="46"/>
      <c r="BL416" s="46"/>
      <c r="BM416" s="46"/>
      <c r="BN416" s="46"/>
      <c r="BO416" s="46"/>
      <c r="BP416" s="46"/>
    </row>
    <row r="417" spans="1:68" ht="24">
      <c r="A417" s="36" t="s">
        <v>5568</v>
      </c>
      <c r="B417" s="36" t="s">
        <v>5780</v>
      </c>
      <c r="C417" s="36" t="s">
        <v>5830</v>
      </c>
      <c r="D417" s="68">
        <v>134</v>
      </c>
      <c r="E417" s="46">
        <v>1</v>
      </c>
      <c r="F417" s="46" t="s">
        <v>5569</v>
      </c>
      <c r="G417" s="46" t="s">
        <v>5625</v>
      </c>
      <c r="I417" s="46"/>
      <c r="J417" s="46" t="s">
        <v>31</v>
      </c>
      <c r="K417" s="46"/>
      <c r="L417" s="46"/>
      <c r="M417" s="46"/>
      <c r="N417" s="117"/>
      <c r="O417" s="118"/>
      <c r="P417" s="119"/>
      <c r="Q417" s="120"/>
      <c r="R417" s="80"/>
      <c r="U417" s="118"/>
      <c r="V417" s="121"/>
      <c r="W417" s="122"/>
      <c r="X417" s="123"/>
      <c r="Y417" s="80"/>
      <c r="AA417" s="124"/>
      <c r="AB417" s="65"/>
      <c r="AC417" s="46"/>
      <c r="AD417" s="46" t="s">
        <v>5627</v>
      </c>
      <c r="AH417" s="46"/>
      <c r="AI417" s="46" t="s">
        <v>5625</v>
      </c>
      <c r="AJ417" s="46" t="s">
        <v>5631</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5627</v>
      </c>
      <c r="BG417" s="36" t="s">
        <v>5632</v>
      </c>
      <c r="BI417" s="46"/>
      <c r="BJ417" s="46"/>
      <c r="BK417" s="46"/>
      <c r="BL417" s="46"/>
      <c r="BM417" s="46"/>
      <c r="BN417" s="46"/>
      <c r="BO417" s="46"/>
      <c r="BP417" s="46"/>
    </row>
    <row r="418" spans="1:68" ht="24">
      <c r="A418" s="36" t="s">
        <v>5568</v>
      </c>
      <c r="B418" s="36" t="s">
        <v>5781</v>
      </c>
      <c r="C418" s="36" t="s">
        <v>5830</v>
      </c>
      <c r="D418" s="68">
        <v>135</v>
      </c>
      <c r="E418" s="46">
        <v>1</v>
      </c>
      <c r="F418" s="46" t="s">
        <v>5569</v>
      </c>
      <c r="G418" s="46" t="s">
        <v>5625</v>
      </c>
      <c r="I418" s="46"/>
      <c r="J418" s="46" t="s">
        <v>31</v>
      </c>
      <c r="K418" s="46"/>
      <c r="L418" s="46"/>
      <c r="M418" s="46"/>
      <c r="N418" s="117"/>
      <c r="O418" s="118"/>
      <c r="P418" s="119"/>
      <c r="Q418" s="120"/>
      <c r="R418" s="80"/>
      <c r="U418" s="118"/>
      <c r="V418" s="121"/>
      <c r="W418" s="122"/>
      <c r="X418" s="123"/>
      <c r="Y418" s="80"/>
      <c r="AA418" s="124"/>
      <c r="AB418" s="65"/>
      <c r="AC418" s="46"/>
      <c r="AD418" s="46" t="s">
        <v>5627</v>
      </c>
      <c r="AH418" s="46"/>
      <c r="AI418" s="46" t="s">
        <v>5625</v>
      </c>
      <c r="AJ418" s="46" t="s">
        <v>5633</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5627</v>
      </c>
      <c r="BG418" s="36" t="s">
        <v>5634</v>
      </c>
      <c r="BI418" s="46"/>
      <c r="BJ418" s="46"/>
      <c r="BK418" s="46"/>
      <c r="BL418" s="46"/>
      <c r="BM418" s="46"/>
      <c r="BN418" s="46"/>
      <c r="BO418" s="46"/>
      <c r="BP418" s="46"/>
    </row>
    <row r="419" spans="1:68" ht="24">
      <c r="A419" s="36" t="s">
        <v>5568</v>
      </c>
      <c r="B419" s="36" t="s">
        <v>5782</v>
      </c>
      <c r="C419" s="36" t="s">
        <v>5830</v>
      </c>
      <c r="D419" s="68">
        <v>136</v>
      </c>
      <c r="E419" s="46">
        <v>1</v>
      </c>
      <c r="F419" s="46" t="s">
        <v>5569</v>
      </c>
      <c r="G419" s="46" t="s">
        <v>5625</v>
      </c>
      <c r="I419" s="46"/>
      <c r="J419" s="46" t="s">
        <v>31</v>
      </c>
      <c r="K419" s="46"/>
      <c r="L419" s="46"/>
      <c r="M419" s="46"/>
      <c r="N419" s="117"/>
      <c r="O419" s="118"/>
      <c r="P419" s="119"/>
      <c r="Q419" s="120"/>
      <c r="R419" s="80"/>
      <c r="U419" s="118"/>
      <c r="V419" s="121"/>
      <c r="W419" s="122"/>
      <c r="X419" s="123"/>
      <c r="Y419" s="80"/>
      <c r="AA419" s="124"/>
      <c r="AB419" s="65"/>
      <c r="AC419" s="46"/>
      <c r="AD419" s="46" t="s">
        <v>5627</v>
      </c>
      <c r="AH419" s="46"/>
      <c r="AI419" s="46" t="s">
        <v>5625</v>
      </c>
      <c r="AJ419" s="46" t="s">
        <v>5635</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5627</v>
      </c>
      <c r="BG419" s="36" t="s">
        <v>5636</v>
      </c>
      <c r="BI419" s="46"/>
      <c r="BJ419" s="46"/>
      <c r="BK419" s="46"/>
      <c r="BL419" s="46"/>
      <c r="BM419" s="46"/>
      <c r="BN419" s="46"/>
      <c r="BO419" s="46"/>
      <c r="BP419" s="46"/>
    </row>
    <row r="420" spans="1:68" ht="24">
      <c r="A420" s="36" t="s">
        <v>5568</v>
      </c>
      <c r="B420" s="36" t="s">
        <v>5783</v>
      </c>
      <c r="C420" s="36" t="s">
        <v>5830</v>
      </c>
      <c r="D420" s="68">
        <v>137</v>
      </c>
      <c r="E420" s="46">
        <v>1</v>
      </c>
      <c r="F420" s="46" t="s">
        <v>5569</v>
      </c>
      <c r="G420" s="46" t="s">
        <v>5625</v>
      </c>
      <c r="I420" s="46"/>
      <c r="J420" s="46" t="s">
        <v>31</v>
      </c>
      <c r="K420" s="46"/>
      <c r="L420" s="46"/>
      <c r="M420" s="46"/>
      <c r="N420" s="117"/>
      <c r="O420" s="118"/>
      <c r="P420" s="119"/>
      <c r="Q420" s="120"/>
      <c r="R420" s="80"/>
      <c r="U420" s="118"/>
      <c r="V420" s="121"/>
      <c r="W420" s="122"/>
      <c r="X420" s="123"/>
      <c r="Y420" s="80"/>
      <c r="AA420" s="124"/>
      <c r="AB420" s="65"/>
      <c r="AC420" s="46"/>
      <c r="AD420" s="46" t="s">
        <v>5627</v>
      </c>
      <c r="AH420" s="46"/>
      <c r="AI420" s="46" t="s">
        <v>5625</v>
      </c>
      <c r="AJ420" s="46" t="s">
        <v>5637</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5627</v>
      </c>
      <c r="BG420" s="36" t="s">
        <v>5638</v>
      </c>
      <c r="BI420" s="46"/>
      <c r="BJ420" s="46"/>
      <c r="BK420" s="46"/>
      <c r="BL420" s="46"/>
      <c r="BM420" s="46"/>
      <c r="BN420" s="46"/>
      <c r="BO420" s="46"/>
      <c r="BP420" s="46"/>
    </row>
    <row r="421" spans="1:68" ht="48">
      <c r="A421" s="36" t="s">
        <v>5568</v>
      </c>
      <c r="B421" s="36" t="s">
        <v>5784</v>
      </c>
      <c r="C421" s="36" t="s">
        <v>5830</v>
      </c>
      <c r="D421" s="68">
        <v>138</v>
      </c>
      <c r="E421" s="46">
        <v>1</v>
      </c>
      <c r="F421" s="46" t="s">
        <v>5569</v>
      </c>
      <c r="G421" s="46" t="s">
        <v>5639</v>
      </c>
      <c r="H421" s="46" t="s">
        <v>5640</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5641</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5837</v>
      </c>
      <c r="BK421" s="46"/>
      <c r="BL421" s="46"/>
      <c r="BM421" s="46"/>
      <c r="BN421" s="46"/>
      <c r="BO421" s="46"/>
      <c r="BP421" s="46"/>
    </row>
    <row r="422" spans="1:68" ht="60">
      <c r="A422" s="36" t="s">
        <v>5568</v>
      </c>
      <c r="B422" s="36" t="s">
        <v>5785</v>
      </c>
      <c r="C422" s="36" t="s">
        <v>5830</v>
      </c>
      <c r="D422" s="68">
        <v>139</v>
      </c>
      <c r="E422" s="46">
        <v>1</v>
      </c>
      <c r="F422" s="46" t="s">
        <v>5569</v>
      </c>
      <c r="G422" s="46" t="s">
        <v>5642</v>
      </c>
      <c r="H422" s="46" t="s">
        <v>5643</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5644</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5837</v>
      </c>
      <c r="BK422" s="46"/>
      <c r="BL422" s="46"/>
      <c r="BM422" s="46"/>
      <c r="BN422" s="46"/>
      <c r="BO422" s="46"/>
      <c r="BP422" s="46"/>
    </row>
    <row r="423" spans="1:68" ht="24">
      <c r="A423" s="36" t="s">
        <v>5568</v>
      </c>
      <c r="B423" s="36" t="s">
        <v>5786</v>
      </c>
      <c r="C423" s="36" t="s">
        <v>5830</v>
      </c>
      <c r="D423" s="68">
        <v>140</v>
      </c>
      <c r="E423" s="46">
        <v>1</v>
      </c>
      <c r="F423" s="46" t="s">
        <v>5569</v>
      </c>
      <c r="G423" s="46" t="s">
        <v>4121</v>
      </c>
      <c r="H423" s="46" t="s">
        <v>5645</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5646</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60">
      <c r="A424" s="36" t="s">
        <v>5568</v>
      </c>
      <c r="B424" s="36" t="s">
        <v>5787</v>
      </c>
      <c r="C424" s="36" t="s">
        <v>5830</v>
      </c>
      <c r="D424" s="68">
        <v>141</v>
      </c>
      <c r="E424" s="46">
        <v>1</v>
      </c>
      <c r="F424" s="46" t="s">
        <v>5569</v>
      </c>
      <c r="G424" s="46" t="s">
        <v>5647</v>
      </c>
      <c r="H424" s="46" t="s">
        <v>5648</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5649</v>
      </c>
      <c r="AE424" s="37" t="s">
        <v>4707</v>
      </c>
      <c r="AF424" s="36" t="s">
        <v>5836</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60">
      <c r="A425" s="36" t="s">
        <v>5568</v>
      </c>
      <c r="B425" s="36" t="s">
        <v>5788</v>
      </c>
      <c r="C425" s="36" t="s">
        <v>5830</v>
      </c>
      <c r="D425" s="68">
        <v>142</v>
      </c>
      <c r="E425" s="46">
        <v>1</v>
      </c>
      <c r="F425" s="46" t="s">
        <v>5569</v>
      </c>
      <c r="G425" s="46" t="s">
        <v>5650</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5651</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36">
      <c r="A426" s="36" t="s">
        <v>5568</v>
      </c>
      <c r="B426" s="36" t="s">
        <v>5789</v>
      </c>
      <c r="C426" s="36" t="s">
        <v>5830</v>
      </c>
      <c r="D426" s="68">
        <v>143</v>
      </c>
      <c r="E426" s="46">
        <v>2</v>
      </c>
      <c r="F426" s="46" t="s">
        <v>5569</v>
      </c>
      <c r="G426" s="46" t="s">
        <v>5652</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5653</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48">
      <c r="A427" s="36" t="s">
        <v>5568</v>
      </c>
      <c r="B427" s="36" t="s">
        <v>5790</v>
      </c>
      <c r="C427" s="36" t="s">
        <v>5830</v>
      </c>
      <c r="D427" s="68">
        <v>144</v>
      </c>
      <c r="E427" s="46">
        <v>3</v>
      </c>
      <c r="F427" s="46" t="s">
        <v>5569</v>
      </c>
      <c r="G427" s="46" t="s">
        <v>5654</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5655</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24">
      <c r="A428" s="36" t="s">
        <v>5568</v>
      </c>
      <c r="B428" s="36" t="s">
        <v>5791</v>
      </c>
      <c r="C428" s="36" t="s">
        <v>5830</v>
      </c>
      <c r="D428" s="68">
        <v>145</v>
      </c>
      <c r="E428" s="46">
        <v>2</v>
      </c>
      <c r="F428" s="46" t="s">
        <v>5569</v>
      </c>
      <c r="G428" s="46" t="s">
        <v>5656</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5657</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48">
      <c r="A429" s="36" t="s">
        <v>5568</v>
      </c>
      <c r="B429" s="36" t="s">
        <v>5792</v>
      </c>
      <c r="C429" s="36" t="s">
        <v>5830</v>
      </c>
      <c r="D429" s="68">
        <v>146</v>
      </c>
      <c r="E429" s="46">
        <v>2</v>
      </c>
      <c r="F429" s="46" t="s">
        <v>5569</v>
      </c>
      <c r="G429" s="46" t="s">
        <v>5658</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5659</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24">
      <c r="A430" s="67" t="s">
        <v>5571</v>
      </c>
      <c r="B430" s="127" t="s">
        <v>5793</v>
      </c>
      <c r="C430" s="67" t="s">
        <v>5831</v>
      </c>
      <c r="D430" s="66">
        <v>147</v>
      </c>
      <c r="E430" s="67">
        <v>2</v>
      </c>
      <c r="F430" s="67"/>
      <c r="G430" s="67" t="s">
        <v>5667</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5694</v>
      </c>
      <c r="AG430" s="36"/>
      <c r="AP430" s="125"/>
      <c r="AQ430" s="118"/>
      <c r="AR430" s="119"/>
      <c r="AS430" s="120"/>
      <c r="AT430" s="80"/>
      <c r="AU430" s="81"/>
      <c r="AV430" s="118"/>
      <c r="AW430" s="121"/>
      <c r="AX430" s="122"/>
      <c r="AY430" s="123"/>
      <c r="AZ430" s="80"/>
      <c r="BA430" s="81"/>
      <c r="BB430" s="124"/>
      <c r="BF430" s="37"/>
      <c r="BG430" s="36"/>
      <c r="BH430" s="36"/>
    </row>
    <row r="431" spans="1:68" s="46" customFormat="1" ht="24">
      <c r="A431" s="46" t="s">
        <v>5571</v>
      </c>
      <c r="B431" s="46" t="s">
        <v>5794</v>
      </c>
      <c r="C431" s="46" t="s">
        <v>5831</v>
      </c>
      <c r="D431" s="68">
        <v>148</v>
      </c>
      <c r="E431" s="46">
        <v>2</v>
      </c>
      <c r="G431" s="46" t="s">
        <v>5661</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5660</v>
      </c>
      <c r="AE431" s="37"/>
      <c r="AF431" s="36" t="s">
        <v>5662</v>
      </c>
      <c r="AG431" s="36"/>
      <c r="AP431" s="125"/>
      <c r="AQ431" s="118"/>
      <c r="AR431" s="119"/>
      <c r="AS431" s="120"/>
      <c r="AT431" s="80"/>
      <c r="AU431" s="81"/>
      <c r="AV431" s="118"/>
      <c r="AW431" s="121"/>
      <c r="AX431" s="122"/>
      <c r="AY431" s="123"/>
      <c r="AZ431" s="80"/>
      <c r="BA431" s="81"/>
      <c r="BB431" s="124"/>
      <c r="BF431" s="37"/>
      <c r="BG431" s="36"/>
      <c r="BH431" s="36"/>
    </row>
    <row r="432" spans="1:68" s="46" customFormat="1" ht="24">
      <c r="A432" s="46" t="s">
        <v>5571</v>
      </c>
      <c r="B432" s="46" t="s">
        <v>5795</v>
      </c>
      <c r="C432" s="46" t="s">
        <v>5831</v>
      </c>
      <c r="D432" s="68">
        <v>149</v>
      </c>
      <c r="E432" s="46">
        <v>2</v>
      </c>
      <c r="G432" s="46" t="s">
        <v>5668</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5695</v>
      </c>
      <c r="AG432" s="36"/>
      <c r="AP432" s="125"/>
      <c r="AQ432" s="118"/>
      <c r="AR432" s="119"/>
      <c r="AS432" s="120"/>
      <c r="AT432" s="80"/>
      <c r="AU432" s="81"/>
      <c r="AV432" s="118"/>
      <c r="AW432" s="121"/>
      <c r="AX432" s="122"/>
      <c r="AY432" s="123"/>
      <c r="AZ432" s="80"/>
      <c r="BA432" s="81"/>
      <c r="BB432" s="124"/>
      <c r="BF432" s="37"/>
      <c r="BG432" s="36"/>
      <c r="BH432" s="36"/>
    </row>
    <row r="433" spans="1:60" s="46" customFormat="1" ht="36">
      <c r="A433" s="46" t="s">
        <v>5571</v>
      </c>
      <c r="B433" s="46" t="s">
        <v>5796</v>
      </c>
      <c r="C433" s="46" t="s">
        <v>5831</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5669</v>
      </c>
      <c r="AE433" s="37"/>
      <c r="AF433" s="36" t="s">
        <v>5670</v>
      </c>
      <c r="AG433" s="36"/>
      <c r="AP433" s="125"/>
      <c r="AQ433" s="118"/>
      <c r="AR433" s="119"/>
      <c r="AS433" s="120"/>
      <c r="AT433" s="80"/>
      <c r="AU433" s="81"/>
      <c r="AV433" s="118"/>
      <c r="AW433" s="121"/>
      <c r="AX433" s="122"/>
      <c r="AY433" s="123"/>
      <c r="AZ433" s="80"/>
      <c r="BA433" s="81"/>
      <c r="BB433" s="124"/>
      <c r="BF433" s="37"/>
      <c r="BG433" s="36"/>
      <c r="BH433" s="36"/>
    </row>
    <row r="434" spans="1:60" s="46" customFormat="1" ht="36">
      <c r="A434" s="46" t="s">
        <v>5571</v>
      </c>
      <c r="B434" s="46" t="s">
        <v>5797</v>
      </c>
      <c r="C434" s="46" t="s">
        <v>5831</v>
      </c>
      <c r="D434" s="68">
        <v>151</v>
      </c>
      <c r="E434" s="46">
        <v>2</v>
      </c>
      <c r="G434" s="46" t="s">
        <v>5663</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5664</v>
      </c>
      <c r="AE434" s="37"/>
      <c r="AF434" s="36" t="s">
        <v>5665</v>
      </c>
      <c r="AG434" s="36"/>
      <c r="AP434" s="125"/>
      <c r="AQ434" s="118"/>
      <c r="AR434" s="119"/>
      <c r="AS434" s="120"/>
      <c r="AT434" s="80"/>
      <c r="AU434" s="81"/>
      <c r="AV434" s="118"/>
      <c r="AW434" s="121"/>
      <c r="AX434" s="122"/>
      <c r="AY434" s="123"/>
      <c r="AZ434" s="80"/>
      <c r="BA434" s="81"/>
      <c r="BB434" s="124"/>
      <c r="BF434" s="37"/>
      <c r="BG434" s="36"/>
      <c r="BH434" s="36"/>
    </row>
    <row r="435" spans="1:60" s="46" customFormat="1" ht="36">
      <c r="A435" s="46" t="s">
        <v>5571</v>
      </c>
      <c r="B435" s="46" t="s">
        <v>5798</v>
      </c>
      <c r="C435" s="46" t="s">
        <v>5831</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5696</v>
      </c>
      <c r="AG435" s="36"/>
      <c r="AP435" s="125"/>
      <c r="AQ435" s="118"/>
      <c r="AR435" s="119"/>
      <c r="AS435" s="120"/>
      <c r="AT435" s="80"/>
      <c r="AU435" s="81"/>
      <c r="AV435" s="118"/>
      <c r="AW435" s="121"/>
      <c r="AX435" s="122"/>
      <c r="AY435" s="123"/>
      <c r="AZ435" s="80"/>
      <c r="BA435" s="81"/>
      <c r="BB435" s="124"/>
      <c r="BF435" s="37"/>
      <c r="BG435" s="36"/>
      <c r="BH435" s="36"/>
    </row>
    <row r="436" spans="1:60" s="46" customFormat="1" ht="60">
      <c r="A436" s="46" t="s">
        <v>5571</v>
      </c>
      <c r="B436" s="46" t="s">
        <v>5799</v>
      </c>
      <c r="C436" s="46" t="s">
        <v>5831</v>
      </c>
      <c r="D436" s="68">
        <v>153</v>
      </c>
      <c r="E436" s="46">
        <v>2</v>
      </c>
      <c r="G436" s="46" t="s">
        <v>5671</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5697</v>
      </c>
      <c r="AG436" s="36"/>
      <c r="AP436" s="125"/>
      <c r="AQ436" s="118"/>
      <c r="AR436" s="119"/>
      <c r="AS436" s="120"/>
      <c r="AT436" s="80"/>
      <c r="AU436" s="81"/>
      <c r="AV436" s="118"/>
      <c r="AW436" s="121"/>
      <c r="AX436" s="122"/>
      <c r="AY436" s="123"/>
      <c r="AZ436" s="80"/>
      <c r="BA436" s="81"/>
      <c r="BB436" s="124"/>
      <c r="BF436" s="37"/>
      <c r="BG436" s="36"/>
      <c r="BH436" s="36"/>
    </row>
    <row r="437" spans="1:60" s="46" customFormat="1" ht="60">
      <c r="A437" s="46" t="s">
        <v>5571</v>
      </c>
      <c r="B437" s="46" t="s">
        <v>5800</v>
      </c>
      <c r="C437" s="46" t="s">
        <v>5831</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5698</v>
      </c>
      <c r="AG437" s="36"/>
      <c r="AP437" s="125"/>
      <c r="AQ437" s="118"/>
      <c r="AR437" s="119"/>
      <c r="AS437" s="120"/>
      <c r="AT437" s="80"/>
      <c r="AU437" s="81"/>
      <c r="AV437" s="118"/>
      <c r="AW437" s="121"/>
      <c r="AX437" s="122"/>
      <c r="AY437" s="123"/>
      <c r="AZ437" s="80"/>
      <c r="BA437" s="81"/>
      <c r="BB437" s="124"/>
      <c r="BF437" s="37"/>
      <c r="BG437" s="36"/>
      <c r="BH437" s="36"/>
    </row>
    <row r="438" spans="1:60" s="46" customFormat="1" ht="15.75">
      <c r="A438" s="46" t="s">
        <v>5571</v>
      </c>
      <c r="B438" s="46" t="s">
        <v>5801</v>
      </c>
      <c r="C438" s="46" t="s">
        <v>5831</v>
      </c>
      <c r="D438" s="68">
        <v>155</v>
      </c>
      <c r="E438" s="46">
        <v>2</v>
      </c>
      <c r="G438" s="46" t="s">
        <v>5672</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5699</v>
      </c>
      <c r="AG438" s="36"/>
      <c r="AP438" s="125"/>
      <c r="AQ438" s="118"/>
      <c r="AR438" s="119"/>
      <c r="AS438" s="120"/>
      <c r="AT438" s="80"/>
      <c r="AU438" s="81"/>
      <c r="AV438" s="118"/>
      <c r="AW438" s="121"/>
      <c r="AX438" s="122"/>
      <c r="AY438" s="123"/>
      <c r="AZ438" s="80"/>
      <c r="BA438" s="81"/>
      <c r="BB438" s="124"/>
      <c r="BF438" s="37"/>
      <c r="BG438" s="36"/>
      <c r="BH438" s="36"/>
    </row>
    <row r="439" spans="1:60" s="46" customFormat="1" ht="72">
      <c r="A439" s="46" t="s">
        <v>5571</v>
      </c>
      <c r="B439" s="46" t="s">
        <v>5802</v>
      </c>
      <c r="C439" s="46" t="s">
        <v>5831</v>
      </c>
      <c r="D439" s="68">
        <v>156</v>
      </c>
      <c r="E439" s="46">
        <v>2</v>
      </c>
      <c r="G439" s="46" t="s">
        <v>5673</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5700</v>
      </c>
      <c r="AG439" s="36"/>
      <c r="AP439" s="125"/>
      <c r="AQ439" s="118"/>
      <c r="AR439" s="119"/>
      <c r="AS439" s="120"/>
      <c r="AT439" s="80"/>
      <c r="AU439" s="81"/>
      <c r="AV439" s="118"/>
      <c r="AW439" s="121"/>
      <c r="AX439" s="122"/>
      <c r="AY439" s="123"/>
      <c r="AZ439" s="80"/>
      <c r="BA439" s="81"/>
      <c r="BB439" s="124"/>
      <c r="BF439" s="37"/>
      <c r="BG439" s="36"/>
      <c r="BH439" s="36"/>
    </row>
    <row r="440" spans="1:60" s="46" customFormat="1" ht="15.75">
      <c r="A440" s="46" t="s">
        <v>5571</v>
      </c>
      <c r="B440" s="46" t="s">
        <v>5803</v>
      </c>
      <c r="C440" s="46" t="s">
        <v>5831</v>
      </c>
      <c r="D440" s="68">
        <v>157</v>
      </c>
      <c r="E440" s="46">
        <v>2</v>
      </c>
      <c r="G440" s="46" t="s">
        <v>5674</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5833</v>
      </c>
      <c r="AF440" s="36" t="s">
        <v>5832</v>
      </c>
      <c r="AG440" s="36"/>
      <c r="AP440" s="125"/>
      <c r="AQ440" s="118"/>
      <c r="AR440" s="119"/>
      <c r="AS440" s="120"/>
      <c r="AT440" s="80"/>
      <c r="AU440" s="81"/>
      <c r="AV440" s="118"/>
      <c r="AW440" s="121"/>
      <c r="AX440" s="122"/>
      <c r="AY440" s="123"/>
      <c r="AZ440" s="80"/>
      <c r="BA440" s="81"/>
      <c r="BB440" s="124"/>
      <c r="BF440" s="37"/>
      <c r="BG440" s="36"/>
      <c r="BH440" s="36"/>
    </row>
    <row r="441" spans="1:60" s="46" customFormat="1" ht="24">
      <c r="A441" s="46" t="s">
        <v>5571</v>
      </c>
      <c r="B441" s="46" t="s">
        <v>5804</v>
      </c>
      <c r="C441" s="46" t="s">
        <v>5831</v>
      </c>
      <c r="D441" s="68">
        <v>158</v>
      </c>
      <c r="E441" s="46">
        <v>2</v>
      </c>
      <c r="G441" s="46" t="s">
        <v>5666</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5834</v>
      </c>
      <c r="AF441" s="36" t="s">
        <v>5835</v>
      </c>
      <c r="AG441" s="36"/>
      <c r="AP441" s="125"/>
      <c r="AQ441" s="118"/>
      <c r="AR441" s="119"/>
      <c r="AS441" s="120"/>
      <c r="AT441" s="80"/>
      <c r="AU441" s="81"/>
      <c r="AV441" s="118"/>
      <c r="AW441" s="121"/>
      <c r="AX441" s="122"/>
      <c r="AY441" s="123"/>
      <c r="AZ441" s="80"/>
      <c r="BA441" s="81"/>
      <c r="BB441" s="124"/>
      <c r="BF441" s="37"/>
      <c r="BG441" s="36"/>
      <c r="BH441" s="36"/>
    </row>
    <row r="442" spans="1:60" s="46" customFormat="1" ht="72">
      <c r="A442" s="46" t="s">
        <v>5571</v>
      </c>
      <c r="B442" s="46" t="s">
        <v>5805</v>
      </c>
      <c r="C442" s="46" t="s">
        <v>5831</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5701</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5729</v>
      </c>
      <c r="BH442" s="36"/>
    </row>
    <row r="443" spans="1:60" s="46" customFormat="1" ht="60">
      <c r="A443" s="46" t="s">
        <v>5571</v>
      </c>
      <c r="B443" s="46" t="s">
        <v>5806</v>
      </c>
      <c r="C443" s="46" t="s">
        <v>5831</v>
      </c>
      <c r="D443" s="68">
        <v>160</v>
      </c>
      <c r="E443" s="46">
        <v>1</v>
      </c>
      <c r="F443" s="46" t="s">
        <v>5572</v>
      </c>
      <c r="G443" s="46" t="s">
        <v>5675</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5730</v>
      </c>
      <c r="AL443" s="46" t="s">
        <v>4473</v>
      </c>
      <c r="AN443" s="46">
        <v>1</v>
      </c>
      <c r="AP443" s="125"/>
      <c r="AQ443" s="118"/>
      <c r="AR443" s="119"/>
      <c r="AS443" s="120"/>
      <c r="AT443" s="80"/>
      <c r="AU443" s="81"/>
      <c r="AV443" s="118"/>
      <c r="AW443" s="121"/>
      <c r="AX443" s="122"/>
      <c r="AY443" s="123"/>
      <c r="AZ443" s="80"/>
      <c r="BA443" s="81"/>
      <c r="BB443" s="124"/>
      <c r="BF443" s="37"/>
      <c r="BG443" s="36" t="s">
        <v>5731</v>
      </c>
      <c r="BH443" s="36"/>
    </row>
    <row r="444" spans="1:60" s="46" customFormat="1" ht="60">
      <c r="A444" s="46" t="s">
        <v>5571</v>
      </c>
      <c r="B444" s="46" t="s">
        <v>5807</v>
      </c>
      <c r="C444" s="46" t="s">
        <v>5831</v>
      </c>
      <c r="D444" s="68">
        <v>161</v>
      </c>
      <c r="E444" s="46">
        <v>1</v>
      </c>
      <c r="F444" s="46" t="s">
        <v>5572</v>
      </c>
      <c r="G444" s="46" t="s">
        <v>5676</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5732</v>
      </c>
      <c r="AL444" s="46" t="s">
        <v>4473</v>
      </c>
      <c r="AN444" s="46">
        <v>2</v>
      </c>
      <c r="AP444" s="125"/>
      <c r="AQ444" s="118"/>
      <c r="AR444" s="119"/>
      <c r="AS444" s="120"/>
      <c r="AT444" s="80"/>
      <c r="AU444" s="81"/>
      <c r="AV444" s="118"/>
      <c r="AW444" s="121"/>
      <c r="AX444" s="122"/>
      <c r="AY444" s="123"/>
      <c r="AZ444" s="80"/>
      <c r="BA444" s="81"/>
      <c r="BB444" s="124"/>
      <c r="BF444" s="37"/>
      <c r="BG444" s="36" t="s">
        <v>5731</v>
      </c>
      <c r="BH444" s="36"/>
    </row>
    <row r="445" spans="1:60" s="46" customFormat="1" ht="72">
      <c r="A445" s="46" t="s">
        <v>5571</v>
      </c>
      <c r="B445" s="46" t="s">
        <v>5808</v>
      </c>
      <c r="C445" s="46" t="s">
        <v>5831</v>
      </c>
      <c r="D445" s="68">
        <v>162</v>
      </c>
      <c r="E445" s="46">
        <v>1</v>
      </c>
      <c r="F445" s="46" t="s">
        <v>5572</v>
      </c>
      <c r="G445" s="46" t="s">
        <v>5677</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5733</v>
      </c>
      <c r="AL445" s="46" t="s">
        <v>4473</v>
      </c>
      <c r="AN445" s="46">
        <v>3</v>
      </c>
      <c r="AP445" s="125"/>
      <c r="AQ445" s="118"/>
      <c r="AR445" s="119"/>
      <c r="AS445" s="120"/>
      <c r="AT445" s="80"/>
      <c r="AU445" s="81"/>
      <c r="AV445" s="118"/>
      <c r="AW445" s="121"/>
      <c r="AX445" s="122"/>
      <c r="AY445" s="123"/>
      <c r="AZ445" s="80"/>
      <c r="BA445" s="81"/>
      <c r="BB445" s="124"/>
      <c r="BF445" s="37"/>
      <c r="BG445" s="36" t="s">
        <v>5734</v>
      </c>
      <c r="BH445" s="36"/>
    </row>
    <row r="446" spans="1:60" s="46" customFormat="1" ht="72">
      <c r="A446" s="46" t="s">
        <v>5571</v>
      </c>
      <c r="B446" s="46" t="s">
        <v>5809</v>
      </c>
      <c r="C446" s="46" t="s">
        <v>5831</v>
      </c>
      <c r="D446" s="68">
        <v>163</v>
      </c>
      <c r="E446" s="46">
        <v>1</v>
      </c>
      <c r="F446" s="46" t="s">
        <v>5572</v>
      </c>
      <c r="G446" s="46" t="s">
        <v>5678</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5735</v>
      </c>
      <c r="AL446" s="46" t="s">
        <v>4473</v>
      </c>
      <c r="AN446" s="46">
        <v>4</v>
      </c>
      <c r="AP446" s="125"/>
      <c r="AQ446" s="118"/>
      <c r="AR446" s="119"/>
      <c r="AS446" s="120"/>
      <c r="AT446" s="80"/>
      <c r="AU446" s="81"/>
      <c r="AV446" s="118"/>
      <c r="AW446" s="121"/>
      <c r="AX446" s="122"/>
      <c r="AY446" s="123"/>
      <c r="AZ446" s="80"/>
      <c r="BA446" s="81"/>
      <c r="BB446" s="124"/>
      <c r="BF446" s="37"/>
      <c r="BG446" s="36" t="s">
        <v>5734</v>
      </c>
      <c r="BH446" s="36"/>
    </row>
    <row r="447" spans="1:60" s="46" customFormat="1" ht="24">
      <c r="A447" s="46" t="s">
        <v>5571</v>
      </c>
      <c r="B447" s="46" t="s">
        <v>5810</v>
      </c>
      <c r="C447" s="46" t="s">
        <v>5831</v>
      </c>
      <c r="D447" s="68">
        <v>164</v>
      </c>
      <c r="E447" s="46">
        <v>1</v>
      </c>
      <c r="F447" s="46" t="s">
        <v>5572</v>
      </c>
      <c r="G447" s="46" t="s">
        <v>5679</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5736</v>
      </c>
      <c r="AL447" s="46" t="s">
        <v>4473</v>
      </c>
      <c r="AN447" s="46">
        <v>5</v>
      </c>
      <c r="AP447" s="125"/>
      <c r="AQ447" s="118"/>
      <c r="AR447" s="119"/>
      <c r="AS447" s="120"/>
      <c r="AT447" s="80"/>
      <c r="AU447" s="81"/>
      <c r="AV447" s="118"/>
      <c r="AW447" s="121"/>
      <c r="AX447" s="122"/>
      <c r="AY447" s="123"/>
      <c r="AZ447" s="80"/>
      <c r="BA447" s="81"/>
      <c r="BB447" s="124"/>
      <c r="BF447" s="37"/>
      <c r="BG447" s="36" t="s">
        <v>5737</v>
      </c>
      <c r="BH447" s="36"/>
    </row>
    <row r="448" spans="1:60" s="46" customFormat="1" ht="120">
      <c r="A448" s="46" t="s">
        <v>5571</v>
      </c>
      <c r="B448" s="46" t="s">
        <v>5811</v>
      </c>
      <c r="C448" s="46" t="s">
        <v>5831</v>
      </c>
      <c r="D448" s="68">
        <v>165</v>
      </c>
      <c r="E448" s="46">
        <v>1</v>
      </c>
      <c r="F448" s="46" t="s">
        <v>5572</v>
      </c>
      <c r="G448" s="46" t="s">
        <v>5680</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5702</v>
      </c>
      <c r="AG448" s="36"/>
      <c r="AI448" s="46" t="s">
        <v>5738</v>
      </c>
      <c r="AL448" s="46" t="s">
        <v>4475</v>
      </c>
      <c r="AN448" s="46">
        <v>1</v>
      </c>
      <c r="AP448" s="125"/>
      <c r="AQ448" s="118"/>
      <c r="AR448" s="119"/>
      <c r="AS448" s="120"/>
      <c r="AT448" s="80"/>
      <c r="AU448" s="81"/>
      <c r="AV448" s="118"/>
      <c r="AW448" s="121"/>
      <c r="AX448" s="122"/>
      <c r="AY448" s="123"/>
      <c r="AZ448" s="80"/>
      <c r="BA448" s="81"/>
      <c r="BB448" s="124"/>
      <c r="BF448" s="37"/>
      <c r="BG448" s="36" t="s">
        <v>5739</v>
      </c>
      <c r="BH448" s="36"/>
    </row>
    <row r="449" spans="1:62" s="46" customFormat="1" ht="24">
      <c r="A449" s="46" t="s">
        <v>5571</v>
      </c>
      <c r="B449" s="46" t="s">
        <v>5812</v>
      </c>
      <c r="C449" s="46" t="s">
        <v>5831</v>
      </c>
      <c r="D449" s="68">
        <v>166</v>
      </c>
      <c r="E449" s="46">
        <v>1</v>
      </c>
      <c r="F449" s="46" t="s">
        <v>5572</v>
      </c>
      <c r="G449" s="46" t="s">
        <v>5681</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5703</v>
      </c>
      <c r="AG449" s="36"/>
      <c r="AI449" s="46" t="s">
        <v>5740</v>
      </c>
      <c r="AL449" s="46" t="s">
        <v>4475</v>
      </c>
      <c r="AN449" s="46">
        <v>2</v>
      </c>
      <c r="AP449" s="125"/>
      <c r="AQ449" s="118"/>
      <c r="AR449" s="119"/>
      <c r="AS449" s="120"/>
      <c r="AT449" s="80"/>
      <c r="AU449" s="81"/>
      <c r="AV449" s="118"/>
      <c r="AW449" s="121"/>
      <c r="AX449" s="122"/>
      <c r="AY449" s="123"/>
      <c r="AZ449" s="80"/>
      <c r="BA449" s="81"/>
      <c r="BB449" s="124"/>
      <c r="BF449" s="37"/>
      <c r="BG449" s="36" t="s">
        <v>5741</v>
      </c>
      <c r="BH449" s="36"/>
    </row>
    <row r="450" spans="1:62" s="46" customFormat="1" ht="60">
      <c r="A450" s="46" t="s">
        <v>5571</v>
      </c>
      <c r="B450" s="46" t="s">
        <v>5813</v>
      </c>
      <c r="C450" s="46" t="s">
        <v>5831</v>
      </c>
      <c r="D450" s="68">
        <v>167</v>
      </c>
      <c r="E450" s="46">
        <v>1</v>
      </c>
      <c r="F450" s="46" t="s">
        <v>5572</v>
      </c>
      <c r="G450" s="46" t="s">
        <v>5682</v>
      </c>
      <c r="J450" s="46" t="s">
        <v>31</v>
      </c>
      <c r="N450" s="117"/>
      <c r="O450" s="118"/>
      <c r="P450" s="119"/>
      <c r="Q450" s="120"/>
      <c r="R450" s="80"/>
      <c r="S450" s="126"/>
      <c r="T450" s="81"/>
      <c r="U450" s="118"/>
      <c r="V450" s="121"/>
      <c r="W450" s="122"/>
      <c r="X450" s="123"/>
      <c r="Y450" s="80"/>
      <c r="Z450" s="81"/>
      <c r="AA450" s="124"/>
      <c r="AB450" s="65"/>
      <c r="AD450" s="46" t="s">
        <v>5683</v>
      </c>
      <c r="AE450" s="37"/>
      <c r="AF450" s="36" t="s">
        <v>5742</v>
      </c>
      <c r="AG450" s="36"/>
      <c r="AI450" s="46" t="s">
        <v>5743</v>
      </c>
      <c r="AL450" s="46" t="s">
        <v>31</v>
      </c>
      <c r="AP450" s="125"/>
      <c r="AQ450" s="118"/>
      <c r="AR450" s="119"/>
      <c r="AS450" s="120"/>
      <c r="AT450" s="80"/>
      <c r="AU450" s="81"/>
      <c r="AV450" s="118"/>
      <c r="AW450" s="121"/>
      <c r="AX450" s="122"/>
      <c r="AY450" s="123">
        <v>1</v>
      </c>
      <c r="AZ450" s="80" t="s">
        <v>4966</v>
      </c>
      <c r="BA450" s="81"/>
      <c r="BB450" s="124"/>
      <c r="BF450" s="37"/>
      <c r="BG450" s="36" t="s">
        <v>5704</v>
      </c>
      <c r="BH450" s="36"/>
    </row>
    <row r="451" spans="1:62" s="46" customFormat="1" ht="60">
      <c r="A451" s="46" t="s">
        <v>5571</v>
      </c>
      <c r="B451" s="128" t="s">
        <v>5814</v>
      </c>
      <c r="C451" s="46" t="s">
        <v>5831</v>
      </c>
      <c r="D451" s="68">
        <v>168</v>
      </c>
      <c r="E451" s="46">
        <v>1</v>
      </c>
      <c r="F451" s="46" t="s">
        <v>5572</v>
      </c>
      <c r="G451" s="46" t="s">
        <v>5682</v>
      </c>
      <c r="J451" s="46" t="s">
        <v>31</v>
      </c>
      <c r="N451" s="117"/>
      <c r="O451" s="118"/>
      <c r="P451" s="119"/>
      <c r="Q451" s="120"/>
      <c r="R451" s="80"/>
      <c r="S451" s="126"/>
      <c r="T451" s="81"/>
      <c r="U451" s="118"/>
      <c r="V451" s="121"/>
      <c r="W451" s="122"/>
      <c r="X451" s="123"/>
      <c r="Y451" s="80"/>
      <c r="Z451" s="81"/>
      <c r="AA451" s="124"/>
      <c r="AB451" s="65"/>
      <c r="AD451" s="46" t="s">
        <v>5683</v>
      </c>
      <c r="AE451" s="37"/>
      <c r="AF451" s="36" t="s">
        <v>5742</v>
      </c>
      <c r="AG451" s="36"/>
      <c r="AI451" s="46" t="s">
        <v>5743</v>
      </c>
      <c r="AL451" s="46" t="s">
        <v>31</v>
      </c>
      <c r="AP451" s="125"/>
      <c r="AQ451" s="118"/>
      <c r="AR451" s="119"/>
      <c r="AS451" s="120"/>
      <c r="AT451" s="80"/>
      <c r="AU451" s="81"/>
      <c r="AV451" s="118"/>
      <c r="AW451" s="121"/>
      <c r="AX451" s="122"/>
      <c r="AY451" s="123">
        <v>4</v>
      </c>
      <c r="AZ451" s="42" t="s">
        <v>4927</v>
      </c>
      <c r="BA451" s="81"/>
      <c r="BB451" s="124"/>
      <c r="BF451" s="37"/>
      <c r="BG451" s="36" t="s">
        <v>5705</v>
      </c>
      <c r="BH451" s="36"/>
    </row>
    <row r="452" spans="1:62" s="46" customFormat="1" ht="60">
      <c r="A452" s="46" t="s">
        <v>5571</v>
      </c>
      <c r="B452" s="46" t="s">
        <v>5815</v>
      </c>
      <c r="C452" s="46" t="s">
        <v>5831</v>
      </c>
      <c r="D452" s="68">
        <v>169</v>
      </c>
      <c r="E452" s="46">
        <v>1</v>
      </c>
      <c r="F452" s="46" t="s">
        <v>5572</v>
      </c>
      <c r="G452" s="46" t="s">
        <v>5682</v>
      </c>
      <c r="J452" s="46" t="s">
        <v>31</v>
      </c>
      <c r="N452" s="117"/>
      <c r="O452" s="118"/>
      <c r="P452" s="119"/>
      <c r="Q452" s="120"/>
      <c r="R452" s="80"/>
      <c r="S452" s="126"/>
      <c r="T452" s="81"/>
      <c r="U452" s="118"/>
      <c r="V452" s="121"/>
      <c r="W452" s="122"/>
      <c r="X452" s="123"/>
      <c r="Y452" s="80"/>
      <c r="Z452" s="81"/>
      <c r="AA452" s="124"/>
      <c r="AB452" s="65"/>
      <c r="AD452" s="46" t="s">
        <v>5683</v>
      </c>
      <c r="AE452" s="37"/>
      <c r="AF452" s="36" t="s">
        <v>5742</v>
      </c>
      <c r="AG452" s="36"/>
      <c r="AI452" s="46" t="s">
        <v>5743</v>
      </c>
      <c r="AL452" s="46" t="s">
        <v>31</v>
      </c>
      <c r="AP452" s="125"/>
      <c r="AQ452" s="118"/>
      <c r="AR452" s="119"/>
      <c r="AS452" s="120"/>
      <c r="AT452" s="80"/>
      <c r="AU452" s="81"/>
      <c r="AV452" s="118"/>
      <c r="AW452" s="121"/>
      <c r="AX452" s="122"/>
      <c r="AY452" s="123">
        <v>2</v>
      </c>
      <c r="AZ452" s="80" t="s">
        <v>4965</v>
      </c>
      <c r="BA452" s="81"/>
      <c r="BB452" s="124"/>
      <c r="BF452" s="37"/>
      <c r="BG452" s="36" t="s">
        <v>5706</v>
      </c>
      <c r="BH452" s="36"/>
    </row>
    <row r="453" spans="1:62" s="46" customFormat="1" ht="60">
      <c r="A453" s="46" t="s">
        <v>5571</v>
      </c>
      <c r="B453" s="46" t="s">
        <v>5816</v>
      </c>
      <c r="C453" s="46" t="s">
        <v>5831</v>
      </c>
      <c r="D453" s="68">
        <v>170</v>
      </c>
      <c r="E453" s="46">
        <v>1</v>
      </c>
      <c r="F453" s="46" t="s">
        <v>5572</v>
      </c>
      <c r="G453" s="46" t="s">
        <v>5682</v>
      </c>
      <c r="J453" s="46" t="s">
        <v>31</v>
      </c>
      <c r="N453" s="117"/>
      <c r="O453" s="118"/>
      <c r="P453" s="119"/>
      <c r="Q453" s="120"/>
      <c r="R453" s="80"/>
      <c r="S453" s="126"/>
      <c r="T453" s="81"/>
      <c r="U453" s="118"/>
      <c r="V453" s="121"/>
      <c r="W453" s="122"/>
      <c r="X453" s="123"/>
      <c r="Y453" s="80"/>
      <c r="Z453" s="81"/>
      <c r="AA453" s="124"/>
      <c r="AB453" s="65"/>
      <c r="AD453" s="46" t="s">
        <v>5683</v>
      </c>
      <c r="AE453" s="37"/>
      <c r="AF453" s="36" t="s">
        <v>5742</v>
      </c>
      <c r="AG453" s="36"/>
      <c r="AI453" s="46" t="s">
        <v>5743</v>
      </c>
      <c r="AL453" s="46" t="s">
        <v>31</v>
      </c>
      <c r="AP453" s="125"/>
      <c r="AQ453" s="118"/>
      <c r="AR453" s="119"/>
      <c r="AS453" s="120"/>
      <c r="AT453" s="80"/>
      <c r="AU453" s="81"/>
      <c r="AV453" s="118"/>
      <c r="AW453" s="121"/>
      <c r="AX453" s="122"/>
      <c r="AY453" s="123">
        <v>3</v>
      </c>
      <c r="AZ453" s="80" t="s">
        <v>4965</v>
      </c>
      <c r="BA453" s="81"/>
      <c r="BB453" s="124"/>
      <c r="BF453" s="37"/>
      <c r="BG453" s="36" t="s">
        <v>5707</v>
      </c>
      <c r="BH453" s="36"/>
    </row>
    <row r="454" spans="1:62" s="46" customFormat="1" ht="60">
      <c r="A454" s="46" t="s">
        <v>5571</v>
      </c>
      <c r="B454" s="46" t="s">
        <v>5817</v>
      </c>
      <c r="C454" s="46" t="s">
        <v>5831</v>
      </c>
      <c r="D454" s="68">
        <v>171</v>
      </c>
      <c r="E454" s="46">
        <v>1</v>
      </c>
      <c r="F454" s="46" t="s">
        <v>5572</v>
      </c>
      <c r="G454" s="46" t="s">
        <v>5682</v>
      </c>
      <c r="J454" s="46" t="s">
        <v>31</v>
      </c>
      <c r="N454" s="117"/>
      <c r="O454" s="118"/>
      <c r="P454" s="119"/>
      <c r="Q454" s="120"/>
      <c r="R454" s="80"/>
      <c r="S454" s="126"/>
      <c r="T454" s="81"/>
      <c r="U454" s="118"/>
      <c r="V454" s="121"/>
      <c r="W454" s="122"/>
      <c r="X454" s="123"/>
      <c r="Y454" s="80"/>
      <c r="Z454" s="81"/>
      <c r="AA454" s="124"/>
      <c r="AB454" s="65"/>
      <c r="AD454" s="46" t="s">
        <v>5683</v>
      </c>
      <c r="AE454" s="37"/>
      <c r="AF454" s="36" t="s">
        <v>5742</v>
      </c>
      <c r="AG454" s="36"/>
      <c r="AI454" s="46" t="s">
        <v>5743</v>
      </c>
      <c r="AL454" s="46" t="s">
        <v>31</v>
      </c>
      <c r="AP454" s="125"/>
      <c r="AQ454" s="118"/>
      <c r="AR454" s="119"/>
      <c r="AS454" s="120"/>
      <c r="AT454" s="80"/>
      <c r="AU454" s="81"/>
      <c r="AV454" s="118"/>
      <c r="AW454" s="121"/>
      <c r="AX454" s="122"/>
      <c r="AY454" s="123">
        <v>1</v>
      </c>
      <c r="AZ454" s="80" t="s">
        <v>4927</v>
      </c>
      <c r="BA454" s="81"/>
      <c r="BB454" s="124"/>
      <c r="BF454" s="37"/>
      <c r="BG454" s="36" t="s">
        <v>5744</v>
      </c>
      <c r="BH454" s="36"/>
    </row>
    <row r="455" spans="1:62" s="46" customFormat="1" ht="60">
      <c r="A455" s="46" t="s">
        <v>5571</v>
      </c>
      <c r="B455" s="46" t="s">
        <v>5818</v>
      </c>
      <c r="C455" s="46" t="s">
        <v>5831</v>
      </c>
      <c r="D455" s="68">
        <v>172</v>
      </c>
      <c r="E455" s="46">
        <v>1</v>
      </c>
      <c r="F455" s="46" t="s">
        <v>5572</v>
      </c>
      <c r="G455" s="46" t="s">
        <v>5682</v>
      </c>
      <c r="J455" s="46" t="s">
        <v>31</v>
      </c>
      <c r="N455" s="117"/>
      <c r="O455" s="118"/>
      <c r="P455" s="119"/>
      <c r="Q455" s="120"/>
      <c r="R455" s="80"/>
      <c r="S455" s="126"/>
      <c r="T455" s="81"/>
      <c r="U455" s="118"/>
      <c r="V455" s="121"/>
      <c r="W455" s="122"/>
      <c r="X455" s="123"/>
      <c r="Y455" s="80"/>
      <c r="Z455" s="81"/>
      <c r="AA455" s="124"/>
      <c r="AB455" s="65"/>
      <c r="AD455" s="46" t="s">
        <v>5683</v>
      </c>
      <c r="AE455" s="37"/>
      <c r="AF455" s="36" t="s">
        <v>5742</v>
      </c>
      <c r="AG455" s="36"/>
      <c r="AI455" s="46" t="s">
        <v>5745</v>
      </c>
      <c r="AL455" s="46" t="s">
        <v>31</v>
      </c>
      <c r="AP455" s="125"/>
      <c r="AQ455" s="118"/>
      <c r="AR455" s="119"/>
      <c r="AS455" s="120"/>
      <c r="AT455" s="80"/>
      <c r="AU455" s="81"/>
      <c r="AV455" s="118"/>
      <c r="AW455" s="121"/>
      <c r="AX455" s="122"/>
      <c r="AY455" s="123">
        <v>4</v>
      </c>
      <c r="AZ455" s="80">
        <v>1</v>
      </c>
      <c r="BA455" s="81"/>
      <c r="BB455" s="124"/>
      <c r="BF455" s="37"/>
      <c r="BG455" s="36" t="s">
        <v>5708</v>
      </c>
      <c r="BH455" s="36"/>
    </row>
    <row r="456" spans="1:62" s="46" customFormat="1" ht="48">
      <c r="A456" s="46" t="s">
        <v>5571</v>
      </c>
      <c r="B456" s="46" t="s">
        <v>5819</v>
      </c>
      <c r="C456" s="46" t="s">
        <v>5831</v>
      </c>
      <c r="D456" s="68">
        <v>173</v>
      </c>
      <c r="E456" s="46">
        <v>1</v>
      </c>
      <c r="F456" s="46" t="s">
        <v>5572</v>
      </c>
      <c r="G456" s="46" t="s">
        <v>5682</v>
      </c>
      <c r="J456" s="46" t="s">
        <v>31</v>
      </c>
      <c r="N456" s="117"/>
      <c r="O456" s="118"/>
      <c r="P456" s="119"/>
      <c r="Q456" s="120"/>
      <c r="R456" s="80"/>
      <c r="S456" s="126"/>
      <c r="T456" s="81"/>
      <c r="U456" s="118"/>
      <c r="V456" s="121"/>
      <c r="W456" s="122"/>
      <c r="X456" s="123"/>
      <c r="Y456" s="80"/>
      <c r="Z456" s="81"/>
      <c r="AA456" s="124"/>
      <c r="AB456" s="65"/>
      <c r="AD456" s="46" t="s">
        <v>5683</v>
      </c>
      <c r="AE456" s="37"/>
      <c r="AF456" s="36" t="s">
        <v>5742</v>
      </c>
      <c r="AG456" s="36"/>
      <c r="AI456" s="46" t="s">
        <v>5746</v>
      </c>
      <c r="AL456" s="46" t="s">
        <v>31</v>
      </c>
      <c r="AP456" s="125"/>
      <c r="AQ456" s="118"/>
      <c r="AR456" s="119"/>
      <c r="AS456" s="120"/>
      <c r="AT456" s="80"/>
      <c r="AU456" s="81"/>
      <c r="AV456" s="118"/>
      <c r="AW456" s="121"/>
      <c r="AX456" s="122"/>
      <c r="AY456" s="123">
        <v>2</v>
      </c>
      <c r="AZ456" s="80">
        <v>0</v>
      </c>
      <c r="BA456" s="81"/>
      <c r="BB456" s="124"/>
      <c r="BF456" s="37"/>
      <c r="BG456" s="36" t="s">
        <v>5709</v>
      </c>
      <c r="BH456" s="36"/>
    </row>
    <row r="457" spans="1:62" s="46" customFormat="1" ht="48">
      <c r="A457" s="46" t="s">
        <v>5571</v>
      </c>
      <c r="B457" s="46" t="s">
        <v>5820</v>
      </c>
      <c r="C457" s="46" t="s">
        <v>5831</v>
      </c>
      <c r="D457" s="68">
        <v>174</v>
      </c>
      <c r="E457" s="46">
        <v>1</v>
      </c>
      <c r="F457" s="46" t="s">
        <v>5572</v>
      </c>
      <c r="G457" s="46" t="s">
        <v>5682</v>
      </c>
      <c r="J457" s="46" t="s">
        <v>31</v>
      </c>
      <c r="N457" s="117"/>
      <c r="O457" s="118"/>
      <c r="P457" s="119"/>
      <c r="Q457" s="120"/>
      <c r="R457" s="80"/>
      <c r="S457" s="126"/>
      <c r="T457" s="81"/>
      <c r="U457" s="118"/>
      <c r="V457" s="121"/>
      <c r="W457" s="122"/>
      <c r="X457" s="123"/>
      <c r="Y457" s="80"/>
      <c r="Z457" s="81"/>
      <c r="AA457" s="124"/>
      <c r="AB457" s="65"/>
      <c r="AD457" s="46" t="s">
        <v>5683</v>
      </c>
      <c r="AE457" s="37"/>
      <c r="AF457" s="36" t="s">
        <v>5742</v>
      </c>
      <c r="AG457" s="36"/>
      <c r="AI457" s="46" t="s">
        <v>5747</v>
      </c>
      <c r="AL457" s="46" t="s">
        <v>31</v>
      </c>
      <c r="AP457" s="125"/>
      <c r="AQ457" s="118"/>
      <c r="AR457" s="119"/>
      <c r="AS457" s="120"/>
      <c r="AT457" s="80"/>
      <c r="AU457" s="81"/>
      <c r="AV457" s="118"/>
      <c r="AW457" s="121"/>
      <c r="AX457" s="122"/>
      <c r="AY457" s="123">
        <v>3</v>
      </c>
      <c r="AZ457" s="80" t="s">
        <v>4927</v>
      </c>
      <c r="BA457" s="81"/>
      <c r="BB457" s="124">
        <v>1</v>
      </c>
      <c r="BF457" s="37"/>
      <c r="BG457" s="36" t="s">
        <v>5710</v>
      </c>
      <c r="BH457" s="36"/>
    </row>
    <row r="458" spans="1:62" s="46" customFormat="1" ht="36">
      <c r="A458" s="46" t="s">
        <v>5571</v>
      </c>
      <c r="B458" s="46" t="s">
        <v>5821</v>
      </c>
      <c r="C458" s="46" t="s">
        <v>5831</v>
      </c>
      <c r="D458" s="68">
        <v>175</v>
      </c>
      <c r="E458" s="46">
        <v>1</v>
      </c>
      <c r="F458" s="46" t="s">
        <v>5572</v>
      </c>
      <c r="G458" s="46" t="s">
        <v>5684</v>
      </c>
      <c r="J458" s="46" t="s">
        <v>31</v>
      </c>
      <c r="N458" s="117"/>
      <c r="O458" s="118"/>
      <c r="P458" s="119"/>
      <c r="Q458" s="120"/>
      <c r="R458" s="80"/>
      <c r="S458" s="126"/>
      <c r="T458" s="81"/>
      <c r="U458" s="118"/>
      <c r="V458" s="121"/>
      <c r="W458" s="122"/>
      <c r="X458" s="123"/>
      <c r="Y458" s="80"/>
      <c r="Z458" s="81"/>
      <c r="AA458" s="124"/>
      <c r="AB458" s="65"/>
      <c r="AD458" s="46" t="s">
        <v>5683</v>
      </c>
      <c r="AE458" s="37"/>
      <c r="AF458" s="36" t="s">
        <v>5748</v>
      </c>
      <c r="AG458" s="36"/>
      <c r="AI458" s="46" t="s">
        <v>5684</v>
      </c>
      <c r="AL458" s="46" t="s">
        <v>31</v>
      </c>
      <c r="AP458" s="125"/>
      <c r="AQ458" s="118"/>
      <c r="AR458" s="119"/>
      <c r="AS458" s="120"/>
      <c r="AT458" s="80"/>
      <c r="AU458" s="81"/>
      <c r="AV458" s="118"/>
      <c r="AW458" s="121"/>
      <c r="AX458" s="122"/>
      <c r="AY458" s="123">
        <v>4</v>
      </c>
      <c r="AZ458" s="80" t="s">
        <v>4965</v>
      </c>
      <c r="BA458" s="81"/>
      <c r="BB458" s="124">
        <v>1</v>
      </c>
      <c r="BF458" s="37"/>
      <c r="BG458" s="36" t="s">
        <v>5685</v>
      </c>
      <c r="BH458" s="36"/>
    </row>
    <row r="459" spans="1:62" s="46" customFormat="1" ht="48">
      <c r="A459" s="46" t="s">
        <v>5571</v>
      </c>
      <c r="B459" s="46" t="s">
        <v>5822</v>
      </c>
      <c r="C459" s="46" t="s">
        <v>5831</v>
      </c>
      <c r="D459" s="68">
        <v>176</v>
      </c>
      <c r="E459" s="46">
        <v>1</v>
      </c>
      <c r="F459" s="46" t="s">
        <v>5572</v>
      </c>
      <c r="G459" s="46" t="s">
        <v>5684</v>
      </c>
      <c r="J459" s="46" t="s">
        <v>31</v>
      </c>
      <c r="N459" s="117"/>
      <c r="O459" s="118"/>
      <c r="P459" s="119"/>
      <c r="Q459" s="120"/>
      <c r="R459" s="80"/>
      <c r="S459" s="126"/>
      <c r="T459" s="81"/>
      <c r="U459" s="118"/>
      <c r="V459" s="121"/>
      <c r="W459" s="122"/>
      <c r="X459" s="123"/>
      <c r="Y459" s="80"/>
      <c r="Z459" s="81"/>
      <c r="AA459" s="124"/>
      <c r="AB459" s="65"/>
      <c r="AD459" s="46" t="s">
        <v>5683</v>
      </c>
      <c r="AE459" s="37"/>
      <c r="AF459" s="36" t="s">
        <v>5748</v>
      </c>
      <c r="AG459" s="36"/>
      <c r="AI459" s="46" t="s">
        <v>5684</v>
      </c>
      <c r="AL459" s="46" t="s">
        <v>31</v>
      </c>
      <c r="AP459" s="125"/>
      <c r="AQ459" s="118"/>
      <c r="AR459" s="119"/>
      <c r="AS459" s="120"/>
      <c r="AT459" s="80"/>
      <c r="AU459" s="81"/>
      <c r="AV459" s="118"/>
      <c r="AW459" s="121"/>
      <c r="AX459" s="122"/>
      <c r="AY459" s="123">
        <v>2</v>
      </c>
      <c r="AZ459" s="80" t="s">
        <v>4965</v>
      </c>
      <c r="BA459" s="81"/>
      <c r="BB459" s="124">
        <v>1</v>
      </c>
      <c r="BF459" s="37"/>
      <c r="BG459" s="36" t="s">
        <v>5711</v>
      </c>
      <c r="BH459" s="36"/>
    </row>
    <row r="460" spans="1:62" s="46" customFormat="1" ht="36">
      <c r="A460" s="46" t="s">
        <v>5571</v>
      </c>
      <c r="B460" s="46" t="s">
        <v>5823</v>
      </c>
      <c r="C460" s="46" t="s">
        <v>5831</v>
      </c>
      <c r="D460" s="68">
        <v>177</v>
      </c>
      <c r="E460" s="46">
        <v>1</v>
      </c>
      <c r="F460" s="46" t="s">
        <v>5572</v>
      </c>
      <c r="G460" s="46" t="s">
        <v>5684</v>
      </c>
      <c r="J460" s="46" t="s">
        <v>31</v>
      </c>
      <c r="N460" s="117"/>
      <c r="O460" s="118"/>
      <c r="P460" s="119"/>
      <c r="Q460" s="120"/>
      <c r="R460" s="80"/>
      <c r="S460" s="126"/>
      <c r="T460" s="81"/>
      <c r="U460" s="118"/>
      <c r="V460" s="121"/>
      <c r="W460" s="122"/>
      <c r="X460" s="123"/>
      <c r="Y460" s="80"/>
      <c r="Z460" s="81"/>
      <c r="AA460" s="124"/>
      <c r="AB460" s="65"/>
      <c r="AD460" s="46" t="s">
        <v>5683</v>
      </c>
      <c r="AE460" s="37"/>
      <c r="AF460" s="36" t="s">
        <v>5748</v>
      </c>
      <c r="AG460" s="36"/>
      <c r="AI460" s="46" t="s">
        <v>5684</v>
      </c>
      <c r="AL460" s="46" t="s">
        <v>31</v>
      </c>
      <c r="AP460" s="125"/>
      <c r="AQ460" s="118"/>
      <c r="AR460" s="119"/>
      <c r="AS460" s="120"/>
      <c r="AT460" s="80"/>
      <c r="AU460" s="81"/>
      <c r="AV460" s="118"/>
      <c r="AW460" s="121"/>
      <c r="AX460" s="122"/>
      <c r="AY460" s="123">
        <v>1</v>
      </c>
      <c r="AZ460" s="80" t="s">
        <v>4965</v>
      </c>
      <c r="BA460" s="81"/>
      <c r="BB460" s="124">
        <v>1</v>
      </c>
      <c r="BF460" s="37"/>
      <c r="BG460" s="36" t="s">
        <v>5712</v>
      </c>
      <c r="BH460" s="36"/>
    </row>
    <row r="461" spans="1:62" s="46" customFormat="1" ht="15.75">
      <c r="A461" s="46" t="s">
        <v>5571</v>
      </c>
      <c r="B461" s="46" t="s">
        <v>5824</v>
      </c>
      <c r="C461" s="46" t="s">
        <v>5831</v>
      </c>
      <c r="D461" s="68">
        <v>178</v>
      </c>
      <c r="E461" s="46">
        <v>4</v>
      </c>
      <c r="F461" s="46" t="s">
        <v>5572</v>
      </c>
      <c r="G461" s="46" t="s">
        <v>5686</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5713</v>
      </c>
      <c r="AG461" s="36"/>
      <c r="AP461" s="125"/>
      <c r="AQ461" s="118"/>
      <c r="AR461" s="119"/>
      <c r="AS461" s="120"/>
      <c r="AT461" s="80"/>
      <c r="AU461" s="81"/>
      <c r="AV461" s="118"/>
      <c r="AW461" s="121"/>
      <c r="AX461" s="122"/>
      <c r="AY461" s="123"/>
      <c r="AZ461" s="80"/>
      <c r="BA461" s="81"/>
      <c r="BB461" s="124"/>
      <c r="BF461" s="37"/>
      <c r="BG461" s="36"/>
      <c r="BH461" s="36"/>
    </row>
    <row r="462" spans="1:62" s="46" customFormat="1" ht="60">
      <c r="A462" s="46" t="s">
        <v>5571</v>
      </c>
      <c r="B462" s="46" t="s">
        <v>5825</v>
      </c>
      <c r="C462" s="46" t="s">
        <v>5831</v>
      </c>
      <c r="D462" s="68">
        <v>179</v>
      </c>
      <c r="E462" s="46">
        <v>3</v>
      </c>
      <c r="F462" s="46" t="s">
        <v>5572</v>
      </c>
      <c r="G462" s="46" t="s">
        <v>5687</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5688</v>
      </c>
      <c r="AE462" s="37" t="s">
        <v>5750</v>
      </c>
      <c r="AF462" s="36" t="s">
        <v>5749</v>
      </c>
      <c r="AG462" s="36"/>
      <c r="AP462" s="125"/>
      <c r="AQ462" s="118"/>
      <c r="AR462" s="119"/>
      <c r="AS462" s="120"/>
      <c r="AT462" s="80"/>
      <c r="AU462" s="81"/>
      <c r="AV462" s="118"/>
      <c r="AW462" s="121"/>
      <c r="AX462" s="122"/>
      <c r="AY462" s="123"/>
      <c r="AZ462" s="80"/>
      <c r="BA462" s="81"/>
      <c r="BB462" s="124"/>
      <c r="BF462" s="37"/>
      <c r="BG462" s="36"/>
      <c r="BH462" s="36"/>
      <c r="BJ462" s="46" t="s">
        <v>5837</v>
      </c>
    </row>
    <row r="463" spans="1:62" s="46" customFormat="1" ht="36">
      <c r="A463" s="46" t="s">
        <v>5571</v>
      </c>
      <c r="B463" s="46" t="s">
        <v>5826</v>
      </c>
      <c r="C463" s="46" t="s">
        <v>5831</v>
      </c>
      <c r="D463" s="68">
        <v>180</v>
      </c>
      <c r="E463" s="46">
        <v>3</v>
      </c>
      <c r="F463" s="46" t="s">
        <v>5572</v>
      </c>
      <c r="G463" s="46" t="s">
        <v>5689</v>
      </c>
      <c r="J463" s="46" t="s">
        <v>28</v>
      </c>
      <c r="N463" s="117"/>
      <c r="O463" s="118"/>
      <c r="P463" s="119"/>
      <c r="Q463" s="120"/>
      <c r="R463" s="80"/>
      <c r="S463" s="126"/>
      <c r="T463" s="81"/>
      <c r="U463" s="118"/>
      <c r="V463" s="121"/>
      <c r="W463" s="122"/>
      <c r="X463" s="123"/>
      <c r="Y463" s="80"/>
      <c r="Z463" s="81"/>
      <c r="AA463" s="124"/>
      <c r="AB463" s="65"/>
      <c r="AD463" s="46" t="s">
        <v>5517</v>
      </c>
      <c r="AE463" s="37"/>
      <c r="AF463" s="36" t="s">
        <v>5714</v>
      </c>
      <c r="AG463" s="36"/>
      <c r="AP463" s="125"/>
      <c r="AQ463" s="118"/>
      <c r="AR463" s="119"/>
      <c r="AS463" s="120"/>
      <c r="AT463" s="80"/>
      <c r="AU463" s="81"/>
      <c r="AV463" s="118"/>
      <c r="AW463" s="121"/>
      <c r="AX463" s="122"/>
      <c r="AY463" s="123"/>
      <c r="AZ463" s="80"/>
      <c r="BA463" s="81"/>
      <c r="BB463" s="124"/>
      <c r="BF463" s="37"/>
      <c r="BG463" s="36"/>
      <c r="BH463" s="36"/>
    </row>
    <row r="464" spans="1:62" s="46" customFormat="1" ht="36">
      <c r="A464" s="46" t="s">
        <v>5571</v>
      </c>
      <c r="B464" s="46" t="s">
        <v>5827</v>
      </c>
      <c r="C464" s="46" t="s">
        <v>5831</v>
      </c>
      <c r="D464" s="68">
        <v>181</v>
      </c>
      <c r="E464" s="46">
        <v>3</v>
      </c>
      <c r="F464" s="46" t="s">
        <v>5572</v>
      </c>
      <c r="G464" s="46" t="s">
        <v>5690</v>
      </c>
      <c r="J464" s="46" t="s">
        <v>28</v>
      </c>
      <c r="N464" s="117"/>
      <c r="O464" s="118"/>
      <c r="P464" s="119"/>
      <c r="Q464" s="120"/>
      <c r="R464" s="80"/>
      <c r="S464" s="126"/>
      <c r="T464" s="81"/>
      <c r="U464" s="118"/>
      <c r="V464" s="121"/>
      <c r="W464" s="122"/>
      <c r="X464" s="123"/>
      <c r="Y464" s="80"/>
      <c r="Z464" s="81"/>
      <c r="AA464" s="124"/>
      <c r="AB464" s="65"/>
      <c r="AD464" s="46" t="s">
        <v>4333</v>
      </c>
      <c r="AE464" s="37"/>
      <c r="AF464" s="36" t="s">
        <v>5715</v>
      </c>
      <c r="AG464" s="36"/>
      <c r="AP464" s="125"/>
      <c r="AQ464" s="118"/>
      <c r="AR464" s="119"/>
      <c r="AS464" s="120"/>
      <c r="AT464" s="80"/>
      <c r="AU464" s="81"/>
      <c r="AV464" s="118"/>
      <c r="AW464" s="121"/>
      <c r="AX464" s="122"/>
      <c r="AY464" s="123"/>
      <c r="AZ464" s="80"/>
      <c r="BA464" s="81"/>
      <c r="BB464" s="124"/>
      <c r="BF464" s="37"/>
      <c r="BG464" s="36"/>
      <c r="BH464" s="36"/>
    </row>
    <row r="465" spans="1:60" s="46" customFormat="1" ht="36">
      <c r="A465" s="46" t="s">
        <v>5571</v>
      </c>
      <c r="B465" s="46" t="s">
        <v>5828</v>
      </c>
      <c r="C465" s="46" t="s">
        <v>5831</v>
      </c>
      <c r="D465" s="68">
        <v>182</v>
      </c>
      <c r="E465" s="46">
        <v>2</v>
      </c>
      <c r="F465" s="46" t="s">
        <v>5572</v>
      </c>
      <c r="G465" s="46" t="s">
        <v>5691</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5692</v>
      </c>
      <c r="AG465" s="36"/>
      <c r="AP465" s="125"/>
      <c r="AQ465" s="118"/>
      <c r="AR465" s="119"/>
      <c r="AS465" s="120"/>
      <c r="AT465" s="80"/>
      <c r="AU465" s="81"/>
      <c r="AV465" s="118"/>
      <c r="AW465" s="121"/>
      <c r="AX465" s="122"/>
      <c r="AY465" s="123"/>
      <c r="AZ465" s="80"/>
      <c r="BA465" s="81"/>
      <c r="BB465" s="124"/>
      <c r="BF465" s="37"/>
      <c r="BG465" s="36"/>
      <c r="BH465" s="36"/>
    </row>
    <row r="466" spans="1:60" s="46" customFormat="1" ht="36">
      <c r="A466" s="46" t="s">
        <v>5571</v>
      </c>
      <c r="B466" s="46" t="s">
        <v>5829</v>
      </c>
      <c r="C466" s="46" t="s">
        <v>5831</v>
      </c>
      <c r="D466" s="68">
        <v>183</v>
      </c>
      <c r="E466" s="46">
        <v>2</v>
      </c>
      <c r="F466" s="46" t="s">
        <v>5572</v>
      </c>
      <c r="G466" s="46" t="s">
        <v>5693</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5716</v>
      </c>
      <c r="AG466" s="36"/>
      <c r="AP466" s="125"/>
      <c r="AQ466" s="118"/>
      <c r="AR466" s="119"/>
      <c r="AS466" s="120"/>
      <c r="AT466" s="80"/>
      <c r="AU466" s="81"/>
      <c r="AV466" s="118"/>
      <c r="AW466" s="121"/>
      <c r="AX466" s="122"/>
      <c r="AY466" s="123"/>
      <c r="AZ466" s="80"/>
      <c r="BA466" s="81"/>
      <c r="BB466" s="124"/>
      <c r="BF466" s="37"/>
      <c r="BG466" s="36"/>
      <c r="BH466" s="36"/>
    </row>
    <row r="467" spans="1:60" ht="24">
      <c r="A467" s="36" t="s">
        <v>5900</v>
      </c>
      <c r="B467" s="36" t="s">
        <v>5901</v>
      </c>
      <c r="C467" s="36" t="s">
        <v>5942</v>
      </c>
      <c r="D467" s="37">
        <v>184</v>
      </c>
      <c r="E467" s="36">
        <v>2</v>
      </c>
      <c r="F467" s="36" t="s">
        <v>5838</v>
      </c>
      <c r="G467" s="36" t="s">
        <v>5839</v>
      </c>
      <c r="J467" s="36" t="s">
        <v>27</v>
      </c>
      <c r="K467" s="36" t="s">
        <v>4052</v>
      </c>
      <c r="L467" s="36">
        <v>0</v>
      </c>
      <c r="N467" s="75">
        <v>1</v>
      </c>
      <c r="P467" s="77">
        <v>1</v>
      </c>
      <c r="Q467" s="78">
        <v>1</v>
      </c>
      <c r="AB467" s="36" t="s">
        <v>4945</v>
      </c>
      <c r="AD467" s="36" t="s">
        <v>4161</v>
      </c>
      <c r="AF467" s="36" t="s">
        <v>5840</v>
      </c>
      <c r="AP467" s="86"/>
      <c r="AQ467" s="88"/>
      <c r="AR467" s="89"/>
      <c r="AS467" s="90"/>
      <c r="AV467" s="88"/>
      <c r="AW467" s="96"/>
      <c r="AX467" s="97"/>
      <c r="AY467" s="93"/>
      <c r="BB467" s="94"/>
    </row>
    <row r="468" spans="1:60" ht="36">
      <c r="A468" s="36" t="s">
        <v>5900</v>
      </c>
      <c r="B468" s="36" t="s">
        <v>5902</v>
      </c>
      <c r="C468" s="36" t="s">
        <v>5942</v>
      </c>
      <c r="D468" s="37">
        <v>185</v>
      </c>
      <c r="E468" s="36">
        <v>2</v>
      </c>
      <c r="F468" s="36" t="s">
        <v>5838</v>
      </c>
      <c r="G468" s="36" t="s">
        <v>5841</v>
      </c>
      <c r="J468" s="36" t="s">
        <v>4111</v>
      </c>
      <c r="K468" s="36" t="s">
        <v>4052</v>
      </c>
      <c r="L468" s="36">
        <v>3</v>
      </c>
      <c r="N468" s="75">
        <v>0</v>
      </c>
      <c r="AD468" s="36" t="s">
        <v>4143</v>
      </c>
      <c r="AF468" s="36" t="s">
        <v>5944</v>
      </c>
      <c r="AP468" s="86"/>
      <c r="AQ468" s="88"/>
      <c r="AR468" s="89"/>
      <c r="AS468" s="90"/>
      <c r="AV468" s="88"/>
      <c r="AW468" s="96"/>
      <c r="AX468" s="97"/>
      <c r="AY468" s="93"/>
      <c r="BB468" s="94"/>
    </row>
    <row r="469" spans="1:60">
      <c r="A469" s="36" t="s">
        <v>5900</v>
      </c>
      <c r="B469" s="36" t="s">
        <v>5903</v>
      </c>
      <c r="C469" s="36" t="s">
        <v>5942</v>
      </c>
      <c r="D469" s="37">
        <v>186</v>
      </c>
      <c r="E469" s="36">
        <v>2</v>
      </c>
      <c r="F469" s="36" t="s">
        <v>5838</v>
      </c>
      <c r="G469" s="36" t="s">
        <v>5842</v>
      </c>
      <c r="J469" s="36" t="s">
        <v>27</v>
      </c>
      <c r="K469" s="36" t="s">
        <v>4053</v>
      </c>
      <c r="L469" s="36">
        <v>0</v>
      </c>
      <c r="N469" s="75">
        <v>2</v>
      </c>
      <c r="O469" s="76">
        <v>1</v>
      </c>
      <c r="P469" s="77">
        <v>1</v>
      </c>
      <c r="AB469" s="36" t="s">
        <v>4946</v>
      </c>
      <c r="AD469" s="36" t="s">
        <v>4194</v>
      </c>
      <c r="AF469" s="36" t="s">
        <v>5945</v>
      </c>
      <c r="AP469" s="86"/>
      <c r="AQ469" s="88"/>
      <c r="AR469" s="89"/>
      <c r="AS469" s="90"/>
      <c r="AV469" s="88"/>
      <c r="AW469" s="96"/>
      <c r="AX469" s="97"/>
      <c r="AY469" s="93"/>
      <c r="BB469" s="94"/>
    </row>
    <row r="470" spans="1:60" ht="48">
      <c r="A470" s="36" t="s">
        <v>5900</v>
      </c>
      <c r="B470" s="36" t="s">
        <v>5904</v>
      </c>
      <c r="C470" s="36" t="s">
        <v>5942</v>
      </c>
      <c r="D470" s="37">
        <v>187</v>
      </c>
      <c r="E470" s="36">
        <v>2</v>
      </c>
      <c r="F470" s="36" t="s">
        <v>5838</v>
      </c>
      <c r="G470" s="36" t="s">
        <v>5843</v>
      </c>
      <c r="J470" s="36" t="s">
        <v>4111</v>
      </c>
      <c r="K470" s="36" t="s">
        <v>4053</v>
      </c>
      <c r="L470" s="36">
        <v>3</v>
      </c>
      <c r="N470" s="75">
        <v>0</v>
      </c>
      <c r="AD470" s="36" t="s">
        <v>4143</v>
      </c>
      <c r="AF470" s="36" t="s">
        <v>5946</v>
      </c>
      <c r="AP470" s="86"/>
      <c r="AQ470" s="88"/>
      <c r="AR470" s="89"/>
      <c r="AS470" s="90"/>
      <c r="AV470" s="88"/>
      <c r="AW470" s="96"/>
      <c r="AX470" s="97"/>
      <c r="AY470" s="93"/>
      <c r="BB470" s="94"/>
    </row>
    <row r="471" spans="1:60" ht="24">
      <c r="A471" s="36" t="s">
        <v>5900</v>
      </c>
      <c r="B471" s="36" t="s">
        <v>5905</v>
      </c>
      <c r="C471" s="36" t="s">
        <v>5942</v>
      </c>
      <c r="D471" s="37">
        <v>188</v>
      </c>
      <c r="E471" s="36">
        <v>2</v>
      </c>
      <c r="F471" s="36" t="s">
        <v>5838</v>
      </c>
      <c r="G471" s="36" t="s">
        <v>5844</v>
      </c>
      <c r="J471" s="36" t="s">
        <v>4111</v>
      </c>
      <c r="K471" s="36" t="s">
        <v>4055</v>
      </c>
      <c r="L471" s="36">
        <v>0</v>
      </c>
      <c r="N471" s="75">
        <v>1</v>
      </c>
      <c r="R471" s="79">
        <v>1</v>
      </c>
      <c r="AB471" s="36" t="s">
        <v>4061</v>
      </c>
      <c r="AD471" s="36" t="s">
        <v>4143</v>
      </c>
      <c r="AF471" s="36" t="s">
        <v>5947</v>
      </c>
      <c r="AP471" s="86"/>
      <c r="AQ471" s="88"/>
      <c r="AR471" s="89"/>
      <c r="AS471" s="90"/>
      <c r="AV471" s="88"/>
      <c r="AW471" s="96"/>
      <c r="AX471" s="97"/>
      <c r="AY471" s="93"/>
      <c r="BB471" s="94"/>
    </row>
    <row r="472" spans="1:60" ht="36">
      <c r="A472" s="36" t="s">
        <v>5900</v>
      </c>
      <c r="B472" s="36" t="s">
        <v>5906</v>
      </c>
      <c r="C472" s="36" t="s">
        <v>5942</v>
      </c>
      <c r="D472" s="37">
        <v>189</v>
      </c>
      <c r="E472" s="36">
        <v>2</v>
      </c>
      <c r="F472" s="36" t="s">
        <v>5838</v>
      </c>
      <c r="G472" s="36" t="s">
        <v>5845</v>
      </c>
      <c r="J472" s="36" t="s">
        <v>4111</v>
      </c>
      <c r="K472" s="36" t="s">
        <v>4055</v>
      </c>
      <c r="L472" s="36">
        <v>3</v>
      </c>
      <c r="N472" s="75">
        <v>0</v>
      </c>
      <c r="AD472" s="36" t="s">
        <v>4143</v>
      </c>
      <c r="AF472" s="36" t="s">
        <v>5948</v>
      </c>
      <c r="AP472" s="86"/>
      <c r="AQ472" s="88"/>
      <c r="AR472" s="89"/>
      <c r="AS472" s="90"/>
      <c r="AV472" s="88"/>
      <c r="AW472" s="96"/>
      <c r="AX472" s="97"/>
      <c r="AY472" s="93"/>
      <c r="BB472" s="94"/>
    </row>
    <row r="473" spans="1:60" ht="36">
      <c r="A473" s="36" t="s">
        <v>5900</v>
      </c>
      <c r="B473" s="36" t="s">
        <v>5907</v>
      </c>
      <c r="C473" s="36" t="s">
        <v>5942</v>
      </c>
      <c r="D473" s="37">
        <v>190</v>
      </c>
      <c r="E473" s="36">
        <v>2</v>
      </c>
      <c r="F473" s="36" t="s">
        <v>5838</v>
      </c>
      <c r="G473" s="36" t="s">
        <v>5846</v>
      </c>
      <c r="J473" s="36" t="s">
        <v>4166</v>
      </c>
      <c r="K473" s="36" t="s">
        <v>4054</v>
      </c>
      <c r="L473" s="36">
        <v>0</v>
      </c>
      <c r="S473" s="126">
        <v>1</v>
      </c>
      <c r="AB473" s="36" t="s">
        <v>4062</v>
      </c>
      <c r="AD473" s="36" t="s">
        <v>4266</v>
      </c>
      <c r="AF473" s="36" t="s">
        <v>5847</v>
      </c>
      <c r="AP473" s="86"/>
      <c r="AQ473" s="88"/>
      <c r="AR473" s="89"/>
      <c r="AS473" s="90"/>
      <c r="AV473" s="88"/>
      <c r="AW473" s="96"/>
      <c r="AX473" s="97"/>
      <c r="AY473" s="93"/>
      <c r="BB473" s="94"/>
    </row>
    <row r="474" spans="1:60" ht="48">
      <c r="A474" s="36" t="s">
        <v>5900</v>
      </c>
      <c r="B474" s="36" t="s">
        <v>5908</v>
      </c>
      <c r="C474" s="36" t="s">
        <v>5942</v>
      </c>
      <c r="D474" s="37">
        <v>191</v>
      </c>
      <c r="E474" s="36">
        <v>2</v>
      </c>
      <c r="F474" s="36" t="s">
        <v>5838</v>
      </c>
      <c r="G474" s="36" t="s">
        <v>5848</v>
      </c>
      <c r="J474" s="36" t="s">
        <v>4111</v>
      </c>
      <c r="K474" s="36" t="s">
        <v>4054</v>
      </c>
      <c r="L474" s="36">
        <v>3</v>
      </c>
      <c r="N474" s="75">
        <v>0</v>
      </c>
      <c r="AD474" s="36" t="s">
        <v>5849</v>
      </c>
      <c r="AF474" s="36" t="s">
        <v>5949</v>
      </c>
      <c r="AP474" s="86"/>
      <c r="AQ474" s="88"/>
      <c r="AR474" s="89"/>
      <c r="AS474" s="90"/>
      <c r="AV474" s="88"/>
      <c r="AW474" s="96"/>
      <c r="AX474" s="97"/>
      <c r="AY474" s="93"/>
      <c r="BB474" s="94"/>
    </row>
    <row r="475" spans="1:60" ht="36">
      <c r="A475" s="36" t="s">
        <v>5900</v>
      </c>
      <c r="B475" s="36" t="s">
        <v>5909</v>
      </c>
      <c r="C475" s="36" t="s">
        <v>5942</v>
      </c>
      <c r="D475" s="37">
        <v>192</v>
      </c>
      <c r="E475" s="36">
        <v>2</v>
      </c>
      <c r="F475" s="36" t="s">
        <v>5838</v>
      </c>
      <c r="G475" s="36" t="s">
        <v>5850</v>
      </c>
      <c r="J475" s="36" t="s">
        <v>4166</v>
      </c>
      <c r="K475" s="36" t="s">
        <v>4056</v>
      </c>
      <c r="L475" s="36">
        <v>0</v>
      </c>
      <c r="S475" s="126">
        <v>3</v>
      </c>
      <c r="AB475" s="36" t="s">
        <v>5851</v>
      </c>
      <c r="AD475" s="36" t="s">
        <v>4266</v>
      </c>
      <c r="AF475" s="36" t="s">
        <v>5852</v>
      </c>
      <c r="AP475" s="86"/>
      <c r="AQ475" s="88"/>
      <c r="AR475" s="89"/>
      <c r="AS475" s="90"/>
      <c r="AV475" s="88"/>
      <c r="AW475" s="96"/>
      <c r="AX475" s="97"/>
      <c r="AY475" s="93"/>
      <c r="BB475" s="94"/>
    </row>
    <row r="476" spans="1:60" ht="24">
      <c r="A476" s="36" t="s">
        <v>5900</v>
      </c>
      <c r="B476" s="36" t="s">
        <v>5910</v>
      </c>
      <c r="C476" s="36" t="s">
        <v>5942</v>
      </c>
      <c r="D476" s="37">
        <v>193</v>
      </c>
      <c r="E476" s="36">
        <v>2</v>
      </c>
      <c r="F476" s="36" t="s">
        <v>5838</v>
      </c>
      <c r="G476" s="36" t="s">
        <v>5853</v>
      </c>
      <c r="J476" s="36" t="s">
        <v>4111</v>
      </c>
      <c r="K476" s="36" t="s">
        <v>4056</v>
      </c>
      <c r="L476" s="36">
        <v>3</v>
      </c>
      <c r="N476" s="75">
        <v>0</v>
      </c>
      <c r="AD476" s="36" t="s">
        <v>4143</v>
      </c>
      <c r="AF476" s="36" t="s">
        <v>5950</v>
      </c>
      <c r="AP476" s="86"/>
      <c r="AQ476" s="88"/>
      <c r="AR476" s="89"/>
      <c r="AS476" s="90"/>
      <c r="AV476" s="88"/>
      <c r="AW476" s="96"/>
      <c r="AX476" s="97"/>
      <c r="AY476" s="93"/>
      <c r="BB476" s="94"/>
    </row>
    <row r="477" spans="1:60">
      <c r="A477" s="36" t="s">
        <v>5900</v>
      </c>
      <c r="B477" s="36" t="s">
        <v>5911</v>
      </c>
      <c r="C477" s="36" t="s">
        <v>5942</v>
      </c>
      <c r="D477" s="37">
        <v>194</v>
      </c>
      <c r="E477" s="36">
        <v>2</v>
      </c>
      <c r="F477" s="36" t="s">
        <v>5838</v>
      </c>
      <c r="G477" s="36" t="s">
        <v>4277</v>
      </c>
      <c r="J477" s="36" t="s">
        <v>27</v>
      </c>
      <c r="K477" s="36" t="s">
        <v>26</v>
      </c>
      <c r="L477" s="36">
        <v>2</v>
      </c>
      <c r="N477" s="75">
        <v>0</v>
      </c>
      <c r="AD477" s="36" t="s">
        <v>4170</v>
      </c>
      <c r="AF477" s="36" t="s">
        <v>5854</v>
      </c>
      <c r="AP477" s="86"/>
      <c r="AQ477" s="88"/>
      <c r="AR477" s="89"/>
      <c r="AS477" s="90"/>
      <c r="AV477" s="88"/>
      <c r="AW477" s="96"/>
      <c r="AX477" s="97"/>
      <c r="AY477" s="93"/>
      <c r="BB477" s="94"/>
    </row>
    <row r="478" spans="1:60" ht="60">
      <c r="A478" s="36" t="s">
        <v>5900</v>
      </c>
      <c r="B478" s="36" t="s">
        <v>5912</v>
      </c>
      <c r="C478" s="36" t="s">
        <v>5942</v>
      </c>
      <c r="D478" s="37">
        <v>195</v>
      </c>
      <c r="E478" s="36">
        <v>1</v>
      </c>
      <c r="F478" s="36" t="s">
        <v>5838</v>
      </c>
      <c r="G478" s="36" t="s">
        <v>5838</v>
      </c>
      <c r="H478" s="36" t="s">
        <v>4563</v>
      </c>
      <c r="J478" s="36" t="s">
        <v>4472</v>
      </c>
      <c r="AF478" s="36" t="s">
        <v>5951</v>
      </c>
      <c r="AI478" s="36" t="s">
        <v>5838</v>
      </c>
      <c r="AJ478" s="36" t="s">
        <v>4564</v>
      </c>
      <c r="AL478" s="36" t="s">
        <v>4472</v>
      </c>
      <c r="AP478" s="86"/>
      <c r="AQ478" s="88"/>
      <c r="AR478" s="89"/>
      <c r="AS478" s="90"/>
      <c r="AV478" s="88"/>
      <c r="AW478" s="96"/>
      <c r="AX478" s="97"/>
      <c r="AY478" s="93"/>
      <c r="BB478" s="94"/>
      <c r="BG478" s="36" t="s">
        <v>5959</v>
      </c>
    </row>
    <row r="479" spans="1:60" ht="36">
      <c r="A479" s="36" t="s">
        <v>5900</v>
      </c>
      <c r="B479" s="36" t="s">
        <v>5913</v>
      </c>
      <c r="C479" s="36" t="s">
        <v>5942</v>
      </c>
      <c r="D479" s="37">
        <v>196</v>
      </c>
      <c r="E479" s="36">
        <v>1</v>
      </c>
      <c r="F479" s="36" t="s">
        <v>5838</v>
      </c>
      <c r="G479" s="36" t="s">
        <v>5855</v>
      </c>
      <c r="J479" s="36" t="s">
        <v>4473</v>
      </c>
      <c r="L479" s="36">
        <v>1</v>
      </c>
      <c r="Z479" s="81">
        <v>6</v>
      </c>
      <c r="AI479" s="36" t="s">
        <v>5855</v>
      </c>
      <c r="AL479" s="36" t="s">
        <v>4473</v>
      </c>
      <c r="AN479" s="36">
        <v>1</v>
      </c>
      <c r="AP479" s="86"/>
      <c r="AQ479" s="88"/>
      <c r="AR479" s="89"/>
      <c r="AS479" s="90"/>
      <c r="AV479" s="88"/>
      <c r="AW479" s="96"/>
      <c r="AX479" s="97"/>
      <c r="AY479" s="93"/>
      <c r="BB479" s="94"/>
      <c r="BG479" s="36" t="s">
        <v>5856</v>
      </c>
    </row>
    <row r="480" spans="1:60" ht="36">
      <c r="A480" s="36" t="s">
        <v>5900</v>
      </c>
      <c r="B480" s="36" t="s">
        <v>5914</v>
      </c>
      <c r="C480" s="36" t="s">
        <v>5942</v>
      </c>
      <c r="D480" s="37">
        <v>197</v>
      </c>
      <c r="E480" s="36">
        <v>1</v>
      </c>
      <c r="F480" s="36" t="s">
        <v>5838</v>
      </c>
      <c r="G480" s="36" t="s">
        <v>5857</v>
      </c>
      <c r="J480" s="36" t="s">
        <v>4473</v>
      </c>
      <c r="L480" s="36">
        <v>2</v>
      </c>
      <c r="Z480" s="81">
        <v>6</v>
      </c>
      <c r="AI480" s="36" t="s">
        <v>5857</v>
      </c>
      <c r="AL480" s="36" t="s">
        <v>4473</v>
      </c>
      <c r="AN480" s="36">
        <v>2</v>
      </c>
      <c r="AP480" s="86"/>
      <c r="AQ480" s="88"/>
      <c r="AR480" s="89"/>
      <c r="AS480" s="90"/>
      <c r="AV480" s="88"/>
      <c r="AW480" s="96"/>
      <c r="AX480" s="97"/>
      <c r="AY480" s="93"/>
      <c r="BB480" s="94"/>
      <c r="BG480" s="36" t="s">
        <v>5858</v>
      </c>
    </row>
    <row r="481" spans="1:59">
      <c r="A481" s="36" t="s">
        <v>5900</v>
      </c>
      <c r="B481" s="36" t="s">
        <v>5915</v>
      </c>
      <c r="C481" s="36" t="s">
        <v>5942</v>
      </c>
      <c r="D481" s="37">
        <v>198</v>
      </c>
      <c r="E481" s="36">
        <v>1</v>
      </c>
      <c r="F481" s="36" t="s">
        <v>5838</v>
      </c>
      <c r="G481" s="36" t="s">
        <v>5859</v>
      </c>
      <c r="J481" s="36" t="s">
        <v>4473</v>
      </c>
      <c r="L481" s="36">
        <v>3</v>
      </c>
      <c r="Z481" s="81">
        <v>7</v>
      </c>
      <c r="AI481" s="36" t="s">
        <v>5859</v>
      </c>
      <c r="AL481" s="36" t="s">
        <v>4473</v>
      </c>
      <c r="AN481" s="36">
        <v>3</v>
      </c>
      <c r="AP481" s="86"/>
      <c r="AQ481" s="88"/>
      <c r="AR481" s="89"/>
      <c r="AS481" s="90"/>
      <c r="AV481" s="88"/>
      <c r="AW481" s="96"/>
      <c r="AX481" s="97"/>
      <c r="AY481" s="93"/>
      <c r="BB481" s="94"/>
      <c r="BG481" s="36" t="s">
        <v>5860</v>
      </c>
    </row>
    <row r="482" spans="1:59" ht="48">
      <c r="A482" s="36" t="s">
        <v>5900</v>
      </c>
      <c r="B482" s="36" t="s">
        <v>5916</v>
      </c>
      <c r="C482" s="36" t="s">
        <v>5942</v>
      </c>
      <c r="D482" s="37">
        <v>199</v>
      </c>
      <c r="E482" s="36">
        <v>1</v>
      </c>
      <c r="F482" s="36" t="s">
        <v>5838</v>
      </c>
      <c r="G482" s="36" t="s">
        <v>5861</v>
      </c>
      <c r="J482" s="36" t="s">
        <v>4475</v>
      </c>
      <c r="L482" s="36">
        <v>1</v>
      </c>
      <c r="Y482" s="79" t="s">
        <v>38</v>
      </c>
      <c r="AF482" s="36" t="s">
        <v>5862</v>
      </c>
      <c r="AI482" s="36" t="s">
        <v>5861</v>
      </c>
      <c r="AL482" s="36" t="s">
        <v>4475</v>
      </c>
      <c r="AN482" s="36">
        <v>1</v>
      </c>
      <c r="AP482" s="86"/>
      <c r="AQ482" s="88"/>
      <c r="AR482" s="89"/>
      <c r="AS482" s="90"/>
      <c r="AV482" s="88"/>
      <c r="AW482" s="96"/>
      <c r="AX482" s="97"/>
      <c r="AY482" s="93"/>
      <c r="BB482" s="94"/>
      <c r="BG482" s="36" t="s">
        <v>5960</v>
      </c>
    </row>
    <row r="483" spans="1:59" ht="24">
      <c r="A483" s="36" t="s">
        <v>5900</v>
      </c>
      <c r="B483" s="36" t="s">
        <v>5917</v>
      </c>
      <c r="C483" s="36" t="s">
        <v>5942</v>
      </c>
      <c r="D483" s="37">
        <v>200</v>
      </c>
      <c r="E483" s="36">
        <v>1</v>
      </c>
      <c r="F483" s="36" t="s">
        <v>5838</v>
      </c>
      <c r="G483" s="36" t="s">
        <v>5863</v>
      </c>
      <c r="J483" s="36" t="s">
        <v>4475</v>
      </c>
      <c r="L483" s="36">
        <v>2</v>
      </c>
      <c r="Y483" s="79" t="s">
        <v>38</v>
      </c>
      <c r="AF483" s="36" t="s">
        <v>5952</v>
      </c>
      <c r="AI483" s="36" t="s">
        <v>5863</v>
      </c>
      <c r="AL483" s="36" t="s">
        <v>4475</v>
      </c>
      <c r="AN483" s="36">
        <v>2</v>
      </c>
      <c r="AP483" s="86"/>
      <c r="AQ483" s="88"/>
      <c r="AR483" s="89"/>
      <c r="AS483" s="90"/>
      <c r="AV483" s="88"/>
      <c r="AW483" s="96"/>
      <c r="AX483" s="97"/>
      <c r="AY483" s="93"/>
      <c r="BB483" s="94"/>
      <c r="BG483" s="36" t="s">
        <v>5961</v>
      </c>
    </row>
    <row r="484" spans="1:59" ht="24">
      <c r="A484" s="36" t="s">
        <v>5900</v>
      </c>
      <c r="B484" s="36" t="s">
        <v>5918</v>
      </c>
      <c r="C484" s="36" t="s">
        <v>5942</v>
      </c>
      <c r="D484" s="37">
        <v>201</v>
      </c>
      <c r="E484" s="36">
        <v>1</v>
      </c>
      <c r="F484" s="36" t="s">
        <v>5838</v>
      </c>
      <c r="G484" s="36" t="s">
        <v>5864</v>
      </c>
      <c r="J484" s="36" t="s">
        <v>31</v>
      </c>
      <c r="AD484" s="36" t="s">
        <v>5865</v>
      </c>
      <c r="AI484" s="36" t="s">
        <v>5864</v>
      </c>
      <c r="AL484" s="36" t="s">
        <v>31</v>
      </c>
      <c r="AP484" s="86"/>
      <c r="AQ484" s="88"/>
      <c r="AR484" s="89"/>
      <c r="AS484" s="90"/>
      <c r="AV484" s="88"/>
      <c r="AW484" s="96"/>
      <c r="AX484" s="97"/>
      <c r="AY484" s="93"/>
      <c r="BB484" s="94"/>
      <c r="BE484" s="36" t="s">
        <v>5865</v>
      </c>
      <c r="BG484" s="36" t="s">
        <v>5866</v>
      </c>
    </row>
    <row r="485" spans="1:59" ht="48">
      <c r="A485" s="36" t="s">
        <v>5900</v>
      </c>
      <c r="B485" s="36" t="s">
        <v>5919</v>
      </c>
      <c r="C485" s="36" t="s">
        <v>5942</v>
      </c>
      <c r="D485" s="37">
        <v>202</v>
      </c>
      <c r="E485" s="36">
        <v>1</v>
      </c>
      <c r="F485" s="36" t="s">
        <v>5838</v>
      </c>
      <c r="G485" s="36" t="s">
        <v>5867</v>
      </c>
      <c r="J485" s="36" t="s">
        <v>31</v>
      </c>
      <c r="AD485" s="36" t="s">
        <v>5868</v>
      </c>
      <c r="AI485" s="36" t="s">
        <v>5867</v>
      </c>
      <c r="AL485" s="36" t="s">
        <v>31</v>
      </c>
      <c r="AP485" s="86"/>
      <c r="AQ485" s="88"/>
      <c r="AR485" s="89"/>
      <c r="AS485" s="90"/>
      <c r="AV485" s="88"/>
      <c r="AW485" s="96"/>
      <c r="AX485" s="97"/>
      <c r="AY485" s="93">
        <v>3</v>
      </c>
      <c r="AZ485" s="79">
        <v>2</v>
      </c>
      <c r="BB485" s="94"/>
      <c r="BE485" s="36" t="s">
        <v>5868</v>
      </c>
      <c r="BG485" s="36" t="s">
        <v>5962</v>
      </c>
    </row>
    <row r="486" spans="1:59" ht="48">
      <c r="A486" s="36" t="s">
        <v>5900</v>
      </c>
      <c r="B486" s="36" t="s">
        <v>5920</v>
      </c>
      <c r="C486" s="36" t="s">
        <v>5942</v>
      </c>
      <c r="D486" s="37">
        <v>203</v>
      </c>
      <c r="E486" s="36">
        <v>1</v>
      </c>
      <c r="F486" s="36" t="s">
        <v>5838</v>
      </c>
      <c r="G486" s="36" t="s">
        <v>5867</v>
      </c>
      <c r="J486" s="36" t="s">
        <v>31</v>
      </c>
      <c r="AD486" s="36" t="s">
        <v>5868</v>
      </c>
      <c r="AI486" s="36" t="s">
        <v>5867</v>
      </c>
      <c r="AL486" s="36" t="s">
        <v>31</v>
      </c>
      <c r="AP486" s="86"/>
      <c r="AQ486" s="88"/>
      <c r="AR486" s="89"/>
      <c r="AS486" s="90"/>
      <c r="AV486" s="88"/>
      <c r="AW486" s="96"/>
      <c r="AX486" s="97"/>
      <c r="AY486" s="93">
        <v>3</v>
      </c>
      <c r="AZ486" s="79">
        <v>2</v>
      </c>
      <c r="BB486" s="94"/>
      <c r="BE486" s="36" t="s">
        <v>5868</v>
      </c>
      <c r="BG486" s="36" t="s">
        <v>5963</v>
      </c>
    </row>
    <row r="487" spans="1:59" ht="36">
      <c r="A487" s="36" t="s">
        <v>5900</v>
      </c>
      <c r="B487" s="36" t="s">
        <v>5921</v>
      </c>
      <c r="C487" s="36" t="s">
        <v>5942</v>
      </c>
      <c r="D487" s="37">
        <v>204</v>
      </c>
      <c r="E487" s="36">
        <v>1</v>
      </c>
      <c r="F487" s="36" t="s">
        <v>5838</v>
      </c>
      <c r="G487" s="36" t="s">
        <v>5869</v>
      </c>
      <c r="J487" s="36" t="s">
        <v>31</v>
      </c>
      <c r="AD487" s="36" t="s">
        <v>5868</v>
      </c>
      <c r="AI487" s="36" t="s">
        <v>5869</v>
      </c>
      <c r="AL487" s="36" t="s">
        <v>31</v>
      </c>
      <c r="AP487" s="86"/>
      <c r="AQ487" s="88"/>
      <c r="AR487" s="89"/>
      <c r="AS487" s="90"/>
      <c r="AV487" s="88"/>
      <c r="AW487" s="96"/>
      <c r="AX487" s="97"/>
      <c r="AY487" s="93">
        <v>3</v>
      </c>
      <c r="AZ487" s="79">
        <v>3</v>
      </c>
      <c r="BB487" s="94"/>
      <c r="BE487" s="36" t="s">
        <v>5868</v>
      </c>
      <c r="BG487" s="36" t="s">
        <v>5964</v>
      </c>
    </row>
    <row r="488" spans="1:59" ht="48">
      <c r="A488" s="36" t="s">
        <v>5900</v>
      </c>
      <c r="B488" s="36" t="s">
        <v>5922</v>
      </c>
      <c r="C488" s="36" t="s">
        <v>5942</v>
      </c>
      <c r="D488" s="37">
        <v>205</v>
      </c>
      <c r="E488" s="36">
        <v>1</v>
      </c>
      <c r="F488" s="36" t="s">
        <v>5838</v>
      </c>
      <c r="G488" s="36" t="s">
        <v>5869</v>
      </c>
      <c r="J488" s="36" t="s">
        <v>31</v>
      </c>
      <c r="AD488" s="36" t="s">
        <v>5868</v>
      </c>
      <c r="AI488" s="36" t="s">
        <v>5869</v>
      </c>
      <c r="AL488" s="36" t="s">
        <v>31</v>
      </c>
      <c r="AP488" s="86"/>
      <c r="AQ488" s="88"/>
      <c r="AR488" s="89"/>
      <c r="AS488" s="90"/>
      <c r="AV488" s="88"/>
      <c r="AW488" s="96"/>
      <c r="AX488" s="97"/>
      <c r="AY488" s="93">
        <v>2</v>
      </c>
      <c r="AZ488" s="79">
        <v>3</v>
      </c>
      <c r="BB488" s="94"/>
      <c r="BE488" s="36" t="s">
        <v>5868</v>
      </c>
      <c r="BG488" s="36" t="s">
        <v>5965</v>
      </c>
    </row>
    <row r="489" spans="1:59" ht="48">
      <c r="A489" s="36" t="s">
        <v>5900</v>
      </c>
      <c r="B489" s="36" t="s">
        <v>5923</v>
      </c>
      <c r="C489" s="36" t="s">
        <v>5942</v>
      </c>
      <c r="D489" s="37">
        <v>206</v>
      </c>
      <c r="E489" s="36">
        <v>1</v>
      </c>
      <c r="F489" s="36" t="s">
        <v>5838</v>
      </c>
      <c r="G489" s="36" t="s">
        <v>5870</v>
      </c>
      <c r="J489" s="36" t="s">
        <v>31</v>
      </c>
      <c r="AD489" s="36" t="s">
        <v>5868</v>
      </c>
      <c r="AI489" s="36" t="s">
        <v>5870</v>
      </c>
      <c r="AL489" s="36" t="s">
        <v>31</v>
      </c>
      <c r="AP489" s="86"/>
      <c r="AQ489" s="88"/>
      <c r="AR489" s="89"/>
      <c r="AS489" s="90"/>
      <c r="AV489" s="88"/>
      <c r="AW489" s="96"/>
      <c r="AX489" s="97"/>
      <c r="AY489" s="93">
        <v>2</v>
      </c>
      <c r="AZ489" s="79" t="s">
        <v>4927</v>
      </c>
      <c r="BB489" s="94"/>
      <c r="BE489" s="36" t="s">
        <v>5868</v>
      </c>
      <c r="BG489" s="36" t="s">
        <v>5966</v>
      </c>
    </row>
    <row r="490" spans="1:59" ht="60">
      <c r="A490" s="36" t="s">
        <v>5900</v>
      </c>
      <c r="B490" s="36" t="s">
        <v>5924</v>
      </c>
      <c r="C490" s="36" t="s">
        <v>5942</v>
      </c>
      <c r="D490" s="37">
        <v>207</v>
      </c>
      <c r="E490" s="36">
        <v>1</v>
      </c>
      <c r="F490" s="36" t="s">
        <v>5838</v>
      </c>
      <c r="G490" s="36" t="s">
        <v>5870</v>
      </c>
      <c r="J490" s="36" t="s">
        <v>31</v>
      </c>
      <c r="AD490" s="36" t="s">
        <v>5868</v>
      </c>
      <c r="AI490" s="36" t="s">
        <v>5870</v>
      </c>
      <c r="AL490" s="36" t="s">
        <v>31</v>
      </c>
      <c r="AP490" s="86"/>
      <c r="AQ490" s="88"/>
      <c r="AR490" s="89"/>
      <c r="AS490" s="90"/>
      <c r="AV490" s="88"/>
      <c r="AW490" s="96"/>
      <c r="AX490" s="97"/>
      <c r="AY490" s="93">
        <v>3</v>
      </c>
      <c r="AZ490" s="79" t="s">
        <v>4927</v>
      </c>
      <c r="BB490" s="94"/>
      <c r="BE490" s="36" t="s">
        <v>5868</v>
      </c>
      <c r="BG490" s="36" t="s">
        <v>5967</v>
      </c>
    </row>
    <row r="491" spans="1:59" ht="60">
      <c r="A491" s="36" t="s">
        <v>5900</v>
      </c>
      <c r="B491" s="36" t="s">
        <v>5925</v>
      </c>
      <c r="C491" s="36" t="s">
        <v>5942</v>
      </c>
      <c r="D491" s="37">
        <v>208</v>
      </c>
      <c r="E491" s="36">
        <v>1</v>
      </c>
      <c r="F491" s="36" t="s">
        <v>5838</v>
      </c>
      <c r="G491" s="36" t="s">
        <v>5871</v>
      </c>
      <c r="J491" s="36" t="s">
        <v>31</v>
      </c>
      <c r="AD491" s="36" t="s">
        <v>5868</v>
      </c>
      <c r="AI491" s="36" t="s">
        <v>5871</v>
      </c>
      <c r="AL491" s="36" t="s">
        <v>31</v>
      </c>
      <c r="AP491" s="86"/>
      <c r="AQ491" s="88"/>
      <c r="AR491" s="89"/>
      <c r="AS491" s="90"/>
      <c r="AV491" s="88"/>
      <c r="AW491" s="96"/>
      <c r="AX491" s="97"/>
      <c r="AY491" s="93">
        <v>1</v>
      </c>
      <c r="AZ491" s="79" t="s">
        <v>4927</v>
      </c>
      <c r="BB491" s="94"/>
      <c r="BE491" s="36" t="s">
        <v>5868</v>
      </c>
      <c r="BG491" s="36" t="s">
        <v>5968</v>
      </c>
    </row>
    <row r="492" spans="1:59" ht="48">
      <c r="A492" s="36" t="s">
        <v>5900</v>
      </c>
      <c r="B492" s="36" t="s">
        <v>5926</v>
      </c>
      <c r="C492" s="36" t="s">
        <v>5942</v>
      </c>
      <c r="D492" s="37">
        <v>209</v>
      </c>
      <c r="E492" s="36">
        <v>1</v>
      </c>
      <c r="F492" s="36" t="s">
        <v>5838</v>
      </c>
      <c r="G492" s="36" t="s">
        <v>5871</v>
      </c>
      <c r="J492" s="36" t="s">
        <v>31</v>
      </c>
      <c r="AD492" s="36" t="s">
        <v>5868</v>
      </c>
      <c r="AI492" s="36" t="s">
        <v>5871</v>
      </c>
      <c r="AL492" s="36" t="s">
        <v>31</v>
      </c>
      <c r="AP492" s="86"/>
      <c r="AQ492" s="88"/>
      <c r="AR492" s="89"/>
      <c r="AS492" s="90"/>
      <c r="AV492" s="88"/>
      <c r="AW492" s="96"/>
      <c r="AX492" s="97"/>
      <c r="AY492" s="93">
        <v>2</v>
      </c>
      <c r="AZ492" s="79" t="s">
        <v>4927</v>
      </c>
      <c r="BB492" s="94"/>
      <c r="BE492" s="36" t="s">
        <v>5868</v>
      </c>
      <c r="BG492" s="36" t="s">
        <v>5969</v>
      </c>
    </row>
    <row r="493" spans="1:59" ht="48">
      <c r="A493" s="36" t="s">
        <v>5900</v>
      </c>
      <c r="B493" s="36" t="s">
        <v>5927</v>
      </c>
      <c r="C493" s="36" t="s">
        <v>5942</v>
      </c>
      <c r="D493" s="37">
        <v>210</v>
      </c>
      <c r="E493" s="36">
        <v>1</v>
      </c>
      <c r="F493" s="36" t="s">
        <v>5838</v>
      </c>
      <c r="G493" s="36" t="s">
        <v>5872</v>
      </c>
      <c r="J493" s="36" t="s">
        <v>31</v>
      </c>
      <c r="AD493" s="36" t="s">
        <v>5868</v>
      </c>
      <c r="AI493" s="36" t="s">
        <v>5872</v>
      </c>
      <c r="AL493" s="36" t="s">
        <v>31</v>
      </c>
      <c r="AP493" s="86"/>
      <c r="AQ493" s="88"/>
      <c r="AR493" s="89"/>
      <c r="AS493" s="90"/>
      <c r="AV493" s="88"/>
      <c r="AW493" s="96"/>
      <c r="AX493" s="97"/>
      <c r="AY493" s="93">
        <v>2</v>
      </c>
      <c r="AZ493" s="79" t="s">
        <v>4927</v>
      </c>
      <c r="BB493" s="94"/>
      <c r="BE493" s="36" t="s">
        <v>5868</v>
      </c>
      <c r="BG493" s="36" t="s">
        <v>5970</v>
      </c>
    </row>
    <row r="494" spans="1:59" ht="60">
      <c r="A494" s="36" t="s">
        <v>5900</v>
      </c>
      <c r="B494" s="36" t="s">
        <v>5928</v>
      </c>
      <c r="C494" s="36" t="s">
        <v>5942</v>
      </c>
      <c r="D494" s="37">
        <v>211</v>
      </c>
      <c r="E494" s="36">
        <v>1</v>
      </c>
      <c r="F494" s="36" t="s">
        <v>5838</v>
      </c>
      <c r="G494" s="36" t="s">
        <v>5872</v>
      </c>
      <c r="J494" s="36" t="s">
        <v>31</v>
      </c>
      <c r="AD494" s="36" t="s">
        <v>5868</v>
      </c>
      <c r="AI494" s="36" t="s">
        <v>5872</v>
      </c>
      <c r="AL494" s="36" t="s">
        <v>31</v>
      </c>
      <c r="AP494" s="86"/>
      <c r="AQ494" s="88"/>
      <c r="AR494" s="89"/>
      <c r="AS494" s="90"/>
      <c r="AV494" s="88"/>
      <c r="AW494" s="96"/>
      <c r="AX494" s="97"/>
      <c r="AY494" s="93">
        <v>1</v>
      </c>
      <c r="AZ494" s="79" t="s">
        <v>4927</v>
      </c>
      <c r="BB494" s="94"/>
      <c r="BE494" s="36" t="s">
        <v>5868</v>
      </c>
      <c r="BG494" s="36" t="s">
        <v>5971</v>
      </c>
    </row>
    <row r="495" spans="1:59" ht="48">
      <c r="A495" s="36" t="s">
        <v>5900</v>
      </c>
      <c r="B495" s="36" t="s">
        <v>5929</v>
      </c>
      <c r="C495" s="36" t="s">
        <v>5942</v>
      </c>
      <c r="D495" s="37">
        <v>212</v>
      </c>
      <c r="E495" s="36">
        <v>1</v>
      </c>
      <c r="F495" s="36" t="s">
        <v>5838</v>
      </c>
      <c r="G495" s="36" t="s">
        <v>5873</v>
      </c>
      <c r="J495" s="36" t="s">
        <v>31</v>
      </c>
      <c r="AD495" s="36" t="s">
        <v>5868</v>
      </c>
      <c r="AI495" s="36" t="s">
        <v>5873</v>
      </c>
      <c r="AL495" s="36" t="s">
        <v>31</v>
      </c>
      <c r="AP495" s="86"/>
      <c r="AQ495" s="88"/>
      <c r="AR495" s="89"/>
      <c r="AS495" s="90"/>
      <c r="AV495" s="88"/>
      <c r="AW495" s="96"/>
      <c r="AX495" s="97"/>
      <c r="AY495" s="93">
        <v>4</v>
      </c>
      <c r="AZ495" s="79">
        <v>1</v>
      </c>
      <c r="BB495" s="94"/>
      <c r="BE495" s="36" t="s">
        <v>5868</v>
      </c>
      <c r="BG495" s="36" t="s">
        <v>5972</v>
      </c>
    </row>
    <row r="496" spans="1:59" ht="36">
      <c r="A496" s="36" t="s">
        <v>5900</v>
      </c>
      <c r="B496" s="36" t="s">
        <v>5930</v>
      </c>
      <c r="C496" s="36" t="s">
        <v>5942</v>
      </c>
      <c r="D496" s="37">
        <v>213</v>
      </c>
      <c r="E496" s="36">
        <v>1</v>
      </c>
      <c r="F496" s="36" t="s">
        <v>5838</v>
      </c>
      <c r="G496" s="36" t="s">
        <v>5873</v>
      </c>
      <c r="J496" s="36" t="s">
        <v>31</v>
      </c>
      <c r="AD496" s="36" t="s">
        <v>5868</v>
      </c>
      <c r="AI496" s="36" t="s">
        <v>5873</v>
      </c>
      <c r="AL496" s="36" t="s">
        <v>31</v>
      </c>
      <c r="AP496" s="86"/>
      <c r="AQ496" s="88"/>
      <c r="AR496" s="89"/>
      <c r="AS496" s="90"/>
      <c r="AV496" s="88"/>
      <c r="AW496" s="96"/>
      <c r="AX496" s="97"/>
      <c r="AY496" s="93">
        <v>4</v>
      </c>
      <c r="AZ496" s="79">
        <v>1</v>
      </c>
      <c r="BB496" s="94"/>
      <c r="BE496" s="36" t="s">
        <v>5868</v>
      </c>
      <c r="BG496" s="36" t="s">
        <v>5973</v>
      </c>
    </row>
    <row r="497" spans="1:62" ht="60">
      <c r="A497" s="36" t="s">
        <v>5900</v>
      </c>
      <c r="B497" s="36" t="s">
        <v>5931</v>
      </c>
      <c r="C497" s="36" t="s">
        <v>5942</v>
      </c>
      <c r="D497" s="37">
        <v>214</v>
      </c>
      <c r="E497" s="36">
        <v>1</v>
      </c>
      <c r="F497" s="36" t="s">
        <v>5838</v>
      </c>
      <c r="G497" s="36" t="s">
        <v>5874</v>
      </c>
      <c r="J497" s="36" t="s">
        <v>31</v>
      </c>
      <c r="X497" s="93">
        <v>3</v>
      </c>
      <c r="Y497" s="79">
        <v>0</v>
      </c>
      <c r="AD497" s="36" t="s">
        <v>5868</v>
      </c>
      <c r="AF497" s="36" t="s">
        <v>5974</v>
      </c>
      <c r="AP497" s="86"/>
      <c r="AQ497" s="88"/>
      <c r="AR497" s="89"/>
      <c r="AS497" s="90"/>
      <c r="AV497" s="88"/>
      <c r="AW497" s="96"/>
      <c r="AX497" s="97"/>
      <c r="AY497" s="93"/>
      <c r="BB497" s="94"/>
      <c r="BJ497" s="46" t="s">
        <v>5837</v>
      </c>
    </row>
    <row r="498" spans="1:62" ht="36">
      <c r="A498" s="36" t="s">
        <v>5900</v>
      </c>
      <c r="B498" s="36" t="s">
        <v>5932</v>
      </c>
      <c r="C498" s="36" t="s">
        <v>5942</v>
      </c>
      <c r="D498" s="37">
        <v>215</v>
      </c>
      <c r="E498" s="36">
        <v>1</v>
      </c>
      <c r="F498" s="36" t="s">
        <v>5838</v>
      </c>
      <c r="G498" s="36" t="s">
        <v>5875</v>
      </c>
      <c r="J498" s="36" t="s">
        <v>4111</v>
      </c>
      <c r="AD498" s="36" t="s">
        <v>5876</v>
      </c>
      <c r="AF498" s="36" t="s">
        <v>5953</v>
      </c>
      <c r="AP498" s="86"/>
      <c r="AQ498" s="88"/>
      <c r="AR498" s="89"/>
      <c r="AS498" s="90"/>
      <c r="AV498" s="88"/>
      <c r="AW498" s="96"/>
      <c r="AX498" s="97"/>
      <c r="AY498" s="93"/>
      <c r="BB498" s="94"/>
      <c r="BJ498" s="46" t="s">
        <v>5837</v>
      </c>
    </row>
    <row r="499" spans="1:62" ht="36">
      <c r="A499" s="36" t="s">
        <v>5900</v>
      </c>
      <c r="B499" s="36" t="s">
        <v>5933</v>
      </c>
      <c r="C499" s="36" t="s">
        <v>5942</v>
      </c>
      <c r="D499" s="37">
        <v>216</v>
      </c>
      <c r="E499" s="36">
        <v>1</v>
      </c>
      <c r="F499" s="36" t="s">
        <v>5838</v>
      </c>
      <c r="G499" s="36" t="s">
        <v>5877</v>
      </c>
      <c r="H499" s="36" t="s">
        <v>5878</v>
      </c>
      <c r="I499" s="36" t="s">
        <v>5879</v>
      </c>
      <c r="J499" s="36" t="s">
        <v>29</v>
      </c>
      <c r="Q499" s="78">
        <v>3</v>
      </c>
      <c r="R499" s="79">
        <v>7</v>
      </c>
      <c r="T499" s="81" t="s">
        <v>5880</v>
      </c>
      <c r="V499" s="82">
        <v>2</v>
      </c>
      <c r="W499" s="83">
        <v>2</v>
      </c>
      <c r="AA499" s="85">
        <v>2</v>
      </c>
      <c r="AD499" s="36" t="s">
        <v>5377</v>
      </c>
      <c r="AE499" s="37" t="s">
        <v>5881</v>
      </c>
      <c r="AF499" s="36" t="s">
        <v>5882</v>
      </c>
      <c r="AP499" s="86"/>
      <c r="AQ499" s="88"/>
      <c r="AR499" s="89"/>
      <c r="AS499" s="90"/>
      <c r="AV499" s="88"/>
      <c r="AW499" s="96"/>
      <c r="AX499" s="97"/>
      <c r="AY499" s="93"/>
      <c r="BB499" s="94"/>
    </row>
    <row r="500" spans="1:62" ht="24">
      <c r="A500" s="36" t="s">
        <v>5900</v>
      </c>
      <c r="B500" s="36" t="s">
        <v>5934</v>
      </c>
      <c r="C500" s="36" t="s">
        <v>5942</v>
      </c>
      <c r="D500" s="37">
        <v>217</v>
      </c>
      <c r="E500" s="36">
        <v>1</v>
      </c>
      <c r="F500" s="36" t="s">
        <v>5838</v>
      </c>
      <c r="G500" s="36" t="s">
        <v>5883</v>
      </c>
      <c r="H500" s="36" t="s">
        <v>5884</v>
      </c>
      <c r="I500" s="36" t="s">
        <v>5879</v>
      </c>
      <c r="J500" s="36" t="s">
        <v>4111</v>
      </c>
      <c r="N500" s="75">
        <v>3</v>
      </c>
      <c r="O500" s="76">
        <v>1</v>
      </c>
      <c r="S500" s="126">
        <v>1</v>
      </c>
      <c r="T500" s="81">
        <v>1</v>
      </c>
      <c r="U500" s="76">
        <v>4</v>
      </c>
      <c r="AB500" s="36" t="s">
        <v>4940</v>
      </c>
      <c r="AC500" s="36" t="s">
        <v>25</v>
      </c>
      <c r="AD500" s="36" t="s">
        <v>5885</v>
      </c>
      <c r="AF500" s="36" t="s">
        <v>5954</v>
      </c>
      <c r="AP500" s="86"/>
      <c r="AQ500" s="88"/>
      <c r="AR500" s="89"/>
      <c r="AS500" s="90"/>
      <c r="AV500" s="88"/>
      <c r="AW500" s="96"/>
      <c r="AX500" s="97"/>
      <c r="AY500" s="93"/>
      <c r="BB500" s="94"/>
    </row>
    <row r="501" spans="1:62" ht="24">
      <c r="A501" s="36" t="s">
        <v>5900</v>
      </c>
      <c r="B501" s="36" t="s">
        <v>5935</v>
      </c>
      <c r="C501" s="36" t="s">
        <v>5942</v>
      </c>
      <c r="D501" s="37">
        <v>218</v>
      </c>
      <c r="E501" s="36">
        <v>1</v>
      </c>
      <c r="F501" s="36" t="s">
        <v>5838</v>
      </c>
      <c r="G501" s="36" t="s">
        <v>5886</v>
      </c>
      <c r="H501" s="36" t="s">
        <v>5887</v>
      </c>
      <c r="I501" s="36" t="s">
        <v>5879</v>
      </c>
      <c r="J501" s="36" t="s">
        <v>4111</v>
      </c>
      <c r="N501" s="75">
        <v>3</v>
      </c>
      <c r="R501" s="79">
        <v>1</v>
      </c>
      <c r="S501" s="126">
        <v>1</v>
      </c>
      <c r="T501" s="81">
        <v>3</v>
      </c>
      <c r="U501" s="76">
        <v>2</v>
      </c>
      <c r="AB501" s="36" t="s">
        <v>5034</v>
      </c>
      <c r="AC501" s="36" t="s">
        <v>25</v>
      </c>
      <c r="AD501" s="36" t="s">
        <v>5885</v>
      </c>
      <c r="AF501" s="36" t="s">
        <v>5955</v>
      </c>
      <c r="AP501" s="86"/>
      <c r="AQ501" s="88"/>
      <c r="AR501" s="89"/>
      <c r="AS501" s="90"/>
      <c r="AV501" s="88"/>
      <c r="AW501" s="96"/>
      <c r="AX501" s="97"/>
      <c r="AY501" s="93"/>
      <c r="BB501" s="94"/>
    </row>
    <row r="502" spans="1:62" ht="60">
      <c r="A502" s="36" t="s">
        <v>5900</v>
      </c>
      <c r="B502" s="36" t="s">
        <v>5936</v>
      </c>
      <c r="C502" s="36" t="s">
        <v>5942</v>
      </c>
      <c r="D502" s="37">
        <v>219</v>
      </c>
      <c r="E502" s="36">
        <v>1</v>
      </c>
      <c r="F502" s="36" t="s">
        <v>5838</v>
      </c>
      <c r="G502" s="36" t="s">
        <v>5888</v>
      </c>
      <c r="H502" s="36" t="s">
        <v>5889</v>
      </c>
      <c r="J502" s="36" t="s">
        <v>4111</v>
      </c>
      <c r="N502" s="75">
        <v>0</v>
      </c>
      <c r="AD502" s="36" t="s">
        <v>4119</v>
      </c>
      <c r="AF502" s="36" t="s">
        <v>5956</v>
      </c>
      <c r="AP502" s="86"/>
      <c r="AQ502" s="88"/>
      <c r="AR502" s="89"/>
      <c r="AS502" s="90"/>
      <c r="AV502" s="88"/>
      <c r="AW502" s="96"/>
      <c r="AX502" s="97"/>
      <c r="AY502" s="93"/>
      <c r="BB502" s="94"/>
    </row>
    <row r="503" spans="1:62" ht="84">
      <c r="A503" s="36" t="s">
        <v>5900</v>
      </c>
      <c r="B503" s="36" t="s">
        <v>5937</v>
      </c>
      <c r="C503" s="36" t="s">
        <v>5942</v>
      </c>
      <c r="D503" s="37">
        <v>220</v>
      </c>
      <c r="E503" s="36">
        <v>3</v>
      </c>
      <c r="F503" s="36" t="s">
        <v>5838</v>
      </c>
      <c r="G503" s="36" t="s">
        <v>5890</v>
      </c>
      <c r="J503" s="36" t="s">
        <v>28</v>
      </c>
      <c r="AF503" s="36" t="s">
        <v>5957</v>
      </c>
      <c r="AP503" s="86"/>
      <c r="AQ503" s="88"/>
      <c r="AR503" s="89"/>
      <c r="AS503" s="90"/>
      <c r="AV503" s="88"/>
      <c r="AW503" s="96"/>
      <c r="AX503" s="97"/>
      <c r="AY503" s="93"/>
      <c r="BB503" s="94"/>
    </row>
    <row r="504" spans="1:62" ht="48">
      <c r="A504" s="36" t="s">
        <v>5900</v>
      </c>
      <c r="B504" s="36" t="s">
        <v>5938</v>
      </c>
      <c r="C504" s="36" t="s">
        <v>5942</v>
      </c>
      <c r="D504" s="37">
        <v>221</v>
      </c>
      <c r="E504" s="36">
        <v>2</v>
      </c>
      <c r="F504" s="36" t="s">
        <v>5838</v>
      </c>
      <c r="G504" s="36" t="s">
        <v>5891</v>
      </c>
      <c r="J504" s="36" t="s">
        <v>28</v>
      </c>
      <c r="AD504" s="36" t="s">
        <v>4346</v>
      </c>
      <c r="AE504" s="37" t="s">
        <v>5892</v>
      </c>
      <c r="AF504" s="36" t="s">
        <v>5958</v>
      </c>
      <c r="AP504" s="86"/>
      <c r="AQ504" s="88"/>
      <c r="AR504" s="89"/>
      <c r="AS504" s="90"/>
      <c r="AV504" s="88"/>
      <c r="AW504" s="96"/>
      <c r="AX504" s="97"/>
      <c r="AY504" s="93"/>
      <c r="BB504" s="94"/>
    </row>
    <row r="505" spans="1:62" ht="36">
      <c r="A505" s="36" t="s">
        <v>5900</v>
      </c>
      <c r="B505" s="36" t="s">
        <v>5939</v>
      </c>
      <c r="C505" s="36" t="s">
        <v>5942</v>
      </c>
      <c r="D505" s="37">
        <v>222</v>
      </c>
      <c r="E505" s="36">
        <v>2</v>
      </c>
      <c r="F505" s="36" t="s">
        <v>5838</v>
      </c>
      <c r="G505" s="36" t="s">
        <v>5893</v>
      </c>
      <c r="J505" s="36" t="s">
        <v>28</v>
      </c>
      <c r="AD505" s="36" t="s">
        <v>4346</v>
      </c>
      <c r="AF505" s="36" t="s">
        <v>5894</v>
      </c>
      <c r="AP505" s="86"/>
      <c r="AQ505" s="88"/>
      <c r="AR505" s="89"/>
      <c r="AS505" s="90"/>
      <c r="AV505" s="88"/>
      <c r="AW505" s="96"/>
      <c r="AX505" s="97"/>
      <c r="AY505" s="93"/>
      <c r="BB505" s="94"/>
    </row>
    <row r="506" spans="1:62" ht="24">
      <c r="A506" s="36" t="s">
        <v>5900</v>
      </c>
      <c r="B506" s="36" t="s">
        <v>5940</v>
      </c>
      <c r="C506" s="36" t="s">
        <v>5942</v>
      </c>
      <c r="D506" s="37">
        <v>223</v>
      </c>
      <c r="E506" s="36">
        <v>3</v>
      </c>
      <c r="F506" s="36" t="s">
        <v>5838</v>
      </c>
      <c r="G506" s="36" t="s">
        <v>4334</v>
      </c>
      <c r="J506" s="36" t="s">
        <v>28</v>
      </c>
      <c r="AD506" s="36" t="s">
        <v>4335</v>
      </c>
      <c r="AF506" s="36" t="s">
        <v>5895</v>
      </c>
      <c r="AP506" s="86"/>
      <c r="AQ506" s="88"/>
      <c r="AR506" s="89"/>
      <c r="AS506" s="90"/>
      <c r="AV506" s="88"/>
      <c r="AW506" s="96"/>
      <c r="AX506" s="97"/>
      <c r="AY506" s="93"/>
      <c r="BB506" s="94"/>
    </row>
    <row r="507" spans="1:62" ht="36">
      <c r="A507" s="36" t="s">
        <v>5900</v>
      </c>
      <c r="B507" s="36" t="s">
        <v>5941</v>
      </c>
      <c r="C507" s="36" t="s">
        <v>5942</v>
      </c>
      <c r="D507" s="37">
        <v>224</v>
      </c>
      <c r="E507" s="36">
        <v>3</v>
      </c>
      <c r="F507" s="36" t="s">
        <v>5838</v>
      </c>
      <c r="G507" s="36" t="s">
        <v>5896</v>
      </c>
      <c r="J507" s="36" t="s">
        <v>29</v>
      </c>
      <c r="Q507" s="78">
        <v>3</v>
      </c>
      <c r="R507" s="79">
        <v>1</v>
      </c>
      <c r="T507" s="81">
        <v>2</v>
      </c>
      <c r="V507" s="82">
        <v>2</v>
      </c>
      <c r="AD507" s="36" t="s">
        <v>5897</v>
      </c>
      <c r="AE507" s="37" t="s">
        <v>5898</v>
      </c>
      <c r="AF507" s="36" t="s">
        <v>5899</v>
      </c>
      <c r="AP507" s="86"/>
      <c r="AQ507" s="88"/>
      <c r="AR507" s="89"/>
      <c r="AS507" s="90"/>
      <c r="AV507" s="88"/>
      <c r="AW507" s="96"/>
      <c r="AX507" s="97"/>
      <c r="AY507" s="93"/>
      <c r="BB507" s="94"/>
    </row>
    <row r="508" spans="1:62">
      <c r="AP508" s="86"/>
      <c r="AQ508" s="88"/>
      <c r="AR508" s="89"/>
      <c r="AS508" s="90"/>
      <c r="AV508" s="88"/>
      <c r="AW508" s="96"/>
      <c r="AX508" s="97"/>
      <c r="AY508" s="93"/>
      <c r="BB508" s="94"/>
    </row>
    <row r="509" spans="1:62">
      <c r="AP509" s="86"/>
      <c r="AQ509" s="88"/>
      <c r="AR509" s="89"/>
      <c r="AS509" s="90"/>
      <c r="AV509" s="88"/>
      <c r="AW509" s="96"/>
      <c r="AX509" s="97"/>
      <c r="AY509" s="93"/>
      <c r="BB509" s="94"/>
    </row>
    <row r="510" spans="1:62">
      <c r="AP510" s="86"/>
      <c r="AQ510" s="88"/>
      <c r="AR510" s="89"/>
      <c r="AS510" s="90"/>
      <c r="AV510" s="88"/>
      <c r="AW510" s="96"/>
      <c r="AX510" s="97"/>
      <c r="AY510" s="93"/>
      <c r="BB510" s="94"/>
    </row>
    <row r="511" spans="1:62">
      <c r="AP511" s="86"/>
      <c r="AQ511" s="88"/>
      <c r="AR511" s="89"/>
      <c r="AS511" s="90"/>
      <c r="AV511" s="88"/>
      <c r="AW511" s="96"/>
      <c r="AX511" s="97"/>
      <c r="AY511" s="93"/>
      <c r="BB511" s="94"/>
    </row>
    <row r="512" spans="1:62">
      <c r="AP512" s="86"/>
      <c r="AQ512" s="88"/>
      <c r="AR512" s="89"/>
      <c r="AS512" s="90"/>
      <c r="AV512" s="88"/>
      <c r="AW512" s="96"/>
      <c r="AX512" s="97"/>
      <c r="AY512" s="93"/>
      <c r="BB512" s="94"/>
    </row>
    <row r="513" spans="42:54">
      <c r="AP513" s="86"/>
      <c r="AQ513" s="88"/>
      <c r="AR513" s="89"/>
      <c r="AS513" s="90"/>
      <c r="AV513" s="88"/>
      <c r="AW513" s="96"/>
      <c r="AX513" s="97"/>
      <c r="AY513" s="93"/>
      <c r="BB513" s="94"/>
    </row>
    <row r="514" spans="42:54">
      <c r="AP514" s="86"/>
      <c r="AQ514" s="88"/>
      <c r="AR514" s="89"/>
      <c r="AS514" s="90"/>
      <c r="AV514" s="88"/>
      <c r="AW514" s="96"/>
      <c r="AX514" s="97"/>
      <c r="AY514" s="93"/>
      <c r="BB514" s="94"/>
    </row>
    <row r="515" spans="42:54">
      <c r="AP515" s="86"/>
      <c r="AQ515" s="88"/>
      <c r="AR515" s="89"/>
      <c r="AS515" s="90"/>
      <c r="AV515" s="88"/>
      <c r="AW515" s="96"/>
      <c r="AX515" s="97"/>
      <c r="AY515" s="93"/>
      <c r="BB515" s="94"/>
    </row>
    <row r="516" spans="42:54">
      <c r="AP516" s="86"/>
      <c r="AQ516" s="88"/>
      <c r="AR516" s="89"/>
      <c r="AS516" s="90"/>
      <c r="AV516" s="88"/>
      <c r="AW516" s="96"/>
      <c r="AX516" s="97"/>
      <c r="AY516" s="93"/>
      <c r="BB516" s="94"/>
    </row>
    <row r="517" spans="42:54">
      <c r="AP517" s="86"/>
      <c r="AQ517" s="88"/>
      <c r="AR517" s="89"/>
      <c r="AS517" s="90"/>
      <c r="AV517" s="88"/>
      <c r="AW517" s="96"/>
      <c r="AX517" s="97"/>
      <c r="AY517" s="93"/>
      <c r="BB517" s="94"/>
    </row>
    <row r="518" spans="42:54">
      <c r="AP518" s="86"/>
      <c r="AQ518" s="88"/>
      <c r="AR518" s="89"/>
      <c r="AS518" s="90"/>
      <c r="AV518" s="88"/>
      <c r="AW518" s="96"/>
      <c r="AX518" s="97"/>
      <c r="AY518" s="93"/>
      <c r="BB518" s="94"/>
    </row>
    <row r="519" spans="42:54">
      <c r="AP519" s="86"/>
      <c r="AQ519" s="88"/>
      <c r="AR519" s="89"/>
      <c r="AS519" s="90"/>
      <c r="AV519" s="88"/>
      <c r="AW519" s="96"/>
      <c r="AX519" s="97"/>
      <c r="AY519" s="93"/>
      <c r="BB519" s="94"/>
    </row>
    <row r="520" spans="42:54">
      <c r="AP520" s="86"/>
      <c r="AQ520" s="88"/>
      <c r="AR520" s="89"/>
      <c r="AS520" s="90"/>
      <c r="AV520" s="88"/>
      <c r="AW520" s="96"/>
      <c r="AX520" s="97"/>
      <c r="AY520" s="93"/>
      <c r="BB520" s="94"/>
    </row>
    <row r="521" spans="42:54">
      <c r="AP521" s="86"/>
      <c r="AQ521" s="88"/>
      <c r="AR521" s="89"/>
      <c r="AS521" s="90"/>
      <c r="AV521" s="88"/>
      <c r="AW521" s="96"/>
      <c r="AX521" s="97"/>
      <c r="AY521" s="93"/>
      <c r="BB521" s="94"/>
    </row>
    <row r="522" spans="42:54">
      <c r="AP522" s="86"/>
      <c r="AQ522" s="88"/>
      <c r="AR522" s="89"/>
      <c r="AS522" s="90"/>
      <c r="AV522" s="88"/>
      <c r="AW522" s="96"/>
      <c r="AX522" s="97"/>
      <c r="AY522" s="93"/>
      <c r="BB522" s="94"/>
    </row>
    <row r="523" spans="42:54">
      <c r="AP523" s="86"/>
      <c r="AQ523" s="88"/>
      <c r="AR523" s="89"/>
      <c r="AS523" s="90"/>
      <c r="AV523" s="88"/>
      <c r="AW523" s="96"/>
      <c r="AX523" s="97"/>
      <c r="AY523" s="93"/>
      <c r="BB523" s="94"/>
    </row>
    <row r="524" spans="42:54">
      <c r="AP524" s="86"/>
      <c r="AQ524" s="88"/>
      <c r="AR524" s="89"/>
      <c r="AS524" s="90"/>
      <c r="AV524" s="88"/>
      <c r="AW524" s="96"/>
      <c r="AX524" s="97"/>
      <c r="AY524" s="93"/>
      <c r="BB524" s="94"/>
    </row>
    <row r="525" spans="42:54">
      <c r="AP525" s="86"/>
      <c r="AQ525" s="88"/>
      <c r="AR525" s="89"/>
      <c r="AS525" s="90"/>
      <c r="AV525" s="88"/>
      <c r="AW525" s="96"/>
      <c r="AX525" s="97"/>
      <c r="AY525" s="93"/>
      <c r="BB525" s="94"/>
    </row>
    <row r="526" spans="42:54">
      <c r="AP526" s="86"/>
      <c r="AQ526" s="88"/>
      <c r="AR526" s="89"/>
      <c r="AS526" s="90"/>
      <c r="AV526" s="88"/>
      <c r="AW526" s="96"/>
      <c r="AX526" s="97"/>
      <c r="AY526" s="93"/>
      <c r="BB526" s="94"/>
    </row>
    <row r="527" spans="42:54">
      <c r="AP527" s="86"/>
      <c r="AQ527" s="88"/>
      <c r="AR527" s="89"/>
      <c r="AS527" s="90"/>
      <c r="AV527" s="88"/>
      <c r="AW527" s="96"/>
      <c r="AX527" s="97"/>
      <c r="AY527" s="93"/>
      <c r="BB527" s="94"/>
    </row>
    <row r="528" spans="42:54">
      <c r="AP528" s="86"/>
      <c r="AQ528" s="88"/>
      <c r="AR528" s="89"/>
      <c r="AS528" s="90"/>
      <c r="AV528" s="88"/>
      <c r="AW528" s="96"/>
      <c r="AX528" s="97"/>
      <c r="AY528" s="93"/>
      <c r="BB528" s="94"/>
    </row>
    <row r="529" spans="42:54">
      <c r="AP529" s="86"/>
      <c r="AQ529" s="88"/>
      <c r="AR529" s="89"/>
      <c r="AS529" s="90"/>
      <c r="AV529" s="88"/>
      <c r="AW529" s="96"/>
      <c r="AX529" s="97"/>
      <c r="AY529" s="93"/>
      <c r="BB529" s="94"/>
    </row>
    <row r="530" spans="42:54">
      <c r="AP530" s="86"/>
      <c r="AQ530" s="88"/>
      <c r="AR530" s="89"/>
      <c r="AS530" s="90"/>
      <c r="AV530" s="88"/>
      <c r="AW530" s="96"/>
      <c r="AX530" s="97"/>
      <c r="AY530" s="93"/>
      <c r="BB530" s="94"/>
    </row>
    <row r="531" spans="42:54">
      <c r="AP531" s="86"/>
      <c r="AQ531" s="88"/>
      <c r="AR531" s="89"/>
      <c r="AS531" s="90"/>
      <c r="AV531" s="88"/>
      <c r="AW531" s="96"/>
      <c r="AX531" s="97"/>
      <c r="AY531" s="93"/>
      <c r="BB531" s="94"/>
    </row>
    <row r="532" spans="42:54">
      <c r="AP532" s="86"/>
      <c r="AQ532" s="88"/>
      <c r="AR532" s="89"/>
      <c r="AS532" s="90"/>
      <c r="AV532" s="88"/>
      <c r="AW532" s="96"/>
      <c r="AX532" s="97"/>
      <c r="AY532" s="93"/>
      <c r="BB532" s="94"/>
    </row>
    <row r="533" spans="42:54">
      <c r="AP533" s="86"/>
      <c r="AQ533" s="88"/>
      <c r="AR533" s="89"/>
      <c r="AS533" s="90"/>
      <c r="AV533" s="88"/>
      <c r="AW533" s="96"/>
      <c r="AX533" s="97"/>
      <c r="AY533" s="93"/>
      <c r="BB533" s="94"/>
    </row>
    <row r="534" spans="42:54">
      <c r="AP534" s="86"/>
      <c r="AQ534" s="88"/>
      <c r="AR534" s="89"/>
      <c r="AS534" s="90"/>
      <c r="AV534" s="88"/>
      <c r="AW534" s="96"/>
      <c r="AX534" s="97"/>
      <c r="AY534" s="93"/>
      <c r="BB534" s="94"/>
    </row>
    <row r="535" spans="42:54">
      <c r="AP535" s="86"/>
      <c r="AQ535" s="88"/>
      <c r="AR535" s="89"/>
      <c r="AS535" s="90"/>
      <c r="AV535" s="88"/>
      <c r="AW535" s="96"/>
      <c r="AX535" s="97"/>
      <c r="AY535" s="93"/>
      <c r="BB535" s="94"/>
    </row>
    <row r="536" spans="42:54">
      <c r="AP536" s="86"/>
      <c r="AQ536" s="88"/>
      <c r="AR536" s="89"/>
      <c r="AS536" s="90"/>
      <c r="AV536" s="88"/>
      <c r="AW536" s="96"/>
      <c r="AX536" s="97"/>
      <c r="AY536" s="93"/>
      <c r="BB536" s="94"/>
    </row>
    <row r="537" spans="42:54">
      <c r="AP537" s="86"/>
      <c r="AQ537" s="88"/>
      <c r="AR537" s="89"/>
      <c r="AS537" s="90"/>
      <c r="AV537" s="88"/>
      <c r="AW537" s="96"/>
      <c r="AX537" s="97"/>
      <c r="AY537" s="93"/>
      <c r="BB537" s="94"/>
    </row>
    <row r="538" spans="42:54">
      <c r="AP538" s="86"/>
      <c r="AQ538" s="88"/>
      <c r="AR538" s="89"/>
      <c r="AS538" s="90"/>
      <c r="AV538" s="88"/>
      <c r="AW538" s="96"/>
      <c r="AX538" s="97"/>
      <c r="AY538" s="93"/>
      <c r="BB538" s="94"/>
    </row>
    <row r="539" spans="42:54">
      <c r="AP539" s="86"/>
      <c r="AQ539" s="88"/>
      <c r="AR539" s="89"/>
      <c r="AS539" s="90"/>
      <c r="AV539" s="88"/>
      <c r="AW539" s="96"/>
      <c r="AX539" s="97"/>
      <c r="AY539" s="93"/>
      <c r="BB539" s="94"/>
    </row>
    <row r="540" spans="42:54">
      <c r="AP540" s="86"/>
      <c r="AQ540" s="88"/>
      <c r="AR540" s="89"/>
      <c r="AS540" s="90"/>
      <c r="AV540" s="88"/>
      <c r="AW540" s="96"/>
      <c r="AX540" s="97"/>
      <c r="AY540" s="93"/>
      <c r="BB540" s="94"/>
    </row>
    <row r="541" spans="42:54">
      <c r="AP541" s="86"/>
      <c r="AQ541" s="88"/>
      <c r="AR541" s="89"/>
      <c r="AS541" s="90"/>
      <c r="AV541" s="88"/>
      <c r="AW541" s="96"/>
      <c r="AX541" s="97"/>
      <c r="AY541" s="93"/>
      <c r="BB541" s="94"/>
    </row>
    <row r="542" spans="42:54">
      <c r="AP542" s="86"/>
      <c r="AQ542" s="88"/>
      <c r="AR542" s="89"/>
      <c r="AS542" s="90"/>
      <c r="AV542" s="88"/>
      <c r="AW542" s="96"/>
      <c r="AX542" s="97"/>
      <c r="AY542" s="93"/>
      <c r="BB542" s="94"/>
    </row>
    <row r="543" spans="42:54">
      <c r="AP543" s="86"/>
      <c r="AQ543" s="88"/>
      <c r="AR543" s="89"/>
      <c r="AS543" s="90"/>
      <c r="AV543" s="88"/>
      <c r="AW543" s="96"/>
      <c r="AX543" s="97"/>
      <c r="AY543" s="93"/>
      <c r="BB543" s="94"/>
    </row>
    <row r="544" spans="42:54">
      <c r="AP544" s="86"/>
      <c r="AQ544" s="88"/>
      <c r="AR544" s="89"/>
      <c r="AS544" s="90"/>
      <c r="AV544" s="88"/>
      <c r="AW544" s="96"/>
      <c r="AX544" s="97"/>
      <c r="AY544" s="93"/>
      <c r="BB544" s="94"/>
    </row>
    <row r="545" spans="42:54">
      <c r="AP545" s="86"/>
      <c r="AQ545" s="88"/>
      <c r="AR545" s="89"/>
      <c r="AS545" s="90"/>
      <c r="AV545" s="88"/>
      <c r="AW545" s="96"/>
      <c r="AX545" s="97"/>
      <c r="AY545" s="93"/>
      <c r="BB545" s="94"/>
    </row>
    <row r="546" spans="42:54">
      <c r="AP546" s="86"/>
      <c r="AQ546" s="88"/>
      <c r="AR546" s="89"/>
      <c r="AS546" s="90"/>
      <c r="AV546" s="88"/>
      <c r="AW546" s="96"/>
      <c r="AX546" s="97"/>
      <c r="AY546" s="93"/>
      <c r="BB546" s="94"/>
    </row>
    <row r="547" spans="42:54">
      <c r="AP547" s="86"/>
      <c r="AQ547" s="88"/>
      <c r="AR547" s="89"/>
      <c r="AS547" s="90"/>
      <c r="AV547" s="88"/>
      <c r="AW547" s="96"/>
      <c r="AX547" s="97"/>
      <c r="AY547" s="93"/>
      <c r="BB547" s="94"/>
    </row>
    <row r="548" spans="42:54">
      <c r="AP548" s="86"/>
      <c r="AQ548" s="88"/>
      <c r="AR548" s="89"/>
      <c r="AS548" s="90"/>
      <c r="AV548" s="88"/>
      <c r="AW548" s="96"/>
      <c r="AX548" s="97"/>
      <c r="AY548" s="93"/>
      <c r="BB548" s="94"/>
    </row>
    <row r="549" spans="42:54">
      <c r="AP549" s="86"/>
      <c r="AQ549" s="88"/>
      <c r="AR549" s="89"/>
      <c r="AS549" s="90"/>
      <c r="AV549" s="88"/>
      <c r="AW549" s="96"/>
      <c r="AX549" s="97"/>
      <c r="AY549" s="93"/>
      <c r="BB549" s="94"/>
    </row>
    <row r="550" spans="42:54">
      <c r="AP550" s="86"/>
      <c r="AQ550" s="88"/>
      <c r="AR550" s="89"/>
      <c r="AS550" s="90"/>
      <c r="AV550" s="88"/>
      <c r="AW550" s="96"/>
      <c r="AX550" s="97"/>
      <c r="AY550" s="93"/>
      <c r="BB550" s="94"/>
    </row>
    <row r="551" spans="42:54">
      <c r="AP551" s="86"/>
      <c r="AQ551" s="88"/>
      <c r="AR551" s="89"/>
      <c r="AS551" s="90"/>
      <c r="AV551" s="88"/>
      <c r="AW551" s="96"/>
      <c r="AX551" s="97"/>
      <c r="AY551" s="93"/>
      <c r="BB551" s="94"/>
    </row>
    <row r="552" spans="42:54">
      <c r="AP552" s="86"/>
      <c r="AQ552" s="88"/>
      <c r="AR552" s="89"/>
      <c r="AS552" s="90"/>
      <c r="AV552" s="88"/>
      <c r="AW552" s="96"/>
      <c r="AX552" s="97"/>
      <c r="AY552" s="93"/>
      <c r="BB552" s="94"/>
    </row>
    <row r="553" spans="42:54">
      <c r="AP553" s="86"/>
      <c r="AQ553" s="88"/>
      <c r="AR553" s="89"/>
      <c r="AS553" s="90"/>
      <c r="AV553" s="88"/>
      <c r="AW553" s="96"/>
      <c r="AX553" s="97"/>
      <c r="AY553" s="93"/>
      <c r="BB553" s="94"/>
    </row>
    <row r="554" spans="42:54">
      <c r="AP554" s="86"/>
      <c r="AQ554" s="88"/>
      <c r="AR554" s="89"/>
      <c r="AS554" s="90"/>
      <c r="AV554" s="88"/>
      <c r="AW554" s="96"/>
      <c r="AX554" s="97"/>
      <c r="AY554" s="93"/>
      <c r="BB554" s="94"/>
    </row>
    <row r="555" spans="42:54">
      <c r="AP555" s="86"/>
      <c r="AQ555" s="88"/>
      <c r="AR555" s="89"/>
      <c r="AS555" s="90"/>
      <c r="AV555" s="88"/>
      <c r="AW555" s="96"/>
      <c r="AX555" s="97"/>
      <c r="AY555" s="93"/>
      <c r="BB555" s="94"/>
    </row>
    <row r="556" spans="42:54">
      <c r="AP556" s="86"/>
      <c r="AQ556" s="88"/>
      <c r="AR556" s="89"/>
      <c r="AS556" s="90"/>
      <c r="AV556" s="88"/>
      <c r="AW556" s="96"/>
      <c r="AX556" s="97"/>
      <c r="AY556" s="93"/>
      <c r="BB556" s="94"/>
    </row>
    <row r="557" spans="42:54">
      <c r="AP557" s="86"/>
      <c r="AQ557" s="88"/>
      <c r="AR557" s="89"/>
      <c r="AS557" s="90"/>
      <c r="AV557" s="88"/>
      <c r="AW557" s="96"/>
      <c r="AX557" s="97"/>
      <c r="AY557" s="93"/>
      <c r="BB557" s="94"/>
    </row>
    <row r="558" spans="42:54">
      <c r="AP558" s="86"/>
      <c r="AQ558" s="88"/>
      <c r="AR558" s="89"/>
      <c r="AS558" s="90"/>
      <c r="AV558" s="88"/>
      <c r="AW558" s="96"/>
      <c r="AX558" s="97"/>
      <c r="AY558" s="93"/>
      <c r="BB558" s="94"/>
    </row>
    <row r="559" spans="42:54">
      <c r="AP559" s="86"/>
      <c r="AQ559" s="88"/>
      <c r="AR559" s="89"/>
      <c r="AS559" s="90"/>
      <c r="AV559" s="88"/>
      <c r="AW559" s="96"/>
      <c r="AX559" s="97"/>
      <c r="AY559" s="93"/>
      <c r="BB559" s="94"/>
    </row>
    <row r="560" spans="42:54">
      <c r="AP560" s="86"/>
      <c r="AQ560" s="88"/>
      <c r="AR560" s="89"/>
      <c r="AS560" s="90"/>
      <c r="AV560" s="88"/>
      <c r="AW560" s="96"/>
      <c r="AX560" s="97"/>
      <c r="AY560" s="93"/>
      <c r="BB560" s="94"/>
    </row>
    <row r="561" spans="42:54">
      <c r="AP561" s="86"/>
      <c r="AQ561" s="88"/>
      <c r="AR561" s="89"/>
      <c r="AS561" s="90"/>
      <c r="AV561" s="88"/>
      <c r="AW561" s="96"/>
      <c r="AX561" s="97"/>
      <c r="AY561" s="93"/>
      <c r="BB561" s="94"/>
    </row>
    <row r="562" spans="42:54">
      <c r="AP562" s="86"/>
      <c r="AQ562" s="88"/>
      <c r="AR562" s="89"/>
      <c r="AS562" s="90"/>
      <c r="AV562" s="88"/>
      <c r="AW562" s="96"/>
      <c r="AX562" s="97"/>
      <c r="AY562" s="93"/>
      <c r="BB562" s="94"/>
    </row>
    <row r="563" spans="42:54">
      <c r="AP563" s="86"/>
      <c r="AQ563" s="88"/>
      <c r="AR563" s="89"/>
      <c r="AS563" s="90"/>
      <c r="AV563" s="88"/>
      <c r="AW563" s="96"/>
      <c r="AX563" s="97"/>
      <c r="AY563" s="93"/>
      <c r="BB563" s="94"/>
    </row>
    <row r="564" spans="42:54">
      <c r="AP564" s="86"/>
      <c r="AQ564" s="88"/>
      <c r="AR564" s="89"/>
      <c r="AS564" s="90"/>
      <c r="AV564" s="88"/>
      <c r="AW564" s="96"/>
      <c r="AX564" s="97"/>
      <c r="AY564" s="93"/>
      <c r="BB564" s="94"/>
    </row>
    <row r="565" spans="42:54">
      <c r="AP565" s="86"/>
      <c r="AQ565" s="88"/>
      <c r="AR565" s="89"/>
      <c r="AS565" s="90"/>
      <c r="AV565" s="88"/>
      <c r="AW565" s="96"/>
      <c r="AX565" s="97"/>
      <c r="AY565" s="93"/>
      <c r="BB565" s="94"/>
    </row>
    <row r="566" spans="42:54">
      <c r="AP566" s="86"/>
      <c r="AQ566" s="88"/>
      <c r="AR566" s="89"/>
      <c r="AS566" s="90"/>
      <c r="AV566" s="88"/>
      <c r="AW566" s="96"/>
      <c r="AX566" s="97"/>
      <c r="AY566" s="93"/>
      <c r="BB566" s="94"/>
    </row>
    <row r="567" spans="42:54">
      <c r="AP567" s="86"/>
      <c r="AQ567" s="88"/>
      <c r="AR567" s="89"/>
      <c r="AS567" s="90"/>
      <c r="AV567" s="88"/>
      <c r="AW567" s="96"/>
      <c r="AX567" s="97"/>
      <c r="AY567" s="93"/>
      <c r="BB567" s="94"/>
    </row>
    <row r="568" spans="42:54">
      <c r="AP568" s="86"/>
      <c r="AQ568" s="88"/>
      <c r="AR568" s="89"/>
      <c r="AS568" s="90"/>
      <c r="AV568" s="88"/>
      <c r="AW568" s="96"/>
      <c r="AX568" s="97"/>
      <c r="AY568" s="93"/>
      <c r="BB568" s="94"/>
    </row>
    <row r="569" spans="42:54">
      <c r="AP569" s="86"/>
      <c r="AQ569" s="88"/>
      <c r="AR569" s="89"/>
      <c r="AS569" s="90"/>
      <c r="AV569" s="88"/>
      <c r="AW569" s="96"/>
      <c r="AX569" s="97"/>
      <c r="AY569" s="93"/>
      <c r="BB569" s="94"/>
    </row>
    <row r="570" spans="42:54">
      <c r="AP570" s="86"/>
      <c r="AQ570" s="88"/>
      <c r="AR570" s="89"/>
      <c r="AS570" s="90"/>
      <c r="AV570" s="88"/>
      <c r="AW570" s="96"/>
      <c r="AX570" s="97"/>
      <c r="AY570" s="93"/>
      <c r="BB570" s="94"/>
    </row>
    <row r="571" spans="42:54">
      <c r="AP571" s="86"/>
      <c r="AQ571" s="88"/>
      <c r="AR571" s="89"/>
      <c r="AS571" s="90"/>
      <c r="AV571" s="88"/>
      <c r="AW571" s="96"/>
      <c r="AX571" s="97"/>
      <c r="AY571" s="93"/>
      <c r="BB571" s="94"/>
    </row>
    <row r="572" spans="42:54">
      <c r="AP572" s="86"/>
      <c r="AQ572" s="88"/>
      <c r="AR572" s="89"/>
      <c r="AS572" s="90"/>
      <c r="AV572" s="88"/>
      <c r="AW572" s="96"/>
      <c r="AX572" s="97"/>
      <c r="AY572" s="93"/>
      <c r="BB572" s="94"/>
    </row>
    <row r="573" spans="42:54">
      <c r="AP573" s="86"/>
      <c r="AQ573" s="88"/>
      <c r="AR573" s="89"/>
      <c r="AS573" s="90"/>
      <c r="AV573" s="88"/>
      <c r="AW573" s="96"/>
      <c r="AX573" s="97"/>
      <c r="AY573" s="93"/>
      <c r="BB573" s="94"/>
    </row>
    <row r="574" spans="42:54">
      <c r="AP574" s="86"/>
      <c r="AQ574" s="88"/>
      <c r="AR574" s="89"/>
      <c r="AS574" s="90"/>
      <c r="AV574" s="88"/>
      <c r="AW574" s="96"/>
      <c r="AX574" s="97"/>
      <c r="AY574" s="93"/>
      <c r="BB574" s="94"/>
    </row>
    <row r="575" spans="42:54">
      <c r="AP575" s="86"/>
      <c r="AQ575" s="88"/>
      <c r="AR575" s="89"/>
      <c r="AS575" s="90"/>
      <c r="AV575" s="88"/>
      <c r="AW575" s="96"/>
      <c r="AX575" s="97"/>
      <c r="AY575" s="93"/>
      <c r="BB575" s="94"/>
    </row>
    <row r="576" spans="42:54">
      <c r="AP576" s="86"/>
      <c r="AQ576" s="88"/>
      <c r="AR576" s="89"/>
      <c r="AS576" s="90"/>
      <c r="AV576" s="88"/>
      <c r="AW576" s="96"/>
      <c r="AX576" s="97"/>
      <c r="AY576" s="93"/>
      <c r="BB576" s="94"/>
    </row>
    <row r="577" spans="42:54">
      <c r="AP577" s="86"/>
      <c r="AQ577" s="88"/>
      <c r="AR577" s="89"/>
      <c r="AS577" s="90"/>
      <c r="AV577" s="88"/>
      <c r="AW577" s="96"/>
      <c r="AX577" s="97"/>
      <c r="AY577" s="93"/>
      <c r="BB577" s="94"/>
    </row>
    <row r="578" spans="42:54">
      <c r="AP578" s="86"/>
      <c r="AQ578" s="88"/>
      <c r="AR578" s="89"/>
      <c r="AS578" s="90"/>
      <c r="AV578" s="88"/>
      <c r="AW578" s="96"/>
      <c r="AX578" s="97"/>
      <c r="AY578" s="93"/>
      <c r="BB578" s="94"/>
    </row>
    <row r="579" spans="42:54">
      <c r="AP579" s="86"/>
      <c r="AQ579" s="88"/>
      <c r="AR579" s="89"/>
      <c r="AS579" s="90"/>
      <c r="AV579" s="88"/>
      <c r="AW579" s="96"/>
      <c r="AX579" s="97"/>
      <c r="AY579" s="93"/>
      <c r="BB579" s="94"/>
    </row>
    <row r="580" spans="42:54">
      <c r="AP580" s="86"/>
      <c r="AQ580" s="88"/>
      <c r="AR580" s="89"/>
      <c r="AS580" s="90"/>
      <c r="AV580" s="88"/>
      <c r="AW580" s="96"/>
      <c r="AX580" s="97"/>
      <c r="AY580" s="93"/>
      <c r="BB580" s="94"/>
    </row>
    <row r="581" spans="42:54">
      <c r="AP581" s="86"/>
      <c r="AQ581" s="88"/>
      <c r="AR581" s="89"/>
      <c r="AS581" s="90"/>
      <c r="AV581" s="88"/>
      <c r="AW581" s="96"/>
      <c r="AX581" s="97"/>
      <c r="AY581" s="93"/>
      <c r="BB581" s="94"/>
    </row>
    <row r="582" spans="42:54">
      <c r="AP582" s="86"/>
      <c r="AQ582" s="88"/>
      <c r="AR582" s="89"/>
      <c r="AS582" s="90"/>
      <c r="AV582" s="88"/>
      <c r="AW582" s="96"/>
      <c r="AX582" s="97"/>
      <c r="AY582" s="93"/>
      <c r="BB582" s="94"/>
    </row>
    <row r="583" spans="42:54">
      <c r="AP583" s="86"/>
      <c r="AQ583" s="88"/>
      <c r="AR583" s="89"/>
      <c r="AS583" s="90"/>
      <c r="AV583" s="88"/>
      <c r="AW583" s="96"/>
      <c r="AX583" s="97"/>
      <c r="AY583" s="93"/>
      <c r="BB583" s="94"/>
    </row>
    <row r="584" spans="42:54">
      <c r="AP584" s="86"/>
      <c r="AQ584" s="88"/>
      <c r="AR584" s="89"/>
      <c r="AS584" s="90"/>
      <c r="AV584" s="88"/>
      <c r="AW584" s="96"/>
      <c r="AX584" s="97"/>
      <c r="AY584" s="93"/>
      <c r="BB584" s="94"/>
    </row>
    <row r="585" spans="42:54">
      <c r="AP585" s="86"/>
      <c r="AQ585" s="88"/>
      <c r="AR585" s="89"/>
      <c r="AS585" s="90"/>
      <c r="AV585" s="88"/>
      <c r="AW585" s="96"/>
      <c r="AX585" s="97"/>
      <c r="AY585" s="93"/>
      <c r="BB585" s="94"/>
    </row>
    <row r="586" spans="42:54">
      <c r="AP586" s="86"/>
      <c r="AQ586" s="88"/>
      <c r="AR586" s="89"/>
      <c r="AS586" s="90"/>
      <c r="AV586" s="88"/>
      <c r="AW586" s="96"/>
      <c r="AX586" s="97"/>
      <c r="AY586" s="93"/>
      <c r="BB586" s="94"/>
    </row>
    <row r="587" spans="42:54">
      <c r="AP587" s="86"/>
      <c r="AQ587" s="88"/>
      <c r="AR587" s="89"/>
      <c r="AS587" s="90"/>
      <c r="AV587" s="88"/>
      <c r="AW587" s="96"/>
      <c r="AX587" s="97"/>
      <c r="AY587" s="93"/>
      <c r="BB587" s="94"/>
    </row>
    <row r="588" spans="42:54">
      <c r="AP588" s="86"/>
      <c r="AQ588" s="88"/>
      <c r="AR588" s="89"/>
      <c r="AS588" s="90"/>
      <c r="AV588" s="88"/>
      <c r="AW588" s="96"/>
      <c r="AX588" s="97"/>
      <c r="AY588" s="93"/>
      <c r="BB588" s="94"/>
    </row>
    <row r="589" spans="42:54">
      <c r="AP589" s="86"/>
      <c r="AQ589" s="88"/>
      <c r="AR589" s="89"/>
      <c r="AS589" s="90"/>
      <c r="AV589" s="88"/>
      <c r="AW589" s="96"/>
      <c r="AX589" s="97"/>
      <c r="AY589" s="93"/>
      <c r="BB589" s="94"/>
    </row>
    <row r="590" spans="42:54">
      <c r="AP590" s="86"/>
      <c r="AQ590" s="88"/>
      <c r="AR590" s="89"/>
      <c r="AS590" s="90"/>
      <c r="AV590" s="88"/>
      <c r="AW590" s="96"/>
      <c r="AX590" s="97"/>
      <c r="AY590" s="93"/>
      <c r="BB590" s="94"/>
    </row>
    <row r="591" spans="42:54">
      <c r="AP591" s="86"/>
      <c r="AQ591" s="88"/>
      <c r="AR591" s="89"/>
      <c r="AS591" s="90"/>
      <c r="AV591" s="88"/>
      <c r="AW591" s="96"/>
      <c r="AX591" s="97"/>
      <c r="AY591" s="93"/>
      <c r="BB591" s="94"/>
    </row>
    <row r="592" spans="42:54">
      <c r="AP592" s="86"/>
      <c r="AQ592" s="88"/>
      <c r="AR592" s="89"/>
      <c r="AS592" s="90"/>
      <c r="AV592" s="88"/>
      <c r="AW592" s="96"/>
      <c r="AX592" s="97"/>
      <c r="AY592" s="93"/>
      <c r="BB592" s="94"/>
    </row>
    <row r="593" spans="42:54">
      <c r="AP593" s="86"/>
      <c r="AQ593" s="88"/>
      <c r="AR593" s="89"/>
      <c r="AS593" s="90"/>
      <c r="AV593" s="88"/>
      <c r="AW593" s="96"/>
      <c r="AX593" s="97"/>
      <c r="AY593" s="93"/>
      <c r="BB593" s="94"/>
    </row>
    <row r="594" spans="42:54">
      <c r="AP594" s="86"/>
      <c r="AQ594" s="88"/>
      <c r="AR594" s="89"/>
      <c r="AS594" s="90"/>
      <c r="AV594" s="88"/>
      <c r="AW594" s="96"/>
      <c r="AX594" s="97"/>
      <c r="AY594" s="93"/>
      <c r="BB594" s="94"/>
    </row>
    <row r="595" spans="42:54">
      <c r="AP595" s="86"/>
      <c r="AQ595" s="88"/>
      <c r="AR595" s="89"/>
      <c r="AS595" s="90"/>
      <c r="AV595" s="88"/>
      <c r="AW595" s="96"/>
      <c r="AX595" s="97"/>
      <c r="AY595" s="93"/>
      <c r="BB595" s="94"/>
    </row>
    <row r="596" spans="42:54">
      <c r="AP596" s="86"/>
      <c r="AQ596" s="88"/>
      <c r="AR596" s="89"/>
      <c r="AS596" s="90"/>
      <c r="AV596" s="88"/>
      <c r="AW596" s="96"/>
      <c r="AX596" s="97"/>
      <c r="AY596" s="93"/>
      <c r="BB596" s="94"/>
    </row>
    <row r="597" spans="42:54">
      <c r="AP597" s="86"/>
      <c r="AQ597" s="88"/>
      <c r="AR597" s="89"/>
      <c r="AS597" s="90"/>
      <c r="AV597" s="88"/>
      <c r="AW597" s="96"/>
      <c r="AX597" s="97"/>
      <c r="AY597" s="93"/>
      <c r="BB597" s="94"/>
    </row>
    <row r="598" spans="42:54">
      <c r="AP598" s="86"/>
      <c r="AQ598" s="88"/>
      <c r="AR598" s="89"/>
      <c r="AS598" s="90"/>
      <c r="AV598" s="88"/>
      <c r="AW598" s="96"/>
      <c r="AX598" s="97"/>
      <c r="AY598" s="93"/>
      <c r="BB598" s="94"/>
    </row>
    <row r="599" spans="42:54">
      <c r="AP599" s="86"/>
      <c r="AQ599" s="88"/>
      <c r="AR599" s="89"/>
      <c r="AS599" s="90"/>
      <c r="AV599" s="88"/>
      <c r="AW599" s="96"/>
      <c r="AX599" s="97"/>
      <c r="AY599" s="93"/>
      <c r="BB599" s="94"/>
    </row>
    <row r="600" spans="42:54">
      <c r="AP600" s="86"/>
      <c r="AQ600" s="88"/>
      <c r="AR600" s="89"/>
      <c r="AS600" s="90"/>
      <c r="AV600" s="88"/>
      <c r="AW600" s="96"/>
      <c r="AX600" s="97"/>
      <c r="AY600" s="93"/>
      <c r="BB600" s="94"/>
    </row>
    <row r="601" spans="42:54">
      <c r="AP601" s="86"/>
      <c r="AQ601" s="88"/>
      <c r="AR601" s="89"/>
      <c r="AS601" s="90"/>
      <c r="AV601" s="88"/>
      <c r="AW601" s="96"/>
      <c r="AX601" s="97"/>
      <c r="AY601" s="93"/>
      <c r="BB601" s="94"/>
    </row>
    <row r="602" spans="42:54">
      <c r="AP602" s="86"/>
      <c r="AQ602" s="88"/>
      <c r="AR602" s="89"/>
      <c r="AS602" s="90"/>
      <c r="AV602" s="88"/>
      <c r="AW602" s="96"/>
      <c r="AX602" s="97"/>
      <c r="AY602" s="93"/>
      <c r="BB602" s="94"/>
    </row>
    <row r="603" spans="42:54">
      <c r="AP603" s="86"/>
      <c r="AQ603" s="88"/>
      <c r="AR603" s="89"/>
      <c r="AS603" s="90"/>
      <c r="AV603" s="88"/>
      <c r="AW603" s="96"/>
      <c r="AX603" s="97"/>
      <c r="AY603" s="93"/>
      <c r="BB603" s="94"/>
    </row>
    <row r="604" spans="42:54">
      <c r="AP604" s="86"/>
      <c r="AQ604" s="88"/>
      <c r="AR604" s="89"/>
      <c r="AS604" s="90"/>
      <c r="AV604" s="88"/>
      <c r="AW604" s="96"/>
      <c r="AX604" s="97"/>
      <c r="AY604" s="93"/>
      <c r="BB604" s="94"/>
    </row>
    <row r="605" spans="42:54">
      <c r="AP605" s="86"/>
      <c r="AQ605" s="88"/>
      <c r="AR605" s="89"/>
      <c r="AS605" s="90"/>
      <c r="AV605" s="88"/>
      <c r="AW605" s="96"/>
      <c r="AX605" s="97"/>
      <c r="AY605" s="93"/>
      <c r="BB605" s="94"/>
    </row>
    <row r="606" spans="42:54">
      <c r="AP606" s="86"/>
      <c r="AQ606" s="88"/>
      <c r="AR606" s="89"/>
      <c r="AS606" s="90"/>
      <c r="AV606" s="88"/>
      <c r="AW606" s="96"/>
      <c r="AX606" s="97"/>
      <c r="AY606" s="93"/>
      <c r="BB606" s="94"/>
    </row>
    <row r="607" spans="42:54">
      <c r="AP607" s="86"/>
      <c r="AQ607" s="88"/>
      <c r="AR607" s="89"/>
      <c r="AS607" s="90"/>
      <c r="AV607" s="88"/>
      <c r="AW607" s="96"/>
      <c r="AX607" s="97"/>
      <c r="AY607" s="93"/>
      <c r="BB607" s="94"/>
    </row>
    <row r="608" spans="42:54">
      <c r="AP608" s="86"/>
      <c r="AQ608" s="88"/>
      <c r="AR608" s="89"/>
      <c r="AS608" s="90"/>
      <c r="AV608" s="88"/>
      <c r="AW608" s="96"/>
      <c r="AX608" s="97"/>
      <c r="AY608" s="93"/>
      <c r="BB608" s="94"/>
    </row>
    <row r="609" spans="42:54">
      <c r="AP609" s="86"/>
      <c r="AQ609" s="88"/>
      <c r="AR609" s="89"/>
      <c r="AS609" s="90"/>
      <c r="AV609" s="88"/>
      <c r="AW609" s="96"/>
      <c r="AX609" s="97"/>
      <c r="AY609" s="93"/>
      <c r="BB609" s="94"/>
    </row>
    <row r="610" spans="42:54">
      <c r="AP610" s="86"/>
      <c r="AQ610" s="88"/>
      <c r="AR610" s="89"/>
      <c r="AS610" s="90"/>
      <c r="AV610" s="88"/>
      <c r="AW610" s="96"/>
      <c r="AX610" s="97"/>
      <c r="AY610" s="93"/>
      <c r="BB610" s="94"/>
    </row>
    <row r="611" spans="42:54">
      <c r="AP611" s="86"/>
      <c r="AQ611" s="88"/>
      <c r="AR611" s="89"/>
      <c r="AS611" s="90"/>
      <c r="AV611" s="88"/>
      <c r="AW611" s="96"/>
      <c r="AX611" s="97"/>
      <c r="AY611" s="93"/>
      <c r="BB611" s="94"/>
    </row>
    <row r="612" spans="42:54">
      <c r="AP612" s="86"/>
      <c r="AQ612" s="88"/>
      <c r="AR612" s="89"/>
      <c r="AS612" s="90"/>
      <c r="AV612" s="88"/>
      <c r="AW612" s="96"/>
      <c r="AX612" s="97"/>
      <c r="AY612" s="93"/>
      <c r="BB612" s="94"/>
    </row>
    <row r="613" spans="42:54">
      <c r="AP613" s="86"/>
      <c r="AQ613" s="88"/>
      <c r="AR613" s="89"/>
      <c r="AS613" s="90"/>
      <c r="AV613" s="88"/>
      <c r="AW613" s="96"/>
      <c r="AX613" s="97"/>
      <c r="AY613" s="93"/>
      <c r="BB613" s="94"/>
    </row>
    <row r="614" spans="42:54">
      <c r="AP614" s="86"/>
      <c r="AQ614" s="88"/>
      <c r="AR614" s="89"/>
      <c r="AS614" s="90"/>
      <c r="AV614" s="88"/>
      <c r="AW614" s="96"/>
      <c r="AX614" s="97"/>
      <c r="AY614" s="93"/>
      <c r="BB614" s="94"/>
    </row>
    <row r="615" spans="42:54">
      <c r="AP615" s="86"/>
      <c r="AQ615" s="88"/>
      <c r="AR615" s="89"/>
      <c r="AS615" s="90"/>
      <c r="AV615" s="88"/>
      <c r="AW615" s="96"/>
      <c r="AX615" s="97"/>
      <c r="AY615" s="93"/>
      <c r="BB615" s="94"/>
    </row>
    <row r="616" spans="42:54">
      <c r="AP616" s="86"/>
      <c r="AQ616" s="88"/>
      <c r="AR616" s="89"/>
      <c r="AS616" s="90"/>
      <c r="AV616" s="88"/>
      <c r="AW616" s="96"/>
      <c r="AX616" s="97"/>
      <c r="AY616" s="93"/>
      <c r="BB616" s="94"/>
    </row>
    <row r="617" spans="42:54">
      <c r="AP617" s="86"/>
      <c r="AQ617" s="88"/>
      <c r="AR617" s="89"/>
      <c r="AS617" s="90"/>
      <c r="AV617" s="88"/>
      <c r="AW617" s="96"/>
      <c r="AX617" s="97"/>
      <c r="AY617" s="93"/>
      <c r="BB617" s="94"/>
    </row>
    <row r="618" spans="42:54">
      <c r="AP618" s="86"/>
      <c r="AQ618" s="88"/>
      <c r="AR618" s="89"/>
      <c r="AS618" s="90"/>
      <c r="AV618" s="88"/>
      <c r="AW618" s="96"/>
      <c r="AX618" s="97"/>
      <c r="AY618" s="93"/>
      <c r="BB618" s="94"/>
    </row>
    <row r="619" spans="42:54">
      <c r="AP619" s="86"/>
      <c r="AQ619" s="88"/>
      <c r="AR619" s="89"/>
      <c r="AS619" s="90"/>
      <c r="AV619" s="88"/>
      <c r="AW619" s="96"/>
      <c r="AX619" s="97"/>
      <c r="AY619" s="93"/>
      <c r="BB619" s="94"/>
    </row>
    <row r="620" spans="42:54">
      <c r="AP620" s="86"/>
      <c r="AQ620" s="88"/>
      <c r="AR620" s="89"/>
      <c r="AS620" s="90"/>
      <c r="AV620" s="88"/>
      <c r="AW620" s="96"/>
      <c r="AX620" s="97"/>
      <c r="AY620" s="93"/>
      <c r="BB620" s="94"/>
    </row>
    <row r="621" spans="42:54">
      <c r="AP621" s="86"/>
      <c r="AQ621" s="88"/>
      <c r="AR621" s="89"/>
      <c r="AS621" s="90"/>
      <c r="AV621" s="88"/>
      <c r="AW621" s="96"/>
      <c r="AX621" s="97"/>
      <c r="AY621" s="93"/>
      <c r="BB621" s="94"/>
    </row>
    <row r="622" spans="42:54">
      <c r="AP622" s="86"/>
      <c r="AQ622" s="88"/>
      <c r="AR622" s="89"/>
      <c r="AS622" s="90"/>
      <c r="AV622" s="88"/>
      <c r="AW622" s="96"/>
      <c r="AX622" s="97"/>
      <c r="AY622" s="93"/>
      <c r="BB622" s="94"/>
    </row>
    <row r="623" spans="42:54">
      <c r="AP623" s="86"/>
      <c r="AQ623" s="88"/>
      <c r="AR623" s="89"/>
      <c r="AS623" s="90"/>
      <c r="AV623" s="88"/>
      <c r="AW623" s="96"/>
      <c r="AX623" s="97"/>
      <c r="AY623" s="93"/>
      <c r="BB623" s="94"/>
    </row>
    <row r="624" spans="42:54">
      <c r="AP624" s="86"/>
      <c r="AQ624" s="88"/>
      <c r="AR624" s="89"/>
      <c r="AS624" s="90"/>
      <c r="AV624" s="88"/>
      <c r="AW624" s="96"/>
      <c r="AX624" s="97"/>
      <c r="AY624" s="93"/>
      <c r="BB624" s="94"/>
    </row>
    <row r="625" spans="42:54">
      <c r="AP625" s="86"/>
      <c r="AQ625" s="88"/>
      <c r="AR625" s="89"/>
      <c r="AS625" s="90"/>
      <c r="AV625" s="88"/>
      <c r="AW625" s="96"/>
      <c r="AX625" s="97"/>
      <c r="AY625" s="93"/>
      <c r="BB625" s="94"/>
    </row>
    <row r="626" spans="42:54">
      <c r="AP626" s="86"/>
      <c r="AQ626" s="88"/>
      <c r="AR626" s="89"/>
      <c r="AS626" s="90"/>
      <c r="AV626" s="88"/>
      <c r="AW626" s="96"/>
      <c r="AX626" s="97"/>
      <c r="AY626" s="93"/>
      <c r="BB626" s="94"/>
    </row>
    <row r="627" spans="42:54">
      <c r="AP627" s="86"/>
      <c r="AQ627" s="88"/>
      <c r="AR627" s="89"/>
      <c r="AS627" s="90"/>
      <c r="AV627" s="88"/>
      <c r="AW627" s="96"/>
      <c r="AX627" s="97"/>
      <c r="AY627" s="93"/>
      <c r="BB627" s="94"/>
    </row>
    <row r="628" spans="42:54">
      <c r="AP628" s="86"/>
      <c r="AQ628" s="88"/>
      <c r="AR628" s="89"/>
      <c r="AS628" s="90"/>
      <c r="AV628" s="88"/>
      <c r="AW628" s="96"/>
      <c r="AX628" s="97"/>
      <c r="AY628" s="93"/>
      <c r="BB628" s="94"/>
    </row>
    <row r="629" spans="42:54">
      <c r="AP629" s="86"/>
      <c r="AQ629" s="88"/>
      <c r="AR629" s="89"/>
      <c r="AS629" s="90"/>
      <c r="AV629" s="88"/>
      <c r="AW629" s="96"/>
      <c r="AX629" s="97"/>
      <c r="AY629" s="93"/>
      <c r="BB629" s="94"/>
    </row>
    <row r="630" spans="42:54">
      <c r="AP630" s="86"/>
      <c r="AQ630" s="88"/>
      <c r="AR630" s="89"/>
      <c r="AS630" s="90"/>
      <c r="AV630" s="88"/>
      <c r="AW630" s="96"/>
      <c r="AX630" s="97"/>
      <c r="AY630" s="93"/>
      <c r="BB630" s="94"/>
    </row>
    <row r="631" spans="42:54">
      <c r="AP631" s="86"/>
      <c r="AQ631" s="88"/>
      <c r="AR631" s="89"/>
      <c r="AS631" s="90"/>
      <c r="AV631" s="88"/>
      <c r="AW631" s="96"/>
      <c r="AX631" s="97"/>
      <c r="AY631" s="93"/>
      <c r="BB631" s="94"/>
    </row>
    <row r="632" spans="42:54">
      <c r="AP632" s="86"/>
      <c r="AQ632" s="88"/>
      <c r="AR632" s="89"/>
      <c r="AS632" s="90"/>
      <c r="AV632" s="88"/>
      <c r="AW632" s="96"/>
      <c r="AX632" s="97"/>
      <c r="AY632" s="93"/>
      <c r="BB632" s="94"/>
    </row>
    <row r="633" spans="42:54">
      <c r="AP633" s="86"/>
      <c r="AQ633" s="88"/>
      <c r="AR633" s="89"/>
      <c r="AS633" s="90"/>
      <c r="AV633" s="88"/>
      <c r="AW633" s="96"/>
      <c r="AX633" s="97"/>
      <c r="AY633" s="93"/>
      <c r="BB633" s="94"/>
    </row>
    <row r="634" spans="42:54">
      <c r="AP634" s="86"/>
      <c r="AQ634" s="88"/>
      <c r="AR634" s="89"/>
      <c r="AS634" s="90"/>
      <c r="AV634" s="88"/>
      <c r="AW634" s="96"/>
      <c r="AX634" s="97"/>
      <c r="AY634" s="93"/>
      <c r="BB634" s="94"/>
    </row>
    <row r="635" spans="42:54">
      <c r="AP635" s="86"/>
      <c r="AQ635" s="88"/>
      <c r="AR635" s="89"/>
      <c r="AS635" s="90"/>
      <c r="AV635" s="88"/>
      <c r="AW635" s="96"/>
      <c r="AX635" s="97"/>
      <c r="AY635" s="93"/>
      <c r="BB635" s="94"/>
    </row>
    <row r="636" spans="42:54">
      <c r="AP636" s="86"/>
      <c r="AQ636" s="88"/>
      <c r="AR636" s="89"/>
      <c r="AS636" s="90"/>
      <c r="AV636" s="88"/>
      <c r="AW636" s="96"/>
      <c r="AX636" s="97"/>
      <c r="AY636" s="93"/>
      <c r="BB636" s="94"/>
    </row>
    <row r="637" spans="42:54">
      <c r="AP637" s="86"/>
      <c r="AQ637" s="88"/>
      <c r="AR637" s="89"/>
      <c r="AS637" s="90"/>
      <c r="AV637" s="88"/>
      <c r="AW637" s="96"/>
      <c r="AX637" s="97"/>
      <c r="AY637" s="93"/>
      <c r="BB637" s="94"/>
    </row>
    <row r="638" spans="42:54">
      <c r="AP638" s="86"/>
      <c r="AQ638" s="88"/>
      <c r="AR638" s="89"/>
      <c r="AS638" s="90"/>
      <c r="AV638" s="88"/>
      <c r="AW638" s="96"/>
      <c r="AX638" s="97"/>
      <c r="AY638" s="93"/>
      <c r="BB638" s="94"/>
    </row>
    <row r="639" spans="42:54">
      <c r="AP639" s="86"/>
      <c r="AQ639" s="88"/>
      <c r="AR639" s="89"/>
      <c r="AS639" s="90"/>
      <c r="AV639" s="88"/>
      <c r="AW639" s="96"/>
      <c r="AX639" s="97"/>
      <c r="AY639" s="93"/>
      <c r="BB639" s="94"/>
    </row>
    <row r="640" spans="42:54">
      <c r="AP640" s="86"/>
      <c r="AQ640" s="88"/>
      <c r="AR640" s="89"/>
      <c r="AS640" s="90"/>
      <c r="AV640" s="88"/>
      <c r="AW640" s="96"/>
      <c r="AX640" s="97"/>
      <c r="AY640" s="93"/>
      <c r="BB640" s="94"/>
    </row>
    <row r="641" spans="42:54">
      <c r="AP641" s="86"/>
      <c r="AQ641" s="88"/>
      <c r="AR641" s="89"/>
      <c r="AS641" s="90"/>
      <c r="AV641" s="88"/>
      <c r="AW641" s="96"/>
      <c r="AX641" s="97"/>
      <c r="AY641" s="93"/>
      <c r="BB641" s="94"/>
    </row>
    <row r="642" spans="42:54">
      <c r="AP642" s="86"/>
      <c r="AQ642" s="88"/>
      <c r="AR642" s="89"/>
      <c r="AS642" s="90"/>
      <c r="AV642" s="88"/>
      <c r="AW642" s="96"/>
      <c r="AX642" s="97"/>
      <c r="AY642" s="93"/>
      <c r="BB642" s="94"/>
    </row>
    <row r="643" spans="42:54">
      <c r="AP643" s="86"/>
      <c r="AQ643" s="88"/>
      <c r="AR643" s="89"/>
      <c r="AS643" s="90"/>
      <c r="AV643" s="88"/>
      <c r="AW643" s="96"/>
      <c r="AX643" s="97"/>
      <c r="AY643" s="93"/>
      <c r="BB643" s="94"/>
    </row>
    <row r="644" spans="42:54">
      <c r="AP644" s="86"/>
      <c r="AQ644" s="88"/>
      <c r="AR644" s="89"/>
      <c r="AS644" s="90"/>
      <c r="AV644" s="88"/>
      <c r="AW644" s="96"/>
      <c r="AX644" s="97"/>
      <c r="AY644" s="93"/>
      <c r="BB644" s="94"/>
    </row>
    <row r="645" spans="42:54">
      <c r="AP645" s="86"/>
      <c r="AQ645" s="88"/>
      <c r="AR645" s="89"/>
      <c r="AS645" s="90"/>
      <c r="AV645" s="88"/>
      <c r="AW645" s="96"/>
      <c r="AX645" s="97"/>
      <c r="AY645" s="93"/>
      <c r="BB645" s="94"/>
    </row>
    <row r="646" spans="42:54">
      <c r="AP646" s="86"/>
      <c r="AQ646" s="88"/>
      <c r="AR646" s="89"/>
      <c r="AS646" s="90"/>
      <c r="AV646" s="88"/>
      <c r="AW646" s="96"/>
      <c r="AX646" s="97"/>
      <c r="AY646" s="93"/>
      <c r="BB646" s="94"/>
    </row>
    <row r="647" spans="42:54">
      <c r="AP647" s="86"/>
      <c r="AQ647" s="88"/>
      <c r="AR647" s="89"/>
      <c r="AS647" s="90"/>
      <c r="AV647" s="88"/>
      <c r="AW647" s="96"/>
      <c r="AX647" s="97"/>
      <c r="AY647" s="93"/>
      <c r="BB647" s="94"/>
    </row>
    <row r="648" spans="42:54">
      <c r="AP648" s="86"/>
      <c r="AQ648" s="88"/>
      <c r="AR648" s="89"/>
      <c r="AS648" s="90"/>
      <c r="AV648" s="88"/>
      <c r="AW648" s="96"/>
      <c r="AX648" s="97"/>
      <c r="AY648" s="93"/>
      <c r="BB648" s="94"/>
    </row>
    <row r="649" spans="42:54">
      <c r="AP649" s="86"/>
      <c r="AQ649" s="88"/>
      <c r="AR649" s="89"/>
      <c r="AS649" s="90"/>
      <c r="AV649" s="88"/>
      <c r="AW649" s="96"/>
      <c r="AX649" s="97"/>
      <c r="AY649" s="93"/>
      <c r="BB649" s="94"/>
    </row>
    <row r="650" spans="42:54">
      <c r="AP650" s="86"/>
      <c r="AQ650" s="88"/>
      <c r="AR650" s="89"/>
      <c r="AS650" s="90"/>
      <c r="AV650" s="88"/>
      <c r="AW650" s="96"/>
      <c r="AX650" s="97"/>
      <c r="AY650" s="93"/>
      <c r="BB650" s="94"/>
    </row>
    <row r="651" spans="42:54">
      <c r="AP651" s="86"/>
      <c r="AQ651" s="88"/>
      <c r="AR651" s="89"/>
      <c r="AS651" s="90"/>
      <c r="AV651" s="88"/>
      <c r="AW651" s="96"/>
      <c r="AX651" s="97"/>
      <c r="AY651" s="93"/>
      <c r="BB651" s="94"/>
    </row>
    <row r="652" spans="42:54">
      <c r="AP652" s="86"/>
      <c r="AQ652" s="88"/>
      <c r="AR652" s="89"/>
      <c r="AS652" s="90"/>
      <c r="AV652" s="88"/>
      <c r="AW652" s="96"/>
      <c r="AX652" s="97"/>
      <c r="AY652" s="93"/>
      <c r="BB652" s="94"/>
    </row>
    <row r="653" spans="42:54">
      <c r="AP653" s="86"/>
      <c r="AQ653" s="88"/>
      <c r="AR653" s="89"/>
      <c r="AS653" s="90"/>
      <c r="AV653" s="88"/>
      <c r="AW653" s="96"/>
      <c r="AX653" s="97"/>
      <c r="AY653" s="93"/>
      <c r="BB653" s="94"/>
    </row>
    <row r="654" spans="42:54">
      <c r="AP654" s="86"/>
      <c r="AQ654" s="88"/>
      <c r="AR654" s="89"/>
      <c r="AS654" s="90"/>
      <c r="AV654" s="88"/>
      <c r="AW654" s="96"/>
      <c r="AX654" s="97"/>
      <c r="AY654" s="93"/>
      <c r="BB654" s="94"/>
    </row>
    <row r="655" spans="42:54">
      <c r="AP655" s="86"/>
      <c r="AQ655" s="88"/>
      <c r="AR655" s="89"/>
      <c r="AS655" s="90"/>
      <c r="AV655" s="88"/>
      <c r="AW655" s="96"/>
      <c r="AX655" s="97"/>
      <c r="AY655" s="93"/>
      <c r="BB655" s="94"/>
    </row>
    <row r="656" spans="42:54">
      <c r="AP656" s="86"/>
      <c r="AQ656" s="88"/>
      <c r="AR656" s="89"/>
      <c r="AS656" s="90"/>
      <c r="AV656" s="88"/>
      <c r="AW656" s="96"/>
      <c r="AX656" s="97"/>
      <c r="AY656" s="93"/>
      <c r="BB656" s="94"/>
    </row>
    <row r="657" spans="42:54">
      <c r="AP657" s="86"/>
      <c r="AQ657" s="88"/>
      <c r="AR657" s="89"/>
      <c r="AS657" s="90"/>
      <c r="AV657" s="88"/>
      <c r="AW657" s="96"/>
      <c r="AX657" s="97"/>
      <c r="AY657" s="93"/>
      <c r="BB657" s="94"/>
    </row>
    <row r="658" spans="42:54">
      <c r="AP658" s="86"/>
      <c r="AQ658" s="88"/>
      <c r="AR658" s="89"/>
      <c r="AS658" s="90"/>
      <c r="AV658" s="88"/>
      <c r="AW658" s="96"/>
      <c r="AX658" s="97"/>
      <c r="AY658" s="93"/>
      <c r="BB658" s="94"/>
    </row>
    <row r="659" spans="42:54">
      <c r="AP659" s="86"/>
      <c r="AQ659" s="88"/>
      <c r="AR659" s="89"/>
      <c r="AS659" s="90"/>
      <c r="AV659" s="88"/>
      <c r="AW659" s="96"/>
      <c r="AX659" s="97"/>
      <c r="AY659" s="93"/>
      <c r="BB659" s="94"/>
    </row>
    <row r="660" spans="42:54">
      <c r="AP660" s="86"/>
      <c r="AQ660" s="88"/>
      <c r="AR660" s="89"/>
      <c r="AS660" s="90"/>
      <c r="AV660" s="88"/>
      <c r="AW660" s="96"/>
      <c r="AX660" s="97"/>
      <c r="AY660" s="93"/>
      <c r="BB660" s="94"/>
    </row>
    <row r="661" spans="42:54">
      <c r="AP661" s="86"/>
      <c r="AQ661" s="88"/>
      <c r="AR661" s="89"/>
      <c r="AS661" s="90"/>
      <c r="AV661" s="88"/>
      <c r="AW661" s="96"/>
      <c r="AX661" s="97"/>
      <c r="AY661" s="93"/>
      <c r="BB661" s="94"/>
    </row>
    <row r="662" spans="42:54">
      <c r="AP662" s="86"/>
      <c r="AQ662" s="88"/>
      <c r="AR662" s="89"/>
      <c r="AS662" s="90"/>
      <c r="AV662" s="88"/>
      <c r="AW662" s="96"/>
      <c r="AX662" s="97"/>
      <c r="AY662" s="93"/>
      <c r="BB662" s="94"/>
    </row>
    <row r="663" spans="42:54">
      <c r="AP663" s="86"/>
      <c r="AQ663" s="88"/>
      <c r="AR663" s="89"/>
      <c r="AS663" s="90"/>
      <c r="AV663" s="88"/>
      <c r="AW663" s="96"/>
      <c r="AX663" s="97"/>
      <c r="AY663" s="93"/>
      <c r="BB663" s="94"/>
    </row>
    <row r="664" spans="42:54">
      <c r="AP664" s="86"/>
      <c r="AQ664" s="88"/>
      <c r="AR664" s="89"/>
      <c r="AS664" s="90"/>
      <c r="AV664" s="88"/>
      <c r="AW664" s="96"/>
      <c r="AX664" s="97"/>
      <c r="AY664" s="93"/>
      <c r="BB664" s="94"/>
    </row>
    <row r="665" spans="42:54">
      <c r="AP665" s="86"/>
      <c r="AQ665" s="88"/>
      <c r="AR665" s="89"/>
      <c r="AS665" s="90"/>
      <c r="AV665" s="88"/>
      <c r="AW665" s="96"/>
      <c r="AX665" s="97"/>
      <c r="AY665" s="93"/>
      <c r="BB665" s="94"/>
    </row>
    <row r="666" spans="42:54">
      <c r="AP666" s="86"/>
      <c r="AQ666" s="88"/>
      <c r="AR666" s="89"/>
      <c r="AS666" s="90"/>
      <c r="AV666" s="88"/>
      <c r="AW666" s="96"/>
      <c r="AX666" s="97"/>
      <c r="AY666" s="93"/>
      <c r="BB666" s="94"/>
    </row>
    <row r="667" spans="42:54">
      <c r="AP667" s="86"/>
      <c r="AQ667" s="88"/>
      <c r="AR667" s="89"/>
      <c r="AS667" s="90"/>
      <c r="AV667" s="88"/>
      <c r="AW667" s="96"/>
      <c r="AX667" s="97"/>
      <c r="AY667" s="93"/>
      <c r="BB667" s="94"/>
    </row>
    <row r="668" spans="42:54">
      <c r="AP668" s="86"/>
      <c r="AQ668" s="88"/>
      <c r="AR668" s="89"/>
      <c r="AS668" s="90"/>
      <c r="AV668" s="88"/>
      <c r="AW668" s="96"/>
      <c r="AX668" s="97"/>
      <c r="AY668" s="93"/>
      <c r="BB668" s="94"/>
    </row>
    <row r="669" spans="42:54">
      <c r="AP669" s="86"/>
      <c r="AQ669" s="88"/>
      <c r="AR669" s="89"/>
      <c r="AS669" s="90"/>
      <c r="AV669" s="88"/>
      <c r="AW669" s="96"/>
      <c r="AX669" s="97"/>
      <c r="AY669" s="93"/>
      <c r="BB669" s="94"/>
    </row>
    <row r="670" spans="42:54">
      <c r="AP670" s="86"/>
      <c r="AQ670" s="88"/>
      <c r="AR670" s="89"/>
      <c r="AS670" s="90"/>
      <c r="AV670" s="88"/>
      <c r="AW670" s="96"/>
      <c r="AX670" s="97"/>
      <c r="AY670" s="93"/>
      <c r="BB670" s="94"/>
    </row>
    <row r="671" spans="42:54">
      <c r="AP671" s="86"/>
      <c r="AQ671" s="88"/>
      <c r="AR671" s="89"/>
      <c r="AS671" s="90"/>
      <c r="AV671" s="88"/>
      <c r="AW671" s="96"/>
      <c r="AX671" s="97"/>
      <c r="AY671" s="93"/>
      <c r="BB671" s="94"/>
    </row>
    <row r="672" spans="42:54">
      <c r="AP672" s="86"/>
      <c r="AQ672" s="88"/>
      <c r="AR672" s="89"/>
      <c r="AS672" s="90"/>
      <c r="AV672" s="88"/>
      <c r="AW672" s="96"/>
      <c r="AX672" s="97"/>
      <c r="AY672" s="93"/>
      <c r="BB672" s="94"/>
    </row>
    <row r="673" spans="42:54">
      <c r="AP673" s="86"/>
      <c r="AQ673" s="88"/>
      <c r="AR673" s="89"/>
      <c r="AS673" s="90"/>
      <c r="AV673" s="88"/>
      <c r="AW673" s="96"/>
      <c r="AX673" s="97"/>
      <c r="AY673" s="93"/>
      <c r="BB673" s="94"/>
    </row>
    <row r="674" spans="42:54">
      <c r="AP674" s="86"/>
      <c r="AQ674" s="88"/>
      <c r="AR674" s="89"/>
      <c r="AS674" s="90"/>
      <c r="AV674" s="88"/>
      <c r="AW674" s="96"/>
      <c r="AX674" s="97"/>
      <c r="AY674" s="93"/>
      <c r="BB674" s="94"/>
    </row>
    <row r="675" spans="42:54">
      <c r="AP675" s="86"/>
      <c r="AQ675" s="88"/>
      <c r="AR675" s="89"/>
      <c r="AS675" s="90"/>
      <c r="AV675" s="88"/>
      <c r="AW675" s="96"/>
      <c r="AX675" s="97"/>
      <c r="AY675" s="93"/>
      <c r="BB675" s="94"/>
    </row>
    <row r="676" spans="42:54">
      <c r="AP676" s="86"/>
      <c r="AQ676" s="88"/>
      <c r="AR676" s="89"/>
      <c r="AS676" s="90"/>
      <c r="AV676" s="88"/>
      <c r="AW676" s="96"/>
      <c r="AX676" s="97"/>
      <c r="AY676" s="93"/>
      <c r="BB676" s="94"/>
    </row>
    <row r="677" spans="42:54">
      <c r="AP677" s="86"/>
      <c r="AQ677" s="88"/>
      <c r="AR677" s="89"/>
      <c r="AS677" s="90"/>
      <c r="AV677" s="88"/>
      <c r="AW677" s="96"/>
      <c r="AX677" s="97"/>
      <c r="AY677" s="93"/>
      <c r="BB677" s="94"/>
    </row>
    <row r="678" spans="42:54">
      <c r="AP678" s="86"/>
      <c r="AQ678" s="88"/>
      <c r="AR678" s="89"/>
      <c r="AS678" s="90"/>
      <c r="AV678" s="88"/>
      <c r="AW678" s="96"/>
      <c r="AX678" s="97"/>
      <c r="AY678" s="93"/>
      <c r="BB678" s="94"/>
    </row>
    <row r="679" spans="42:54">
      <c r="AP679" s="86"/>
      <c r="AQ679" s="88"/>
      <c r="AR679" s="89"/>
      <c r="AS679" s="90"/>
      <c r="AV679" s="88"/>
      <c r="AW679" s="96"/>
      <c r="AX679" s="97"/>
      <c r="AY679" s="93"/>
      <c r="BB679" s="94"/>
    </row>
    <row r="680" spans="42:54">
      <c r="AP680" s="86"/>
      <c r="AQ680" s="88"/>
      <c r="AR680" s="89"/>
      <c r="AS680" s="90"/>
      <c r="AV680" s="88"/>
      <c r="AW680" s="96"/>
      <c r="AX680" s="97"/>
      <c r="AY680" s="93"/>
      <c r="BB680" s="94"/>
    </row>
    <row r="681" spans="42:54">
      <c r="AP681" s="86"/>
      <c r="AQ681" s="88"/>
      <c r="AR681" s="89"/>
      <c r="AS681" s="90"/>
      <c r="AV681" s="88"/>
      <c r="AW681" s="96"/>
      <c r="AX681" s="97"/>
      <c r="AY681" s="93"/>
      <c r="BB681" s="94"/>
    </row>
    <row r="682" spans="42:54">
      <c r="AP682" s="86"/>
      <c r="AQ682" s="88"/>
      <c r="AR682" s="89"/>
      <c r="AS682" s="90"/>
      <c r="AV682" s="88"/>
      <c r="AW682" s="96"/>
      <c r="AX682" s="97"/>
      <c r="AY682" s="93"/>
      <c r="BB682" s="94"/>
    </row>
    <row r="683" spans="42:54">
      <c r="AP683" s="86"/>
      <c r="AQ683" s="88"/>
      <c r="AR683" s="89"/>
      <c r="AS683" s="90"/>
      <c r="AV683" s="88"/>
      <c r="AW683" s="96"/>
      <c r="AX683" s="97"/>
      <c r="AY683" s="93"/>
      <c r="BB683" s="94"/>
    </row>
    <row r="684" spans="42:54">
      <c r="AP684" s="86"/>
      <c r="AQ684" s="88"/>
      <c r="AR684" s="89"/>
      <c r="AS684" s="90"/>
      <c r="AV684" s="88"/>
      <c r="AW684" s="96"/>
      <c r="AX684" s="97"/>
      <c r="AY684" s="93"/>
      <c r="BB684" s="94"/>
    </row>
    <row r="685" spans="42:54">
      <c r="AP685" s="86"/>
      <c r="AQ685" s="88"/>
      <c r="AR685" s="89"/>
      <c r="AS685" s="90"/>
      <c r="AV685" s="88"/>
      <c r="AW685" s="96"/>
      <c r="AX685" s="97"/>
      <c r="AY685" s="93"/>
      <c r="BB685" s="94"/>
    </row>
    <row r="686" spans="42:54">
      <c r="AP686" s="86"/>
      <c r="AQ686" s="88"/>
      <c r="AR686" s="89"/>
      <c r="AS686" s="90"/>
      <c r="AV686" s="88"/>
      <c r="AW686" s="96"/>
      <c r="AX686" s="97"/>
      <c r="AY686" s="93"/>
      <c r="BB686" s="94"/>
    </row>
    <row r="687" spans="42:54">
      <c r="AP687" s="86"/>
      <c r="AQ687" s="88"/>
      <c r="AR687" s="89"/>
      <c r="AS687" s="90"/>
      <c r="AV687" s="88"/>
      <c r="AW687" s="96"/>
      <c r="AX687" s="97"/>
      <c r="AY687" s="93"/>
      <c r="BB687" s="94"/>
    </row>
    <row r="688" spans="42:54">
      <c r="AP688" s="86"/>
      <c r="AQ688" s="88"/>
      <c r="AR688" s="89"/>
      <c r="AS688" s="90"/>
      <c r="AV688" s="88"/>
      <c r="AW688" s="96"/>
      <c r="AX688" s="97"/>
      <c r="AY688" s="93"/>
      <c r="BB688" s="94"/>
    </row>
    <row r="689" spans="42:54">
      <c r="AP689" s="86"/>
      <c r="AQ689" s="88"/>
      <c r="AR689" s="89"/>
      <c r="AS689" s="90"/>
      <c r="AV689" s="88"/>
      <c r="AW689" s="96"/>
      <c r="AX689" s="97"/>
      <c r="AY689" s="93"/>
      <c r="BB689" s="94"/>
    </row>
    <row r="690" spans="42:54">
      <c r="AP690" s="86"/>
      <c r="AQ690" s="88"/>
      <c r="AR690" s="89"/>
      <c r="AS690" s="90"/>
      <c r="AV690" s="88"/>
      <c r="AW690" s="96"/>
      <c r="AX690" s="97"/>
      <c r="AY690" s="93"/>
      <c r="BB690" s="94"/>
    </row>
    <row r="691" spans="42:54">
      <c r="AP691" s="86"/>
      <c r="AQ691" s="88"/>
      <c r="AR691" s="89"/>
      <c r="AS691" s="90"/>
      <c r="AV691" s="88"/>
      <c r="AW691" s="96"/>
      <c r="AX691" s="97"/>
      <c r="AY691" s="93"/>
      <c r="BB691" s="94"/>
    </row>
    <row r="692" spans="42:54">
      <c r="AP692" s="86"/>
      <c r="AQ692" s="88"/>
      <c r="AR692" s="89"/>
      <c r="AS692" s="90"/>
      <c r="AV692" s="88"/>
      <c r="AW692" s="96"/>
      <c r="AX692" s="97"/>
      <c r="AY692" s="93"/>
      <c r="BB692" s="94"/>
    </row>
    <row r="693" spans="42:54">
      <c r="AP693" s="86"/>
      <c r="AQ693" s="88"/>
      <c r="AR693" s="89"/>
      <c r="AS693" s="90"/>
      <c r="AV693" s="88"/>
      <c r="AW693" s="96"/>
      <c r="AX693" s="97"/>
      <c r="AY693" s="93"/>
      <c r="BB693" s="94"/>
    </row>
    <row r="694" spans="42:54">
      <c r="AP694" s="86"/>
      <c r="AQ694" s="88"/>
      <c r="AR694" s="89"/>
      <c r="AS694" s="90"/>
      <c r="AV694" s="88"/>
      <c r="AW694" s="96"/>
      <c r="AX694" s="97"/>
      <c r="AY694" s="93"/>
      <c r="BB694" s="94"/>
    </row>
    <row r="695" spans="42:54">
      <c r="AP695" s="86"/>
      <c r="AQ695" s="88"/>
      <c r="AR695" s="89"/>
      <c r="AS695" s="90"/>
      <c r="AV695" s="88"/>
      <c r="AW695" s="96"/>
      <c r="AX695" s="97"/>
      <c r="AY695" s="93"/>
      <c r="BB695" s="94"/>
    </row>
    <row r="696" spans="42:54">
      <c r="AP696" s="86"/>
      <c r="AQ696" s="88"/>
      <c r="AR696" s="89"/>
      <c r="AS696" s="90"/>
      <c r="AV696" s="88"/>
      <c r="AW696" s="96"/>
      <c r="AX696" s="97"/>
      <c r="AY696" s="93"/>
      <c r="BB696" s="94"/>
    </row>
    <row r="697" spans="42:54">
      <c r="AP697" s="86"/>
      <c r="AQ697" s="88"/>
      <c r="AR697" s="89"/>
      <c r="AS697" s="90"/>
      <c r="AV697" s="88"/>
      <c r="AW697" s="96"/>
      <c r="AX697" s="97"/>
      <c r="AY697" s="93"/>
      <c r="BB697" s="94"/>
    </row>
    <row r="698" spans="42:54">
      <c r="AP698" s="86"/>
      <c r="AQ698" s="88"/>
      <c r="AR698" s="89"/>
      <c r="AS698" s="90"/>
      <c r="AV698" s="88"/>
      <c r="AW698" s="96"/>
      <c r="AX698" s="97"/>
      <c r="AY698" s="93"/>
      <c r="BB698" s="94"/>
    </row>
    <row r="699" spans="42:54">
      <c r="AP699" s="86"/>
      <c r="AQ699" s="88"/>
      <c r="AR699" s="89"/>
      <c r="AS699" s="90"/>
      <c r="AV699" s="88"/>
      <c r="AW699" s="96"/>
      <c r="AX699" s="97"/>
      <c r="AY699" s="93"/>
      <c r="BB699" s="94"/>
    </row>
    <row r="700" spans="42:54">
      <c r="AP700" s="86"/>
      <c r="AQ700" s="88"/>
      <c r="AR700" s="89"/>
      <c r="AS700" s="90"/>
      <c r="AV700" s="88"/>
      <c r="AW700" s="96"/>
      <c r="AX700" s="97"/>
      <c r="AY700" s="93"/>
      <c r="BB700" s="94"/>
    </row>
    <row r="701" spans="42:54">
      <c r="AP701" s="86"/>
      <c r="AQ701" s="88"/>
      <c r="AR701" s="89"/>
      <c r="AS701" s="90"/>
      <c r="AV701" s="88"/>
      <c r="AW701" s="96"/>
      <c r="AX701" s="97"/>
      <c r="AY701" s="93"/>
      <c r="BB701" s="94"/>
    </row>
    <row r="702" spans="42:54">
      <c r="AP702" s="86"/>
      <c r="AQ702" s="88"/>
      <c r="AR702" s="89"/>
      <c r="AS702" s="90"/>
      <c r="AV702" s="88"/>
      <c r="AW702" s="96"/>
      <c r="AX702" s="97"/>
      <c r="AY702" s="93"/>
      <c r="BB702" s="94"/>
    </row>
    <row r="703" spans="42:54">
      <c r="AP703" s="86"/>
      <c r="AQ703" s="88"/>
      <c r="AR703" s="89"/>
      <c r="AS703" s="90"/>
      <c r="AV703" s="88"/>
      <c r="AW703" s="96"/>
      <c r="AX703" s="97"/>
      <c r="AY703" s="93"/>
      <c r="BB703" s="94"/>
    </row>
    <row r="704" spans="42:54">
      <c r="AP704" s="86"/>
      <c r="AQ704" s="88"/>
      <c r="AR704" s="89"/>
      <c r="AS704" s="90"/>
      <c r="AV704" s="88"/>
      <c r="AW704" s="96"/>
      <c r="AX704" s="97"/>
      <c r="AY704" s="93"/>
      <c r="BB704" s="94"/>
    </row>
    <row r="705" spans="42:54">
      <c r="AP705" s="86"/>
      <c r="AQ705" s="88"/>
      <c r="AR705" s="89"/>
      <c r="AS705" s="90"/>
      <c r="AV705" s="88"/>
      <c r="AW705" s="96"/>
      <c r="AX705" s="97"/>
      <c r="AY705" s="93"/>
      <c r="BB705" s="94"/>
    </row>
    <row r="706" spans="42:54">
      <c r="AP706" s="86"/>
      <c r="AQ706" s="88"/>
      <c r="AR706" s="89"/>
      <c r="AS706" s="90"/>
      <c r="AV706" s="88"/>
      <c r="AW706" s="96"/>
      <c r="AX706" s="97"/>
      <c r="AY706" s="93"/>
      <c r="BB706" s="94"/>
    </row>
    <row r="707" spans="42:54">
      <c r="AP707" s="86"/>
      <c r="AQ707" s="88"/>
      <c r="AR707" s="89"/>
      <c r="AS707" s="90"/>
      <c r="AV707" s="88"/>
      <c r="AW707" s="96"/>
      <c r="AX707" s="97"/>
      <c r="AY707" s="93"/>
      <c r="BB707" s="94"/>
    </row>
    <row r="708" spans="42:54">
      <c r="AP708" s="86"/>
      <c r="AQ708" s="88"/>
      <c r="AR708" s="89"/>
      <c r="AS708" s="90"/>
      <c r="AV708" s="88"/>
      <c r="AW708" s="96"/>
      <c r="AX708" s="97"/>
      <c r="AY708" s="93"/>
      <c r="BB708" s="94"/>
    </row>
    <row r="709" spans="42:54">
      <c r="AP709" s="86"/>
      <c r="AQ709" s="88"/>
      <c r="AR709" s="89"/>
      <c r="AS709" s="90"/>
      <c r="AV709" s="88"/>
      <c r="AW709" s="96"/>
      <c r="AX709" s="97"/>
      <c r="AY709" s="93"/>
      <c r="BB709" s="94"/>
    </row>
    <row r="710" spans="42:54">
      <c r="AP710" s="86"/>
      <c r="AQ710" s="88"/>
      <c r="AR710" s="89"/>
      <c r="AS710" s="90"/>
      <c r="AV710" s="88"/>
      <c r="AW710" s="96"/>
      <c r="AX710" s="97"/>
      <c r="AY710" s="93"/>
      <c r="BB710" s="94"/>
    </row>
    <row r="711" spans="42:54">
      <c r="AP711" s="86"/>
      <c r="AQ711" s="88"/>
      <c r="AR711" s="89"/>
      <c r="AS711" s="90"/>
      <c r="AV711" s="88"/>
      <c r="AW711" s="96"/>
      <c r="AX711" s="97"/>
      <c r="AY711" s="93"/>
      <c r="BB711" s="94"/>
    </row>
    <row r="712" spans="42:54">
      <c r="AP712" s="86"/>
      <c r="AQ712" s="88"/>
      <c r="AR712" s="89"/>
      <c r="AS712" s="90"/>
      <c r="AV712" s="88"/>
      <c r="AW712" s="96"/>
      <c r="AX712" s="97"/>
      <c r="AY712" s="93"/>
      <c r="BB712" s="94"/>
    </row>
    <row r="713" spans="42:54">
      <c r="AP713" s="86"/>
      <c r="AQ713" s="88"/>
      <c r="AR713" s="89"/>
      <c r="AS713" s="90"/>
      <c r="AV713" s="88"/>
      <c r="AW713" s="96"/>
      <c r="AX713" s="97"/>
      <c r="AY713" s="93"/>
      <c r="BB713" s="94"/>
    </row>
    <row r="714" spans="42:54">
      <c r="AP714" s="86"/>
      <c r="AQ714" s="88"/>
      <c r="AR714" s="89"/>
      <c r="AS714" s="90"/>
      <c r="AV714" s="88"/>
      <c r="AW714" s="96"/>
      <c r="AX714" s="97"/>
      <c r="AY714" s="93"/>
      <c r="BB714" s="94"/>
    </row>
    <row r="715" spans="42:54">
      <c r="AP715" s="86"/>
      <c r="AQ715" s="88"/>
      <c r="AR715" s="89"/>
      <c r="AS715" s="90"/>
      <c r="AV715" s="88"/>
      <c r="AW715" s="96"/>
      <c r="AX715" s="97"/>
      <c r="AY715" s="93"/>
      <c r="BB715" s="94"/>
    </row>
    <row r="716" spans="42:54">
      <c r="AP716" s="86"/>
      <c r="AQ716" s="88"/>
      <c r="AR716" s="89"/>
      <c r="AS716" s="90"/>
      <c r="AV716" s="88"/>
      <c r="AW716" s="96"/>
      <c r="AX716" s="97"/>
      <c r="AY716" s="93"/>
      <c r="BB716" s="94"/>
    </row>
    <row r="717" spans="42:54">
      <c r="AP717" s="86"/>
      <c r="AQ717" s="88"/>
      <c r="AR717" s="89"/>
      <c r="AS717" s="90"/>
      <c r="AV717" s="88"/>
      <c r="AW717" s="96"/>
      <c r="AX717" s="97"/>
      <c r="AY717" s="93"/>
      <c r="BB717" s="94"/>
    </row>
    <row r="718" spans="42:54">
      <c r="AP718" s="86"/>
      <c r="AQ718" s="88"/>
      <c r="AR718" s="89"/>
      <c r="AS718" s="90"/>
      <c r="AV718" s="88"/>
      <c r="AW718" s="96"/>
      <c r="AX718" s="97"/>
      <c r="AY718" s="93"/>
      <c r="BB718" s="94"/>
    </row>
    <row r="719" spans="42:54">
      <c r="AP719" s="86"/>
      <c r="AQ719" s="88"/>
      <c r="AR719" s="89"/>
      <c r="AS719" s="90"/>
      <c r="AV719" s="88"/>
      <c r="AW719" s="96"/>
      <c r="AX719" s="97"/>
      <c r="AY719" s="93"/>
      <c r="BB719" s="94"/>
    </row>
    <row r="720" spans="42:54">
      <c r="AP720" s="86"/>
      <c r="AQ720" s="88"/>
      <c r="AR720" s="89"/>
      <c r="AS720" s="90"/>
      <c r="AV720" s="88"/>
      <c r="AW720" s="96"/>
      <c r="AX720" s="97"/>
      <c r="AY720" s="93"/>
      <c r="BB720" s="94"/>
    </row>
    <row r="721" spans="42:54">
      <c r="AP721" s="86"/>
      <c r="AQ721" s="88"/>
      <c r="AR721" s="89"/>
      <c r="AS721" s="90"/>
      <c r="AV721" s="88"/>
      <c r="AW721" s="96"/>
      <c r="AX721" s="97"/>
      <c r="AY721" s="93"/>
      <c r="BB721" s="94"/>
    </row>
    <row r="722" spans="42:54">
      <c r="AP722" s="86"/>
      <c r="AQ722" s="88"/>
      <c r="AR722" s="89"/>
      <c r="AS722" s="90"/>
      <c r="AV722" s="88"/>
      <c r="AW722" s="96"/>
      <c r="AX722" s="97"/>
      <c r="AY722" s="93"/>
      <c r="BB722" s="94"/>
    </row>
    <row r="723" spans="42:54">
      <c r="AP723" s="86"/>
      <c r="AQ723" s="88"/>
      <c r="AR723" s="89"/>
      <c r="AS723" s="90"/>
      <c r="AV723" s="88"/>
      <c r="AW723" s="96"/>
      <c r="AX723" s="97"/>
      <c r="AY723" s="93"/>
      <c r="BB723" s="94"/>
    </row>
    <row r="724" spans="42:54">
      <c r="AP724" s="86"/>
      <c r="AQ724" s="88"/>
      <c r="AR724" s="89"/>
      <c r="AS724" s="90"/>
      <c r="AV724" s="88"/>
      <c r="AW724" s="96"/>
      <c r="AX724" s="97"/>
      <c r="AY724" s="93"/>
      <c r="BB724" s="94"/>
    </row>
    <row r="725" spans="42:54">
      <c r="AP725" s="86"/>
      <c r="AQ725" s="88"/>
      <c r="AR725" s="89"/>
      <c r="AS725" s="90"/>
      <c r="AV725" s="88"/>
      <c r="AW725" s="96"/>
      <c r="AX725" s="97"/>
      <c r="AY725" s="93"/>
      <c r="BB725" s="94"/>
    </row>
    <row r="726" spans="42:54">
      <c r="AP726" s="86"/>
      <c r="AQ726" s="88"/>
      <c r="AR726" s="89"/>
      <c r="AS726" s="90"/>
      <c r="AV726" s="88"/>
      <c r="AW726" s="96"/>
      <c r="AX726" s="97"/>
      <c r="AY726" s="93"/>
      <c r="BB726" s="94"/>
    </row>
    <row r="727" spans="42:54">
      <c r="AP727" s="86"/>
      <c r="AQ727" s="88"/>
      <c r="AR727" s="89"/>
      <c r="AS727" s="90"/>
      <c r="AV727" s="88"/>
      <c r="AW727" s="96"/>
      <c r="AX727" s="97"/>
      <c r="AY727" s="93"/>
      <c r="BB727" s="94"/>
    </row>
    <row r="728" spans="42:54">
      <c r="AP728" s="86"/>
      <c r="AQ728" s="88"/>
      <c r="AR728" s="89"/>
      <c r="AS728" s="90"/>
      <c r="AV728" s="88"/>
      <c r="AW728" s="96"/>
      <c r="AX728" s="97"/>
      <c r="AY728" s="93"/>
      <c r="BB728" s="94"/>
    </row>
    <row r="729" spans="42:54">
      <c r="AP729" s="86"/>
      <c r="AQ729" s="88"/>
      <c r="AR729" s="89"/>
      <c r="AS729" s="90"/>
      <c r="AV729" s="88"/>
      <c r="AW729" s="96"/>
      <c r="AX729" s="97"/>
      <c r="AY729" s="93"/>
      <c r="BB729" s="94"/>
    </row>
    <row r="730" spans="42:54">
      <c r="AP730" s="86"/>
      <c r="AQ730" s="88"/>
      <c r="AR730" s="89"/>
      <c r="AS730" s="90"/>
      <c r="AV730" s="88"/>
      <c r="AW730" s="96"/>
      <c r="AX730" s="97"/>
      <c r="AY730" s="93"/>
      <c r="BB730" s="94"/>
    </row>
    <row r="731" spans="42:54">
      <c r="AP731" s="86"/>
      <c r="AQ731" s="88"/>
      <c r="AR731" s="89"/>
      <c r="AS731" s="90"/>
      <c r="AV731" s="88"/>
      <c r="AW731" s="96"/>
      <c r="AX731" s="97"/>
      <c r="AY731" s="93"/>
      <c r="BB731" s="94"/>
    </row>
    <row r="732" spans="42:54">
      <c r="AP732" s="86"/>
      <c r="AQ732" s="88"/>
      <c r="AR732" s="89"/>
      <c r="AS732" s="90"/>
      <c r="AV732" s="88"/>
      <c r="AW732" s="96"/>
      <c r="AX732" s="97"/>
      <c r="AY732" s="93"/>
      <c r="BB732" s="94"/>
    </row>
    <row r="733" spans="42:54">
      <c r="AP733" s="86"/>
      <c r="AQ733" s="88"/>
      <c r="AR733" s="89"/>
      <c r="AS733" s="90"/>
      <c r="AV733" s="88"/>
      <c r="AW733" s="96"/>
      <c r="AX733" s="97"/>
      <c r="AY733" s="93"/>
      <c r="BB733" s="94"/>
    </row>
    <row r="734" spans="42:54">
      <c r="AP734" s="86"/>
      <c r="AQ734" s="88"/>
      <c r="AR734" s="89"/>
      <c r="AS734" s="90"/>
      <c r="AV734" s="88"/>
      <c r="AW734" s="96"/>
      <c r="AX734" s="97"/>
      <c r="AY734" s="93"/>
      <c r="BB734" s="94"/>
    </row>
    <row r="735" spans="42:54">
      <c r="AP735" s="86"/>
      <c r="AQ735" s="88"/>
      <c r="AR735" s="89"/>
      <c r="AS735" s="90"/>
      <c r="AV735" s="88"/>
      <c r="AW735" s="96"/>
      <c r="AX735" s="97"/>
      <c r="AY735" s="93"/>
      <c r="BB735" s="94"/>
    </row>
    <row r="736" spans="42:54">
      <c r="AP736" s="86"/>
      <c r="AQ736" s="88"/>
      <c r="AR736" s="89"/>
      <c r="AS736" s="90"/>
      <c r="AV736" s="88"/>
      <c r="AW736" s="96"/>
      <c r="AX736" s="97"/>
      <c r="AY736" s="93"/>
      <c r="BB736" s="94"/>
    </row>
    <row r="737" spans="42:54">
      <c r="AP737" s="86"/>
      <c r="AQ737" s="88"/>
      <c r="AR737" s="89"/>
      <c r="AS737" s="90"/>
      <c r="AV737" s="88"/>
      <c r="AW737" s="96"/>
      <c r="AX737" s="97"/>
      <c r="AY737" s="93"/>
      <c r="BB737" s="94"/>
    </row>
    <row r="738" spans="42:54">
      <c r="AP738" s="86"/>
      <c r="AQ738" s="88"/>
      <c r="AR738" s="89"/>
      <c r="AS738" s="90"/>
      <c r="AV738" s="88"/>
      <c r="AW738" s="96"/>
      <c r="AX738" s="97"/>
      <c r="AY738" s="93"/>
      <c r="BB738" s="94"/>
    </row>
    <row r="739" spans="42:54">
      <c r="AP739" s="86"/>
      <c r="AQ739" s="88"/>
      <c r="AR739" s="89"/>
      <c r="AS739" s="90"/>
      <c r="AV739" s="88"/>
      <c r="AW739" s="96"/>
      <c r="AX739" s="97"/>
      <c r="AY739" s="93"/>
      <c r="BB739" s="94"/>
    </row>
    <row r="740" spans="42:54">
      <c r="AP740" s="86"/>
      <c r="AQ740" s="88"/>
      <c r="AR740" s="89"/>
      <c r="AS740" s="90"/>
      <c r="AV740" s="88"/>
      <c r="AW740" s="96"/>
      <c r="AX740" s="97"/>
      <c r="AY740" s="93"/>
      <c r="BB740" s="94"/>
    </row>
    <row r="741" spans="42:54">
      <c r="AP741" s="86"/>
      <c r="AQ741" s="88"/>
      <c r="AR741" s="89"/>
      <c r="AS741" s="90"/>
      <c r="AV741" s="88"/>
      <c r="AW741" s="96"/>
      <c r="AX741" s="97"/>
      <c r="AY741" s="93"/>
      <c r="BB741" s="94"/>
    </row>
    <row r="742" spans="42:54">
      <c r="AP742" s="86"/>
      <c r="AQ742" s="88"/>
      <c r="AR742" s="89"/>
      <c r="AS742" s="90"/>
      <c r="AV742" s="88"/>
      <c r="AW742" s="96"/>
      <c r="AX742" s="97"/>
      <c r="AY742" s="93"/>
      <c r="BB742" s="94"/>
    </row>
    <row r="743" spans="42:54">
      <c r="AP743" s="86"/>
      <c r="AQ743" s="88"/>
      <c r="AR743" s="89"/>
      <c r="AS743" s="90"/>
      <c r="AV743" s="88"/>
      <c r="AW743" s="96"/>
      <c r="AX743" s="97"/>
      <c r="AY743" s="93"/>
      <c r="BB743" s="94"/>
    </row>
    <row r="744" spans="42:54">
      <c r="AP744" s="86"/>
      <c r="AQ744" s="88"/>
      <c r="AR744" s="89"/>
      <c r="AS744" s="90"/>
      <c r="AV744" s="88"/>
      <c r="AW744" s="96"/>
      <c r="AX744" s="97"/>
      <c r="AY744" s="93"/>
      <c r="BB744" s="94"/>
    </row>
    <row r="745" spans="42:54">
      <c r="AP745" s="86"/>
      <c r="AQ745" s="88"/>
      <c r="AR745" s="89"/>
      <c r="AS745" s="90"/>
      <c r="AV745" s="88"/>
      <c r="AW745" s="96"/>
      <c r="AX745" s="97"/>
      <c r="AY745" s="93"/>
      <c r="BB745" s="94"/>
    </row>
    <row r="746" spans="42:54">
      <c r="AP746" s="86"/>
      <c r="AQ746" s="88"/>
      <c r="AR746" s="89"/>
      <c r="AS746" s="90"/>
      <c r="AV746" s="88"/>
      <c r="AW746" s="96"/>
      <c r="AX746" s="97"/>
      <c r="AY746" s="93"/>
      <c r="BB746" s="94"/>
    </row>
    <row r="747" spans="42:54">
      <c r="AP747" s="86"/>
      <c r="AQ747" s="88"/>
      <c r="AR747" s="89"/>
      <c r="AS747" s="90"/>
      <c r="AV747" s="88"/>
      <c r="AW747" s="96"/>
      <c r="AX747" s="97"/>
      <c r="AY747" s="93"/>
      <c r="BB747" s="94"/>
    </row>
    <row r="748" spans="42:54">
      <c r="AP748" s="86"/>
      <c r="AQ748" s="88"/>
      <c r="AR748" s="89"/>
      <c r="AS748" s="90"/>
      <c r="AV748" s="88"/>
      <c r="AW748" s="96"/>
      <c r="AX748" s="97"/>
      <c r="AY748" s="93"/>
      <c r="BB748" s="94"/>
    </row>
    <row r="749" spans="42:54">
      <c r="AP749" s="86"/>
      <c r="AQ749" s="88"/>
      <c r="AR749" s="89"/>
      <c r="AS749" s="90"/>
      <c r="AV749" s="88"/>
      <c r="AW749" s="96"/>
      <c r="AX749" s="97"/>
      <c r="AY749" s="93"/>
      <c r="BB749" s="94"/>
    </row>
    <row r="750" spans="42:54">
      <c r="AP750" s="86"/>
      <c r="AQ750" s="88"/>
      <c r="AR750" s="89"/>
      <c r="AS750" s="90"/>
      <c r="AV750" s="88"/>
      <c r="AW750" s="96"/>
      <c r="AX750" s="97"/>
      <c r="AY750" s="93"/>
      <c r="BB750" s="94"/>
    </row>
    <row r="751" spans="42:54">
      <c r="AP751" s="86"/>
      <c r="AQ751" s="88"/>
      <c r="AR751" s="89"/>
      <c r="AS751" s="90"/>
      <c r="AV751" s="88"/>
      <c r="AW751" s="96"/>
      <c r="AX751" s="97"/>
      <c r="AY751" s="93"/>
      <c r="BB751" s="94"/>
    </row>
    <row r="752" spans="42:54">
      <c r="AP752" s="86"/>
      <c r="AQ752" s="88"/>
      <c r="AR752" s="89"/>
      <c r="AS752" s="90"/>
      <c r="AV752" s="88"/>
      <c r="AW752" s="96"/>
      <c r="AX752" s="97"/>
      <c r="AY752" s="93"/>
      <c r="BB752" s="94"/>
    </row>
    <row r="753" spans="42:54">
      <c r="AP753" s="86"/>
      <c r="AQ753" s="88"/>
      <c r="AR753" s="89"/>
      <c r="AS753" s="90"/>
      <c r="AV753" s="88"/>
      <c r="AW753" s="96"/>
      <c r="AX753" s="97"/>
      <c r="AY753" s="93"/>
      <c r="BB753" s="94"/>
    </row>
    <row r="754" spans="42:54">
      <c r="AP754" s="86"/>
      <c r="AQ754" s="88"/>
      <c r="AR754" s="89"/>
      <c r="AS754" s="90"/>
      <c r="AV754" s="88"/>
      <c r="AW754" s="96"/>
      <c r="AX754" s="97"/>
      <c r="AY754" s="93"/>
      <c r="BB754" s="94"/>
    </row>
    <row r="755" spans="42:54">
      <c r="AP755" s="86"/>
      <c r="AQ755" s="88"/>
      <c r="AR755" s="89"/>
      <c r="AS755" s="90"/>
      <c r="AV755" s="88"/>
      <c r="AW755" s="96"/>
      <c r="AX755" s="97"/>
      <c r="AY755" s="93"/>
      <c r="BB755" s="94"/>
    </row>
    <row r="756" spans="42:54">
      <c r="AP756" s="86"/>
      <c r="AQ756" s="88"/>
      <c r="AR756" s="89"/>
      <c r="AS756" s="90"/>
      <c r="AV756" s="88"/>
      <c r="AW756" s="96"/>
      <c r="AX756" s="97"/>
      <c r="AY756" s="93"/>
      <c r="BB756" s="94"/>
    </row>
    <row r="757" spans="42:54">
      <c r="AP757" s="86"/>
      <c r="AQ757" s="88"/>
      <c r="AR757" s="89"/>
      <c r="AS757" s="90"/>
      <c r="AV757" s="88"/>
      <c r="AW757" s="96"/>
      <c r="AX757" s="97"/>
      <c r="AY757" s="93"/>
      <c r="BB757" s="94"/>
    </row>
    <row r="758" spans="42:54">
      <c r="AP758" s="86"/>
      <c r="AQ758" s="88"/>
      <c r="AR758" s="89"/>
      <c r="AS758" s="90"/>
      <c r="AV758" s="88"/>
      <c r="AW758" s="96"/>
      <c r="AX758" s="97"/>
      <c r="AY758" s="93"/>
      <c r="BB758" s="94"/>
    </row>
    <row r="759" spans="42:54">
      <c r="AP759" s="86"/>
      <c r="AQ759" s="88"/>
      <c r="AR759" s="89"/>
      <c r="AS759" s="90"/>
      <c r="AV759" s="88"/>
      <c r="AW759" s="96"/>
      <c r="AX759" s="97"/>
      <c r="AY759" s="93"/>
      <c r="BB759" s="94"/>
    </row>
    <row r="760" spans="42:54">
      <c r="AP760" s="86"/>
      <c r="AQ760" s="88"/>
      <c r="AR760" s="89"/>
      <c r="AS760" s="90"/>
      <c r="AV760" s="88"/>
      <c r="AW760" s="96"/>
      <c r="AX760" s="97"/>
      <c r="AY760" s="93"/>
      <c r="BB760" s="94"/>
    </row>
    <row r="761" spans="42:54">
      <c r="AP761" s="86"/>
      <c r="AQ761" s="88"/>
      <c r="AR761" s="89"/>
      <c r="AS761" s="90"/>
      <c r="AV761" s="88"/>
      <c r="AW761" s="96"/>
      <c r="AX761" s="97"/>
      <c r="AY761" s="93"/>
      <c r="BB761" s="94"/>
    </row>
    <row r="762" spans="42:54">
      <c r="AP762" s="86"/>
      <c r="AQ762" s="88"/>
      <c r="AR762" s="89"/>
      <c r="AS762" s="90"/>
      <c r="AV762" s="88"/>
      <c r="AW762" s="96"/>
      <c r="AX762" s="97"/>
      <c r="AY762" s="93"/>
      <c r="BB762" s="94"/>
    </row>
    <row r="763" spans="42:54">
      <c r="AP763" s="86"/>
      <c r="AQ763" s="88"/>
      <c r="AR763" s="89"/>
      <c r="AS763" s="90"/>
      <c r="AV763" s="88"/>
      <c r="AW763" s="96"/>
      <c r="AX763" s="97"/>
      <c r="AY763" s="93"/>
      <c r="BB763" s="94"/>
    </row>
    <row r="764" spans="42:54">
      <c r="AP764" s="86"/>
      <c r="AQ764" s="88"/>
      <c r="AR764" s="89"/>
      <c r="AS764" s="90"/>
      <c r="AV764" s="88"/>
      <c r="AW764" s="96"/>
      <c r="AX764" s="97"/>
      <c r="AY764" s="93"/>
      <c r="BB764" s="94"/>
    </row>
    <row r="765" spans="42:54">
      <c r="AP765" s="86"/>
      <c r="AQ765" s="88"/>
      <c r="AR765" s="89"/>
      <c r="AS765" s="90"/>
      <c r="AV765" s="88"/>
      <c r="AW765" s="96"/>
      <c r="AX765" s="97"/>
      <c r="AY765" s="93"/>
      <c r="BB765" s="94"/>
    </row>
    <row r="766" spans="42:54">
      <c r="AP766" s="86"/>
      <c r="AQ766" s="88"/>
      <c r="AR766" s="89"/>
      <c r="AS766" s="90"/>
      <c r="AV766" s="88"/>
      <c r="AW766" s="96"/>
      <c r="AX766" s="97"/>
      <c r="AY766" s="93"/>
      <c r="BB766" s="94"/>
    </row>
    <row r="767" spans="42:54">
      <c r="AP767" s="86"/>
      <c r="AQ767" s="88"/>
      <c r="AR767" s="89"/>
      <c r="AS767" s="90"/>
      <c r="AV767" s="88"/>
      <c r="AW767" s="96"/>
      <c r="AX767" s="97"/>
      <c r="AY767" s="93"/>
      <c r="BB767" s="94"/>
    </row>
    <row r="768" spans="42:54">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2:K99 K101:K104 K234:K347">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K134:K152 K158:K169 K171:K193 K105:K122 K195:K232 K124:K132">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00">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12:AM116">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AM130:AM131">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L133">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33">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1:AM152 AM158:AM159">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4">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4">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55">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M155">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56">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5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K15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M157">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70">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9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M191">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M19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94">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5">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4">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5">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2">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2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J12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383:AM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8:K429 AM388:AM429">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430:K466 AM430:AM442 AM450:AM46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443:AM44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13" sqref="B13"/>
    </sheetView>
  </sheetViews>
  <sheetFormatPr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H60"/>
  <sheetViews>
    <sheetView topLeftCell="B25" workbookViewId="0">
      <selection activeCell="G50" sqref="G50"/>
    </sheetView>
  </sheetViews>
  <sheetFormatPr defaultRowHeight="15"/>
  <cols>
    <col min="3" max="3" width="38" customWidth="1"/>
    <col min="4" max="4" width="29.5703125" customWidth="1"/>
    <col min="7" max="7" width="62" customWidth="1"/>
  </cols>
  <sheetData>
    <row r="1" spans="3:8">
      <c r="H1" t="s">
        <v>6034</v>
      </c>
    </row>
    <row r="2" spans="3:8">
      <c r="C2" t="str">
        <f>'Card Data'!B467</f>
        <v>bae0c5c5-3c2f-47ea-9d1c-a9b52865e113</v>
      </c>
      <c r="D2" t="str">
        <f>'Card Data'!G467</f>
        <v>Prepared for the Worst</v>
      </c>
      <c r="E2">
        <f>'Card Data'!D467</f>
        <v>184</v>
      </c>
      <c r="G2" t="s">
        <v>5975</v>
      </c>
      <c r="H2" t="str">
        <f t="shared" ref="H2:H60" si="0">IF(F2="b",SUBSTITUTE(SUBSTITUTE($H$1,"%1",G2),"%2",C2&amp;".B"),SUBSTITUTE(SUBSTITUTE($H$1,"%1",G2),"%2",C2))</f>
        <v>rename "C:\Users\timc\Desktop\New folder\New folder\AHC05_184.jpg" "bae0c5c5-3c2f-47ea-9d1c-a9b52865e113.jpg"</v>
      </c>
    </row>
    <row r="3" spans="3:8">
      <c r="C3" t="str">
        <f>'Card Data'!B468</f>
        <v>b85932da-0e69-4466-bba8-a5a2ee57c667</v>
      </c>
      <c r="D3" t="str">
        <f>'Card Data'!G468</f>
        <v>Keen Eye</v>
      </c>
      <c r="E3">
        <f>'Card Data'!D468</f>
        <v>185</v>
      </c>
      <c r="G3" t="s">
        <v>5976</v>
      </c>
      <c r="H3" t="str">
        <f t="shared" si="0"/>
        <v>rename "C:\Users\timc\Desktop\New folder\New folder\AHC05_185.jpg" "b85932da-0e69-4466-bba8-a5a2ee57c667.jpg"</v>
      </c>
    </row>
    <row r="4" spans="3:8">
      <c r="C4" t="str">
        <f>'Card Data'!B469</f>
        <v>a71dfe0c-bd4c-4dec-a37f-2c71c6606777</v>
      </c>
      <c r="D4" t="str">
        <f>'Card Data'!G469</f>
        <v>Preposterous Sketches</v>
      </c>
      <c r="E4">
        <f>'Card Data'!D469</f>
        <v>186</v>
      </c>
      <c r="G4" t="s">
        <v>5977</v>
      </c>
      <c r="H4" t="str">
        <f t="shared" si="0"/>
        <v>rename "C:\Users\timc\Desktop\New folder\New folder\AHC05_186.jpg" "a71dfe0c-bd4c-4dec-a37f-2c71c6606777.jpg"</v>
      </c>
    </row>
    <row r="5" spans="3:8">
      <c r="C5" t="str">
        <f>'Card Data'!B470</f>
        <v>244b0f20-4b87-4e48-b034-29dc07c192d1</v>
      </c>
      <c r="D5" t="str">
        <f>'Card Data'!G470</f>
        <v>Higher Education</v>
      </c>
      <c r="E5">
        <f>'Card Data'!D470</f>
        <v>187</v>
      </c>
      <c r="G5" t="s">
        <v>5978</v>
      </c>
      <c r="H5" t="str">
        <f t="shared" si="0"/>
        <v>rename "C:\Users\timc\Desktop\New folder\New folder\AHC05_187.jpg" "244b0f20-4b87-4e48-b034-29dc07c192d1.jpg"</v>
      </c>
    </row>
    <row r="6" spans="3:8">
      <c r="C6" t="str">
        <f>'Card Data'!B471</f>
        <v>921d5c0d-0d5a-409b-809f-c00f5b36b816</v>
      </c>
      <c r="D6" t="str">
        <f>'Card Data'!G471</f>
        <v>Lone Wolf</v>
      </c>
      <c r="E6">
        <f>'Card Data'!D471</f>
        <v>188</v>
      </c>
      <c r="G6" t="s">
        <v>5979</v>
      </c>
      <c r="H6" t="str">
        <f t="shared" si="0"/>
        <v>rename "C:\Users\timc\Desktop\New folder\New folder\AHC05_188.jpg" "921d5c0d-0d5a-409b-809f-c00f5b36b816.jpg"</v>
      </c>
    </row>
    <row r="7" spans="3:8">
      <c r="C7" t="str">
        <f>'Card Data'!B472</f>
        <v>d2420579-a3de-46e2-b223-5300a271d415</v>
      </c>
      <c r="D7" t="str">
        <f>'Card Data'!G472</f>
        <v>Streetwise</v>
      </c>
      <c r="E7">
        <f>'Card Data'!D472</f>
        <v>189</v>
      </c>
      <c r="G7" t="s">
        <v>5980</v>
      </c>
      <c r="H7" t="str">
        <f t="shared" si="0"/>
        <v>rename "C:\Users\timc\Desktop\New folder\New folder\AHC05_189.jpg" "d2420579-a3de-46e2-b223-5300a271d415.jpg"</v>
      </c>
    </row>
    <row r="8" spans="3:8">
      <c r="C8" t="str">
        <f>'Card Data'!B473</f>
        <v>d4db2332-883f-4295-a54e-9a2107c518fc</v>
      </c>
      <c r="D8" t="str">
        <f>'Card Data'!G473</f>
        <v>Defiance</v>
      </c>
      <c r="E8">
        <f>'Card Data'!D473</f>
        <v>190</v>
      </c>
      <c r="G8" t="s">
        <v>5981</v>
      </c>
      <c r="H8" t="str">
        <f t="shared" si="0"/>
        <v>rename "C:\Users\timc\Desktop\New folder\New folder\AHC05_190.jpg" "d4db2332-883f-4295-a54e-9a2107c518fc.jpg"</v>
      </c>
    </row>
    <row r="9" spans="3:8">
      <c r="C9" t="str">
        <f>'Card Data'!B474</f>
        <v>09ef06b0-c342-4ea6-9b4e-a4bd6901592a</v>
      </c>
      <c r="D9" t="str">
        <f>'Card Data'!G474</f>
        <v>Blood Pact</v>
      </c>
      <c r="E9">
        <f>'Card Data'!D474</f>
        <v>191</v>
      </c>
      <c r="G9" t="s">
        <v>5982</v>
      </c>
      <c r="H9" t="str">
        <f t="shared" si="0"/>
        <v>rename "C:\Users\timc\Desktop\New folder\New folder\AHC05_191.jpg" "09ef06b0-c342-4ea6-9b4e-a4bd6901592a.jpg"</v>
      </c>
    </row>
    <row r="10" spans="3:8">
      <c r="C10" t="str">
        <f>'Card Data'!B475</f>
        <v>65710155-f667-4818-a0f2-fe653cd49bc8</v>
      </c>
      <c r="D10" t="str">
        <f>'Card Data'!G475</f>
        <v>Rise to the Occasion</v>
      </c>
      <c r="E10">
        <f>'Card Data'!D475</f>
        <v>192</v>
      </c>
      <c r="G10" t="s">
        <v>5983</v>
      </c>
      <c r="H10" t="str">
        <f t="shared" si="0"/>
        <v>rename "C:\Users\timc\Desktop\New folder\New folder\AHC05_192.jpg" "65710155-f667-4818-a0f2-fe653cd49bc8.jpg"</v>
      </c>
    </row>
    <row r="11" spans="3:8">
      <c r="C11" t="str">
        <f>'Card Data'!B476</f>
        <v>6b00da0c-2c80-4717-ac77-d33dfcef8a69</v>
      </c>
      <c r="D11" t="str">
        <f>'Card Data'!G476</f>
        <v>Scrapper</v>
      </c>
      <c r="E11">
        <f>'Card Data'!D476</f>
        <v>193</v>
      </c>
      <c r="G11" t="s">
        <v>5984</v>
      </c>
      <c r="H11" t="str">
        <f t="shared" si="0"/>
        <v>rename "C:\Users\timc\Desktop\New folder\New folder\AHC05_193.jpg" "6b00da0c-2c80-4717-ac77-d33dfcef8a69.jpg"</v>
      </c>
    </row>
    <row r="12" spans="3:8">
      <c r="C12" t="str">
        <f>'Card Data'!B477</f>
        <v>a86f379f-7a6a-4bb7-9fd8-062d9cb7b302</v>
      </c>
      <c r="D12" t="str">
        <f>'Card Data'!G477</f>
        <v>Emergency Cache</v>
      </c>
      <c r="E12">
        <f>'Card Data'!D477</f>
        <v>194</v>
      </c>
      <c r="G12" t="s">
        <v>5985</v>
      </c>
      <c r="H12" t="str">
        <f t="shared" si="0"/>
        <v>rename "C:\Users\timc\Desktop\New folder\New folder\AHC05_194.jpg" "a86f379f-7a6a-4bb7-9fd8-062d9cb7b302.jpg"</v>
      </c>
    </row>
    <row r="13" spans="3:8">
      <c r="C13" t="str">
        <f>'Card Data'!B478</f>
        <v>28c2a525-24cd-4069-bdc6-f97e4031a656</v>
      </c>
      <c r="D13" t="str">
        <f>'Card Data'!G478</f>
        <v>Blood on the Altar</v>
      </c>
      <c r="E13">
        <f>'Card Data'!D478</f>
        <v>195</v>
      </c>
      <c r="F13" t="s">
        <v>6035</v>
      </c>
      <c r="G13" t="s">
        <v>5986</v>
      </c>
      <c r="H13" t="str">
        <f t="shared" si="0"/>
        <v>rename "C:\Users\timc\Desktop\New folder\New folder\AHC05_195b.jpg" "28c2a525-24cd-4069-bdc6-f97e4031a656.B.jpg"</v>
      </c>
    </row>
    <row r="14" spans="3:8">
      <c r="C14" t="str">
        <f>'Card Data'!B479</f>
        <v>a8ba171e-ce59-42fb-90d0-8a08132ae2fc</v>
      </c>
      <c r="D14" t="str">
        <f>'Card Data'!G479</f>
        <v>Strange Disapperances</v>
      </c>
      <c r="E14">
        <f>'Card Data'!D479</f>
        <v>196</v>
      </c>
      <c r="G14" t="s">
        <v>5987</v>
      </c>
      <c r="H14" t="str">
        <f t="shared" si="0"/>
        <v>rename "C:\Users\timc\Desktop\New folder\New folder\AHC05_196.jpg" "a8ba171e-ce59-42fb-90d0-8a08132ae2fc.jpg"</v>
      </c>
    </row>
    <row r="15" spans="3:8">
      <c r="C15" t="str">
        <f>'Card Data'!B479</f>
        <v>a8ba171e-ce59-42fb-90d0-8a08132ae2fc</v>
      </c>
      <c r="D15" t="str">
        <f>'Card Data'!G479</f>
        <v>Strange Disapperances</v>
      </c>
      <c r="E15">
        <f>'Card Data'!D479</f>
        <v>196</v>
      </c>
      <c r="F15" t="s">
        <v>6035</v>
      </c>
      <c r="G15" t="s">
        <v>5988</v>
      </c>
      <c r="H15" t="str">
        <f t="shared" si="0"/>
        <v>rename "C:\Users\timc\Desktop\New folder\New folder\AHC05_196b.jpg" "a8ba171e-ce59-42fb-90d0-8a08132ae2fc.B.jpg"</v>
      </c>
    </row>
    <row r="16" spans="3:8">
      <c r="C16" t="str">
        <f>'Card Data'!B480</f>
        <v>90620ea4-d4c6-4cec-885d-33bf02ca293a</v>
      </c>
      <c r="D16" t="str">
        <f>'Card Data'!G480</f>
        <v>The Old Ones Hunger</v>
      </c>
      <c r="E16">
        <f>'Card Data'!D480</f>
        <v>197</v>
      </c>
      <c r="G16" t="s">
        <v>5989</v>
      </c>
      <c r="H16" t="str">
        <f t="shared" si="0"/>
        <v>rename "C:\Users\timc\Desktop\New folder\New folder\AHC05_197.jpg" "90620ea4-d4c6-4cec-885d-33bf02ca293a.jpg"</v>
      </c>
    </row>
    <row r="17" spans="3:8">
      <c r="C17" t="str">
        <f>'Card Data'!B480</f>
        <v>90620ea4-d4c6-4cec-885d-33bf02ca293a</v>
      </c>
      <c r="D17" t="str">
        <f>'Card Data'!G480</f>
        <v>The Old Ones Hunger</v>
      </c>
      <c r="E17">
        <f>'Card Data'!D480</f>
        <v>197</v>
      </c>
      <c r="F17" t="s">
        <v>6035</v>
      </c>
      <c r="G17" t="s">
        <v>5990</v>
      </c>
      <c r="H17" t="str">
        <f t="shared" si="0"/>
        <v>rename "C:\Users\timc\Desktop\New folder\New folder\AHC05_197b.jpg" "90620ea4-d4c6-4cec-885d-33bf02ca293a.B.jpg"</v>
      </c>
    </row>
    <row r="18" spans="3:8">
      <c r="C18" t="str">
        <f>'Card Data'!B481</f>
        <v>648fdeea-619c-4e73-b3ba-d1346a397338</v>
      </c>
      <c r="D18" t="str">
        <f>'Card Data'!G481</f>
        <v>Feed the Beast</v>
      </c>
      <c r="E18">
        <f>'Card Data'!D481</f>
        <v>198</v>
      </c>
      <c r="G18" t="s">
        <v>5991</v>
      </c>
      <c r="H18" t="str">
        <f t="shared" si="0"/>
        <v>rename "C:\Users\timc\Desktop\New folder\New folder\AHC05_198.jpg" "648fdeea-619c-4e73-b3ba-d1346a397338.jpg"</v>
      </c>
    </row>
    <row r="19" spans="3:8">
      <c r="C19" t="str">
        <f>'Card Data'!B481</f>
        <v>648fdeea-619c-4e73-b3ba-d1346a397338</v>
      </c>
      <c r="D19" t="str">
        <f>'Card Data'!G481</f>
        <v>Feed the Beast</v>
      </c>
      <c r="E19">
        <f>'Card Data'!D481</f>
        <v>198</v>
      </c>
      <c r="F19" t="s">
        <v>6035</v>
      </c>
      <c r="G19" t="s">
        <v>5992</v>
      </c>
      <c r="H19" t="str">
        <f t="shared" si="0"/>
        <v>rename "C:\Users\timc\Desktop\New folder\New folder\AHC05_198b.jpg" "648fdeea-619c-4e73-b3ba-d1346a397338.B.jpg"</v>
      </c>
    </row>
    <row r="20" spans="3:8">
      <c r="C20" t="str">
        <f>'Card Data'!B482</f>
        <v>6058f64e-99a9-4527-bfe9-fe9e896d32d7</v>
      </c>
      <c r="D20" t="str">
        <f>'Card Data'!G482</f>
        <v>Searching for Answers</v>
      </c>
      <c r="E20">
        <f>'Card Data'!D482</f>
        <v>199</v>
      </c>
      <c r="G20" t="s">
        <v>5993</v>
      </c>
      <c r="H20" t="str">
        <f t="shared" si="0"/>
        <v>rename "C:\Users\timc\Desktop\New folder\New folder\AHC05_199.jpg" "6058f64e-99a9-4527-bfe9-fe9e896d32d7.jpg"</v>
      </c>
    </row>
    <row r="21" spans="3:8">
      <c r="C21" t="str">
        <f>'Card Data'!B482</f>
        <v>6058f64e-99a9-4527-bfe9-fe9e896d32d7</v>
      </c>
      <c r="D21" t="str">
        <f>'Card Data'!G482</f>
        <v>Searching for Answers</v>
      </c>
      <c r="E21">
        <f>'Card Data'!D482</f>
        <v>199</v>
      </c>
      <c r="F21" t="s">
        <v>6035</v>
      </c>
      <c r="G21" t="s">
        <v>5994</v>
      </c>
      <c r="H21" t="str">
        <f t="shared" si="0"/>
        <v>rename "C:\Users\timc\Desktop\New folder\New folder\AHC05_199b.jpg" "6058f64e-99a9-4527-bfe9-fe9e896d32d7.B.jpg"</v>
      </c>
    </row>
    <row r="22" spans="3:8">
      <c r="C22" t="str">
        <f>'Card Data'!B483</f>
        <v>c21a7b1e-b8a9-4102-83da-3d0a3282bcc2</v>
      </c>
      <c r="D22" t="str">
        <f>'Card Data'!G483</f>
        <v>The Chamber of the Beast</v>
      </c>
      <c r="E22">
        <f>'Card Data'!D483</f>
        <v>200</v>
      </c>
      <c r="G22" t="s">
        <v>5995</v>
      </c>
      <c r="H22" t="str">
        <f t="shared" si="0"/>
        <v>rename "C:\Users\timc\Desktop\New folder\New folder\AHC05_200.jpg" "c21a7b1e-b8a9-4102-83da-3d0a3282bcc2.jpg"</v>
      </c>
    </row>
    <row r="23" spans="3:8">
      <c r="C23" t="str">
        <f>'Card Data'!B483</f>
        <v>c21a7b1e-b8a9-4102-83da-3d0a3282bcc2</v>
      </c>
      <c r="D23" t="str">
        <f>'Card Data'!G483</f>
        <v>The Chamber of the Beast</v>
      </c>
      <c r="E23">
        <f>'Card Data'!D483</f>
        <v>200</v>
      </c>
      <c r="F23" t="s">
        <v>6035</v>
      </c>
      <c r="G23" t="s">
        <v>5996</v>
      </c>
      <c r="H23" t="str">
        <f t="shared" si="0"/>
        <v>rename "C:\Users\timc\Desktop\New folder\New folder\AHC05_200b.jpg" "c21a7b1e-b8a9-4102-83da-3d0a3282bcc2.B.jpg"</v>
      </c>
    </row>
    <row r="24" spans="3:8">
      <c r="C24" t="str">
        <f>'Card Data'!B484</f>
        <v>b9cfdc9b-6e4b-4e42-87a8-3f0b5aae1f8d</v>
      </c>
      <c r="D24" t="str">
        <f>'Card Data'!G484</f>
        <v>Village Commons</v>
      </c>
      <c r="E24">
        <f>'Card Data'!D484</f>
        <v>201</v>
      </c>
      <c r="G24" t="s">
        <v>5997</v>
      </c>
      <c r="H24" t="str">
        <f t="shared" si="0"/>
        <v>rename "C:\Users\timc\Desktop\New folder\New folder\AHC05_201.jpg" "b9cfdc9b-6e4b-4e42-87a8-3f0b5aae1f8d.jpg"</v>
      </c>
    </row>
    <row r="25" spans="3:8">
      <c r="C25" t="str">
        <f>'Card Data'!B484</f>
        <v>b9cfdc9b-6e4b-4e42-87a8-3f0b5aae1f8d</v>
      </c>
      <c r="D25" t="str">
        <f>'Card Data'!G484</f>
        <v>Village Commons</v>
      </c>
      <c r="E25">
        <f>'Card Data'!D484</f>
        <v>201</v>
      </c>
      <c r="F25" t="s">
        <v>6035</v>
      </c>
      <c r="G25" t="s">
        <v>5998</v>
      </c>
      <c r="H25" t="str">
        <f t="shared" si="0"/>
        <v>rename "C:\Users\timc\Desktop\New folder\New folder\AHC05_201b.jpg" "b9cfdc9b-6e4b-4e42-87a8-3f0b5aae1f8d.B.jpg"</v>
      </c>
    </row>
    <row r="26" spans="3:8">
      <c r="C26" t="str">
        <f>'Card Data'!B485</f>
        <v>6b110514-f482-490e-b3e5-d7b96c575b7a</v>
      </c>
      <c r="D26" t="str">
        <f>'Card Data'!G485</f>
        <v>Bishop’s Brook</v>
      </c>
      <c r="E26">
        <f>'Card Data'!D485</f>
        <v>202</v>
      </c>
      <c r="G26" t="s">
        <v>5999</v>
      </c>
      <c r="H26" t="str">
        <f t="shared" si="0"/>
        <v>rename "C:\Users\timc\Desktop\New folder\New folder\AHC05_202.jpg" "6b110514-f482-490e-b3e5-d7b96c575b7a.jpg"</v>
      </c>
    </row>
    <row r="27" spans="3:8">
      <c r="C27" t="str">
        <f>'Card Data'!B485</f>
        <v>6b110514-f482-490e-b3e5-d7b96c575b7a</v>
      </c>
      <c r="D27" t="str">
        <f>'Card Data'!G485</f>
        <v>Bishop’s Brook</v>
      </c>
      <c r="E27">
        <f>'Card Data'!D485</f>
        <v>202</v>
      </c>
      <c r="F27" t="s">
        <v>6035</v>
      </c>
      <c r="G27" t="s">
        <v>6000</v>
      </c>
      <c r="H27" t="str">
        <f t="shared" si="0"/>
        <v>rename "C:\Users\timc\Desktop\New folder\New folder\AHC05_202b.jpg" "6b110514-f482-490e-b3e5-d7b96c575b7a.B.jpg"</v>
      </c>
    </row>
    <row r="28" spans="3:8">
      <c r="C28" t="str">
        <f>'Card Data'!B486</f>
        <v>4d7ef39b-570f-4b93-853b-f4570e4e95a9</v>
      </c>
      <c r="D28" t="str">
        <f>'Card Data'!G486</f>
        <v>Bishop’s Brook</v>
      </c>
      <c r="E28">
        <f>'Card Data'!D486</f>
        <v>203</v>
      </c>
      <c r="G28" t="s">
        <v>6001</v>
      </c>
      <c r="H28" t="str">
        <f t="shared" si="0"/>
        <v>rename "C:\Users\timc\Desktop\New folder\New folder\AHC05_203.jpg" "4d7ef39b-570f-4b93-853b-f4570e4e95a9.jpg"</v>
      </c>
    </row>
    <row r="29" spans="3:8">
      <c r="C29" t="str">
        <f>'Card Data'!B486</f>
        <v>4d7ef39b-570f-4b93-853b-f4570e4e95a9</v>
      </c>
      <c r="D29" t="str">
        <f>'Card Data'!G486</f>
        <v>Bishop’s Brook</v>
      </c>
      <c r="E29">
        <f>'Card Data'!D486</f>
        <v>203</v>
      </c>
      <c r="F29" t="s">
        <v>6035</v>
      </c>
      <c r="G29" t="s">
        <v>6002</v>
      </c>
      <c r="H29" t="str">
        <f t="shared" si="0"/>
        <v>rename "C:\Users\timc\Desktop\New folder\New folder\AHC05_203b.jpg" "4d7ef39b-570f-4b93-853b-f4570e4e95a9.B.jpg"</v>
      </c>
    </row>
    <row r="30" spans="3:8">
      <c r="C30" t="str">
        <f>'Card Data'!B487</f>
        <v>49cd47ae-cc2a-4f7f-bf4a-b8bc4f386196</v>
      </c>
      <c r="D30" t="str">
        <f>'Card Data'!G487</f>
        <v>Burned Ruins</v>
      </c>
      <c r="E30">
        <f>'Card Data'!D487</f>
        <v>204</v>
      </c>
      <c r="G30" t="s">
        <v>6003</v>
      </c>
      <c r="H30" t="str">
        <f t="shared" si="0"/>
        <v>rename "C:\Users\timc\Desktop\New folder\New folder\AHC05_204.jpg" "49cd47ae-cc2a-4f7f-bf4a-b8bc4f386196.jpg"</v>
      </c>
    </row>
    <row r="31" spans="3:8">
      <c r="C31" t="str">
        <f>'Card Data'!B487</f>
        <v>49cd47ae-cc2a-4f7f-bf4a-b8bc4f386196</v>
      </c>
      <c r="D31" t="str">
        <f>'Card Data'!G487</f>
        <v>Burned Ruins</v>
      </c>
      <c r="E31">
        <f>'Card Data'!D487</f>
        <v>204</v>
      </c>
      <c r="F31" t="s">
        <v>6035</v>
      </c>
      <c r="G31" t="s">
        <v>6004</v>
      </c>
      <c r="H31" t="str">
        <f t="shared" si="0"/>
        <v>rename "C:\Users\timc\Desktop\New folder\New folder\AHC05_204b.jpg" "49cd47ae-cc2a-4f7f-bf4a-b8bc4f386196.B.jpg"</v>
      </c>
    </row>
    <row r="32" spans="3:8">
      <c r="C32" t="str">
        <f>'Card Data'!B488</f>
        <v>b8dc246f-c196-47d9-9c09-746c1565ec79</v>
      </c>
      <c r="D32" t="str">
        <f>'Card Data'!G488</f>
        <v>Burned Ruins</v>
      </c>
      <c r="E32">
        <f>'Card Data'!D488</f>
        <v>205</v>
      </c>
      <c r="G32" t="s">
        <v>6005</v>
      </c>
      <c r="H32" t="str">
        <f t="shared" si="0"/>
        <v>rename "C:\Users\timc\Desktop\New folder\New folder\AHC05_205.jpg" "b8dc246f-c196-47d9-9c09-746c1565ec79.jpg"</v>
      </c>
    </row>
    <row r="33" spans="3:8">
      <c r="C33" t="str">
        <f>'Card Data'!B488</f>
        <v>b8dc246f-c196-47d9-9c09-746c1565ec79</v>
      </c>
      <c r="D33" t="str">
        <f>'Card Data'!G488</f>
        <v>Burned Ruins</v>
      </c>
      <c r="E33">
        <f>'Card Data'!D488</f>
        <v>205</v>
      </c>
      <c r="F33" t="s">
        <v>6035</v>
      </c>
      <c r="G33" t="s">
        <v>6006</v>
      </c>
      <c r="H33" t="str">
        <f t="shared" si="0"/>
        <v>rename "C:\Users\timc\Desktop\New folder\New folder\AHC05_205b.jpg" "b8dc246f-c196-47d9-9c09-746c1565ec79.B.jpg"</v>
      </c>
    </row>
    <row r="34" spans="3:8">
      <c r="C34" t="str">
        <f>'Card Data'!B489</f>
        <v>b0b080ab-d255-43fc-b5da-2e1d76901d38</v>
      </c>
      <c r="D34" t="str">
        <f>'Card Data'!G489</f>
        <v>Osborn’s General Store</v>
      </c>
      <c r="E34">
        <f>'Card Data'!D489</f>
        <v>206</v>
      </c>
      <c r="G34" t="s">
        <v>6007</v>
      </c>
      <c r="H34" t="str">
        <f t="shared" si="0"/>
        <v>rename "C:\Users\timc\Desktop\New folder\New folder\AHC05_206.jpg" "b0b080ab-d255-43fc-b5da-2e1d76901d38.jpg"</v>
      </c>
    </row>
    <row r="35" spans="3:8">
      <c r="C35" t="str">
        <f>'Card Data'!B489</f>
        <v>b0b080ab-d255-43fc-b5da-2e1d76901d38</v>
      </c>
      <c r="D35" t="str">
        <f>'Card Data'!G489</f>
        <v>Osborn’s General Store</v>
      </c>
      <c r="E35">
        <f>'Card Data'!D489</f>
        <v>206</v>
      </c>
      <c r="F35" t="s">
        <v>6035</v>
      </c>
      <c r="G35" t="s">
        <v>6008</v>
      </c>
      <c r="H35" t="str">
        <f t="shared" si="0"/>
        <v>rename "C:\Users\timc\Desktop\New folder\New folder\AHC05_206b.jpg" "b0b080ab-d255-43fc-b5da-2e1d76901d38.B.jpg"</v>
      </c>
    </row>
    <row r="36" spans="3:8">
      <c r="C36" t="str">
        <f>'Card Data'!B490</f>
        <v>a5a2c5c1-f6d6-40a5-8330-26bcda3e3479</v>
      </c>
      <c r="D36" t="str">
        <f>'Card Data'!G490</f>
        <v>Osborn’s General Store</v>
      </c>
      <c r="E36">
        <f>'Card Data'!D490</f>
        <v>207</v>
      </c>
      <c r="G36" t="s">
        <v>6009</v>
      </c>
      <c r="H36" t="str">
        <f t="shared" si="0"/>
        <v>rename "C:\Users\timc\Desktop\New folder\New folder\AHC05_207.jpg" "a5a2c5c1-f6d6-40a5-8330-26bcda3e3479.jpg"</v>
      </c>
    </row>
    <row r="37" spans="3:8">
      <c r="C37" t="str">
        <f>'Card Data'!B490</f>
        <v>a5a2c5c1-f6d6-40a5-8330-26bcda3e3479</v>
      </c>
      <c r="D37" t="str">
        <f>'Card Data'!G490</f>
        <v>Osborn’s General Store</v>
      </c>
      <c r="E37">
        <f>'Card Data'!D490</f>
        <v>207</v>
      </c>
      <c r="F37" t="s">
        <v>6035</v>
      </c>
      <c r="G37" t="s">
        <v>6010</v>
      </c>
      <c r="H37" t="str">
        <f t="shared" si="0"/>
        <v>rename "C:\Users\timc\Desktop\New folder\New folder\AHC05_207b.jpg" "a5a2c5c1-f6d6-40a5-8330-26bcda3e3479.B.jpg"</v>
      </c>
    </row>
    <row r="38" spans="3:8">
      <c r="C38" t="str">
        <f>'Card Data'!B491</f>
        <v>0c7bdb0a-e12e-43e9-a0da-b4aa7fe56164</v>
      </c>
      <c r="D38" t="str">
        <f>'Card Data'!G491</f>
        <v>Congregational Church</v>
      </c>
      <c r="E38">
        <f>'Card Data'!D491</f>
        <v>208</v>
      </c>
      <c r="G38" t="s">
        <v>6011</v>
      </c>
      <c r="H38" t="str">
        <f t="shared" si="0"/>
        <v>rename "C:\Users\timc\Desktop\New folder\New folder\AHC05_208.jpg" "0c7bdb0a-e12e-43e9-a0da-b4aa7fe56164.jpg"</v>
      </c>
    </row>
    <row r="39" spans="3:8">
      <c r="C39" t="str">
        <f>'Card Data'!B491</f>
        <v>0c7bdb0a-e12e-43e9-a0da-b4aa7fe56164</v>
      </c>
      <c r="D39" t="str">
        <f>'Card Data'!G491</f>
        <v>Congregational Church</v>
      </c>
      <c r="E39">
        <f>'Card Data'!D491</f>
        <v>208</v>
      </c>
      <c r="F39" t="s">
        <v>6035</v>
      </c>
      <c r="G39" t="s">
        <v>6012</v>
      </c>
      <c r="H39" t="str">
        <f t="shared" si="0"/>
        <v>rename "C:\Users\timc\Desktop\New folder\New folder\AHC05_208b.jpg" "0c7bdb0a-e12e-43e9-a0da-b4aa7fe56164.B.jpg"</v>
      </c>
    </row>
    <row r="40" spans="3:8">
      <c r="C40" t="str">
        <f>'Card Data'!B492</f>
        <v>b4eeeeda-f04f-4062-a820-50c7d7d78b49</v>
      </c>
      <c r="D40" t="str">
        <f>'Card Data'!G492</f>
        <v>Congregational Church</v>
      </c>
      <c r="E40">
        <f>'Card Data'!D492</f>
        <v>209</v>
      </c>
      <c r="G40" t="s">
        <v>6013</v>
      </c>
      <c r="H40" t="str">
        <f t="shared" si="0"/>
        <v>rename "C:\Users\timc\Desktop\New folder\New folder\AHC05_209.jpg" "b4eeeeda-f04f-4062-a820-50c7d7d78b49.jpg"</v>
      </c>
    </row>
    <row r="41" spans="3:8">
      <c r="C41" t="str">
        <f>'Card Data'!B492</f>
        <v>b4eeeeda-f04f-4062-a820-50c7d7d78b49</v>
      </c>
      <c r="D41" t="str">
        <f>'Card Data'!G492</f>
        <v>Congregational Church</v>
      </c>
      <c r="E41">
        <f>'Card Data'!D492</f>
        <v>209</v>
      </c>
      <c r="F41" t="s">
        <v>6035</v>
      </c>
      <c r="G41" t="s">
        <v>6014</v>
      </c>
      <c r="H41" t="str">
        <f t="shared" si="0"/>
        <v>rename "C:\Users\timc\Desktop\New folder\New folder\AHC05_209b.jpg" "b4eeeeda-f04f-4062-a820-50c7d7d78b49.B.jpg"</v>
      </c>
    </row>
    <row r="42" spans="3:8">
      <c r="C42" t="str">
        <f>'Card Data'!B493</f>
        <v>d5324db3-3a33-4881-967f-d71b2c29ea7c</v>
      </c>
      <c r="D42" t="str">
        <f>'Card Data'!G493</f>
        <v>House in the Reeds</v>
      </c>
      <c r="E42">
        <f>'Card Data'!D493</f>
        <v>210</v>
      </c>
      <c r="G42" t="s">
        <v>6015</v>
      </c>
      <c r="H42" t="str">
        <f t="shared" si="0"/>
        <v>rename "C:\Users\timc\Desktop\New folder\New folder\AHC05_210.jpg" "d5324db3-3a33-4881-967f-d71b2c29ea7c.jpg"</v>
      </c>
    </row>
    <row r="43" spans="3:8">
      <c r="C43" t="str">
        <f>'Card Data'!B493</f>
        <v>d5324db3-3a33-4881-967f-d71b2c29ea7c</v>
      </c>
      <c r="D43" t="str">
        <f>'Card Data'!G493</f>
        <v>House in the Reeds</v>
      </c>
      <c r="E43">
        <f>'Card Data'!D493</f>
        <v>210</v>
      </c>
      <c r="F43" t="s">
        <v>6035</v>
      </c>
      <c r="G43" t="s">
        <v>6016</v>
      </c>
      <c r="H43" t="str">
        <f t="shared" si="0"/>
        <v>rename "C:\Users\timc\Desktop\New folder\New folder\AHC05_210b.jpg" "d5324db3-3a33-4881-967f-d71b2c29ea7c.B.jpg"</v>
      </c>
    </row>
    <row r="44" spans="3:8">
      <c r="C44" t="str">
        <f>'Card Data'!B494</f>
        <v>f61cd747-b294-4725-9ff8-b02b7c5bbcdf</v>
      </c>
      <c r="D44" t="str">
        <f>'Card Data'!G494</f>
        <v>House in the Reeds</v>
      </c>
      <c r="E44">
        <f>'Card Data'!D494</f>
        <v>211</v>
      </c>
      <c r="G44" t="s">
        <v>6017</v>
      </c>
      <c r="H44" t="str">
        <f t="shared" si="0"/>
        <v>rename "C:\Users\timc\Desktop\New folder\New folder\AHC05_211.jpg" "f61cd747-b294-4725-9ff8-b02b7c5bbcdf.jpg"</v>
      </c>
    </row>
    <row r="45" spans="3:8">
      <c r="C45" t="str">
        <f>'Card Data'!B494</f>
        <v>f61cd747-b294-4725-9ff8-b02b7c5bbcdf</v>
      </c>
      <c r="D45" t="str">
        <f>'Card Data'!G494</f>
        <v>House in the Reeds</v>
      </c>
      <c r="E45">
        <f>'Card Data'!D494</f>
        <v>211</v>
      </c>
      <c r="F45" t="s">
        <v>6035</v>
      </c>
      <c r="G45" t="s">
        <v>6018</v>
      </c>
      <c r="H45" t="str">
        <f t="shared" si="0"/>
        <v>rename "C:\Users\timc\Desktop\New folder\New folder\AHC05_211b.jpg" "f61cd747-b294-4725-9ff8-b02b7c5bbcdf.B.jpg"</v>
      </c>
    </row>
    <row r="46" spans="3:8">
      <c r="C46" t="str">
        <f>'Card Data'!B495</f>
        <v>6f988818-7adc-4736-aafc-d6882c42adcd</v>
      </c>
      <c r="D46" t="str">
        <f>'Card Data'!G495</f>
        <v>Schoolhouse</v>
      </c>
      <c r="E46">
        <f>'Card Data'!D495</f>
        <v>212</v>
      </c>
      <c r="G46" t="s">
        <v>6019</v>
      </c>
      <c r="H46" t="str">
        <f t="shared" si="0"/>
        <v>rename "C:\Users\timc\Desktop\New folder\New folder\AHC05_212.jpg" "6f988818-7adc-4736-aafc-d6882c42adcd.jpg"</v>
      </c>
    </row>
    <row r="47" spans="3:8">
      <c r="C47" t="str">
        <f>'Card Data'!B495</f>
        <v>6f988818-7adc-4736-aafc-d6882c42adcd</v>
      </c>
      <c r="D47" t="str">
        <f>'Card Data'!G495</f>
        <v>Schoolhouse</v>
      </c>
      <c r="E47">
        <f>'Card Data'!D495</f>
        <v>212</v>
      </c>
      <c r="F47" t="s">
        <v>6035</v>
      </c>
      <c r="G47" t="s">
        <v>6020</v>
      </c>
      <c r="H47" t="str">
        <f t="shared" si="0"/>
        <v>rename "C:\Users\timc\Desktop\New folder\New folder\AHC05_212b.jpg" "6f988818-7adc-4736-aafc-d6882c42adcd.B.jpg"</v>
      </c>
    </row>
    <row r="48" spans="3:8">
      <c r="C48" t="str">
        <f>'Card Data'!B496</f>
        <v>88a10412-58ac-49c6-888c-a1397baba22d</v>
      </c>
      <c r="D48" t="str">
        <f>'Card Data'!G496</f>
        <v>Schoolhouse</v>
      </c>
      <c r="E48">
        <f>'Card Data'!D496</f>
        <v>213</v>
      </c>
      <c r="G48" t="s">
        <v>6021</v>
      </c>
      <c r="H48" t="str">
        <f t="shared" si="0"/>
        <v>rename "C:\Users\timc\Desktop\New folder\New folder\AHC05_213.jpg" "88a10412-58ac-49c6-888c-a1397baba22d.jpg"</v>
      </c>
    </row>
    <row r="49" spans="3:8">
      <c r="C49" t="str">
        <f>'Card Data'!B496</f>
        <v>88a10412-58ac-49c6-888c-a1397baba22d</v>
      </c>
      <c r="D49" t="str">
        <f>'Card Data'!G496</f>
        <v>Schoolhouse</v>
      </c>
      <c r="E49">
        <f>'Card Data'!D496</f>
        <v>213</v>
      </c>
      <c r="F49" t="s">
        <v>6035</v>
      </c>
      <c r="G49" t="s">
        <v>6022</v>
      </c>
      <c r="H49" t="str">
        <f t="shared" si="0"/>
        <v>rename "C:\Users\timc\Desktop\New folder\New folder\AHC05_213b.jpg" "88a10412-58ac-49c6-888c-a1397baba22d.B.jpg"</v>
      </c>
    </row>
    <row r="50" spans="3:8">
      <c r="C50" t="str">
        <f>'Card Data'!B497</f>
        <v>47bc5ee8-9537-417b-8cf9-d700139caa73</v>
      </c>
      <c r="D50" t="str">
        <f>'Card Data'!G497</f>
        <v>The Hidden Chamber</v>
      </c>
      <c r="E50">
        <f>'Card Data'!D497</f>
        <v>214</v>
      </c>
      <c r="G50" t="s">
        <v>6023</v>
      </c>
      <c r="H50" t="str">
        <f t="shared" si="0"/>
        <v>rename "C:\Users\timc\Desktop\New folder\New folder\AHC05_214.jpg" "47bc5ee8-9537-417b-8cf9-d700139caa73.jpg"</v>
      </c>
    </row>
    <row r="51" spans="3:8">
      <c r="C51" t="str">
        <f>'Card Data'!B498</f>
        <v>10902dae-b4ea-498f-8dd1-8a8560cc11aa</v>
      </c>
      <c r="D51" t="str">
        <f>'Card Data'!G498</f>
        <v>Key to the Chamber</v>
      </c>
      <c r="E51">
        <f>'Card Data'!D498</f>
        <v>215</v>
      </c>
      <c r="G51" t="s">
        <v>6024</v>
      </c>
      <c r="H51" t="str">
        <f t="shared" si="0"/>
        <v>rename "C:\Users\timc\Desktop\New folder\New folder\AHC05_215.jpg" "10902dae-b4ea-498f-8dd1-8a8560cc11aa.jpg"</v>
      </c>
    </row>
    <row r="52" spans="3:8">
      <c r="C52" t="str">
        <f>'Card Data'!B499</f>
        <v>5be80449-48ba-4da9-b52f-00f516867f77</v>
      </c>
      <c r="D52" t="str">
        <f>'Card Data'!G499</f>
        <v>Silas Bishop</v>
      </c>
      <c r="E52">
        <f>'Card Data'!D499</f>
        <v>216</v>
      </c>
      <c r="G52" t="s">
        <v>6025</v>
      </c>
      <c r="H52" t="str">
        <f t="shared" si="0"/>
        <v>rename "C:\Users\timc\Desktop\New folder\New folder\AHC05_216.jpg" "5be80449-48ba-4da9-b52f-00f516867f77.jpg"</v>
      </c>
    </row>
    <row r="53" spans="3:8">
      <c r="C53" t="str">
        <f>'Card Data'!B500</f>
        <v>14d16f13-0fd4-4a54-9fb5-69ebf5a045dc</v>
      </c>
      <c r="D53" t="str">
        <f>'Card Data'!G500</f>
        <v>Zebulon Whateley</v>
      </c>
      <c r="E53">
        <f>'Card Data'!D500</f>
        <v>217</v>
      </c>
      <c r="G53" t="s">
        <v>6026</v>
      </c>
      <c r="H53" t="str">
        <f t="shared" si="0"/>
        <v>rename "C:\Users\timc\Desktop\New folder\New folder\AHC05_217.jpg" "14d16f13-0fd4-4a54-9fb5-69ebf5a045dc.jpg"</v>
      </c>
    </row>
    <row r="54" spans="3:8">
      <c r="C54" t="str">
        <f>'Card Data'!B501</f>
        <v>7f913c4b-a4f8-44ed-9394-9decbca0b05f</v>
      </c>
      <c r="D54" t="str">
        <f>'Card Data'!G501</f>
        <v>Earl Sawyer</v>
      </c>
      <c r="E54">
        <f>'Card Data'!D501</f>
        <v>218</v>
      </c>
      <c r="G54" t="s">
        <v>6027</v>
      </c>
      <c r="H54" t="str">
        <f t="shared" si="0"/>
        <v>rename "C:\Users\timc\Desktop\New folder\New folder\AHC05_218.jpg" "7f913c4b-a4f8-44ed-9394-9decbca0b05f.jpg"</v>
      </c>
    </row>
    <row r="55" spans="3:8">
      <c r="C55" t="str">
        <f>'Card Data'!B502</f>
        <v>e732944f-29a2-4f2f-9132-b9e4059cabb0</v>
      </c>
      <c r="D55" t="str">
        <f>'Card Data'!G502</f>
        <v>Powder of Ibn-Ghazi</v>
      </c>
      <c r="E55">
        <f>'Card Data'!D502</f>
        <v>219</v>
      </c>
      <c r="G55" t="s">
        <v>6028</v>
      </c>
      <c r="H55" t="str">
        <f t="shared" si="0"/>
        <v>rename "C:\Users\timc\Desktop\New folder\New folder\AHC05_219.jpg" "e732944f-29a2-4f2f-9132-b9e4059cabb0.jpg"</v>
      </c>
    </row>
    <row r="56" spans="3:8">
      <c r="C56" t="str">
        <f>'Card Data'!B503</f>
        <v>e66a4a87-b86d-4e0f-826e-20af1d95d4a8</v>
      </c>
      <c r="D56" t="str">
        <f>'Card Data'!G503</f>
        <v>Kidnapped!</v>
      </c>
      <c r="E56">
        <f>'Card Data'!D503</f>
        <v>220</v>
      </c>
      <c r="G56" t="s">
        <v>6029</v>
      </c>
      <c r="H56" t="str">
        <f t="shared" si="0"/>
        <v>rename "C:\Users\timc\Desktop\New folder\New folder\AHC05_220.jpg" "e66a4a87-b86d-4e0f-826e-20af1d95d4a8.jpg"</v>
      </c>
    </row>
    <row r="57" spans="3:8">
      <c r="C57" t="str">
        <f>'Card Data'!B504</f>
        <v>ebd4c8f7-3475-4116-8a52-ae52c97ab68c</v>
      </c>
      <c r="D57" t="str">
        <f>'Card Data'!G504</f>
        <v>Psychopomp’s Song</v>
      </c>
      <c r="E57">
        <f>'Card Data'!D504</f>
        <v>221</v>
      </c>
      <c r="G57" t="s">
        <v>6030</v>
      </c>
      <c r="H57" t="str">
        <f t="shared" si="0"/>
        <v>rename "C:\Users\timc\Desktop\New folder\New folder\AHC05_221.jpg" "ebd4c8f7-3475-4116-8a52-ae52c97ab68c.jpg"</v>
      </c>
    </row>
    <row r="58" spans="3:8">
      <c r="C58" t="str">
        <f>'Card Data'!B505</f>
        <v>8e76abf0-7aa1-433a-8a7c-07e4201c219b</v>
      </c>
      <c r="D58" t="str">
        <f>'Card Data'!G505</f>
        <v>Strange Signs</v>
      </c>
      <c r="E58">
        <f>'Card Data'!D505</f>
        <v>222</v>
      </c>
      <c r="G58" t="s">
        <v>6031</v>
      </c>
      <c r="H58" t="str">
        <f t="shared" si="0"/>
        <v>rename "C:\Users\timc\Desktop\New folder\New folder\AHC05_222.jpg" "8e76abf0-7aa1-433a-8a7c-07e4201c219b.jpg"</v>
      </c>
    </row>
    <row r="59" spans="3:8">
      <c r="C59" t="str">
        <f>'Card Data'!B506</f>
        <v>d688f20e-7ab4-444d-98fa-f1b241b9dcc0</v>
      </c>
      <c r="D59" t="str">
        <f>'Card Data'!G506</f>
        <v>Rotting Remains</v>
      </c>
      <c r="E59">
        <f>'Card Data'!D506</f>
        <v>223</v>
      </c>
      <c r="G59" t="s">
        <v>6032</v>
      </c>
      <c r="H59" t="str">
        <f t="shared" si="0"/>
        <v>rename "C:\Users\timc\Desktop\New folder\New folder\AHC05_223.jpg" "d688f20e-7ab4-444d-98fa-f1b241b9dcc0.jpg"</v>
      </c>
    </row>
    <row r="60" spans="3:8">
      <c r="C60" t="str">
        <f>'Card Data'!B507</f>
        <v>895c9534-4fa5-4b11-a58a-c209d7cd8bde</v>
      </c>
      <c r="D60" t="str">
        <f>'Card Data'!G507</f>
        <v>Servant of Many Mouths</v>
      </c>
      <c r="E60">
        <f>'Card Data'!D507</f>
        <v>224</v>
      </c>
      <c r="G60" t="s">
        <v>6033</v>
      </c>
      <c r="H60" t="str">
        <f t="shared" si="0"/>
        <v>rename "C:\Users\timc\Desktop\New folder\New folder\AHC05_224.jpg" "895c9534-4fa5-4b11-a58a-c209d7cd8bde.jpg"</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Sets</vt:lpstr>
      <vt:lpstr>Card Data</vt:lpstr>
      <vt:lpstr>FAQ</vt:lpstr>
      <vt:lpstr>Special Characters</vt:lpstr>
      <vt:lpstr>Tables</vt:lpstr>
      <vt:lpstr>Sheet2</vt:lpstr>
      <vt:lpstr>Sheet1</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2017-05-10T04:07:30Z</dcterms:modified>
</cp:coreProperties>
</file>