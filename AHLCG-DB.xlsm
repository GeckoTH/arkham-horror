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240" windowWidth="20175" windowHeight="117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31" i="2" l="1"/>
  <c r="Z31" i="2"/>
  <c r="Y31" i="2"/>
  <c r="X31" i="2"/>
  <c r="W31" i="2"/>
  <c r="V31" i="2"/>
  <c r="T31" i="2"/>
  <c r="S31" i="2"/>
  <c r="R31" i="2"/>
  <c r="Q31" i="2"/>
  <c r="P31" i="2"/>
  <c r="O31" i="2"/>
  <c r="N31" i="2"/>
  <c r="L31" i="2"/>
  <c r="K31" i="2"/>
  <c r="J31" i="2"/>
  <c r="I31" i="2"/>
  <c r="H31" i="2"/>
  <c r="G31" i="2"/>
  <c r="Z29" i="2" l="1"/>
  <c r="AA30" i="2"/>
  <c r="Z30" i="2"/>
  <c r="Y30" i="2"/>
  <c r="X30" i="2"/>
  <c r="W30" i="2"/>
  <c r="V30" i="2"/>
  <c r="T30" i="2"/>
  <c r="S30" i="2"/>
  <c r="R30" i="2"/>
  <c r="Q30" i="2"/>
  <c r="P30" i="2"/>
  <c r="O30" i="2"/>
  <c r="N30" i="2"/>
  <c r="L30" i="2"/>
  <c r="K30" i="2"/>
  <c r="J30" i="2"/>
  <c r="I30" i="2" s="1"/>
  <c r="H30" i="2"/>
  <c r="G30" i="2"/>
  <c r="AA29" i="2" l="1"/>
  <c r="AA28"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s="1"/>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s="1"/>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<sst xmlns="http://schemas.openxmlformats.org/spreadsheetml/2006/main" count="18033" uniqueCount="6116">
  <si>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</si>
  <si>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</si>
  <si>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</si>
  <si>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</si>
  <si>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</si>
  <si>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</si>
  <si>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</si>
  <si>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</si>
  <si>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</si>
  <si>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</si>
  <si>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</si>
  <si>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</si>
  <si>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</si>
  <si>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</si>
  <si>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</si>
  <si>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</si>
  <si>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</si>
  <si>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</si>
  <si>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</si>
  <si>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</si>
  <si>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</si>
  <si>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</si>
  <si>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</si>
  <si>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</si>
  <si>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</si>
  <si>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</si>
  <si>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</si>
  <si>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</si>
  <si>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</si>
  <si>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</si>
  <si>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</si>
  <si>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</si>
  <si>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</si>
  <si>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</si>
  <si>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</si>
  <si>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</si>
  <si>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</si>
  <si>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</si>
  <si>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</si>
  <si>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</si>
  <si>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</si>
  <si>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</si>
  <si>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</si>
  <si>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</si>
  <si>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</si>
  <si>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</si>
  <si>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</si>
  <si>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</si>
  <si>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</si>
  <si>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</si>
  <si>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</si>
  <si>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</si>
  <si>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</si>
  <si>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</si>
  <si>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</si>
  <si>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</si>
  <si>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</si>
  <si>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</si>
  <si>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</si>
  <si>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</si>
  <si>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</si>
  <si>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</si>
  <si>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</si>
  <si>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</si>
  <si>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</si>
  <si>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</si>
  <si>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</si>
  <si>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</si>
  <si>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</si>
  <si>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</si>
  <si>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</si>
  <si>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</si>
  <si>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</si>
  <si>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</si>
  <si>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</si>
  <si>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</si>
  <si>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</si>
  <si>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</si>
  <si>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</si>
  <si>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</si>
  <si>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</si>
  <si>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</si>
  <si>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</si>
  <si>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</si>
  <si>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</si>
  <si>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</si>
  <si>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</si>
  <si>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</si>
  <si>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</si>
  <si>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</si>
  <si>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</si>
  <si>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</si>
  <si>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</si>
  <si>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</si>
  <si>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</si>
  <si>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</si>
  <si>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</si>
  <si>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</si>
  <si>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</si>
  <si>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</si>
  <si>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</si>
  <si>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</si>
  <si>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</si>
  <si>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</si>
  <si>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</si>
  <si>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</si>
  <si>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</si>
  <si>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</si>
  <si>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</si>
  <si>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</si>
  <si>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</si>
  <si>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</si>
  <si>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</si>
  <si>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</si>
  <si>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</si>
  <si>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</si>
  <si>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</si>
  <si>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</si>
  <si>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</si>
  <si>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</si>
  <si>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</si>
  <si>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</si>
  <si>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</si>
  <si>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</si>
  <si>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</si>
  <si>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</si>
  <si>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</si>
  <si>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</si>
  <si>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</si>
  <si>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</si>
  <si>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</si>
  <si>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</si>
  <si>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</si>
  <si>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</si>
  <si>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</si>
  <si>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</si>
  <si>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</si>
  <si>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</si>
  <si>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</si>
  <si>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</si>
  <si>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</si>
  <si>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</si>
  <si>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</si>
  <si>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</si>
  <si>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</si>
  <si>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</si>
  <si>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</si>
  <si>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</si>
  <si>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</si>
  <si>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</si>
  <si>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</si>
  <si>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</si>
  <si>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</si>
  <si>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</si>
  <si>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</si>
  <si>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</si>
  <si>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</si>
  <si>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</si>
  <si>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</si>
  <si>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</si>
  <si>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</si>
  <si>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</si>
  <si>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</si>
  <si>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</si>
  <si>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</si>
  <si>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</si>
  <si>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</si>
  <si>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</si>
  <si>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</si>
  <si>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</si>
  <si>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</si>
  <si>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</si>
  <si>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</si>
  <si>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</si>
  <si>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</si>
  <si>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</si>
  <si>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</si>
  <si>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</si>
  <si>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</si>
  <si>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</si>
  <si>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</si>
  <si>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</si>
  <si>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</si>
  <si>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</si>
  <si>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</si>
  <si>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</si>
  <si>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</si>
  <si>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</si>
  <si>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</si>
  <si>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</si>
  <si>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</si>
  <si>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</si>
  <si>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</si>
  <si>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</si>
  <si>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</si>
  <si>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</si>
  <si>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</si>
  <si>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</si>
  <si>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</si>
  <si>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</si>
  <si>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</si>
  <si>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</si>
  <si>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</si>
  <si>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</si>
  <si>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</si>
  <si>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</si>
  <si>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</si>
  <si>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</si>
  <si>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</si>
  <si>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</si>
  <si>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</si>
  <si>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</si>
  <si>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</si>
  <si>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</si>
  <si>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</si>
  <si>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</si>
  <si>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</si>
  <si>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</si>
  <si>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</si>
  <si>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</si>
  <si>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</si>
  <si>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</si>
  <si>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</si>
  <si>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</si>
  <si>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</si>
  <si>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</si>
  <si>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</si>
  <si>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</si>
  <si>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</si>
  <si>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</si>
  <si>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</si>
  <si>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</si>
  <si>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</si>
  <si>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</si>
  <si>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</si>
  <si>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</si>
  <si>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</si>
  <si>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</si>
  <si>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</si>
  <si>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</si>
  <si>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</si>
  <si>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</si>
  <si>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</si>
  <si>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</si>
  <si>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</si>
  <si>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</si>
  <si>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</si>
  <si>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</si>
  <si>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</si>
  <si>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</si>
  <si>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</si>
  <si>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</si>
  <si>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</si>
  <si>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</si>
  <si>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</si>
  <si>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</si>
  <si>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</si>
  <si>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</si>
  <si>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</si>
  <si>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</si>
  <si>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</si>
  <si>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</si>
  <si>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</si>
  <si>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</si>
  <si>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</si>
  <si>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</si>
  <si>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</si>
  <si>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</si>
  <si>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</si>
  <si>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</si>
  <si>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</si>
  <si>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</si>
  <si>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</si>
  <si>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</si>
  <si>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</si>
  <si>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</si>
  <si>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</si>
  <si>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</si>
  <si>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</si>
  <si>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</si>
  <si>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</si>
  <si>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</si>
  <si>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</si>
  <si>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</si>
  <si>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</si>
  <si>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</si>
  <si>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</si>
  <si>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</si>
  <si>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</si>
  <si>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</si>
  <si>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</si>
  <si>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</si>
  <si>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</si>
  <si>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</si>
  <si>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</si>
  <si>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</si>
  <si>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</si>
  <si>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</si>
  <si>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</si>
  <si>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</si>
  <si>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</si>
  <si>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</si>
  <si>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</si>
  <si>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</si>
  <si>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</si>
  <si>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</si>
  <si>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</si>
  <si>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</si>
  <si>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</si>
  <si>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</si>
  <si>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</si>
  <si>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</si>
  <si>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</si>
  <si>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</si>
  <si>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</si>
  <si>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</si>
  <si>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</si>
  <si>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</si>
  <si>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</si>
  <si>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</si>
  <si>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</si>
  <si>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</si>
  <si>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</si>
  <si>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</si>
  <si>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</si>
  <si>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</si>
  <si>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</si>
  <si>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</si>
  <si>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</si>
  <si>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</si>
  <si>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</si>
  <si>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</si>
  <si>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</si>
  <si>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</si>
  <si>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</si>
  <si>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</si>
  <si>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</si>
  <si>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</si>
  <si>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</si>
  <si>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</si>
  <si>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</si>
  <si>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</si>
  <si>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</si>
  <si>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</si>
  <si>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</si>
  <si>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</si>
  <si>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</si>
  <si>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</si>
  <si>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</si>
  <si>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</si>
  <si>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</si>
  <si>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</si>
  <si>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</si>
  <si>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</si>
  <si>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</si>
  <si>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</si>
  <si>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</si>
  <si>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</si>
  <si>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</si>
  <si>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</si>
  <si>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</si>
  <si>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</si>
  <si>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</si>
  <si>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</si>
  <si>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</si>
  <si>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</si>
  <si>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</si>
  <si>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</si>
  <si>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</si>
  <si>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</si>
  <si>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</si>
  <si>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</si>
  <si>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</si>
  <si>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</si>
  <si>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</si>
  <si>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</si>
  <si>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</si>
  <si>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</si>
  <si>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</si>
  <si>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</si>
  <si>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</si>
  <si>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</si>
  <si>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</si>
  <si>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</si>
  <si>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</si>
  <si>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</si>
  <si>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</si>
  <si>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</si>
  <si>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</si>
  <si>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</si>
  <si>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</si>
  <si>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</si>
  <si>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</si>
  <si>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</si>
  <si>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</si>
  <si>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</si>
  <si>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</si>
  <si>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</si>
  <si>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</si>
  <si>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</si>
  <si>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</si>
  <si>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</si>
  <si>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</si>
  <si>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</si>
  <si>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</si>
  <si>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</si>
  <si>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</si>
  <si>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</si>
  <si>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</si>
  <si>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</si>
  <si>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</si>
  <si>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</si>
  <si>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</si>
  <si>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</si>
  <si>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</si>
  <si>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</si>
  <si>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</si>
  <si>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</si>
  <si>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</si>
  <si>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</si>
  <si>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</si>
  <si>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</si>
  <si>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</si>
  <si>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</si>
  <si>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</si>
  <si>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</si>
  <si>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</si>
  <si>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</si>
  <si>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</si>
  <si>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</si>
  <si>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</si>
  <si>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</si>
  <si>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</si>
  <si>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</si>
  <si>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</si>
  <si>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</si>
  <si>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</si>
  <si>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</si>
  <si>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</si>
  <si>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</si>
  <si>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</si>
  <si>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</si>
  <si>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</si>
  <si>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</si>
  <si>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</si>
  <si>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</si>
  <si>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</si>
  <si>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</si>
  <si>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</si>
  <si>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</si>
  <si>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</si>
  <si>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</si>
  <si>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</si>
  <si>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</si>
  <si>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</si>
  <si>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</si>
  <si>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</si>
  <si>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</si>
  <si>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</si>
  <si>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</si>
  <si>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</si>
  <si>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</si>
  <si>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</si>
  <si>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</si>
  <si>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</si>
  <si>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</si>
  <si>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</si>
  <si>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</si>
  <si>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</si>
  <si>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</si>
  <si>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</si>
  <si>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</si>
  <si>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</si>
  <si>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</si>
  <si>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</si>
  <si>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</si>
  <si>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</si>
  <si>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</si>
  <si>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</si>
  <si>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</si>
  <si>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</si>
  <si>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</si>
  <si>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</si>
  <si>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</si>
  <si>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</si>
  <si>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</si>
  <si>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</si>
  <si>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</si>
  <si>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</si>
  <si>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</si>
  <si>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</si>
  <si>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</si>
  <si>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</si>
  <si>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</si>
  <si>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</si>
  <si>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</si>
  <si>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</si>
  <si>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</si>
  <si>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</si>
  <si>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</si>
  <si>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</si>
  <si>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</si>
  <si>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</si>
  <si>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</si>
  <si>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</si>
  <si>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</si>
  <si>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</si>
  <si>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</si>
  <si>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</si>
  <si>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</si>
  <si>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</si>
  <si>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</si>
  <si>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</si>
  <si>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</si>
  <si>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</si>
  <si>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</si>
  <si>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</si>
  <si>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</si>
  <si>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</si>
  <si>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</si>
  <si>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</si>
  <si>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</si>
  <si>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</si>
  <si>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</si>
  <si>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</si>
  <si>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</si>
  <si>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</si>
  <si>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</si>
  <si>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</si>
  <si>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</si>
  <si>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</si>
  <si>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</si>
  <si>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</si>
  <si>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</si>
  <si>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</si>
  <si>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</si>
  <si>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</si>
  <si>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</si>
  <si>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</si>
  <si>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</si>
  <si>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</si>
  <si>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</si>
  <si>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</si>
  <si>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</si>
  <si>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</si>
  <si>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</si>
  <si>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</si>
  <si>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</si>
  <si>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</si>
  <si>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</si>
  <si>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</si>
  <si>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</si>
  <si>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</si>
  <si>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</si>
  <si>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</si>
  <si>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</si>
  <si>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</si>
  <si>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</si>
  <si>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</si>
  <si>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</si>
  <si>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</si>
  <si>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</si>
  <si>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</si>
  <si>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</si>
  <si>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</si>
  <si>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</si>
  <si>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</si>
  <si>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</si>
  <si>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</si>
  <si>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</si>
  <si>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</si>
  <si>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</si>
  <si>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</si>
  <si>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</si>
  <si>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</si>
  <si>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</si>
  <si>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</si>
  <si>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</si>
  <si>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</si>
  <si>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</si>
  <si>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</si>
  <si>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</si>
  <si>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</si>
  <si>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</si>
  <si>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</si>
  <si>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</si>
  <si>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</si>
  <si>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</si>
  <si>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</si>
  <si>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</si>
  <si>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</si>
  <si>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</si>
  <si>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</si>
  <si>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</si>
  <si>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</si>
  <si>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</si>
  <si>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</si>
  <si>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</si>
  <si>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</si>
  <si>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</si>
  <si>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</si>
  <si>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</si>
  <si>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</si>
  <si>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</si>
  <si>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</si>
  <si>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</si>
  <si>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</si>
  <si>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</si>
  <si>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</si>
  <si>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</si>
  <si>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</si>
  <si>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</si>
  <si>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</si>
  <si>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</si>
  <si>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</si>
  <si>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</si>
  <si>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</si>
  <si>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</si>
  <si>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</si>
  <si>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</si>
  <si>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</si>
  <si>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</si>
  <si>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</si>
  <si>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</si>
  <si>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</si>
  <si>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</si>
  <si>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</si>
  <si>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</si>
  <si>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</si>
  <si>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</si>
  <si>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</si>
  <si>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</si>
  <si>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</si>
  <si>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</si>
  <si>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</si>
  <si>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</si>
  <si>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</si>
  <si>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</si>
  <si>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</si>
  <si>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</si>
  <si>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</si>
  <si>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</si>
  <si>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</si>
  <si>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</si>
  <si>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</si>
  <si>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</si>
  <si>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</si>
  <si>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</si>
  <si>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</si>
  <si>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</si>
  <si>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</si>
  <si>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</si>
  <si>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</si>
  <si>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</si>
  <si>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</si>
  <si>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</si>
  <si>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</si>
  <si>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</si>
  <si>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</si>
  <si>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</si>
  <si>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</si>
  <si>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</si>
  <si>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</si>
  <si>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</si>
  <si>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</si>
  <si>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</si>
  <si>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</si>
  <si>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</si>
  <si>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</si>
  <si>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</si>
  <si>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</si>
  <si>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</si>
  <si>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</si>
  <si>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</si>
  <si>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</si>
  <si>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</si>
  <si>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</si>
  <si>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</si>
  <si>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</si>
  <si>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</si>
  <si>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</si>
  <si>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</si>
  <si>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</si>
  <si>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</si>
  <si>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</si>
  <si>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</si>
  <si>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</si>
  <si>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</si>
  <si>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</si>
  <si>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</si>
  <si>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</si>
  <si>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</si>
  <si>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</si>
  <si>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</si>
  <si>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</si>
  <si>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</si>
  <si>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</si>
  <si>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</si>
  <si>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</si>
  <si>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</si>
  <si>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</si>
  <si>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</si>
  <si>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</si>
  <si>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</si>
  <si>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</si>
  <si>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</si>
  <si>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</si>
  <si>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</si>
  <si>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</si>
  <si>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</si>
  <si>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</si>
  <si>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</si>
  <si>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</si>
  <si>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</si>
  <si>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</si>
  <si>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</si>
  <si>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</si>
  <si>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</si>
  <si>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</si>
  <si>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</si>
  <si>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</si>
  <si>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</si>
  <si>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</si>
  <si>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</si>
  <si>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</si>
  <si>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</si>
  <si>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</si>
  <si>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</si>
  <si>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</si>
  <si>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</si>
  <si>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</si>
  <si>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</si>
  <si>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</si>
  <si>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</si>
  <si>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</si>
  <si>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</si>
  <si>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</si>
  <si>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</si>
  <si>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</si>
  <si>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</si>
  <si>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</si>
  <si>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</si>
  <si>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</si>
  <si>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</si>
  <si>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</si>
  <si>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</si>
  <si>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</si>
  <si>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</si>
  <si>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</si>
  <si>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</si>
  <si>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</si>
  <si>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</si>
  <si>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</si>
  <si>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</si>
  <si>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</si>
  <si>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</si>
  <si>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</si>
  <si>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</si>
  <si>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</si>
  <si>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</si>
  <si>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</si>
  <si>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</si>
  <si>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</si>
  <si>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</si>
  <si>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</si>
  <si>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</si>
  <si>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</si>
  <si>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</si>
  <si>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</si>
  <si>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</si>
  <si>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</si>
  <si>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</si>
  <si>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</si>
  <si>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</si>
  <si>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</si>
  <si>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</si>
  <si>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</si>
  <si>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</si>
  <si>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</si>
  <si>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</si>
  <si>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</si>
  <si>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</si>
  <si>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</si>
  <si>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</si>
  <si>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</si>
  <si>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</si>
  <si>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</si>
  <si>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</si>
  <si>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</si>
  <si>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</si>
  <si>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</si>
  <si>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</si>
  <si>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</si>
  <si>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</si>
  <si>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</si>
  <si>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</si>
  <si>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</si>
  <si>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</si>
  <si>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</si>
  <si>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</si>
  <si>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</si>
  <si>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</si>
  <si>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</si>
  <si>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</si>
  <si>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</si>
  <si>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</si>
  <si>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</si>
  <si>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</si>
  <si>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</si>
  <si>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</si>
  <si>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</si>
  <si>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</si>
  <si>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</si>
  <si>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</si>
  <si>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</si>
  <si>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</si>
  <si>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</si>
  <si>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</si>
  <si>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</si>
  <si>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</si>
  <si>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</si>
  <si>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</si>
  <si>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</si>
  <si>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</si>
  <si>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</si>
  <si>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</si>
  <si>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</si>
  <si>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</si>
  <si>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</si>
  <si>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</si>
  <si>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</si>
  <si>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</si>
  <si>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</si>
  <si>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</si>
  <si>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</si>
  <si>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</si>
  <si>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</si>
  <si>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</si>
  <si>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</si>
  <si>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</si>
  <si>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</si>
  <si>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</si>
  <si>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</si>
  <si>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</si>
  <si>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</si>
  <si>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</si>
  <si>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</si>
  <si>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</si>
  <si>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</si>
  <si>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</si>
  <si>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</si>
  <si>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</si>
  <si>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</si>
  <si>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</si>
  <si>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</si>
  <si>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</si>
  <si>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</si>
  <si>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</si>
  <si>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</si>
  <si>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</si>
  <si>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</si>
  <si>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</si>
  <si>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</si>
  <si>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</si>
  <si>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</si>
  <si>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</si>
  <si>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</si>
  <si>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</si>
  <si>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</si>
  <si>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</si>
  <si>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</si>
  <si>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</si>
  <si>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</si>
  <si>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</si>
  <si>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</si>
  <si>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</si>
  <si>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</si>
  <si>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</si>
  <si>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</si>
  <si>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</si>
  <si>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</si>
  <si>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</si>
  <si>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</si>
  <si>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</si>
  <si>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</si>
  <si>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</si>
  <si>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</si>
  <si>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</si>
  <si>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</si>
  <si>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</si>
  <si>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</si>
  <si>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</si>
  <si>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</si>
  <si>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</si>
  <si>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</si>
  <si>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</si>
  <si>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</si>
  <si>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</si>
  <si>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</si>
  <si>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</si>
  <si>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</si>
  <si>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</si>
  <si>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</si>
  <si>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</si>
  <si>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</si>
  <si>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</si>
  <si>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</si>
  <si>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</si>
  <si>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</si>
  <si>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</si>
  <si>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</si>
  <si>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</si>
  <si>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</si>
  <si>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</si>
  <si>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</si>
  <si>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</si>
  <si>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</si>
  <si>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</si>
  <si>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</si>
  <si>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</si>
  <si>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</si>
  <si>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</si>
  <si>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</si>
  <si>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</si>
  <si>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</si>
  <si>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</si>
  <si>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</si>
  <si>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</si>
  <si>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</si>
  <si>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</si>
  <si>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</si>
  <si>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</si>
  <si>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</si>
  <si>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</si>
  <si>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</si>
  <si>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</si>
  <si>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</si>
  <si>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</si>
  <si>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</si>
  <si>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</si>
  <si>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</si>
  <si>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</si>
  <si>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</si>
  <si>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</si>
  <si>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</si>
  <si>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</si>
  <si>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</si>
  <si>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</si>
  <si>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</si>
  <si>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</si>
  <si>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</si>
  <si>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</si>
  <si>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</si>
  <si>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</si>
  <si>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</si>
  <si>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</si>
  <si>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</si>
  <si>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</si>
  <si>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</si>
  <si>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</si>
  <si>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</si>
  <si>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</si>
  <si>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</si>
  <si>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</si>
  <si>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</si>
  <si>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</si>
  <si>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</si>
  <si>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</si>
  <si>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</si>
  <si>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</si>
  <si>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</si>
  <si>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</si>
  <si>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</si>
  <si>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</si>
  <si>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</si>
  <si>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</si>
  <si>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</si>
  <si>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</si>
  <si>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</si>
  <si>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</si>
  <si>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</si>
  <si>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</si>
  <si>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</si>
  <si>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</si>
  <si>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</si>
  <si>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</si>
  <si>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</si>
  <si>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</si>
  <si>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</si>
  <si>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</si>
  <si>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</si>
  <si>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</si>
  <si>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</si>
  <si>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</si>
  <si>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</si>
  <si>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</si>
  <si>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</si>
  <si>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</si>
  <si>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</si>
  <si>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</si>
  <si>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</si>
  <si>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</si>
  <si>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</si>
  <si>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</si>
  <si>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</si>
  <si>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</si>
  <si>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</si>
  <si>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</si>
  <si>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</si>
  <si>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</si>
  <si>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</si>
  <si>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</si>
  <si>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</si>
  <si>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</si>
  <si>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</si>
  <si>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</si>
  <si>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</si>
  <si>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</si>
  <si>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</si>
  <si>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</si>
  <si>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</si>
  <si>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</si>
  <si>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</si>
  <si>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</si>
  <si>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</si>
  <si>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</si>
  <si>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</si>
  <si>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</si>
  <si>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</si>
  <si>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</si>
  <si>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</si>
  <si>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</si>
  <si>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</si>
  <si>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</si>
  <si>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</si>
  <si>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</si>
  <si>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</si>
  <si>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</si>
  <si>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</si>
  <si>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</si>
  <si>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</si>
  <si>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</si>
  <si>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</si>
  <si>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</si>
  <si>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</si>
  <si>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</si>
  <si>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</si>
  <si>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</si>
  <si>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</si>
  <si>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</si>
  <si>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</si>
  <si>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</si>
  <si>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</si>
  <si>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</si>
  <si>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</si>
  <si>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</si>
  <si>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</si>
  <si>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</si>
  <si>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</si>
  <si>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</si>
  <si>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</si>
  <si>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</si>
  <si>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</si>
  <si>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</si>
  <si>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</si>
  <si>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</si>
  <si>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</si>
  <si>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</si>
  <si>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</si>
  <si>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</si>
  <si>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</si>
  <si>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</si>
  <si>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</si>
  <si>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</si>
  <si>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</si>
  <si>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</si>
  <si>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</si>
  <si>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</si>
  <si>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</si>
  <si>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</si>
  <si>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</si>
  <si>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</si>
  <si>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</si>
  <si>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</si>
  <si>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</si>
  <si>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</si>
  <si>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</si>
  <si>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</si>
  <si>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</si>
  <si>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</si>
  <si>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</si>
  <si>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</si>
  <si>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</si>
  <si>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</si>
  <si>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</si>
  <si>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</si>
  <si>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</si>
  <si>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</si>
  <si>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</si>
  <si>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</si>
  <si>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</si>
  <si>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</si>
  <si>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</si>
  <si>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</si>
  <si>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</si>
  <si>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</si>
  <si>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</si>
  <si>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</si>
  <si>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</si>
  <si>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</si>
  <si>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</si>
  <si>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</si>
  <si>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</si>
  <si>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</si>
  <si>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</si>
  <si>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</si>
  <si>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</si>
  <si>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</si>
  <si>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</si>
  <si>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</si>
  <si>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</si>
  <si>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</si>
  <si>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</si>
  <si>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</si>
  <si>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</si>
  <si>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</si>
  <si>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</si>
  <si>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</si>
  <si>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</si>
  <si>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</si>
  <si>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</si>
  <si>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</si>
  <si>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</si>
  <si>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</si>
  <si>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</si>
  <si>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</si>
  <si>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</si>
  <si>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</si>
  <si>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</si>
  <si>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</si>
  <si>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</si>
  <si>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</si>
  <si>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</si>
  <si>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</si>
  <si>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</si>
  <si>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</si>
  <si>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</si>
  <si>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</si>
  <si>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</si>
  <si>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</si>
  <si>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</si>
  <si>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</si>
  <si>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</si>
  <si>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</si>
  <si>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</si>
  <si>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</si>
  <si>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</si>
  <si>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</si>
  <si>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</si>
  <si>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</si>
  <si>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</si>
  <si>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</si>
  <si>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</si>
  <si>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</si>
  <si>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</si>
  <si>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</si>
  <si>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</si>
  <si>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</si>
  <si>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</si>
  <si>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</si>
  <si>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</si>
  <si>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</si>
  <si>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</si>
  <si>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</si>
  <si>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</si>
  <si>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</si>
  <si>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</si>
  <si>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</si>
  <si>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</si>
  <si>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</si>
  <si>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</si>
  <si>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</si>
  <si>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</si>
  <si>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</si>
  <si>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</si>
  <si>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</si>
  <si>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</si>
  <si>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</si>
  <si>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</si>
  <si>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</si>
  <si>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</si>
  <si>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</si>
  <si>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</si>
  <si>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</si>
  <si>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</si>
  <si>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</si>
  <si>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</si>
  <si>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</si>
  <si>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</si>
  <si>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</si>
  <si>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</si>
  <si>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</si>
  <si>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</si>
  <si>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</si>
  <si>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</si>
  <si>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</si>
  <si>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</si>
  <si>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</si>
  <si>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</si>
  <si>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</si>
  <si>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</si>
  <si>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</si>
  <si>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</si>
  <si>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</si>
  <si>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</si>
  <si>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</si>
  <si>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</si>
  <si>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</si>
  <si>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</si>
  <si>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</si>
  <si>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</si>
  <si>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</si>
  <si>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</si>
  <si>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</si>
  <si>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</si>
  <si>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</si>
  <si>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</si>
  <si>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</si>
  <si>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</si>
  <si>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</si>
  <si>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</si>
  <si>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</si>
  <si>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</si>
  <si>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</si>
  <si>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</si>
  <si>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</si>
  <si>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</si>
  <si>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</si>
  <si>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</si>
  <si>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</si>
  <si>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</si>
  <si>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</si>
  <si>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</si>
  <si>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</si>
  <si>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</si>
  <si>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</si>
  <si>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</si>
  <si>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</si>
  <si>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</si>
  <si>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</si>
  <si>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</si>
  <si>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</si>
  <si>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</si>
  <si>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</si>
  <si>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</si>
  <si>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</si>
  <si>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</si>
  <si>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</si>
  <si>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</si>
  <si>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</si>
  <si>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</si>
  <si>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</si>
  <si>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</si>
  <si>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</si>
  <si>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</si>
  <si>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</si>
  <si>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</si>
  <si>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</si>
  <si>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</si>
  <si>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</si>
  <si>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</si>
  <si>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</si>
  <si>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</si>
  <si>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</si>
  <si>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</si>
  <si>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</si>
  <si>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</si>
  <si>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</si>
  <si>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</si>
  <si>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</si>
  <si>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</si>
  <si>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</si>
  <si>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</si>
  <si>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</si>
  <si>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</si>
  <si>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</si>
  <si>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</si>
  <si>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</si>
  <si>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</si>
  <si>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</si>
  <si>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</si>
  <si>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</si>
  <si>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</si>
  <si>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</si>
  <si>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</si>
  <si>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</si>
  <si>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</si>
  <si>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</si>
  <si>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</si>
  <si>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</si>
  <si>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</si>
  <si>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</si>
  <si>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</si>
  <si>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</si>
  <si>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</si>
  <si>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</si>
  <si>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</si>
  <si>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</si>
  <si>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</si>
  <si>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</si>
  <si>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</si>
  <si>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</si>
  <si>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</si>
  <si>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</si>
  <si>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</si>
  <si>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</si>
  <si>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</si>
  <si>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</si>
  <si>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</si>
  <si>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</si>
  <si>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</si>
  <si>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</si>
  <si>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</si>
  <si>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</si>
  <si>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</si>
  <si>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</si>
  <si>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</si>
  <si>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</si>
  <si>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</si>
  <si>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</si>
  <si>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</si>
  <si>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</si>
  <si>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</si>
  <si>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</si>
  <si>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</si>
  <si>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</si>
  <si>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</si>
  <si>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</si>
  <si>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</si>
  <si>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</si>
  <si>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</si>
  <si>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</si>
  <si>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</si>
  <si>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</si>
  <si>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</si>
  <si>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</si>
  <si>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</si>
  <si>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</si>
  <si>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</si>
  <si>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</si>
  <si>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</si>
  <si>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</si>
  <si>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</si>
  <si>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</si>
  <si>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</si>
  <si>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</si>
  <si>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</si>
  <si>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</si>
  <si>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</si>
  <si>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</si>
  <si>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</si>
  <si>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</si>
  <si>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</si>
  <si>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</si>
  <si>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</si>
  <si>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</si>
  <si>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</si>
  <si>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</si>
  <si>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</si>
  <si>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</si>
  <si>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</si>
  <si>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</si>
  <si>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</si>
  <si>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</si>
  <si>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</si>
  <si>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</si>
  <si>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</si>
  <si>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</si>
  <si>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</si>
  <si>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</si>
  <si>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</si>
  <si>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</si>
  <si>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</si>
  <si>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</si>
  <si>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</si>
  <si>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</si>
  <si>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</si>
  <si>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</si>
  <si>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</si>
  <si>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</si>
  <si>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</si>
  <si>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</si>
  <si>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</si>
  <si>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</si>
  <si>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</si>
  <si>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</si>
  <si>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</si>
  <si>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</si>
  <si>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</si>
  <si>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</si>
  <si>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</si>
  <si>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</si>
  <si>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</si>
  <si>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</si>
  <si>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</si>
  <si>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</si>
  <si>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</si>
  <si>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</si>
  <si>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</si>
  <si>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</si>
  <si>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</si>
  <si>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</si>
  <si>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</si>
  <si>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</si>
  <si>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</si>
  <si>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</si>
  <si>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</si>
  <si>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</si>
  <si>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</si>
  <si>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</si>
  <si>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</si>
  <si>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</si>
  <si>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</si>
  <si>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</si>
  <si>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</si>
  <si>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</si>
  <si>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</si>
  <si>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</si>
  <si>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</si>
  <si>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</si>
  <si>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</si>
  <si>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</si>
  <si>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</si>
  <si>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</si>
  <si>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</si>
  <si>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</si>
  <si>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</si>
  <si>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</si>
  <si>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</si>
  <si>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</si>
  <si>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</si>
  <si>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</si>
  <si>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</si>
  <si>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</si>
  <si>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</si>
  <si>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</si>
  <si>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</si>
  <si>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</si>
  <si>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</si>
  <si>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</si>
  <si>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</si>
  <si>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</si>
  <si>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</si>
  <si>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</si>
  <si>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</si>
  <si>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</si>
  <si>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</si>
  <si>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</si>
  <si>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</si>
  <si>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</si>
  <si>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</si>
  <si>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</si>
  <si>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</si>
  <si>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</si>
  <si>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</si>
  <si>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</si>
  <si>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</si>
  <si>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</si>
  <si>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</si>
  <si>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</si>
  <si>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</si>
  <si>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</si>
  <si>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</si>
  <si>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</si>
  <si>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</si>
  <si>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</si>
  <si>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</si>
  <si>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</si>
  <si>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</si>
  <si>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</si>
  <si>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</si>
  <si>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</si>
  <si>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</si>
  <si>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</si>
  <si>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</si>
  <si>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</si>
  <si>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</si>
  <si>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</si>
  <si>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</si>
  <si>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</si>
  <si>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</si>
  <si>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</si>
  <si>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</si>
  <si>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</si>
  <si>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</si>
  <si>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</si>
  <si>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</si>
  <si>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</si>
  <si>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</si>
  <si>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</si>
  <si>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</si>
  <si>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</si>
  <si>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</si>
  <si>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</si>
  <si>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</si>
  <si>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</si>
  <si>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</si>
  <si>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</si>
  <si>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</si>
  <si>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</si>
  <si>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</si>
  <si>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</si>
  <si>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</si>
  <si>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</si>
  <si>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</si>
  <si>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</si>
  <si>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</si>
  <si>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</si>
  <si>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</si>
  <si>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</si>
  <si>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</si>
  <si>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</si>
  <si>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</si>
  <si>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</si>
  <si>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</si>
  <si>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</si>
  <si>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</si>
  <si>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</si>
  <si>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</si>
  <si>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</si>
  <si>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</si>
  <si>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</si>
  <si>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</si>
  <si>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</si>
  <si>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</si>
  <si>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</si>
  <si>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</si>
  <si>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</si>
  <si>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</si>
  <si>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</si>
  <si>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</si>
  <si>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</si>
  <si>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</si>
  <si>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</si>
  <si>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</si>
  <si>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</si>
  <si>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</si>
  <si>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</si>
  <si>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</si>
  <si>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</si>
  <si>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</si>
  <si>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</si>
  <si>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</si>
  <si>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</si>
  <si>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</si>
  <si>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</si>
  <si>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</si>
  <si>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</si>
  <si>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</si>
  <si>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</si>
  <si>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</si>
  <si>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</si>
  <si>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</si>
  <si>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</si>
  <si>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</si>
  <si>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</si>
  <si>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</si>
  <si>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</si>
  <si>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</si>
  <si>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</si>
  <si>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</si>
  <si>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</si>
  <si>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</si>
  <si>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</si>
  <si>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</si>
  <si>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</si>
  <si>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</si>
  <si>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</si>
  <si>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</si>
  <si>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</si>
  <si>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</si>
  <si>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</si>
  <si>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</si>
  <si>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</si>
  <si>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</si>
  <si>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</si>
  <si>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</si>
  <si>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</si>
  <si>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</si>
  <si>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</si>
  <si>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</si>
  <si>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</si>
  <si>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</si>
  <si>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</si>
  <si>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</si>
  <si>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</si>
  <si>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</si>
  <si>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</si>
  <si>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</si>
  <si>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</si>
  <si>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</si>
  <si>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</si>
  <si>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</si>
  <si>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</si>
  <si>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</si>
  <si>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</si>
  <si>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</si>
  <si>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</si>
  <si>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</si>
  <si>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</si>
  <si>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</si>
  <si>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</si>
  <si>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</si>
  <si>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</si>
  <si>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</si>
  <si>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</si>
  <si>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</si>
  <si>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</si>
  <si>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</si>
  <si>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</si>
  <si>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</si>
  <si>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</si>
  <si>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</si>
  <si>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</si>
  <si>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</si>
  <si>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</si>
  <si>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</si>
  <si>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</si>
  <si>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</si>
  <si>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</si>
  <si>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</si>
  <si>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</si>
  <si>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</si>
  <si>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</si>
  <si>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</si>
  <si>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</si>
  <si>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</si>
  <si>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</si>
  <si>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</si>
  <si>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</si>
  <si>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</si>
  <si>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</si>
  <si>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</si>
  <si>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</si>
  <si>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</si>
  <si>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</si>
  <si>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</si>
  <si>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</si>
  <si>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</si>
  <si>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</si>
  <si>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</si>
  <si>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</si>
  <si>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</si>
  <si>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</si>
  <si>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</si>
  <si>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</si>
  <si>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</si>
  <si>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</si>
  <si>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</si>
  <si>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</si>
  <si>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</si>
  <si>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</si>
  <si>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</si>
  <si>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</si>
  <si>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</si>
  <si>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</si>
  <si>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</si>
  <si>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</si>
  <si>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</si>
  <si>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</si>
  <si>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</si>
  <si>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</si>
  <si>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</si>
  <si>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</si>
  <si>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</si>
  <si>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</si>
  <si>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</si>
  <si>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</si>
  <si>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</si>
  <si>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</si>
  <si>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</si>
  <si>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</si>
  <si>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</si>
  <si>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</si>
  <si>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</si>
  <si>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</si>
  <si>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</si>
  <si>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</si>
  <si>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</si>
  <si>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</si>
  <si>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</si>
  <si>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</si>
  <si>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</si>
  <si>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</si>
  <si>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</si>
  <si>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</si>
  <si>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</si>
  <si>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</si>
  <si>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</si>
  <si>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</si>
  <si>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</si>
  <si>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</si>
  <si>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</si>
  <si>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</si>
  <si>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</si>
  <si>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</si>
  <si>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</si>
  <si>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</si>
  <si>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</si>
  <si>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</si>
  <si>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</si>
  <si>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</si>
  <si>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</si>
  <si>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</si>
  <si>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</si>
  <si>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</si>
  <si>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</si>
  <si>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</si>
  <si>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</si>
  <si>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</si>
  <si>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</si>
  <si>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</si>
  <si>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</si>
  <si>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</si>
  <si>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</si>
  <si>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</si>
  <si>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</si>
  <si>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</si>
  <si>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</si>
  <si>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</si>
  <si>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</si>
  <si>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</si>
  <si>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</si>
  <si>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</si>
  <si>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</si>
  <si>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</si>
  <si>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</si>
  <si>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</si>
  <si>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</si>
  <si>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</si>
  <si>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</si>
  <si>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</si>
  <si>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</si>
  <si>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</si>
  <si>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</si>
  <si>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</si>
  <si>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</si>
  <si>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</si>
  <si>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</si>
  <si>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</si>
  <si>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</si>
  <si>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</si>
  <si>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</si>
  <si>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</si>
  <si>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</si>
  <si>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</si>
  <si>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</si>
  <si>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</si>
  <si>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</si>
  <si>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</si>
  <si>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</si>
  <si>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</si>
  <si>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</si>
  <si>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</si>
  <si>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</si>
  <si>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</si>
  <si>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</si>
  <si>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</si>
  <si>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</si>
  <si>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</si>
  <si>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</si>
  <si>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</si>
  <si>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</si>
  <si>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</si>
  <si>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</si>
  <si>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</si>
  <si>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</si>
  <si>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</si>
  <si>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</si>
  <si>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</si>
  <si>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</si>
  <si>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</si>
  <si>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</si>
  <si>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</si>
  <si>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</si>
  <si>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</si>
  <si>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</si>
  <si>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</si>
  <si>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</si>
  <si>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</si>
  <si>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</si>
  <si>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</si>
  <si>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</si>
  <si>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</si>
  <si>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</si>
  <si>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</si>
  <si>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</si>
  <si>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</si>
  <si>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</si>
  <si>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</si>
  <si>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</si>
  <si>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</si>
  <si>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</si>
  <si>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</si>
  <si>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</si>
  <si>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</si>
  <si>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</si>
  <si>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</si>
  <si>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</si>
  <si>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</si>
  <si>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</si>
  <si>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</si>
  <si>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</si>
  <si>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</si>
  <si>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</si>
  <si>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</si>
  <si>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</si>
  <si>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</si>
  <si>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</si>
  <si>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</si>
  <si>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</si>
  <si>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</si>
  <si>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</si>
  <si>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</si>
  <si>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</si>
  <si>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</si>
  <si>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</si>
  <si>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</si>
  <si>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</si>
  <si>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</si>
  <si>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</si>
  <si>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</si>
  <si>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</si>
  <si>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</si>
  <si>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</si>
  <si>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</si>
  <si>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</si>
  <si>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</si>
  <si>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</si>
  <si>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</si>
  <si>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</si>
  <si>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</si>
  <si>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</si>
  <si>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</si>
  <si>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</si>
  <si>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</si>
  <si>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</si>
  <si>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</si>
  <si>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</si>
  <si>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</si>
  <si>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</si>
  <si>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</si>
  <si>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</si>
  <si>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</si>
  <si>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</si>
  <si>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</si>
  <si>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</si>
  <si>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</si>
  <si>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</si>
  <si>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</si>
  <si>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</si>
  <si>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</si>
  <si>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</si>
  <si>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</si>
  <si>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</si>
  <si>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</si>
  <si>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</si>
  <si>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</si>
  <si>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</si>
  <si>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</si>
  <si>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</si>
  <si>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</si>
  <si>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</si>
  <si>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</si>
  <si>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</si>
  <si>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</si>
  <si>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</si>
  <si>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</si>
  <si>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</si>
  <si>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</si>
  <si>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</si>
  <si>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</si>
  <si>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</si>
  <si>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</si>
  <si>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</si>
  <si>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</si>
  <si>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</si>
  <si>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</si>
  <si>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</si>
  <si>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</si>
  <si>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</si>
  <si>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</si>
  <si>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</si>
  <si>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</si>
  <si>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</si>
  <si>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</si>
  <si>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</si>
  <si>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</si>
  <si>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</si>
  <si>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</si>
  <si>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</si>
  <si>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</si>
  <si>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</si>
  <si>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</si>
  <si>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</si>
  <si>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</si>
  <si>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</si>
  <si>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</si>
  <si>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</si>
  <si>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</si>
  <si>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</si>
  <si>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</si>
  <si>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</si>
  <si>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</si>
  <si>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</si>
  <si>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</si>
  <si>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</si>
  <si>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</si>
  <si>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</si>
  <si>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</si>
  <si>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</si>
  <si>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</si>
  <si>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</si>
  <si>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</si>
  <si>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</si>
  <si>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</si>
  <si>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</si>
  <si>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</si>
  <si>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</si>
  <si>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</si>
  <si>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</si>
  <si>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</si>
  <si>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</si>
  <si>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</si>
  <si>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</si>
  <si>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</si>
  <si>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</si>
  <si>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</si>
  <si>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</si>
  <si>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</si>
  <si>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</si>
  <si>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</si>
  <si>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</si>
  <si>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</si>
  <si>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</si>
  <si>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</si>
  <si>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</si>
  <si>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</si>
  <si>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</si>
  <si>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</si>
  <si>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</si>
  <si>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</si>
  <si>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</si>
  <si>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</si>
  <si>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</si>
  <si>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</si>
  <si>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</si>
  <si>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</si>
  <si>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</si>
  <si>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</si>
  <si>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</si>
  <si>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</si>
  <si>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</si>
  <si>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</si>
  <si>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</si>
  <si>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</si>
  <si>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</si>
  <si>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</si>
  <si>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</si>
  <si>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</si>
  <si>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</si>
  <si>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</si>
  <si>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</si>
  <si>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</si>
  <si>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</si>
  <si>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</si>
  <si>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</si>
  <si>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</si>
  <si>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</si>
  <si>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</si>
  <si>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</si>
  <si>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</si>
  <si>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</si>
  <si>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</si>
  <si>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</si>
  <si>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</si>
  <si>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</si>
  <si>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</si>
  <si>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</si>
  <si>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</si>
  <si>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</si>
  <si>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</si>
  <si>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</si>
  <si>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</si>
  <si>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</si>
  <si>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</si>
  <si>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</si>
  <si>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</si>
  <si>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</si>
  <si>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</si>
  <si>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</si>
  <si>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</si>
  <si>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</si>
  <si>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</si>
  <si>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</si>
  <si>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</si>
  <si>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</si>
  <si>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</si>
  <si>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</si>
  <si>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</si>
  <si>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</si>
  <si>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</si>
  <si>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</si>
  <si>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</si>
  <si>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</si>
  <si>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</si>
  <si>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</si>
  <si>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</si>
  <si>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</si>
  <si>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</si>
  <si>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</si>
  <si>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</si>
  <si>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</si>
  <si>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</si>
  <si>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</si>
  <si>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</si>
  <si>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</si>
  <si>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</si>
  <si>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</si>
  <si>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</si>
  <si>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</si>
  <si>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</si>
  <si>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</si>
  <si>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</si>
  <si>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</si>
  <si>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</si>
  <si>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</si>
  <si>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</si>
  <si>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</si>
  <si>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</si>
  <si>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</si>
  <si>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</si>
  <si>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</si>
  <si>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</si>
  <si>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</si>
  <si>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</si>
  <si>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</si>
  <si>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</si>
  <si>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</si>
  <si>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</si>
  <si>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</si>
  <si>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</si>
  <si>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</si>
  <si>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</si>
  <si>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</si>
  <si>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</si>
  <si>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</si>
  <si>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</si>
  <si>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</si>
  <si>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</si>
  <si>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</si>
  <si>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</si>
  <si>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</si>
  <si>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</si>
  <si>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</si>
  <si>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</si>
  <si>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</si>
  <si>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</si>
  <si>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</si>
  <si>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</si>
  <si>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</si>
  <si>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</si>
  <si>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</si>
  <si>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</si>
  <si>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</si>
  <si>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</si>
  <si>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</si>
  <si>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</si>
  <si>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</si>
  <si>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</si>
  <si>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</si>
  <si>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</si>
  <si>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</si>
  <si>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</si>
  <si>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</si>
  <si>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</si>
  <si>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</si>
  <si>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</si>
  <si>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</si>
  <si>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</si>
  <si>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</si>
  <si>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</si>
  <si>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</si>
  <si>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</si>
  <si>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</si>
  <si>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</si>
  <si>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</si>
  <si>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</si>
  <si>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</si>
  <si>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</si>
  <si>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</si>
  <si>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</si>
  <si>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</si>
  <si>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</si>
  <si>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</si>
  <si>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</si>
  <si>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</si>
  <si>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</si>
  <si>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</si>
  <si>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</si>
  <si>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</si>
  <si>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</si>
  <si>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</si>
  <si>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</si>
  <si>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</si>
  <si>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</si>
  <si>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</si>
  <si>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</si>
  <si>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</si>
  <si>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</si>
  <si>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</si>
  <si>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</si>
  <si>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</si>
  <si>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</si>
  <si>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</si>
  <si>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</si>
  <si>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</si>
  <si>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</si>
  <si>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</si>
  <si>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</si>
  <si>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</si>
  <si>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</si>
  <si>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</si>
  <si>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</si>
  <si>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</si>
  <si>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</si>
  <si>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</si>
  <si>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</si>
  <si>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</si>
  <si>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</si>
  <si>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</si>
  <si>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</si>
  <si>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</si>
  <si>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</si>
  <si>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</si>
  <si>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</si>
  <si>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</si>
  <si>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</si>
  <si>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</si>
  <si>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</si>
  <si>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</si>
  <si>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</si>
  <si>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</si>
  <si>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</si>
  <si>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</si>
  <si>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</si>
  <si>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</si>
  <si>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</si>
  <si>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</si>
  <si>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</si>
  <si>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</si>
  <si>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</si>
  <si>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</si>
  <si>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</si>
  <si>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</si>
  <si>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</si>
  <si>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</si>
  <si>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</si>
  <si>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</si>
  <si>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</si>
  <si>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</si>
  <si>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</si>
  <si>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</si>
  <si>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</si>
  <si>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</si>
  <si>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</si>
  <si>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</si>
  <si>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</si>
  <si>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</si>
  <si>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</si>
  <si>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</si>
  <si>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</si>
  <si>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</si>
  <si>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</si>
  <si>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</si>
  <si>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</si>
  <si>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</si>
  <si>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</si>
  <si>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</si>
  <si>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</si>
  <si>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</si>
  <si>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</si>
  <si>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</si>
  <si>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</si>
  <si>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</si>
  <si>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</si>
  <si>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</si>
  <si>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</si>
  <si>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</si>
  <si>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</si>
  <si>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</si>
  <si>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</si>
  <si>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</si>
  <si>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</si>
  <si>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</si>
  <si>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</si>
  <si>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</si>
  <si>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</si>
  <si>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</si>
  <si>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</si>
  <si>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</si>
  <si>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</si>
  <si>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</si>
  <si>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</si>
  <si>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</si>
  <si>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</si>
  <si>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</si>
  <si>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</si>
  <si>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</si>
  <si>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</si>
  <si>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</si>
  <si>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</si>
  <si>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</si>
  <si>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</si>
  <si>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</si>
  <si>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</si>
  <si>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</si>
  <si>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</si>
  <si>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</si>
  <si>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</si>
  <si>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</si>
  <si>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</si>
  <si>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</si>
  <si>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</si>
  <si>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</si>
  <si>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</si>
  <si>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</si>
  <si>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</si>
  <si>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</si>
  <si>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</si>
  <si>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</si>
  <si>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</si>
  <si>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</si>
  <si>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</si>
  <si>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</si>
  <si>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</si>
  <si>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</si>
  <si>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</si>
  <si>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</si>
  <si>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</si>
  <si>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</si>
  <si>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</si>
  <si>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</si>
  <si>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</si>
  <si>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</si>
  <si>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</si>
  <si>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</si>
  <si>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</si>
  <si>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</si>
  <si>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</si>
  <si>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</si>
  <si>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</si>
  <si>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</si>
  <si>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</si>
  <si>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</si>
  <si>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</si>
  <si>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</si>
  <si>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</si>
  <si>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</si>
  <si>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</si>
  <si>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</si>
  <si>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</si>
  <si>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</si>
  <si>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</si>
  <si>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</si>
  <si>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</si>
  <si>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</si>
  <si>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</si>
  <si>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</si>
  <si>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</si>
  <si>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</si>
  <si>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</si>
  <si>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</si>
  <si>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</si>
  <si>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</si>
  <si>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</si>
  <si>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</si>
  <si>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</si>
  <si>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</si>
  <si>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</si>
  <si>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</si>
  <si>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</si>
  <si>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</si>
  <si>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</si>
  <si>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</si>
  <si>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</si>
  <si>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</si>
  <si>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</si>
  <si>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</si>
  <si>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</si>
  <si>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</si>
  <si>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</si>
  <si>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</si>
  <si>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</si>
  <si>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</si>
  <si>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</si>
  <si>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</si>
  <si>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</si>
  <si>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</si>
  <si>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</si>
  <si>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</si>
  <si>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</si>
  <si>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</si>
  <si>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</si>
  <si>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</si>
  <si>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</si>
  <si>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</si>
  <si>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</si>
  <si>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</si>
  <si>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</si>
  <si>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</si>
  <si>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</si>
  <si>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</si>
  <si>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</si>
  <si>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</si>
  <si>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</si>
  <si>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</si>
  <si>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</si>
  <si>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</si>
  <si>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</si>
  <si>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</si>
  <si>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</si>
  <si>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</si>
  <si>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</si>
  <si>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</si>
  <si>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</si>
  <si>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</si>
  <si>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</si>
  <si>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</si>
  <si>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</si>
  <si>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</si>
  <si>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</si>
  <si>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</si>
  <si>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</si>
  <si>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</si>
  <si>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</si>
  <si>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</si>
  <si>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</si>
  <si>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</si>
  <si>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</si>
  <si>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</si>
  <si>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</si>
  <si>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</si>
  <si>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</si>
  <si>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</si>
  <si>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</si>
  <si>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</si>
  <si>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</si>
  <si>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</si>
  <si>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</si>
  <si>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</si>
  <si>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</si>
  <si>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</si>
  <si>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</si>
  <si>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</si>
  <si>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</si>
  <si>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</si>
  <si>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</si>
  <si>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</si>
  <si>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</si>
  <si>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</si>
  <si>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</si>
  <si>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</si>
  <si>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</si>
  <si>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</si>
  <si>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</si>
  <si>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</si>
  <si>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</si>
  <si>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</si>
  <si>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</si>
  <si>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</si>
  <si>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</si>
  <si>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</si>
  <si>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</si>
  <si>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</si>
  <si>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</si>
  <si>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</si>
  <si>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</si>
  <si>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</si>
  <si>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</si>
  <si>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</si>
  <si>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</si>
  <si>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</si>
  <si>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</si>
  <si>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</si>
  <si>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</si>
  <si>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</si>
  <si>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</si>
  <si>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</si>
  <si>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</si>
  <si>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</si>
  <si>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</si>
  <si>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</si>
  <si>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</si>
  <si>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</si>
  <si>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</si>
  <si>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</si>
  <si>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</si>
  <si>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</si>
  <si>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</si>
  <si>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</si>
  <si>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</si>
  <si>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</si>
  <si>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</si>
  <si>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</si>
  <si>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</si>
  <si>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</si>
  <si>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</si>
  <si>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</si>
  <si>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</si>
  <si>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</si>
  <si>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</si>
  <si>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</si>
  <si>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</si>
  <si>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</si>
  <si>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</si>
  <si>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</si>
  <si>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</si>
  <si>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</si>
  <si>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</si>
  <si>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</si>
  <si>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</si>
  <si>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</si>
  <si>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</si>
  <si>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</si>
  <si>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</si>
  <si>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</si>
  <si>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</si>
  <si>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</si>
  <si>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</si>
  <si>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</si>
  <si>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</si>
  <si>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</si>
  <si>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</si>
  <si>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</si>
  <si>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</si>
  <si>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</si>
  <si>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</si>
  <si>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</si>
  <si>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</si>
  <si>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</si>
  <si>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</si>
  <si>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</si>
  <si>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</si>
  <si>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</si>
  <si>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</si>
  <si>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</si>
  <si>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</si>
  <si>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</si>
  <si>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</si>
  <si>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</si>
  <si>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</si>
  <si>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</si>
  <si>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</si>
  <si>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</si>
  <si>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</si>
  <si>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</si>
  <si>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</si>
  <si>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</si>
  <si>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</si>
  <si>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</si>
  <si>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</si>
  <si>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</si>
  <si>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</si>
  <si>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</si>
  <si>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</si>
  <si>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</si>
  <si>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</si>
  <si>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</si>
  <si>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</si>
  <si>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</si>
  <si>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</si>
  <si>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</si>
  <si>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</si>
  <si>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</si>
  <si>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</si>
  <si>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</si>
  <si>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</si>
  <si>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</si>
  <si>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</si>
  <si>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</si>
  <si>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</si>
  <si>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</si>
  <si>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</si>
  <si>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</si>
  <si>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</si>
  <si>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</si>
  <si>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</si>
  <si>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</si>
  <si>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</si>
  <si>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</si>
  <si>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</si>
  <si>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</si>
  <si>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</si>
  <si>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</si>
  <si>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</si>
  <si>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</si>
  <si>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</si>
  <si>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</si>
  <si>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</si>
  <si>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</si>
  <si>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</si>
  <si>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</si>
  <si>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</si>
  <si>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</si>
  <si>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</si>
  <si>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</si>
  <si>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</si>
  <si>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</si>
  <si>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</si>
  <si>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</si>
  <si>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</si>
  <si>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</si>
  <si>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</si>
  <si>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</si>
  <si>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</si>
  <si>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</si>
  <si>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</si>
  <si>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</si>
  <si>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</si>
  <si>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</si>
  <si>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</si>
  <si>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</si>
  <si>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</si>
  <si>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</si>
  <si>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</si>
  <si>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</si>
  <si>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</si>
  <si>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</si>
  <si>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</si>
  <si>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</si>
  <si>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</si>
  <si>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</si>
  <si>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</si>
  <si>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</si>
  <si>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</si>
  <si>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</si>
  <si>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</si>
  <si>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</si>
  <si>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</si>
  <si>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</si>
  <si>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</si>
  <si>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</si>
  <si>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</si>
  <si>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</si>
  <si>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</si>
  <si>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</si>
  <si>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</si>
  <si>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</si>
  <si>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</si>
  <si>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</si>
  <si>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</si>
  <si>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</si>
  <si>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</si>
  <si>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</si>
  <si>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</si>
  <si>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</si>
  <si>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</si>
  <si>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</si>
  <si>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</si>
  <si>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</si>
  <si>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</si>
  <si>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</si>
  <si>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</si>
  <si>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</si>
  <si>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</si>
  <si>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</si>
  <si>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</si>
  <si>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</si>
  <si>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</si>
  <si>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</si>
  <si>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</si>
  <si>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</si>
  <si>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</si>
  <si>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</si>
  <si>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</si>
  <si>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</si>
  <si>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</si>
  <si>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</si>
  <si>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</si>
  <si>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</si>
  <si>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</si>
  <si>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</si>
  <si>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</si>
  <si>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</si>
  <si>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</si>
  <si>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</si>
  <si>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</si>
  <si>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</si>
  <si>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</si>
  <si>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</si>
  <si>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</si>
  <si>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</si>
  <si>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</si>
  <si>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</si>
  <si>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</si>
  <si>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</si>
  <si>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</si>
  <si>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</si>
  <si>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</si>
  <si>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</si>
  <si>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</si>
  <si>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</si>
  <si>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</si>
  <si>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</si>
  <si>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</si>
  <si>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</si>
  <si>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</si>
  <si>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</si>
  <si>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</si>
  <si>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</si>
  <si>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</si>
  <si>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</si>
  <si>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</si>
  <si>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</si>
  <si>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</si>
  <si>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</si>
  <si>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</si>
  <si>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</si>
  <si>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</si>
  <si>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</si>
  <si>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</si>
  <si>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</si>
  <si>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</si>
  <si>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</si>
  <si>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</si>
  <si>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</si>
  <si>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</si>
  <si>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</si>
  <si>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</si>
  <si>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</si>
  <si>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</si>
  <si>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</si>
  <si>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</si>
  <si>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</si>
  <si>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</si>
  <si>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</si>
  <si>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</si>
  <si>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</si>
  <si>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</si>
  <si>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</si>
  <si>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</si>
  <si>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</si>
  <si>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</si>
  <si>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</si>
  <si>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</si>
  <si>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</si>
  <si>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</si>
  <si>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</si>
  <si>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</si>
  <si>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</si>
  <si>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</si>
  <si>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</si>
  <si>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</si>
  <si>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</si>
  <si>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</si>
  <si>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</si>
  <si>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</si>
  <si>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</si>
  <si>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</si>
  <si>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</si>
  <si>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</si>
  <si>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</si>
  <si>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</si>
  <si>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</si>
  <si>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</si>
  <si>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</si>
  <si>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</si>
  <si>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</si>
  <si>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</si>
  <si>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</si>
  <si>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</si>
  <si>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</si>
  <si>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</si>
  <si>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</si>
  <si>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</si>
  <si>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</si>
  <si>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</si>
  <si>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</si>
  <si>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</si>
  <si>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</si>
  <si>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</si>
  <si>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</si>
  <si>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</si>
  <si>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</si>
  <si>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</si>
  <si>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</si>
  <si>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</si>
  <si>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</si>
  <si>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</si>
  <si>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</si>
  <si>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</si>
  <si>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</si>
  <si>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</si>
  <si>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</si>
  <si>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</si>
  <si>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</si>
  <si>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</si>
  <si>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</si>
  <si>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</si>
  <si>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</si>
  <si>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</si>
  <si>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</si>
  <si>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</si>
  <si>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</si>
  <si>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</si>
  <si>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</si>
  <si>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</si>
  <si>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</si>
  <si>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</si>
  <si>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</si>
  <si>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</si>
  <si>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</si>
  <si>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</si>
  <si>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</si>
  <si>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</si>
  <si>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</si>
  <si>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</si>
  <si>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</si>
  <si>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</si>
  <si>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</si>
  <si>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</si>
  <si>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</si>
  <si>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</si>
  <si>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</si>
  <si>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</si>
  <si>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</si>
  <si>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</si>
  <si>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</si>
  <si>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</si>
  <si>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</si>
  <si>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</si>
  <si>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</si>
  <si>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</si>
  <si>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</si>
  <si>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</si>
  <si>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</si>
  <si>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</si>
  <si>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</si>
  <si>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</si>
  <si>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</si>
  <si>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</si>
  <si>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</si>
  <si>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</si>
  <si>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</si>
  <si>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</si>
  <si>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</si>
  <si>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</si>
  <si>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</si>
  <si>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</si>
  <si>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</si>
  <si>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</si>
  <si>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</si>
  <si>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</si>
  <si>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</si>
  <si>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</si>
  <si>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</si>
  <si>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</si>
  <si>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</si>
  <si>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</si>
  <si>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</si>
  <si>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</si>
  <si>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</si>
  <si>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</si>
  <si>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</si>
  <si>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</si>
  <si>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</si>
  <si>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</si>
  <si>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</si>
  <si>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</si>
  <si>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</si>
  <si>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</si>
  <si>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</si>
  <si>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</si>
  <si>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</si>
  <si>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</si>
  <si>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</si>
  <si>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</si>
  <si>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</si>
  <si>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</si>
  <si>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</si>
  <si>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</si>
  <si>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</si>
  <si>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</si>
  <si>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</si>
  <si>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</si>
  <si>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</si>
  <si>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</si>
  <si>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</si>
  <si>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</si>
  <si>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</si>
  <si>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</si>
  <si>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</si>
  <si>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</si>
  <si>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</si>
  <si>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</si>
  <si>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</si>
  <si>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</si>
  <si>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</si>
  <si>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</si>
  <si>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</si>
  <si>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</si>
  <si>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</si>
  <si>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</si>
  <si>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</si>
  <si>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</si>
  <si>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</si>
  <si>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</si>
  <si>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</si>
  <si>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</si>
  <si>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</si>
  <si>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</si>
  <si>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</si>
  <si>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</si>
  <si>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</si>
  <si>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</si>
  <si>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</si>
  <si>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</si>
  <si>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</si>
  <si>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</si>
  <si>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</si>
  <si>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</si>
  <si>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</si>
  <si>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</si>
  <si>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</si>
  <si>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</si>
  <si>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</si>
  <si>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</si>
  <si>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</si>
  <si>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</si>
  <si>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</si>
  <si>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</si>
  <si>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</si>
  <si>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</si>
  <si>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</si>
  <si>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</si>
  <si>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</si>
  <si>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</si>
  <si>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</si>
  <si>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</si>
  <si>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</si>
  <si>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</si>
  <si>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</si>
  <si>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</si>
  <si>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</si>
  <si>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</si>
  <si>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</si>
  <si>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</si>
  <si>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</si>
  <si>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</si>
  <si>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</si>
  <si>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</si>
  <si>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</si>
  <si>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</si>
  <si>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</si>
  <si>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</si>
  <si>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</si>
  <si>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</si>
  <si>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</si>
  <si>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</si>
  <si>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</si>
  <si>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</si>
  <si>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</si>
  <si>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</si>
  <si>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</si>
  <si>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</si>
  <si>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</si>
  <si>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</si>
  <si>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</si>
  <si>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</si>
  <si>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</si>
  <si>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</si>
  <si>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</si>
  <si>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</si>
  <si>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</si>
  <si>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</si>
  <si>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</si>
  <si>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</si>
  <si>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</si>
  <si>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</si>
  <si>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</si>
  <si>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</si>
  <si>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</si>
  <si>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</si>
  <si>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</si>
  <si>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</si>
  <si>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</si>
  <si>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</si>
  <si>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</si>
  <si>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</si>
  <si>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</si>
  <si>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</si>
  <si>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</si>
  <si>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</si>
  <si>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</si>
  <si>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</si>
  <si>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</si>
  <si>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</si>
  <si>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</si>
  <si>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</si>
  <si>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</si>
  <si>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</si>
  <si>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</si>
  <si>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</si>
  <si>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</si>
  <si>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</si>
  <si>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</si>
  <si>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</si>
  <si>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</si>
  <si>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</si>
  <si>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</si>
  <si>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</si>
  <si>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</si>
  <si>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</si>
  <si>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</si>
  <si>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</si>
  <si>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</si>
  <si>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</si>
  <si>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</si>
  <si>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</si>
  <si>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</si>
  <si>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</si>
  <si>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</si>
  <si>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</si>
  <si>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</si>
  <si>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</si>
  <si>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</si>
  <si>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</si>
  <si>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</si>
  <si>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</si>
  <si>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</si>
  <si>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</si>
  <si>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</si>
  <si>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</si>
  <si>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</si>
  <si>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</si>
  <si>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</si>
  <si>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</si>
  <si>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</si>
  <si>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</si>
  <si>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</si>
  <si>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</si>
  <si>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</si>
  <si>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</si>
  <si>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</si>
  <si>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</si>
  <si>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</si>
  <si>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</si>
  <si>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</si>
  <si>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</si>
  <si>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</si>
  <si>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</si>
  <si>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</si>
  <si>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</si>
  <si>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</si>
  <si>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</si>
  <si>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</si>
  <si>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</si>
  <si>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</si>
  <si>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</si>
  <si>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</si>
  <si>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</si>
  <si>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</si>
  <si>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</si>
  <si>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</si>
  <si>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</si>
  <si>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</si>
  <si>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</si>
  <si>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</si>
  <si>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</si>
  <si>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</si>
  <si>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</si>
  <si>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</si>
  <si>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</si>
  <si>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</si>
  <si>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</si>
  <si>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</si>
  <si>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</si>
  <si>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</si>
  <si>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</si>
  <si>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</si>
  <si>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</si>
  <si>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</si>
  <si>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</si>
  <si>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</si>
  <si>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</si>
  <si>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</si>
  <si>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</si>
  <si>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</si>
  <si>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</si>
  <si>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</si>
  <si>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</si>
  <si>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</si>
  <si>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</si>
  <si>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</si>
  <si>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</si>
  <si>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</si>
  <si>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</si>
  <si>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</si>
  <si>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</si>
  <si>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</si>
  <si>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</si>
  <si>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</si>
  <si>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</si>
  <si>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</si>
  <si>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</si>
  <si>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</si>
  <si>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</si>
  <si>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</si>
  <si>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</si>
  <si>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</si>
  <si>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</si>
  <si>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</si>
  <si>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</si>
  <si>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</si>
  <si>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</si>
  <si>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</si>
  <si>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</si>
  <si>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</si>
  <si>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</si>
  <si>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</si>
  <si>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</si>
  <si>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</si>
  <si>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</si>
  <si>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</si>
  <si>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</si>
  <si>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</si>
  <si>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</si>
  <si>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</si>
  <si>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</si>
  <si>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</si>
  <si>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</si>
  <si>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</si>
  <si>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</si>
  <si>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</si>
  <si>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</si>
  <si>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</si>
  <si>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</si>
  <si>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</si>
  <si>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</si>
  <si>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</si>
  <si>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</si>
  <si>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</si>
  <si>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</si>
  <si>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</si>
  <si>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</si>
  <si>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</si>
  <si>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</si>
  <si>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</si>
  <si>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</si>
  <si>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</si>
  <si>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</si>
  <si>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</si>
  <si>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</si>
  <si>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</si>
  <si>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</si>
  <si>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</si>
  <si>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</si>
  <si>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</si>
  <si>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</si>
  <si>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</si>
  <si>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</si>
  <si>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</si>
  <si>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</si>
  <si>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</si>
  <si>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</si>
  <si>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</si>
  <si>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</si>
  <si>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</si>
  <si>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</si>
  <si>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</si>
  <si>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</si>
  <si>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</si>
  <si>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</si>
  <si>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</si>
  <si>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</si>
  <si>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</si>
  <si>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</si>
  <si>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</si>
  <si>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</si>
  <si>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</si>
  <si>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</si>
  <si>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</si>
  <si>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</si>
  <si>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</si>
  <si>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</si>
  <si>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</si>
  <si>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</si>
  <si>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</si>
  <si>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</si>
  <si>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</si>
  <si>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</si>
  <si>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</si>
  <si>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</si>
  <si>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</si>
  <si>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</si>
  <si>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</si>
  <si>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</si>
  <si>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</si>
  <si>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</si>
  <si>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</si>
  <si>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</si>
  <si>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</si>
  <si>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</si>
  <si>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</si>
  <si>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</si>
  <si>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</si>
  <si>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</si>
  <si>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</si>
  <si>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</si>
  <si>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</si>
  <si>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</si>
  <si>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</si>
  <si>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</si>
  <si>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</si>
  <si>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</si>
  <si>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</si>
  <si>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</si>
  <si>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</si>
  <si>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</si>
  <si>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</si>
  <si>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</si>
  <si>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</si>
  <si>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</si>
  <si>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</si>
  <si>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</si>
  <si>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</si>
  <si>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</si>
  <si>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</si>
  <si>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</si>
  <si>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</si>
  <si>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</si>
  <si>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</si>
  <si>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</si>
  <si>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</si>
  <si>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</si>
  <si>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</si>
  <si>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</si>
  <si>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</si>
  <si>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</si>
  <si>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</si>
  <si>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</si>
  <si>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</si>
  <si>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</si>
  <si>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</si>
  <si>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</si>
  <si>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</si>
  <si>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</si>
  <si>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</si>
  <si>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</si>
  <si>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</si>
  <si>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</si>
  <si>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</si>
  <si>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</si>
  <si>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</si>
  <si>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</si>
  <si>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</si>
  <si>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</si>
  <si>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</si>
  <si>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</si>
  <si>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</si>
  <si>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</si>
  <si>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</si>
  <si>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</si>
  <si>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</si>
  <si>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</si>
  <si>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</si>
  <si>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</si>
  <si>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</si>
  <si>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</si>
  <si>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</si>
  <si>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</si>
  <si>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</si>
  <si>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</si>
  <si>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</si>
  <si>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</si>
  <si>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</si>
  <si>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</si>
  <si>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</si>
  <si>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</si>
  <si>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</si>
  <si>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</si>
  <si>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</si>
  <si>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</si>
  <si>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</si>
  <si>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</si>
  <si>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</si>
  <si>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</si>
  <si>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</si>
  <si>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</si>
  <si>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</si>
  <si>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</si>
  <si>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</si>
  <si>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</si>
  <si>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</si>
  <si>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</si>
  <si>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</si>
  <si>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</si>
  <si>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</si>
  <si>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</si>
  <si>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</si>
  <si>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</si>
  <si>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</si>
  <si>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</si>
  <si>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</si>
  <si>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</si>
  <si>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</si>
  <si>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</si>
  <si>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</si>
  <si>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</si>
  <si>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</si>
  <si>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</si>
  <si>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</si>
  <si>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</si>
  <si>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</si>
  <si>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</si>
  <si>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</si>
  <si>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</si>
  <si>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</si>
  <si>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</si>
  <si>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</si>
  <si>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</si>
  <si>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</si>
  <si>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</si>
  <si>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</si>
  <si>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</si>
  <si>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</si>
  <si>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</si>
  <si>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</si>
  <si>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</si>
  <si>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</si>
  <si>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</si>
  <si>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</si>
  <si>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</si>
  <si>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</si>
  <si>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</si>
  <si>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</si>
  <si>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</si>
  <si>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</si>
  <si>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</si>
  <si>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</si>
  <si>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</si>
  <si>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</si>
  <si>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</si>
  <si>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</si>
  <si>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</si>
  <si>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</si>
  <si>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</si>
  <si>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</si>
  <si>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</si>
  <si>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</si>
  <si>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</si>
  <si>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</si>
  <si>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</si>
  <si>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</si>
  <si>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</si>
  <si>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</si>
  <si>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</si>
  <si>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</si>
  <si>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</si>
  <si>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</si>
  <si>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</si>
  <si>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</si>
  <si>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</si>
  <si>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</si>
  <si>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</si>
  <si>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</si>
  <si>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</si>
  <si>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</si>
  <si>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</si>
  <si>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</si>
  <si>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</si>
  <si>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</si>
  <si>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</si>
  <si>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</si>
  <si>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</si>
  <si>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</si>
  <si>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</si>
  <si>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</si>
  <si>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</si>
  <si>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</si>
  <si>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</si>
  <si>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</si>
  <si>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</si>
  <si>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</si>
  <si>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</si>
  <si>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</si>
  <si>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</si>
  <si>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</si>
  <si>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</si>
  <si>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</si>
  <si>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</si>
  <si>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</si>
  <si>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</si>
  <si>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</si>
  <si>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</si>
  <si>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</si>
  <si>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</si>
  <si>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</si>
  <si>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</si>
  <si>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</si>
  <si>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</si>
  <si>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</si>
  <si>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</si>
  <si>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</si>
  <si>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</si>
  <si>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</si>
  <si>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</si>
  <si>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</si>
  <si>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</si>
  <si>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</si>
  <si>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</si>
  <si>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</si>
  <si>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</si>
  <si>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</si>
  <si>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</si>
  <si>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</si>
  <si>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</si>
  <si>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</si>
  <si>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</si>
  <si>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</si>
  <si>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</si>
  <si>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</si>
  <si>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</si>
  <si>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</si>
  <si>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</si>
  <si>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</si>
  <si>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</si>
  <si>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</si>
  <si>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</si>
  <si>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</si>
  <si>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</si>
  <si>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</si>
  <si>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</si>
  <si>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</si>
  <si>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</si>
  <si>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</si>
  <si>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</si>
  <si>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</si>
  <si>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</si>
  <si>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</si>
  <si>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</si>
  <si>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</si>
  <si>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</si>
  <si>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</si>
  <si>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</si>
  <si>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</si>
  <si>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</si>
  <si>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</si>
  <si>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</si>
  <si>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</si>
  <si>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</si>
  <si>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</si>
  <si>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</si>
  <si>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</si>
  <si>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</si>
  <si>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</si>
  <si>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</si>
  <si>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</si>
  <si>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</si>
  <si>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</si>
  <si>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</si>
  <si>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</si>
  <si>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</si>
  <si>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</si>
  <si>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</si>
  <si>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</si>
  <si>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</si>
  <si>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</si>
  <si>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</si>
  <si>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</si>
  <si>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</si>
  <si>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</si>
  <si>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</si>
  <si>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</si>
  <si>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</si>
  <si>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</si>
  <si>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</si>
  <si>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</si>
  <si>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</si>
  <si>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</si>
  <si>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</si>
  <si>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</si>
  <si>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</si>
  <si>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</si>
  <si>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</si>
  <si>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</si>
  <si>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</si>
  <si>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</si>
  <si>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</si>
  <si>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</si>
  <si>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</si>
  <si>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</si>
  <si>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</si>
  <si>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</si>
  <si>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</si>
  <si>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</si>
  <si>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</si>
  <si>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</si>
  <si>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</si>
  <si>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</si>
  <si>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</si>
  <si>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</si>
  <si>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</si>
  <si>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</si>
  <si>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</si>
  <si>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</si>
  <si>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</si>
  <si>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</si>
  <si>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</si>
  <si>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</si>
  <si>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</si>
  <si>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</si>
  <si>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</si>
  <si>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</si>
  <si>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</si>
  <si>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</si>
  <si>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</si>
  <si>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</si>
  <si>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</si>
  <si>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</si>
  <si>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</si>
  <si>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</si>
  <si>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</si>
  <si>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</si>
  <si>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</si>
  <si>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</si>
  <si>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</si>
  <si>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</si>
  <si>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</si>
  <si>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</si>
  <si>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</si>
  <si>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</si>
  <si>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</si>
  <si>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</si>
  <si>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</si>
  <si>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</si>
  <si>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</si>
  <si>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</si>
  <si>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</si>
  <si>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</si>
  <si>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</si>
  <si>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</si>
  <si>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</si>
  <si>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</si>
  <si>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</si>
  <si>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</si>
  <si>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</si>
  <si>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</si>
  <si>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</si>
  <si>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</si>
  <si>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</si>
  <si>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</si>
  <si>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</si>
  <si>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</si>
  <si>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</si>
  <si>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</si>
  <si>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</si>
  <si>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</si>
  <si>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</si>
  <si>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</si>
  <si>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</si>
  <si>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</si>
  <si>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</si>
  <si>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</si>
  <si>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</si>
  <si>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</si>
  <si>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</si>
  <si>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</si>
  <si>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</si>
  <si>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</si>
  <si>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</si>
  <si>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</si>
  <si>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</si>
  <si>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</si>
  <si>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</si>
  <si>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</si>
  <si>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</si>
  <si>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</si>
  <si>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</si>
  <si>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</si>
  <si>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</si>
  <si>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</si>
  <si>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</si>
  <si>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</si>
  <si>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</si>
  <si>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</si>
  <si>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</si>
  <si>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</si>
  <si>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</si>
  <si>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</si>
  <si>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</si>
  <si>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</si>
  <si>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</si>
  <si>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</si>
  <si>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</si>
  <si>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</si>
  <si>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</si>
  <si>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</si>
  <si>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</si>
  <si>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</si>
  <si>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</si>
  <si>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</si>
  <si>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</si>
  <si>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</si>
  <si>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</si>
  <si>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</si>
  <si>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</si>
  <si>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</si>
  <si>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</si>
  <si>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</si>
  <si>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</si>
  <si>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</si>
  <si>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</si>
  <si>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</si>
  <si>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</si>
  <si>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</si>
  <si>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</si>
  <si>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</si>
  <si>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</si>
  <si>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</si>
  <si>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</si>
  <si>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</si>
  <si>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</si>
  <si>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</si>
  <si>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</si>
  <si>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</si>
  <si>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</si>
  <si>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</si>
  <si>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</si>
  <si>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</si>
  <si>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</si>
  <si>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</si>
  <si>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</si>
  <si>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</si>
  <si>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</si>
  <si>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</si>
  <si>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</si>
  <si>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</si>
  <si>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</si>
  <si>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</si>
  <si>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</si>
  <si>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</si>
  <si>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</si>
  <si>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</si>
  <si>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</si>
  <si>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</si>
  <si>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</si>
  <si>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</si>
  <si>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</si>
  <si>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</si>
  <si>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</si>
  <si>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</si>
  <si>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</si>
  <si>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</si>
  <si>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</si>
  <si>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</si>
  <si>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</si>
  <si>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</si>
  <si>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</si>
  <si>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</si>
  <si>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</si>
  <si>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</si>
  <si>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</si>
  <si>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</si>
  <si>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</si>
  <si>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</si>
  <si>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</si>
  <si>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</si>
  <si>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</si>
  <si>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</si>
  <si>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</si>
  <si>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</si>
  <si>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</si>
  <si>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</si>
  <si>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</si>
  <si>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</si>
  <si>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</si>
  <si>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</si>
  <si>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</si>
  <si>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</si>
  <si>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</si>
  <si>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</si>
  <si>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</si>
  <si>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</si>
  <si>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</si>
  <si>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</si>
  <si>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</si>
  <si>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</si>
  <si>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</si>
  <si>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</si>
  <si>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</si>
  <si>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</si>
  <si>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</si>
  <si>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</si>
  <si>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</si>
  <si>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</si>
  <si>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</si>
  <si>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</si>
  <si>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</si>
  <si>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</si>
  <si>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</si>
  <si>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</si>
  <si>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</si>
  <si>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</si>
  <si>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</si>
  <si>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</si>
  <si>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</si>
  <si>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</si>
  <si>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</si>
  <si>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</si>
  <si>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</si>
  <si>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</si>
  <si>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</si>
  <si>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</si>
  <si>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</si>
  <si>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</si>
  <si>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</si>
  <si>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</si>
  <si>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</si>
  <si>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</si>
  <si>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</si>
  <si>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</si>
  <si>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</si>
  <si>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</si>
  <si>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</si>
  <si>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</si>
  <si>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</si>
  <si>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</si>
  <si>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</si>
  <si>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</si>
  <si>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</si>
  <si>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</si>
  <si>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</si>
  <si>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</si>
  <si>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</si>
  <si>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</si>
  <si>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</si>
  <si>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</si>
  <si>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</si>
  <si>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</si>
  <si>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</si>
  <si>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</si>
  <si>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</si>
  <si>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</si>
  <si>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</si>
  <si>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</si>
  <si>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</si>
  <si>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</si>
  <si>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</si>
  <si>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</si>
  <si>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</si>
  <si>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</si>
  <si>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</si>
  <si>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</si>
  <si>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</si>
  <si>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</si>
  <si>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</si>
  <si>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</si>
  <si>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</si>
  <si>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</si>
  <si>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</si>
  <si>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</si>
  <si>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</si>
  <si>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</si>
  <si>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</si>
  <si>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</si>
  <si>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</si>
  <si>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</si>
  <si>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</si>
  <si>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</si>
  <si>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</si>
  <si>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</si>
  <si>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</si>
  <si>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</si>
  <si>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</si>
  <si>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</si>
  <si>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</si>
  <si>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</si>
  <si>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</si>
  <si>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</si>
  <si>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</si>
  <si>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</si>
  <si>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</si>
  <si>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</si>
  <si>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</si>
  <si>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</si>
  <si>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</si>
  <si>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</si>
  <si>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</si>
  <si>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</si>
  <si>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</si>
  <si>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</si>
  <si>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</si>
  <si>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</si>
  <si>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</si>
  <si>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</si>
  <si>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</si>
  <si>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</si>
  <si>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</si>
  <si>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</si>
  <si>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</si>
  <si>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</si>
  <si>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</si>
  <si>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</si>
  <si>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</si>
  <si>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</si>
  <si>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</si>
  <si>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</si>
  <si>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</si>
  <si>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</si>
  <si>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</si>
  <si>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</si>
  <si>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</si>
  <si>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</si>
  <si>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</si>
  <si>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</si>
  <si>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</si>
  <si>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</si>
  <si>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</si>
  <si>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</si>
  <si>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</si>
  <si>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</si>
  <si>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</si>
  <si>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</si>
  <si>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</si>
  <si>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</si>
  <si>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</si>
  <si>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</si>
  <si>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</si>
  <si>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</si>
  <si>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</si>
  <si>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</si>
  <si>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</si>
  <si>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</si>
  <si>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</si>
  <si>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</si>
  <si>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</si>
  <si>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</si>
  <si>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</si>
  <si>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</si>
  <si>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</si>
  <si>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</si>
  <si>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</si>
  <si>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</si>
  <si>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</si>
  <si>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</si>
  <si>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</si>
  <si>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</si>
  <si>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</si>
  <si>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</si>
  <si>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</si>
  <si>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</si>
  <si>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</si>
  <si>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</si>
  <si>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</si>
  <si>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</si>
  <si>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</si>
  <si>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</si>
  <si>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</si>
  <si>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</si>
  <si>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</si>
  <si>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</si>
  <si>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</si>
  <si>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</si>
  <si>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</si>
  <si>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</si>
  <si>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</si>
  <si>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</si>
  <si>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</si>
  <si>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</si>
  <si>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</si>
  <si>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</si>
  <si>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</si>
  <si>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</si>
  <si>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</si>
  <si>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</si>
  <si>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</si>
  <si>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</si>
  <si>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</si>
  <si>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</si>
  <si>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</si>
  <si>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</si>
  <si>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</si>
  <si>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</si>
  <si>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</si>
  <si>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</si>
  <si>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</si>
  <si>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</si>
  <si>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</si>
  <si>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</si>
  <si>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</si>
  <si>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</si>
  <si>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</si>
  <si>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</si>
  <si>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</si>
  <si>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</si>
  <si>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</si>
  <si>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</si>
  <si>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</si>
  <si>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</si>
  <si>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</si>
  <si>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</si>
  <si>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</si>
  <si>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</si>
  <si>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</si>
  <si>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</si>
  <si>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</si>
  <si>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</si>
  <si>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</si>
  <si>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</si>
  <si>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</si>
  <si>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</si>
  <si>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</si>
  <si>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</si>
  <si>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</si>
  <si>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</si>
  <si>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</si>
  <si>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</si>
  <si>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</si>
  <si>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</si>
  <si>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</si>
  <si>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</si>
  <si>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</si>
  <si>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</si>
  <si>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</si>
  <si>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</si>
  <si>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</si>
  <si>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</si>
  <si>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</si>
  <si>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</si>
  <si>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</si>
  <si>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</si>
  <si>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</si>
  <si>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</si>
  <si>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</si>
  <si>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</si>
  <si>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</si>
  <si>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</si>
  <si>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</si>
  <si>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</si>
  <si>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</si>
  <si>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</si>
  <si>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</si>
  <si>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</si>
  <si>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</si>
  <si>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</si>
  <si>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</si>
  <si>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</si>
  <si>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</si>
  <si>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</si>
  <si>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</si>
  <si>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</si>
  <si>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</si>
  <si>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</si>
  <si>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</si>
  <si>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</si>
  <si>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</si>
  <si>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</si>
  <si>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</si>
  <si>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</si>
  <si>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</si>
  <si>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</si>
  <si>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</si>
  <si>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</si>
  <si>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</si>
  <si>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</si>
  <si>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</si>
  <si>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</si>
  <si>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</si>
  <si>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</si>
  <si>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</si>
  <si>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</si>
  <si>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</si>
  <si>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</si>
  <si>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</si>
  <si>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</si>
  <si>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</si>
  <si>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</si>
  <si>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</si>
  <si>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</si>
  <si>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</si>
  <si>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</si>
  <si>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</si>
  <si>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</si>
  <si>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</si>
  <si>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</si>
  <si>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</si>
  <si>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</si>
  <si>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</si>
  <si>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</si>
  <si>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</si>
  <si>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</si>
  <si>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</si>
  <si>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</si>
  <si>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</si>
  <si>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</si>
  <si>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</si>
  <si>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</si>
  <si>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</si>
  <si>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</si>
  <si>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</si>
  <si>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</si>
  <si>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</si>
  <si>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</si>
  <si>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</si>
  <si>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</si>
  <si>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</si>
  <si>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</si>
  <si>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</si>
  <si>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</si>
  <si>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</si>
  <si>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</si>
  <si>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</si>
  <si>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</si>
  <si>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</si>
  <si>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</si>
  <si>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</si>
  <si>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</si>
  <si>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</si>
  <si>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</si>
  <si>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</si>
  <si>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</si>
  <si>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</si>
  <si>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</si>
  <si>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</si>
  <si>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</si>
  <si>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</si>
  <si>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</si>
  <si>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</si>
  <si>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</si>
  <si>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</si>
  <si>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</si>
  <si>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</si>
  <si>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</si>
  <si>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</si>
  <si>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</si>
  <si>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</si>
  <si>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</si>
  <si>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</si>
  <si>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</si>
  <si>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</si>
  <si>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</si>
  <si>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</si>
  <si>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</si>
  <si>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</si>
  <si>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</si>
  <si>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</si>
  <si>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</si>
  <si>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</si>
  <si>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</si>
  <si>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</si>
  <si>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</si>
  <si>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</si>
  <si>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</si>
  <si>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</si>
  <si>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</si>
  <si>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</si>
  <si>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</si>
  <si>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</si>
  <si>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</si>
  <si>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</si>
  <si>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</si>
  <si>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</si>
  <si>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</si>
  <si>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</si>
  <si>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</si>
  <si>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</si>
  <si>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</si>
  <si>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</si>
  <si>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</si>
  <si>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</si>
  <si>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</si>
  <si>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</si>
  <si>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</si>
  <si>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</si>
  <si>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</si>
  <si>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</si>
  <si>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</si>
  <si>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</si>
  <si>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</si>
  <si>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</si>
  <si>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</si>
  <si>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</si>
  <si>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</si>
  <si>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</si>
  <si>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</si>
  <si>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</si>
  <si>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</si>
  <si>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</si>
  <si>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</si>
  <si>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</si>
  <si>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</si>
  <si>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</si>
  <si>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</si>
  <si>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</si>
  <si>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</si>
  <si>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</si>
  <si>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</si>
  <si>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</si>
  <si>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</si>
  <si>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</si>
  <si>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</si>
  <si>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</si>
  <si>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</si>
  <si>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</si>
  <si>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</si>
  <si>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</si>
  <si>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</si>
  <si>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</si>
  <si>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</si>
  <si>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</si>
  <si>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</si>
  <si>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</si>
  <si>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</si>
  <si>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</si>
  <si>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</si>
  <si>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</si>
  <si>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</si>
  <si>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</si>
  <si>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</si>
  <si>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</si>
  <si>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</si>
  <si>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</si>
  <si>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</si>
  <si>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</si>
  <si>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</si>
  <si>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</si>
  <si>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</si>
  <si>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</si>
  <si>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</si>
  <si>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</si>
  <si>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</si>
  <si>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</si>
  <si>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</si>
  <si>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</si>
  <si>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</si>
  <si>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</si>
  <si>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</si>
  <si>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</si>
  <si>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</si>
  <si>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</si>
  <si>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</si>
  <si>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</si>
  <si>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</si>
  <si>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</si>
  <si>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</si>
  <si>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</si>
  <si>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</si>
  <si>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</si>
  <si>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</si>
  <si>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</si>
  <si>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</si>
  <si>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</si>
  <si>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</si>
  <si>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</si>
  <si>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</si>
  <si>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</si>
  <si>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</si>
  <si>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</si>
  <si>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</si>
  <si>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</si>
  <si>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</si>
  <si>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</si>
  <si>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</si>
  <si>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</si>
  <si>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</si>
  <si>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</si>
  <si>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</si>
  <si>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</si>
  <si>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</si>
  <si>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</si>
  <si>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</si>
  <si>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</si>
  <si>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</si>
  <si>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</si>
  <si>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</si>
  <si>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</si>
  <si>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</si>
  <si>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</si>
  <si>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</si>
  <si>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</si>
  <si>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</si>
  <si>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</si>
  <si>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</si>
  <si>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</si>
  <si>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</si>
  <si>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</si>
  <si>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</si>
  <si>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</si>
  <si>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</si>
  <si>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</si>
  <si>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</si>
  <si>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</si>
  <si>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</si>
  <si>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</si>
  <si>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</si>
  <si>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</si>
  <si>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</si>
  <si>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</si>
  <si>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</si>
  <si>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</si>
  <si>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</si>
  <si>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</si>
  <si>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</si>
  <si>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</si>
  <si>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</si>
  <si>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</si>
  <si>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</si>
  <si>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</si>
  <si>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</si>
  <si>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</si>
  <si>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</si>
  <si>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</si>
  <si>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</si>
  <si>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</si>
  <si>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</si>
  <si>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</si>
  <si>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</si>
  <si>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</si>
  <si>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</si>
  <si>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</si>
  <si>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</si>
  <si>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</si>
  <si>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</si>
  <si>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</si>
  <si>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</si>
  <si>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</si>
  <si>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</si>
  <si>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</si>
  <si>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</si>
  <si>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</si>
  <si>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</si>
  <si>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</si>
  <si>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</si>
  <si>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</si>
  <si>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</si>
  <si>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</si>
  <si>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</si>
  <si>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</si>
  <si>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</si>
  <si>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</si>
  <si>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</si>
  <si>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</si>
  <si>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</si>
  <si>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</si>
  <si>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</si>
  <si>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</si>
  <si>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</si>
  <si>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</si>
  <si>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</si>
  <si>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</si>
  <si>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</si>
  <si>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</si>
  <si>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</si>
  <si>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</si>
  <si>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</si>
  <si>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</si>
  <si>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</si>
  <si>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</si>
  <si>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</si>
  <si>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</si>
  <si>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</si>
  <si>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</si>
  <si>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</si>
  <si>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</si>
  <si>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</si>
  <si>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</si>
  <si>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</si>
  <si>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</si>
  <si>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</si>
  <si>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</si>
  <si>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</si>
  <si>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</si>
  <si>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</si>
  <si>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</si>
  <si>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</si>
  <si>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</si>
  <si>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</si>
  <si>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</si>
  <si>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</si>
  <si>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</si>
  <si>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</si>
  <si>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</si>
  <si>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</si>
  <si>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</si>
  <si>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</si>
  <si>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</si>
  <si>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</si>
  <si>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</si>
  <si>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</si>
  <si>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</si>
  <si>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</si>
  <si>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</si>
  <si>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</si>
  <si>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</si>
  <si>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</si>
  <si>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</si>
  <si>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</si>
  <si>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</si>
  <si>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</si>
  <si>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</si>
  <si>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</si>
  <si>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</si>
  <si>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</si>
  <si>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</si>
  <si>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</si>
  <si>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</si>
  <si>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</si>
  <si>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</si>
  <si>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</si>
  <si>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</si>
  <si>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</si>
  <si>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</si>
  <si>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</si>
  <si>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</si>
  <si>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</si>
  <si>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</si>
  <si>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</si>
  <si>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</si>
  <si>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</si>
  <si>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</si>
  <si>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</si>
  <si>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</si>
  <si>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</si>
  <si>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</si>
  <si>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</si>
  <si>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</si>
  <si>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</si>
  <si>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</si>
  <si>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</si>
  <si>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</si>
  <si>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</si>
  <si>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</si>
  <si>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</si>
  <si>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</si>
  <si>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</si>
  <si>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</si>
  <si>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</si>
  <si>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</si>
  <si>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</si>
  <si>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</si>
  <si>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</si>
  <si>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</si>
  <si>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</si>
  <si>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</si>
  <si>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</si>
  <si>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</si>
  <si>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</si>
  <si>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</si>
  <si>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</si>
  <si>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</si>
  <si>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</si>
  <si>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</si>
  <si>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</si>
  <si>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</si>
  <si>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</si>
  <si>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</si>
  <si>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</si>
  <si>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</si>
  <si>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</si>
  <si>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</si>
  <si>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</si>
  <si>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</si>
  <si>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</si>
  <si>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</si>
  <si>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</si>
  <si>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</si>
  <si>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</si>
  <si>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</si>
  <si>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</si>
  <si>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</si>
  <si>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</si>
  <si>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</si>
  <si>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</si>
  <si>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</si>
  <si>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</si>
  <si>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</si>
  <si>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</si>
  <si>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</si>
  <si>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</si>
  <si>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</si>
  <si>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</si>
  <si>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</si>
  <si>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</si>
  <si>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</si>
  <si>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</si>
  <si>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</si>
  <si>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</si>
  <si>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</si>
  <si>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</si>
  <si>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</si>
  <si>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</si>
  <si>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</si>
  <si>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</si>
  <si>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</si>
  <si>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</si>
  <si>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</si>
  <si>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</si>
  <si>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</si>
  <si>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</si>
  <si>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</si>
  <si>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</si>
  <si>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</si>
  <si>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</si>
  <si>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</si>
  <si>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</si>
  <si>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</si>
  <si>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</si>
  <si>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</si>
  <si>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</si>
  <si>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</si>
  <si>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</si>
  <si>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</si>
  <si>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</si>
  <si>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</si>
  <si>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</si>
  <si>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</si>
  <si>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</si>
  <si>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</si>
  <si>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</si>
  <si>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</si>
  <si>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</si>
  <si>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</si>
  <si>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</si>
  <si>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</si>
  <si>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</si>
  <si>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</si>
  <si>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</si>
  <si>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</si>
  <si>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</si>
  <si>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</si>
  <si>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</si>
  <si>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</si>
  <si>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</si>
  <si>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</si>
  <si>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</si>
  <si>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</si>
  <si>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</si>
  <si>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</si>
  <si>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</si>
  <si>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</si>
  <si>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</si>
  <si>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</si>
  <si>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</si>
  <si>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</si>
  <si>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</si>
  <si>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</si>
  <si>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</si>
  <si>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</si>
  <si>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</si>
  <si>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</si>
  <si>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</si>
  <si>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</si>
  <si>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</si>
  <si>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</si>
  <si>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</si>
  <si>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</si>
  <si>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</si>
  <si>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</si>
  <si>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</si>
  <si>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</si>
  <si>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</si>
  <si>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</si>
  <si>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</si>
  <si>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</si>
  <si>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</si>
  <si>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</si>
  <si>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</si>
  <si>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</si>
  <si>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</si>
  <si>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</si>
  <si>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</si>
  <si>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</si>
  <si>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</si>
  <si>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</si>
  <si>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</si>
  <si>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</si>
  <si>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</si>
  <si>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</si>
  <si>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</si>
  <si>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</si>
  <si>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</si>
  <si>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</si>
  <si>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</si>
  <si>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</si>
  <si>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</si>
  <si>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</si>
  <si>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</si>
  <si>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</si>
  <si>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</si>
  <si>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</si>
  <si>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</si>
  <si>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</si>
  <si>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</si>
  <si>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</si>
  <si>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</si>
  <si>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</si>
  <si>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</si>
  <si>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</si>
  <si>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</si>
  <si>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</si>
  <si>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</si>
  <si>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</si>
  <si>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</si>
  <si>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</si>
  <si>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</si>
  <si>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</si>
  <si>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</si>
  <si>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</si>
  <si>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</si>
  <si>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</si>
  <si>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</si>
  <si>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</si>
  <si>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</si>
  <si>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</si>
  <si>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</si>
  <si>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</si>
  <si>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</si>
  <si>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</si>
  <si>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</si>
  <si>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</si>
  <si>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</si>
  <si>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</si>
  <si>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</si>
  <si>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</si>
  <si>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</si>
  <si>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</si>
  <si>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</si>
  <si>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</si>
  <si>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</si>
  <si>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</si>
  <si>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</si>
  <si>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</si>
  <si>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</si>
  <si>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</si>
  <si>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</si>
  <si>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</si>
  <si>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</si>
  <si>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</si>
  <si>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</si>
  <si>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</si>
  <si>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</si>
  <si>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</si>
  <si>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</si>
  <si>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</si>
  <si>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</si>
  <si>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</si>
  <si>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</si>
  <si>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</si>
  <si>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</si>
  <si>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</si>
  <si>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</si>
  <si>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</si>
  <si>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</si>
  <si>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</si>
  <si>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</si>
  <si>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</si>
  <si>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</si>
  <si>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</si>
  <si>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</si>
  <si>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</si>
  <si>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</si>
  <si>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</si>
  <si>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</si>
  <si>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</si>
  <si>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</si>
  <si>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</si>
  <si>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</si>
  <si>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</si>
  <si>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</si>
  <si>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</si>
  <si>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</si>
  <si>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</si>
  <si>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</si>
  <si>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</si>
  <si>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</si>
  <si>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</si>
  <si>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</si>
  <si>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</si>
  <si>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</si>
  <si>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</si>
  <si>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</si>
  <si>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</si>
  <si>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</si>
  <si>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</si>
  <si>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</si>
  <si>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</si>
  <si>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</si>
  <si>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</si>
  <si>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</si>
  <si>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</si>
  <si>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</si>
  <si>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</si>
  <si>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</si>
  <si>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</si>
  <si>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</si>
  <si>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</si>
  <si>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</si>
  <si>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</si>
  <si>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</si>
  <si>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</si>
  <si>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</si>
  <si>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</si>
  <si>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</si>
  <si>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</si>
  <si>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</si>
  <si>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</si>
  <si>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</si>
  <si>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</si>
  <si>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</si>
  <si>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</si>
  <si>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</si>
  <si>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</si>
  <si>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</si>
  <si>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</si>
  <si>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</si>
  <si>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</si>
  <si>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</si>
  <si>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</si>
  <si>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</si>
  <si>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</si>
  <si>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</si>
  <si>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</si>
  <si>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</si>
  <si>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</si>
  <si>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</si>
  <si>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</si>
  <si>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</si>
  <si>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</si>
  <si>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</si>
  <si>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</si>
  <si>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</si>
  <si>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</si>
  <si>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</si>
  <si>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</si>
  <si>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</si>
  <si>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</si>
  <si>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</si>
  <si>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</si>
  <si>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</si>
  <si>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</si>
  <si>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</si>
  <si>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</si>
  <si>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</si>
  <si>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</si>
  <si>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</si>
  <si>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</si>
  <si>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</si>
  <si>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</si>
  <si>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</si>
  <si>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</si>
  <si>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</si>
  <si>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</si>
  <si>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</si>
  <si>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</si>
  <si>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</si>
  <si>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</si>
  <si>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</si>
  <si>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</si>
  <si>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</si>
  <si>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</si>
  <si>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</si>
  <si>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</si>
  <si>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</si>
  <si>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</si>
  <si>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</si>
  <si>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</si>
  <si>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</si>
  <si>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</si>
  <si>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</si>
  <si>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</si>
  <si>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</si>
  <si>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</si>
  <si>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</si>
  <si>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</si>
  <si>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</si>
  <si>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</si>
  <si>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</si>
  <si>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</si>
  <si>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</si>
  <si>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</si>
  <si>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</si>
  <si>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</si>
  <si>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</si>
  <si>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</si>
  <si>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</si>
  <si>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</si>
  <si>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</si>
  <si>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</si>
  <si>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</si>
  <si>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</si>
  <si>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</si>
  <si>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</si>
  <si>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</si>
  <si>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</si>
  <si>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</si>
  <si>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</si>
  <si>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</si>
  <si>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</si>
  <si>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</si>
  <si>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</si>
  <si>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</si>
  <si>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</si>
  <si>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</si>
  <si>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</si>
  <si>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</si>
  <si>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</si>
  <si>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</si>
  <si>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</si>
  <si>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</si>
  <si>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</si>
  <si>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</si>
  <si>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</si>
  <si>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</si>
  <si>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</si>
  <si>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</si>
  <si>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</si>
  <si>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</si>
  <si>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</si>
  <si>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</si>
  <si>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</si>
  <si>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</si>
  <si>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</si>
  <si>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</si>
  <si>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</si>
  <si>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</si>
  <si>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</si>
  <si>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</si>
  <si>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</si>
  <si>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</si>
  <si>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</si>
  <si>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</si>
  <si>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</si>
  <si>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</si>
  <si>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</si>
  <si>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</si>
  <si>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</si>
  <si>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</si>
  <si>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</si>
  <si>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</si>
  <si>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</si>
  <si>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</si>
  <si>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</si>
  <si>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</si>
  <si>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</si>
  <si>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</si>
  <si>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</si>
  <si>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</si>
  <si>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</si>
  <si>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</si>
  <si>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</si>
  <si>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</si>
  <si>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</si>
  <si>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</si>
  <si>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</si>
  <si>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</si>
  <si>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</si>
  <si>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</si>
  <si>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</si>
  <si>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</si>
  <si>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</si>
  <si>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</si>
  <si>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</si>
  <si>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</si>
  <si>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</si>
  <si>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</si>
  <si>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</si>
  <si>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</si>
  <si>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</si>
  <si>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</si>
  <si>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</si>
  <si>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</si>
  <si>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</si>
  <si>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</si>
  <si>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</si>
  <si>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</si>
  <si>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</si>
  <si>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</si>
  <si>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</si>
  <si>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</si>
  <si>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</si>
  <si>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</si>
  <si>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</si>
  <si>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</si>
  <si>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</si>
  <si>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</si>
  <si>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</si>
  <si>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</si>
  <si>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</si>
  <si>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</si>
  <si>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</si>
  <si>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</si>
  <si>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</si>
  <si>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</si>
  <si>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</si>
  <si>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</si>
  <si>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</si>
  <si>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</si>
  <si>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</si>
  <si>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</si>
  <si>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</si>
  <si>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</si>
  <si>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</si>
  <si>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</si>
  <si>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</si>
  <si>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</si>
  <si>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</si>
  <si>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</si>
  <si>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</si>
  <si>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</si>
  <si>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</si>
  <si>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</si>
  <si>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</si>
  <si>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</si>
  <si>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</si>
  <si>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</si>
  <si>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</si>
  <si>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</si>
  <si>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</si>
  <si>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</si>
  <si>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</si>
  <si>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</si>
  <si>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</si>
  <si>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</si>
  <si>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</si>
  <si>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</si>
  <si>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</si>
  <si>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</si>
  <si>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</si>
  <si>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</si>
  <si>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</si>
  <si>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</si>
  <si>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</si>
  <si>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</si>
  <si>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</si>
  <si>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</si>
  <si>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</si>
  <si>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</si>
  <si>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</si>
  <si>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</si>
  <si>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</si>
  <si>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</si>
  <si>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</si>
  <si>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</si>
  <si>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</si>
  <si>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</si>
  <si>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</si>
  <si>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</si>
  <si>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</si>
  <si>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</si>
  <si>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</si>
  <si>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</si>
  <si>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</si>
  <si>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</si>
  <si>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</si>
  <si>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</si>
  <si>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</si>
  <si>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</si>
  <si>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</si>
  <si>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</si>
  <si>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</si>
  <si>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</si>
  <si>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</si>
  <si>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</si>
  <si>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</si>
  <si>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</si>
  <si>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</si>
  <si>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</si>
  <si>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</si>
  <si>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</si>
  <si>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</si>
  <si>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</si>
  <si>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</si>
  <si>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</si>
  <si>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</si>
  <si>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</si>
  <si>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</si>
  <si>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</si>
  <si>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</si>
  <si>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</si>
  <si>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</si>
  <si>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</si>
  <si>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</si>
  <si>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</si>
  <si>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</si>
  <si>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</si>
  <si>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</si>
  <si>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</si>
  <si>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</si>
  <si>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</si>
  <si>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</si>
  <si>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</si>
  <si>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</si>
  <si>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</si>
  <si>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</si>
  <si>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</si>
  <si>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</si>
  <si>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</si>
  <si>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</si>
  <si>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</si>
  <si>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</si>
  <si>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</si>
  <si>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</si>
  <si>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</si>
  <si>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</si>
  <si>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</si>
  <si>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</si>
  <si>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</si>
  <si>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</si>
  <si>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</si>
  <si>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</si>
  <si>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</si>
  <si>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</si>
  <si>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</si>
  <si>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</si>
  <si>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</si>
  <si>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</si>
  <si>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</si>
  <si>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</si>
  <si>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</si>
  <si>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</si>
  <si>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</si>
  <si>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</si>
  <si>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</si>
  <si>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</si>
  <si>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</si>
  <si>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</si>
  <si>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</si>
  <si>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</si>
  <si>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</si>
  <si>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</si>
  <si>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</si>
  <si>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</si>
  <si>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</si>
  <si>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</si>
  <si>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</si>
  <si>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</si>
  <si>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</si>
  <si>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</si>
  <si>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</si>
  <si>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</si>
  <si>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</si>
  <si>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</si>
  <si>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</si>
  <si>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</si>
  <si>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</si>
  <si>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</si>
  <si>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</si>
  <si>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</si>
  <si>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</si>
  <si>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</si>
  <si>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</si>
  <si>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</si>
  <si>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</si>
  <si>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</si>
  <si>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</si>
  <si>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</si>
  <si>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</si>
  <si>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</si>
  <si>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</si>
  <si>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</si>
  <si>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</si>
  <si>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</si>
  <si>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</si>
  <si>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</si>
  <si>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</si>
  <si>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</si>
  <si>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</si>
  <si>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</si>
  <si>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</si>
  <si>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</si>
  <si>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</si>
  <si>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</si>
  <si>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</si>
  <si>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</si>
  <si>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</si>
  <si>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</si>
  <si>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</si>
  <si>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</si>
  <si>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</si>
  <si>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</si>
  <si>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</si>
  <si>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</si>
  <si>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</si>
  <si>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</si>
  <si>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</si>
  <si>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</si>
  <si>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</si>
  <si>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</si>
  <si>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</si>
  <si>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</si>
  <si>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</si>
  <si>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</si>
  <si>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</si>
  <si>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</si>
  <si>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</si>
  <si>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</si>
  <si>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</si>
  <si>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</si>
  <si>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</si>
  <si>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</si>
  <si>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</si>
  <si>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</si>
  <si>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</si>
  <si>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</si>
  <si>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</si>
  <si>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</si>
  <si>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</si>
  <si>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</si>
  <si>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</si>
  <si>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</si>
  <si>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</si>
  <si>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</si>
  <si>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</si>
  <si>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</si>
  <si>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</si>
  <si>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</si>
  <si>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</si>
  <si>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</si>
  <si>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</si>
  <si>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</si>
  <si>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</si>
  <si>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</si>
  <si>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</si>
  <si>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</si>
  <si>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</si>
  <si>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</si>
  <si>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</si>
  <si>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</si>
  <si>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</si>
  <si>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</si>
  <si>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</si>
  <si>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</si>
  <si>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</si>
  <si>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</si>
  <si>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</si>
  <si>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</si>
  <si>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</si>
  <si>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</si>
  <si>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</si>
  <si>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</si>
  <si>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</si>
  <si>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</si>
  <si>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</si>
  <si>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</si>
  <si>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</si>
  <si>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</si>
  <si>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</si>
  <si>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</si>
  <si>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</si>
  <si>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</si>
  <si>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</si>
  <si>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</si>
  <si>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</si>
  <si>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</si>
  <si>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</si>
  <si>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</si>
  <si>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</si>
  <si>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</si>
  <si>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</si>
  <si>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</si>
  <si>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</si>
  <si>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</si>
  <si>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</si>
  <si>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</si>
  <si>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</si>
  <si>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</si>
  <si>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</si>
  <si>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</si>
  <si>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</si>
  <si>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</si>
  <si>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</si>
  <si>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</si>
  <si>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</si>
  <si>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</si>
  <si>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</si>
  <si>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</si>
  <si>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</si>
  <si>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</si>
  <si>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</si>
  <si>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</si>
  <si>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</si>
  <si>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</si>
  <si>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</si>
  <si>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</si>
  <si>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</si>
  <si>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</si>
  <si>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</si>
  <si>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</si>
  <si>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</si>
  <si>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</si>
  <si>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</si>
  <si>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</si>
  <si>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</si>
  <si>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</si>
  <si>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</si>
  <si>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</si>
  <si>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</si>
  <si>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</si>
  <si>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</si>
  <si>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</si>
  <si>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</si>
  <si>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</si>
  <si>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</si>
  <si>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</si>
  <si>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</si>
  <si>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</si>
  <si>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</si>
  <si>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</si>
  <si>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</si>
  <si>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</si>
  <si>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</si>
  <si>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</si>
  <si>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</si>
  <si>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</si>
  <si>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</si>
  <si>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</si>
  <si>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</si>
  <si>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</si>
  <si>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</si>
  <si>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</si>
  <si>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</si>
  <si>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</si>
  <si>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</si>
  <si>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</si>
  <si>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</si>
  <si>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</si>
  <si>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</si>
  <si>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</si>
  <si>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</si>
  <si>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</si>
  <si>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</si>
  <si>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</si>
  <si>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</si>
  <si>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</si>
  <si>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</si>
  <si>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</si>
  <si>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</si>
  <si>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</si>
  <si>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</si>
  <si>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</si>
  <si>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</si>
  <si>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</si>
  <si>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</si>
  <si>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</si>
  <si>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</si>
  <si>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</si>
  <si>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</si>
  <si>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</si>
  <si>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</si>
  <si>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</si>
  <si>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</si>
  <si>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</si>
  <si>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</si>
  <si>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</si>
  <si>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</si>
  <si>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</si>
  <si>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</si>
  <si>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</si>
  <si>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</si>
  <si>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</si>
  <si>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</si>
  <si>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</si>
  <si>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</si>
  <si>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</si>
  <si>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</si>
  <si>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</si>
  <si>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</si>
  <si>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</si>
  <si>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</si>
  <si>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</si>
  <si>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</si>
  <si>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</si>
  <si>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</si>
  <si>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</si>
  <si>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</si>
  <si>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</si>
  <si>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</si>
  <si>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</si>
  <si>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</si>
  <si>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</si>
  <si>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</si>
  <si>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</si>
  <si>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</si>
  <si>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</si>
  <si>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</si>
  <si>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</si>
  <si>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</si>
  <si>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</si>
  <si>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</si>
  <si>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</si>
  <si>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</si>
  <si>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</si>
  <si>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</si>
  <si>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</si>
  <si>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</si>
  <si>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</si>
  <si>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</si>
  <si>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</si>
  <si>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</si>
  <si>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</si>
  <si>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</si>
  <si>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</si>
  <si>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</si>
  <si>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</si>
  <si>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</si>
  <si>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</si>
  <si>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</si>
  <si>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</si>
  <si>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</si>
  <si>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</si>
  <si>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</si>
  <si>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</si>
  <si>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</si>
  <si>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</si>
  <si>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</si>
  <si>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</si>
  <si>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</si>
  <si>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</si>
  <si>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</si>
  <si>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</si>
  <si>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</si>
  <si>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</si>
  <si>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</si>
  <si>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</si>
  <si>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</si>
  <si>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</si>
  <si>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</si>
  <si>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</si>
  <si>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</si>
  <si>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</si>
  <si>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</si>
  <si>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</si>
  <si>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</si>
  <si>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</si>
  <si>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</si>
  <si>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</si>
  <si>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</si>
  <si>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</si>
  <si>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</si>
  <si>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</si>
  <si>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</si>
  <si>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</si>
  <si>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</si>
  <si>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</si>
  <si>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</si>
  <si>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</si>
  <si>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</si>
  <si>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</si>
  <si>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</si>
  <si>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</si>
  <si>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</si>
  <si>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</si>
  <si>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</si>
  <si>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</si>
  <si>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</si>
  <si>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</si>
  <si>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</si>
  <si>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</si>
  <si>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</si>
  <si>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</si>
  <si>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</si>
  <si>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</si>
  <si>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</si>
  <si>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</si>
  <si>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</si>
  <si>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</si>
  <si>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</si>
  <si>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</si>
  <si>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</si>
  <si>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</si>
  <si>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</si>
  <si>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</si>
  <si>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</si>
  <si>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</si>
  <si>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</si>
  <si>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</si>
  <si>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</si>
  <si>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</si>
  <si>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</si>
  <si>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</si>
  <si>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</si>
  <si>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</si>
  <si>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</si>
  <si>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</si>
  <si>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</si>
  <si>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</si>
  <si>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</si>
  <si>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</si>
  <si>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</si>
  <si>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</si>
  <si>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</si>
  <si>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</si>
  <si>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</si>
  <si>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</si>
  <si>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</si>
  <si>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</si>
  <si>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</si>
  <si>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</si>
  <si>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</si>
  <si>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</si>
  <si>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</si>
  <si>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</si>
  <si>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</si>
  <si>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</si>
  <si>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</si>
  <si>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</si>
  <si>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</si>
  <si>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</si>
  <si>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</si>
  <si>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</si>
  <si>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</si>
  <si>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</si>
  <si>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</si>
  <si>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</si>
  <si>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</si>
  <si>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</si>
  <si>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</si>
  <si>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</si>
  <si>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</si>
  <si>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</si>
  <si>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</si>
  <si>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</si>
  <si>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</si>
  <si>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</si>
  <si>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</si>
  <si>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</si>
  <si>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</si>
  <si>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</si>
  <si>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</si>
  <si>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</si>
  <si>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</si>
  <si>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</si>
  <si>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</si>
  <si>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</si>
  <si>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</si>
  <si>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</si>
  <si>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</si>
  <si>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</si>
  <si>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</si>
  <si>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</si>
  <si>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</si>
  <si>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</si>
  <si>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</si>
  <si>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</si>
  <si>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</si>
  <si>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</si>
  <si>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</si>
  <si>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</si>
  <si>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</si>
  <si>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</si>
  <si>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</si>
  <si>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</si>
  <si>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</si>
  <si>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</si>
  <si>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</si>
  <si>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</si>
  <si>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</si>
  <si>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</si>
  <si>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</si>
  <si>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</si>
  <si>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</si>
  <si>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</si>
  <si>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</si>
  <si>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</si>
  <si>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</si>
  <si>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</si>
  <si>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</si>
  <si>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</si>
  <si>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</si>
  <si>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</si>
  <si>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</si>
  <si>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</si>
  <si>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</si>
  <si>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</si>
  <si>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</si>
  <si>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</si>
  <si>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</si>
  <si>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</si>
  <si>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</si>
  <si>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</si>
  <si>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</si>
  <si>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</si>
  <si>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</si>
  <si>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</si>
  <si>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</si>
  <si>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</si>
  <si>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</si>
  <si>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</si>
  <si>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</si>
  <si>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</si>
  <si>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</si>
  <si>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</si>
  <si>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</si>
  <si>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</si>
  <si>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</si>
  <si>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</si>
  <si>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</si>
  <si>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</si>
  <si>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</si>
  <si>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</si>
  <si>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</si>
  <si>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</si>
  <si>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</si>
  <si>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</si>
  <si>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</si>
  <si>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</si>
  <si>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</si>
  <si>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</si>
  <si>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</si>
  <si>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</si>
  <si>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</si>
  <si>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</si>
  <si>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</si>
  <si>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</si>
  <si>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</si>
  <si>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</si>
  <si>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</si>
  <si>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</si>
  <si>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</si>
  <si>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</si>
  <si>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</si>
  <si>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</si>
  <si>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</si>
  <si>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</si>
  <si>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</si>
  <si>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</si>
  <si>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</si>
  <si>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</si>
  <si>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</si>
  <si>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</si>
  <si>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</si>
  <si>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</si>
  <si>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</si>
  <si>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</si>
  <si>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</si>
  <si>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</si>
  <si>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</si>
  <si>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</si>
  <si>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</si>
  <si>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</si>
  <si>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</si>
  <si>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</si>
  <si>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</si>
  <si>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</si>
  <si>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</si>
  <si>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</si>
  <si>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</si>
  <si>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</si>
  <si>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</si>
  <si>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</si>
  <si>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</si>
  <si>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</si>
  <si>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</si>
  <si>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</si>
  <si>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</si>
  <si>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</si>
  <si>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</si>
  <si>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</si>
  <si>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</si>
  <si>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</si>
  <si>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</si>
  <si>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</si>
  <si>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</si>
  <si>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</si>
  <si>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</si>
  <si>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</si>
  <si>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</si>
  <si>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</si>
  <si>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</si>
  <si>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</si>
  <si>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</si>
  <si>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</si>
  <si>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</si>
  <si>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</si>
  <si>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</si>
  <si>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</si>
  <si>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</si>
  <si>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</si>
  <si>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</si>
  <si>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</si>
  <si>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</si>
  <si>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</si>
  <si>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</si>
  <si>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</si>
  <si>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</si>
  <si>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</si>
  <si>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</si>
  <si>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</si>
  <si>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</si>
  <si>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</si>
  <si>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</si>
  <si>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</si>
  <si>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</si>
  <si>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</si>
  <si>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</si>
  <si>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</si>
  <si>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</si>
  <si>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</si>
  <si>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</si>
  <si>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</si>
  <si>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</si>
  <si>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</si>
  <si>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</si>
  <si>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</si>
  <si>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</si>
  <si>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</si>
  <si>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</si>
  <si>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</si>
  <si>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</si>
  <si>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</si>
  <si>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</si>
  <si>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</si>
  <si>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</si>
  <si>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</si>
  <si>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</si>
  <si>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</si>
  <si>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</si>
  <si>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</si>
  <si>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</si>
  <si>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</si>
  <si>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</si>
  <si>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</si>
  <si>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</si>
  <si>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</si>
  <si>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</si>
  <si>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</si>
  <si>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</si>
  <si>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</si>
  <si>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</si>
  <si>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</si>
  <si>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</si>
  <si>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</si>
  <si>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</si>
  <si>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</si>
  <si>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</si>
  <si>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</si>
  <si>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</si>
  <si>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</si>
  <si>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</si>
  <si>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</si>
  <si>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</si>
  <si>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</si>
  <si>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</si>
  <si>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</si>
  <si>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</si>
  <si>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</si>
  <si>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</si>
  <si>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</si>
  <si>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</si>
  <si>
    <t>a07c684c-0e19-4938-bbf1-2a88e0e353a4</t>
  </si>
  <si>
    <t>Return to Dunwich Legacy</t>
  </si>
  <si>
    <t>RTDL</t>
  </si>
  <si>
    <t>8c777114-0122-444a-b853-827bb67f2afa</t>
  </si>
  <si>
    <t>You have two additional hand slots, which can only be used to hold [[Weapon]] assets._x000D_
While you have [[Weapon]] assets held in 2 or more hand slots, you get +1 ά.</t>
  </si>
  <si>
    <t>362acc37-0402-4bc2-bbf1-37b2e3ae12e6</t>
  </si>
  <si>
    <t>η: Fight. You get +2 ή for this attack. If you perform this attack againt an enemy engaged with another investigator, you deal +1 damage for this attack if you succeed, and no damage if you fail.</t>
  </si>
  <si>
    <t>4a5056f1-3d65-4b08-95d8-0e28b36919de</t>
  </si>
  <si>
    <t>Play only if there is a clue on your location._x000D_
Draw three cards.</t>
  </si>
  <si>
    <t>a1fea95e-7df1-4a93-9295-3b8c7d03079b</t>
  </si>
  <si>
    <t>Empowering Elixir</t>
  </si>
  <si>
    <t>You can only include this asset in your deck by upgrading it from Strange Solution (Unidentified), and only if you have "identified the solution" in your Campaign Log._x000D_
Uses (3 supplies)._x000D_
η Spend 1 supply and exhaust Strange Solution: Choose an investigator at your location to gain 2 resources and draw 1 card.</t>
  </si>
  <si>
    <t>ae54262f-7d83-4fb4-a4da-2579b365e7c9</t>
  </si>
  <si>
    <t>Choose an asset controlled by an investigator at your location. Either (choose one):_x000D_
- Place 2 ammo or supply tokens on that asset and draw 1 card._x000D_
- Double the number of ammo or supply tokens on that asset.</t>
  </si>
  <si>
    <t>be1bc76c-8781-4970-93e3-3490ca6e563c</t>
  </si>
  <si>
    <t>ίίέ</t>
  </si>
  <si>
    <t>Fast. Play when an enemy enters your location._x000D_
Immediately move to a connecting location. (The enemy still enters your previous location.)</t>
  </si>
  <si>
    <t>7acfa3d3-3b31-4b29-ac63-8c35070d8375</t>
  </si>
  <si>
    <t>Uses (3 charges)._x000D_
η Spend 1 charge: Investigate. Investigate using ά instead of έ. You get +2 ά for this test. If you succeed you discover 1 additional clue at this location. If a α, β, γ, δ, or ζ symbol is revealed during this test, after this test resolves lose all remaining actions and immediately end your turn.</t>
  </si>
  <si>
    <t>91d3766f-b81c-46fd-b7d3-cc461cff0ee1</t>
  </si>
  <si>
    <t>Uses (4 charges)._x000D_
η Spend 1 charge: Heal 2 horror from among investigators at your location.</t>
  </si>
  <si>
    <t>56009113-7758-4ebe-9eed-f36ea64edc39</t>
  </si>
  <si>
    <t>ίήή</t>
  </si>
  <si>
    <t>Fast. Play after you fail a skill test by 3 or less while attacking an enemy._x000D_
Deal this attack's damage to any enemy at your location. If the attacked enemy is engaged with another investigator, this attack deals no damage to that investigator.</t>
  </si>
  <si>
    <t>b27d9c77-b7a1-4427-a368-f148fdf51261</t>
  </si>
  <si>
    <t>Commit only to a skill test you are performing, and only if the difficulty of that test is higher than your base skill value._x000D_
Rise to the Occasion gets +X ΰ icons, where X is the difference between your base skill and this test's difficulty (to a maximum of +3 ΰ icons).</t>
  </si>
  <si>
    <t>49b96c05-175b-4727-b9d0-8bbfdc22d608</t>
  </si>
  <si>
    <t>Through the Gates</t>
  </si>
  <si>
    <t>Pact. Mystery.</t>
  </si>
  <si>
    <t>Revelation - Draw the top card of your deck. If it is not a weakness, remove that card from the game. Then, search your deck, discard pile, hand, and all play areas for each other copy of that card you own, and remove them from the game, as well.</t>
  </si>
  <si>
    <t>AY</t>
  </si>
  <si>
    <t>88718a2a-19b8-4045-86ea-7974c01b8f11</t>
  </si>
  <si>
    <t>Return to Extracurricular Activities</t>
  </si>
  <si>
    <t>7fbec8f4-d389-4249-8b5c-aa86ee49cd38</t>
  </si>
  <si>
    <t>Warren Observatory</t>
  </si>
  <si>
    <t>67150130-081e-4e9d-bf63-5b054f1dea87</t>
  </si>
  <si>
    <t>Enthralled Security Guard</t>
  </si>
  <si>
    <t>Humanoid. Abomination.</t>
  </si>
  <si>
    <t>4e1daa6b-d846-49c0-959d-226cdaa21497</t>
  </si>
  <si>
    <t>Return to The House Always Wins</t>
  </si>
  <si>
    <t>- Set the Clover Club Stage aside, out of play._x000D_
- Choose one of the two Clover Club Lounge locations at random. Put the chosen location into play along with the rest of the starting locations. Remove the other version of Clover Club Lounge from the game.</t>
  </si>
  <si>
    <t>7ab63941-b149-4aaf-98de-704e97b07070</t>
  </si>
  <si>
    <t>15d3b5bb-8c2d-426d-8ec3-9c5028ff66cc</t>
  </si>
  <si>
    <t>Clover Club Stage</t>
  </si>
  <si>
    <t>Clover Club Bar is connected to Clover Club Stage.</t>
  </si>
  <si>
    <t>80800d2d-2133-4e98-be92-52ef45bf8153</t>
  </si>
  <si>
    <t>Caught Cheating</t>
  </si>
  <si>
    <t>Illicit.</t>
  </si>
  <si>
    <t>ab0dd597-1d80-4db9-a9cc-9bbb5cf54983</t>
  </si>
  <si>
    <t>Raise the Stakes</t>
  </si>
  <si>
    <t>ceff1f22-cc40-45e6-8290-bc342b8227c4</t>
  </si>
  <si>
    <t>Return to The Miskatonic Museum</t>
  </si>
  <si>
    <t>9231feac-b813-4555-8c20-39b5d77a47d6</t>
  </si>
  <si>
    <t>Medieval Exhibit</t>
  </si>
  <si>
    <t>6c6495a9-3b5c-4700-92c8-fb799355fa4b</t>
  </si>
  <si>
    <t>The Archives</t>
  </si>
  <si>
    <t>ebb07765-76da-41fc-8da4-98d3da16ccfe</t>
  </si>
  <si>
    <t>Dark Bidding</t>
  </si>
  <si>
    <t>4bb24867-11fb-4723-abd5-da67f161f081</t>
  </si>
  <si>
    <t>Night Beyond Void</t>
  </si>
  <si>
    <t>ac9fad31-26f1-4563-bb17-dc438cc9cd2c</t>
  </si>
  <si>
    <t>Return to The Essex County Express</t>
  </si>
  <si>
    <t>- Remove Agenda 1a - "A Tear in Reality," from the game and replace it with the new Agenda 0a - "Where There's Smoke" and the new agenda 1a - "A Tear in Reality (v.II)." (When you construct the agenda deck, agenda 0a should be on top.)_x000D_
- When choosing 6 Train Car locations to put into play at random, include the 2 new Train Car locations in this encounter set, for a total of 10 possible cards._x000D_
- When choosing an Engine Car location to put into play at random, include the new Engine Car location in this encounter set, for a total of 4 possible cards._x000D_
Set the Engineer story asset aside, out of play.</t>
  </si>
  <si>
    <t>bde145c7-7917-4067-ba3f-6f30caebe18b</t>
  </si>
  <si>
    <t>Where There's Smoke</t>
  </si>
  <si>
    <t>4f42702e-b199-439c-a2ee-94335ef8a315</t>
  </si>
  <si>
    <t>The Conductor</t>
  </si>
  <si>
    <t>Beast from beyond the Gate</t>
  </si>
  <si>
    <t>ef5a7a89-35a3-44d1-897d-9920d2099093</t>
  </si>
  <si>
    <t>A Tear in Reality (v.II)</t>
  </si>
  <si>
    <t>Remove the leftmost location from the game (or place it in the victory display if it has Victory X and no clues on it). Each investigator at that location is defeated. Each enemy and asset at that location is discarded._x000D_
Discard all clues controlled by the investigators.</t>
  </si>
  <si>
    <t>c81f849a-64d5-4444-bc1a-314870e5ba56</t>
  </si>
  <si>
    <t>Engine Car is connected to the location to the left of it._x000D_
You cannot enter Engine Car unless all of the clues on the location to its left have been discovered.</t>
  </si>
  <si>
    <t>0fa20844-7237-4ff4-be80-0f31fe6accfc</t>
  </si>
  <si>
    <t>Freight Car</t>
  </si>
  <si>
    <t>Train Car is connected to the locations to the left and right of it._x000D_
You cannot enter Train Car unless all of the clues on the location to its left have been discovered.</t>
  </si>
  <si>
    <t>a152582d-bd8f-48ee-9939-7e8383067d95</t>
  </si>
  <si>
    <t>Baggage Car</t>
  </si>
  <si>
    <t>7a1102fd-f1d5-4cf5-a99a-ea75b678b08d</t>
  </si>
  <si>
    <t>Engineer</t>
  </si>
  <si>
    <t>268fed05-adc1-4adb-9576-24b91cd135d4</t>
  </si>
  <si>
    <t>Return to Blood on the Altar</t>
  </si>
  <si>
    <t>2d3c2b40-d775-419e-8e88-efdade5ee5cb</t>
  </si>
  <si>
    <t>Silent Decay</t>
  </si>
  <si>
    <t>07c26c59-f752-4300-bd1d-5b637c497f42</t>
  </si>
  <si>
    <t>Bishop's Brook</t>
  </si>
  <si>
    <t>343b7334-2bdd-49f6-90f5-6f4549dc3abf</t>
  </si>
  <si>
    <t>73664ed1-d664-4a91-8c09-8e2cac562424</t>
  </si>
  <si>
    <t>Osborn's General Store</t>
  </si>
  <si>
    <t>5197081e-569a-4093-802f-8e4f22f592d9</t>
  </si>
  <si>
    <t>c29a7228-7b52-47d8-bc05-3160f1c6445b</t>
  </si>
  <si>
    <t>d7ec503a-473a-4f3f-87dc-b76caf8454b9</t>
  </si>
  <si>
    <t>8a32ab23-999b-4c7f-ad78-e417c4f6a8cf</t>
  </si>
  <si>
    <t>Hired Gun</t>
  </si>
  <si>
    <t>Humanoid. Criminal. Syndicate.</t>
  </si>
  <si>
    <t>0fab286f-04e0-4e7f-b888-5cb1ec5d4826</t>
  </si>
  <si>
    <t>Return to Undimensioned and Unseen</t>
  </si>
  <si>
    <t>ba51ce1d-50b9-4d09-b88d-1d5c804179f5</t>
  </si>
  <si>
    <t>Charging Beast</t>
  </si>
  <si>
    <t>55628c36-70ad-4855-9e6f-4e1e04093d88</t>
  </si>
  <si>
    <t>Swelling Devourer</t>
  </si>
  <si>
    <t>7bd6e269-bfe1-463c-a216-03faa3816201</t>
  </si>
  <si>
    <t>Thrashing Spawn</t>
  </si>
  <si>
    <t>0b8e1a78-4425-4c9f-a0de-d3477381629d</t>
  </si>
  <si>
    <t>Amorphous Terror</t>
  </si>
  <si>
    <t>c49e03d3-66c3-4f2c-a949-58b7fe951ff9</t>
  </si>
  <si>
    <t>Imperceptible Creature</t>
  </si>
  <si>
    <t>ab93d222-6c67-4e91-b473-b9e0c39b61e2</t>
  </si>
  <si>
    <t>Return to Where Doom Awaits</t>
  </si>
  <si>
    <t>5e33616e-3251-498e-8b52-7765911e2d93</t>
  </si>
  <si>
    <t>Warped and Twisted</t>
  </si>
  <si>
    <t>95721a1b-fc69-4fe7-8b8c-62bff3bc0df1</t>
  </si>
  <si>
    <t>The path leading farther up the hill is masked. You cannot move into Ascending Path.</t>
  </si>
  <si>
    <t>10ad9b62-60a3-46b2-bfa7-98cd0810a68a</t>
  </si>
  <si>
    <t>Abandoned Camp</t>
  </si>
  <si>
    <t>f29036d6-eb41-433e-af3a-6f4ac14a2429</t>
  </si>
  <si>
    <t>Fathomless Lake</t>
  </si>
  <si>
    <t>4edb7393-4a73-4bc0-ab6d-4053e6feecc4</t>
  </si>
  <si>
    <t>Naomi O'Bannion</t>
  </si>
  <si>
    <t>Ruthless Tactician</t>
  </si>
  <si>
    <t>έέήή</t>
  </si>
  <si>
    <t>Ally. Criminal. Syndicate.</t>
  </si>
  <si>
    <t>23bb3a70-dfd7-494f-a295-17aa6592cffc</t>
  </si>
  <si>
    <t>Return to Lost in Time and Space</t>
  </si>
  <si>
    <t>f2657fbe-2f44-4cb7-81ff-69139a45c68f</t>
  </si>
  <si>
    <t>Breaking Through (v. II)</t>
  </si>
  <si>
    <t>The Key and the Gate (v. II)</t>
  </si>
  <si>
    <t>d0311731-da7a-4c3d-813a-db280d59fb68</t>
  </si>
  <si>
    <t>Into the Beyond (v. II)</t>
  </si>
  <si>
    <t>The Vessel Awaits</t>
  </si>
  <si>
    <t>fa3e7f58-8fd2-4a69-8e3c-c0be7a2b4fbe</t>
  </si>
  <si>
    <t>Thrall of Yog-Sothoth</t>
  </si>
  <si>
    <t>Humanoid. Monster. Abomination. Elite.</t>
  </si>
  <si>
    <t>2e2b554d-fc2d-4765-a06c-ee20fae32e28</t>
  </si>
  <si>
    <t>Realms Beyond</t>
  </si>
  <si>
    <t>All-In-One</t>
  </si>
  <si>
    <t>b2970210-868a-4163-a171-bb39efd669a4</t>
  </si>
  <si>
    <t>Indecipherable Stairs</t>
  </si>
  <si>
    <t>725c30d2-7930-4244-ac72-d776caffb9c6</t>
  </si>
  <si>
    <t>Towering Luminosity</t>
  </si>
  <si>
    <t>9b909205-76dd-4092-b818-cfe82e216271</t>
  </si>
  <si>
    <t>Unstable Vortex</t>
  </si>
  <si>
    <t>7f8eb721-f86c-49c4-8f16-539a12be2313</t>
  </si>
  <si>
    <t>Beyond the Threshold</t>
  </si>
  <si>
    <t>Haunting Recollections</t>
  </si>
  <si>
    <t>399509b0-154b-4ba5-818c-ac5464777152</t>
  </si>
  <si>
    <t>A Baleful Welcome</t>
  </si>
  <si>
    <t>5ef6ba51-1346-408d-9b1d-2533ac6d96a8</t>
  </si>
  <si>
    <t>Infinite Doorway</t>
  </si>
  <si>
    <t>61dcba54-8642-4d1e-83ed-cc1d00b119ab</t>
  </si>
  <si>
    <t>Resurgent Evils</t>
  </si>
  <si>
    <t>c8fad645-60f9-4af9-aced-624e43afee0a</t>
  </si>
  <si>
    <t>Secret Doors</t>
  </si>
  <si>
    <t>Secret Door</t>
  </si>
  <si>
    <t>7f293f19-090f-4d19-92fe-851f42b40e86</t>
  </si>
  <si>
    <t>Creeping Cold</t>
  </si>
  <si>
    <t>Inexplicable Cold</t>
  </si>
  <si>
    <t>4d7175b2-9fd6-49f0-91e2-42b7f7646417</t>
  </si>
  <si>
    <t>Oppressive Mists</t>
  </si>
  <si>
    <t>b5ed3923-db68-4d89-9b62-17aff5f9f48b</t>
  </si>
  <si>
    <t>Erratic Fear</t>
  </si>
  <si>
    <t>Violent Commands</t>
  </si>
  <si>
    <t>8b5b3023-3ec8-4b05-97fb-986d8e811e94</t>
  </si>
  <si>
    <t>Idle Hands</t>
  </si>
  <si>
    <t>d1772086-b9fa-43af-b50c-a06c276769e6</t>
  </si>
  <si>
    <t>Need for Knowledge</t>
  </si>
  <si>
    <t>29c7d134-fbc3-46bb-a04b-2873f982b4dd</t>
  </si>
  <si>
    <t>Yog Sothoth's Emissaries</t>
  </si>
  <si>
    <t>Vassal of the Lurker</t>
  </si>
  <si>
    <t>db6854fb-64c1-4fd3-86b9-470410339d1a</t>
  </si>
  <si>
    <t>Eldritch Accord</t>
  </si>
  <si>
    <t>Perform the setup as indicated in The Dunwich Legacy Campaign Guide, with the following exceptions:_x000D_
- When gathering encounter sets, also gather the new encounter sets for Return to Extracurricular Activities shown here._x000D_
(Continued on reverse side.)</t>
  </si>
  <si>
    <t>- Randomly choose between Orne Library and Warren Observatory. Put the chosen location into play, along with the rest of the starting locations. Remove the other location from the game._x000D_
- If you have completed Return to The House Always Wins, search the encounter sets for 1 copy of Enthralled Security Guard, and spawn it at the Administration Building.</t>
  </si>
  <si>
    <t>Forced - After you discover 1 or more clues at Warren Observatory: Discard 3 cards from the top of your deck for each clue just discovered.</t>
  </si>
  <si>
    <t>Hunter. Retaliate._x000D_
Forced - After Enthralled Security Guard attacks you: Discard the top 2 cards of your deck._x000D_
Forced - After Enthralled Security Guard is evaded: It is defeated.</t>
  </si>
  <si>
    <t>Perform the setup as indicated in The Dunwich Legacy Campaign Guide, with the following exceptions:_x000D_
- When gathering encounter sets, also gather the new encounter sets for Return to The House Always Win shown here._x000D_
(Continued on reverse side.)</t>
  </si>
  <si>
    <t>Forced - After Clover Club Lounge is revealed: Put the set-aside Clover Club Stage into play._x000D_
While it is Act 1, Clover Club Lounge gains: "η: Look at the top card of your deck. If it is an [[Ally]] asset, you may put it into play. Otherwise, draw it. (Limit once per round.)"</t>
  </si>
  <si>
    <t>Surge._x000D_
Revelation - Each player who has "cheated" must lose 2 resources and take 1 damage.</t>
  </si>
  <si>
    <t>Revelation - You must (choose one):_x000D_
- Remember that you have "cheated."_x000D_
- Lose 5 resources._x000D_
- Put Raise the Stakes into play in your threat area. It gains: "Each [[Criminal]] enemy at your location loses aloof. If it is Act 2 or 3, each [[Criminal]] enemy engaged with you gets +1 fight and +1 evade."</t>
  </si>
  <si>
    <t>Perform the setup as indicated in The Dunwich Legacy Campaign Guide, with the following exceptions:_x000D_
- When gathering encounter sets, also gather the new encounter sets for Return to The Miskatonic Museum shown here._x000D_
(Continued on reverse side.)</t>
  </si>
  <si>
    <t>- Before creatng the "Exhibit Deck," add the 2 new Exhibit Hall locations to the original 6 Exhibit Hall locations. Set Exhibit Hall (Restricted Hall) aside and randomly remove 2 Exhibit Hall locations from the game. Then, continue creating the Exhibit Deck as normal._x000D_
For the duration of this scenario, the following additional rule applies:_x000D_
"While an investigator is resolving the text on agenda 1b and agenda 2b, the Forced ability on the next agenda in the agenda deck is considered to be active."_x000D_
Attach this card to the scenario reference card as a reminder.</t>
  </si>
  <si>
    <t>Forced - After you fail a skill test while investigating this location: Take 1 damage.</t>
  </si>
  <si>
    <t>η η: Gain 2 clues (from the token bank). Then, if Hunting Horror is in play, place 1 resource on Shadow-spawned. Otherwise, search the encounter deck, discard pile, and the void for Hunting Horror and spawn it in the Museum Halls. Shuffle the encounter deck.</t>
  </si>
  <si>
    <t>Revelation - Attach Dark Bidding to Hunting Horror, even if it is out of play. Dark Bidding remains attached to Hunting Horror if it enters the void._x000D_
Forced - When Hunting Horror attacks an investigator: That investigator must take 1 additional damage and 1 additional horror. Heal 2 damage from Hunting Horror. Discard Dark Bidding. (Max once per attack.)</t>
  </si>
  <si>
    <t>Revelation - Place 1 resource on Shadow-spawned, even if it is out of play.</t>
  </si>
  <si>
    <t>Perform the setup as indicated in The Dunwich Legacy Campaign Guide, with the following exceptions:_x000D_
- When gathering encounter sets, also gather the new encounter sets for Return to The Essex County Express shown here._x000D_
(Continued on reverse side.)</t>
  </si>
  <si>
    <t>Spawn - Leftmost location._x000D_
Hunter. Massive._x000D_
Forced - When The Conductor is defeated: Attach it to the current agenda. After you advance the attached agenda, draw The Conductor._x000D_
Forced - When The Conductor's location leaves play: Instead of discarding The Conductor, move it one location to the right.</t>
  </si>
  <si>
    <t>η If Engineer is ready: Parley. Test ά or έ (4). If you succeed, take control of Engineer. If you already control Engineer, discover 1 clue from your location instead. Any investigator at Engineer's location may trigger this action._x000D_
Forced - When Engineer would be discarded: Instead, heal all damage and horror from it, lose control of it, and exhaust it.</t>
  </si>
  <si>
    <t>Perform the setup as indicated in The Dunwich Legacy Campaign Guide, with the following exceptions:_x000D_
- When gathering encounter sets, also gather the new encounter sets for Return to Blood on the Altar shown here._x000D_
- Set each copy of Hired Gun aside, out of play._x000D_
- Remove the original Village Commons location from the game and replace it with the new Village Commons (Silent Decay)._x000D_
(Continued on reverse side.)</t>
  </si>
  <si>
    <t>- Add the new locations to the original locations from the Blood on the Altar encounter set. Remove 1 of the 3 copies of each of these locations from the game at random. Then, choose 1 of the 6 remaining locations at random and remove it from the game as well. Put the remaining locations into play._x000D_
- When placing encounter cards underneath locations, do not include the 6 cards from the Naomi's Crew encounter set._x000D_
- Check Campaign Log. If the O'Bannion gang has a bone to pick with the investigators: Spawn one set-aside Hired Gun at one of the locations not connected to Village Commons. Shuffle the other set-aside Hired Gun into the encounter deck.</t>
  </si>
  <si>
    <t>Each investigator at Village Commons cannot take draw or resource actions._x000D_
η: Resign. "This is suicide! We're better off hiding out the night."</t>
  </si>
  <si>
    <t>Forced - After you reveal Bishop's Brook: Test ί (4). If you fail, take 2 damage._x000D_
θ If there are no clues here: Draw the encounter card underneath Bishop's Brook. (Group limit once per game.)</t>
  </si>
  <si>
    <t>Forced - After you successfully investigate Burned Ruins: Take 1 damage._x000D_
θ If there are no clues here: Draw the encounter card underneath Burned Ruins. (Group limit once per game.)</t>
  </si>
  <si>
    <t>Forced - After you reveal Osborn's General Store: Gain 2 resources._x000D_
θ If there are no clues here: Draw the encounter card underneath Osborn's General Store. (Group limit once per game.)</t>
  </si>
  <si>
    <t>Forced - After you reveal Congregational Church: Search the encounter deck and discard pile for a copy of Kidnapped! and draw it. Shuffle the encounter deck._x000D_
θ If there are no clues here: Draw the encounter card underneath Congregational Church. (Group limit once per game.)</t>
  </si>
  <si>
    <t>While you are in the House in the Reeds, you cannot play assets._x000D_
θ If there are no clues here: Draw the encounter card underneath House in the Reeds. (Group limit once per game.)</t>
  </si>
  <si>
    <t>Forced - After you discover a clue from this location: Search the encounter deck and discard pile for a copy of Servant of Many Mouths and draw it. Shuffle the encounter deck._x000D_
θ If there are no clues here: Draw the encounter card underneath Schoolhouse. (Group limit once per game.)</t>
  </si>
  <si>
    <t>Each [[Criminal]] enemy (including Hired Gun) gains: "Hunter. Prey - Most resources."_x000D_
Each copy of Hunted Down gains peril and surge.</t>
  </si>
  <si>
    <t>Perform the setup as indicated in The Dunwich Legacy Campaign Guide, with the following exceptions:_x000D_
- When gathering encounter sets, also gather the new encounter sets for Return to Undimensioned and Unseen shown here._x000D_
(Continued on reverse side.)</t>
  </si>
  <si>
    <t>- Remove 4 copies of Brood of Yog-Sothoth from the original scenario and replace them with the 4 new versions of Brood of Yog-Sothoth from the Return to Undimensioned and Unseen encounter set._x000D_
For the duration of this scenario, the following additional rule applies:_x000D_
"If a Brood of Yog-Sothoth would be put into play, it is chosen at random from among the set-aside versions of Brood of Yog-Sothoth."_x000D_
Attach this card to the scenario reference card as a reminder.</t>
  </si>
  <si>
    <t>Massive._x000D_
Brood of Yog-Sothoth gets +1 π health and cannot be damaged or attacked except using the ability on Esoteric Formula._x000D_
Forced - After Brood of Yog-Sothoth moves for the first time each round, if it is unengaged: It immediately moves again toward a random location.</t>
  </si>
  <si>
    <t>Massive._x000D_
Brood of Yog-Sothoth gets +2 π health and cannot be damaged or attacked except using the ability on Esoteric Formula.</t>
  </si>
  <si>
    <t>Massive. Retaliate._x000D_
Brood of Yog-Sothoth gets +1 π health and cannot be damaged or attacked except using the ability on Esoteric Formula.</t>
  </si>
  <si>
    <t>Massive. Retaliate._x000D_
Brood of Yog-Sothoth gets +1 π health and cannot be damaged or attacked except using the ability on Esoteric Formula._x000D_
Forced - After Brood of Yog-Sothoth enters your location, or vice versa: Test ά (3). If you fail, take 1 horror.</t>
  </si>
  <si>
    <t>Surge._x000D_
Revelation - Attach to a Brood of Yog-Sothoth enemy in play without a copy of Imperceptible Creature attached. Remove 1 clue from that enemy._x000D_
Attached enemy gains [[Elite]].</t>
  </si>
  <si>
    <t>Perform the setup as indicated in The Dunwich Legacy Campaign Guide, with the following exceptions:_x000D_
- When gathering encounter sets, also gather the new encounter sets for Return to Where Doom Awaits shown here._x000D_
- Set Naomi O'Bannion aside, out of play._x000D_
(Continued on reverse side.)</t>
  </si>
  <si>
    <t>- Replace the original Base of the Hill and Ascending Path with the new Base of the Hill (Warped and Twisted) and Ascending Path (Warped and Twisted)._x000D_
- Add the new Diverging Path and Altered Path to the original Diverging Paths and Altered Paths. Then, randomly remove 1 of each from the game. (You will remove an additional copy of each during standard setup.)_x000D_
- Check Campaign Log. If Naomi has your back: Instead of gaining clues from the token bank via the effect from Part 1 in the Campaign Guide, the lead investigator may choose an investigator to add the set-aside Naomi O'Bannion to his or her deck. This card does not count toward that investigator's deck size.</t>
  </si>
  <si>
    <t>Base of the Hill is connected to each copy of Diverging Path._x000D_
Forced - After you discover 1 or more clues from Base of the Hill: Spend those clues and put that many random set-aside Diverging Path locations into play._x000D_
η: Resign. "This is more than I signed up for!"</t>
  </si>
  <si>
    <t>Forced - After you reveal Abandoned Camp: Lose 2 resources for each action you have performed this round (including this one, if applicable).</t>
  </si>
  <si>
    <t>Forced - After you reveal Fathomless Lake: If you have 2 or more actions remaining, place 1 doom on the current agenda.</t>
  </si>
  <si>
    <t>You get +1 έ and +1 ή._x000D_
ι When an investigator at your location reveals a non-ζ chaos token during an έ or ή test, exhaust Naomi O'Bannion: Cancel that chaos token and reveal a new chaos token. For the remainder of this test, if another copy of the canceled chaos token is revealed, cancel it and reveal a new chaos token.</t>
  </si>
  <si>
    <t>Perform the setup as indicated in The Dunwich Legacy Campaign Guide, with the following exceptions:_x000D_
- When gathering encounter sets, also gather the new encounter sets for Return to Lost in Time and Space shown here._x000D_
- Set Seth Bishop (Thrall of Yog-Sothoth) aside, out of play._x000D_
(Continued on reverse side.)</t>
  </si>
  <si>
    <t>- Check Campaign Log. If the Ritual was completed: Replace Act 2a - "Into the Beyond" with the new Act 2a - "Into the Beyond (v. II)" included in this encounter set._x000D_
- Replace Agenda 3a - "Breaking Through" with the new Agenda 3a - "Breaking Through (v. II)" included in this encounter set._x000D_
- Put the single-sided Realms Beyond location into play and spawn Yog-Sothoth there.</t>
  </si>
  <si>
    <t>Revelation - Move Yog-Sothoth to The Edge of the Universe (or Another Dimension if The Edge of the Universe is not in play). Remove Realms Beyond from the game and advance to agenda 4a. Ignore the text on Realms Beyond while resolving this ability.</t>
  </si>
  <si>
    <t>Spawn the set-aside Seth Bishop (Thrall of Yog-Sothoth) enemy at The Edge of the Universe.</t>
  </si>
  <si>
    <t>Retaliate._x000D_
Forced - When Seth Bishop attacks you during the enemy phase: Either move to Another Dimension after this attack, or Seth Bishop deals +2 damage for this attack._x000D_
Forced - After Yog-Sothoth enters Seth Bishop's location (or vice versa): Seth is devoured whole. Remove Seth Bishop from the game. Heal 6 damage from Yog-Sothoth.</t>
  </si>
  <si>
    <t>Yog-Sothoth is immune to player card effects, cannot take damage, and cannot leave Realms Beyond._x000D_
As an additional cost for you to leave Realms Beyond, test ά or ί (3). If you fail, cancel the effects of the move._x000D_
Forced - When a forced effect would move an investigator or enemy to Another Dimension: Move them here instead. Cannot be canceled.</t>
  </si>
  <si>
    <t>Revelation - Put Indecipherable Stairs into play and discard the top 3 cards of your deck._x000D_
Forced - After you leave Indecipherable Stairs: You must either take 2 horror, or discard Indecipherable Stairs.</t>
  </si>
  <si>
    <t>Revelation - Put Towering Luminosity into play and either place 1 doom on it or take 2 damage._x000D_
Forced - After you fail a test while at this location: You  must either flip 1 clue on Towering Luminosity to its doom side, or discard Towering Luminosity.</t>
  </si>
  <si>
    <t>Revelation - Put Unstable Vortex into play and discard 1 copy of Tear Through Space, if able._x000D_
Forced - At the end of your turn, if you are at Unstable Vortex: You must either draw the top card of the encounter deck, or shuffle Unstable Vortex into the encounter deck.</t>
  </si>
  <si>
    <t>Revelation - For each card in your hand, if there is a copy of that card in your discard pile, take 1 horror (to a maximum of 3 horror). If you take no horror from this effect, discard the top 3 cards of your deck.</t>
  </si>
  <si>
    <t>Peril._x000D_
Revelation - Choose two of the following actions (investigate, fight, evade, move, or play). For the remainder of the round, each investigator cannot perform each chosen action. If this is not the first copy of A Baleful Welcome drawn this phase, choose three of those actions instead.</t>
  </si>
  <si>
    <t>Revelation - Attach to your location._x000D_
As an additional cost to move into or out of attached location, discard the top card of your deck. If the discarded card is a weakness, draw it. Otherwise, for each copy of the discarded card in your hand or play area, you must either take 1 horror or discard that card.</t>
  </si>
  <si>
    <t>Peril._x000D_
Revelation - You must either (choose one):_x000D_
- Draw the top 2 cards of the encounter deck._x000D_
- Place 1 doom on the current agenda. This effect can cause the current agenda to advance.</t>
  </si>
  <si>
    <t>Revelation - Attach to the location with the most investigators, and without a Secret Door attached._x000D_
Investigators cannot leave this location._x000D_
η: Test ά (3) to search for the passage or έ (3) to discern the way out. If you succeed, discard Secret Door.</t>
  </si>
  <si>
    <t>Revelation - Test ί (4). For each point you fail by, you must either choose and discard 1 card from your play area or from your hand, or take 1 damage.</t>
  </si>
  <si>
    <t>Revelation - Attach to your location. Limit 1 per location._x000D_
Forced - After an investigator at this location draws 1 or more cards, that investigator must test ά (3). If that investigator fails, he or she chooses and discards an equal number of cards._x000D_
η η: Discard Oppressive Mists.</t>
  </si>
  <si>
    <t>Revelation - Put Violent Commands into play in your threat area._x000D_
η: Deal 2 damage to an investigator at your location and discard Violent Commands._x000D_
Forced - At the end of your turn: Test ά (3). If you fail, take 1 horror.</t>
  </si>
  <si>
    <t>Revelation - Put Idle Hands into play in your threat area._x000D_
θ If Idle Hands is in your threat area, during your turn, take 2 damage and discard Idle Hands: You may take an additional action this turn._x000D_
Forced - At the end of your turn: Take 1 horror.</t>
  </si>
  <si>
    <t>Revelation - If you have no clues, Need for Knowledge gains surge. Otherwise, test έ (X), where X equals the number of clues you have (to a maximum of 5). For each point you fail by, you must either take 1 horror or place 1 of your clues on your location.</t>
  </si>
  <si>
    <t>Hunter._x000D_
Forced - At the end of the enemy phase: Each investigator at Vassal of the Lurker's location discards 1 card from the top of his or her deck.</t>
  </si>
  <si>
    <t>Peril._x000D_
Revelation - You may draw 1 card. You may choose and discard up to 2 cards from your hand. Test ά (X). If you fail, take 2 horror. X equals the number of cards in your hand when this test begins.</t>
  </si>
  <si>
    <t>c3e9e9fd-8230-4702-9fc9-9cabba506e34</t>
  </si>
  <si>
    <t>1d67372b-eadc-4b3c-b0f8-67fa6dbb3634</t>
  </si>
  <si>
    <t>AZ</t>
  </si>
  <si>
    <t>Carolyn Fern</t>
  </si>
  <si>
    <t>The Psychologist</t>
  </si>
  <si>
    <t>Medic.</t>
  </si>
  <si>
    <t>ι After one of your card effects heals horror from an investigator or [[Ally]] asset: The healed card's controller gains 1 resource._x000D_
ε effect: +1. You may heal 1 horror from an investigator or [[Ally]] asset at your location.</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</si>
  <si>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</si>
  <si>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b394f2bb-1494-4c61-866b-6f508dff1089</t>
  </si>
  <si>
    <t>Joe Diamond</t>
  </si>
  <si>
    <t>The Private Investigator</t>
  </si>
  <si>
    <t>Detective.</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</si>
  <si>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</si>
  <si>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</si>
  <si>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dda3a082-6554-4a1c-99e3-3e268f80c6e7</t>
  </si>
  <si>
    <t>Preston Fairmont</t>
  </si>
  <si>
    <t>The Millionaire</t>
  </si>
  <si>
    <t>Silver Twilight. Socialite.</t>
  </si>
  <si>
    <t>Anytime you gain 1 or more resources from a card effect, place them on Family Inheritance instead of in your resource pool._x000D_
ε effect: +0. You may spend 2 resources to automatically succeed, instead.</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</si>
  <si>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</si>
  <si>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f64d745e-76e8-4b17-81a5-9d0db3ef956b</t>
  </si>
  <si>
    <t>Diana Stanley</t>
  </si>
  <si>
    <t>The Redeemed Cultist</t>
  </si>
  <si>
    <t>Cultist. Silver Twilight.</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</si>
  <si>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</si>
  <si>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</si>
  <si>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4cafe3c1-087e-4e0e-bcc3-ada58d5e1dbb</t>
  </si>
  <si>
    <t>Rita Young</t>
  </si>
  <si>
    <t>The Athlete</t>
  </si>
  <si>
    <t>ι After you evade an enemy: Either deal 1 damage to that enemy, or move to a connecting location. (Limit once per round.)_x000D_
ε effect: +2. Until the end of the round, ignore the limit on the above ι ability.</t>
  </si>
  <si>
    <t>Deck size: 30._x000D_
Deckbuilding Options: Survivor cards (ξ) level 0-5, Neutral cards level 0-5, [[Trick]] cards level 0-3._x000D_
Deckbuilding Requirements (do not count toward deck size): "I'm done runnin'!," Hoods, 1 random basic weakness.</t>
  </si>
  <si>
    <t>bfb911bc-2214-4eff-95f5-b5b42a3d3431</t>
  </si>
  <si>
    <t>While you have 1 or more doom among cards you control, you may take an additional action during your turn, which can only be used to play [[Spell]] cards or activate [[Spell]] η abilities._x000D_
ε effect: +1. You may add 1 doom to or remove 1 doom from a card you control.</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</si>
  <si>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</si>
  <si>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cf04f2cd-fe08-477d-9c91-2c166f42673d</t>
  </si>
  <si>
    <t>Hypnotic Therapy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</si>
  <si>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</si>
  <si>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3825c109-0aa5-49d9-b49c-b25c33788242</t>
  </si>
  <si>
    <t>Rational Thought</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</si>
  <si>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</si>
  <si>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19e8a7f7-881b-45fe-9af1-14b1e5978a92</t>
  </si>
  <si>
    <t>Detective's Colt 1911s</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</si>
  <si>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</si>
  <si>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6b9f7126-ea28-4dbe-b2ee-53cca4f43487</t>
  </si>
  <si>
    <t>Unsolved Case</t>
  </si>
  <si>
    <t>Insight. Mystery.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</si>
  <si>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</si>
  <si>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ffd72944-9abf-4323-b32c-76877aa31684</t>
  </si>
  <si>
    <t>Family Inheritance</t>
  </si>
  <si>
    <t>A Windfall? Or a Burden?</t>
  </si>
  <si>
    <t>Boon.</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</si>
  <si>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</si>
  <si>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281c7fec-343f-43cf-8abe-5eb648691bfa</t>
  </si>
  <si>
    <t>Lodge "Debts"</t>
  </si>
  <si>
    <t>Remove Lodge "Debts" from the game._x000D_
Forced - When the game ends or you are eliminated, if Lodge "Debts" is still in your hand: You suffer 1 mental trauma.</t>
  </si>
  <si>
    <t>d4b63a20-a3af-45ba-b33d-31654dd194d2</t>
  </si>
  <si>
    <t>Twilight Blade</t>
  </si>
  <si>
    <t>Sanctum's Reward</t>
  </si>
  <si>
    <t>Item. Relic. Weapon.</t>
  </si>
  <si>
    <t>cb173026-e2ea-4e55-b3aa-cb386e988658</t>
  </si>
  <si>
    <t>Dark Insight</t>
  </si>
  <si>
    <t>Diana Stanley deck only._x000D_
Fast. Play when an investigator at your location draws an encounter card or a weakness._x000D_
Cancel all of that card's effects and shuffle it back into its deck. (Do not draw a new card to replace it.)</t>
  </si>
  <si>
    <t>d8ce9a2c-1943-452f-a2c9-2b0fc7e80126</t>
  </si>
  <si>
    <t>Terrible Secret</t>
  </si>
  <si>
    <t>Revelation - If there are no card beneath Diana Stanley, shuffle Terrible Secret back into your deck. Otherwise, for each card beneath Diana Stanley, you must either discard that card or take 1 horror. Cannot be canceled.</t>
  </si>
  <si>
    <t>f93044c1-8f80-4aba-97c6-f21288ee6a8c</t>
  </si>
  <si>
    <t>"I'm done runnin'!"</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</si>
  <si>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</si>
  <si>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8d7c69e4-9ff4-4658-903d-eaabd6411a5c</t>
  </si>
  <si>
    <t>Hoods</t>
  </si>
  <si>
    <t>Prey - Rita Young only._x000D_
Alert. Hunter._x000D_
Forced - After you evade Hoods: It attacks you.</t>
  </si>
  <si>
    <t>408e4162-24b4-4e93-a0f7-e8af22ca672e</t>
  </si>
  <si>
    <t>99963b23-0d40-4758-8366-06bbd43c2c5b</t>
  </si>
  <si>
    <t>43caf116-2a77-4168-a3cb-13885b676b25</t>
  </si>
  <si>
    <t>Interrogate</t>
  </si>
  <si>
    <t>Tactic. Insight.</t>
  </si>
  <si>
    <t>Parley. Choose a [[Humanoid]] enemy at your location and test ή (3). This test gets +X difficulty, where X is the chosen enemy's damage value. If you succeed, discover 1 clue at your location and 1 clue at any other location.</t>
  </si>
  <si>
    <t>e6c87818-e603-49c0-8f09-0c7506745501</t>
  </si>
  <si>
    <t>Delay the Inevitable</t>
  </si>
  <si>
    <t>Insight. Spirit. Tactic.</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</si>
  <si>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</si>
  <si>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cdb3dc5a-bf08-4d23-842c-a4b50168df70</t>
  </si>
  <si>
    <t>Steadfast</t>
  </si>
  <si>
    <t>While you have 5 or more total remaining health and sanity, Steadfast gains ά ή (while you have 10 or more total remaining health and sanity, Steadfast gains ά ά ή ή, instead).</t>
  </si>
  <si>
    <t>d3dbcdb1-4657-4ab8-b6cf-bf74def65486</t>
  </si>
  <si>
    <t>Ace of Swords</t>
  </si>
  <si>
    <t>Let Your Arrow Fly True</t>
  </si>
  <si>
    <t>Tarot</t>
  </si>
  <si>
    <t>Tarot.</t>
  </si>
  <si>
    <t>You get +1 ή._x000D_
ι When the game begins, if Ace of Swords is in your opening hand: Put it into play.</t>
  </si>
  <si>
    <t>400e76f9-d8bf-4964-b9b6-516fe76a98fd</t>
  </si>
  <si>
    <t>Fingerprint Kit</t>
  </si>
  <si>
    <t>Item. Tool</t>
  </si>
  <si>
    <t>Uses (3 supplies)._x000D_
η Exhaust Fingerprint Kit and spend 1 supply: Investigate. You get +1 έ for this investigation. If you succeed, you discover 1 additional clue at your location.</t>
  </si>
  <si>
    <t>b9ae78d7-eb00-4df5-a22f-df7badbf3922</t>
  </si>
  <si>
    <t>Connect the Dots</t>
  </si>
  <si>
    <t>Fast. Play after you discover the last clue at your location._x000D_
Discover 2 clues at a location with a lower printed shroud value than your location.</t>
  </si>
  <si>
    <t>4a7794f9-c8be-4c42-b1ef-46d7dfdd4a0a</t>
  </si>
  <si>
    <t>Curiosity</t>
  </si>
  <si>
    <t>While you have 4 or more cards in hand, Curiosity gains ά έ (while you have 7 or more cards in hand, Curiosity gains ά ά έ έ, instead).</t>
  </si>
  <si>
    <t>cb477972-7436-4bcc-81a9-1f3829ff1afb</t>
  </si>
  <si>
    <t>Death XIII</t>
  </si>
  <si>
    <t>Free from the Past</t>
  </si>
  <si>
    <t>8ed7541a-893c-47db-96df-152e8950abc5</t>
  </si>
  <si>
    <t>Well Connected</t>
  </si>
  <si>
    <t>Limit 1 per investigator._x000D_
[fast] Exhaust Well Connected: You get +1 skill value for this skill test for every 5 resources you have.</t>
  </si>
  <si>
    <t>6a2d7bfa-30e9-4cb0-ac13-60f103eca5c7</t>
  </si>
  <si>
    <t>Money Talks</t>
  </si>
  <si>
    <t>Favor. Gambit.</t>
  </si>
  <si>
    <t>Fast. Play when you initiate a skill test._x000D_
Instead of the skill type indicated for this test (ά, έ, ή, or ί), this is a resource skill test. Your base skill value for this test is equal to half the number of resources in your resource pool (rounded down).</t>
  </si>
  <si>
    <t>562dea47-be08-4c89-b1fc-2f03d3b7cf9f</t>
  </si>
  <si>
    <t>Cunning</t>
  </si>
  <si>
    <t>While you have 5 or more resources, Cunning gains έ ί (while you have 10 or more resources, Cunning gains έ έ ί ί, instead).</t>
  </si>
  <si>
    <t>5979ffd1-1971-4802-abdd-c345fc60cb9c</t>
  </si>
  <si>
    <t>The Moon XVIII</t>
  </si>
  <si>
    <t>Message from Your Inner Self</t>
  </si>
  <si>
    <t>fa4ac919-ac11-4699-91c6-ccb37d0900f4</t>
  </si>
  <si>
    <t>Deny Existence</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</si>
  <si>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</si>
  <si>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c39b5679-d3a1-467d-8051-50047cc34281</t>
  </si>
  <si>
    <t>Eldritch Inspiration</t>
  </si>
  <si>
    <t>Fast. Play when you would resolve an effect on a μ card that triggers when a α, β, γ, δ, or ζ symbol is revealed._x000D_
Either cancel that effect, or resolve it an additional time.</t>
  </si>
  <si>
    <t>7be54dfa-9595-4c17-bc29-d678e593e8c4</t>
  </si>
  <si>
    <t>Prophesy</t>
  </si>
  <si>
    <t>While there are 3 or more doom in play, Prophesy gains ΰ (while there are 6 or more doom in play, Prophesy gains ΰ ΰ, instead).</t>
  </si>
  <si>
    <t>d58e1b85-2760-4019-9951-5a43c74c7227</t>
  </si>
  <si>
    <t>Four of Cups</t>
  </si>
  <si>
    <t>Chalice of the Heart</t>
  </si>
  <si>
    <t>You get +1 ά._x000D_
ι When the game begins, if Four of Cups is in your opening hand: Put it into play.</t>
  </si>
  <si>
    <t>0046b1cf-c6d2-425d-bd02-d49686e400fa</t>
  </si>
  <si>
    <t>Track Shoes</t>
  </si>
  <si>
    <t>Item. Clothing. Footwear.</t>
  </si>
  <si>
    <t>Limit 1 [[Footwear]] per investigator._x000D_
You get +1 ί._x000D_
ι After you move, but before enemies at your new location engage you, exhaust Track Shoes: Test ί (3). If you succeed, move to a connecting location.</t>
  </si>
  <si>
    <t>4f8887d7-511b-4094-bb50-c873e4d778dc</t>
  </si>
  <si>
    <t>Act of Desperation</t>
  </si>
  <si>
    <t>Tactic. Gambit.</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</si>
  <si>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</si>
  <si>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d5b60e5a-cb31-4b98-9c40-aed4322a2347</t>
  </si>
  <si>
    <t>Able Bodied</t>
  </si>
  <si>
    <t>While you control 2 or fewer [[Item]] assets, Able Bodied gains ή ί (while you control 1 or fewer [[Item]] assets, Able Bodied gains ή ή ί ί, instead).</t>
  </si>
  <si>
    <t>f9ad6423-0640-4045-ac80-55dd103d113a</t>
  </si>
  <si>
    <t>Five of Pentacles</t>
  </si>
  <si>
    <t>From the Brink</t>
  </si>
  <si>
    <t>You get +1 health and +1 sanity._x000D_
ι When the game begins, if Five of Pentacles is in your opening hand: Put it into play.</t>
  </si>
  <si>
    <t>78c05ca7-c225-40b4-9a58-5ec8d45f8e31</t>
  </si>
  <si>
    <t>Ace of Rods</t>
  </si>
  <si>
    <t>The Fateful Step</t>
  </si>
  <si>
    <t>479a3456-8e6c-4df7-a778-dad99d0a0f9d</t>
  </si>
  <si>
    <t>The Thirteenth Vision</t>
  </si>
  <si>
    <t>Revelation - Put The 13th Vision into play in your threat area._x000D_
Investigators at your location fail ties during skill tests._x000D_
η η: Discard The 13th Vision.</t>
  </si>
  <si>
    <t>46163897-b6a8-4c6e-86ef-27c5eeb7f443</t>
  </si>
  <si>
    <t>The Tower XVI</t>
  </si>
  <si>
    <t>Circumstances Beyond Your Control</t>
  </si>
  <si>
    <t>Omen. Tarot.</t>
  </si>
  <si>
    <t>The Circle Undone</t>
  </si>
  <si>
    <t>TCU</t>
  </si>
  <si>
    <t>57e4c960-af10-44cc-9af3-e1f4db571445</t>
  </si>
  <si>
    <t>009a9055-355a-4d33-80d1-6877af906369</t>
  </si>
  <si>
    <t>bf62dc7a-2d9f-4a41-8d90-3852188df560</t>
  </si>
  <si>
    <t>295aec50-d0a1-4934-b97d-d880573323d8</t>
  </si>
  <si>
    <t>84d907e0-b23c-43e5-9c3e-d27436076a73</t>
  </si>
  <si>
    <t>8f9953c8-71d5-4e2d-96d2-4d0b2f5c9937</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</si>
  <si>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</si>
  <si>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</si>
  <si>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</si>
  <si>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</si>
  <si>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θ During your turn, remove Ace of Rods from the game: You may take an additional action this turn, during which you get +2 to each of your skills._x000D_
ι When the game begins, if Ace of Rods is in your opening hand: Put it into play.</t>
  </si>
  <si>
    <t>You cannot commit cards to skill tests while The Tower XVI is in your hand._x000D_
If The Tower XVI is drawn in your opening hand during setup (before or after taking a mulligan), you cannot replace it. It must stay in your opening hand.</t>
  </si>
  <si>
    <t>2b4c8a33-a070-4ffc-9763-9bf014ab2ea0</t>
  </si>
  <si>
    <t>Disappearance at the Twilight Estate</t>
  </si>
  <si>
    <t>Easy / Standard_x000D_
α: -3. If you fail and this is an attack or evasion attempt, resolve each haunted ability on your location.</t>
  </si>
  <si>
    <t>Hard / Expert_x000D_
α: -5. If you fail and this is an attack or evasion attempt, resolve each haunted ability on your location.</t>
  </si>
  <si>
    <t>9b434397-cb1c-4534-affb-efb27e8dbd66</t>
  </si>
  <si>
    <t>JUDGEMENT XX</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</si>
  <si>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</si>
  <si>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Your Demise</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</si>
  <si>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</si>
  <si>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baea82d4-258f-47e7-b09b-b6b041641abb</t>
  </si>
  <si>
    <t>The Disappearance</t>
  </si>
  <si>
    <t>Forced - When an investigator is eliminated: Place each of that investigator's clues on this act instead of his or her location._x000D_
Objective - Discover as many clues as you can before your inevitable demise.</t>
  </si>
  <si>
    <t>Record in your Campaign Log you are being hunted._x000D_
Flip back to Act 1a.</t>
  </si>
  <si>
    <t>ba64216c-8dfa-4aec-97d3-6b1e4720331e</t>
  </si>
  <si>
    <t>Gavriella Mizrah</t>
  </si>
  <si>
    <t>Private Security</t>
  </si>
  <si>
    <t>Veteran.</t>
  </si>
  <si>
    <t>ι After an enemy attacks you, even if that attack was canceled: Discover 1 clue at your location. (Limit once per round.)_x000D_
ε effect: +1. Heal 1 damage and 1 horror.</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</si>
  <si>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</si>
  <si>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a43df446-cc04-457f-b402-6c80e9a41f70</t>
  </si>
  <si>
    <t>Jerome Davids</t>
  </si>
  <si>
    <t>Josef's Secretary</t>
  </si>
  <si>
    <t>Assistant. Silver Twilight.</t>
  </si>
  <si>
    <t>ι When an investigator at your location draws a treachery from the encounter deck, discard cards from your hand with a total of at least 2 έ icons: Cancel that card's revelation effect. (Limit once per round.)_x000D_
ε effect: +1. Discover 1 clue at your location.</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</si>
  <si>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</si>
  <si>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6e9e0773-f7e4-43ae-8ffa-620920faf22d</t>
  </si>
  <si>
    <t>Valentino Rivas</t>
  </si>
  <si>
    <t>Wealthy Philanthropist</t>
  </si>
  <si>
    <t>θ During a skill test you are performing, spend 2 resources: Reduce the difficulty of this test by 1. (Limit once per round.)_x000D_
ε effect: +1. Gain 2 resources.</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</si>
  <si>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</si>
  <si>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dfcb02c6-c641-4983-990a-61c07ebb6d4c</t>
  </si>
  <si>
    <t>Penny White</t>
  </si>
  <si>
    <t>Josef's Housekeeper</t>
  </si>
  <si>
    <t>ι After you succeed at a skill test during a revelation effect: Discover 1 clue at your location. (Limit once per round.)_x000D_
ε effect: +1. If this is a skill test during a revelation effect, you may take an additional action during your next turn.</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</si>
  <si>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</si>
  <si>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ea36d8dc-fefc-43d2-93e5-6fe903c7ee4a</t>
  </si>
  <si>
    <t>The Witching Hour</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</si>
  <si>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</si>
  <si>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</si>
  <si>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8b6df157-2727-43c9-840f-d5db8b69f723</t>
  </si>
  <si>
    <t>TEMPERANCE XIV</t>
  </si>
  <si>
    <t>The Rite Commences</t>
  </si>
  <si>
    <t>Discard all but the last 5 cards from the encounter deck. The investigator with the most cards in his or her play area must draw the topmost [[Witch]] enemy in the encounter discard pile.</t>
  </si>
  <si>
    <t>85432ea3-4681-4263-90e4-11ece040a439</t>
  </si>
  <si>
    <t>The Night Howls</t>
  </si>
  <si>
    <t>Forced - At the end of the round: Place 1 doom on this agenda for each [[Witch]] enemy at the Witches' Circle.</t>
  </si>
  <si>
    <t>Reincarnation</t>
  </si>
  <si>
    <t>Each surviving investigator is defeated and must search the collection for a random basic [[Omen]] or [[Curse]] weakness and add it to his or her deck. Each investigator who cannot suffers 1 mental trauma instead.</t>
  </si>
  <si>
    <t>06e80e7e-f563-4923-a35c-c5b56a8dee2f</t>
  </si>
  <si>
    <t>Lost in the Woods</t>
  </si>
  <si>
    <t>Locations in front of you are connected to one another. You cannot enter locations in front of other investigators._x000D_
Objective - At the end of the round, investigators may spend the requisite number of clues, as a group, to advance.</t>
  </si>
  <si>
    <t>Deeper into the Woods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</si>
  <si>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</si>
  <si>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7eb0b4b6-4951-47f0-9a15-39b69d3df4df</t>
  </si>
  <si>
    <t>Witch Hauntings</t>
  </si>
  <si>
    <t>Locations in front of you are connected to one another. You cannot enter locations in front of other investigators._x000D_
Objective - If a single investigator spends the requisite number of clues, advance.</t>
  </si>
  <si>
    <t>Strange Melodies</t>
  </si>
  <si>
    <t>For the remainder of the scenario, investigators may now enter locations in front of other investigators.</t>
  </si>
  <si>
    <t>37ae251b-0dad-4b44-a467-5d64c1c8a78c</t>
  </si>
  <si>
    <t>Paths into Twilight</t>
  </si>
  <si>
    <t>Locations in front of you are connected to one another.</t>
  </si>
  <si>
    <t>b68b2e09-a232-4578-9826-26ee1d12b424</t>
  </si>
  <si>
    <t>Witches' Circle</t>
  </si>
  <si>
    <t>Woods. Circle.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</si>
  <si>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</si>
  <si>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93afdc93-d1d6-49be-bf47-792f4c3071f6</t>
  </si>
  <si>
    <t>A Circle Unbroken</t>
  </si>
  <si>
    <t>Locations in front of you are connected to one another._x000D_
Objective - If Anette Mason is defeated, advance._x000D_
Objective - If there are no clues on the Witches' Circle, advance.</t>
  </si>
  <si>
    <t>A Circle Undone</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</si>
  <si>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</si>
  <si>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f3071036-a8cf-4cae-b4d2-435dd7d125b8</t>
  </si>
  <si>
    <t>Anette Mason</t>
  </si>
  <si>
    <t>The High Priestess</t>
  </si>
  <si>
    <t>Humanoid. Witch. Elite.</t>
  </si>
  <si>
    <t>Retaliate._x000D_
Forced - After the enemy phase begins: Discard the top 3 cards of the encounter deck. Spawn each [[Witch]] enemy discarded by this effect at Anette Mason's location. If no [[Witch]] enemies are discarded by this effect, ready her.</t>
  </si>
  <si>
    <t>b38cbfe7-33ce-4da0-805e-ee768d55695f</t>
  </si>
  <si>
    <t>Witch-Haunted Woods</t>
  </si>
  <si>
    <t>Abandoned Mine</t>
  </si>
  <si>
    <t>You cannot investigate this location while you have between 3 and 10 resources._x000D_
θ: Choose an investigator at a different Witch-Haunted Woods. Move up to 3 of your resources to that investigator's resource pool, or vice versa. (Group limit once per round.)</t>
  </si>
  <si>
    <t>b18d6c04-3078-4f66-8d5c-b86828bfc74f</t>
  </si>
  <si>
    <t>Cairn Stones</t>
  </si>
  <si>
    <t>Forced - After any number of clues are discovered from this location: Each investigator at this location loses an equal number of resources.</t>
  </si>
  <si>
    <t>6c324a96-fa29-4be4-917f-3ada08da3c98</t>
  </si>
  <si>
    <t>The Lonely Tree</t>
  </si>
  <si>
    <t>You cannot investigate this location while you have between 3 and 5 cards in hand._x000D_
θ: You choose and discard 1 card from your hand, then an investigator at a different Witch-Haunted Woods draws 1 card, or vice versa. (Limit once per round.)</t>
  </si>
  <si>
    <t>725469f2-857d-4493-bc34-69246ac41e40</t>
  </si>
  <si>
    <t>Child's Tree House</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</si>
  <si>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</si>
  <si>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bec9dfae-3210-4788-9bb6-18ee2f9d493d</t>
  </si>
  <si>
    <t>Tainted Well</t>
  </si>
  <si>
    <t>Investigators at other Witch-Haunted Woods locations can commit 1 card to each skill test performed at this location, and vice versa.</t>
  </si>
  <si>
    <t>12db67ae-bcfb-430a-a327-fd6c187f6ea2</t>
  </si>
  <si>
    <t>Hermit's House</t>
  </si>
  <si>
    <t>Forced - After any number of clues are discovered from this location: Each investigator at this location must discard an equal number of cards at random from his or her hand.</t>
  </si>
  <si>
    <t>35362464-8cb8-4431-90df-8002f357cb7b</t>
  </si>
  <si>
    <t>Overgrown Barn</t>
  </si>
  <si>
    <t>ι When an enemy would spawn at a different Witch-Haunted Woods: Spawn it at this location instead. Then, it makes an immediate attack against each investigator at this location.</t>
  </si>
  <si>
    <t>da131e3a-b1fe-42e3-b6fd-b413266a7809</t>
  </si>
  <si>
    <t>At Death's Doorstep</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</si>
  <si>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</si>
  <si>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</si>
  <si>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f69b2d45-3917-4679-a48a-b6c32d47e874</t>
  </si>
  <si>
    <t>JUSTICE XI</t>
  </si>
  <si>
    <t>[[Silver Twilight]] enemies cannot be damaged or defeated._x000D_
Forced - When you draw a [[Monster]] enemy: Instead of spawning it, set it aside, out of play, and place 1 doom on this agenda. This effect can cause this agenda to advance.</t>
  </si>
  <si>
    <t>Pulled into the Shadows</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</si>
  <si>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</si>
  <si>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77bb8257-87a1-4d81-a4c1-4240b9fa338c</t>
  </si>
  <si>
    <t>Over the Threshold</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</si>
  <si>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</si>
  <si>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Escape, if You Can</t>
  </si>
  <si>
    <t>- If the investigators are at act 2, they are trapped inside the spectral realm. (-&gt;R3)_x000D_
- If the investigators are at act 3, they barely escape with their lives. Each investigator who has not resigned is defeated and suffers 1 physical trauma.</t>
  </si>
  <si>
    <t>bc27e822-45d7-4f1b-9e77-60cdc6dc0b1a</t>
  </si>
  <si>
    <t>Hidden Agendas</t>
  </si>
  <si>
    <t>Objective - Find information about the disappearances by discovering as many clues as you can. (Do not advance until you are instructed.) (Hint: it may be worthwhile to investigate the last known locations of the missing persons.)</t>
  </si>
  <si>
    <t>Death Approaches</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</si>
  <si>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</si>
  <si>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3828c13a-18ab-4dd5-9b3b-7347298e0c30</t>
  </si>
  <si>
    <t>The Spectral Realm</t>
  </si>
  <si>
    <t>The mist blocking your escape recedes. Reveal the Entry Hall._x000D_
Shuffle the encounter discard pile into the encounter deck.</t>
  </si>
  <si>
    <t>53513f10-8c8c-4de7-9588-854743c9ba00</t>
  </si>
  <si>
    <t>Escape the Cage</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</si>
  <si>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</si>
  <si>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Alive… for Now</t>
  </si>
  <si>
    <t>129ca894-e429-4581-8cbb-bd572ba9ad1d</t>
  </si>
  <si>
    <t>η: Resign. "I guess there is nothing to those disappearances after all."</t>
  </si>
  <si>
    <t>1ff7ca25-79c0-4c87-8493-101d6205162f</t>
  </si>
  <si>
    <t>Victorian Halls</t>
  </si>
  <si>
    <t>η: You go looking for trouble. Discard cards from the top of the encounter deck until a [[Silver Twilight]] enemy is discarded. Spawn that enemy in the Victorian Halls. Then, gain 2 clues (from the token pool). (Group limit once per game.)</t>
  </si>
  <si>
    <t>259a5244-c7c9-43d8-9c77-4676a85d28c7</t>
  </si>
  <si>
    <t>Trophy Room</t>
  </si>
  <si>
    <t>η: You spend some time schmoozing with the other guests. Either gain 2 resources, or spend 2 resources to gain 1 clue (from the token pool). (Limit once per round.)</t>
  </si>
  <si>
    <t>be515ada-a78c-4891-81fa-cf74d6ee004a</t>
  </si>
  <si>
    <t>Billiards Room</t>
  </si>
  <si>
    <t>η: Test ί (3) to compete with the other guests. If you succeed, gain 1 clue (from the token pool). (Limit once per round.)</t>
  </si>
  <si>
    <t>4074832b-b055-4b2a-9dca-c9a2e52d2bae</t>
  </si>
  <si>
    <t>Master Bedroom</t>
  </si>
  <si>
    <t>Forced - When the round ends, if there is at least 1 investigator in the Master Bedroom: Place 1 doom on the nearest [[Silver Twilight]] enemy.</t>
  </si>
  <si>
    <t>de0039c5-cce6-4f05-9c59-fc8189737913</t>
  </si>
  <si>
    <t>η Discard cards from your hand with a total of at least 3 έ icons: Parley. The guest here knows more about the Lodge than they let on. Gain 2 clues (from the token pool). (Group limit once per game.)</t>
  </si>
  <si>
    <t>aa2c8718-f180-48db-9f85-cd9a3c6bf193</t>
  </si>
  <si>
    <t>Office</t>
  </si>
  <si>
    <t>Each [[Silver Twilight]] enemy in the Office loses aloof.</t>
  </si>
  <si>
    <t>60bd4780-50d7-4c4a-b6db-2d5fa91e8916</t>
  </si>
  <si>
    <t>Spectral.</t>
  </si>
  <si>
    <t>The Entry Hall is blocked by a wall of spectral mist. You cannot enter the Entry Hall. [[Silver Twilight]] enemies cannot spawn in the Entry Hall.</t>
  </si>
  <si>
    <t>53df67ca-a8ed-48d7-9c25-b22bc945a0ef</t>
  </si>
  <si>
    <t>Haunted - Lose 1 action.</t>
  </si>
  <si>
    <t>7ccc7735-ee59-405b-a10e-720c63a2a2b2</t>
  </si>
  <si>
    <t>Haunted - Lose 2 resources. For each resource you cannot lose from this effect, take 1 horror.</t>
  </si>
  <si>
    <t>3b155317-1d7b-45f3-b8bf-ca5d8ed9aa76</t>
  </si>
  <si>
    <t>Haunted - You must either discard an asset you control or take 1 damage.</t>
  </si>
  <si>
    <t>d8e506b6-e683-4ec0-8b0c-d029324ae8dc</t>
  </si>
  <si>
    <t>Haunted - Place 1 of your clues on Master Bedroom.</t>
  </si>
  <si>
    <t>a62b0420-de03-40a9-ac89-a24fa5603823</t>
  </si>
  <si>
    <t>Haunted - Each of your cards with health takes 1 direct damage.</t>
  </si>
  <si>
    <t>a4a8c1ce-acbf-402a-a165-e6e56c176c03</t>
  </si>
  <si>
    <t>Haunted - Choose and discard a card from your hand.</t>
  </si>
  <si>
    <t>da12b973-ace4-4dbc-ae3d-4bb3b3e0cf1c</t>
  </si>
  <si>
    <t>Josef Meiger</t>
  </si>
  <si>
    <t>Lodge Host</t>
  </si>
  <si>
    <t>Humanoid. Cultist. Silver Twilight. Elite.</t>
  </si>
  <si>
    <t>Retaliate._x000D_
η If no other [[Silver Twilight]] enemy has doom on it: Parley. Test έ (4) to convince Josef that this is not your doing. If you fail, Josef Meiger attacks you. If you succeed, flip this card over and resolve its text.</t>
  </si>
  <si>
    <t>8e1aa5ad-75a5-4740-bce4-e85fccbb4292</t>
  </si>
  <si>
    <t>Josef's Plan</t>
  </si>
  <si>
    <t>Remove all doom from this card._x000D_
For the remainder of the game, doom cannot be placed on [[Silver Twilight]] enemies, and Josef Meiger gains aloof._x000D_
Flip this card back to its enemy side and disengage it from all investigators.</t>
  </si>
  <si>
    <t>f22407c7-4f91-44b6-9382-e889c4741131</t>
  </si>
  <si>
    <t>The Spectral Watcher</t>
  </si>
  <si>
    <t>You Are Its Prey</t>
  </si>
  <si>
    <t>Ancient One. Spectral. Elite.</t>
  </si>
  <si>
    <t>Alert. Hunter._x000D_
Forced - When The Spectral Watcher is defeated: Instead of discarding it, heal all damage from it, disengage it from all investigators, and exhaust it. It does not ready during the upkeep phase this round.</t>
  </si>
  <si>
    <t>3b041a9e-6978-46a6-bcef-a35f30ef7b7b</t>
  </si>
  <si>
    <t>Watcher's Grasp</t>
  </si>
  <si>
    <t>Power. Spectral.</t>
  </si>
  <si>
    <t>Revelation - Heal 3 damage from The Spectral Watcher. Ready The Spectral Watcher. It moves, engages, and attacks as if it were the enemy phase. Throughout the resolution of this effect, The Spectral Watcher gains "Prey - You."</t>
  </si>
  <si>
    <t>dec4454d-05ef-49ca-8915-39429b037eea</t>
  </si>
  <si>
    <t>Piper of Azathoth</t>
  </si>
  <si>
    <t>Prey - Least remaining sanity._x000D_
Alert. Hunter. Retaliate._x000D_
Forced - When the enemy phase ends: Piper of Azathoth attacks each investigator it is not engaged with at its location (regardless of whether it is ready or exhausted).</t>
  </si>
  <si>
    <t>f13a2462-7466-4b9d-b000-5e2d8c4af564</t>
  </si>
  <si>
    <t>Daemonic Piping</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</si>
  <si>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</si>
  <si>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343b9330-c6b0-4ad3-90b0-aef7cab1ba12</t>
  </si>
  <si>
    <t>Coven Initiate</t>
  </si>
  <si>
    <t>Humanoid. Witch.</t>
  </si>
  <si>
    <t>Revelation - Discard the top 2 cards of the encounter deck. If this effect causes the encounter deck to run out of cards, draw the topmost [[Hex]] card in the encounter discard pile.</t>
  </si>
  <si>
    <t>6348e5e1-57f3-4f44-90f0-d3593e3c43ec</t>
  </si>
  <si>
    <t>Priestess of the Coven</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</si>
  <si>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</si>
  <si>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a0ebb0e6-91c1-4839-be28-3410d18e47c0</t>
  </si>
  <si>
    <t>Diabolic Voices</t>
  </si>
  <si>
    <t>Revelation - Test ά (3). For each point you fail by, discard 1 random card from your hand. For each card you cannot discard, take 1 horror or 1 damage. This test gets +1 difficulty for each copy of Diabolic Voices in the encounter discard pile.</t>
  </si>
  <si>
    <t>e008057c-20cd-4508-bfd0-457fe32ad15f</t>
  </si>
  <si>
    <t>Wracked</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</si>
  <si>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</si>
  <si>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e3d19014-ace7-4ea4-8e05-57f33692dd9a</t>
  </si>
  <si>
    <t>Bedeviled</t>
  </si>
  <si>
    <t>Revelation - Put Bedeviled into play in your threat area._x000D_
You cannot trigger η abilities on cards you control._x000D_
η: Test ά (3). If you succeed, discard Bedeviled. If there is an exhausted [[Witch]] enemy at your location, this test is automatically successful.</t>
  </si>
  <si>
    <t>2cfe6d4e-1ded-4217-be8f-f30c4989f16f</t>
  </si>
  <si>
    <t>Lodge Neophyte</t>
  </si>
  <si>
    <t>Spawn - Any empty location._x000D_
Aloof._x000D_
Forced - After Lodge Neophyte enters play: Place 1 doom on it._x000D_
η: Parley. Test ά (2). If you succeed, remove all doom from Lodge Neophyte.</t>
  </si>
  <si>
    <t>569ae12f-4a94-49f5-8cbd-3104502c13c6</t>
  </si>
  <si>
    <t>Keeper of Secrets</t>
  </si>
  <si>
    <t>Spawn - Any empty location._x000D_
Aloof. Retaliate._x000D_
Forced - When the mythos phase ends: Place 1 doom on Keeper of Secrets._x000D_
η: Parley. Test έ (3). If you succeed, remove all doom from Keeper of Secrets.</t>
  </si>
  <si>
    <t>779ed398-8619-4fa1-bd77-8b7be2c44c75</t>
  </si>
  <si>
    <t>Mysteries of the Lodge</t>
  </si>
  <si>
    <t>Revelation - Place 1 doom on the nearest [[Cultist]] enemy. Then, until the end of the round, increase the difficulty to fight, evade, or parley with that enemy by 2. If no doom is placed by this effect, Mysteries of the Lodge gains surge.</t>
  </si>
  <si>
    <t>edbb082b-fdd8-42de-a328-fcd65398e1fc</t>
  </si>
  <si>
    <t>Evil Past</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</si>
  <si>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</si>
  <si>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c082467f-92dd-493c-a00a-026c26e133f5</t>
  </si>
  <si>
    <t>Centuries of Secrets</t>
  </si>
  <si>
    <t>Revelation - Test ά (5). For each point you fail by, discard the top card of the encounter deck. If a [[Curse]] treachery is discarded by this effect, deal 1 direct damage to your investigator and to each of your [[Ally]] assets.</t>
  </si>
  <si>
    <t>f7c74c76-84b8-4f5b-8cd8-a5e68cc0410b</t>
  </si>
  <si>
    <t>Nether Mist</t>
  </si>
  <si>
    <t>Monster. Spectral.</t>
  </si>
  <si>
    <t>Prey - Investigator at the location with the most clues._x000D_
Aloof. Hunter._x000D_
Nether Mist's location gains: "Haunted - Nether Mist attacks you."</t>
  </si>
  <si>
    <t>4ded3644-33e3-42cb-9465-65905d322cc1</t>
  </si>
  <si>
    <t>Shadow Hound</t>
  </si>
  <si>
    <t>Prey - Lowest ί._x000D_
Hunter. Retaliate._x000D_
Forced - After Shadow Hound attacks you: Resolve each haunted ability on your location.</t>
  </si>
  <si>
    <t>3f445c62-94aa-4015-a1cb-700977b6b023</t>
  </si>
  <si>
    <t>Whispers in the Dark</t>
  </si>
  <si>
    <t>Omen. Spectral.</t>
  </si>
  <si>
    <t>Revelation - Put Whispers in the Dark into play next to the agenda deck._x000D_
Each location gains: "Haunted - Take 1 horror."_x000D_
Forced - When the round ends: Discard Whispers in the Dark.</t>
  </si>
  <si>
    <t>98aa643b-46f1-48f1-9e5d-a10d6164490e</t>
  </si>
  <si>
    <t>Wraith</t>
  </si>
  <si>
    <t>Monster. Geist. Spectral.</t>
  </si>
  <si>
    <t>Hunter._x000D_
Forced - When Wraith is defeated by damage (except from a [[Spell]] or [[Relic]]): Instead of discarding it, attach it to its location. Attached location gains: "Haunted - Spawn Wraith at this location."</t>
  </si>
  <si>
    <t>bcd6e177-8bba-4551-98c5-688a6d65ea81</t>
  </si>
  <si>
    <t>Trapped Spirits</t>
  </si>
  <si>
    <t>Terror. Spectral.</t>
  </si>
  <si>
    <t>Revelation - Test ί (3). For each point you fail by, take 1 damage. If your location is haunted, as an additional cost for an investigator to commit 1 or more cards to this skill test, he or she must resolve each haunted ability on this location.</t>
  </si>
  <si>
    <t>7b980f47-dc9b-4ca5-9362-f8d967d6b0fa</t>
  </si>
  <si>
    <t>Realm of Torment</t>
  </si>
  <si>
    <t>Revelation - Put Realm of Torment into play in your threat area._x000D_
Forced - When your turn begins: Resolve each haunted ability on your location._x000D_
Forced - When your turn ends: Test ά (3). If you succeed, discard Realm of Torment.</t>
  </si>
  <si>
    <t>766e1693-b1eb-4590-954b-2e18072e18f9</t>
  </si>
  <si>
    <t>Shapes in the Mist</t>
  </si>
  <si>
    <t>Surge._x000D_
Revelation - Resolve each haunted ability on your location.</t>
  </si>
  <si>
    <t>2fc27237-5a64-4e53-9490-8e2f24a86465</t>
  </si>
  <si>
    <t>Terror in the Night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</si>
  <si>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</si>
  <si>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69fba3d3-9218-40c4-9f72-9d428de08a30</t>
  </si>
  <si>
    <t>Fate of All Fools</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</si>
  <si>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</si>
  <si>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32851c70-7805-46c9-bd17-47b70f323441</t>
  </si>
  <si>
    <t>aa824e97-55e5-4ad0-97c4-fa2ab212a6a6</t>
  </si>
  <si>
    <t>300e6ad9-dd9e-4565-b2e0-b4a16ed891ec</t>
  </si>
  <si>
    <t>f136076f-a794-4979-a739-da6c51758aad</t>
  </si>
  <si>
    <t>The Watcher</t>
  </si>
  <si>
    <t>Agents of Azathoth</t>
  </si>
  <si>
    <t>Anette's Coven</t>
  </si>
  <si>
    <t>Witchcraft</t>
  </si>
  <si>
    <t>Silver Twilight Lodge</t>
  </si>
  <si>
    <t>City of Sins</t>
  </si>
  <si>
    <t>Spectral Predators</t>
  </si>
  <si>
    <t>Realm of Death</t>
  </si>
  <si>
    <t>Inexorable Fate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</si>
</sst>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1">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11" fontId="17" fillId="0" borderId="0" xfId="0" applyNumberFormat="1" applyFont="1" applyAlignment="1">
      <alignment horizontal="left" vertical="top" wrapText="1"/>
    </xf>
    <xf numFmtId="0" fontId="1" fillId="16" borderId="0" xfId="0" applyFont="1" applyFill="1"/>
    <xf numFmtId="49" fontId="1" fillId="16" borderId="0" xfId="0" applyNumberFormat="1" applyFont="1" applyFill="1"/>
    <xf numFmtId="0" fontId="1" fillId="17" borderId="0" xfId="0" applyFont="1" applyFill="1" applyAlignment="1">
      <alignment horizontal="left" vertical="top"/>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cellXfs>
  <cellStyles count="1">
    <cellStyle name="Normal" xfId="0" builtinId="0"/>
  </cellStyles>
  <dxfs count="253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1"/>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A31" sqref="A31"/>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7" t="s">
        <v>175</v>
      </c>
      <c r="H1" s="188"/>
      <c r="I1" s="188"/>
      <c r="J1" s="189"/>
      <c r="K1" s="150"/>
      <c r="L1" s="150"/>
      <c r="M1" s="151"/>
      <c r="N1" s="190" t="s">
        <v>4</v>
      </c>
      <c r="O1" s="190"/>
      <c r="P1" s="190"/>
      <c r="Q1" s="190"/>
      <c r="R1" s="190"/>
      <c r="S1" s="190"/>
      <c r="T1" s="190"/>
      <c r="U1" s="11"/>
      <c r="V1" s="190" t="s">
        <v>225</v>
      </c>
      <c r="W1" s="190"/>
      <c r="X1" s="190"/>
      <c r="Y1" s="190"/>
      <c r="Z1" s="190"/>
      <c r="AA1" s="190"/>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4" t="s">
        <v>5089</v>
      </c>
      <c r="B29" s="184" t="s">
        <v>5091</v>
      </c>
      <c r="C29" s="185" t="s">
        <v>174</v>
      </c>
      <c r="D29" s="184"/>
      <c r="E29" s="184"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row r="30" spans="1:27">
      <c r="A30" s="166" t="s">
        <v>5461</v>
      </c>
      <c r="B30" s="166" t="s">
        <v>5462</v>
      </c>
      <c r="C30" s="167" t="s">
        <v>174</v>
      </c>
      <c r="D30" s="166"/>
      <c r="E30" s="166" t="s">
        <v>5463</v>
      </c>
      <c r="G30" s="13">
        <f>SUMIF('Card Data'!$A:$A,$A30,'Card Data'!$E:$E)</f>
        <v>105</v>
      </c>
      <c r="H30" s="13">
        <f>SUMIFS('Card Data'!$E:$E,'Card Data'!$A:$A,$A30,'Card Data'!$K:$K,"&lt;&gt;",'Card Data'!$J:$J,"&lt;&gt;Investigator")-SUMIFS('Card Data'!$E:$E,'Card Data'!$A:$A,$A30,'Card Data'!$K:$K,"&lt;&gt;",'Card Data'!$J:$J,"Mini")</f>
        <v>105</v>
      </c>
      <c r="I30" s="13">
        <f>SUMIFS('Card Data'!$E:$E,'Card Data'!$A:$A,$A30,'Card Data'!$K:$K,"",'Card Data'!$J:$J,"&lt;&gt;Campaign")+SUMIFS('Card Data'!$E:$E,'Card Data'!$A:$A,$A30,'Card Data'!$K:$K,"Mythos")-J30</f>
        <v>78</v>
      </c>
      <c r="J30" s="13">
        <f>SUMIFS('Card Data'!$E:$E,'Card Data'!$J:$J,J$2,'Card Data'!$A:$A,$A30,'Card Data'!$AD:$AD,"&lt;&gt;*Side Quest.*")</f>
        <v>3</v>
      </c>
      <c r="K30" s="13">
        <f>COUNTIFS('Card Data'!$J:$J,K$2,'Card Data'!$A:$A,$A30,'Card Data'!$AD:$AD,"&lt;&gt;*Side Quest.*")</f>
        <v>1</v>
      </c>
      <c r="L30" s="13">
        <f>COUNTIFS('Card Data'!$J:$J,L$2,'Card Data'!$A:$A,$A30,'Card Data'!$AD:$AD,"&lt;&gt;*Side Quest.*")</f>
        <v>8</v>
      </c>
      <c r="M30" s="15"/>
      <c r="N30" s="13">
        <f>COUNTIFS('Card Data'!$J:$J,N$2,'Card Data'!$A:$A,$A30)</f>
        <v>0</v>
      </c>
      <c r="O30" s="13">
        <f>COUNTIFS('Card Data'!$J:$J,O$2,'Card Data'!$A:$A,$A30)</f>
        <v>7</v>
      </c>
      <c r="P30" s="13">
        <f>COUNTIFS('Card Data'!$J:$J,P$2,'Card Data'!$A:$A,$A30)</f>
        <v>4</v>
      </c>
      <c r="Q30" s="13">
        <f>COUNTIFS('Card Data'!$J:$J,Q$2,'Card Data'!$A:$A,$A30)</f>
        <v>1</v>
      </c>
      <c r="R30" s="13">
        <f>COUNTIFS('Card Data'!$J:$J,R$2,'Card Data'!$A:$A,$A30)</f>
        <v>9</v>
      </c>
      <c r="S30" s="13">
        <f>COUNTIFS('Card Data'!$J:$J,S$2,'Card Data'!$A:$A,$A30)</f>
        <v>23</v>
      </c>
      <c r="T30" s="13">
        <f>COUNTIFS('Card Data'!$J:$J,T$2,'Card Data'!$A:$A,$A30)</f>
        <v>17</v>
      </c>
      <c r="U30" s="15"/>
      <c r="V30" s="13">
        <f>COUNTIFS('Card Data'!$K:$K,V$2,'Card Data'!$A:$A,$A30)</f>
        <v>2</v>
      </c>
      <c r="W30" s="13">
        <f>COUNTIFS('Card Data'!$K:$K,W$2,'Card Data'!$A:$A,$A30)</f>
        <v>2</v>
      </c>
      <c r="X30" s="13">
        <f>COUNTIFS('Card Data'!$K:$K,X$2,'Card Data'!$A:$A,$A30)</f>
        <v>2</v>
      </c>
      <c r="Y30" s="13">
        <f>COUNTIFS('Card Data'!$K:$K,Y$2,'Card Data'!$A:$A,$A30)</f>
        <v>2</v>
      </c>
      <c r="Z30" s="13">
        <f>COUNTIFS('Card Data'!$K:$K,Z$2,'Card Data'!$A:$A,$A30)</f>
        <v>2</v>
      </c>
      <c r="AA30" s="13">
        <f>COUNTIFS('Card Data'!$K:$K,AA$2,'Card Data'!$A:$A,$A30)</f>
        <v>3</v>
      </c>
    </row>
    <row r="31" spans="1:27">
      <c r="A31" s="186" t="s">
        <v>5693</v>
      </c>
      <c r="B31" s="39" t="s">
        <v>5847</v>
      </c>
      <c r="C31" s="138" t="s">
        <v>174</v>
      </c>
      <c r="D31" s="39"/>
      <c r="E31" s="39" t="s">
        <v>5848</v>
      </c>
      <c r="G31" s="13">
        <f>SUMIF('Card Data'!$A:$A,$A31,'Card Data'!$E:$E)</f>
        <v>168</v>
      </c>
      <c r="H31" s="13">
        <f>SUMIFS('Card Data'!$E:$E,'Card Data'!$A:$A,$A31,'Card Data'!$K:$K,"&lt;&gt;",'Card Data'!$J:$J,"&lt;&gt;Investigator")-SUMIFS('Card Data'!$E:$E,'Card Data'!$A:$A,$A31,'Card Data'!$K:$K,"&lt;&gt;",'Card Data'!$J:$J,"Mini")</f>
        <v>148</v>
      </c>
      <c r="I31" s="13">
        <f>SUMIFS('Card Data'!$E:$E,'Card Data'!$A:$A,$A31,'Card Data'!$K:$K,"",'Card Data'!$J:$J,"&lt;&gt;Campaign")+SUMIFS('Card Data'!$E:$E,'Card Data'!$A:$A,$A31,'Card Data'!$K:$K,"Mythos")-J31</f>
        <v>86</v>
      </c>
      <c r="J31" s="13">
        <f>SUMIFS('Card Data'!$E:$E,'Card Data'!$J:$J,J$2,'Card Data'!$A:$A,$A31,'Card Data'!$AD:$AD,"&lt;&gt;*Side Quest.*")</f>
        <v>5</v>
      </c>
      <c r="K31" s="13">
        <f>COUNTIFS('Card Data'!$J:$J,K$2,'Card Data'!$A:$A,$A31,'Card Data'!$AD:$AD,"&lt;&gt;*Side Quest.*")</f>
        <v>8</v>
      </c>
      <c r="L31" s="13">
        <f>COUNTIFS('Card Data'!$J:$J,L$2,'Card Data'!$A:$A,$A31,'Card Data'!$AD:$AD,"&lt;&gt;*Side Quest.*")</f>
        <v>3</v>
      </c>
      <c r="M31" s="15"/>
      <c r="N31" s="13">
        <f>COUNTIFS('Card Data'!$J:$J,N$2,'Card Data'!$A:$A,$A31)</f>
        <v>10</v>
      </c>
      <c r="O31" s="13">
        <f>COUNTIFS('Card Data'!$J:$J,O$2,'Card Data'!$A:$A,$A31)</f>
        <v>15</v>
      </c>
      <c r="P31" s="13">
        <f>COUNTIFS('Card Data'!$J:$J,P$2,'Card Data'!$A:$A,$A31)</f>
        <v>13</v>
      </c>
      <c r="Q31" s="13">
        <f>COUNTIFS('Card Data'!$J:$J,Q$2,'Card Data'!$A:$A,$A31)</f>
        <v>4</v>
      </c>
      <c r="R31" s="13">
        <f>COUNTIFS('Card Data'!$J:$J,R$2,'Card Data'!$A:$A,$A31)</f>
        <v>12</v>
      </c>
      <c r="S31" s="13">
        <f>COUNTIFS('Card Data'!$J:$J,S$2,'Card Data'!$A:$A,$A31)</f>
        <v>22</v>
      </c>
      <c r="T31" s="13">
        <f>COUNTIFS('Card Data'!$J:$J,T$2,'Card Data'!$A:$A,$A31)</f>
        <v>17</v>
      </c>
      <c r="U31" s="15"/>
      <c r="V31" s="13">
        <f>COUNTIFS('Card Data'!$K:$K,V$2,'Card Data'!$A:$A,$A31)</f>
        <v>6</v>
      </c>
      <c r="W31" s="13">
        <f>COUNTIFS('Card Data'!$K:$K,W$2,'Card Data'!$A:$A,$A31)</f>
        <v>6</v>
      </c>
      <c r="X31" s="13">
        <f>COUNTIFS('Card Data'!$K:$K,X$2,'Card Data'!$A:$A,$A31)</f>
        <v>6</v>
      </c>
      <c r="Y31" s="13">
        <f>COUNTIFS('Card Data'!$K:$K,Y$2,'Card Data'!$A:$A,$A31)</f>
        <v>8</v>
      </c>
      <c r="Z31" s="13">
        <f>COUNTIFS('Card Data'!$K:$K,Z$2,'Card Data'!$A:$A,$A31)</f>
        <v>6</v>
      </c>
      <c r="AA31" s="13">
        <f>COUNTIFS('Card Data'!$K:$K,AA$2,'Card Data'!$A:$A,$A31)</f>
        <v>23</v>
      </c>
    </row>
  </sheetData>
  <mergeCells count="3">
    <mergeCell ref="G1:J1"/>
    <mergeCell ref="N1:T1"/>
    <mergeCell ref="V1:AA1"/>
  </mergeCells>
  <conditionalFormatting sqref="V2">
    <cfRule type="cellIs" dxfId="2530" priority="29" operator="equal">
      <formula>"Fellowship"</formula>
    </cfRule>
    <cfRule type="cellIs" dxfId="2529" priority="30" operator="equal">
      <formula>"Neutral"</formula>
    </cfRule>
    <cfRule type="cellIs" dxfId="2528" priority="31" operator="equal">
      <formula>"Baggins"</formula>
    </cfRule>
    <cfRule type="cellIs" dxfId="2527" priority="32" operator="equal">
      <formula>"Lore"</formula>
    </cfRule>
    <cfRule type="cellIs" dxfId="2526" priority="33" operator="equal">
      <formula>"Spirit"</formula>
    </cfRule>
    <cfRule type="cellIs" dxfId="2525" priority="34" operator="equal">
      <formula>"Tactics"</formula>
    </cfRule>
    <cfRule type="cellIs" dxfId="2524" priority="35" operator="equal">
      <formula>"Leadership"</formula>
    </cfRule>
  </conditionalFormatting>
  <conditionalFormatting sqref="W2">
    <cfRule type="cellIs" dxfId="2523" priority="22" operator="equal">
      <formula>"Fellowship"</formula>
    </cfRule>
    <cfRule type="cellIs" dxfId="2522" priority="23" operator="equal">
      <formula>"Neutral"</formula>
    </cfRule>
    <cfRule type="cellIs" dxfId="2521" priority="24" operator="equal">
      <formula>"Baggins"</formula>
    </cfRule>
    <cfRule type="cellIs" dxfId="2520" priority="25" operator="equal">
      <formula>"Lore"</formula>
    </cfRule>
    <cfRule type="cellIs" dxfId="2519" priority="26" operator="equal">
      <formula>"Spirit"</formula>
    </cfRule>
    <cfRule type="cellIs" dxfId="2518" priority="27" operator="equal">
      <formula>"Tactics"</formula>
    </cfRule>
    <cfRule type="cellIs" dxfId="2517" priority="28" operator="equal">
      <formula>"Leadership"</formula>
    </cfRule>
  </conditionalFormatting>
  <conditionalFormatting sqref="X2">
    <cfRule type="cellIs" dxfId="2516" priority="15" operator="equal">
      <formula>"Fellowship"</formula>
    </cfRule>
    <cfRule type="cellIs" dxfId="2515" priority="16" operator="equal">
      <formula>"Neutral"</formula>
    </cfRule>
    <cfRule type="cellIs" dxfId="2514" priority="17" operator="equal">
      <formula>"Baggins"</formula>
    </cfRule>
    <cfRule type="cellIs" dxfId="2513" priority="18" operator="equal">
      <formula>"Lore"</formula>
    </cfRule>
    <cfRule type="cellIs" dxfId="2512" priority="19" operator="equal">
      <formula>"Spirit"</formula>
    </cfRule>
    <cfRule type="cellIs" dxfId="2511" priority="20" operator="equal">
      <formula>"Tactics"</formula>
    </cfRule>
    <cfRule type="cellIs" dxfId="2510" priority="21" operator="equal">
      <formula>"Leadership"</formula>
    </cfRule>
  </conditionalFormatting>
  <conditionalFormatting sqref="Y2:Z2">
    <cfRule type="cellIs" dxfId="2509" priority="8" operator="equal">
      <formula>"Fellowship"</formula>
    </cfRule>
    <cfRule type="cellIs" dxfId="2508" priority="9" operator="equal">
      <formula>"Neutral"</formula>
    </cfRule>
    <cfRule type="cellIs" dxfId="2507" priority="10" operator="equal">
      <formula>"Baggins"</formula>
    </cfRule>
    <cfRule type="cellIs" dxfId="2506" priority="11" operator="equal">
      <formula>"Lore"</formula>
    </cfRule>
    <cfRule type="cellIs" dxfId="2505" priority="12" operator="equal">
      <formula>"Spirit"</formula>
    </cfRule>
    <cfRule type="cellIs" dxfId="2504" priority="13" operator="equal">
      <formula>"Tactics"</formula>
    </cfRule>
    <cfRule type="cellIs" dxfId="2503" priority="14" operator="equal">
      <formula>"Leadership"</formula>
    </cfRule>
  </conditionalFormatting>
  <conditionalFormatting sqref="AA2">
    <cfRule type="cellIs" dxfId="2502" priority="1" operator="equal">
      <formula>"Fellowship"</formula>
    </cfRule>
    <cfRule type="cellIs" dxfId="2501" priority="2" operator="equal">
      <formula>"Neutral"</formula>
    </cfRule>
    <cfRule type="cellIs" dxfId="2500" priority="3" operator="equal">
      <formula>"Baggins"</formula>
    </cfRule>
    <cfRule type="cellIs" dxfId="2499" priority="4" operator="equal">
      <formula>"Lore"</formula>
    </cfRule>
    <cfRule type="cellIs" dxfId="2498" priority="5" operator="equal">
      <formula>"Spirit"</formula>
    </cfRule>
    <cfRule type="cellIs" dxfId="2497" priority="6" operator="equal">
      <formula>"Tactics"</formula>
    </cfRule>
    <cfRule type="cellIs" dxfId="249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629"/>
  <sheetViews>
    <sheetView zoomScale="85" zoomScaleNormal="85" workbookViewId="0">
      <pane xSplit="7" ySplit="1" topLeftCell="H1539" activePane="bottomRight" state="frozen"/>
      <selection activeCell="E1" sqref="E1"/>
      <selection pane="topRight" activeCell="F1" sqref="F1"/>
      <selection pane="bottomLeft" activeCell="E2" sqref="E2"/>
      <selection pane="bottomRight" activeCell="F1629" sqref="F1552:F1629"/>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3"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row r="1437" spans="1:58" s="171" customFormat="1" ht="15" customHeight="1">
      <c r="A1437" s="153" t="s">
        <v>5461</v>
      </c>
      <c r="B1437" s="154" t="s">
        <v>5464</v>
      </c>
      <c r="C1437" s="154" t="s">
        <v>5491</v>
      </c>
      <c r="D1437" s="170">
        <v>1</v>
      </c>
      <c r="E1437" s="171">
        <v>2</v>
      </c>
      <c r="F1437" s="154"/>
      <c r="G1437" s="171" t="s">
        <v>1812</v>
      </c>
      <c r="J1437" s="171" t="s">
        <v>257</v>
      </c>
      <c r="K1437" s="171" t="s">
        <v>198</v>
      </c>
      <c r="L1437" s="171">
        <v>2</v>
      </c>
      <c r="N1437" s="170">
        <v>2</v>
      </c>
      <c r="O1437" s="156">
        <v>1</v>
      </c>
      <c r="P1437" s="157"/>
      <c r="Q1437" s="158">
        <v>1</v>
      </c>
      <c r="R1437" s="159"/>
      <c r="S1437" s="160"/>
      <c r="T1437" s="161"/>
      <c r="U1437" s="156"/>
      <c r="V1437" s="162"/>
      <c r="W1437" s="163"/>
      <c r="X1437" s="164"/>
      <c r="Y1437" s="159"/>
      <c r="Z1437" s="161"/>
      <c r="AA1437" s="165"/>
      <c r="AB1437" s="171" t="s">
        <v>1083</v>
      </c>
      <c r="AC1437" s="171" t="s">
        <v>393</v>
      </c>
      <c r="AD1437" s="171" t="s">
        <v>265</v>
      </c>
      <c r="AE1437" s="170"/>
      <c r="AF1437" s="171" t="s">
        <v>5465</v>
      </c>
      <c r="AQ1437" s="156"/>
      <c r="AR1437" s="157"/>
      <c r="AS1437" s="158"/>
      <c r="AT1437" s="159"/>
      <c r="AU1437" s="161"/>
      <c r="AV1437" s="156"/>
      <c r="AW1437" s="162"/>
      <c r="AX1437" s="163"/>
      <c r="AY1437" s="164"/>
      <c r="AZ1437" s="159"/>
      <c r="BA1437" s="161"/>
      <c r="BB1437" s="165"/>
      <c r="BF1437" s="170"/>
    </row>
    <row r="1438" spans="1:58" s="154" customFormat="1" ht="15" customHeight="1">
      <c r="A1438" s="153" t="s">
        <v>5461</v>
      </c>
      <c r="B1438" s="154" t="s">
        <v>5466</v>
      </c>
      <c r="C1438" s="154" t="s">
        <v>5491</v>
      </c>
      <c r="D1438" s="170">
        <v>2</v>
      </c>
      <c r="E1438" s="154">
        <v>2</v>
      </c>
      <c r="G1438" s="154" t="s">
        <v>1380</v>
      </c>
      <c r="J1438" s="171" t="s">
        <v>257</v>
      </c>
      <c r="K1438" s="154" t="s">
        <v>198</v>
      </c>
      <c r="L1438" s="154">
        <v>2</v>
      </c>
      <c r="N1438" s="155">
        <v>2</v>
      </c>
      <c r="O1438" s="156"/>
      <c r="P1438" s="157"/>
      <c r="Q1438" s="158">
        <v>1</v>
      </c>
      <c r="R1438" s="159">
        <v>1</v>
      </c>
      <c r="S1438" s="160"/>
      <c r="T1438" s="161"/>
      <c r="U1438" s="156"/>
      <c r="V1438" s="162"/>
      <c r="W1438" s="163"/>
      <c r="X1438" s="164"/>
      <c r="Y1438" s="159"/>
      <c r="Z1438" s="161"/>
      <c r="AA1438" s="165"/>
      <c r="AB1438" s="154" t="s">
        <v>1087</v>
      </c>
      <c r="AC1438" s="154" t="s">
        <v>258</v>
      </c>
      <c r="AD1438" s="154" t="s">
        <v>298</v>
      </c>
      <c r="AE1438" s="155"/>
      <c r="AF1438" s="154" t="s">
        <v>5467</v>
      </c>
      <c r="AL1438" s="171"/>
      <c r="AO1438" s="155"/>
      <c r="AP1438" s="155"/>
      <c r="AQ1438" s="156"/>
      <c r="AR1438" s="157"/>
      <c r="AS1438" s="158"/>
      <c r="AT1438" s="159"/>
      <c r="AU1438" s="161"/>
      <c r="AV1438" s="156"/>
      <c r="AW1438" s="162"/>
      <c r="AX1438" s="163"/>
      <c r="AY1438" s="164"/>
      <c r="AZ1438" s="159"/>
      <c r="BA1438" s="161"/>
      <c r="BB1438" s="165"/>
      <c r="BE1438" s="155"/>
    </row>
    <row r="1439" spans="1:58" s="154" customFormat="1" ht="15" customHeight="1">
      <c r="A1439" s="153" t="s">
        <v>5461</v>
      </c>
      <c r="B1439" s="153" t="s">
        <v>5468</v>
      </c>
      <c r="C1439" s="154" t="s">
        <v>5491</v>
      </c>
      <c r="D1439" s="170">
        <v>3</v>
      </c>
      <c r="E1439" s="154">
        <v>2</v>
      </c>
      <c r="G1439" s="154" t="s">
        <v>1987</v>
      </c>
      <c r="J1439" s="171" t="s">
        <v>27</v>
      </c>
      <c r="K1439" s="154" t="s">
        <v>199</v>
      </c>
      <c r="L1439" s="154">
        <v>2</v>
      </c>
      <c r="N1439" s="155">
        <v>0</v>
      </c>
      <c r="O1439" s="156">
        <v>1</v>
      </c>
      <c r="P1439" s="157">
        <v>1</v>
      </c>
      <c r="Q1439" s="158"/>
      <c r="R1439" s="159"/>
      <c r="S1439" s="160"/>
      <c r="T1439" s="161"/>
      <c r="U1439" s="156"/>
      <c r="V1439" s="162"/>
      <c r="W1439" s="163"/>
      <c r="X1439" s="164"/>
      <c r="Y1439" s="159"/>
      <c r="Z1439" s="161"/>
      <c r="AA1439" s="165"/>
      <c r="AB1439" s="154" t="s">
        <v>1092</v>
      </c>
      <c r="AD1439" s="154" t="s">
        <v>340</v>
      </c>
      <c r="AE1439" s="155"/>
      <c r="AF1439" s="154" t="s">
        <v>5469</v>
      </c>
      <c r="AL1439" s="171"/>
      <c r="AO1439" s="155"/>
      <c r="AP1439" s="155"/>
      <c r="AQ1439" s="156"/>
      <c r="AR1439" s="157"/>
      <c r="AS1439" s="158"/>
      <c r="AT1439" s="159"/>
      <c r="AU1439" s="161"/>
      <c r="AV1439" s="156"/>
      <c r="AW1439" s="162"/>
      <c r="AX1439" s="163"/>
      <c r="AY1439" s="164"/>
      <c r="AZ1439" s="159"/>
      <c r="BA1439" s="161"/>
      <c r="BB1439" s="165"/>
      <c r="BE1439" s="155"/>
    </row>
    <row r="1440" spans="1:58" s="154" customFormat="1" ht="15" customHeight="1">
      <c r="A1440" s="153" t="s">
        <v>5461</v>
      </c>
      <c r="B1440" s="153" t="s">
        <v>5470</v>
      </c>
      <c r="C1440" s="154" t="s">
        <v>5491</v>
      </c>
      <c r="D1440" s="170">
        <v>4</v>
      </c>
      <c r="E1440" s="154">
        <v>2</v>
      </c>
      <c r="G1440" s="154" t="s">
        <v>1396</v>
      </c>
      <c r="H1440" s="154" t="s">
        <v>5471</v>
      </c>
      <c r="J1440" s="171" t="s">
        <v>257</v>
      </c>
      <c r="K1440" s="154" t="s">
        <v>199</v>
      </c>
      <c r="L1440" s="154">
        <v>4</v>
      </c>
      <c r="N1440" s="155">
        <v>1</v>
      </c>
      <c r="O1440" s="156"/>
      <c r="P1440" s="157">
        <v>2</v>
      </c>
      <c r="Q1440" s="158"/>
      <c r="R1440" s="159"/>
      <c r="S1440" s="160"/>
      <c r="T1440" s="161"/>
      <c r="U1440" s="156"/>
      <c r="V1440" s="162"/>
      <c r="W1440" s="163"/>
      <c r="X1440" s="164"/>
      <c r="Y1440" s="159"/>
      <c r="Z1440" s="161"/>
      <c r="AA1440" s="165"/>
      <c r="AB1440" s="154" t="s">
        <v>1084</v>
      </c>
      <c r="AD1440" s="154" t="s">
        <v>1398</v>
      </c>
      <c r="AE1440" s="155"/>
      <c r="AF1440" s="154" t="s">
        <v>5472</v>
      </c>
      <c r="AL1440" s="171"/>
      <c r="AO1440" s="155"/>
      <c r="AP1440" s="155"/>
      <c r="AQ1440" s="156"/>
      <c r="AR1440" s="157"/>
      <c r="AS1440" s="158"/>
      <c r="AT1440" s="159"/>
      <c r="AU1440" s="161"/>
      <c r="AV1440" s="156"/>
      <c r="AW1440" s="162"/>
      <c r="AX1440" s="163"/>
      <c r="AY1440" s="164"/>
      <c r="AZ1440" s="159"/>
      <c r="BA1440" s="161"/>
      <c r="BB1440" s="165"/>
      <c r="BE1440" s="155"/>
    </row>
    <row r="1441" spans="1:59" s="154" customFormat="1" ht="15" customHeight="1">
      <c r="A1441" s="153" t="s">
        <v>5461</v>
      </c>
      <c r="B1441" s="153" t="s">
        <v>5473</v>
      </c>
      <c r="C1441" s="154" t="s">
        <v>5491</v>
      </c>
      <c r="D1441" s="170">
        <v>5</v>
      </c>
      <c r="E1441" s="154">
        <v>2</v>
      </c>
      <c r="G1441" s="154" t="s">
        <v>1730</v>
      </c>
      <c r="J1441" s="154" t="s">
        <v>27</v>
      </c>
      <c r="K1441" s="154" t="s">
        <v>201</v>
      </c>
      <c r="L1441" s="154">
        <v>2</v>
      </c>
      <c r="N1441" s="154">
        <v>3</v>
      </c>
      <c r="O1441" s="156">
        <v>1</v>
      </c>
      <c r="P1441" s="157">
        <v>2</v>
      </c>
      <c r="Q1441" s="158"/>
      <c r="R1441" s="159"/>
      <c r="S1441" s="160"/>
      <c r="T1441" s="161"/>
      <c r="U1441" s="156"/>
      <c r="V1441" s="162"/>
      <c r="W1441" s="163"/>
      <c r="X1441" s="164"/>
      <c r="Y1441" s="159"/>
      <c r="Z1441" s="161"/>
      <c r="AA1441" s="165"/>
      <c r="AB1441" s="154" t="s">
        <v>2399</v>
      </c>
      <c r="AD1441" s="154" t="s">
        <v>1731</v>
      </c>
      <c r="AF1441" s="154" t="s">
        <v>5474</v>
      </c>
      <c r="AO1441" s="155"/>
      <c r="AQ1441" s="156"/>
      <c r="AR1441" s="157"/>
      <c r="AS1441" s="158"/>
      <c r="AT1441" s="159"/>
      <c r="AU1441" s="161"/>
      <c r="AV1441" s="156"/>
      <c r="AW1441" s="162"/>
      <c r="AX1441" s="163"/>
      <c r="AY1441" s="164"/>
      <c r="AZ1441" s="159"/>
      <c r="BA1441" s="161"/>
      <c r="BB1441" s="165"/>
      <c r="BE1441" s="155"/>
    </row>
    <row r="1442" spans="1:59" s="154" customFormat="1" ht="15" customHeight="1">
      <c r="A1442" s="153" t="s">
        <v>5461</v>
      </c>
      <c r="B1442" s="169" t="s">
        <v>5475</v>
      </c>
      <c r="C1442" s="154" t="s">
        <v>5491</v>
      </c>
      <c r="D1442" s="170">
        <v>6</v>
      </c>
      <c r="E1442" s="154">
        <v>2</v>
      </c>
      <c r="G1442" s="154" t="s">
        <v>1411</v>
      </c>
      <c r="J1442" s="154" t="s">
        <v>27</v>
      </c>
      <c r="K1442" s="154" t="s">
        <v>201</v>
      </c>
      <c r="L1442" s="154">
        <v>2</v>
      </c>
      <c r="N1442" s="154">
        <v>0</v>
      </c>
      <c r="O1442" s="156"/>
      <c r="P1442" s="157">
        <v>1</v>
      </c>
      <c r="Q1442" s="158"/>
      <c r="R1442" s="159">
        <v>2</v>
      </c>
      <c r="S1442" s="160"/>
      <c r="T1442" s="161"/>
      <c r="U1442" s="156"/>
      <c r="V1442" s="162"/>
      <c r="W1442" s="163"/>
      <c r="X1442" s="164"/>
      <c r="Y1442" s="159"/>
      <c r="Z1442" s="161"/>
      <c r="AA1442" s="165"/>
      <c r="AB1442" s="154" t="s">
        <v>5476</v>
      </c>
      <c r="AD1442" s="154" t="s">
        <v>1412</v>
      </c>
      <c r="AF1442" s="154" t="s">
        <v>5477</v>
      </c>
      <c r="AO1442" s="155"/>
      <c r="AQ1442" s="156"/>
      <c r="AR1442" s="157"/>
      <c r="AS1442" s="158"/>
      <c r="AT1442" s="159"/>
      <c r="AU1442" s="161"/>
      <c r="AV1442" s="156"/>
      <c r="AW1442" s="162"/>
      <c r="AX1442" s="163"/>
      <c r="AY1442" s="164"/>
      <c r="AZ1442" s="159"/>
      <c r="BA1442" s="161"/>
      <c r="BB1442" s="165"/>
      <c r="BE1442" s="155"/>
    </row>
    <row r="1443" spans="1:59" s="154" customFormat="1" ht="15" customHeight="1">
      <c r="A1443" s="153" t="s">
        <v>5461</v>
      </c>
      <c r="B1443" s="169" t="s">
        <v>5478</v>
      </c>
      <c r="C1443" s="154" t="s">
        <v>5491</v>
      </c>
      <c r="D1443" s="170">
        <v>7</v>
      </c>
      <c r="E1443" s="154">
        <v>2</v>
      </c>
      <c r="G1443" s="154" t="s">
        <v>1421</v>
      </c>
      <c r="J1443" s="154" t="s">
        <v>257</v>
      </c>
      <c r="K1443" s="154" t="s">
        <v>200</v>
      </c>
      <c r="L1443" s="154">
        <v>2</v>
      </c>
      <c r="N1443" s="154">
        <v>4</v>
      </c>
      <c r="O1443" s="156"/>
      <c r="P1443" s="157">
        <v>1</v>
      </c>
      <c r="Q1443" s="158"/>
      <c r="R1443" s="159"/>
      <c r="S1443" s="160"/>
      <c r="T1443" s="161"/>
      <c r="U1443" s="156"/>
      <c r="V1443" s="162"/>
      <c r="W1443" s="163"/>
      <c r="X1443" s="164"/>
      <c r="Y1443" s="159"/>
      <c r="Z1443" s="161"/>
      <c r="AA1443" s="165"/>
      <c r="AB1443" s="154" t="s">
        <v>205</v>
      </c>
      <c r="AC1443" s="154" t="s">
        <v>378</v>
      </c>
      <c r="AD1443" s="154" t="s">
        <v>279</v>
      </c>
      <c r="AF1443" s="154" t="s">
        <v>5479</v>
      </c>
      <c r="AO1443" s="155"/>
      <c r="AQ1443" s="156"/>
      <c r="AR1443" s="157"/>
      <c r="AS1443" s="158"/>
      <c r="AT1443" s="159"/>
      <c r="AU1443" s="161"/>
      <c r="AV1443" s="156"/>
      <c r="AW1443" s="162"/>
      <c r="AX1443" s="163"/>
      <c r="AY1443" s="164"/>
      <c r="AZ1443" s="159"/>
      <c r="BA1443" s="161"/>
      <c r="BB1443" s="165"/>
      <c r="BE1443" s="155"/>
    </row>
    <row r="1444" spans="1:59" s="154" customFormat="1" ht="15" customHeight="1">
      <c r="A1444" s="153" t="s">
        <v>5461</v>
      </c>
      <c r="B1444" s="153" t="s">
        <v>5480</v>
      </c>
      <c r="C1444" s="154" t="s">
        <v>5491</v>
      </c>
      <c r="D1444" s="170">
        <v>8</v>
      </c>
      <c r="E1444" s="154">
        <v>2</v>
      </c>
      <c r="G1444" s="154" t="s">
        <v>1427</v>
      </c>
      <c r="J1444" s="154" t="s">
        <v>257</v>
      </c>
      <c r="K1444" s="154" t="s">
        <v>200</v>
      </c>
      <c r="L1444" s="154">
        <v>3</v>
      </c>
      <c r="N1444" s="154">
        <v>2</v>
      </c>
      <c r="O1444" s="156">
        <v>2</v>
      </c>
      <c r="P1444" s="157"/>
      <c r="Q1444" s="158"/>
      <c r="R1444" s="159"/>
      <c r="S1444" s="160"/>
      <c r="T1444" s="161"/>
      <c r="U1444" s="156"/>
      <c r="V1444" s="162"/>
      <c r="W1444" s="163"/>
      <c r="X1444" s="164"/>
      <c r="Y1444" s="159"/>
      <c r="Z1444" s="161"/>
      <c r="AA1444" s="165"/>
      <c r="AB1444" s="154" t="s">
        <v>1094</v>
      </c>
      <c r="AC1444" s="154" t="s">
        <v>378</v>
      </c>
      <c r="AD1444" s="154" t="s">
        <v>279</v>
      </c>
      <c r="AF1444" s="154" t="s">
        <v>5481</v>
      </c>
      <c r="AO1444" s="155"/>
      <c r="AQ1444" s="156"/>
      <c r="AR1444" s="157"/>
      <c r="AS1444" s="158"/>
      <c r="AT1444" s="159"/>
      <c r="AU1444" s="161"/>
      <c r="AV1444" s="156"/>
      <c r="AW1444" s="162"/>
      <c r="AX1444" s="163"/>
      <c r="AY1444" s="164"/>
      <c r="AZ1444" s="159"/>
      <c r="BA1444" s="161"/>
      <c r="BB1444" s="165"/>
      <c r="BE1444" s="155"/>
    </row>
    <row r="1445" spans="1:59" s="154" customFormat="1" ht="15" customHeight="1">
      <c r="A1445" s="153" t="s">
        <v>5461</v>
      </c>
      <c r="B1445" s="153" t="s">
        <v>5482</v>
      </c>
      <c r="C1445" s="154" t="s">
        <v>5491</v>
      </c>
      <c r="D1445" s="170">
        <v>9</v>
      </c>
      <c r="E1445" s="154">
        <v>2</v>
      </c>
      <c r="G1445" s="154" t="s">
        <v>1738</v>
      </c>
      <c r="J1445" s="154" t="s">
        <v>27</v>
      </c>
      <c r="K1445" s="154" t="s">
        <v>202</v>
      </c>
      <c r="L1445" s="154">
        <v>2</v>
      </c>
      <c r="N1445" s="172">
        <v>2</v>
      </c>
      <c r="O1445" s="156"/>
      <c r="P1445" s="157"/>
      <c r="Q1445" s="158">
        <v>2</v>
      </c>
      <c r="R1445" s="159">
        <v>1</v>
      </c>
      <c r="S1445" s="160"/>
      <c r="T1445" s="161"/>
      <c r="U1445" s="156"/>
      <c r="V1445" s="162"/>
      <c r="W1445" s="163"/>
      <c r="X1445" s="164"/>
      <c r="Y1445" s="159"/>
      <c r="Z1445" s="161"/>
      <c r="AA1445" s="165"/>
      <c r="AB1445" s="154" t="s">
        <v>5483</v>
      </c>
      <c r="AD1445" s="154" t="s">
        <v>372</v>
      </c>
      <c r="AF1445" s="154" t="s">
        <v>5484</v>
      </c>
      <c r="AO1445" s="155"/>
      <c r="AQ1445" s="156"/>
      <c r="AR1445" s="157"/>
      <c r="AS1445" s="158"/>
      <c r="AT1445" s="159"/>
      <c r="AU1445" s="161"/>
      <c r="AV1445" s="156"/>
      <c r="AW1445" s="162"/>
      <c r="AX1445" s="163"/>
      <c r="AY1445" s="164"/>
      <c r="AZ1445" s="159"/>
      <c r="BA1445" s="161"/>
      <c r="BB1445" s="165"/>
      <c r="BE1445" s="155"/>
    </row>
    <row r="1446" spans="1:59" s="154" customFormat="1" ht="15" customHeight="1">
      <c r="A1446" s="153" t="s">
        <v>5461</v>
      </c>
      <c r="B1446" s="153" t="s">
        <v>5485</v>
      </c>
      <c r="C1446" s="154" t="s">
        <v>5491</v>
      </c>
      <c r="D1446" s="170">
        <v>10</v>
      </c>
      <c r="E1446" s="154">
        <v>2</v>
      </c>
      <c r="G1446" s="154" t="s">
        <v>1995</v>
      </c>
      <c r="J1446" s="154" t="s">
        <v>312</v>
      </c>
      <c r="K1446" s="154" t="s">
        <v>202</v>
      </c>
      <c r="L1446" s="154">
        <v>3</v>
      </c>
      <c r="N1446" s="154">
        <v>1</v>
      </c>
      <c r="O1446" s="156"/>
      <c r="P1446" s="157"/>
      <c r="Q1446" s="158"/>
      <c r="R1446" s="159"/>
      <c r="S1446" s="160">
        <v>2</v>
      </c>
      <c r="T1446" s="161"/>
      <c r="U1446" s="156"/>
      <c r="V1446" s="162"/>
      <c r="W1446" s="163"/>
      <c r="X1446" s="164"/>
      <c r="Y1446" s="159"/>
      <c r="Z1446" s="161"/>
      <c r="AA1446" s="165"/>
      <c r="AB1446" s="154" t="s">
        <v>1082</v>
      </c>
      <c r="AC1446" s="154" t="s">
        <v>275</v>
      </c>
      <c r="AD1446" s="154" t="s">
        <v>412</v>
      </c>
      <c r="AF1446" s="154" t="s">
        <v>5486</v>
      </c>
      <c r="AO1446" s="155"/>
      <c r="AQ1446" s="156"/>
      <c r="AR1446" s="157"/>
      <c r="AS1446" s="158"/>
      <c r="AT1446" s="159"/>
      <c r="AU1446" s="161"/>
      <c r="AV1446" s="156"/>
      <c r="AW1446" s="162"/>
      <c r="AX1446" s="163"/>
      <c r="AY1446" s="164"/>
      <c r="AZ1446" s="159"/>
      <c r="BA1446" s="161"/>
      <c r="BB1446" s="165"/>
      <c r="BE1446" s="155"/>
    </row>
    <row r="1447" spans="1:59" s="154" customFormat="1" ht="15" customHeight="1">
      <c r="A1447" s="153" t="s">
        <v>5461</v>
      </c>
      <c r="B1447" s="153" t="s">
        <v>5487</v>
      </c>
      <c r="C1447" s="154" t="s">
        <v>5491</v>
      </c>
      <c r="D1447" s="170">
        <v>11</v>
      </c>
      <c r="E1447" s="154">
        <v>2</v>
      </c>
      <c r="G1447" s="154" t="s">
        <v>5488</v>
      </c>
      <c r="J1447" s="154" t="s">
        <v>28</v>
      </c>
      <c r="K1447" s="154" t="s">
        <v>26</v>
      </c>
      <c r="M1447" s="154" t="s">
        <v>691</v>
      </c>
      <c r="O1447" s="156"/>
      <c r="P1447" s="157"/>
      <c r="Q1447" s="158"/>
      <c r="R1447" s="159"/>
      <c r="S1447" s="160"/>
      <c r="T1447" s="161"/>
      <c r="U1447" s="156"/>
      <c r="V1447" s="162"/>
      <c r="W1447" s="163"/>
      <c r="X1447" s="164"/>
      <c r="Y1447" s="159"/>
      <c r="Z1447" s="161"/>
      <c r="AA1447" s="165"/>
      <c r="AD1447" s="154" t="s">
        <v>5489</v>
      </c>
      <c r="AF1447" s="154" t="s">
        <v>5490</v>
      </c>
      <c r="AO1447" s="155"/>
      <c r="AQ1447" s="156"/>
      <c r="AR1447" s="157"/>
      <c r="AS1447" s="158"/>
      <c r="AT1447" s="159"/>
      <c r="AU1447" s="161"/>
      <c r="AV1447" s="156"/>
      <c r="AW1447" s="162"/>
      <c r="AX1447" s="163"/>
      <c r="AY1447" s="164"/>
      <c r="AZ1447" s="159"/>
      <c r="BA1447" s="161"/>
      <c r="BB1447" s="165"/>
      <c r="BE1447" s="155"/>
    </row>
    <row r="1448" spans="1:59" s="171" customFormat="1" ht="15" customHeight="1">
      <c r="A1448" s="153" t="s">
        <v>5461</v>
      </c>
      <c r="B1448" s="154" t="s">
        <v>5492</v>
      </c>
      <c r="C1448" s="154" t="s">
        <v>5491</v>
      </c>
      <c r="D1448" s="170">
        <v>12</v>
      </c>
      <c r="E1448" s="171">
        <v>1</v>
      </c>
      <c r="F1448" s="171" t="s">
        <v>5493</v>
      </c>
      <c r="G1448" s="171" t="s">
        <v>5493</v>
      </c>
      <c r="J1448" s="171" t="s">
        <v>618</v>
      </c>
      <c r="K1448" s="171" t="s">
        <v>2426</v>
      </c>
      <c r="N1448" s="170"/>
      <c r="O1448" s="156"/>
      <c r="P1448" s="157"/>
      <c r="Q1448" s="158"/>
      <c r="R1448" s="159"/>
      <c r="S1448" s="160"/>
      <c r="T1448" s="161"/>
      <c r="U1448" s="156"/>
      <c r="V1448" s="162"/>
      <c r="W1448" s="163"/>
      <c r="X1448" s="164"/>
      <c r="Y1448" s="159"/>
      <c r="Z1448" s="161"/>
      <c r="AA1448" s="165"/>
      <c r="AE1448" s="170"/>
      <c r="AF1448" s="171" t="s">
        <v>5632</v>
      </c>
      <c r="AI1448" s="171" t="s">
        <v>5493</v>
      </c>
      <c r="AL1448" s="171" t="s">
        <v>618</v>
      </c>
      <c r="AM1448" s="171" t="s">
        <v>2426</v>
      </c>
      <c r="AQ1448" s="156"/>
      <c r="AR1448" s="157"/>
      <c r="AS1448" s="158"/>
      <c r="AT1448" s="159"/>
      <c r="AU1448" s="161"/>
      <c r="AV1448" s="156"/>
      <c r="AW1448" s="162"/>
      <c r="AX1448" s="163"/>
      <c r="AY1448" s="164"/>
      <c r="AZ1448" s="159"/>
      <c r="BA1448" s="161"/>
      <c r="BB1448" s="165"/>
      <c r="BF1448" s="170"/>
      <c r="BG1448" s="171" t="s">
        <v>5633</v>
      </c>
    </row>
    <row r="1449" spans="1:59" s="154" customFormat="1" ht="15" customHeight="1">
      <c r="A1449" s="153" t="s">
        <v>5461</v>
      </c>
      <c r="B1449" s="154" t="s">
        <v>5494</v>
      </c>
      <c r="C1449" s="154" t="s">
        <v>5491</v>
      </c>
      <c r="D1449" s="170">
        <v>13</v>
      </c>
      <c r="E1449" s="154">
        <v>1</v>
      </c>
      <c r="F1449" s="171" t="s">
        <v>5493</v>
      </c>
      <c r="G1449" s="154" t="s">
        <v>5495</v>
      </c>
      <c r="J1449" s="171" t="s">
        <v>31</v>
      </c>
      <c r="K1449" s="154" t="s">
        <v>2426</v>
      </c>
      <c r="N1449" s="155"/>
      <c r="O1449" s="156"/>
      <c r="P1449" s="157"/>
      <c r="Q1449" s="158"/>
      <c r="R1449" s="159"/>
      <c r="S1449" s="160"/>
      <c r="T1449" s="161"/>
      <c r="U1449" s="156"/>
      <c r="V1449" s="162"/>
      <c r="W1449" s="163"/>
      <c r="X1449" s="164"/>
      <c r="Y1449" s="159"/>
      <c r="Z1449" s="161"/>
      <c r="AA1449" s="165"/>
      <c r="AD1449" s="154" t="s">
        <v>242</v>
      </c>
      <c r="AE1449" s="155"/>
      <c r="AI1449" s="154" t="s">
        <v>5495</v>
      </c>
      <c r="AL1449" s="171" t="s">
        <v>31</v>
      </c>
      <c r="AM1449" s="154" t="s">
        <v>2426</v>
      </c>
      <c r="AO1449" s="155"/>
      <c r="AP1449" s="155"/>
      <c r="AQ1449" s="156"/>
      <c r="AR1449" s="157"/>
      <c r="AS1449" s="158"/>
      <c r="AT1449" s="159"/>
      <c r="AU1449" s="161"/>
      <c r="AV1449" s="156"/>
      <c r="AW1449" s="162"/>
      <c r="AX1449" s="163"/>
      <c r="AY1449" s="164">
        <v>4</v>
      </c>
      <c r="AZ1449" s="159" t="s">
        <v>1073</v>
      </c>
      <c r="BA1449" s="161"/>
      <c r="BB1449" s="165"/>
      <c r="BE1449" s="155" t="s">
        <v>242</v>
      </c>
      <c r="BG1449" s="154" t="s">
        <v>5634</v>
      </c>
    </row>
    <row r="1450" spans="1:59" s="154" customFormat="1" ht="15" customHeight="1">
      <c r="A1450" s="153" t="s">
        <v>5461</v>
      </c>
      <c r="B1450" s="153" t="s">
        <v>5496</v>
      </c>
      <c r="C1450" s="154" t="s">
        <v>5491</v>
      </c>
      <c r="D1450" s="170">
        <v>14</v>
      </c>
      <c r="E1450" s="154">
        <v>2</v>
      </c>
      <c r="F1450" s="171" t="s">
        <v>5493</v>
      </c>
      <c r="G1450" s="154" t="s">
        <v>5497</v>
      </c>
      <c r="J1450" s="171" t="s">
        <v>29</v>
      </c>
      <c r="K1450" s="154" t="s">
        <v>2426</v>
      </c>
      <c r="N1450" s="155"/>
      <c r="O1450" s="156"/>
      <c r="P1450" s="157"/>
      <c r="Q1450" s="158">
        <v>2</v>
      </c>
      <c r="R1450" s="159">
        <v>4</v>
      </c>
      <c r="S1450" s="160"/>
      <c r="T1450" s="161">
        <v>3</v>
      </c>
      <c r="U1450" s="156"/>
      <c r="V1450" s="162">
        <v>1</v>
      </c>
      <c r="W1450" s="163"/>
      <c r="X1450" s="164"/>
      <c r="Y1450" s="159"/>
      <c r="Z1450" s="161"/>
      <c r="AA1450" s="165"/>
      <c r="AD1450" s="154" t="s">
        <v>5498</v>
      </c>
      <c r="AE1450" s="155"/>
      <c r="AF1450" s="154" t="s">
        <v>5635</v>
      </c>
      <c r="AL1450" s="171"/>
      <c r="AO1450" s="155"/>
      <c r="AP1450" s="155"/>
      <c r="AQ1450" s="156"/>
      <c r="AR1450" s="157"/>
      <c r="AS1450" s="158"/>
      <c r="AT1450" s="159"/>
      <c r="AU1450" s="161"/>
      <c r="AV1450" s="156"/>
      <c r="AW1450" s="162"/>
      <c r="AX1450" s="163"/>
      <c r="AY1450" s="164"/>
      <c r="AZ1450" s="159"/>
      <c r="BA1450" s="161"/>
      <c r="BB1450" s="165"/>
      <c r="BE1450" s="155"/>
    </row>
    <row r="1451" spans="1:59" s="154" customFormat="1" ht="15" customHeight="1">
      <c r="A1451" s="153" t="s">
        <v>5461</v>
      </c>
      <c r="B1451" s="153" t="s">
        <v>5499</v>
      </c>
      <c r="C1451" s="154" t="s">
        <v>5491</v>
      </c>
      <c r="D1451" s="170">
        <v>15</v>
      </c>
      <c r="E1451" s="154">
        <v>1</v>
      </c>
      <c r="F1451" s="154" t="s">
        <v>5500</v>
      </c>
      <c r="G1451" s="154" t="s">
        <v>5500</v>
      </c>
      <c r="J1451" s="171" t="s">
        <v>618</v>
      </c>
      <c r="K1451" s="154" t="s">
        <v>2426</v>
      </c>
      <c r="N1451" s="155"/>
      <c r="O1451" s="156"/>
      <c r="P1451" s="157"/>
      <c r="Q1451" s="158"/>
      <c r="R1451" s="159"/>
      <c r="S1451" s="160"/>
      <c r="T1451" s="161"/>
      <c r="U1451" s="156"/>
      <c r="V1451" s="162"/>
      <c r="W1451" s="163"/>
      <c r="X1451" s="164"/>
      <c r="Y1451" s="159"/>
      <c r="Z1451" s="161"/>
      <c r="AA1451" s="165"/>
      <c r="AE1451" s="155"/>
      <c r="AF1451" s="154" t="s">
        <v>5636</v>
      </c>
      <c r="AI1451" s="154" t="s">
        <v>5500</v>
      </c>
      <c r="AL1451" s="171" t="s">
        <v>618</v>
      </c>
      <c r="AM1451" s="154" t="s">
        <v>2426</v>
      </c>
      <c r="AO1451" s="155"/>
      <c r="AP1451" s="155"/>
      <c r="AQ1451" s="156"/>
      <c r="AR1451" s="157"/>
      <c r="AS1451" s="158"/>
      <c r="AT1451" s="159"/>
      <c r="AU1451" s="161"/>
      <c r="AV1451" s="156"/>
      <c r="AW1451" s="162"/>
      <c r="AX1451" s="163"/>
      <c r="AY1451" s="164"/>
      <c r="AZ1451" s="159"/>
      <c r="BA1451" s="161"/>
      <c r="BB1451" s="165"/>
      <c r="BE1451" s="155"/>
      <c r="BG1451" s="154" t="s">
        <v>5501</v>
      </c>
    </row>
    <row r="1452" spans="1:59" s="154" customFormat="1" ht="15" customHeight="1">
      <c r="A1452" s="153" t="s">
        <v>5461</v>
      </c>
      <c r="B1452" s="153" t="s">
        <v>5502</v>
      </c>
      <c r="C1452" s="154" t="s">
        <v>5491</v>
      </c>
      <c r="D1452" s="170">
        <v>16</v>
      </c>
      <c r="E1452" s="154">
        <v>1</v>
      </c>
      <c r="F1452" s="154" t="s">
        <v>5500</v>
      </c>
      <c r="G1452" s="154" t="s">
        <v>1571</v>
      </c>
      <c r="J1452" s="154" t="s">
        <v>31</v>
      </c>
      <c r="K1452" s="154" t="s">
        <v>2426</v>
      </c>
      <c r="O1452" s="156"/>
      <c r="P1452" s="157"/>
      <c r="Q1452" s="158"/>
      <c r="R1452" s="159"/>
      <c r="S1452" s="160"/>
      <c r="T1452" s="161"/>
      <c r="U1452" s="156"/>
      <c r="V1452" s="162"/>
      <c r="W1452" s="163"/>
      <c r="X1452" s="164"/>
      <c r="Y1452" s="159"/>
      <c r="Z1452" s="161"/>
      <c r="AA1452" s="165"/>
      <c r="AD1452" s="154" t="s">
        <v>1572</v>
      </c>
      <c r="AI1452" s="154" t="s">
        <v>1571</v>
      </c>
      <c r="AL1452" s="154" t="s">
        <v>31</v>
      </c>
      <c r="AM1452" s="154" t="s">
        <v>2426</v>
      </c>
      <c r="AO1452" s="155"/>
      <c r="AQ1452" s="156"/>
      <c r="AR1452" s="157"/>
      <c r="AS1452" s="158"/>
      <c r="AT1452" s="159"/>
      <c r="AU1452" s="161"/>
      <c r="AV1452" s="156"/>
      <c r="AW1452" s="162"/>
      <c r="AX1452" s="163"/>
      <c r="AY1452" s="164">
        <v>4</v>
      </c>
      <c r="AZ1452" s="159">
        <v>0</v>
      </c>
      <c r="BA1452" s="161"/>
      <c r="BB1452" s="165"/>
      <c r="BE1452" s="155" t="s">
        <v>1572</v>
      </c>
      <c r="BG1452" s="154" t="s">
        <v>5637</v>
      </c>
    </row>
    <row r="1453" spans="1:59" s="154" customFormat="1" ht="15" customHeight="1">
      <c r="A1453" s="153" t="s">
        <v>5461</v>
      </c>
      <c r="B1453" s="169" t="s">
        <v>5503</v>
      </c>
      <c r="C1453" s="154" t="s">
        <v>5491</v>
      </c>
      <c r="D1453" s="170">
        <v>17</v>
      </c>
      <c r="E1453" s="154">
        <v>1</v>
      </c>
      <c r="F1453" s="154" t="s">
        <v>5500</v>
      </c>
      <c r="G1453" s="154" t="s">
        <v>5504</v>
      </c>
      <c r="J1453" s="154" t="s">
        <v>31</v>
      </c>
      <c r="K1453" s="154" t="s">
        <v>2426</v>
      </c>
      <c r="O1453" s="156"/>
      <c r="P1453" s="157"/>
      <c r="Q1453" s="158"/>
      <c r="R1453" s="159"/>
      <c r="S1453" s="160"/>
      <c r="T1453" s="161"/>
      <c r="U1453" s="156"/>
      <c r="V1453" s="162"/>
      <c r="W1453" s="163"/>
      <c r="X1453" s="164"/>
      <c r="Y1453" s="159"/>
      <c r="Z1453" s="161"/>
      <c r="AA1453" s="165"/>
      <c r="AD1453" s="154" t="s">
        <v>1572</v>
      </c>
      <c r="AI1453" s="154" t="s">
        <v>5504</v>
      </c>
      <c r="AL1453" s="154" t="s">
        <v>31</v>
      </c>
      <c r="AM1453" s="154" t="s">
        <v>2426</v>
      </c>
      <c r="AO1453" s="155"/>
      <c r="AQ1453" s="156"/>
      <c r="AR1453" s="157"/>
      <c r="AS1453" s="158"/>
      <c r="AT1453" s="159"/>
      <c r="AU1453" s="161"/>
      <c r="AV1453" s="156"/>
      <c r="AW1453" s="162"/>
      <c r="AX1453" s="163"/>
      <c r="AY1453" s="164">
        <v>1</v>
      </c>
      <c r="AZ1453" s="159">
        <v>0</v>
      </c>
      <c r="BA1453" s="161"/>
      <c r="BB1453" s="165"/>
      <c r="BE1453" s="155" t="s">
        <v>1572</v>
      </c>
      <c r="BG1453" s="154" t="s">
        <v>5505</v>
      </c>
    </row>
    <row r="1454" spans="1:59" s="154" customFormat="1" ht="15" customHeight="1">
      <c r="A1454" s="153" t="s">
        <v>5461</v>
      </c>
      <c r="B1454" s="169" t="s">
        <v>5506</v>
      </c>
      <c r="C1454" s="154" t="s">
        <v>5491</v>
      </c>
      <c r="D1454" s="170">
        <v>18</v>
      </c>
      <c r="E1454" s="154">
        <v>2</v>
      </c>
      <c r="F1454" s="154" t="s">
        <v>5500</v>
      </c>
      <c r="G1454" s="154" t="s">
        <v>5507</v>
      </c>
      <c r="J1454" s="154" t="s">
        <v>28</v>
      </c>
      <c r="K1454" s="154" t="s">
        <v>2426</v>
      </c>
      <c r="O1454" s="156"/>
      <c r="P1454" s="157"/>
      <c r="Q1454" s="158"/>
      <c r="R1454" s="159"/>
      <c r="S1454" s="160"/>
      <c r="T1454" s="161"/>
      <c r="U1454" s="156"/>
      <c r="V1454" s="162"/>
      <c r="W1454" s="163"/>
      <c r="X1454" s="164"/>
      <c r="Y1454" s="159"/>
      <c r="Z1454" s="161"/>
      <c r="AA1454" s="165"/>
      <c r="AD1454" s="154" t="s">
        <v>5508</v>
      </c>
      <c r="AF1454" s="154" t="s">
        <v>5638</v>
      </c>
      <c r="AO1454" s="155"/>
      <c r="AQ1454" s="156"/>
      <c r="AR1454" s="157"/>
      <c r="AS1454" s="158"/>
      <c r="AT1454" s="159"/>
      <c r="AU1454" s="161"/>
      <c r="AV1454" s="156"/>
      <c r="AW1454" s="162"/>
      <c r="AX1454" s="163"/>
      <c r="AY1454" s="164"/>
      <c r="AZ1454" s="159"/>
      <c r="BA1454" s="161"/>
      <c r="BB1454" s="165"/>
      <c r="BE1454" s="155"/>
    </row>
    <row r="1455" spans="1:59" s="154" customFormat="1" ht="15" customHeight="1">
      <c r="A1455" s="153" t="s">
        <v>5461</v>
      </c>
      <c r="B1455" s="153" t="s">
        <v>5509</v>
      </c>
      <c r="C1455" s="154" t="s">
        <v>5491</v>
      </c>
      <c r="D1455" s="170">
        <v>19</v>
      </c>
      <c r="E1455" s="154">
        <v>2</v>
      </c>
      <c r="F1455" s="154" t="s">
        <v>5500</v>
      </c>
      <c r="G1455" s="154" t="s">
        <v>5510</v>
      </c>
      <c r="J1455" s="154" t="s">
        <v>28</v>
      </c>
      <c r="K1455" s="154" t="s">
        <v>2426</v>
      </c>
      <c r="O1455" s="156"/>
      <c r="P1455" s="157"/>
      <c r="Q1455" s="158"/>
      <c r="R1455" s="159"/>
      <c r="S1455" s="160"/>
      <c r="T1455" s="161"/>
      <c r="U1455" s="156"/>
      <c r="V1455" s="162"/>
      <c r="W1455" s="163"/>
      <c r="X1455" s="164"/>
      <c r="Y1455" s="159"/>
      <c r="Z1455" s="161"/>
      <c r="AA1455" s="165"/>
      <c r="AD1455" s="154" t="s">
        <v>5508</v>
      </c>
      <c r="AF1455" s="154" t="s">
        <v>5639</v>
      </c>
      <c r="AO1455" s="155"/>
      <c r="AQ1455" s="156"/>
      <c r="AR1455" s="157"/>
      <c r="AS1455" s="158"/>
      <c r="AT1455" s="159"/>
      <c r="AU1455" s="161"/>
      <c r="AV1455" s="156"/>
      <c r="AW1455" s="162"/>
      <c r="AX1455" s="163"/>
      <c r="AY1455" s="164"/>
      <c r="AZ1455" s="159"/>
      <c r="BA1455" s="161"/>
      <c r="BB1455" s="165"/>
      <c r="BE1455" s="155"/>
    </row>
    <row r="1456" spans="1:59" s="154" customFormat="1" ht="15" customHeight="1">
      <c r="A1456" s="153" t="s">
        <v>5461</v>
      </c>
      <c r="B1456" s="153" t="s">
        <v>5511</v>
      </c>
      <c r="C1456" s="154" t="s">
        <v>5491</v>
      </c>
      <c r="D1456" s="170">
        <v>20</v>
      </c>
      <c r="E1456" s="154">
        <v>1</v>
      </c>
      <c r="F1456" s="154" t="s">
        <v>5512</v>
      </c>
      <c r="G1456" s="154" t="s">
        <v>5512</v>
      </c>
      <c r="J1456" s="154" t="s">
        <v>618</v>
      </c>
      <c r="K1456" s="154" t="s">
        <v>2426</v>
      </c>
      <c r="N1456" s="172"/>
      <c r="O1456" s="156"/>
      <c r="P1456" s="157"/>
      <c r="Q1456" s="158"/>
      <c r="R1456" s="159"/>
      <c r="S1456" s="160"/>
      <c r="T1456" s="161"/>
      <c r="U1456" s="156"/>
      <c r="V1456" s="162"/>
      <c r="W1456" s="163"/>
      <c r="X1456" s="164"/>
      <c r="Y1456" s="159"/>
      <c r="Z1456" s="161"/>
      <c r="AA1456" s="165"/>
      <c r="AF1456" s="154" t="s">
        <v>5640</v>
      </c>
      <c r="AI1456" s="154" t="s">
        <v>5512</v>
      </c>
      <c r="AL1456" s="154" t="s">
        <v>618</v>
      </c>
      <c r="AM1456" s="154" t="s">
        <v>2426</v>
      </c>
      <c r="AO1456" s="155"/>
      <c r="AQ1456" s="156"/>
      <c r="AR1456" s="157"/>
      <c r="AS1456" s="158"/>
      <c r="AT1456" s="159"/>
      <c r="AU1456" s="161"/>
      <c r="AV1456" s="156"/>
      <c r="AW1456" s="162"/>
      <c r="AX1456" s="163"/>
      <c r="AY1456" s="164"/>
      <c r="AZ1456" s="159"/>
      <c r="BA1456" s="161"/>
      <c r="BB1456" s="165"/>
      <c r="BE1456" s="155"/>
      <c r="BG1456" s="154" t="s">
        <v>5641</v>
      </c>
    </row>
    <row r="1457" spans="1:59" s="154" customFormat="1" ht="15" customHeight="1">
      <c r="A1457" s="153" t="s">
        <v>5461</v>
      </c>
      <c r="B1457" s="153" t="s">
        <v>5513</v>
      </c>
      <c r="C1457" s="154" t="s">
        <v>5491</v>
      </c>
      <c r="D1457" s="170">
        <v>21</v>
      </c>
      <c r="E1457" s="154">
        <v>1</v>
      </c>
      <c r="F1457" s="154" t="s">
        <v>5512</v>
      </c>
      <c r="G1457" s="154" t="s">
        <v>1770</v>
      </c>
      <c r="J1457" s="154" t="s">
        <v>31</v>
      </c>
      <c r="K1457" s="154" t="s">
        <v>2426</v>
      </c>
      <c r="O1457" s="156"/>
      <c r="P1457" s="157"/>
      <c r="Q1457" s="158"/>
      <c r="R1457" s="159"/>
      <c r="S1457" s="160"/>
      <c r="T1457" s="161"/>
      <c r="U1457" s="156"/>
      <c r="V1457" s="162"/>
      <c r="W1457" s="163"/>
      <c r="X1457" s="164"/>
      <c r="Y1457" s="159"/>
      <c r="Z1457" s="161"/>
      <c r="AA1457" s="165"/>
      <c r="AD1457" s="154" t="s">
        <v>1772</v>
      </c>
      <c r="AI1457" s="154" t="s">
        <v>1770</v>
      </c>
      <c r="AJ1457" s="154" t="s">
        <v>5514</v>
      </c>
      <c r="AL1457" s="154" t="s">
        <v>31</v>
      </c>
      <c r="AM1457" s="154" t="s">
        <v>2426</v>
      </c>
      <c r="AO1457" s="155"/>
      <c r="AQ1457" s="156"/>
      <c r="AR1457" s="157"/>
      <c r="AS1457" s="158"/>
      <c r="AT1457" s="159"/>
      <c r="AU1457" s="161"/>
      <c r="AV1457" s="156"/>
      <c r="AW1457" s="162"/>
      <c r="AX1457" s="163"/>
      <c r="AY1457" s="164">
        <v>3</v>
      </c>
      <c r="AZ1457" s="159" t="s">
        <v>1073</v>
      </c>
      <c r="BA1457" s="161"/>
      <c r="BB1457" s="165">
        <v>1</v>
      </c>
      <c r="BE1457" s="155" t="s">
        <v>1772</v>
      </c>
      <c r="BG1457" s="154" t="s">
        <v>5642</v>
      </c>
    </row>
    <row r="1458" spans="1:59" s="154" customFormat="1" ht="15" customHeight="1">
      <c r="A1458" s="153" t="s">
        <v>5461</v>
      </c>
      <c r="B1458" s="153" t="s">
        <v>5515</v>
      </c>
      <c r="C1458" s="154" t="s">
        <v>5491</v>
      </c>
      <c r="D1458" s="170">
        <v>22</v>
      </c>
      <c r="E1458" s="154">
        <v>1</v>
      </c>
      <c r="F1458" s="154" t="s">
        <v>5512</v>
      </c>
      <c r="G1458" s="154" t="s">
        <v>1770</v>
      </c>
      <c r="J1458" s="154" t="s">
        <v>31</v>
      </c>
      <c r="K1458" s="154" t="s">
        <v>2426</v>
      </c>
      <c r="O1458" s="156"/>
      <c r="P1458" s="157"/>
      <c r="Q1458" s="158"/>
      <c r="R1458" s="159"/>
      <c r="S1458" s="160"/>
      <c r="T1458" s="161"/>
      <c r="U1458" s="156"/>
      <c r="V1458" s="162"/>
      <c r="W1458" s="163"/>
      <c r="X1458" s="164"/>
      <c r="Y1458" s="159"/>
      <c r="Z1458" s="161"/>
      <c r="AA1458" s="165"/>
      <c r="AD1458" s="154" t="s">
        <v>1772</v>
      </c>
      <c r="AI1458" s="154" t="s">
        <v>1770</v>
      </c>
      <c r="AJ1458" s="154" t="s">
        <v>5516</v>
      </c>
      <c r="AL1458" s="154" t="s">
        <v>31</v>
      </c>
      <c r="AM1458" s="154" t="s">
        <v>2426</v>
      </c>
      <c r="AO1458" s="155"/>
      <c r="AQ1458" s="156"/>
      <c r="AR1458" s="157"/>
      <c r="AS1458" s="158"/>
      <c r="AT1458" s="159"/>
      <c r="AU1458" s="161"/>
      <c r="AV1458" s="156"/>
      <c r="AW1458" s="162"/>
      <c r="AX1458" s="163"/>
      <c r="AY1458" s="164">
        <v>5</v>
      </c>
      <c r="AZ1458" s="159">
        <v>0</v>
      </c>
      <c r="BA1458" s="161"/>
      <c r="BB1458" s="165"/>
      <c r="BE1458" s="155" t="s">
        <v>1772</v>
      </c>
      <c r="BG1458" s="154" t="s">
        <v>5643</v>
      </c>
    </row>
    <row r="1459" spans="1:59" s="154" customFormat="1" ht="15" customHeight="1">
      <c r="A1459" s="153" t="s">
        <v>5461</v>
      </c>
      <c r="B1459" s="153" t="s">
        <v>5517</v>
      </c>
      <c r="C1459" s="154" t="s">
        <v>5491</v>
      </c>
      <c r="D1459" s="170">
        <v>23</v>
      </c>
      <c r="E1459" s="154">
        <v>2</v>
      </c>
      <c r="F1459" s="154" t="s">
        <v>5512</v>
      </c>
      <c r="G1459" s="154" t="s">
        <v>5518</v>
      </c>
      <c r="J1459" s="154" t="s">
        <v>28</v>
      </c>
      <c r="K1459" s="154" t="s">
        <v>2426</v>
      </c>
      <c r="O1459" s="156"/>
      <c r="P1459" s="157"/>
      <c r="Q1459" s="158"/>
      <c r="R1459" s="159"/>
      <c r="S1459" s="160"/>
      <c r="T1459" s="161"/>
      <c r="U1459" s="156"/>
      <c r="V1459" s="162"/>
      <c r="W1459" s="163"/>
      <c r="X1459" s="164"/>
      <c r="Y1459" s="159"/>
      <c r="Z1459" s="161"/>
      <c r="AA1459" s="165"/>
      <c r="AD1459" s="154" t="s">
        <v>1663</v>
      </c>
      <c r="AF1459" s="154" t="s">
        <v>5644</v>
      </c>
      <c r="AO1459" s="155"/>
      <c r="AQ1459" s="156"/>
      <c r="AR1459" s="157"/>
      <c r="AS1459" s="158"/>
      <c r="AT1459" s="159"/>
      <c r="AU1459" s="161"/>
      <c r="AV1459" s="156"/>
      <c r="AW1459" s="162"/>
      <c r="AX1459" s="163"/>
      <c r="AY1459" s="164"/>
      <c r="AZ1459" s="159"/>
      <c r="BA1459" s="161"/>
      <c r="BB1459" s="165"/>
      <c r="BE1459" s="155"/>
    </row>
    <row r="1460" spans="1:59" s="154" customFormat="1" ht="15" customHeight="1">
      <c r="A1460" s="153" t="s">
        <v>5461</v>
      </c>
      <c r="B1460" s="153" t="s">
        <v>5519</v>
      </c>
      <c r="C1460" s="154" t="s">
        <v>5491</v>
      </c>
      <c r="D1460" s="170">
        <v>24</v>
      </c>
      <c r="E1460" s="154">
        <v>2</v>
      </c>
      <c r="F1460" s="154" t="s">
        <v>5512</v>
      </c>
      <c r="G1460" s="154" t="s">
        <v>5520</v>
      </c>
      <c r="J1460" s="154" t="s">
        <v>28</v>
      </c>
      <c r="K1460" s="154" t="s">
        <v>2426</v>
      </c>
      <c r="O1460" s="156"/>
      <c r="P1460" s="157"/>
      <c r="Q1460" s="158"/>
      <c r="R1460" s="159"/>
      <c r="S1460" s="160"/>
      <c r="T1460" s="161"/>
      <c r="U1460" s="156"/>
      <c r="V1460" s="162"/>
      <c r="W1460" s="163"/>
      <c r="X1460" s="164"/>
      <c r="Y1460" s="159"/>
      <c r="Z1460" s="161"/>
      <c r="AA1460" s="165">
        <v>0</v>
      </c>
      <c r="AD1460" s="154" t="s">
        <v>1663</v>
      </c>
      <c r="AF1460" s="154" t="s">
        <v>5645</v>
      </c>
      <c r="AO1460" s="155"/>
      <c r="AQ1460" s="156"/>
      <c r="AR1460" s="157"/>
      <c r="AS1460" s="158"/>
      <c r="AT1460" s="159"/>
      <c r="AU1460" s="161"/>
      <c r="AV1460" s="156"/>
      <c r="AW1460" s="162"/>
      <c r="AX1460" s="163"/>
      <c r="AY1460" s="164"/>
      <c r="AZ1460" s="159"/>
      <c r="BA1460" s="161"/>
      <c r="BB1460" s="165"/>
      <c r="BE1460" s="155"/>
    </row>
    <row r="1461" spans="1:59" s="154" customFormat="1" ht="15" customHeight="1">
      <c r="A1461" s="153" t="s">
        <v>5461</v>
      </c>
      <c r="B1461" s="153" t="s">
        <v>5521</v>
      </c>
      <c r="C1461" s="154" t="s">
        <v>5491</v>
      </c>
      <c r="D1461" s="170">
        <v>25</v>
      </c>
      <c r="E1461" s="154">
        <v>1</v>
      </c>
      <c r="F1461" s="154" t="s">
        <v>5522</v>
      </c>
      <c r="G1461" s="154" t="s">
        <v>5522</v>
      </c>
      <c r="J1461" s="154" t="s">
        <v>618</v>
      </c>
      <c r="K1461" s="154" t="s">
        <v>2426</v>
      </c>
      <c r="O1461" s="156"/>
      <c r="P1461" s="157"/>
      <c r="Q1461" s="158"/>
      <c r="R1461" s="159"/>
      <c r="S1461" s="160"/>
      <c r="T1461" s="161"/>
      <c r="U1461" s="156"/>
      <c r="V1461" s="162"/>
      <c r="W1461" s="163"/>
      <c r="X1461" s="164"/>
      <c r="Y1461" s="159"/>
      <c r="Z1461" s="161"/>
      <c r="AA1461" s="165"/>
      <c r="AF1461" s="154" t="s">
        <v>5646</v>
      </c>
      <c r="AI1461" s="154" t="s">
        <v>5522</v>
      </c>
      <c r="AL1461" s="154" t="s">
        <v>618</v>
      </c>
      <c r="AM1461" s="154" t="s">
        <v>2426</v>
      </c>
      <c r="AO1461" s="155"/>
      <c r="AQ1461" s="156"/>
      <c r="AR1461" s="157"/>
      <c r="AS1461" s="158"/>
      <c r="AT1461" s="159"/>
      <c r="AU1461" s="161"/>
      <c r="AV1461" s="156"/>
      <c r="AW1461" s="162"/>
      <c r="AX1461" s="163"/>
      <c r="AY1461" s="164"/>
      <c r="AZ1461" s="159"/>
      <c r="BA1461" s="161"/>
      <c r="BB1461" s="165"/>
      <c r="BE1461" s="155"/>
      <c r="BG1461" s="154" t="s">
        <v>5523</v>
      </c>
    </row>
    <row r="1462" spans="1:59" s="154" customFormat="1" ht="15" customHeight="1">
      <c r="A1462" s="153" t="s">
        <v>5461</v>
      </c>
      <c r="B1462" s="153" t="s">
        <v>5524</v>
      </c>
      <c r="C1462" s="154" t="s">
        <v>5491</v>
      </c>
      <c r="D1462" s="170">
        <v>26</v>
      </c>
      <c r="E1462" s="154">
        <v>1</v>
      </c>
      <c r="F1462" s="154" t="s">
        <v>5522</v>
      </c>
      <c r="G1462" s="154" t="s">
        <v>5525</v>
      </c>
      <c r="J1462" s="154" t="s">
        <v>619</v>
      </c>
      <c r="K1462" s="154" t="s">
        <v>2426</v>
      </c>
      <c r="L1462" s="154">
        <v>0</v>
      </c>
      <c r="O1462" s="156"/>
      <c r="P1462" s="157"/>
      <c r="Q1462" s="158"/>
      <c r="R1462" s="159"/>
      <c r="S1462" s="160"/>
      <c r="T1462" s="161"/>
      <c r="U1462" s="156"/>
      <c r="V1462" s="162"/>
      <c r="W1462" s="163"/>
      <c r="X1462" s="164"/>
      <c r="Y1462" s="159"/>
      <c r="Z1462" s="161">
        <v>2</v>
      </c>
      <c r="AA1462" s="165"/>
      <c r="AO1462" s="155"/>
      <c r="AQ1462" s="156"/>
      <c r="AR1462" s="157"/>
      <c r="AS1462" s="158"/>
      <c r="AT1462" s="159"/>
      <c r="AU1462" s="161"/>
      <c r="AV1462" s="156"/>
      <c r="AW1462" s="162"/>
      <c r="AX1462" s="163"/>
      <c r="AY1462" s="164"/>
      <c r="AZ1462" s="159"/>
      <c r="BA1462" s="161"/>
      <c r="BB1462" s="165"/>
    </row>
    <row r="1463" spans="1:59" s="154" customFormat="1" ht="15" customHeight="1">
      <c r="A1463" s="153" t="s">
        <v>5461</v>
      </c>
      <c r="B1463" s="153" t="s">
        <v>5526</v>
      </c>
      <c r="C1463" s="154" t="s">
        <v>5491</v>
      </c>
      <c r="D1463" s="170">
        <v>26</v>
      </c>
      <c r="E1463" s="154">
        <v>1</v>
      </c>
      <c r="F1463" s="154" t="s">
        <v>5522</v>
      </c>
      <c r="G1463" s="154" t="s">
        <v>5527</v>
      </c>
      <c r="H1463" s="154" t="s">
        <v>5528</v>
      </c>
      <c r="I1463" s="154" t="s">
        <v>223</v>
      </c>
      <c r="J1463" s="154" t="s">
        <v>29</v>
      </c>
      <c r="K1463" s="171" t="s">
        <v>2426</v>
      </c>
      <c r="O1463" s="156"/>
      <c r="P1463" s="157"/>
      <c r="Q1463" s="158">
        <v>3</v>
      </c>
      <c r="R1463" s="159">
        <v>3</v>
      </c>
      <c r="S1463" s="160"/>
      <c r="T1463" s="161">
        <v>4</v>
      </c>
      <c r="U1463" s="156"/>
      <c r="V1463" s="162">
        <v>2</v>
      </c>
      <c r="W1463" s="163">
        <v>1</v>
      </c>
      <c r="X1463" s="164"/>
      <c r="Y1463" s="159"/>
      <c r="Z1463" s="161"/>
      <c r="AA1463" s="165"/>
      <c r="AD1463" s="154" t="s">
        <v>1794</v>
      </c>
      <c r="AF1463" s="154" t="s">
        <v>5647</v>
      </c>
      <c r="AM1463" s="171"/>
      <c r="AO1463" s="155"/>
      <c r="AQ1463" s="156"/>
      <c r="AR1463" s="157"/>
      <c r="AS1463" s="158"/>
      <c r="AT1463" s="159"/>
      <c r="AU1463" s="161"/>
      <c r="AV1463" s="156"/>
      <c r="AW1463" s="162"/>
      <c r="AX1463" s="163"/>
      <c r="AY1463" s="164"/>
      <c r="AZ1463" s="159"/>
      <c r="BA1463" s="161"/>
      <c r="BB1463" s="165"/>
    </row>
    <row r="1464" spans="1:59" s="154" customFormat="1" ht="15" customHeight="1">
      <c r="A1464" s="153" t="s">
        <v>5461</v>
      </c>
      <c r="B1464" s="153" t="s">
        <v>5529</v>
      </c>
      <c r="C1464" s="154" t="s">
        <v>5491</v>
      </c>
      <c r="D1464" s="170">
        <v>27</v>
      </c>
      <c r="E1464" s="154">
        <v>1</v>
      </c>
      <c r="F1464" s="154" t="s">
        <v>5522</v>
      </c>
      <c r="G1464" s="154" t="s">
        <v>5530</v>
      </c>
      <c r="J1464" s="154" t="s">
        <v>619</v>
      </c>
      <c r="K1464" s="171" t="s">
        <v>2426</v>
      </c>
      <c r="L1464" s="154">
        <v>1</v>
      </c>
      <c r="O1464" s="156"/>
      <c r="P1464" s="157"/>
      <c r="Q1464" s="158"/>
      <c r="R1464" s="159"/>
      <c r="S1464" s="160"/>
      <c r="T1464" s="161"/>
      <c r="U1464" s="156"/>
      <c r="V1464" s="162"/>
      <c r="W1464" s="163"/>
      <c r="X1464" s="164"/>
      <c r="Y1464" s="159"/>
      <c r="Z1464" s="161">
        <v>2</v>
      </c>
      <c r="AA1464" s="165"/>
      <c r="AI1464" s="154" t="s">
        <v>1875</v>
      </c>
      <c r="AL1464" s="154" t="s">
        <v>619</v>
      </c>
      <c r="AM1464" s="154" t="s">
        <v>2426</v>
      </c>
      <c r="AN1464" s="154">
        <v>1</v>
      </c>
      <c r="AO1464" s="155"/>
      <c r="AQ1464" s="156"/>
      <c r="AR1464" s="157"/>
      <c r="AS1464" s="158"/>
      <c r="AT1464" s="159"/>
      <c r="AU1464" s="161"/>
      <c r="AV1464" s="156"/>
      <c r="AW1464" s="162"/>
      <c r="AX1464" s="163"/>
      <c r="AY1464" s="164"/>
      <c r="AZ1464" s="159"/>
      <c r="BA1464" s="161"/>
      <c r="BB1464" s="165"/>
      <c r="BE1464" s="155"/>
      <c r="BG1464" s="154" t="s">
        <v>5531</v>
      </c>
    </row>
    <row r="1465" spans="1:59" s="154" customFormat="1" ht="15" customHeight="1">
      <c r="A1465" s="153" t="s">
        <v>5461</v>
      </c>
      <c r="B1465" s="169" t="s">
        <v>5532</v>
      </c>
      <c r="C1465" s="154" t="s">
        <v>5491</v>
      </c>
      <c r="D1465" s="170">
        <v>28</v>
      </c>
      <c r="E1465" s="154">
        <v>1</v>
      </c>
      <c r="F1465" s="154" t="s">
        <v>5522</v>
      </c>
      <c r="G1465" s="154" t="s">
        <v>1829</v>
      </c>
      <c r="J1465" s="154" t="s">
        <v>31</v>
      </c>
      <c r="K1465" s="171" t="s">
        <v>2426</v>
      </c>
      <c r="O1465" s="156"/>
      <c r="P1465" s="157"/>
      <c r="Q1465" s="158"/>
      <c r="R1465" s="159"/>
      <c r="S1465" s="160"/>
      <c r="T1465" s="161"/>
      <c r="U1465" s="156"/>
      <c r="V1465" s="162"/>
      <c r="W1465" s="163"/>
      <c r="X1465" s="164"/>
      <c r="Y1465" s="159"/>
      <c r="Z1465" s="161"/>
      <c r="AA1465" s="165"/>
      <c r="AD1465" s="154" t="s">
        <v>1828</v>
      </c>
      <c r="AI1465" s="154" t="s">
        <v>1829</v>
      </c>
      <c r="AL1465" s="154" t="s">
        <v>31</v>
      </c>
      <c r="AM1465" s="154" t="s">
        <v>2426</v>
      </c>
      <c r="AO1465" s="155"/>
      <c r="AQ1465" s="156"/>
      <c r="AR1465" s="157"/>
      <c r="AS1465" s="158"/>
      <c r="AT1465" s="159"/>
      <c r="AU1465" s="161"/>
      <c r="AV1465" s="156"/>
      <c r="AW1465" s="162"/>
      <c r="AX1465" s="163"/>
      <c r="AY1465" s="164">
        <v>3</v>
      </c>
      <c r="AZ1465" s="159" t="s">
        <v>1111</v>
      </c>
      <c r="BA1465" s="161"/>
      <c r="BB1465" s="165">
        <v>1</v>
      </c>
      <c r="BE1465" s="155" t="s">
        <v>1828</v>
      </c>
      <c r="BG1465" s="154" t="s">
        <v>5533</v>
      </c>
    </row>
    <row r="1466" spans="1:59" s="154" customFormat="1" ht="15" customHeight="1">
      <c r="A1466" s="153" t="s">
        <v>5461</v>
      </c>
      <c r="B1466" s="153" t="s">
        <v>5534</v>
      </c>
      <c r="C1466" s="154" t="s">
        <v>5491</v>
      </c>
      <c r="D1466" s="170">
        <v>29</v>
      </c>
      <c r="E1466" s="154">
        <v>1</v>
      </c>
      <c r="F1466" s="154" t="s">
        <v>5522</v>
      </c>
      <c r="G1466" s="154" t="s">
        <v>5535</v>
      </c>
      <c r="J1466" s="154" t="s">
        <v>31</v>
      </c>
      <c r="K1466" s="154" t="s">
        <v>2426</v>
      </c>
      <c r="O1466" s="156"/>
      <c r="P1466" s="157"/>
      <c r="Q1466" s="158"/>
      <c r="R1466" s="159"/>
      <c r="S1466" s="160"/>
      <c r="T1466" s="161"/>
      <c r="U1466" s="156"/>
      <c r="V1466" s="162"/>
      <c r="W1466" s="163"/>
      <c r="X1466" s="164"/>
      <c r="Y1466" s="159"/>
      <c r="Z1466" s="161"/>
      <c r="AA1466" s="165"/>
      <c r="AD1466" s="154" t="s">
        <v>1828</v>
      </c>
      <c r="AI1466" s="154" t="s">
        <v>1827</v>
      </c>
      <c r="AL1466" s="154" t="s">
        <v>31</v>
      </c>
      <c r="AM1466" s="154" t="s">
        <v>2426</v>
      </c>
      <c r="AO1466" s="155"/>
      <c r="AQ1466" s="156"/>
      <c r="AR1466" s="157"/>
      <c r="AS1466" s="158"/>
      <c r="AT1466" s="159"/>
      <c r="AU1466" s="161"/>
      <c r="AV1466" s="156"/>
      <c r="AW1466" s="162"/>
      <c r="AX1466" s="163"/>
      <c r="AY1466" s="164">
        <v>1</v>
      </c>
      <c r="AZ1466" s="159" t="s">
        <v>1111</v>
      </c>
      <c r="BA1466" s="161"/>
      <c r="BB1466" s="165"/>
      <c r="BE1466" s="155" t="s">
        <v>1828</v>
      </c>
      <c r="BG1466" s="154" t="s">
        <v>5536</v>
      </c>
    </row>
    <row r="1467" spans="1:59" s="154" customFormat="1" ht="15" customHeight="1">
      <c r="A1467" s="153" t="s">
        <v>5461</v>
      </c>
      <c r="B1467" s="153" t="s">
        <v>5537</v>
      </c>
      <c r="C1467" s="154" t="s">
        <v>5491</v>
      </c>
      <c r="D1467" s="170">
        <v>30</v>
      </c>
      <c r="E1467" s="154">
        <v>1</v>
      </c>
      <c r="F1467" s="154" t="s">
        <v>5522</v>
      </c>
      <c r="G1467" s="154" t="s">
        <v>5538</v>
      </c>
      <c r="J1467" s="154" t="s">
        <v>31</v>
      </c>
      <c r="K1467" s="154" t="s">
        <v>2426</v>
      </c>
      <c r="O1467" s="156"/>
      <c r="P1467" s="157"/>
      <c r="Q1467" s="158"/>
      <c r="R1467" s="159"/>
      <c r="S1467" s="160"/>
      <c r="T1467" s="161"/>
      <c r="U1467" s="156"/>
      <c r="V1467" s="162"/>
      <c r="W1467" s="163"/>
      <c r="X1467" s="164"/>
      <c r="Y1467" s="159"/>
      <c r="Z1467" s="161"/>
      <c r="AA1467" s="165"/>
      <c r="AD1467" s="154" t="s">
        <v>1828</v>
      </c>
      <c r="AI1467" s="154" t="s">
        <v>1827</v>
      </c>
      <c r="AL1467" s="154" t="s">
        <v>31</v>
      </c>
      <c r="AM1467" s="154" t="s">
        <v>2426</v>
      </c>
      <c r="AP1467" s="155"/>
      <c r="AQ1467" s="156"/>
      <c r="AR1467" s="157"/>
      <c r="AS1467" s="158"/>
      <c r="AT1467" s="159"/>
      <c r="AU1467" s="161"/>
      <c r="AV1467" s="156"/>
      <c r="AW1467" s="162"/>
      <c r="AX1467" s="163"/>
      <c r="AY1467" s="164">
        <v>3</v>
      </c>
      <c r="AZ1467" s="159">
        <v>3</v>
      </c>
      <c r="BA1467" s="161"/>
      <c r="BB1467" s="165"/>
      <c r="BE1467" s="154" t="s">
        <v>1828</v>
      </c>
      <c r="BF1467" s="155"/>
      <c r="BG1467" s="154" t="s">
        <v>5536</v>
      </c>
    </row>
    <row r="1468" spans="1:59" s="154" customFormat="1" ht="15" customHeight="1">
      <c r="A1468" s="153" t="s">
        <v>5461</v>
      </c>
      <c r="B1468" s="153" t="s">
        <v>5539</v>
      </c>
      <c r="C1468" s="154" t="s">
        <v>5491</v>
      </c>
      <c r="D1468" s="170">
        <v>31</v>
      </c>
      <c r="E1468" s="154">
        <v>1</v>
      </c>
      <c r="F1468" s="154" t="s">
        <v>5522</v>
      </c>
      <c r="G1468" s="154" t="s">
        <v>5540</v>
      </c>
      <c r="J1468" s="154" t="s">
        <v>257</v>
      </c>
      <c r="K1468" s="154" t="s">
        <v>26</v>
      </c>
      <c r="N1468" s="155"/>
      <c r="O1468" s="156"/>
      <c r="P1468" s="157"/>
      <c r="Q1468" s="158"/>
      <c r="R1468" s="159"/>
      <c r="S1468" s="160"/>
      <c r="T1468" s="161">
        <v>2</v>
      </c>
      <c r="U1468" s="156">
        <v>2</v>
      </c>
      <c r="V1468" s="162"/>
      <c r="W1468" s="163"/>
      <c r="X1468" s="164"/>
      <c r="Y1468" s="159"/>
      <c r="Z1468" s="161"/>
      <c r="AA1468" s="165"/>
      <c r="AD1468" s="154" t="s">
        <v>1833</v>
      </c>
      <c r="AE1468" s="155"/>
      <c r="AF1468" s="154" t="s">
        <v>5648</v>
      </c>
      <c r="AP1468" s="155"/>
      <c r="AQ1468" s="156"/>
      <c r="AR1468" s="157"/>
      <c r="AS1468" s="158"/>
      <c r="AT1468" s="159"/>
      <c r="AU1468" s="161"/>
      <c r="AV1468" s="156"/>
      <c r="AW1468" s="162"/>
      <c r="AX1468" s="163"/>
      <c r="AY1468" s="164"/>
      <c r="AZ1468" s="159"/>
      <c r="BA1468" s="161"/>
      <c r="BB1468" s="165"/>
      <c r="BF1468" s="155"/>
    </row>
    <row r="1469" spans="1:59" s="154" customFormat="1" ht="15" customHeight="1">
      <c r="A1469" s="153" t="s">
        <v>5461</v>
      </c>
      <c r="B1469" s="153" t="s">
        <v>5541</v>
      </c>
      <c r="C1469" s="154" t="s">
        <v>5491</v>
      </c>
      <c r="D1469" s="170">
        <v>32</v>
      </c>
      <c r="E1469" s="154">
        <v>1</v>
      </c>
      <c r="F1469" s="154" t="s">
        <v>5542</v>
      </c>
      <c r="G1469" s="154" t="s">
        <v>5542</v>
      </c>
      <c r="J1469" s="154" t="s">
        <v>618</v>
      </c>
      <c r="K1469" s="154" t="s">
        <v>2426</v>
      </c>
      <c r="N1469" s="155"/>
      <c r="O1469" s="156"/>
      <c r="P1469" s="157"/>
      <c r="Q1469" s="158"/>
      <c r="R1469" s="159"/>
      <c r="S1469" s="160"/>
      <c r="T1469" s="161"/>
      <c r="U1469" s="156"/>
      <c r="V1469" s="162"/>
      <c r="W1469" s="163"/>
      <c r="X1469" s="164"/>
      <c r="Y1469" s="159"/>
      <c r="Z1469" s="161"/>
      <c r="AA1469" s="165"/>
      <c r="AE1469" s="155"/>
      <c r="AF1469" s="154" t="s">
        <v>5649</v>
      </c>
      <c r="AI1469" s="154" t="s">
        <v>5542</v>
      </c>
      <c r="AL1469" s="154" t="s">
        <v>618</v>
      </c>
      <c r="AM1469" s="154" t="s">
        <v>2426</v>
      </c>
      <c r="AP1469" s="155"/>
      <c r="AQ1469" s="156"/>
      <c r="AR1469" s="157"/>
      <c r="AS1469" s="158"/>
      <c r="AT1469" s="159"/>
      <c r="AU1469" s="161"/>
      <c r="AV1469" s="156"/>
      <c r="AW1469" s="162"/>
      <c r="AX1469" s="163"/>
      <c r="AY1469" s="164"/>
      <c r="AZ1469" s="159"/>
      <c r="BA1469" s="161"/>
      <c r="BB1469" s="165"/>
      <c r="BF1469" s="155"/>
      <c r="BG1469" s="154" t="s">
        <v>5650</v>
      </c>
    </row>
    <row r="1470" spans="1:59" s="154" customFormat="1" ht="15" customHeight="1">
      <c r="A1470" s="153" t="s">
        <v>5461</v>
      </c>
      <c r="B1470" s="153" t="s">
        <v>5543</v>
      </c>
      <c r="C1470" s="154" t="s">
        <v>5491</v>
      </c>
      <c r="D1470" s="170">
        <v>33</v>
      </c>
      <c r="E1470" s="154">
        <v>1</v>
      </c>
      <c r="F1470" s="154" t="s">
        <v>5542</v>
      </c>
      <c r="G1470" s="154" t="s">
        <v>2009</v>
      </c>
      <c r="J1470" s="154" t="s">
        <v>31</v>
      </c>
      <c r="K1470" s="154" t="s">
        <v>2426</v>
      </c>
      <c r="N1470" s="155"/>
      <c r="O1470" s="156"/>
      <c r="P1470" s="157"/>
      <c r="Q1470" s="158"/>
      <c r="R1470" s="159"/>
      <c r="S1470" s="160"/>
      <c r="T1470" s="161"/>
      <c r="U1470" s="156"/>
      <c r="V1470" s="162"/>
      <c r="W1470" s="163"/>
      <c r="X1470" s="164"/>
      <c r="Y1470" s="159"/>
      <c r="Z1470" s="161"/>
      <c r="AA1470" s="165"/>
      <c r="AD1470" s="154" t="s">
        <v>2010</v>
      </c>
      <c r="AE1470" s="155"/>
      <c r="AI1470" s="154" t="s">
        <v>2009</v>
      </c>
      <c r="AJ1470" s="154" t="s">
        <v>5544</v>
      </c>
      <c r="AL1470" s="154" t="s">
        <v>31</v>
      </c>
      <c r="AM1470" s="154" t="s">
        <v>2426</v>
      </c>
      <c r="AP1470" s="155"/>
      <c r="AQ1470" s="156"/>
      <c r="AR1470" s="157"/>
      <c r="AS1470" s="158"/>
      <c r="AT1470" s="159"/>
      <c r="AU1470" s="161"/>
      <c r="AV1470" s="156"/>
      <c r="AW1470" s="162"/>
      <c r="AX1470" s="163"/>
      <c r="AY1470" s="164">
        <v>3</v>
      </c>
      <c r="AZ1470" s="159">
        <v>0</v>
      </c>
      <c r="BA1470" s="161"/>
      <c r="BB1470" s="165"/>
      <c r="BE1470" s="154" t="s">
        <v>2010</v>
      </c>
      <c r="BF1470" s="155"/>
      <c r="BG1470" s="154" t="s">
        <v>5651</v>
      </c>
    </row>
    <row r="1471" spans="1:59" s="154" customFormat="1" ht="15" customHeight="1">
      <c r="A1471" s="153" t="s">
        <v>5461</v>
      </c>
      <c r="B1471" s="169" t="s">
        <v>5545</v>
      </c>
      <c r="C1471" s="154" t="s">
        <v>5491</v>
      </c>
      <c r="D1471" s="170">
        <v>34</v>
      </c>
      <c r="E1471" s="154">
        <v>1</v>
      </c>
      <c r="F1471" s="154" t="s">
        <v>5542</v>
      </c>
      <c r="G1471" s="154" t="s">
        <v>5546</v>
      </c>
      <c r="J1471" s="154" t="s">
        <v>31</v>
      </c>
      <c r="K1471" s="154" t="s">
        <v>2426</v>
      </c>
      <c r="N1471" s="155"/>
      <c r="O1471" s="156"/>
      <c r="P1471" s="157"/>
      <c r="Q1471" s="158"/>
      <c r="R1471" s="159"/>
      <c r="S1471" s="160"/>
      <c r="T1471" s="161"/>
      <c r="U1471" s="156"/>
      <c r="V1471" s="162"/>
      <c r="W1471" s="163"/>
      <c r="X1471" s="164"/>
      <c r="Y1471" s="159"/>
      <c r="Z1471" s="161"/>
      <c r="AA1471" s="165"/>
      <c r="AD1471" s="154" t="s">
        <v>2013</v>
      </c>
      <c r="AE1471" s="155"/>
      <c r="AI1471" s="154" t="s">
        <v>5546</v>
      </c>
      <c r="AL1471" s="154" t="s">
        <v>31</v>
      </c>
      <c r="AM1471" s="154" t="s">
        <v>2426</v>
      </c>
      <c r="AP1471" s="155"/>
      <c r="AQ1471" s="156"/>
      <c r="AR1471" s="157"/>
      <c r="AS1471" s="158"/>
      <c r="AT1471" s="159"/>
      <c r="AU1471" s="161"/>
      <c r="AV1471" s="156"/>
      <c r="AW1471" s="162"/>
      <c r="AX1471" s="163"/>
      <c r="AY1471" s="164">
        <v>3</v>
      </c>
      <c r="AZ1471" s="159">
        <v>2</v>
      </c>
      <c r="BA1471" s="161"/>
      <c r="BB1471" s="165"/>
      <c r="BE1471" s="154" t="s">
        <v>2013</v>
      </c>
      <c r="BF1471" s="155"/>
      <c r="BG1471" s="154" t="s">
        <v>5652</v>
      </c>
    </row>
    <row r="1472" spans="1:59" s="154" customFormat="1" ht="15" customHeight="1">
      <c r="A1472" s="153" t="s">
        <v>5461</v>
      </c>
      <c r="B1472" s="153" t="s">
        <v>5547</v>
      </c>
      <c r="C1472" s="154" t="s">
        <v>5491</v>
      </c>
      <c r="D1472" s="170">
        <v>35</v>
      </c>
      <c r="E1472" s="154">
        <v>1</v>
      </c>
      <c r="F1472" s="154" t="s">
        <v>5542</v>
      </c>
      <c r="G1472" s="154" t="s">
        <v>2014</v>
      </c>
      <c r="J1472" s="154" t="s">
        <v>31</v>
      </c>
      <c r="K1472" s="154" t="s">
        <v>2426</v>
      </c>
      <c r="N1472" s="155"/>
      <c r="O1472" s="156"/>
      <c r="P1472" s="157"/>
      <c r="Q1472" s="158"/>
      <c r="R1472" s="159"/>
      <c r="S1472" s="160"/>
      <c r="T1472" s="161"/>
      <c r="U1472" s="156"/>
      <c r="V1472" s="162"/>
      <c r="W1472" s="163"/>
      <c r="X1472" s="164"/>
      <c r="Y1472" s="159"/>
      <c r="Z1472" s="161"/>
      <c r="AA1472" s="165"/>
      <c r="AD1472" s="154" t="s">
        <v>2013</v>
      </c>
      <c r="AE1472" s="155"/>
      <c r="AI1472" s="154" t="s">
        <v>2014</v>
      </c>
      <c r="AL1472" s="154" t="s">
        <v>31</v>
      </c>
      <c r="AM1472" s="154" t="s">
        <v>2426</v>
      </c>
      <c r="AP1472" s="155"/>
      <c r="AQ1472" s="156"/>
      <c r="AR1472" s="157"/>
      <c r="AS1472" s="158"/>
      <c r="AT1472" s="159"/>
      <c r="AU1472" s="161"/>
      <c r="AV1472" s="156"/>
      <c r="AW1472" s="162"/>
      <c r="AX1472" s="163"/>
      <c r="AY1472" s="164">
        <v>2</v>
      </c>
      <c r="AZ1472" s="159">
        <v>3</v>
      </c>
      <c r="BA1472" s="161"/>
      <c r="BB1472" s="165"/>
      <c r="BE1472" s="154" t="s">
        <v>2013</v>
      </c>
      <c r="BF1472" s="155"/>
      <c r="BG1472" s="154" t="s">
        <v>5653</v>
      </c>
    </row>
    <row r="1473" spans="1:59" s="154" customFormat="1" ht="15" customHeight="1">
      <c r="A1473" s="153" t="s">
        <v>5461</v>
      </c>
      <c r="B1473" s="153" t="s">
        <v>5548</v>
      </c>
      <c r="C1473" s="154" t="s">
        <v>5491</v>
      </c>
      <c r="D1473" s="170">
        <v>36</v>
      </c>
      <c r="E1473" s="154">
        <v>1</v>
      </c>
      <c r="F1473" s="154" t="s">
        <v>5542</v>
      </c>
      <c r="G1473" s="154" t="s">
        <v>5549</v>
      </c>
      <c r="J1473" s="154" t="s">
        <v>31</v>
      </c>
      <c r="K1473" s="154" t="s">
        <v>2426</v>
      </c>
      <c r="N1473" s="155"/>
      <c r="O1473" s="156"/>
      <c r="P1473" s="157"/>
      <c r="Q1473" s="158"/>
      <c r="R1473" s="159"/>
      <c r="S1473" s="160"/>
      <c r="T1473" s="161"/>
      <c r="U1473" s="156"/>
      <c r="V1473" s="162"/>
      <c r="W1473" s="163"/>
      <c r="X1473" s="164"/>
      <c r="Y1473" s="159"/>
      <c r="Z1473" s="161"/>
      <c r="AA1473" s="165"/>
      <c r="AD1473" s="154" t="s">
        <v>2013</v>
      </c>
      <c r="AE1473" s="155"/>
      <c r="AI1473" s="153" t="s">
        <v>5549</v>
      </c>
      <c r="AL1473" s="154" t="s">
        <v>31</v>
      </c>
      <c r="AM1473" s="154" t="s">
        <v>2426</v>
      </c>
      <c r="AP1473" s="155"/>
      <c r="AQ1473" s="156"/>
      <c r="AR1473" s="157"/>
      <c r="AS1473" s="158"/>
      <c r="AT1473" s="159"/>
      <c r="AU1473" s="161"/>
      <c r="AV1473" s="156"/>
      <c r="AW1473" s="162"/>
      <c r="AX1473" s="163"/>
      <c r="AY1473" s="164">
        <v>3</v>
      </c>
      <c r="AZ1473" s="159" t="s">
        <v>1073</v>
      </c>
      <c r="BA1473" s="161"/>
      <c r="BB1473" s="165"/>
      <c r="BE1473" s="154" t="s">
        <v>2013</v>
      </c>
      <c r="BF1473" s="155"/>
      <c r="BG1473" s="154" t="s">
        <v>5654</v>
      </c>
    </row>
    <row r="1474" spans="1:59" s="154" customFormat="1" ht="15" customHeight="1">
      <c r="A1474" s="153" t="s">
        <v>5461</v>
      </c>
      <c r="B1474" s="169" t="s">
        <v>5550</v>
      </c>
      <c r="C1474" s="154" t="s">
        <v>5491</v>
      </c>
      <c r="D1474" s="170">
        <v>37</v>
      </c>
      <c r="E1474" s="154">
        <v>1</v>
      </c>
      <c r="F1474" s="154" t="s">
        <v>5542</v>
      </c>
      <c r="G1474" s="154" t="s">
        <v>2016</v>
      </c>
      <c r="J1474" s="154" t="s">
        <v>31</v>
      </c>
      <c r="K1474" s="154" t="s">
        <v>2426</v>
      </c>
      <c r="N1474" s="155"/>
      <c r="O1474" s="156"/>
      <c r="P1474" s="157"/>
      <c r="Q1474" s="158"/>
      <c r="R1474" s="159"/>
      <c r="S1474" s="160"/>
      <c r="T1474" s="161"/>
      <c r="U1474" s="156"/>
      <c r="V1474" s="162"/>
      <c r="W1474" s="163"/>
      <c r="X1474" s="164"/>
      <c r="Y1474" s="159"/>
      <c r="Z1474" s="161"/>
      <c r="AA1474" s="165"/>
      <c r="AD1474" s="154" t="s">
        <v>2013</v>
      </c>
      <c r="AE1474" s="155"/>
      <c r="AI1474" s="154" t="s">
        <v>2016</v>
      </c>
      <c r="AL1474" s="154" t="s">
        <v>31</v>
      </c>
      <c r="AM1474" s="154" t="s">
        <v>2426</v>
      </c>
      <c r="AP1474" s="155"/>
      <c r="AQ1474" s="156"/>
      <c r="AR1474" s="157"/>
      <c r="AS1474" s="158"/>
      <c r="AT1474" s="159"/>
      <c r="AU1474" s="161"/>
      <c r="AV1474" s="156"/>
      <c r="AW1474" s="162"/>
      <c r="AX1474" s="163"/>
      <c r="AY1474" s="164">
        <v>1</v>
      </c>
      <c r="AZ1474" s="159" t="s">
        <v>1073</v>
      </c>
      <c r="BA1474" s="161"/>
      <c r="BB1474" s="165"/>
      <c r="BE1474" s="154" t="s">
        <v>2013</v>
      </c>
      <c r="BF1474" s="155"/>
      <c r="BG1474" s="154" t="s">
        <v>5655</v>
      </c>
    </row>
    <row r="1475" spans="1:59" s="154" customFormat="1" ht="15" customHeight="1">
      <c r="A1475" s="153" t="s">
        <v>5461</v>
      </c>
      <c r="B1475" s="153" t="s">
        <v>5551</v>
      </c>
      <c r="C1475" s="154" t="s">
        <v>5491</v>
      </c>
      <c r="D1475" s="170">
        <v>38</v>
      </c>
      <c r="E1475" s="154">
        <v>1</v>
      </c>
      <c r="F1475" s="154" t="s">
        <v>5542</v>
      </c>
      <c r="G1475" s="154" t="s">
        <v>2017</v>
      </c>
      <c r="J1475" s="154" t="s">
        <v>31</v>
      </c>
      <c r="K1475" s="154" t="s">
        <v>2426</v>
      </c>
      <c r="N1475" s="155"/>
      <c r="O1475" s="156"/>
      <c r="P1475" s="157"/>
      <c r="Q1475" s="158"/>
      <c r="R1475" s="159"/>
      <c r="S1475" s="160"/>
      <c r="T1475" s="161"/>
      <c r="U1475" s="156"/>
      <c r="V1475" s="162"/>
      <c r="W1475" s="163"/>
      <c r="X1475" s="164"/>
      <c r="Y1475" s="159"/>
      <c r="Z1475" s="161"/>
      <c r="AA1475" s="165"/>
      <c r="AD1475" s="154" t="s">
        <v>2013</v>
      </c>
      <c r="AE1475" s="155"/>
      <c r="AI1475" s="154" t="s">
        <v>2017</v>
      </c>
      <c r="AL1475" s="154" t="s">
        <v>31</v>
      </c>
      <c r="AM1475" s="154" t="s">
        <v>2426</v>
      </c>
      <c r="AP1475" s="155"/>
      <c r="AQ1475" s="156"/>
      <c r="AR1475" s="157"/>
      <c r="AS1475" s="158"/>
      <c r="AT1475" s="159"/>
      <c r="AU1475" s="161"/>
      <c r="AV1475" s="156"/>
      <c r="AW1475" s="162"/>
      <c r="AX1475" s="163"/>
      <c r="AY1475" s="164">
        <v>2</v>
      </c>
      <c r="AZ1475" s="159" t="s">
        <v>1073</v>
      </c>
      <c r="BA1475" s="161"/>
      <c r="BB1475" s="165"/>
      <c r="BE1475" s="154" t="s">
        <v>2013</v>
      </c>
      <c r="BF1475" s="155"/>
      <c r="BG1475" s="154" t="s">
        <v>5656</v>
      </c>
    </row>
    <row r="1476" spans="1:59" s="154" customFormat="1" ht="15" customHeight="1">
      <c r="A1476" s="153" t="s">
        <v>5461</v>
      </c>
      <c r="B1476" s="153" t="s">
        <v>5552</v>
      </c>
      <c r="C1476" s="154" t="s">
        <v>5491</v>
      </c>
      <c r="D1476" s="170">
        <v>39</v>
      </c>
      <c r="E1476" s="154">
        <v>1</v>
      </c>
      <c r="F1476" s="154" t="s">
        <v>5542</v>
      </c>
      <c r="G1476" s="154" t="s">
        <v>2018</v>
      </c>
      <c r="J1476" s="154" t="s">
        <v>31</v>
      </c>
      <c r="K1476" s="154" t="s">
        <v>2426</v>
      </c>
      <c r="N1476" s="155"/>
      <c r="O1476" s="156"/>
      <c r="P1476" s="157"/>
      <c r="Q1476" s="158"/>
      <c r="R1476" s="159"/>
      <c r="S1476" s="160"/>
      <c r="T1476" s="161"/>
      <c r="U1476" s="156"/>
      <c r="V1476" s="162"/>
      <c r="W1476" s="163"/>
      <c r="X1476" s="164"/>
      <c r="Y1476" s="159"/>
      <c r="Z1476" s="161"/>
      <c r="AA1476" s="165"/>
      <c r="AD1476" s="154" t="s">
        <v>2013</v>
      </c>
      <c r="AE1476" s="155"/>
      <c r="AI1476" s="154" t="s">
        <v>2018</v>
      </c>
      <c r="AL1476" s="154" t="s">
        <v>31</v>
      </c>
      <c r="AM1476" s="154" t="s">
        <v>2426</v>
      </c>
      <c r="AP1476" s="155"/>
      <c r="AQ1476" s="156"/>
      <c r="AR1476" s="157"/>
      <c r="AS1476" s="158"/>
      <c r="AT1476" s="159"/>
      <c r="AU1476" s="161"/>
      <c r="AV1476" s="156"/>
      <c r="AW1476" s="162"/>
      <c r="AX1476" s="163"/>
      <c r="AY1476" s="164">
        <v>4</v>
      </c>
      <c r="AZ1476" s="159">
        <v>1</v>
      </c>
      <c r="BA1476" s="161"/>
      <c r="BB1476" s="165"/>
      <c r="BE1476" s="154" t="s">
        <v>2013</v>
      </c>
      <c r="BF1476" s="155"/>
      <c r="BG1476" s="154" t="s">
        <v>5657</v>
      </c>
    </row>
    <row r="1477" spans="1:59" s="154" customFormat="1" ht="15" customHeight="1">
      <c r="A1477" s="153" t="s">
        <v>5461</v>
      </c>
      <c r="B1477" s="153" t="s">
        <v>5553</v>
      </c>
      <c r="C1477" s="154" t="s">
        <v>5491</v>
      </c>
      <c r="D1477" s="170">
        <v>40</v>
      </c>
      <c r="E1477" s="154">
        <v>2</v>
      </c>
      <c r="F1477" s="154" t="s">
        <v>5542</v>
      </c>
      <c r="G1477" s="154" t="s">
        <v>5554</v>
      </c>
      <c r="J1477" s="154" t="s">
        <v>29</v>
      </c>
      <c r="K1477" s="154" t="s">
        <v>2426</v>
      </c>
      <c r="N1477" s="155"/>
      <c r="O1477" s="156"/>
      <c r="P1477" s="157"/>
      <c r="Q1477" s="158">
        <v>3</v>
      </c>
      <c r="R1477" s="159">
        <v>1</v>
      </c>
      <c r="S1477" s="160"/>
      <c r="T1477" s="161">
        <v>4</v>
      </c>
      <c r="U1477" s="156"/>
      <c r="V1477" s="162">
        <v>1</v>
      </c>
      <c r="W1477" s="163">
        <v>1</v>
      </c>
      <c r="X1477" s="164"/>
      <c r="Y1477" s="159"/>
      <c r="Z1477" s="161"/>
      <c r="AA1477" s="165"/>
      <c r="AD1477" s="154" t="s">
        <v>5555</v>
      </c>
      <c r="AF1477" s="154" t="s">
        <v>5658</v>
      </c>
      <c r="AP1477" s="155"/>
      <c r="AQ1477" s="156"/>
      <c r="AR1477" s="157"/>
      <c r="AS1477" s="158"/>
      <c r="AT1477" s="159"/>
      <c r="AU1477" s="161"/>
      <c r="AV1477" s="156"/>
      <c r="AW1477" s="162"/>
      <c r="AX1477" s="163"/>
      <c r="AY1477" s="164"/>
      <c r="AZ1477" s="159"/>
      <c r="BA1477" s="161"/>
      <c r="BB1477" s="165"/>
      <c r="BF1477" s="155"/>
    </row>
    <row r="1478" spans="1:59" s="154" customFormat="1" ht="15" customHeight="1">
      <c r="A1478" s="153" t="s">
        <v>5461</v>
      </c>
      <c r="B1478" s="169" t="s">
        <v>5556</v>
      </c>
      <c r="C1478" s="154" t="s">
        <v>5491</v>
      </c>
      <c r="D1478" s="170">
        <v>41</v>
      </c>
      <c r="E1478" s="154">
        <v>1</v>
      </c>
      <c r="F1478" s="154" t="s">
        <v>5557</v>
      </c>
      <c r="G1478" s="154" t="s">
        <v>5557</v>
      </c>
      <c r="J1478" s="154" t="s">
        <v>618</v>
      </c>
      <c r="K1478" s="154" t="s">
        <v>2426</v>
      </c>
      <c r="N1478" s="155"/>
      <c r="O1478" s="156"/>
      <c r="P1478" s="157"/>
      <c r="Q1478" s="158"/>
      <c r="R1478" s="159"/>
      <c r="S1478" s="160"/>
      <c r="T1478" s="161"/>
      <c r="U1478" s="156"/>
      <c r="V1478" s="162"/>
      <c r="W1478" s="163"/>
      <c r="X1478" s="164"/>
      <c r="Y1478" s="159"/>
      <c r="Z1478" s="161"/>
      <c r="AA1478" s="165"/>
      <c r="AE1478" s="155"/>
      <c r="AF1478" s="154" t="s">
        <v>5659</v>
      </c>
      <c r="AI1478" s="154" t="s">
        <v>5557</v>
      </c>
      <c r="AL1478" s="154" t="s">
        <v>618</v>
      </c>
      <c r="AM1478" s="154" t="s">
        <v>2426</v>
      </c>
      <c r="AP1478" s="155"/>
      <c r="AQ1478" s="156"/>
      <c r="AR1478" s="157"/>
      <c r="AS1478" s="158"/>
      <c r="AT1478" s="159"/>
      <c r="AU1478" s="161"/>
      <c r="AV1478" s="156"/>
      <c r="AW1478" s="162"/>
      <c r="AX1478" s="163"/>
      <c r="AY1478" s="164"/>
      <c r="AZ1478" s="159"/>
      <c r="BA1478" s="161"/>
      <c r="BB1478" s="165"/>
      <c r="BF1478" s="155"/>
      <c r="BG1478" s="154" t="s">
        <v>5660</v>
      </c>
    </row>
    <row r="1479" spans="1:59" s="154" customFormat="1" ht="15" customHeight="1">
      <c r="A1479" s="153" t="s">
        <v>5461</v>
      </c>
      <c r="B1479" s="153" t="s">
        <v>5558</v>
      </c>
      <c r="C1479" s="154" t="s">
        <v>5491</v>
      </c>
      <c r="D1479" s="170">
        <v>42</v>
      </c>
      <c r="E1479" s="154">
        <v>1</v>
      </c>
      <c r="F1479" s="154" t="s">
        <v>5557</v>
      </c>
      <c r="G1479" s="154" t="s">
        <v>2170</v>
      </c>
      <c r="H1479" s="154" t="s">
        <v>5559</v>
      </c>
      <c r="J1479" s="154" t="s">
        <v>29</v>
      </c>
      <c r="K1479" s="154" t="s">
        <v>2426</v>
      </c>
      <c r="N1479" s="155"/>
      <c r="O1479" s="156"/>
      <c r="P1479" s="157"/>
      <c r="Q1479" s="158">
        <v>5</v>
      </c>
      <c r="R1479" s="159">
        <v>4</v>
      </c>
      <c r="S1479" s="160"/>
      <c r="T1479" s="161">
        <v>1</v>
      </c>
      <c r="U1479" s="156"/>
      <c r="V1479" s="162">
        <v>2</v>
      </c>
      <c r="W1479" s="163">
        <v>1</v>
      </c>
      <c r="X1479" s="164"/>
      <c r="Y1479" s="159"/>
      <c r="Z1479" s="161"/>
      <c r="AA1479" s="165">
        <v>1</v>
      </c>
      <c r="AD1479" s="154" t="s">
        <v>1691</v>
      </c>
      <c r="AE1479" s="155"/>
      <c r="AF1479" s="154" t="s">
        <v>5661</v>
      </c>
      <c r="AP1479" s="155"/>
      <c r="AQ1479" s="156"/>
      <c r="AR1479" s="157"/>
      <c r="AS1479" s="158"/>
      <c r="AT1479" s="159"/>
      <c r="AU1479" s="161"/>
      <c r="AV1479" s="156"/>
      <c r="AW1479" s="162"/>
      <c r="AX1479" s="163"/>
      <c r="AY1479" s="164"/>
      <c r="AZ1479" s="159"/>
      <c r="BA1479" s="161"/>
      <c r="BB1479" s="165"/>
      <c r="BF1479" s="155"/>
    </row>
    <row r="1480" spans="1:59" s="154" customFormat="1" ht="15" customHeight="1">
      <c r="A1480" s="153" t="s">
        <v>5461</v>
      </c>
      <c r="B1480" s="169" t="s">
        <v>5560</v>
      </c>
      <c r="C1480" s="154" t="s">
        <v>5491</v>
      </c>
      <c r="D1480" s="170">
        <v>43</v>
      </c>
      <c r="E1480" s="154">
        <v>1</v>
      </c>
      <c r="F1480" s="154" t="s">
        <v>5557</v>
      </c>
      <c r="G1480" s="154" t="s">
        <v>2170</v>
      </c>
      <c r="H1480" s="154" t="s">
        <v>5561</v>
      </c>
      <c r="J1480" s="154" t="s">
        <v>29</v>
      </c>
      <c r="K1480" s="154" t="s">
        <v>2426</v>
      </c>
      <c r="N1480" s="155"/>
      <c r="O1480" s="156"/>
      <c r="P1480" s="157"/>
      <c r="Q1480" s="158">
        <v>6</v>
      </c>
      <c r="R1480" s="159">
        <v>2</v>
      </c>
      <c r="S1480" s="160"/>
      <c r="T1480" s="161">
        <v>2</v>
      </c>
      <c r="U1480" s="156"/>
      <c r="V1480" s="162">
        <v>1</v>
      </c>
      <c r="W1480" s="163">
        <v>2</v>
      </c>
      <c r="X1480" s="164"/>
      <c r="Y1480" s="159"/>
      <c r="Z1480" s="161"/>
      <c r="AA1480" s="165">
        <v>1</v>
      </c>
      <c r="AD1480" s="154" t="s">
        <v>1691</v>
      </c>
      <c r="AE1480" s="155"/>
      <c r="AF1480" s="154" t="s">
        <v>5662</v>
      </c>
      <c r="AP1480" s="155"/>
      <c r="AQ1480" s="156"/>
      <c r="AR1480" s="157"/>
      <c r="AS1480" s="158"/>
      <c r="AT1480" s="159"/>
      <c r="AU1480" s="161"/>
      <c r="AV1480" s="156"/>
      <c r="AW1480" s="162"/>
      <c r="AX1480" s="163"/>
      <c r="AY1480" s="164"/>
      <c r="AZ1480" s="159"/>
      <c r="BA1480" s="161"/>
      <c r="BB1480" s="165"/>
      <c r="BF1480" s="155"/>
    </row>
    <row r="1481" spans="1:59" s="154" customFormat="1" ht="15" customHeight="1">
      <c r="A1481" s="153" t="s">
        <v>5461</v>
      </c>
      <c r="B1481" s="153" t="s">
        <v>5562</v>
      </c>
      <c r="C1481" s="154" t="s">
        <v>5491</v>
      </c>
      <c r="D1481" s="170">
        <v>44</v>
      </c>
      <c r="E1481" s="154">
        <v>1</v>
      </c>
      <c r="F1481" s="154" t="s">
        <v>5557</v>
      </c>
      <c r="G1481" s="154" t="s">
        <v>2170</v>
      </c>
      <c r="H1481" s="154" t="s">
        <v>5563</v>
      </c>
      <c r="J1481" s="154" t="s">
        <v>29</v>
      </c>
      <c r="K1481" s="154" t="s">
        <v>2426</v>
      </c>
      <c r="N1481" s="155"/>
      <c r="O1481" s="156"/>
      <c r="P1481" s="157"/>
      <c r="Q1481" s="158">
        <v>7</v>
      </c>
      <c r="R1481" s="159">
        <v>3</v>
      </c>
      <c r="S1481" s="160"/>
      <c r="T1481" s="161">
        <v>1</v>
      </c>
      <c r="U1481" s="156"/>
      <c r="V1481" s="162">
        <v>2</v>
      </c>
      <c r="W1481" s="163">
        <v>1</v>
      </c>
      <c r="X1481" s="164"/>
      <c r="Y1481" s="159"/>
      <c r="Z1481" s="161"/>
      <c r="AA1481" s="165">
        <v>1</v>
      </c>
      <c r="AD1481" s="154" t="s">
        <v>1691</v>
      </c>
      <c r="AE1481" s="155"/>
      <c r="AF1481" s="154" t="s">
        <v>5663</v>
      </c>
      <c r="AP1481" s="155"/>
      <c r="AQ1481" s="156"/>
      <c r="AR1481" s="157"/>
      <c r="AS1481" s="158"/>
      <c r="AT1481" s="159"/>
      <c r="AU1481" s="161"/>
      <c r="AV1481" s="156"/>
      <c r="AW1481" s="162"/>
      <c r="AX1481" s="163"/>
      <c r="AY1481" s="164"/>
      <c r="AZ1481" s="159"/>
      <c r="BA1481" s="161"/>
      <c r="BB1481" s="165"/>
      <c r="BF1481" s="155"/>
    </row>
    <row r="1482" spans="1:59" s="154" customFormat="1" ht="15" customHeight="1">
      <c r="A1482" s="153" t="s">
        <v>5461</v>
      </c>
      <c r="B1482" s="153" t="s">
        <v>5564</v>
      </c>
      <c r="C1482" s="154" t="s">
        <v>5491</v>
      </c>
      <c r="D1482" s="170">
        <v>45</v>
      </c>
      <c r="E1482" s="154">
        <v>1</v>
      </c>
      <c r="F1482" s="154" t="s">
        <v>5557</v>
      </c>
      <c r="G1482" s="154" t="s">
        <v>2170</v>
      </c>
      <c r="H1482" s="154" t="s">
        <v>5565</v>
      </c>
      <c r="J1482" s="154" t="s">
        <v>29</v>
      </c>
      <c r="K1482" s="154" t="s">
        <v>2426</v>
      </c>
      <c r="N1482" s="155"/>
      <c r="O1482" s="156"/>
      <c r="P1482" s="157"/>
      <c r="Q1482" s="158">
        <v>6</v>
      </c>
      <c r="R1482" s="159">
        <v>3</v>
      </c>
      <c r="S1482" s="160"/>
      <c r="T1482" s="161">
        <v>1</v>
      </c>
      <c r="U1482" s="156"/>
      <c r="V1482" s="162">
        <v>1</v>
      </c>
      <c r="W1482" s="163">
        <v>2</v>
      </c>
      <c r="X1482" s="164"/>
      <c r="Y1482" s="159"/>
      <c r="Z1482" s="161"/>
      <c r="AA1482" s="165">
        <v>1</v>
      </c>
      <c r="AD1482" s="154" t="s">
        <v>1691</v>
      </c>
      <c r="AE1482" s="155"/>
      <c r="AF1482" s="154" t="s">
        <v>5664</v>
      </c>
      <c r="AP1482" s="155"/>
      <c r="AQ1482" s="156"/>
      <c r="AR1482" s="157"/>
      <c r="AS1482" s="158"/>
      <c r="AT1482" s="159"/>
      <c r="AU1482" s="161"/>
      <c r="AV1482" s="156"/>
      <c r="AW1482" s="162"/>
      <c r="AX1482" s="163"/>
      <c r="AY1482" s="164"/>
      <c r="AZ1482" s="159"/>
      <c r="BA1482" s="161"/>
      <c r="BB1482" s="165"/>
      <c r="BF1482" s="155"/>
    </row>
    <row r="1483" spans="1:59" s="154" customFormat="1" ht="15" customHeight="1">
      <c r="A1483" s="153" t="s">
        <v>5461</v>
      </c>
      <c r="B1483" s="153" t="s">
        <v>5566</v>
      </c>
      <c r="C1483" s="154" t="s">
        <v>5491</v>
      </c>
      <c r="D1483" s="170">
        <v>46</v>
      </c>
      <c r="E1483" s="154">
        <v>2</v>
      </c>
      <c r="F1483" s="154" t="s">
        <v>5557</v>
      </c>
      <c r="G1483" s="154" t="s">
        <v>5567</v>
      </c>
      <c r="J1483" s="154" t="s">
        <v>28</v>
      </c>
      <c r="K1483" s="154" t="s">
        <v>2426</v>
      </c>
      <c r="N1483" s="155"/>
      <c r="O1483" s="156"/>
      <c r="P1483" s="157"/>
      <c r="Q1483" s="158"/>
      <c r="R1483" s="159"/>
      <c r="S1483" s="160"/>
      <c r="T1483" s="161"/>
      <c r="U1483" s="156"/>
      <c r="V1483" s="162"/>
      <c r="W1483" s="163"/>
      <c r="X1483" s="164"/>
      <c r="Y1483" s="159"/>
      <c r="Z1483" s="161"/>
      <c r="AA1483" s="165"/>
      <c r="AD1483" s="154" t="s">
        <v>1663</v>
      </c>
      <c r="AE1483" s="155"/>
      <c r="AF1483" s="154" t="s">
        <v>5665</v>
      </c>
      <c r="AP1483" s="155"/>
      <c r="AQ1483" s="156"/>
      <c r="AR1483" s="157"/>
      <c r="AS1483" s="158"/>
      <c r="AT1483" s="159"/>
      <c r="AU1483" s="161"/>
      <c r="AV1483" s="156"/>
      <c r="AW1483" s="162"/>
      <c r="AX1483" s="163"/>
      <c r="AY1483" s="164"/>
      <c r="AZ1483" s="159"/>
      <c r="BA1483" s="161"/>
      <c r="BB1483" s="165"/>
      <c r="BF1483" s="155"/>
    </row>
    <row r="1484" spans="1:59" s="154" customFormat="1" ht="15" customHeight="1">
      <c r="A1484" s="153" t="s">
        <v>5461</v>
      </c>
      <c r="B1484" s="153" t="s">
        <v>5568</v>
      </c>
      <c r="C1484" s="154" t="s">
        <v>5491</v>
      </c>
      <c r="D1484" s="170">
        <v>47</v>
      </c>
      <c r="E1484" s="154">
        <v>1</v>
      </c>
      <c r="F1484" s="154" t="s">
        <v>5569</v>
      </c>
      <c r="G1484" s="154" t="s">
        <v>5569</v>
      </c>
      <c r="J1484" s="154" t="s">
        <v>618</v>
      </c>
      <c r="K1484" s="154" t="s">
        <v>2426</v>
      </c>
      <c r="N1484" s="155"/>
      <c r="O1484" s="156"/>
      <c r="P1484" s="157"/>
      <c r="Q1484" s="158"/>
      <c r="R1484" s="159"/>
      <c r="S1484" s="160"/>
      <c r="T1484" s="161"/>
      <c r="U1484" s="156"/>
      <c r="V1484" s="162"/>
      <c r="W1484" s="163"/>
      <c r="X1484" s="164"/>
      <c r="Y1484" s="159"/>
      <c r="Z1484" s="161"/>
      <c r="AA1484" s="165"/>
      <c r="AE1484" s="155"/>
      <c r="AF1484" s="154" t="s">
        <v>5666</v>
      </c>
      <c r="AI1484" s="154" t="s">
        <v>5569</v>
      </c>
      <c r="AL1484" s="154" t="s">
        <v>618</v>
      </c>
      <c r="AM1484" s="154" t="s">
        <v>2426</v>
      </c>
      <c r="AP1484" s="155"/>
      <c r="AQ1484" s="156"/>
      <c r="AR1484" s="157"/>
      <c r="AS1484" s="158"/>
      <c r="AT1484" s="159"/>
      <c r="AU1484" s="161"/>
      <c r="AV1484" s="156"/>
      <c r="AW1484" s="162"/>
      <c r="AX1484" s="163"/>
      <c r="AY1484" s="164"/>
      <c r="AZ1484" s="159"/>
      <c r="BA1484" s="161"/>
      <c r="BB1484" s="165"/>
      <c r="BF1484" s="155"/>
      <c r="BG1484" s="154" t="s">
        <v>5667</v>
      </c>
    </row>
    <row r="1485" spans="1:59" s="154" customFormat="1" ht="15" customHeight="1">
      <c r="A1485" s="153" t="s">
        <v>5461</v>
      </c>
      <c r="B1485" s="169" t="s">
        <v>5570</v>
      </c>
      <c r="C1485" s="154" t="s">
        <v>5491</v>
      </c>
      <c r="D1485" s="155">
        <v>48</v>
      </c>
      <c r="E1485" s="154">
        <v>1</v>
      </c>
      <c r="F1485" s="154" t="s">
        <v>5569</v>
      </c>
      <c r="G1485" s="154" t="s">
        <v>2274</v>
      </c>
      <c r="J1485" s="154" t="s">
        <v>31</v>
      </c>
      <c r="K1485" s="154" t="s">
        <v>2426</v>
      </c>
      <c r="N1485" s="155"/>
      <c r="O1485" s="156"/>
      <c r="P1485" s="157"/>
      <c r="Q1485" s="158"/>
      <c r="R1485" s="159"/>
      <c r="S1485" s="160"/>
      <c r="T1485" s="161"/>
      <c r="U1485" s="156"/>
      <c r="V1485" s="162"/>
      <c r="W1485" s="163"/>
      <c r="X1485" s="164"/>
      <c r="Y1485" s="159"/>
      <c r="Z1485" s="161"/>
      <c r="AA1485" s="165"/>
      <c r="AD1485" s="154" t="s">
        <v>2340</v>
      </c>
      <c r="AE1485" s="155"/>
      <c r="AI1485" s="154" t="s">
        <v>2274</v>
      </c>
      <c r="AJ1485" s="154" t="s">
        <v>5571</v>
      </c>
      <c r="AL1485" s="154" t="s">
        <v>31</v>
      </c>
      <c r="AM1485" s="154" t="s">
        <v>2426</v>
      </c>
      <c r="AP1485" s="155"/>
      <c r="AQ1485" s="156"/>
      <c r="AR1485" s="157"/>
      <c r="AS1485" s="158"/>
      <c r="AT1485" s="159"/>
      <c r="AU1485" s="161"/>
      <c r="AV1485" s="156"/>
      <c r="AW1485" s="162"/>
      <c r="AX1485" s="163"/>
      <c r="AY1485" s="164">
        <v>4</v>
      </c>
      <c r="AZ1485" s="159">
        <v>3</v>
      </c>
      <c r="BA1485" s="161"/>
      <c r="BB1485" s="165"/>
      <c r="BE1485" s="154" t="s">
        <v>2340</v>
      </c>
      <c r="BF1485" s="155"/>
      <c r="BG1485" s="154" t="s">
        <v>5668</v>
      </c>
    </row>
    <row r="1486" spans="1:59" s="154" customFormat="1" ht="15" customHeight="1">
      <c r="A1486" s="153" t="s">
        <v>5461</v>
      </c>
      <c r="B1486" s="153" t="s">
        <v>5572</v>
      </c>
      <c r="C1486" s="154" t="s">
        <v>5491</v>
      </c>
      <c r="D1486" s="155">
        <v>49</v>
      </c>
      <c r="E1486" s="154">
        <v>1</v>
      </c>
      <c r="F1486" s="154" t="s">
        <v>5569</v>
      </c>
      <c r="G1486" s="154" t="s">
        <v>2276</v>
      </c>
      <c r="J1486" s="154" t="s">
        <v>31</v>
      </c>
      <c r="K1486" s="154" t="s">
        <v>2426</v>
      </c>
      <c r="N1486" s="155"/>
      <c r="O1486" s="156"/>
      <c r="P1486" s="157"/>
      <c r="Q1486" s="158"/>
      <c r="R1486" s="159"/>
      <c r="S1486" s="160"/>
      <c r="T1486" s="161"/>
      <c r="U1486" s="156"/>
      <c r="V1486" s="162"/>
      <c r="W1486" s="163"/>
      <c r="X1486" s="164"/>
      <c r="Y1486" s="159"/>
      <c r="Z1486" s="161"/>
      <c r="AA1486" s="165"/>
      <c r="AD1486" s="154" t="s">
        <v>2340</v>
      </c>
      <c r="AE1486" s="155"/>
      <c r="AI1486" s="154" t="s">
        <v>2276</v>
      </c>
      <c r="AJ1486" s="154" t="s">
        <v>5571</v>
      </c>
      <c r="AL1486" s="154" t="s">
        <v>31</v>
      </c>
      <c r="AM1486" s="154" t="s">
        <v>2426</v>
      </c>
      <c r="AP1486" s="155"/>
      <c r="AQ1486" s="156"/>
      <c r="AR1486" s="157"/>
      <c r="AS1486" s="158"/>
      <c r="AT1486" s="159"/>
      <c r="AU1486" s="161"/>
      <c r="AV1486" s="156"/>
      <c r="AW1486" s="162"/>
      <c r="AX1486" s="163"/>
      <c r="AY1486" s="164">
        <v>4</v>
      </c>
      <c r="AZ1486" s="159">
        <v>3</v>
      </c>
      <c r="BA1486" s="161"/>
      <c r="BB1486" s="165"/>
      <c r="BE1486" s="154" t="s">
        <v>2340</v>
      </c>
      <c r="BF1486" s="155"/>
      <c r="BG1486" s="154" t="s">
        <v>5573</v>
      </c>
    </row>
    <row r="1487" spans="1:59" s="154" customFormat="1" ht="15" customHeight="1">
      <c r="A1487" s="153" t="s">
        <v>5461</v>
      </c>
      <c r="B1487" s="183" t="s">
        <v>5574</v>
      </c>
      <c r="C1487" s="154" t="s">
        <v>5491</v>
      </c>
      <c r="D1487" s="155">
        <v>50</v>
      </c>
      <c r="E1487" s="154">
        <v>1</v>
      </c>
      <c r="F1487" s="154" t="s">
        <v>5569</v>
      </c>
      <c r="G1487" s="154" t="s">
        <v>5575</v>
      </c>
      <c r="J1487" s="154" t="s">
        <v>31</v>
      </c>
      <c r="K1487" s="154" t="s">
        <v>2426</v>
      </c>
      <c r="N1487" s="155"/>
      <c r="O1487" s="156"/>
      <c r="P1487" s="157"/>
      <c r="Q1487" s="158"/>
      <c r="R1487" s="159"/>
      <c r="S1487" s="160"/>
      <c r="T1487" s="161"/>
      <c r="U1487" s="156"/>
      <c r="V1487" s="162"/>
      <c r="W1487" s="163"/>
      <c r="X1487" s="164"/>
      <c r="Y1487" s="159"/>
      <c r="Z1487" s="161"/>
      <c r="AA1487" s="165"/>
      <c r="AD1487" s="154" t="s">
        <v>2344</v>
      </c>
      <c r="AE1487" s="155"/>
      <c r="AI1487" s="154" t="s">
        <v>2307</v>
      </c>
      <c r="AL1487" s="154" t="s">
        <v>31</v>
      </c>
      <c r="AM1487" s="154" t="s">
        <v>2426</v>
      </c>
      <c r="AP1487" s="155"/>
      <c r="AQ1487" s="156"/>
      <c r="AR1487" s="157"/>
      <c r="AS1487" s="158"/>
      <c r="AT1487" s="159"/>
      <c r="AU1487" s="161"/>
      <c r="AV1487" s="156"/>
      <c r="AW1487" s="162"/>
      <c r="AX1487" s="163"/>
      <c r="AY1487" s="164">
        <v>2</v>
      </c>
      <c r="AZ1487" s="159" t="s">
        <v>1073</v>
      </c>
      <c r="BA1487" s="161"/>
      <c r="BB1487" s="165"/>
      <c r="BE1487" s="154" t="s">
        <v>2344</v>
      </c>
      <c r="BF1487" s="155"/>
      <c r="BG1487" s="154" t="s">
        <v>5669</v>
      </c>
    </row>
    <row r="1488" spans="1:59" s="154" customFormat="1" ht="15" customHeight="1">
      <c r="A1488" s="153" t="s">
        <v>5461</v>
      </c>
      <c r="B1488" s="154" t="s">
        <v>5576</v>
      </c>
      <c r="C1488" s="154" t="s">
        <v>5491</v>
      </c>
      <c r="D1488" s="155">
        <v>51</v>
      </c>
      <c r="E1488" s="154">
        <v>1</v>
      </c>
      <c r="F1488" s="154" t="s">
        <v>5569</v>
      </c>
      <c r="G1488" s="154" t="s">
        <v>5577</v>
      </c>
      <c r="J1488" s="154" t="s">
        <v>31</v>
      </c>
      <c r="K1488" s="154" t="s">
        <v>2426</v>
      </c>
      <c r="N1488" s="155"/>
      <c r="O1488" s="156"/>
      <c r="P1488" s="157"/>
      <c r="Q1488" s="158"/>
      <c r="R1488" s="159"/>
      <c r="S1488" s="160"/>
      <c r="T1488" s="161"/>
      <c r="U1488" s="156"/>
      <c r="V1488" s="162"/>
      <c r="W1488" s="163"/>
      <c r="X1488" s="164"/>
      <c r="Y1488" s="159"/>
      <c r="Z1488" s="161"/>
      <c r="AA1488" s="165"/>
      <c r="AD1488" s="154" t="s">
        <v>2348</v>
      </c>
      <c r="AE1488" s="155"/>
      <c r="AI1488" s="154" t="s">
        <v>2308</v>
      </c>
      <c r="AL1488" s="154" t="s">
        <v>31</v>
      </c>
      <c r="AM1488" s="154" t="s">
        <v>2426</v>
      </c>
      <c r="AP1488" s="155"/>
      <c r="AQ1488" s="156"/>
      <c r="AR1488" s="157"/>
      <c r="AS1488" s="158"/>
      <c r="AT1488" s="159"/>
      <c r="AU1488" s="161"/>
      <c r="AV1488" s="156"/>
      <c r="AW1488" s="162"/>
      <c r="AX1488" s="163"/>
      <c r="AY1488" s="164">
        <v>4</v>
      </c>
      <c r="AZ1488" s="159" t="s">
        <v>1073</v>
      </c>
      <c r="BA1488" s="161"/>
      <c r="BB1488" s="165"/>
      <c r="BE1488" s="154" t="s">
        <v>2348</v>
      </c>
      <c r="BF1488" s="155"/>
      <c r="BG1488" s="154" t="s">
        <v>5670</v>
      </c>
    </row>
    <row r="1489" spans="1:59" s="154" customFormat="1" ht="15" customHeight="1">
      <c r="A1489" s="153" t="s">
        <v>5461</v>
      </c>
      <c r="B1489" s="154" t="s">
        <v>5578</v>
      </c>
      <c r="C1489" s="154" t="s">
        <v>5491</v>
      </c>
      <c r="D1489" s="155">
        <v>52</v>
      </c>
      <c r="E1489" s="154">
        <v>1</v>
      </c>
      <c r="F1489" s="154" t="s">
        <v>5569</v>
      </c>
      <c r="G1489" s="154" t="s">
        <v>5579</v>
      </c>
      <c r="H1489" s="154" t="s">
        <v>5580</v>
      </c>
      <c r="I1489" s="154" t="s">
        <v>223</v>
      </c>
      <c r="J1489" s="154" t="s">
        <v>257</v>
      </c>
      <c r="K1489" s="154" t="s">
        <v>26</v>
      </c>
      <c r="N1489" s="155">
        <v>5</v>
      </c>
      <c r="O1489" s="156"/>
      <c r="P1489" s="157">
        <v>2</v>
      </c>
      <c r="Q1489" s="158">
        <v>2</v>
      </c>
      <c r="R1489" s="159"/>
      <c r="S1489" s="160"/>
      <c r="T1489" s="161">
        <v>3</v>
      </c>
      <c r="U1489" s="156">
        <v>3</v>
      </c>
      <c r="V1489" s="162"/>
      <c r="W1489" s="163"/>
      <c r="X1489" s="164"/>
      <c r="Y1489" s="159"/>
      <c r="Z1489" s="161"/>
      <c r="AA1489" s="165"/>
      <c r="AB1489" s="154" t="s">
        <v>5581</v>
      </c>
      <c r="AC1489" s="154" t="s">
        <v>25</v>
      </c>
      <c r="AD1489" s="154" t="s">
        <v>5582</v>
      </c>
      <c r="AE1489" s="155"/>
      <c r="AF1489" s="154" t="s">
        <v>5671</v>
      </c>
      <c r="AJ1489" s="171"/>
      <c r="AP1489" s="155"/>
      <c r="AQ1489" s="156"/>
      <c r="AR1489" s="157"/>
      <c r="AS1489" s="158"/>
      <c r="AT1489" s="159"/>
      <c r="AU1489" s="161"/>
      <c r="AV1489" s="156"/>
      <c r="AW1489" s="162"/>
      <c r="AX1489" s="163"/>
      <c r="AY1489" s="164"/>
      <c r="AZ1489" s="159"/>
      <c r="BA1489" s="161"/>
      <c r="BB1489" s="165"/>
      <c r="BF1489" s="155"/>
    </row>
    <row r="1490" spans="1:59" s="154" customFormat="1" ht="15" customHeight="1">
      <c r="A1490" s="153" t="s">
        <v>5461</v>
      </c>
      <c r="B1490" s="154" t="s">
        <v>5583</v>
      </c>
      <c r="C1490" s="154" t="s">
        <v>5491</v>
      </c>
      <c r="D1490" s="155">
        <v>53</v>
      </c>
      <c r="E1490" s="154">
        <v>1</v>
      </c>
      <c r="F1490" s="154" t="s">
        <v>5584</v>
      </c>
      <c r="G1490" s="154" t="s">
        <v>5584</v>
      </c>
      <c r="J1490" s="154" t="s">
        <v>618</v>
      </c>
      <c r="K1490" s="154" t="s">
        <v>2426</v>
      </c>
      <c r="N1490" s="155"/>
      <c r="O1490" s="156"/>
      <c r="P1490" s="157"/>
      <c r="Q1490" s="158"/>
      <c r="R1490" s="159"/>
      <c r="S1490" s="160"/>
      <c r="T1490" s="161"/>
      <c r="U1490" s="156"/>
      <c r="V1490" s="162"/>
      <c r="W1490" s="163"/>
      <c r="X1490" s="164"/>
      <c r="Y1490" s="159"/>
      <c r="Z1490" s="161"/>
      <c r="AA1490" s="165"/>
      <c r="AE1490" s="155"/>
      <c r="AF1490" s="154" t="s">
        <v>5672</v>
      </c>
      <c r="AI1490" s="154" t="s">
        <v>5584</v>
      </c>
      <c r="AL1490" s="154" t="s">
        <v>618</v>
      </c>
      <c r="AM1490" s="154" t="s">
        <v>2426</v>
      </c>
      <c r="AP1490" s="155"/>
      <c r="AQ1490" s="156"/>
      <c r="AR1490" s="157"/>
      <c r="AS1490" s="158"/>
      <c r="AT1490" s="159"/>
      <c r="AU1490" s="161"/>
      <c r="AV1490" s="156"/>
      <c r="AW1490" s="162"/>
      <c r="AX1490" s="163"/>
      <c r="AY1490" s="164"/>
      <c r="AZ1490" s="159"/>
      <c r="BA1490" s="161"/>
      <c r="BB1490" s="165"/>
      <c r="BF1490" s="155"/>
      <c r="BG1490" s="154" t="s">
        <v>5673</v>
      </c>
    </row>
    <row r="1491" spans="1:59" s="154" customFormat="1" ht="15" customHeight="1">
      <c r="A1491" s="153" t="s">
        <v>5461</v>
      </c>
      <c r="B1491" s="153" t="s">
        <v>5585</v>
      </c>
      <c r="C1491" s="154" t="s">
        <v>5491</v>
      </c>
      <c r="D1491" s="155">
        <v>54</v>
      </c>
      <c r="E1491" s="154">
        <v>1</v>
      </c>
      <c r="F1491" s="154" t="s">
        <v>5584</v>
      </c>
      <c r="G1491" s="154" t="s">
        <v>5586</v>
      </c>
      <c r="J1491" s="154" t="s">
        <v>619</v>
      </c>
      <c r="K1491" s="154" t="s">
        <v>2426</v>
      </c>
      <c r="L1491" s="154">
        <v>3</v>
      </c>
      <c r="N1491" s="155"/>
      <c r="O1491" s="156"/>
      <c r="P1491" s="157"/>
      <c r="Q1491" s="158"/>
      <c r="R1491" s="159"/>
      <c r="S1491" s="160"/>
      <c r="T1491" s="161"/>
      <c r="U1491" s="156"/>
      <c r="V1491" s="162"/>
      <c r="W1491" s="163"/>
      <c r="X1491" s="164"/>
      <c r="Y1491" s="159"/>
      <c r="Z1491" s="161">
        <v>6</v>
      </c>
      <c r="AA1491" s="165"/>
      <c r="AE1491" s="155"/>
      <c r="AF1491" s="154" t="s">
        <v>2430</v>
      </c>
      <c r="AI1491" s="154" t="s">
        <v>5587</v>
      </c>
      <c r="AL1491" s="154" t="s">
        <v>619</v>
      </c>
      <c r="AM1491" s="154" t="s">
        <v>2426</v>
      </c>
      <c r="AN1491" s="154">
        <v>3</v>
      </c>
      <c r="AP1491" s="155"/>
      <c r="AQ1491" s="156"/>
      <c r="AR1491" s="157"/>
      <c r="AS1491" s="158"/>
      <c r="AT1491" s="159"/>
      <c r="AU1491" s="161"/>
      <c r="AV1491" s="156"/>
      <c r="AW1491" s="162"/>
      <c r="AX1491" s="163"/>
      <c r="AY1491" s="164"/>
      <c r="AZ1491" s="159"/>
      <c r="BA1491" s="161"/>
      <c r="BB1491" s="165"/>
      <c r="BF1491" s="155"/>
      <c r="BG1491" s="154" t="s">
        <v>5674</v>
      </c>
    </row>
    <row r="1492" spans="1:59" s="154" customFormat="1" ht="15" customHeight="1">
      <c r="A1492" s="153" t="s">
        <v>5461</v>
      </c>
      <c r="B1492" s="153" t="s">
        <v>5588</v>
      </c>
      <c r="C1492" s="154" t="s">
        <v>5491</v>
      </c>
      <c r="D1492" s="155">
        <v>55</v>
      </c>
      <c r="E1492" s="154">
        <v>1</v>
      </c>
      <c r="F1492" s="154" t="s">
        <v>5584</v>
      </c>
      <c r="G1492" s="154" t="s">
        <v>5589</v>
      </c>
      <c r="J1492" s="154" t="s">
        <v>621</v>
      </c>
      <c r="K1492" s="154" t="s">
        <v>2426</v>
      </c>
      <c r="L1492" s="154">
        <v>2</v>
      </c>
      <c r="N1492" s="155"/>
      <c r="O1492" s="156"/>
      <c r="P1492" s="157"/>
      <c r="Q1492" s="158"/>
      <c r="R1492" s="159"/>
      <c r="S1492" s="160"/>
      <c r="T1492" s="161"/>
      <c r="U1492" s="156"/>
      <c r="V1492" s="162"/>
      <c r="W1492" s="163"/>
      <c r="X1492" s="164"/>
      <c r="Y1492" s="159" t="s">
        <v>38</v>
      </c>
      <c r="Z1492" s="161"/>
      <c r="AA1492" s="165"/>
      <c r="AE1492" s="155"/>
      <c r="AF1492" s="154" t="s">
        <v>2453</v>
      </c>
      <c r="AI1492" s="154" t="s">
        <v>5590</v>
      </c>
      <c r="AL1492" s="154" t="s">
        <v>621</v>
      </c>
      <c r="AM1492" s="154" t="s">
        <v>2426</v>
      </c>
      <c r="AN1492" s="154">
        <v>2</v>
      </c>
      <c r="AP1492" s="155"/>
      <c r="AQ1492" s="156"/>
      <c r="AR1492" s="157"/>
      <c r="AS1492" s="158"/>
      <c r="AT1492" s="159"/>
      <c r="AU1492" s="161"/>
      <c r="AV1492" s="156"/>
      <c r="AW1492" s="162"/>
      <c r="AX1492" s="163"/>
      <c r="AY1492" s="164"/>
      <c r="AZ1492" s="159"/>
      <c r="BA1492" s="161"/>
      <c r="BB1492" s="165"/>
      <c r="BF1492" s="155"/>
      <c r="BG1492" s="154" t="s">
        <v>5675</v>
      </c>
    </row>
    <row r="1493" spans="1:59" s="154" customFormat="1" ht="15" customHeight="1">
      <c r="A1493" s="153" t="s">
        <v>5461</v>
      </c>
      <c r="B1493" s="153" t="s">
        <v>5591</v>
      </c>
      <c r="C1493" s="154" t="s">
        <v>5491</v>
      </c>
      <c r="D1493" s="155">
        <v>56</v>
      </c>
      <c r="E1493" s="154">
        <v>1</v>
      </c>
      <c r="F1493" s="154" t="s">
        <v>5584</v>
      </c>
      <c r="G1493" s="154" t="s">
        <v>2296</v>
      </c>
      <c r="H1493" s="154" t="s">
        <v>5592</v>
      </c>
      <c r="I1493" s="154" t="s">
        <v>223</v>
      </c>
      <c r="J1493" s="154" t="s">
        <v>29</v>
      </c>
      <c r="K1493" s="154" t="s">
        <v>2426</v>
      </c>
      <c r="N1493" s="155"/>
      <c r="O1493" s="156"/>
      <c r="P1493" s="157"/>
      <c r="Q1493" s="158">
        <v>5</v>
      </c>
      <c r="R1493" s="159">
        <v>5</v>
      </c>
      <c r="S1493" s="160"/>
      <c r="T1493" s="161" t="s">
        <v>4883</v>
      </c>
      <c r="U1493" s="156"/>
      <c r="V1493" s="162">
        <v>1</v>
      </c>
      <c r="W1493" s="163">
        <v>1</v>
      </c>
      <c r="X1493" s="164"/>
      <c r="Y1493" s="159"/>
      <c r="Z1493" s="161"/>
      <c r="AA1493" s="165">
        <v>2</v>
      </c>
      <c r="AD1493" s="154" t="s">
        <v>5593</v>
      </c>
      <c r="AE1493" s="155"/>
      <c r="AF1493" s="154" t="s">
        <v>5676</v>
      </c>
      <c r="AP1493" s="155"/>
      <c r="AQ1493" s="156"/>
      <c r="AR1493" s="157"/>
      <c r="AS1493" s="158"/>
      <c r="AT1493" s="159"/>
      <c r="AU1493" s="161"/>
      <c r="AV1493" s="156"/>
      <c r="AW1493" s="162"/>
      <c r="AX1493" s="163"/>
      <c r="AY1493" s="164"/>
      <c r="AZ1493" s="159"/>
      <c r="BA1493" s="161"/>
      <c r="BB1493" s="165"/>
      <c r="BF1493" s="155"/>
    </row>
    <row r="1494" spans="1:59" s="154" customFormat="1" ht="15" customHeight="1">
      <c r="A1494" s="153" t="s">
        <v>5461</v>
      </c>
      <c r="B1494" s="23" t="s">
        <v>5594</v>
      </c>
      <c r="C1494" s="154" t="s">
        <v>5491</v>
      </c>
      <c r="D1494" s="155">
        <v>57</v>
      </c>
      <c r="E1494" s="154">
        <v>1</v>
      </c>
      <c r="F1494" s="154" t="s">
        <v>5584</v>
      </c>
      <c r="G1494" s="154" t="s">
        <v>5595</v>
      </c>
      <c r="H1494" s="154" t="s">
        <v>5596</v>
      </c>
      <c r="J1494" s="154" t="s">
        <v>31</v>
      </c>
      <c r="K1494" s="154" t="s">
        <v>2426</v>
      </c>
      <c r="N1494" s="155"/>
      <c r="O1494" s="156"/>
      <c r="P1494" s="157"/>
      <c r="Q1494" s="158"/>
      <c r="R1494" s="159"/>
      <c r="S1494" s="160"/>
      <c r="T1494" s="161"/>
      <c r="U1494" s="156"/>
      <c r="V1494" s="162"/>
      <c r="W1494" s="163"/>
      <c r="X1494" s="164">
        <v>9</v>
      </c>
      <c r="Y1494" s="159">
        <v>0</v>
      </c>
      <c r="Z1494" s="161"/>
      <c r="AA1494" s="165"/>
      <c r="AD1494" s="154" t="s">
        <v>2466</v>
      </c>
      <c r="AE1494" s="155"/>
      <c r="AF1494" s="154" t="s">
        <v>5677</v>
      </c>
      <c r="AP1494" s="155"/>
      <c r="AQ1494" s="156"/>
      <c r="AR1494" s="157"/>
      <c r="AS1494" s="158"/>
      <c r="AT1494" s="159"/>
      <c r="AU1494" s="161"/>
      <c r="AV1494" s="156"/>
      <c r="AW1494" s="162"/>
      <c r="AX1494" s="163"/>
      <c r="AY1494" s="164"/>
      <c r="AZ1494" s="159"/>
      <c r="BA1494" s="161"/>
      <c r="BB1494" s="165"/>
      <c r="BF1494" s="155"/>
    </row>
    <row r="1495" spans="1:59" s="154" customFormat="1" ht="15" customHeight="1">
      <c r="A1495" s="153" t="s">
        <v>5461</v>
      </c>
      <c r="B1495" s="23" t="s">
        <v>5597</v>
      </c>
      <c r="C1495" s="154" t="s">
        <v>5491</v>
      </c>
      <c r="D1495" s="155">
        <v>58</v>
      </c>
      <c r="E1495" s="154">
        <v>1</v>
      </c>
      <c r="F1495" s="154" t="s">
        <v>5584</v>
      </c>
      <c r="G1495" s="154" t="s">
        <v>5598</v>
      </c>
      <c r="J1495" s="154" t="s">
        <v>31</v>
      </c>
      <c r="K1495" s="154" t="s">
        <v>2426</v>
      </c>
      <c r="N1495" s="155"/>
      <c r="O1495" s="156"/>
      <c r="P1495" s="157"/>
      <c r="Q1495" s="158"/>
      <c r="R1495" s="159"/>
      <c r="S1495" s="160"/>
      <c r="T1495" s="161"/>
      <c r="U1495" s="156"/>
      <c r="V1495" s="162"/>
      <c r="W1495" s="163"/>
      <c r="X1495" s="164">
        <v>3</v>
      </c>
      <c r="Y1495" s="159">
        <v>1</v>
      </c>
      <c r="Z1495" s="161"/>
      <c r="AA1495" s="165"/>
      <c r="AD1495" s="154" t="s">
        <v>2482</v>
      </c>
      <c r="AE1495" s="155"/>
      <c r="AF1495" s="154" t="s">
        <v>5678</v>
      </c>
      <c r="AP1495" s="155"/>
      <c r="AQ1495" s="156"/>
      <c r="AR1495" s="157"/>
      <c r="AS1495" s="158"/>
      <c r="AT1495" s="159"/>
      <c r="AU1495" s="161"/>
      <c r="AV1495" s="156"/>
      <c r="AW1495" s="162"/>
      <c r="AX1495" s="163"/>
      <c r="AY1495" s="164"/>
      <c r="AZ1495" s="159"/>
      <c r="BA1495" s="161"/>
      <c r="BB1495" s="165"/>
      <c r="BF1495" s="155"/>
    </row>
    <row r="1496" spans="1:59" s="154" customFormat="1" ht="15" customHeight="1">
      <c r="A1496" s="153" t="s">
        <v>5461</v>
      </c>
      <c r="B1496" s="23" t="s">
        <v>5599</v>
      </c>
      <c r="C1496" s="154" t="s">
        <v>5491</v>
      </c>
      <c r="D1496" s="155">
        <v>59</v>
      </c>
      <c r="E1496" s="154">
        <v>1</v>
      </c>
      <c r="F1496" s="154" t="s">
        <v>5584</v>
      </c>
      <c r="G1496" s="154" t="s">
        <v>5600</v>
      </c>
      <c r="J1496" s="154" t="s">
        <v>31</v>
      </c>
      <c r="K1496" s="154" t="s">
        <v>2426</v>
      </c>
      <c r="N1496" s="155"/>
      <c r="O1496" s="156"/>
      <c r="P1496" s="157"/>
      <c r="Q1496" s="158"/>
      <c r="R1496" s="159"/>
      <c r="S1496" s="160"/>
      <c r="T1496" s="161"/>
      <c r="U1496" s="156"/>
      <c r="V1496" s="162"/>
      <c r="W1496" s="163"/>
      <c r="X1496" s="164">
        <v>3</v>
      </c>
      <c r="Y1496" s="159">
        <v>4</v>
      </c>
      <c r="Z1496" s="161"/>
      <c r="AA1496" s="165"/>
      <c r="AD1496" s="154" t="s">
        <v>2482</v>
      </c>
      <c r="AE1496" s="155"/>
      <c r="AF1496" s="154" t="s">
        <v>5679</v>
      </c>
      <c r="AP1496" s="155"/>
      <c r="AQ1496" s="156"/>
      <c r="AR1496" s="157"/>
      <c r="AS1496" s="158"/>
      <c r="AT1496" s="159"/>
      <c r="AU1496" s="161"/>
      <c r="AV1496" s="156"/>
      <c r="AW1496" s="162"/>
      <c r="AX1496" s="163"/>
      <c r="AY1496" s="164"/>
      <c r="AZ1496" s="159"/>
      <c r="BA1496" s="161"/>
      <c r="BB1496" s="165"/>
      <c r="BF1496" s="155"/>
    </row>
    <row r="1497" spans="1:59" s="154" customFormat="1" ht="15" customHeight="1">
      <c r="A1497" s="153" t="s">
        <v>5461</v>
      </c>
      <c r="B1497" s="23" t="s">
        <v>5601</v>
      </c>
      <c r="C1497" s="154" t="s">
        <v>5491</v>
      </c>
      <c r="D1497" s="155">
        <v>60</v>
      </c>
      <c r="E1497" s="154">
        <v>1</v>
      </c>
      <c r="F1497" s="154" t="s">
        <v>5584</v>
      </c>
      <c r="G1497" s="154" t="s">
        <v>5602</v>
      </c>
      <c r="J1497" s="154" t="s">
        <v>31</v>
      </c>
      <c r="K1497" s="154" t="s">
        <v>2426</v>
      </c>
      <c r="N1497" s="155"/>
      <c r="O1497" s="156"/>
      <c r="P1497" s="157"/>
      <c r="Q1497" s="158"/>
      <c r="R1497" s="159"/>
      <c r="S1497" s="160"/>
      <c r="T1497" s="161"/>
      <c r="U1497" s="156"/>
      <c r="V1497" s="162"/>
      <c r="W1497" s="163"/>
      <c r="X1497" s="164">
        <v>3</v>
      </c>
      <c r="Y1497" s="159" t="s">
        <v>1073</v>
      </c>
      <c r="Z1497" s="161"/>
      <c r="AA1497" s="165"/>
      <c r="AD1497" s="154" t="s">
        <v>2482</v>
      </c>
      <c r="AE1497" s="155"/>
      <c r="AF1497" s="154" t="s">
        <v>5680</v>
      </c>
      <c r="AP1497" s="155"/>
      <c r="AQ1497" s="156"/>
      <c r="AR1497" s="157"/>
      <c r="AS1497" s="158"/>
      <c r="AT1497" s="159"/>
      <c r="AU1497" s="161"/>
      <c r="AV1497" s="156"/>
      <c r="AW1497" s="162"/>
      <c r="AX1497" s="163"/>
      <c r="AY1497" s="164"/>
      <c r="AZ1497" s="159"/>
      <c r="BA1497" s="161"/>
      <c r="BB1497" s="165"/>
      <c r="BF1497" s="155"/>
    </row>
    <row r="1498" spans="1:59" s="154" customFormat="1" ht="15" customHeight="1">
      <c r="A1498" s="153" t="s">
        <v>5461</v>
      </c>
      <c r="B1498" s="23" t="s">
        <v>5603</v>
      </c>
      <c r="C1498" s="154" t="s">
        <v>5491</v>
      </c>
      <c r="D1498" s="155">
        <v>61</v>
      </c>
      <c r="E1498" s="154">
        <v>2</v>
      </c>
      <c r="F1498" s="154" t="s">
        <v>5604</v>
      </c>
      <c r="G1498" s="154" t="s">
        <v>5605</v>
      </c>
      <c r="J1498" s="154" t="s">
        <v>28</v>
      </c>
      <c r="K1498" s="154" t="s">
        <v>2426</v>
      </c>
      <c r="N1498" s="155"/>
      <c r="O1498" s="156"/>
      <c r="P1498" s="157"/>
      <c r="Q1498" s="158"/>
      <c r="R1498" s="159"/>
      <c r="S1498" s="160"/>
      <c r="T1498" s="161"/>
      <c r="U1498" s="156"/>
      <c r="V1498" s="162"/>
      <c r="W1498" s="163"/>
      <c r="X1498" s="164"/>
      <c r="Y1498" s="159"/>
      <c r="Z1498" s="161"/>
      <c r="AA1498" s="165"/>
      <c r="AD1498" s="154" t="s">
        <v>486</v>
      </c>
      <c r="AE1498" s="155"/>
      <c r="AF1498" s="154" t="s">
        <v>5681</v>
      </c>
      <c r="AP1498" s="155"/>
      <c r="AQ1498" s="156"/>
      <c r="AR1498" s="157"/>
      <c r="AS1498" s="158"/>
      <c r="AT1498" s="159"/>
      <c r="AU1498" s="161"/>
      <c r="AV1498" s="156"/>
      <c r="AW1498" s="162"/>
      <c r="AX1498" s="163"/>
      <c r="AY1498" s="164"/>
      <c r="AZ1498" s="159"/>
      <c r="BA1498" s="161"/>
      <c r="BB1498" s="165"/>
      <c r="BF1498" s="155"/>
    </row>
    <row r="1499" spans="1:59" s="154" customFormat="1" ht="15" customHeight="1">
      <c r="A1499" s="153" t="s">
        <v>5461</v>
      </c>
      <c r="B1499" s="23" t="s">
        <v>5606</v>
      </c>
      <c r="C1499" s="154" t="s">
        <v>5491</v>
      </c>
      <c r="D1499" s="155">
        <v>62</v>
      </c>
      <c r="E1499" s="154">
        <v>2</v>
      </c>
      <c r="F1499" s="154" t="s">
        <v>5604</v>
      </c>
      <c r="G1499" s="154" t="s">
        <v>5607</v>
      </c>
      <c r="J1499" s="154" t="s">
        <v>28</v>
      </c>
      <c r="K1499" s="154" t="s">
        <v>2426</v>
      </c>
      <c r="N1499" s="155"/>
      <c r="O1499" s="156"/>
      <c r="P1499" s="157"/>
      <c r="Q1499" s="158"/>
      <c r="R1499" s="159"/>
      <c r="S1499" s="160"/>
      <c r="T1499" s="161"/>
      <c r="U1499" s="156"/>
      <c r="V1499" s="162"/>
      <c r="W1499" s="163"/>
      <c r="X1499" s="164"/>
      <c r="Y1499" s="159"/>
      <c r="Z1499" s="161"/>
      <c r="AA1499" s="165"/>
      <c r="AD1499" s="154" t="s">
        <v>486</v>
      </c>
      <c r="AE1499" s="155"/>
      <c r="AF1499" s="154" t="s">
        <v>5682</v>
      </c>
      <c r="AP1499" s="155"/>
      <c r="AQ1499" s="156"/>
      <c r="AR1499" s="157"/>
      <c r="AS1499" s="158"/>
      <c r="AT1499" s="159"/>
      <c r="AU1499" s="161"/>
      <c r="AV1499" s="156"/>
      <c r="AW1499" s="162"/>
      <c r="AX1499" s="163"/>
      <c r="AY1499" s="164"/>
      <c r="AZ1499" s="159"/>
      <c r="BA1499" s="161"/>
      <c r="BB1499" s="165"/>
      <c r="BF1499" s="155"/>
    </row>
    <row r="1500" spans="1:59" s="154" customFormat="1" ht="15" customHeight="1">
      <c r="A1500" s="153" t="s">
        <v>5461</v>
      </c>
      <c r="B1500" s="23" t="s">
        <v>5608</v>
      </c>
      <c r="C1500" s="154" t="s">
        <v>5491</v>
      </c>
      <c r="D1500" s="155">
        <v>63</v>
      </c>
      <c r="E1500" s="154">
        <v>2</v>
      </c>
      <c r="F1500" s="154" t="s">
        <v>5604</v>
      </c>
      <c r="G1500" s="154" t="s">
        <v>5609</v>
      </c>
      <c r="J1500" s="154" t="s">
        <v>28</v>
      </c>
      <c r="K1500" s="154" t="s">
        <v>2426</v>
      </c>
      <c r="N1500" s="155"/>
      <c r="O1500" s="156"/>
      <c r="P1500" s="157"/>
      <c r="Q1500" s="158"/>
      <c r="R1500" s="159"/>
      <c r="S1500" s="160"/>
      <c r="T1500" s="161"/>
      <c r="U1500" s="156"/>
      <c r="V1500" s="162"/>
      <c r="W1500" s="163"/>
      <c r="X1500" s="164"/>
      <c r="Y1500" s="159"/>
      <c r="Z1500" s="161"/>
      <c r="AA1500" s="165"/>
      <c r="AD1500" s="154" t="s">
        <v>486</v>
      </c>
      <c r="AE1500" s="155"/>
      <c r="AF1500" s="154" t="s">
        <v>5683</v>
      </c>
      <c r="AP1500" s="155"/>
      <c r="AQ1500" s="156"/>
      <c r="AR1500" s="157"/>
      <c r="AS1500" s="158"/>
      <c r="AT1500" s="159"/>
      <c r="AU1500" s="161"/>
      <c r="AV1500" s="156"/>
      <c r="AW1500" s="162"/>
      <c r="AX1500" s="163"/>
      <c r="AY1500" s="164"/>
      <c r="AZ1500" s="159"/>
      <c r="BA1500" s="161"/>
      <c r="BB1500" s="165"/>
      <c r="BF1500" s="155"/>
    </row>
    <row r="1501" spans="1:59" s="154" customFormat="1" ht="15" customHeight="1">
      <c r="A1501" s="153" t="s">
        <v>5461</v>
      </c>
      <c r="B1501" s="23" t="s">
        <v>5610</v>
      </c>
      <c r="C1501" s="154" t="s">
        <v>5491</v>
      </c>
      <c r="D1501" s="155">
        <v>64</v>
      </c>
      <c r="E1501" s="154">
        <v>3</v>
      </c>
      <c r="F1501" s="154" t="s">
        <v>5611</v>
      </c>
      <c r="G1501" s="154" t="s">
        <v>5611</v>
      </c>
      <c r="J1501" s="154" t="s">
        <v>28</v>
      </c>
      <c r="K1501" s="154" t="s">
        <v>2426</v>
      </c>
      <c r="N1501" s="155"/>
      <c r="O1501" s="156"/>
      <c r="P1501" s="157"/>
      <c r="Q1501" s="158"/>
      <c r="R1501" s="159"/>
      <c r="S1501" s="160"/>
      <c r="T1501" s="161"/>
      <c r="U1501" s="156"/>
      <c r="V1501" s="162"/>
      <c r="W1501" s="163"/>
      <c r="X1501" s="164"/>
      <c r="Y1501" s="159"/>
      <c r="Z1501" s="161"/>
      <c r="AA1501" s="165"/>
      <c r="AD1501" s="154" t="s">
        <v>492</v>
      </c>
      <c r="AE1501" s="155"/>
      <c r="AF1501" s="154" t="s">
        <v>5684</v>
      </c>
      <c r="AP1501" s="155"/>
      <c r="AQ1501" s="156"/>
      <c r="AR1501" s="157"/>
      <c r="AS1501" s="158"/>
      <c r="AT1501" s="159"/>
      <c r="AU1501" s="161"/>
      <c r="AV1501" s="156"/>
      <c r="AW1501" s="162"/>
      <c r="AX1501" s="163"/>
      <c r="AY1501" s="164"/>
      <c r="AZ1501" s="159"/>
      <c r="BA1501" s="161"/>
      <c r="BB1501" s="165"/>
      <c r="BF1501" s="155"/>
    </row>
    <row r="1502" spans="1:59" s="154" customFormat="1" ht="15" customHeight="1">
      <c r="A1502" s="153" t="s">
        <v>5461</v>
      </c>
      <c r="B1502" s="23" t="s">
        <v>5612</v>
      </c>
      <c r="C1502" s="154" t="s">
        <v>5491</v>
      </c>
      <c r="D1502" s="155">
        <v>65</v>
      </c>
      <c r="E1502" s="154">
        <v>2</v>
      </c>
      <c r="F1502" s="154" t="s">
        <v>5613</v>
      </c>
      <c r="G1502" s="154" t="s">
        <v>5614</v>
      </c>
      <c r="J1502" s="154" t="s">
        <v>28</v>
      </c>
      <c r="K1502" s="154" t="s">
        <v>2426</v>
      </c>
      <c r="N1502" s="155"/>
      <c r="O1502" s="156"/>
      <c r="P1502" s="157"/>
      <c r="Q1502" s="158"/>
      <c r="R1502" s="159"/>
      <c r="S1502" s="160"/>
      <c r="T1502" s="161"/>
      <c r="U1502" s="156"/>
      <c r="V1502" s="162"/>
      <c r="W1502" s="163"/>
      <c r="X1502" s="164"/>
      <c r="Y1502" s="159"/>
      <c r="Z1502" s="161"/>
      <c r="AA1502" s="165"/>
      <c r="AD1502" s="154" t="s">
        <v>834</v>
      </c>
      <c r="AE1502" s="155"/>
      <c r="AF1502" s="154" t="s">
        <v>5685</v>
      </c>
      <c r="AP1502" s="155"/>
      <c r="AQ1502" s="156"/>
      <c r="AR1502" s="157"/>
      <c r="AS1502" s="158"/>
      <c r="AT1502" s="159"/>
      <c r="AU1502" s="161"/>
      <c r="AV1502" s="156"/>
      <c r="AW1502" s="162"/>
      <c r="AX1502" s="163"/>
      <c r="AY1502" s="164"/>
      <c r="AZ1502" s="159"/>
      <c r="BA1502" s="161"/>
      <c r="BB1502" s="165"/>
      <c r="BF1502" s="155"/>
    </row>
    <row r="1503" spans="1:59" s="154" customFormat="1" ht="15" customHeight="1">
      <c r="A1503" s="153" t="s">
        <v>5461</v>
      </c>
      <c r="B1503" s="23" t="s">
        <v>5615</v>
      </c>
      <c r="C1503" s="154" t="s">
        <v>5491</v>
      </c>
      <c r="D1503" s="155">
        <v>66</v>
      </c>
      <c r="E1503" s="154">
        <v>2</v>
      </c>
      <c r="F1503" s="154" t="s">
        <v>5616</v>
      </c>
      <c r="G1503" s="154" t="s">
        <v>5617</v>
      </c>
      <c r="J1503" s="154" t="s">
        <v>28</v>
      </c>
      <c r="K1503" s="154" t="s">
        <v>2426</v>
      </c>
      <c r="N1503" s="155"/>
      <c r="O1503" s="156"/>
      <c r="P1503" s="157"/>
      <c r="Q1503" s="158"/>
      <c r="R1503" s="159"/>
      <c r="S1503" s="160"/>
      <c r="T1503" s="161"/>
      <c r="U1503" s="156"/>
      <c r="V1503" s="162"/>
      <c r="W1503" s="163"/>
      <c r="X1503" s="164"/>
      <c r="Y1503" s="159"/>
      <c r="Z1503" s="161"/>
      <c r="AA1503" s="165"/>
      <c r="AD1503" s="154" t="s">
        <v>479</v>
      </c>
      <c r="AE1503" s="155"/>
      <c r="AF1503" s="154" t="s">
        <v>5686</v>
      </c>
      <c r="AP1503" s="155"/>
      <c r="AQ1503" s="156"/>
      <c r="AR1503" s="157"/>
      <c r="AS1503" s="158"/>
      <c r="AT1503" s="159"/>
      <c r="AU1503" s="161"/>
      <c r="AV1503" s="156"/>
      <c r="AW1503" s="162"/>
      <c r="AX1503" s="163"/>
      <c r="AY1503" s="164"/>
      <c r="AZ1503" s="159"/>
      <c r="BA1503" s="161"/>
      <c r="BB1503" s="165"/>
      <c r="BF1503" s="155"/>
    </row>
    <row r="1504" spans="1:59" s="154" customFormat="1" ht="15" customHeight="1">
      <c r="A1504" s="153" t="s">
        <v>5461</v>
      </c>
      <c r="B1504" s="23" t="s">
        <v>5618</v>
      </c>
      <c r="C1504" s="154" t="s">
        <v>5491</v>
      </c>
      <c r="D1504" s="155">
        <v>67</v>
      </c>
      <c r="E1504" s="154">
        <v>2</v>
      </c>
      <c r="F1504" s="154" t="s">
        <v>5616</v>
      </c>
      <c r="G1504" s="154" t="s">
        <v>5619</v>
      </c>
      <c r="J1504" s="154" t="s">
        <v>28</v>
      </c>
      <c r="K1504" s="154" t="s">
        <v>2426</v>
      </c>
      <c r="N1504" s="155"/>
      <c r="O1504" s="156"/>
      <c r="P1504" s="157"/>
      <c r="Q1504" s="158"/>
      <c r="R1504" s="159"/>
      <c r="S1504" s="160"/>
      <c r="T1504" s="161"/>
      <c r="U1504" s="156"/>
      <c r="V1504" s="162"/>
      <c r="W1504" s="163"/>
      <c r="X1504" s="164"/>
      <c r="Y1504" s="159"/>
      <c r="Z1504" s="161"/>
      <c r="AA1504" s="165"/>
      <c r="AD1504" s="154" t="s">
        <v>479</v>
      </c>
      <c r="AE1504" s="155"/>
      <c r="AF1504" s="154" t="s">
        <v>5687</v>
      </c>
      <c r="AP1504" s="155"/>
      <c r="AQ1504" s="156"/>
      <c r="AR1504" s="157"/>
      <c r="AS1504" s="158"/>
      <c r="AT1504" s="159"/>
      <c r="AU1504" s="161"/>
      <c r="AV1504" s="156"/>
      <c r="AW1504" s="162"/>
      <c r="AX1504" s="163"/>
      <c r="AY1504" s="164"/>
      <c r="AZ1504" s="159"/>
      <c r="BA1504" s="161"/>
      <c r="BB1504" s="165"/>
      <c r="BF1504" s="155"/>
    </row>
    <row r="1505" spans="1:59" s="154" customFormat="1" ht="15" customHeight="1">
      <c r="A1505" s="153" t="s">
        <v>5461</v>
      </c>
      <c r="B1505" s="23" t="s">
        <v>5620</v>
      </c>
      <c r="C1505" s="154" t="s">
        <v>5491</v>
      </c>
      <c r="D1505" s="155">
        <v>68</v>
      </c>
      <c r="E1505" s="154">
        <v>2</v>
      </c>
      <c r="F1505" s="154" t="s">
        <v>5621</v>
      </c>
      <c r="G1505" s="154" t="s">
        <v>5622</v>
      </c>
      <c r="J1505" s="154" t="s">
        <v>28</v>
      </c>
      <c r="K1505" s="154" t="s">
        <v>2426</v>
      </c>
      <c r="N1505" s="155"/>
      <c r="O1505" s="156"/>
      <c r="P1505" s="157"/>
      <c r="Q1505" s="158"/>
      <c r="R1505" s="159"/>
      <c r="S1505" s="160"/>
      <c r="T1505" s="161"/>
      <c r="U1505" s="156"/>
      <c r="V1505" s="162"/>
      <c r="W1505" s="163"/>
      <c r="X1505" s="164"/>
      <c r="Y1505" s="159"/>
      <c r="Z1505" s="161"/>
      <c r="AA1505" s="165"/>
      <c r="AD1505" s="154" t="s">
        <v>481</v>
      </c>
      <c r="AE1505" s="155"/>
      <c r="AF1505" s="154" t="s">
        <v>5688</v>
      </c>
      <c r="AP1505" s="155"/>
      <c r="AQ1505" s="156"/>
      <c r="AR1505" s="157"/>
      <c r="AS1505" s="158"/>
      <c r="AT1505" s="159"/>
      <c r="AU1505" s="161"/>
      <c r="AV1505" s="156"/>
      <c r="AW1505" s="162"/>
      <c r="AX1505" s="163"/>
      <c r="AY1505" s="164"/>
      <c r="AZ1505" s="159"/>
      <c r="BA1505" s="161"/>
      <c r="BB1505" s="165"/>
      <c r="BF1505" s="155"/>
    </row>
    <row r="1506" spans="1:59" s="154" customFormat="1" ht="15" customHeight="1">
      <c r="A1506" s="153" t="s">
        <v>5461</v>
      </c>
      <c r="B1506" s="23" t="s">
        <v>5623</v>
      </c>
      <c r="C1506" s="154" t="s">
        <v>5491</v>
      </c>
      <c r="D1506" s="155">
        <v>69</v>
      </c>
      <c r="E1506" s="154">
        <v>2</v>
      </c>
      <c r="F1506" s="154" t="s">
        <v>5621</v>
      </c>
      <c r="G1506" s="154" t="s">
        <v>5624</v>
      </c>
      <c r="J1506" s="154" t="s">
        <v>28</v>
      </c>
      <c r="K1506" s="154" t="s">
        <v>2426</v>
      </c>
      <c r="N1506" s="155"/>
      <c r="O1506" s="156"/>
      <c r="P1506" s="157"/>
      <c r="Q1506" s="158"/>
      <c r="R1506" s="159"/>
      <c r="S1506" s="160"/>
      <c r="T1506" s="161"/>
      <c r="U1506" s="156"/>
      <c r="V1506" s="162"/>
      <c r="W1506" s="163"/>
      <c r="X1506" s="164"/>
      <c r="Y1506" s="159"/>
      <c r="Z1506" s="161"/>
      <c r="AA1506" s="165"/>
      <c r="AD1506" s="154" t="s">
        <v>481</v>
      </c>
      <c r="AE1506" s="155"/>
      <c r="AF1506" s="154" t="s">
        <v>5689</v>
      </c>
      <c r="AP1506" s="155"/>
      <c r="AQ1506" s="156"/>
      <c r="AR1506" s="157"/>
      <c r="AS1506" s="158"/>
      <c r="AT1506" s="159"/>
      <c r="AU1506" s="161"/>
      <c r="AV1506" s="156"/>
      <c r="AW1506" s="162"/>
      <c r="AX1506" s="163"/>
      <c r="AY1506" s="164"/>
      <c r="AZ1506" s="159"/>
      <c r="BA1506" s="161"/>
      <c r="BB1506" s="165"/>
      <c r="BF1506" s="155"/>
    </row>
    <row r="1507" spans="1:59" s="154" customFormat="1" ht="15" customHeight="1">
      <c r="A1507" s="153" t="s">
        <v>5461</v>
      </c>
      <c r="B1507" s="23" t="s">
        <v>5625</v>
      </c>
      <c r="C1507" s="154" t="s">
        <v>5491</v>
      </c>
      <c r="D1507" s="155">
        <v>70</v>
      </c>
      <c r="E1507" s="154">
        <v>3</v>
      </c>
      <c r="F1507" s="154" t="s">
        <v>5621</v>
      </c>
      <c r="G1507" s="154" t="s">
        <v>5626</v>
      </c>
      <c r="J1507" s="154" t="s">
        <v>28</v>
      </c>
      <c r="K1507" s="154" t="s">
        <v>2426</v>
      </c>
      <c r="N1507" s="155"/>
      <c r="O1507" s="156"/>
      <c r="P1507" s="157"/>
      <c r="Q1507" s="158"/>
      <c r="R1507" s="159"/>
      <c r="S1507" s="160"/>
      <c r="T1507" s="161"/>
      <c r="U1507" s="156"/>
      <c r="V1507" s="162"/>
      <c r="W1507" s="163"/>
      <c r="X1507" s="164"/>
      <c r="Y1507" s="159"/>
      <c r="Z1507" s="161"/>
      <c r="AA1507" s="165"/>
      <c r="AD1507" s="154" t="s">
        <v>481</v>
      </c>
      <c r="AE1507" s="155"/>
      <c r="AF1507" s="154" t="s">
        <v>5690</v>
      </c>
      <c r="AP1507" s="155"/>
      <c r="AQ1507" s="156"/>
      <c r="AR1507" s="157"/>
      <c r="AS1507" s="158"/>
      <c r="AT1507" s="159"/>
      <c r="AU1507" s="161"/>
      <c r="AV1507" s="156"/>
      <c r="AW1507" s="162"/>
      <c r="AX1507" s="163"/>
      <c r="AY1507" s="164"/>
      <c r="AZ1507" s="159"/>
      <c r="BA1507" s="161"/>
      <c r="BB1507" s="165"/>
      <c r="BF1507" s="155"/>
    </row>
    <row r="1508" spans="1:59" s="154" customFormat="1" ht="15" customHeight="1">
      <c r="A1508" s="153" t="s">
        <v>5461</v>
      </c>
      <c r="B1508" s="23" t="s">
        <v>5627</v>
      </c>
      <c r="C1508" s="154" t="s">
        <v>5491</v>
      </c>
      <c r="D1508" s="155">
        <v>71</v>
      </c>
      <c r="E1508" s="154">
        <v>2</v>
      </c>
      <c r="F1508" s="154" t="s">
        <v>5628</v>
      </c>
      <c r="G1508" s="154" t="s">
        <v>5629</v>
      </c>
      <c r="J1508" s="154" t="s">
        <v>29</v>
      </c>
      <c r="K1508" s="154" t="s">
        <v>2426</v>
      </c>
      <c r="N1508" s="155"/>
      <c r="O1508" s="156"/>
      <c r="P1508" s="157"/>
      <c r="Q1508" s="158">
        <v>3</v>
      </c>
      <c r="R1508" s="159">
        <v>2</v>
      </c>
      <c r="S1508" s="160"/>
      <c r="T1508" s="161">
        <v>4</v>
      </c>
      <c r="U1508" s="156"/>
      <c r="V1508" s="162">
        <v>1</v>
      </c>
      <c r="W1508" s="163">
        <v>1</v>
      </c>
      <c r="X1508" s="164"/>
      <c r="Y1508" s="159"/>
      <c r="Z1508" s="161"/>
      <c r="AA1508" s="165">
        <v>1</v>
      </c>
      <c r="AD1508" s="154" t="s">
        <v>1691</v>
      </c>
      <c r="AE1508" s="155"/>
      <c r="AF1508" s="154" t="s">
        <v>5691</v>
      </c>
      <c r="AP1508" s="155"/>
      <c r="AQ1508" s="156"/>
      <c r="AR1508" s="157"/>
      <c r="AS1508" s="158"/>
      <c r="AT1508" s="159"/>
      <c r="AU1508" s="161"/>
      <c r="AV1508" s="156"/>
      <c r="AW1508" s="162"/>
      <c r="AX1508" s="163"/>
      <c r="AY1508" s="164"/>
      <c r="AZ1508" s="159"/>
      <c r="BA1508" s="161"/>
      <c r="BB1508" s="165"/>
      <c r="BF1508" s="155"/>
    </row>
    <row r="1509" spans="1:59" s="154" customFormat="1" ht="15" customHeight="1">
      <c r="A1509" s="153" t="s">
        <v>5461</v>
      </c>
      <c r="B1509" s="23" t="s">
        <v>5630</v>
      </c>
      <c r="C1509" s="154" t="s">
        <v>5491</v>
      </c>
      <c r="D1509" s="155">
        <v>72</v>
      </c>
      <c r="E1509" s="154">
        <v>2</v>
      </c>
      <c r="F1509" s="154" t="s">
        <v>5628</v>
      </c>
      <c r="G1509" s="154" t="s">
        <v>5631</v>
      </c>
      <c r="J1509" s="154" t="s">
        <v>28</v>
      </c>
      <c r="K1509" s="154" t="s">
        <v>2426</v>
      </c>
      <c r="N1509" s="155"/>
      <c r="O1509" s="156"/>
      <c r="P1509" s="157"/>
      <c r="Q1509" s="158"/>
      <c r="R1509" s="159"/>
      <c r="S1509" s="160"/>
      <c r="T1509" s="161"/>
      <c r="U1509" s="156"/>
      <c r="V1509" s="162"/>
      <c r="W1509" s="163"/>
      <c r="X1509" s="164"/>
      <c r="Y1509" s="159"/>
      <c r="Z1509" s="161"/>
      <c r="AA1509" s="165"/>
      <c r="AD1509" s="154" t="s">
        <v>845</v>
      </c>
      <c r="AE1509" s="155"/>
      <c r="AF1509" s="154" t="s">
        <v>5692</v>
      </c>
      <c r="AP1509" s="155"/>
      <c r="AQ1509" s="156"/>
      <c r="AR1509" s="157"/>
      <c r="AS1509" s="158"/>
      <c r="AT1509" s="159"/>
      <c r="AU1509" s="161"/>
      <c r="AV1509" s="156"/>
      <c r="AW1509" s="162"/>
      <c r="AX1509" s="163"/>
      <c r="AY1509" s="164"/>
      <c r="AZ1509" s="159"/>
      <c r="BA1509" s="161"/>
      <c r="BB1509" s="165"/>
      <c r="BF1509" s="155"/>
    </row>
    <row r="1510" spans="1:59" s="171" customFormat="1" ht="15" customHeight="1">
      <c r="A1510" s="153" t="s">
        <v>5693</v>
      </c>
      <c r="B1510" s="154" t="s">
        <v>5694</v>
      </c>
      <c r="C1510" s="154" t="s">
        <v>5695</v>
      </c>
      <c r="D1510" s="170">
        <v>1</v>
      </c>
      <c r="E1510" s="171">
        <v>1</v>
      </c>
      <c r="G1510" s="171" t="s">
        <v>5696</v>
      </c>
      <c r="H1510" s="171" t="s">
        <v>5697</v>
      </c>
      <c r="I1510" s="171" t="s">
        <v>223</v>
      </c>
      <c r="J1510" s="171" t="s">
        <v>203</v>
      </c>
      <c r="K1510" s="171" t="s">
        <v>198</v>
      </c>
      <c r="N1510" s="170"/>
      <c r="O1510" s="156">
        <v>3</v>
      </c>
      <c r="P1510" s="157">
        <v>4</v>
      </c>
      <c r="Q1510" s="158">
        <v>2</v>
      </c>
      <c r="R1510" s="159">
        <v>2</v>
      </c>
      <c r="S1510" s="160"/>
      <c r="T1510" s="161">
        <v>6</v>
      </c>
      <c r="U1510" s="156">
        <v>9</v>
      </c>
      <c r="V1510" s="162"/>
      <c r="W1510" s="163"/>
      <c r="X1510" s="164"/>
      <c r="Y1510" s="159"/>
      <c r="Z1510" s="161"/>
      <c r="AA1510" s="165"/>
      <c r="AD1510" s="171" t="s">
        <v>5698</v>
      </c>
      <c r="AE1510" s="170"/>
      <c r="AF1510" s="171" t="s">
        <v>5699</v>
      </c>
      <c r="AI1510" s="171" t="s">
        <v>5696</v>
      </c>
      <c r="AJ1510" s="171" t="s">
        <v>5697</v>
      </c>
      <c r="AK1510" s="171" t="s">
        <v>223</v>
      </c>
      <c r="AL1510" s="171" t="s">
        <v>203</v>
      </c>
      <c r="AM1510" s="171" t="s">
        <v>198</v>
      </c>
      <c r="AQ1510" s="156"/>
      <c r="AR1510" s="157"/>
      <c r="AS1510" s="158"/>
      <c r="AT1510" s="159"/>
      <c r="AU1510" s="161"/>
      <c r="AV1510" s="156"/>
      <c r="AW1510" s="162"/>
      <c r="AX1510" s="163"/>
      <c r="AY1510" s="164"/>
      <c r="AZ1510" s="159"/>
      <c r="BA1510" s="161"/>
      <c r="BB1510" s="165"/>
      <c r="BE1510" s="171" t="s">
        <v>5698</v>
      </c>
      <c r="BF1510" s="170"/>
      <c r="BG1510" s="171" t="s">
        <v>5700</v>
      </c>
    </row>
    <row r="1511" spans="1:59" s="154" customFormat="1" ht="15" customHeight="1">
      <c r="A1511" s="153" t="s">
        <v>5693</v>
      </c>
      <c r="B1511" s="154" t="s">
        <v>5701</v>
      </c>
      <c r="C1511" s="154" t="s">
        <v>5695</v>
      </c>
      <c r="D1511" s="170">
        <v>2</v>
      </c>
      <c r="E1511" s="154">
        <v>1</v>
      </c>
      <c r="F1511" s="171"/>
      <c r="G1511" s="154" t="s">
        <v>5702</v>
      </c>
      <c r="H1511" s="154" t="s">
        <v>5703</v>
      </c>
      <c r="I1511" s="154" t="s">
        <v>223</v>
      </c>
      <c r="J1511" s="171" t="s">
        <v>203</v>
      </c>
      <c r="K1511" s="154" t="s">
        <v>199</v>
      </c>
      <c r="N1511" s="155"/>
      <c r="O1511" s="156">
        <v>2</v>
      </c>
      <c r="P1511" s="157">
        <v>4</v>
      </c>
      <c r="Q1511" s="158">
        <v>4</v>
      </c>
      <c r="R1511" s="159">
        <v>2</v>
      </c>
      <c r="S1511" s="160"/>
      <c r="T1511" s="161">
        <v>8</v>
      </c>
      <c r="U1511" s="156">
        <v>6</v>
      </c>
      <c r="V1511" s="162"/>
      <c r="W1511" s="163"/>
      <c r="X1511" s="164"/>
      <c r="Y1511" s="159"/>
      <c r="Z1511" s="161"/>
      <c r="AA1511" s="165"/>
      <c r="AD1511" s="154" t="s">
        <v>5704</v>
      </c>
      <c r="AE1511" s="155"/>
      <c r="AF1511" s="154" t="s">
        <v>5705</v>
      </c>
      <c r="AI1511" s="154" t="s">
        <v>5702</v>
      </c>
      <c r="AJ1511" s="154" t="s">
        <v>5703</v>
      </c>
      <c r="AK1511" s="154" t="s">
        <v>223</v>
      </c>
      <c r="AL1511" s="171" t="s">
        <v>203</v>
      </c>
      <c r="AM1511" s="154" t="s">
        <v>199</v>
      </c>
      <c r="AO1511" s="155"/>
      <c r="AP1511" s="155"/>
      <c r="AQ1511" s="156"/>
      <c r="AR1511" s="157"/>
      <c r="AS1511" s="158"/>
      <c r="AT1511" s="159"/>
      <c r="AU1511" s="161"/>
      <c r="AV1511" s="156"/>
      <c r="AW1511" s="162"/>
      <c r="AX1511" s="163"/>
      <c r="AY1511" s="164"/>
      <c r="AZ1511" s="159"/>
      <c r="BA1511" s="161"/>
      <c r="BB1511" s="165"/>
      <c r="BE1511" s="155" t="s">
        <v>5704</v>
      </c>
      <c r="BG1511" s="154" t="s">
        <v>5706</v>
      </c>
    </row>
    <row r="1512" spans="1:59" s="154" customFormat="1" ht="15" customHeight="1">
      <c r="A1512" s="153" t="s">
        <v>5693</v>
      </c>
      <c r="B1512" s="153" t="s">
        <v>5707</v>
      </c>
      <c r="C1512" s="154" t="s">
        <v>5695</v>
      </c>
      <c r="D1512" s="170">
        <v>3</v>
      </c>
      <c r="E1512" s="154">
        <v>1</v>
      </c>
      <c r="F1512" s="171"/>
      <c r="G1512" s="154" t="s">
        <v>5708</v>
      </c>
      <c r="H1512" s="154" t="s">
        <v>5709</v>
      </c>
      <c r="I1512" s="154" t="s">
        <v>223</v>
      </c>
      <c r="J1512" s="171" t="s">
        <v>203</v>
      </c>
      <c r="K1512" s="154" t="s">
        <v>201</v>
      </c>
      <c r="N1512" s="155"/>
      <c r="O1512" s="156">
        <v>1</v>
      </c>
      <c r="P1512" s="157">
        <v>1</v>
      </c>
      <c r="Q1512" s="158">
        <v>1</v>
      </c>
      <c r="R1512" s="159">
        <v>1</v>
      </c>
      <c r="S1512" s="160"/>
      <c r="T1512" s="161">
        <v>7</v>
      </c>
      <c r="U1512" s="156">
        <v>7</v>
      </c>
      <c r="V1512" s="162"/>
      <c r="W1512" s="163"/>
      <c r="X1512" s="164"/>
      <c r="Y1512" s="159"/>
      <c r="Z1512" s="161"/>
      <c r="AA1512" s="165"/>
      <c r="AD1512" s="154" t="s">
        <v>5710</v>
      </c>
      <c r="AE1512" s="155"/>
      <c r="AF1512" s="154" t="s">
        <v>5711</v>
      </c>
      <c r="AI1512" s="154" t="s">
        <v>5708</v>
      </c>
      <c r="AJ1512" s="154" t="s">
        <v>5709</v>
      </c>
      <c r="AK1512" s="154" t="s">
        <v>223</v>
      </c>
      <c r="AL1512" s="171" t="s">
        <v>203</v>
      </c>
      <c r="AM1512" s="154" t="s">
        <v>201</v>
      </c>
      <c r="AO1512" s="155"/>
      <c r="AP1512" s="155"/>
      <c r="AQ1512" s="156"/>
      <c r="AR1512" s="157"/>
      <c r="AS1512" s="158"/>
      <c r="AT1512" s="159"/>
      <c r="AU1512" s="161"/>
      <c r="AV1512" s="156"/>
      <c r="AW1512" s="162"/>
      <c r="AX1512" s="163"/>
      <c r="AY1512" s="164"/>
      <c r="AZ1512" s="159"/>
      <c r="BA1512" s="161"/>
      <c r="BB1512" s="165"/>
      <c r="BE1512" s="155" t="s">
        <v>5710</v>
      </c>
      <c r="BG1512" s="154" t="s">
        <v>5712</v>
      </c>
    </row>
    <row r="1513" spans="1:59" s="154" customFormat="1" ht="15" customHeight="1">
      <c r="A1513" s="153" t="s">
        <v>5693</v>
      </c>
      <c r="B1513" s="153" t="s">
        <v>5713</v>
      </c>
      <c r="C1513" s="154" t="s">
        <v>5695</v>
      </c>
      <c r="D1513" s="170">
        <v>4</v>
      </c>
      <c r="E1513" s="154">
        <v>1</v>
      </c>
      <c r="G1513" s="154" t="s">
        <v>5714</v>
      </c>
      <c r="H1513" s="154" t="s">
        <v>5715</v>
      </c>
      <c r="I1513" s="154" t="s">
        <v>223</v>
      </c>
      <c r="J1513" s="171" t="s">
        <v>203</v>
      </c>
      <c r="K1513" s="154" t="s">
        <v>200</v>
      </c>
      <c r="N1513" s="155"/>
      <c r="O1513" s="156">
        <v>1</v>
      </c>
      <c r="P1513" s="157">
        <v>3</v>
      </c>
      <c r="Q1513" s="158">
        <v>3</v>
      </c>
      <c r="R1513" s="159">
        <v>3</v>
      </c>
      <c r="S1513" s="160"/>
      <c r="T1513" s="161">
        <v>7</v>
      </c>
      <c r="U1513" s="156">
        <v>7</v>
      </c>
      <c r="V1513" s="162"/>
      <c r="W1513" s="163"/>
      <c r="X1513" s="164"/>
      <c r="Y1513" s="159"/>
      <c r="Z1513" s="161"/>
      <c r="AA1513" s="165"/>
      <c r="AD1513" s="154" t="s">
        <v>5716</v>
      </c>
      <c r="AE1513" s="155"/>
      <c r="AF1513" s="154" t="s">
        <v>5717</v>
      </c>
      <c r="AI1513" s="154" t="s">
        <v>5714</v>
      </c>
      <c r="AJ1513" s="154" t="s">
        <v>5715</v>
      </c>
      <c r="AK1513" s="154" t="s">
        <v>223</v>
      </c>
      <c r="AL1513" s="171" t="s">
        <v>203</v>
      </c>
      <c r="AM1513" s="154" t="s">
        <v>200</v>
      </c>
      <c r="AO1513" s="155"/>
      <c r="AP1513" s="155"/>
      <c r="AQ1513" s="156"/>
      <c r="AR1513" s="157"/>
      <c r="AS1513" s="158"/>
      <c r="AT1513" s="159"/>
      <c r="AU1513" s="161"/>
      <c r="AV1513" s="156"/>
      <c r="AW1513" s="162"/>
      <c r="AX1513" s="163"/>
      <c r="AY1513" s="164"/>
      <c r="AZ1513" s="159"/>
      <c r="BA1513" s="161"/>
      <c r="BB1513" s="165"/>
      <c r="BE1513" s="155" t="s">
        <v>5716</v>
      </c>
      <c r="BG1513" s="154" t="s">
        <v>5718</v>
      </c>
    </row>
    <row r="1514" spans="1:59" s="154" customFormat="1" ht="15" customHeight="1">
      <c r="A1514" s="153" t="s">
        <v>5693</v>
      </c>
      <c r="B1514" s="153" t="s">
        <v>5719</v>
      </c>
      <c r="C1514" s="154" t="s">
        <v>5695</v>
      </c>
      <c r="D1514" s="170">
        <v>5</v>
      </c>
      <c r="E1514" s="154">
        <v>1</v>
      </c>
      <c r="G1514" s="154" t="s">
        <v>5720</v>
      </c>
      <c r="H1514" s="154" t="s">
        <v>5721</v>
      </c>
      <c r="I1514" s="154" t="s">
        <v>223</v>
      </c>
      <c r="J1514" s="154" t="s">
        <v>203</v>
      </c>
      <c r="K1514" s="154" t="s">
        <v>202</v>
      </c>
      <c r="O1514" s="156">
        <v>3</v>
      </c>
      <c r="P1514" s="157">
        <v>2</v>
      </c>
      <c r="Q1514" s="158">
        <v>3</v>
      </c>
      <c r="R1514" s="159">
        <v>5</v>
      </c>
      <c r="S1514" s="160"/>
      <c r="T1514" s="161">
        <v>9</v>
      </c>
      <c r="U1514" s="156">
        <v>5</v>
      </c>
      <c r="V1514" s="162"/>
      <c r="W1514" s="163"/>
      <c r="X1514" s="164"/>
      <c r="Y1514" s="159"/>
      <c r="Z1514" s="161"/>
      <c r="AA1514" s="165"/>
      <c r="AD1514" s="154" t="s">
        <v>242</v>
      </c>
      <c r="AF1514" s="154" t="s">
        <v>5722</v>
      </c>
      <c r="AI1514" s="154" t="s">
        <v>5720</v>
      </c>
      <c r="AJ1514" s="154" t="s">
        <v>5721</v>
      </c>
      <c r="AK1514" s="154" t="s">
        <v>223</v>
      </c>
      <c r="AL1514" s="154" t="s">
        <v>203</v>
      </c>
      <c r="AM1514" s="154" t="s">
        <v>202</v>
      </c>
      <c r="AO1514" s="155"/>
      <c r="AQ1514" s="156"/>
      <c r="AR1514" s="157"/>
      <c r="AS1514" s="158"/>
      <c r="AT1514" s="159"/>
      <c r="AU1514" s="161"/>
      <c r="AV1514" s="156"/>
      <c r="AW1514" s="162"/>
      <c r="AX1514" s="163"/>
      <c r="AY1514" s="164"/>
      <c r="AZ1514" s="159"/>
      <c r="BA1514" s="161"/>
      <c r="BB1514" s="165"/>
      <c r="BE1514" s="155" t="s">
        <v>242</v>
      </c>
      <c r="BG1514" s="154" t="s">
        <v>5723</v>
      </c>
    </row>
    <row r="1515" spans="1:59" s="154" customFormat="1" ht="15" customHeight="1">
      <c r="A1515" s="153" t="s">
        <v>5693</v>
      </c>
      <c r="B1515" s="169" t="s">
        <v>5724</v>
      </c>
      <c r="C1515" s="154" t="s">
        <v>5695</v>
      </c>
      <c r="D1515" s="170">
        <v>6</v>
      </c>
      <c r="E1515" s="154">
        <v>1</v>
      </c>
      <c r="G1515" s="154" t="s">
        <v>1114</v>
      </c>
      <c r="H1515" s="154" t="s">
        <v>1115</v>
      </c>
      <c r="I1515" s="154" t="s">
        <v>223</v>
      </c>
      <c r="J1515" s="154" t="s">
        <v>203</v>
      </c>
      <c r="K1515" s="154" t="s">
        <v>200</v>
      </c>
      <c r="O1515" s="156">
        <v>4</v>
      </c>
      <c r="P1515" s="157">
        <v>4</v>
      </c>
      <c r="Q1515" s="158">
        <v>1</v>
      </c>
      <c r="R1515" s="159">
        <v>3</v>
      </c>
      <c r="S1515" s="160"/>
      <c r="T1515" s="161">
        <v>6</v>
      </c>
      <c r="U1515" s="156">
        <v>8</v>
      </c>
      <c r="V1515" s="162"/>
      <c r="W1515" s="163"/>
      <c r="X1515" s="164"/>
      <c r="Y1515" s="159"/>
      <c r="Z1515" s="161"/>
      <c r="AA1515" s="165"/>
      <c r="AD1515" s="154" t="s">
        <v>1116</v>
      </c>
      <c r="AF1515" s="154" t="s">
        <v>5725</v>
      </c>
      <c r="AI1515" s="154" t="s">
        <v>1114</v>
      </c>
      <c r="AJ1515" s="154" t="s">
        <v>1115</v>
      </c>
      <c r="AK1515" s="154" t="s">
        <v>223</v>
      </c>
      <c r="AL1515" s="154" t="s">
        <v>203</v>
      </c>
      <c r="AM1515" s="154" t="s">
        <v>200</v>
      </c>
      <c r="AO1515" s="155"/>
      <c r="AQ1515" s="156"/>
      <c r="AR1515" s="157"/>
      <c r="AS1515" s="158"/>
      <c r="AT1515" s="159"/>
      <c r="AU1515" s="161"/>
      <c r="AV1515" s="156"/>
      <c r="AW1515" s="162"/>
      <c r="AX1515" s="163"/>
      <c r="AY1515" s="164"/>
      <c r="AZ1515" s="159"/>
      <c r="BA1515" s="161"/>
      <c r="BB1515" s="165"/>
      <c r="BE1515" s="155" t="s">
        <v>1116</v>
      </c>
      <c r="BG1515" s="154" t="s">
        <v>5726</v>
      </c>
    </row>
    <row r="1516" spans="1:59" s="154" customFormat="1" ht="15" customHeight="1">
      <c r="A1516" s="153" t="s">
        <v>5693</v>
      </c>
      <c r="B1516" s="169" t="s">
        <v>5727</v>
      </c>
      <c r="C1516" s="154" t="s">
        <v>5695</v>
      </c>
      <c r="D1516" s="170">
        <v>7</v>
      </c>
      <c r="E1516" s="154">
        <v>1</v>
      </c>
      <c r="G1516" s="154" t="s">
        <v>5728</v>
      </c>
      <c r="J1516" s="154" t="s">
        <v>257</v>
      </c>
      <c r="K1516" s="154" t="s">
        <v>26</v>
      </c>
      <c r="N1516" s="154">
        <v>2</v>
      </c>
      <c r="O1516" s="156">
        <v>1</v>
      </c>
      <c r="P1516" s="157">
        <v>1</v>
      </c>
      <c r="Q1516" s="158"/>
      <c r="R1516" s="159"/>
      <c r="S1516" s="160">
        <v>1</v>
      </c>
      <c r="T1516" s="161"/>
      <c r="U1516" s="156"/>
      <c r="V1516" s="162"/>
      <c r="W1516" s="163"/>
      <c r="X1516" s="164"/>
      <c r="Y1516" s="159"/>
      <c r="Z1516" s="161"/>
      <c r="AA1516" s="165"/>
      <c r="AB1516" s="154" t="s">
        <v>1079</v>
      </c>
      <c r="AD1516" s="154" t="s">
        <v>289</v>
      </c>
      <c r="AF1516" s="154" t="s">
        <v>5729</v>
      </c>
      <c r="AO1516" s="155"/>
      <c r="AQ1516" s="156"/>
      <c r="AR1516" s="157"/>
      <c r="AS1516" s="158"/>
      <c r="AT1516" s="159"/>
      <c r="AU1516" s="161"/>
      <c r="AV1516" s="156"/>
      <c r="AW1516" s="162"/>
      <c r="AX1516" s="163"/>
      <c r="AY1516" s="164"/>
      <c r="AZ1516" s="159"/>
      <c r="BA1516" s="161"/>
      <c r="BB1516" s="165"/>
      <c r="BE1516" s="155"/>
    </row>
    <row r="1517" spans="1:59" s="154" customFormat="1" ht="15" customHeight="1">
      <c r="A1517" s="153" t="s">
        <v>5693</v>
      </c>
      <c r="B1517" s="153" t="s">
        <v>5730</v>
      </c>
      <c r="C1517" s="154" t="s">
        <v>5695</v>
      </c>
      <c r="D1517" s="170">
        <v>8</v>
      </c>
      <c r="E1517" s="154">
        <v>1</v>
      </c>
      <c r="G1517" s="154" t="s">
        <v>5731</v>
      </c>
      <c r="J1517" s="154" t="s">
        <v>28</v>
      </c>
      <c r="K1517" s="154" t="s">
        <v>26</v>
      </c>
      <c r="M1517" s="154" t="s">
        <v>648</v>
      </c>
      <c r="O1517" s="156"/>
      <c r="P1517" s="157"/>
      <c r="Q1517" s="158"/>
      <c r="R1517" s="159"/>
      <c r="S1517" s="160"/>
      <c r="T1517" s="161"/>
      <c r="U1517" s="156"/>
      <c r="V1517" s="162"/>
      <c r="W1517" s="163"/>
      <c r="X1517" s="164"/>
      <c r="Y1517" s="159"/>
      <c r="Z1517" s="161"/>
      <c r="AA1517" s="165"/>
      <c r="AD1517" s="154" t="s">
        <v>1449</v>
      </c>
      <c r="AF1517" s="154" t="s">
        <v>5732</v>
      </c>
      <c r="AO1517" s="155"/>
      <c r="AQ1517" s="156"/>
      <c r="AR1517" s="157"/>
      <c r="AS1517" s="158"/>
      <c r="AT1517" s="159"/>
      <c r="AU1517" s="161"/>
      <c r="AV1517" s="156"/>
      <c r="AW1517" s="162"/>
      <c r="AX1517" s="163"/>
      <c r="AY1517" s="164"/>
      <c r="AZ1517" s="159"/>
      <c r="BA1517" s="161"/>
      <c r="BB1517" s="165"/>
      <c r="BE1517" s="155"/>
    </row>
    <row r="1518" spans="1:59" s="154" customFormat="1" ht="15" customHeight="1">
      <c r="A1518" s="153" t="s">
        <v>5693</v>
      </c>
      <c r="B1518" s="153" t="s">
        <v>5733</v>
      </c>
      <c r="C1518" s="154" t="s">
        <v>5695</v>
      </c>
      <c r="D1518" s="170">
        <v>9</v>
      </c>
      <c r="E1518" s="154">
        <v>1</v>
      </c>
      <c r="G1518" s="154" t="s">
        <v>5734</v>
      </c>
      <c r="J1518" s="154" t="s">
        <v>257</v>
      </c>
      <c r="K1518" s="154" t="s">
        <v>26</v>
      </c>
      <c r="N1518" s="172">
        <v>4</v>
      </c>
      <c r="O1518" s="156"/>
      <c r="P1518" s="157">
        <v>1</v>
      </c>
      <c r="Q1518" s="158">
        <v>1</v>
      </c>
      <c r="R1518" s="159"/>
      <c r="S1518" s="160">
        <v>1</v>
      </c>
      <c r="T1518" s="161"/>
      <c r="U1518" s="156"/>
      <c r="V1518" s="162"/>
      <c r="W1518" s="163"/>
      <c r="X1518" s="164"/>
      <c r="Y1518" s="159"/>
      <c r="Z1518" s="161"/>
      <c r="AA1518" s="165"/>
      <c r="AB1518" s="154" t="s">
        <v>4712</v>
      </c>
      <c r="AC1518" s="154" t="s">
        <v>322</v>
      </c>
      <c r="AD1518" s="154" t="s">
        <v>259</v>
      </c>
      <c r="AF1518" s="154" t="s">
        <v>5735</v>
      </c>
      <c r="AO1518" s="155"/>
      <c r="AQ1518" s="156"/>
      <c r="AR1518" s="157"/>
      <c r="AS1518" s="158"/>
      <c r="AT1518" s="159"/>
      <c r="AU1518" s="161"/>
      <c r="AV1518" s="156"/>
      <c r="AW1518" s="162"/>
      <c r="AX1518" s="163"/>
      <c r="AY1518" s="164"/>
      <c r="AZ1518" s="159"/>
      <c r="BA1518" s="161"/>
      <c r="BB1518" s="165"/>
      <c r="BE1518" s="155"/>
    </row>
    <row r="1519" spans="1:59" s="154" customFormat="1" ht="15" customHeight="1">
      <c r="A1519" s="153" t="s">
        <v>5693</v>
      </c>
      <c r="B1519" s="153" t="s">
        <v>5736</v>
      </c>
      <c r="C1519" s="154" t="s">
        <v>5695</v>
      </c>
      <c r="D1519" s="170">
        <v>10</v>
      </c>
      <c r="E1519" s="154">
        <v>1</v>
      </c>
      <c r="G1519" s="154" t="s">
        <v>5737</v>
      </c>
      <c r="J1519" s="154" t="s">
        <v>27</v>
      </c>
      <c r="K1519" s="154" t="s">
        <v>26</v>
      </c>
      <c r="M1519" s="154" t="s">
        <v>648</v>
      </c>
      <c r="N1519" s="154">
        <v>4</v>
      </c>
      <c r="O1519" s="156"/>
      <c r="P1519" s="157"/>
      <c r="Q1519" s="158"/>
      <c r="R1519" s="159"/>
      <c r="S1519" s="160"/>
      <c r="T1519" s="161"/>
      <c r="U1519" s="156"/>
      <c r="V1519" s="162"/>
      <c r="W1519" s="163"/>
      <c r="X1519" s="164"/>
      <c r="Y1519" s="159"/>
      <c r="Z1519" s="161"/>
      <c r="AA1519" s="165"/>
      <c r="AD1519" s="154" t="s">
        <v>5738</v>
      </c>
      <c r="AF1519" s="154" t="s">
        <v>5739</v>
      </c>
      <c r="AO1519" s="155"/>
      <c r="AQ1519" s="156"/>
      <c r="AR1519" s="157"/>
      <c r="AS1519" s="158"/>
      <c r="AT1519" s="159"/>
      <c r="AU1519" s="161"/>
      <c r="AV1519" s="156"/>
      <c r="AW1519" s="162"/>
      <c r="AX1519" s="163"/>
      <c r="AY1519" s="164"/>
      <c r="AZ1519" s="159"/>
      <c r="BA1519" s="161"/>
      <c r="BB1519" s="165"/>
      <c r="BE1519" s="155"/>
    </row>
    <row r="1520" spans="1:59" s="154" customFormat="1" ht="15" customHeight="1">
      <c r="A1520" s="153" t="s">
        <v>5693</v>
      </c>
      <c r="B1520" s="153" t="s">
        <v>5740</v>
      </c>
      <c r="C1520" s="154" t="s">
        <v>5695</v>
      </c>
      <c r="D1520" s="170">
        <v>11</v>
      </c>
      <c r="E1520" s="154">
        <v>1</v>
      </c>
      <c r="G1520" s="154" t="s">
        <v>5741</v>
      </c>
      <c r="H1520" s="154" t="s">
        <v>5742</v>
      </c>
      <c r="I1520" s="154" t="s">
        <v>223</v>
      </c>
      <c r="J1520" s="154" t="s">
        <v>257</v>
      </c>
      <c r="K1520" s="154" t="s">
        <v>26</v>
      </c>
      <c r="O1520" s="156"/>
      <c r="P1520" s="157"/>
      <c r="Q1520" s="158"/>
      <c r="R1520" s="159"/>
      <c r="S1520" s="160"/>
      <c r="T1520" s="161"/>
      <c r="U1520" s="156"/>
      <c r="V1520" s="162"/>
      <c r="W1520" s="163"/>
      <c r="X1520" s="164"/>
      <c r="Y1520" s="159"/>
      <c r="Z1520" s="161"/>
      <c r="AA1520" s="165"/>
      <c r="AD1520" s="154" t="s">
        <v>5743</v>
      </c>
      <c r="AF1520" s="154" t="s">
        <v>5744</v>
      </c>
      <c r="AO1520" s="155"/>
      <c r="AQ1520" s="156"/>
      <c r="AR1520" s="157"/>
      <c r="AS1520" s="158"/>
      <c r="AT1520" s="159"/>
      <c r="AU1520" s="161"/>
      <c r="AV1520" s="156"/>
      <c r="AW1520" s="162"/>
      <c r="AX1520" s="163"/>
      <c r="AY1520" s="164"/>
      <c r="AZ1520" s="159"/>
      <c r="BA1520" s="161"/>
      <c r="BB1520" s="165"/>
      <c r="BE1520" s="155"/>
    </row>
    <row r="1521" spans="1:58" s="154" customFormat="1" ht="15" customHeight="1">
      <c r="A1521" s="153" t="s">
        <v>5693</v>
      </c>
      <c r="B1521" s="153" t="s">
        <v>5745</v>
      </c>
      <c r="C1521" s="154" t="s">
        <v>5695</v>
      </c>
      <c r="D1521" s="170">
        <v>12</v>
      </c>
      <c r="E1521" s="154">
        <v>1</v>
      </c>
      <c r="G1521" s="154" t="s">
        <v>5746</v>
      </c>
      <c r="J1521" s="154" t="s">
        <v>27</v>
      </c>
      <c r="K1521" s="154" t="s">
        <v>26</v>
      </c>
      <c r="M1521" s="154" t="s">
        <v>648</v>
      </c>
      <c r="N1521" s="154">
        <v>10</v>
      </c>
      <c r="O1521" s="156"/>
      <c r="P1521" s="157"/>
      <c r="Q1521" s="158"/>
      <c r="R1521" s="159"/>
      <c r="S1521" s="160"/>
      <c r="T1521" s="161"/>
      <c r="U1521" s="156"/>
      <c r="V1521" s="162"/>
      <c r="W1521" s="163"/>
      <c r="X1521" s="164"/>
      <c r="Y1521" s="159"/>
      <c r="Z1521" s="161"/>
      <c r="AA1521" s="165"/>
      <c r="AD1521" s="154" t="s">
        <v>845</v>
      </c>
      <c r="AF1521" s="154" t="s">
        <v>5747</v>
      </c>
      <c r="AO1521" s="155"/>
      <c r="AQ1521" s="156"/>
      <c r="AR1521" s="157"/>
      <c r="AS1521" s="158"/>
      <c r="AT1521" s="159"/>
      <c r="AU1521" s="161"/>
      <c r="AV1521" s="156"/>
      <c r="AW1521" s="162"/>
      <c r="AX1521" s="163"/>
      <c r="AY1521" s="164"/>
      <c r="AZ1521" s="159"/>
      <c r="BA1521" s="161"/>
      <c r="BB1521" s="165"/>
      <c r="BE1521" s="155"/>
    </row>
    <row r="1522" spans="1:58" s="154" customFormat="1" ht="15" customHeight="1">
      <c r="A1522" s="153" t="s">
        <v>5693</v>
      </c>
      <c r="B1522" s="153" t="s">
        <v>5748</v>
      </c>
      <c r="C1522" s="154" t="s">
        <v>5695</v>
      </c>
      <c r="D1522" s="170">
        <v>13</v>
      </c>
      <c r="E1522" s="154">
        <v>1</v>
      </c>
      <c r="G1522" s="154" t="s">
        <v>5749</v>
      </c>
      <c r="H1522" s="154" t="s">
        <v>5750</v>
      </c>
      <c r="I1522" s="154" t="s">
        <v>223</v>
      </c>
      <c r="J1522" s="154" t="s">
        <v>257</v>
      </c>
      <c r="K1522" s="154" t="s">
        <v>26</v>
      </c>
      <c r="N1522" s="154">
        <v>3</v>
      </c>
      <c r="O1522" s="156">
        <v>1</v>
      </c>
      <c r="P1522" s="157"/>
      <c r="Q1522" s="158">
        <v>1</v>
      </c>
      <c r="R1522" s="159"/>
      <c r="S1522" s="160">
        <v>1</v>
      </c>
      <c r="T1522" s="161"/>
      <c r="U1522" s="156"/>
      <c r="V1522" s="162"/>
      <c r="W1522" s="163"/>
      <c r="X1522" s="164"/>
      <c r="Y1522" s="159"/>
      <c r="Z1522" s="161"/>
      <c r="AA1522" s="165"/>
      <c r="AB1522" s="154" t="s">
        <v>1081</v>
      </c>
      <c r="AC1522" s="154" t="s">
        <v>258</v>
      </c>
      <c r="AD1522" s="154" t="s">
        <v>5751</v>
      </c>
      <c r="AF1522" s="154" t="s">
        <v>5855</v>
      </c>
      <c r="AO1522" s="155"/>
      <c r="AQ1522" s="156"/>
      <c r="AR1522" s="157"/>
      <c r="AS1522" s="158"/>
      <c r="AT1522" s="159"/>
      <c r="AU1522" s="161"/>
      <c r="AV1522" s="156"/>
      <c r="AW1522" s="162"/>
      <c r="AX1522" s="163"/>
      <c r="AY1522" s="164"/>
      <c r="AZ1522" s="159"/>
      <c r="BA1522" s="161"/>
      <c r="BB1522" s="165"/>
      <c r="BE1522" s="155"/>
    </row>
    <row r="1523" spans="1:58" s="154" customFormat="1" ht="15" customHeight="1">
      <c r="A1523" s="153" t="s">
        <v>5693</v>
      </c>
      <c r="B1523" s="153" t="s">
        <v>5752</v>
      </c>
      <c r="C1523" s="154" t="s">
        <v>5695</v>
      </c>
      <c r="D1523" s="170">
        <v>14</v>
      </c>
      <c r="E1523" s="154">
        <v>1</v>
      </c>
      <c r="G1523" s="154" t="s">
        <v>5753</v>
      </c>
      <c r="J1523" s="154" t="s">
        <v>27</v>
      </c>
      <c r="K1523" s="154" t="s">
        <v>26</v>
      </c>
      <c r="N1523" s="154">
        <v>2</v>
      </c>
      <c r="O1523" s="156"/>
      <c r="P1523" s="157"/>
      <c r="Q1523" s="158"/>
      <c r="R1523" s="159"/>
      <c r="S1523" s="160"/>
      <c r="T1523" s="161"/>
      <c r="U1523" s="156"/>
      <c r="V1523" s="162"/>
      <c r="W1523" s="163"/>
      <c r="X1523" s="164"/>
      <c r="Y1523" s="159"/>
      <c r="Z1523" s="161"/>
      <c r="AA1523" s="165"/>
      <c r="AD1523" s="154" t="s">
        <v>340</v>
      </c>
      <c r="AF1523" s="154" t="s">
        <v>5754</v>
      </c>
      <c r="AO1523" s="155"/>
      <c r="AQ1523" s="156"/>
      <c r="AR1523" s="157"/>
      <c r="AS1523" s="158"/>
      <c r="AT1523" s="159"/>
      <c r="AU1523" s="161"/>
      <c r="AV1523" s="156"/>
      <c r="AW1523" s="162"/>
      <c r="AX1523" s="163"/>
      <c r="AY1523" s="164"/>
      <c r="AZ1523" s="159"/>
      <c r="BA1523" s="161"/>
      <c r="BB1523" s="165"/>
      <c r="BE1523" s="155"/>
    </row>
    <row r="1524" spans="1:58" s="154" customFormat="1" ht="15" customHeight="1">
      <c r="A1524" s="153" t="s">
        <v>5693</v>
      </c>
      <c r="B1524" s="153" t="s">
        <v>5755</v>
      </c>
      <c r="C1524" s="154" t="s">
        <v>5695</v>
      </c>
      <c r="D1524" s="170">
        <v>15</v>
      </c>
      <c r="E1524" s="154">
        <v>1</v>
      </c>
      <c r="G1524" s="154" t="s">
        <v>5756</v>
      </c>
      <c r="J1524" s="154" t="s">
        <v>28</v>
      </c>
      <c r="K1524" s="154" t="s">
        <v>26</v>
      </c>
      <c r="M1524" s="154" t="s">
        <v>648</v>
      </c>
      <c r="O1524" s="156"/>
      <c r="P1524" s="157"/>
      <c r="Q1524" s="158"/>
      <c r="R1524" s="159"/>
      <c r="S1524" s="160"/>
      <c r="T1524" s="161"/>
      <c r="U1524" s="156"/>
      <c r="V1524" s="162"/>
      <c r="W1524" s="163"/>
      <c r="X1524" s="164"/>
      <c r="Y1524" s="159"/>
      <c r="Z1524" s="161"/>
      <c r="AA1524" s="165"/>
      <c r="AD1524" s="154" t="s">
        <v>284</v>
      </c>
      <c r="AF1524" s="154" t="s">
        <v>5757</v>
      </c>
      <c r="AO1524" s="155"/>
      <c r="AQ1524" s="156"/>
      <c r="AR1524" s="157"/>
      <c r="AS1524" s="158"/>
      <c r="AT1524" s="159"/>
      <c r="AU1524" s="161"/>
      <c r="AV1524" s="156"/>
      <c r="AW1524" s="162"/>
      <c r="AX1524" s="163"/>
      <c r="AY1524" s="164"/>
      <c r="AZ1524" s="159"/>
      <c r="BA1524" s="161"/>
      <c r="BB1524" s="165"/>
    </row>
    <row r="1525" spans="1:58" s="154" customFormat="1" ht="15" customHeight="1">
      <c r="A1525" s="153" t="s">
        <v>5693</v>
      </c>
      <c r="B1525" s="153" t="s">
        <v>5758</v>
      </c>
      <c r="C1525" s="154" t="s">
        <v>5695</v>
      </c>
      <c r="D1525" s="170">
        <v>16</v>
      </c>
      <c r="E1525" s="154">
        <v>1</v>
      </c>
      <c r="G1525" s="154" t="s">
        <v>5759</v>
      </c>
      <c r="J1525" s="154" t="s">
        <v>27</v>
      </c>
      <c r="K1525" s="171" t="s">
        <v>26</v>
      </c>
      <c r="N1525" s="154">
        <v>0</v>
      </c>
      <c r="O1525" s="156"/>
      <c r="P1525" s="157"/>
      <c r="Q1525" s="158">
        <v>1</v>
      </c>
      <c r="R1525" s="159">
        <v>1</v>
      </c>
      <c r="S1525" s="160">
        <v>1</v>
      </c>
      <c r="T1525" s="161"/>
      <c r="U1525" s="156"/>
      <c r="V1525" s="162"/>
      <c r="W1525" s="163"/>
      <c r="X1525" s="164"/>
      <c r="Y1525" s="159"/>
      <c r="Z1525" s="161"/>
      <c r="AA1525" s="165"/>
      <c r="AB1525" s="154" t="s">
        <v>1078</v>
      </c>
      <c r="AD1525" s="154" t="s">
        <v>1805</v>
      </c>
      <c r="AF1525" s="154" t="s">
        <v>5760</v>
      </c>
      <c r="AM1525" s="171"/>
      <c r="AO1525" s="155"/>
      <c r="AQ1525" s="156"/>
      <c r="AR1525" s="157"/>
      <c r="AS1525" s="158"/>
      <c r="AT1525" s="159"/>
      <c r="AU1525" s="161"/>
      <c r="AV1525" s="156"/>
      <c r="AW1525" s="162"/>
      <c r="AX1525" s="163"/>
      <c r="AY1525" s="164"/>
      <c r="AZ1525" s="159"/>
      <c r="BA1525" s="161"/>
      <c r="BB1525" s="165"/>
    </row>
    <row r="1526" spans="1:58" s="154" customFormat="1" ht="15" customHeight="1">
      <c r="A1526" s="153" t="s">
        <v>5693</v>
      </c>
      <c r="B1526" s="153" t="s">
        <v>5761</v>
      </c>
      <c r="C1526" s="154" t="s">
        <v>5695</v>
      </c>
      <c r="D1526" s="170">
        <v>17</v>
      </c>
      <c r="E1526" s="154">
        <v>1</v>
      </c>
      <c r="G1526" s="154" t="s">
        <v>5762</v>
      </c>
      <c r="J1526" s="154" t="s">
        <v>29</v>
      </c>
      <c r="K1526" s="171" t="s">
        <v>26</v>
      </c>
      <c r="M1526" s="154" t="s">
        <v>648</v>
      </c>
      <c r="O1526" s="156"/>
      <c r="P1526" s="157"/>
      <c r="Q1526" s="158">
        <v>3</v>
      </c>
      <c r="R1526" s="159">
        <v>3</v>
      </c>
      <c r="S1526" s="160"/>
      <c r="T1526" s="161">
        <v>3</v>
      </c>
      <c r="U1526" s="156"/>
      <c r="V1526" s="162">
        <v>1</v>
      </c>
      <c r="W1526" s="163">
        <v>1</v>
      </c>
      <c r="X1526" s="164"/>
      <c r="Y1526" s="159"/>
      <c r="Z1526" s="161"/>
      <c r="AA1526" s="165"/>
      <c r="AD1526" s="154" t="s">
        <v>467</v>
      </c>
      <c r="AF1526" s="154" t="s">
        <v>5763</v>
      </c>
      <c r="AO1526" s="155"/>
      <c r="AQ1526" s="156"/>
      <c r="AR1526" s="157"/>
      <c r="AS1526" s="158"/>
      <c r="AT1526" s="159"/>
      <c r="AU1526" s="161"/>
      <c r="AV1526" s="156"/>
      <c r="AW1526" s="162"/>
      <c r="AX1526" s="163"/>
      <c r="AY1526" s="164"/>
      <c r="AZ1526" s="159"/>
      <c r="BA1526" s="161"/>
      <c r="BB1526" s="165"/>
      <c r="BE1526" s="155"/>
    </row>
    <row r="1527" spans="1:58" s="154" customFormat="1" ht="15" customHeight="1">
      <c r="A1527" s="153" t="s">
        <v>5693</v>
      </c>
      <c r="B1527" s="169" t="s">
        <v>5764</v>
      </c>
      <c r="C1527" s="154" t="s">
        <v>5695</v>
      </c>
      <c r="D1527" s="170">
        <v>18</v>
      </c>
      <c r="E1527" s="154">
        <v>1</v>
      </c>
      <c r="G1527" s="154" t="s">
        <v>1118</v>
      </c>
      <c r="J1527" s="154" t="s">
        <v>27</v>
      </c>
      <c r="K1527" s="171" t="s">
        <v>26</v>
      </c>
      <c r="N1527" s="154">
        <v>3</v>
      </c>
      <c r="O1527" s="156"/>
      <c r="P1527" s="157"/>
      <c r="Q1527" s="158"/>
      <c r="R1527" s="159"/>
      <c r="S1527" s="160">
        <v>2</v>
      </c>
      <c r="T1527" s="161"/>
      <c r="U1527" s="156"/>
      <c r="V1527" s="162"/>
      <c r="W1527" s="163"/>
      <c r="X1527" s="164"/>
      <c r="Y1527" s="159"/>
      <c r="Z1527" s="161"/>
      <c r="AA1527" s="165"/>
      <c r="AB1527" s="154" t="s">
        <v>1082</v>
      </c>
      <c r="AD1527" s="154" t="s">
        <v>1119</v>
      </c>
      <c r="AF1527" s="154" t="s">
        <v>1120</v>
      </c>
      <c r="AO1527" s="155"/>
      <c r="AQ1527" s="156"/>
      <c r="AR1527" s="157"/>
      <c r="AS1527" s="158"/>
      <c r="AT1527" s="159"/>
      <c r="AU1527" s="161"/>
      <c r="AV1527" s="156"/>
      <c r="AW1527" s="162"/>
      <c r="AX1527" s="163"/>
      <c r="AY1527" s="164"/>
      <c r="AZ1527" s="159"/>
      <c r="BA1527" s="161"/>
      <c r="BB1527" s="165"/>
      <c r="BE1527" s="155"/>
    </row>
    <row r="1528" spans="1:58" s="154" customFormat="1" ht="15" customHeight="1">
      <c r="A1528" s="153" t="s">
        <v>5693</v>
      </c>
      <c r="B1528" s="153" t="s">
        <v>5765</v>
      </c>
      <c r="C1528" s="154" t="s">
        <v>5695</v>
      </c>
      <c r="D1528" s="170">
        <v>19</v>
      </c>
      <c r="E1528" s="154">
        <v>1</v>
      </c>
      <c r="G1528" s="154" t="s">
        <v>1121</v>
      </c>
      <c r="H1528" s="154" t="s">
        <v>1122</v>
      </c>
      <c r="I1528" s="154" t="s">
        <v>223</v>
      </c>
      <c r="J1528" s="154" t="s">
        <v>257</v>
      </c>
      <c r="K1528" s="154" t="s">
        <v>26</v>
      </c>
      <c r="M1528" s="154" t="s">
        <v>648</v>
      </c>
      <c r="O1528" s="156"/>
      <c r="P1528" s="157"/>
      <c r="Q1528" s="158"/>
      <c r="R1528" s="159"/>
      <c r="S1528" s="160"/>
      <c r="T1528" s="161"/>
      <c r="U1528" s="156"/>
      <c r="V1528" s="162"/>
      <c r="W1528" s="163"/>
      <c r="X1528" s="164"/>
      <c r="Y1528" s="159"/>
      <c r="Z1528" s="161"/>
      <c r="AA1528" s="165"/>
      <c r="AC1528" s="154" t="s">
        <v>25</v>
      </c>
      <c r="AD1528" s="154" t="s">
        <v>1123</v>
      </c>
      <c r="AF1528" s="154" t="s">
        <v>5856</v>
      </c>
      <c r="AO1528" s="155"/>
      <c r="AQ1528" s="156"/>
      <c r="AR1528" s="157"/>
      <c r="AS1528" s="158"/>
      <c r="AT1528" s="159"/>
      <c r="AU1528" s="161"/>
      <c r="AV1528" s="156"/>
      <c r="AW1528" s="162"/>
      <c r="AX1528" s="163"/>
      <c r="AY1528" s="164"/>
      <c r="AZ1528" s="159"/>
      <c r="BA1528" s="161"/>
      <c r="BB1528" s="165"/>
      <c r="BE1528" s="155"/>
    </row>
    <row r="1529" spans="1:58" s="154" customFormat="1" ht="15" customHeight="1">
      <c r="A1529" s="153" t="s">
        <v>5693</v>
      </c>
      <c r="B1529" s="153" t="s">
        <v>5766</v>
      </c>
      <c r="C1529" s="154" t="s">
        <v>5695</v>
      </c>
      <c r="D1529" s="170">
        <v>20</v>
      </c>
      <c r="E1529" s="154">
        <v>2</v>
      </c>
      <c r="G1529" s="154" t="s">
        <v>5767</v>
      </c>
      <c r="J1529" s="154" t="s">
        <v>27</v>
      </c>
      <c r="K1529" s="154" t="s">
        <v>198</v>
      </c>
      <c r="L1529" s="154">
        <v>0</v>
      </c>
      <c r="N1529" s="154">
        <v>2</v>
      </c>
      <c r="O1529" s="156"/>
      <c r="P1529" s="157">
        <v>1</v>
      </c>
      <c r="Q1529" s="158">
        <v>1</v>
      </c>
      <c r="R1529" s="159"/>
      <c r="S1529" s="160"/>
      <c r="T1529" s="161"/>
      <c r="U1529" s="156"/>
      <c r="V1529" s="162"/>
      <c r="W1529" s="163"/>
      <c r="X1529" s="164"/>
      <c r="Y1529" s="159"/>
      <c r="Z1529" s="161"/>
      <c r="AA1529" s="165"/>
      <c r="AB1529" s="154" t="s">
        <v>1091</v>
      </c>
      <c r="AD1529" s="154" t="s">
        <v>5768</v>
      </c>
      <c r="AF1529" s="154" t="s">
        <v>5769</v>
      </c>
      <c r="AP1529" s="155"/>
      <c r="AQ1529" s="156"/>
      <c r="AR1529" s="157"/>
      <c r="AS1529" s="158"/>
      <c r="AT1529" s="159"/>
      <c r="AU1529" s="161"/>
      <c r="AV1529" s="156"/>
      <c r="AW1529" s="162"/>
      <c r="AX1529" s="163"/>
      <c r="AY1529" s="164"/>
      <c r="AZ1529" s="159"/>
      <c r="BA1529" s="161"/>
      <c r="BB1529" s="165"/>
      <c r="BF1529" s="155"/>
    </row>
    <row r="1530" spans="1:58" s="154" customFormat="1" ht="15" customHeight="1">
      <c r="A1530" s="153" t="s">
        <v>5693</v>
      </c>
      <c r="B1530" s="153" t="s">
        <v>5770</v>
      </c>
      <c r="C1530" s="154" t="s">
        <v>5695</v>
      </c>
      <c r="D1530" s="170">
        <v>21</v>
      </c>
      <c r="E1530" s="154">
        <v>2</v>
      </c>
      <c r="G1530" s="154" t="s">
        <v>5771</v>
      </c>
      <c r="J1530" s="154" t="s">
        <v>27</v>
      </c>
      <c r="K1530" s="154" t="s">
        <v>198</v>
      </c>
      <c r="L1530" s="154">
        <v>0</v>
      </c>
      <c r="N1530" s="155">
        <v>2</v>
      </c>
      <c r="O1530" s="156"/>
      <c r="P1530" s="157"/>
      <c r="Q1530" s="158">
        <v>1</v>
      </c>
      <c r="R1530" s="159">
        <v>1</v>
      </c>
      <c r="S1530" s="160"/>
      <c r="T1530" s="161"/>
      <c r="U1530" s="156"/>
      <c r="V1530" s="162"/>
      <c r="W1530" s="163"/>
      <c r="X1530" s="164"/>
      <c r="Y1530" s="159"/>
      <c r="Z1530" s="161"/>
      <c r="AA1530" s="165"/>
      <c r="AB1530" s="154" t="s">
        <v>1087</v>
      </c>
      <c r="AD1530" s="154" t="s">
        <v>5772</v>
      </c>
      <c r="AE1530" s="155"/>
      <c r="AF1530" s="154" t="s">
        <v>5773</v>
      </c>
      <c r="AP1530" s="155"/>
      <c r="AQ1530" s="156"/>
      <c r="AR1530" s="157"/>
      <c r="AS1530" s="158"/>
      <c r="AT1530" s="159"/>
      <c r="AU1530" s="161"/>
      <c r="AV1530" s="156"/>
      <c r="AW1530" s="162"/>
      <c r="AX1530" s="163"/>
      <c r="AY1530" s="164"/>
      <c r="AZ1530" s="159"/>
      <c r="BA1530" s="161"/>
      <c r="BB1530" s="165"/>
      <c r="BF1530" s="155"/>
    </row>
    <row r="1531" spans="1:58" s="154" customFormat="1" ht="15" customHeight="1">
      <c r="A1531" s="153" t="s">
        <v>5693</v>
      </c>
      <c r="B1531" s="153" t="s">
        <v>5774</v>
      </c>
      <c r="C1531" s="154" t="s">
        <v>5695</v>
      </c>
      <c r="D1531" s="170">
        <v>22</v>
      </c>
      <c r="E1531" s="154">
        <v>2</v>
      </c>
      <c r="G1531" s="154" t="s">
        <v>5775</v>
      </c>
      <c r="J1531" s="154" t="s">
        <v>312</v>
      </c>
      <c r="K1531" s="154" t="s">
        <v>198</v>
      </c>
      <c r="L1531" s="154">
        <v>0</v>
      </c>
      <c r="N1531" s="155"/>
      <c r="O1531" s="156">
        <v>1</v>
      </c>
      <c r="P1531" s="157"/>
      <c r="Q1531" s="158">
        <v>1</v>
      </c>
      <c r="R1531" s="159"/>
      <c r="S1531" s="160"/>
      <c r="T1531" s="161"/>
      <c r="U1531" s="156"/>
      <c r="V1531" s="162"/>
      <c r="W1531" s="163"/>
      <c r="X1531" s="164"/>
      <c r="Y1531" s="159"/>
      <c r="Z1531" s="161"/>
      <c r="AA1531" s="165"/>
      <c r="AB1531" s="154" t="s">
        <v>1083</v>
      </c>
      <c r="AD1531" s="154" t="s">
        <v>412</v>
      </c>
      <c r="AE1531" s="155"/>
      <c r="AF1531" s="154" t="s">
        <v>5776</v>
      </c>
      <c r="AP1531" s="155"/>
      <c r="AQ1531" s="156"/>
      <c r="AR1531" s="157"/>
      <c r="AS1531" s="158"/>
      <c r="AT1531" s="159"/>
      <c r="AU1531" s="161"/>
      <c r="AV1531" s="156"/>
      <c r="AW1531" s="162"/>
      <c r="AX1531" s="163"/>
      <c r="AY1531" s="164"/>
      <c r="AZ1531" s="159"/>
      <c r="BA1531" s="161"/>
      <c r="BB1531" s="165"/>
      <c r="BF1531" s="155"/>
    </row>
    <row r="1532" spans="1:58" s="154" customFormat="1" ht="15" customHeight="1">
      <c r="A1532" s="153" t="s">
        <v>5693</v>
      </c>
      <c r="B1532" s="153" t="s">
        <v>5777</v>
      </c>
      <c r="C1532" s="154" t="s">
        <v>5695</v>
      </c>
      <c r="D1532" s="170">
        <v>23</v>
      </c>
      <c r="E1532" s="154">
        <v>2</v>
      </c>
      <c r="G1532" s="154" t="s">
        <v>5778</v>
      </c>
      <c r="H1532" s="154" t="s">
        <v>5779</v>
      </c>
      <c r="J1532" s="154" t="s">
        <v>257</v>
      </c>
      <c r="K1532" s="154" t="s">
        <v>198</v>
      </c>
      <c r="L1532" s="154">
        <v>1</v>
      </c>
      <c r="N1532" s="155">
        <v>3</v>
      </c>
      <c r="O1532" s="156"/>
      <c r="P1532" s="157"/>
      <c r="Q1532" s="158"/>
      <c r="R1532" s="159"/>
      <c r="S1532" s="160"/>
      <c r="T1532" s="161"/>
      <c r="U1532" s="156"/>
      <c r="V1532" s="162"/>
      <c r="W1532" s="163"/>
      <c r="X1532" s="164"/>
      <c r="Y1532" s="159"/>
      <c r="Z1532" s="161"/>
      <c r="AA1532" s="165"/>
      <c r="AC1532" s="154" t="s">
        <v>5780</v>
      </c>
      <c r="AD1532" s="154" t="s">
        <v>5781</v>
      </c>
      <c r="AE1532" s="155"/>
      <c r="AF1532" s="154" t="s">
        <v>5782</v>
      </c>
      <c r="AP1532" s="155"/>
      <c r="AQ1532" s="156"/>
      <c r="AR1532" s="157"/>
      <c r="AS1532" s="158"/>
      <c r="AT1532" s="159"/>
      <c r="AU1532" s="161"/>
      <c r="AV1532" s="156"/>
      <c r="AW1532" s="162"/>
      <c r="AX1532" s="163"/>
      <c r="AY1532" s="164"/>
      <c r="AZ1532" s="159"/>
      <c r="BA1532" s="161"/>
      <c r="BB1532" s="165"/>
      <c r="BF1532" s="155"/>
    </row>
    <row r="1533" spans="1:58" s="154" customFormat="1" ht="15" customHeight="1">
      <c r="A1533" s="153" t="s">
        <v>5693</v>
      </c>
      <c r="B1533" s="169" t="s">
        <v>5783</v>
      </c>
      <c r="C1533" s="154" t="s">
        <v>5695</v>
      </c>
      <c r="D1533" s="170">
        <v>24</v>
      </c>
      <c r="E1533" s="154">
        <v>2</v>
      </c>
      <c r="G1533" s="154" t="s">
        <v>5784</v>
      </c>
      <c r="J1533" s="154" t="s">
        <v>257</v>
      </c>
      <c r="K1533" s="154" t="s">
        <v>199</v>
      </c>
      <c r="L1533" s="154">
        <v>0</v>
      </c>
      <c r="N1533" s="155">
        <v>4</v>
      </c>
      <c r="O1533" s="156"/>
      <c r="P1533" s="157">
        <v>1</v>
      </c>
      <c r="Q1533" s="158"/>
      <c r="R1533" s="159"/>
      <c r="S1533" s="160"/>
      <c r="T1533" s="161"/>
      <c r="U1533" s="156"/>
      <c r="V1533" s="162"/>
      <c r="W1533" s="163"/>
      <c r="X1533" s="164"/>
      <c r="Y1533" s="159"/>
      <c r="Z1533" s="161"/>
      <c r="AA1533" s="165"/>
      <c r="AB1533" s="154" t="s">
        <v>205</v>
      </c>
      <c r="AC1533" s="154" t="s">
        <v>258</v>
      </c>
      <c r="AD1533" s="154" t="s">
        <v>5785</v>
      </c>
      <c r="AE1533" s="155"/>
      <c r="AF1533" s="154" t="s">
        <v>5786</v>
      </c>
      <c r="AP1533" s="155"/>
      <c r="AQ1533" s="156"/>
      <c r="AR1533" s="157"/>
      <c r="AS1533" s="158"/>
      <c r="AT1533" s="159"/>
      <c r="AU1533" s="161"/>
      <c r="AV1533" s="156"/>
      <c r="AW1533" s="162"/>
      <c r="AX1533" s="163"/>
      <c r="AY1533" s="164"/>
      <c r="AZ1533" s="159"/>
      <c r="BA1533" s="161"/>
      <c r="BB1533" s="165"/>
      <c r="BF1533" s="155"/>
    </row>
    <row r="1534" spans="1:58" s="154" customFormat="1" ht="15" customHeight="1">
      <c r="A1534" s="153" t="s">
        <v>5693</v>
      </c>
      <c r="B1534" s="153" t="s">
        <v>5787</v>
      </c>
      <c r="C1534" s="154" t="s">
        <v>5695</v>
      </c>
      <c r="D1534" s="170">
        <v>25</v>
      </c>
      <c r="E1534" s="154">
        <v>2</v>
      </c>
      <c r="G1534" s="154" t="s">
        <v>5788</v>
      </c>
      <c r="J1534" s="154" t="s">
        <v>27</v>
      </c>
      <c r="K1534" s="154" t="s">
        <v>199</v>
      </c>
      <c r="L1534" s="154">
        <v>0</v>
      </c>
      <c r="N1534" s="155">
        <v>4</v>
      </c>
      <c r="O1534" s="156"/>
      <c r="P1534" s="157">
        <v>2</v>
      </c>
      <c r="Q1534" s="158"/>
      <c r="R1534" s="159"/>
      <c r="S1534" s="160"/>
      <c r="T1534" s="161"/>
      <c r="U1534" s="156"/>
      <c r="V1534" s="162"/>
      <c r="W1534" s="163"/>
      <c r="X1534" s="164"/>
      <c r="Y1534" s="159"/>
      <c r="Z1534" s="161"/>
      <c r="AA1534" s="165"/>
      <c r="AB1534" s="154" t="s">
        <v>1084</v>
      </c>
      <c r="AD1534" s="154" t="s">
        <v>340</v>
      </c>
      <c r="AE1534" s="155"/>
      <c r="AF1534" s="154" t="s">
        <v>5789</v>
      </c>
      <c r="AP1534" s="155"/>
      <c r="AQ1534" s="156"/>
      <c r="AR1534" s="157"/>
      <c r="AS1534" s="158"/>
      <c r="AT1534" s="159"/>
      <c r="AU1534" s="161"/>
      <c r="AV1534" s="156"/>
      <c r="AW1534" s="162"/>
      <c r="AX1534" s="163"/>
      <c r="AY1534" s="164"/>
      <c r="AZ1534" s="159"/>
      <c r="BA1534" s="161"/>
      <c r="BB1534" s="165"/>
      <c r="BF1534" s="155"/>
    </row>
    <row r="1535" spans="1:58" s="154" customFormat="1" ht="15" customHeight="1">
      <c r="A1535" s="153" t="s">
        <v>5693</v>
      </c>
      <c r="B1535" s="153" t="s">
        <v>5790</v>
      </c>
      <c r="C1535" s="154" t="s">
        <v>5695</v>
      </c>
      <c r="D1535" s="170">
        <v>26</v>
      </c>
      <c r="E1535" s="154">
        <v>2</v>
      </c>
      <c r="G1535" s="154" t="s">
        <v>5791</v>
      </c>
      <c r="J1535" s="154" t="s">
        <v>312</v>
      </c>
      <c r="K1535" s="154" t="s">
        <v>199</v>
      </c>
      <c r="L1535" s="154">
        <v>0</v>
      </c>
      <c r="N1535" s="155"/>
      <c r="O1535" s="156">
        <v>1</v>
      </c>
      <c r="P1535" s="157">
        <v>1</v>
      </c>
      <c r="Q1535" s="158"/>
      <c r="R1535" s="159"/>
      <c r="S1535" s="160"/>
      <c r="T1535" s="161"/>
      <c r="U1535" s="156"/>
      <c r="V1535" s="162"/>
      <c r="W1535" s="163"/>
      <c r="X1535" s="164"/>
      <c r="Y1535" s="159"/>
      <c r="Z1535" s="161"/>
      <c r="AA1535" s="165"/>
      <c r="AB1535" s="154" t="s">
        <v>1092</v>
      </c>
      <c r="AD1535" s="154" t="s">
        <v>412</v>
      </c>
      <c r="AE1535" s="155"/>
      <c r="AF1535" s="154" t="s">
        <v>5792</v>
      </c>
      <c r="AI1535" s="153"/>
      <c r="AP1535" s="155"/>
      <c r="AQ1535" s="156"/>
      <c r="AR1535" s="157"/>
      <c r="AS1535" s="158"/>
      <c r="AT1535" s="159"/>
      <c r="AU1535" s="161"/>
      <c r="AV1535" s="156"/>
      <c r="AW1535" s="162"/>
      <c r="AX1535" s="163"/>
      <c r="AY1535" s="164"/>
      <c r="AZ1535" s="159"/>
      <c r="BA1535" s="161"/>
      <c r="BB1535" s="165"/>
      <c r="BF1535" s="155"/>
    </row>
    <row r="1536" spans="1:58" s="154" customFormat="1" ht="15" customHeight="1">
      <c r="A1536" s="153" t="s">
        <v>5693</v>
      </c>
      <c r="B1536" s="169" t="s">
        <v>5793</v>
      </c>
      <c r="C1536" s="154" t="s">
        <v>5695</v>
      </c>
      <c r="D1536" s="170">
        <v>27</v>
      </c>
      <c r="E1536" s="154">
        <v>2</v>
      </c>
      <c r="G1536" s="154" t="s">
        <v>5794</v>
      </c>
      <c r="H1536" s="154" t="s">
        <v>5795</v>
      </c>
      <c r="J1536" s="154" t="s">
        <v>257</v>
      </c>
      <c r="K1536" s="154" t="s">
        <v>199</v>
      </c>
      <c r="L1536" s="154">
        <v>1</v>
      </c>
      <c r="N1536" s="155">
        <v>3</v>
      </c>
      <c r="O1536" s="156"/>
      <c r="P1536" s="157"/>
      <c r="Q1536" s="158"/>
      <c r="R1536" s="159"/>
      <c r="S1536" s="160"/>
      <c r="T1536" s="161"/>
      <c r="U1536" s="156"/>
      <c r="V1536" s="162"/>
      <c r="W1536" s="163"/>
      <c r="X1536" s="164"/>
      <c r="Y1536" s="159"/>
      <c r="Z1536" s="161"/>
      <c r="AA1536" s="165"/>
      <c r="AC1536" s="154" t="s">
        <v>5780</v>
      </c>
      <c r="AD1536" s="154" t="s">
        <v>5781</v>
      </c>
      <c r="AE1536" s="155"/>
      <c r="AF1536" s="154" t="s">
        <v>5857</v>
      </c>
      <c r="AP1536" s="155"/>
      <c r="AQ1536" s="156"/>
      <c r="AR1536" s="157"/>
      <c r="AS1536" s="158"/>
      <c r="AT1536" s="159"/>
      <c r="AU1536" s="161"/>
      <c r="AV1536" s="156"/>
      <c r="AW1536" s="162"/>
      <c r="AX1536" s="163"/>
      <c r="AY1536" s="164"/>
      <c r="AZ1536" s="159"/>
      <c r="BA1536" s="161"/>
      <c r="BB1536" s="165"/>
      <c r="BF1536" s="155"/>
    </row>
    <row r="1537" spans="1:59" s="154" customFormat="1" ht="15" customHeight="1">
      <c r="A1537" s="153" t="s">
        <v>5693</v>
      </c>
      <c r="B1537" s="153" t="s">
        <v>5796</v>
      </c>
      <c r="C1537" s="154" t="s">
        <v>5695</v>
      </c>
      <c r="D1537" s="170">
        <v>28</v>
      </c>
      <c r="E1537" s="154">
        <v>2</v>
      </c>
      <c r="G1537" s="154" t="s">
        <v>5797</v>
      </c>
      <c r="J1537" s="154" t="s">
        <v>257</v>
      </c>
      <c r="K1537" s="154" t="s">
        <v>201</v>
      </c>
      <c r="L1537" s="154">
        <v>0</v>
      </c>
      <c r="N1537" s="155">
        <v>2</v>
      </c>
      <c r="O1537" s="156"/>
      <c r="P1537" s="157"/>
      <c r="Q1537" s="158"/>
      <c r="R1537" s="159"/>
      <c r="S1537" s="160"/>
      <c r="T1537" s="161"/>
      <c r="U1537" s="156"/>
      <c r="V1537" s="162"/>
      <c r="W1537" s="163"/>
      <c r="X1537" s="164"/>
      <c r="Y1537" s="159"/>
      <c r="Z1537" s="161"/>
      <c r="AA1537" s="165"/>
      <c r="AD1537" s="154" t="s">
        <v>2195</v>
      </c>
      <c r="AE1537" s="155"/>
      <c r="AF1537" s="154" t="s">
        <v>5798</v>
      </c>
      <c r="AP1537" s="155"/>
      <c r="AQ1537" s="156"/>
      <c r="AR1537" s="157"/>
      <c r="AS1537" s="158"/>
      <c r="AT1537" s="159"/>
      <c r="AU1537" s="161"/>
      <c r="AV1537" s="156"/>
      <c r="AW1537" s="162"/>
      <c r="AX1537" s="163"/>
      <c r="AY1537" s="164"/>
      <c r="AZ1537" s="159"/>
      <c r="BA1537" s="161"/>
      <c r="BB1537" s="165"/>
      <c r="BF1537" s="155"/>
    </row>
    <row r="1538" spans="1:59" s="154" customFormat="1" ht="15" customHeight="1">
      <c r="A1538" s="153" t="s">
        <v>5693</v>
      </c>
      <c r="B1538" s="153" t="s">
        <v>5799</v>
      </c>
      <c r="C1538" s="154" t="s">
        <v>5695</v>
      </c>
      <c r="D1538" s="170">
        <v>29</v>
      </c>
      <c r="E1538" s="154">
        <v>2</v>
      </c>
      <c r="G1538" s="154" t="s">
        <v>5800</v>
      </c>
      <c r="J1538" s="154" t="s">
        <v>27</v>
      </c>
      <c r="K1538" s="154" t="s">
        <v>201</v>
      </c>
      <c r="L1538" s="154">
        <v>0</v>
      </c>
      <c r="N1538" s="155">
        <v>0</v>
      </c>
      <c r="O1538" s="156"/>
      <c r="P1538" s="157"/>
      <c r="Q1538" s="158"/>
      <c r="R1538" s="159"/>
      <c r="S1538" s="160"/>
      <c r="T1538" s="161"/>
      <c r="U1538" s="156"/>
      <c r="V1538" s="162"/>
      <c r="W1538" s="163"/>
      <c r="X1538" s="164"/>
      <c r="Y1538" s="159"/>
      <c r="Z1538" s="161"/>
      <c r="AA1538" s="165"/>
      <c r="AD1538" s="154" t="s">
        <v>5801</v>
      </c>
      <c r="AE1538" s="155"/>
      <c r="AF1538" s="154" t="s">
        <v>5802</v>
      </c>
      <c r="AP1538" s="155"/>
      <c r="AQ1538" s="156"/>
      <c r="AR1538" s="157"/>
      <c r="AS1538" s="158"/>
      <c r="AT1538" s="159"/>
      <c r="AU1538" s="161"/>
      <c r="AV1538" s="156"/>
      <c r="AW1538" s="162"/>
      <c r="AX1538" s="163"/>
      <c r="AY1538" s="164"/>
      <c r="AZ1538" s="159"/>
      <c r="BA1538" s="161"/>
      <c r="BB1538" s="165"/>
      <c r="BF1538" s="155"/>
    </row>
    <row r="1539" spans="1:59" s="154" customFormat="1" ht="15" customHeight="1">
      <c r="A1539" s="153" t="s">
        <v>5693</v>
      </c>
      <c r="B1539" s="153" t="s">
        <v>5803</v>
      </c>
      <c r="C1539" s="154" t="s">
        <v>5695</v>
      </c>
      <c r="D1539" s="170">
        <v>30</v>
      </c>
      <c r="E1539" s="154">
        <v>2</v>
      </c>
      <c r="G1539" s="154" t="s">
        <v>5804</v>
      </c>
      <c r="J1539" s="154" t="s">
        <v>27</v>
      </c>
      <c r="K1539" s="154" t="s">
        <v>201</v>
      </c>
      <c r="L1539" s="154">
        <v>0</v>
      </c>
      <c r="N1539" s="155"/>
      <c r="O1539" s="156"/>
      <c r="P1539" s="157">
        <v>1</v>
      </c>
      <c r="Q1539" s="158"/>
      <c r="R1539" s="159">
        <v>1</v>
      </c>
      <c r="S1539" s="160"/>
      <c r="T1539" s="161"/>
      <c r="U1539" s="156"/>
      <c r="V1539" s="162"/>
      <c r="W1539" s="163"/>
      <c r="X1539" s="164"/>
      <c r="Y1539" s="159"/>
      <c r="Z1539" s="161"/>
      <c r="AA1539" s="165"/>
      <c r="AB1539" s="154" t="s">
        <v>1089</v>
      </c>
      <c r="AD1539" s="154" t="s">
        <v>412</v>
      </c>
      <c r="AF1539" s="154" t="s">
        <v>5805</v>
      </c>
      <c r="AP1539" s="155"/>
      <c r="AQ1539" s="156"/>
      <c r="AR1539" s="157"/>
      <c r="AS1539" s="158"/>
      <c r="AT1539" s="159"/>
      <c r="AU1539" s="161"/>
      <c r="AV1539" s="156"/>
      <c r="AW1539" s="162"/>
      <c r="AX1539" s="163"/>
      <c r="AY1539" s="164"/>
      <c r="AZ1539" s="159"/>
      <c r="BA1539" s="161"/>
      <c r="BB1539" s="165"/>
      <c r="BF1539" s="155"/>
    </row>
    <row r="1540" spans="1:59" s="154" customFormat="1" ht="15" customHeight="1">
      <c r="A1540" s="153" t="s">
        <v>5693</v>
      </c>
      <c r="B1540" s="169" t="s">
        <v>5806</v>
      </c>
      <c r="C1540" s="154" t="s">
        <v>5695</v>
      </c>
      <c r="D1540" s="170">
        <v>31</v>
      </c>
      <c r="E1540" s="154">
        <v>2</v>
      </c>
      <c r="G1540" s="154" t="s">
        <v>5807</v>
      </c>
      <c r="H1540" s="154" t="s">
        <v>5808</v>
      </c>
      <c r="J1540" s="154" t="s">
        <v>257</v>
      </c>
      <c r="K1540" s="154" t="s">
        <v>201</v>
      </c>
      <c r="L1540" s="154">
        <v>1</v>
      </c>
      <c r="N1540" s="155">
        <v>3</v>
      </c>
      <c r="O1540" s="156"/>
      <c r="P1540" s="157"/>
      <c r="Q1540" s="158"/>
      <c r="R1540" s="159"/>
      <c r="S1540" s="160"/>
      <c r="T1540" s="161"/>
      <c r="U1540" s="156"/>
      <c r="V1540" s="162"/>
      <c r="W1540" s="163"/>
      <c r="X1540" s="164"/>
      <c r="Y1540" s="159"/>
      <c r="Z1540" s="161"/>
      <c r="AA1540" s="165"/>
      <c r="AC1540" s="154" t="s">
        <v>5780</v>
      </c>
      <c r="AD1540" s="154" t="s">
        <v>5781</v>
      </c>
      <c r="AE1540" s="155"/>
      <c r="AF1540" s="154" t="s">
        <v>5858</v>
      </c>
      <c r="AP1540" s="155"/>
      <c r="AQ1540" s="156"/>
      <c r="AR1540" s="157"/>
      <c r="AS1540" s="158"/>
      <c r="AT1540" s="159"/>
      <c r="AU1540" s="161"/>
      <c r="AV1540" s="156"/>
      <c r="AW1540" s="162"/>
      <c r="AX1540" s="163"/>
      <c r="AY1540" s="164"/>
      <c r="AZ1540" s="159"/>
      <c r="BA1540" s="161"/>
      <c r="BB1540" s="165"/>
      <c r="BF1540" s="155"/>
    </row>
    <row r="1541" spans="1:59" s="154" customFormat="1" ht="15" customHeight="1">
      <c r="A1541" s="153" t="s">
        <v>5693</v>
      </c>
      <c r="B1541" s="153" t="s">
        <v>5809</v>
      </c>
      <c r="C1541" s="154" t="s">
        <v>5695</v>
      </c>
      <c r="D1541" s="170">
        <v>32</v>
      </c>
      <c r="E1541" s="154">
        <v>2</v>
      </c>
      <c r="G1541" s="154" t="s">
        <v>5810</v>
      </c>
      <c r="J1541" s="154" t="s">
        <v>27</v>
      </c>
      <c r="K1541" s="154" t="s">
        <v>200</v>
      </c>
      <c r="L1541" s="154">
        <v>0</v>
      </c>
      <c r="N1541" s="155">
        <v>0</v>
      </c>
      <c r="O1541" s="156"/>
      <c r="P1541" s="157"/>
      <c r="Q1541" s="158"/>
      <c r="R1541" s="159"/>
      <c r="S1541" s="160">
        <v>1</v>
      </c>
      <c r="T1541" s="161"/>
      <c r="U1541" s="156"/>
      <c r="V1541" s="162"/>
      <c r="W1541" s="163"/>
      <c r="X1541" s="164"/>
      <c r="Y1541" s="159"/>
      <c r="Z1541" s="161"/>
      <c r="AA1541" s="165"/>
      <c r="AB1541" s="154" t="s">
        <v>208</v>
      </c>
      <c r="AD1541" s="154" t="s">
        <v>3665</v>
      </c>
      <c r="AE1541" s="155"/>
      <c r="AF1541" s="154" t="s">
        <v>5811</v>
      </c>
      <c r="AP1541" s="155"/>
      <c r="AQ1541" s="156"/>
      <c r="AR1541" s="157"/>
      <c r="AS1541" s="158"/>
      <c r="AT1541" s="159"/>
      <c r="AU1541" s="161"/>
      <c r="AV1541" s="156"/>
      <c r="AW1541" s="162"/>
      <c r="AX1541" s="163"/>
      <c r="AY1541" s="164"/>
      <c r="AZ1541" s="159"/>
      <c r="BA1541" s="161"/>
      <c r="BB1541" s="165"/>
      <c r="BF1541" s="155"/>
    </row>
    <row r="1542" spans="1:59" s="154" customFormat="1" ht="15" customHeight="1">
      <c r="A1542" s="153" t="s">
        <v>5693</v>
      </c>
      <c r="B1542" s="169" t="s">
        <v>5812</v>
      </c>
      <c r="C1542" s="154" t="s">
        <v>5695</v>
      </c>
      <c r="D1542" s="170">
        <v>33</v>
      </c>
      <c r="E1542" s="154">
        <v>2</v>
      </c>
      <c r="G1542" s="154" t="s">
        <v>5813</v>
      </c>
      <c r="J1542" s="154" t="s">
        <v>27</v>
      </c>
      <c r="K1542" s="154" t="s">
        <v>200</v>
      </c>
      <c r="L1542" s="154">
        <v>0</v>
      </c>
      <c r="N1542" s="155">
        <v>0</v>
      </c>
      <c r="O1542" s="156">
        <v>1</v>
      </c>
      <c r="P1542" s="157">
        <v>1</v>
      </c>
      <c r="Q1542" s="158"/>
      <c r="R1542" s="159"/>
      <c r="S1542" s="160"/>
      <c r="T1542" s="161"/>
      <c r="U1542" s="156"/>
      <c r="V1542" s="162"/>
      <c r="W1542" s="163"/>
      <c r="X1542" s="164"/>
      <c r="Y1542" s="159"/>
      <c r="Z1542" s="161"/>
      <c r="AA1542" s="165"/>
      <c r="AB1542" s="154" t="s">
        <v>1092</v>
      </c>
      <c r="AD1542" s="154" t="s">
        <v>674</v>
      </c>
      <c r="AE1542" s="155"/>
      <c r="AF1542" s="154" t="s">
        <v>5814</v>
      </c>
      <c r="AP1542" s="155"/>
      <c r="AQ1542" s="156"/>
      <c r="AR1542" s="157"/>
      <c r="AS1542" s="158"/>
      <c r="AT1542" s="159"/>
      <c r="AU1542" s="161"/>
      <c r="AV1542" s="156"/>
      <c r="AW1542" s="162"/>
      <c r="AX1542" s="163"/>
      <c r="AY1542" s="164"/>
      <c r="AZ1542" s="159"/>
      <c r="BA1542" s="161"/>
      <c r="BB1542" s="165"/>
      <c r="BF1542" s="155"/>
    </row>
    <row r="1543" spans="1:59" s="154" customFormat="1" ht="15" customHeight="1">
      <c r="A1543" s="153" t="s">
        <v>5693</v>
      </c>
      <c r="B1543" s="153" t="s">
        <v>5815</v>
      </c>
      <c r="C1543" s="154" t="s">
        <v>5695</v>
      </c>
      <c r="D1543" s="170">
        <v>34</v>
      </c>
      <c r="E1543" s="154">
        <v>2</v>
      </c>
      <c r="G1543" s="154" t="s">
        <v>5816</v>
      </c>
      <c r="J1543" s="154" t="s">
        <v>312</v>
      </c>
      <c r="K1543" s="154" t="s">
        <v>200</v>
      </c>
      <c r="L1543" s="154">
        <v>0</v>
      </c>
      <c r="N1543" s="155"/>
      <c r="O1543" s="156"/>
      <c r="P1543" s="157"/>
      <c r="Q1543" s="158"/>
      <c r="R1543" s="159"/>
      <c r="S1543" s="160">
        <v>1</v>
      </c>
      <c r="T1543" s="161"/>
      <c r="U1543" s="156"/>
      <c r="V1543" s="162"/>
      <c r="W1543" s="163"/>
      <c r="X1543" s="164"/>
      <c r="Y1543" s="159"/>
      <c r="Z1543" s="161"/>
      <c r="AA1543" s="165"/>
      <c r="AB1543" s="154" t="s">
        <v>208</v>
      </c>
      <c r="AD1543" s="154" t="s">
        <v>313</v>
      </c>
      <c r="AE1543" s="155"/>
      <c r="AF1543" s="154" t="s">
        <v>5817</v>
      </c>
      <c r="AP1543" s="155"/>
      <c r="AQ1543" s="156"/>
      <c r="AR1543" s="157"/>
      <c r="AS1543" s="158"/>
      <c r="AT1543" s="159"/>
      <c r="AU1543" s="161"/>
      <c r="AV1543" s="156"/>
      <c r="AW1543" s="162"/>
      <c r="AX1543" s="163"/>
      <c r="AY1543" s="164"/>
      <c r="AZ1543" s="159"/>
      <c r="BA1543" s="161"/>
      <c r="BB1543" s="165"/>
      <c r="BF1543" s="155"/>
    </row>
    <row r="1544" spans="1:59" s="154" customFormat="1" ht="15" customHeight="1">
      <c r="A1544" s="153" t="s">
        <v>5693</v>
      </c>
      <c r="B1544" s="153" t="s">
        <v>5818</v>
      </c>
      <c r="C1544" s="154" t="s">
        <v>5695</v>
      </c>
      <c r="D1544" s="170">
        <v>35</v>
      </c>
      <c r="E1544" s="154">
        <v>2</v>
      </c>
      <c r="G1544" s="154" t="s">
        <v>5819</v>
      </c>
      <c r="H1544" s="154" t="s">
        <v>5820</v>
      </c>
      <c r="J1544" s="154" t="s">
        <v>257</v>
      </c>
      <c r="K1544" s="154" t="s">
        <v>200</v>
      </c>
      <c r="L1544" s="154">
        <v>1</v>
      </c>
      <c r="N1544" s="155">
        <v>3</v>
      </c>
      <c r="O1544" s="156"/>
      <c r="P1544" s="157"/>
      <c r="Q1544" s="158"/>
      <c r="R1544" s="159"/>
      <c r="S1544" s="160"/>
      <c r="T1544" s="161"/>
      <c r="U1544" s="156"/>
      <c r="V1544" s="162"/>
      <c r="W1544" s="163"/>
      <c r="X1544" s="164"/>
      <c r="Y1544" s="159"/>
      <c r="Z1544" s="161"/>
      <c r="AA1544" s="165"/>
      <c r="AC1544" s="154" t="s">
        <v>5780</v>
      </c>
      <c r="AD1544" s="154" t="s">
        <v>5781</v>
      </c>
      <c r="AE1544" s="155"/>
      <c r="AF1544" s="154" t="s">
        <v>5821</v>
      </c>
      <c r="AP1544" s="155"/>
      <c r="AQ1544" s="156"/>
      <c r="AR1544" s="157"/>
      <c r="AS1544" s="158"/>
      <c r="AT1544" s="159"/>
      <c r="AU1544" s="161"/>
      <c r="AV1544" s="156"/>
      <c r="AW1544" s="162"/>
      <c r="AX1544" s="163"/>
      <c r="AY1544" s="164"/>
      <c r="AZ1544" s="159"/>
      <c r="BA1544" s="161"/>
      <c r="BB1544" s="165"/>
      <c r="BF1544" s="155"/>
    </row>
    <row r="1545" spans="1:59" s="154" customFormat="1" ht="15" customHeight="1">
      <c r="A1545" s="153" t="s">
        <v>5693</v>
      </c>
      <c r="B1545" s="153" t="s">
        <v>5822</v>
      </c>
      <c r="C1545" s="154" t="s">
        <v>5695</v>
      </c>
      <c r="D1545" s="170">
        <v>36</v>
      </c>
      <c r="E1545" s="154">
        <v>2</v>
      </c>
      <c r="G1545" s="154" t="s">
        <v>5823</v>
      </c>
      <c r="J1545" s="154" t="s">
        <v>257</v>
      </c>
      <c r="K1545" s="154" t="s">
        <v>202</v>
      </c>
      <c r="L1545" s="154">
        <v>0</v>
      </c>
      <c r="N1545" s="155">
        <v>3</v>
      </c>
      <c r="O1545" s="156"/>
      <c r="P1545" s="157"/>
      <c r="Q1545" s="158"/>
      <c r="R1545" s="159">
        <v>1</v>
      </c>
      <c r="S1545" s="160"/>
      <c r="T1545" s="161"/>
      <c r="U1545" s="156"/>
      <c r="V1545" s="162"/>
      <c r="W1545" s="163"/>
      <c r="X1545" s="164"/>
      <c r="Y1545" s="159"/>
      <c r="Z1545" s="161"/>
      <c r="AA1545" s="165"/>
      <c r="AB1545" s="154" t="s">
        <v>207</v>
      </c>
      <c r="AD1545" s="154" t="s">
        <v>5824</v>
      </c>
      <c r="AE1545" s="155"/>
      <c r="AF1545" s="154" t="s">
        <v>5825</v>
      </c>
      <c r="AP1545" s="155"/>
      <c r="AQ1545" s="156"/>
      <c r="AR1545" s="157"/>
      <c r="AS1545" s="158"/>
      <c r="AT1545" s="159"/>
      <c r="AU1545" s="161"/>
      <c r="AV1545" s="156"/>
      <c r="AW1545" s="162"/>
      <c r="AX1545" s="163"/>
      <c r="AY1545" s="164"/>
      <c r="AZ1545" s="159"/>
      <c r="BA1545" s="161"/>
      <c r="BB1545" s="165"/>
      <c r="BF1545" s="155"/>
    </row>
    <row r="1546" spans="1:59" s="154" customFormat="1" ht="15" customHeight="1">
      <c r="A1546" s="153" t="s">
        <v>5693</v>
      </c>
      <c r="B1546" s="153" t="s">
        <v>5826</v>
      </c>
      <c r="C1546" s="154" t="s">
        <v>5695</v>
      </c>
      <c r="D1546" s="170">
        <v>37</v>
      </c>
      <c r="E1546" s="154">
        <v>2</v>
      </c>
      <c r="G1546" s="154" t="s">
        <v>5827</v>
      </c>
      <c r="J1546" s="154" t="s">
        <v>27</v>
      </c>
      <c r="K1546" s="154" t="s">
        <v>202</v>
      </c>
      <c r="L1546" s="154">
        <v>0</v>
      </c>
      <c r="N1546" s="155">
        <v>0</v>
      </c>
      <c r="O1546" s="156"/>
      <c r="P1546" s="157"/>
      <c r="Q1546" s="158">
        <v>2</v>
      </c>
      <c r="R1546" s="159"/>
      <c r="S1546" s="160"/>
      <c r="T1546" s="161"/>
      <c r="U1546" s="156"/>
      <c r="V1546" s="162"/>
      <c r="W1546" s="163"/>
      <c r="X1546" s="164"/>
      <c r="Y1546" s="159"/>
      <c r="Z1546" s="161"/>
      <c r="AA1546" s="165"/>
      <c r="AB1546" s="154" t="s">
        <v>1088</v>
      </c>
      <c r="AD1546" s="154" t="s">
        <v>5828</v>
      </c>
      <c r="AE1546" s="155"/>
      <c r="AF1546" s="154" t="s">
        <v>5829</v>
      </c>
      <c r="AP1546" s="155"/>
      <c r="AQ1546" s="156"/>
      <c r="AR1546" s="157"/>
      <c r="AS1546" s="158"/>
      <c r="AT1546" s="159"/>
      <c r="AU1546" s="161"/>
      <c r="AV1546" s="156"/>
      <c r="AW1546" s="162"/>
      <c r="AX1546" s="163"/>
      <c r="AY1546" s="164"/>
      <c r="AZ1546" s="159"/>
      <c r="BA1546" s="161"/>
      <c r="BB1546" s="165"/>
      <c r="BF1546" s="155"/>
    </row>
    <row r="1547" spans="1:59" s="154" customFormat="1" ht="15" customHeight="1">
      <c r="A1547" s="153" t="s">
        <v>5693</v>
      </c>
      <c r="B1547" s="169" t="s">
        <v>5830</v>
      </c>
      <c r="C1547" s="154" t="s">
        <v>5695</v>
      </c>
      <c r="D1547" s="155">
        <v>38</v>
      </c>
      <c r="E1547" s="154">
        <v>2</v>
      </c>
      <c r="G1547" s="154" t="s">
        <v>5831</v>
      </c>
      <c r="J1547" s="154" t="s">
        <v>312</v>
      </c>
      <c r="K1547" s="154" t="s">
        <v>202</v>
      </c>
      <c r="L1547" s="154">
        <v>0</v>
      </c>
      <c r="N1547" s="155"/>
      <c r="O1547" s="156"/>
      <c r="P1547" s="157"/>
      <c r="Q1547" s="158">
        <v>1</v>
      </c>
      <c r="R1547" s="159">
        <v>1</v>
      </c>
      <c r="S1547" s="160"/>
      <c r="T1547" s="161"/>
      <c r="U1547" s="156"/>
      <c r="V1547" s="162"/>
      <c r="W1547" s="163"/>
      <c r="X1547" s="164"/>
      <c r="Y1547" s="159"/>
      <c r="Z1547" s="161"/>
      <c r="AA1547" s="165"/>
      <c r="AB1547" s="154" t="s">
        <v>1087</v>
      </c>
      <c r="AD1547" s="154" t="s">
        <v>412</v>
      </c>
      <c r="AE1547" s="155"/>
      <c r="AF1547" s="154" t="s">
        <v>5832</v>
      </c>
      <c r="AP1547" s="155"/>
      <c r="AQ1547" s="156"/>
      <c r="AR1547" s="157"/>
      <c r="AS1547" s="158"/>
      <c r="AT1547" s="159"/>
      <c r="AU1547" s="161"/>
      <c r="AV1547" s="156"/>
      <c r="AW1547" s="162"/>
      <c r="AX1547" s="163"/>
      <c r="AY1547" s="164"/>
      <c r="AZ1547" s="159"/>
      <c r="BA1547" s="161"/>
      <c r="BB1547" s="165"/>
      <c r="BF1547" s="155"/>
    </row>
    <row r="1548" spans="1:59" s="154" customFormat="1" ht="15" customHeight="1">
      <c r="A1548" s="153" t="s">
        <v>5693</v>
      </c>
      <c r="B1548" s="153" t="s">
        <v>5833</v>
      </c>
      <c r="C1548" s="154" t="s">
        <v>5695</v>
      </c>
      <c r="D1548" s="155">
        <v>39</v>
      </c>
      <c r="E1548" s="154">
        <v>2</v>
      </c>
      <c r="G1548" s="154" t="s">
        <v>5834</v>
      </c>
      <c r="H1548" s="154" t="s">
        <v>5835</v>
      </c>
      <c r="J1548" s="154" t="s">
        <v>257</v>
      </c>
      <c r="K1548" s="154" t="s">
        <v>202</v>
      </c>
      <c r="L1548" s="154">
        <v>1</v>
      </c>
      <c r="N1548" s="155">
        <v>3</v>
      </c>
      <c r="O1548" s="156"/>
      <c r="P1548" s="157"/>
      <c r="Q1548" s="158"/>
      <c r="R1548" s="159"/>
      <c r="S1548" s="160"/>
      <c r="T1548" s="161"/>
      <c r="U1548" s="156"/>
      <c r="V1548" s="162"/>
      <c r="W1548" s="163"/>
      <c r="X1548" s="164"/>
      <c r="Y1548" s="159"/>
      <c r="Z1548" s="161"/>
      <c r="AA1548" s="165"/>
      <c r="AC1548" s="154" t="s">
        <v>5780</v>
      </c>
      <c r="AD1548" s="154" t="s">
        <v>5781</v>
      </c>
      <c r="AE1548" s="155"/>
      <c r="AF1548" s="154" t="s">
        <v>5836</v>
      </c>
      <c r="AP1548" s="155"/>
      <c r="AQ1548" s="156"/>
      <c r="AR1548" s="157"/>
      <c r="AS1548" s="158"/>
      <c r="AT1548" s="159"/>
      <c r="AU1548" s="161"/>
      <c r="AV1548" s="156"/>
      <c r="AW1548" s="162"/>
      <c r="AX1548" s="163"/>
      <c r="AY1548" s="164"/>
      <c r="AZ1548" s="159"/>
      <c r="BA1548" s="161"/>
      <c r="BB1548" s="165"/>
      <c r="BF1548" s="155"/>
    </row>
    <row r="1549" spans="1:59" s="154" customFormat="1" ht="15" customHeight="1">
      <c r="A1549" s="153" t="s">
        <v>5693</v>
      </c>
      <c r="B1549" s="183" t="s">
        <v>5837</v>
      </c>
      <c r="C1549" s="154" t="s">
        <v>5695</v>
      </c>
      <c r="D1549" s="155">
        <v>40</v>
      </c>
      <c r="E1549" s="154">
        <v>2</v>
      </c>
      <c r="G1549" s="154" t="s">
        <v>5838</v>
      </c>
      <c r="H1549" s="154" t="s">
        <v>5839</v>
      </c>
      <c r="J1549" s="154" t="s">
        <v>257</v>
      </c>
      <c r="K1549" s="154" t="s">
        <v>26</v>
      </c>
      <c r="L1549" s="154">
        <v>1</v>
      </c>
      <c r="N1549" s="155">
        <v>3</v>
      </c>
      <c r="O1549" s="156"/>
      <c r="P1549" s="157"/>
      <c r="Q1549" s="158"/>
      <c r="R1549" s="159"/>
      <c r="S1549" s="160"/>
      <c r="T1549" s="161"/>
      <c r="U1549" s="156"/>
      <c r="V1549" s="162"/>
      <c r="W1549" s="163"/>
      <c r="X1549" s="164"/>
      <c r="Y1549" s="159"/>
      <c r="Z1549" s="161"/>
      <c r="AA1549" s="165"/>
      <c r="AC1549" s="154" t="s">
        <v>5780</v>
      </c>
      <c r="AD1549" s="154" t="s">
        <v>5781</v>
      </c>
      <c r="AE1549" s="155"/>
      <c r="AF1549" s="154" t="s">
        <v>5859</v>
      </c>
      <c r="AP1549" s="155"/>
      <c r="AQ1549" s="156"/>
      <c r="AR1549" s="157"/>
      <c r="AS1549" s="158"/>
      <c r="AT1549" s="159"/>
      <c r="AU1549" s="161"/>
      <c r="AV1549" s="156"/>
      <c r="AW1549" s="162"/>
      <c r="AX1549" s="163"/>
      <c r="AY1549" s="164"/>
      <c r="AZ1549" s="159"/>
      <c r="BA1549" s="161"/>
      <c r="BB1549" s="165"/>
      <c r="BF1549" s="155"/>
    </row>
    <row r="1550" spans="1:59" s="154" customFormat="1" ht="15" customHeight="1">
      <c r="A1550" s="153" t="s">
        <v>5693</v>
      </c>
      <c r="B1550" s="154" t="s">
        <v>5840</v>
      </c>
      <c r="C1550" s="154" t="s">
        <v>5695</v>
      </c>
      <c r="D1550" s="155">
        <v>41</v>
      </c>
      <c r="E1550" s="154">
        <v>2</v>
      </c>
      <c r="G1550" s="154" t="s">
        <v>5841</v>
      </c>
      <c r="J1550" s="154" t="s">
        <v>28</v>
      </c>
      <c r="K1550" s="154" t="s">
        <v>2426</v>
      </c>
      <c r="M1550" s="154" t="s">
        <v>691</v>
      </c>
      <c r="N1550" s="155"/>
      <c r="O1550" s="156"/>
      <c r="P1550" s="157"/>
      <c r="Q1550" s="158"/>
      <c r="R1550" s="159"/>
      <c r="S1550" s="160"/>
      <c r="T1550" s="161"/>
      <c r="U1550" s="156"/>
      <c r="V1550" s="162"/>
      <c r="W1550" s="163"/>
      <c r="X1550" s="164"/>
      <c r="Y1550" s="159"/>
      <c r="Z1550" s="161"/>
      <c r="AA1550" s="165"/>
      <c r="AD1550" s="154" t="s">
        <v>492</v>
      </c>
      <c r="AE1550" s="155"/>
      <c r="AF1550" s="154" t="s">
        <v>5842</v>
      </c>
      <c r="AP1550" s="155"/>
      <c r="AQ1550" s="156"/>
      <c r="AR1550" s="157"/>
      <c r="AS1550" s="158"/>
      <c r="AT1550" s="159"/>
      <c r="AU1550" s="161"/>
      <c r="AV1550" s="156"/>
      <c r="AW1550" s="162"/>
      <c r="AX1550" s="163"/>
      <c r="AY1550" s="164"/>
      <c r="AZ1550" s="159"/>
      <c r="BA1550" s="161"/>
      <c r="BB1550" s="165"/>
      <c r="BF1550" s="155"/>
    </row>
    <row r="1551" spans="1:59" s="154" customFormat="1" ht="15" customHeight="1">
      <c r="A1551" s="153" t="s">
        <v>5693</v>
      </c>
      <c r="B1551" s="154" t="s">
        <v>5843</v>
      </c>
      <c r="C1551" s="154" t="s">
        <v>5695</v>
      </c>
      <c r="D1551" s="155">
        <v>42</v>
      </c>
      <c r="E1551" s="154">
        <v>2</v>
      </c>
      <c r="G1551" s="154" t="s">
        <v>5844</v>
      </c>
      <c r="H1551" s="154" t="s">
        <v>5845</v>
      </c>
      <c r="J1551" s="154" t="s">
        <v>257</v>
      </c>
      <c r="K1551" s="154" t="s">
        <v>26</v>
      </c>
      <c r="M1551" s="154" t="s">
        <v>691</v>
      </c>
      <c r="N1551" s="155">
        <v>4</v>
      </c>
      <c r="O1551" s="156"/>
      <c r="P1551" s="157"/>
      <c r="Q1551" s="158"/>
      <c r="R1551" s="159"/>
      <c r="S1551" s="160"/>
      <c r="T1551" s="161"/>
      <c r="U1551" s="156"/>
      <c r="V1551" s="162"/>
      <c r="W1551" s="163"/>
      <c r="X1551" s="164"/>
      <c r="Y1551" s="159"/>
      <c r="Z1551" s="161"/>
      <c r="AA1551" s="165"/>
      <c r="AC1551" s="154" t="s">
        <v>5780</v>
      </c>
      <c r="AD1551" s="154" t="s">
        <v>5846</v>
      </c>
      <c r="AE1551" s="155"/>
      <c r="AF1551" s="154" t="s">
        <v>5860</v>
      </c>
      <c r="AJ1551" s="171"/>
      <c r="AP1551" s="155"/>
      <c r="AQ1551" s="156"/>
      <c r="AR1551" s="157"/>
      <c r="AS1551" s="158"/>
      <c r="AT1551" s="159"/>
      <c r="AU1551" s="161"/>
      <c r="AV1551" s="156"/>
      <c r="AW1551" s="162"/>
      <c r="AX1551" s="163"/>
      <c r="AY1551" s="164"/>
      <c r="AZ1551" s="159"/>
      <c r="BA1551" s="161"/>
      <c r="BB1551" s="165"/>
      <c r="BF1551" s="155"/>
    </row>
    <row r="1552" spans="1:59" ht="15" customHeight="1">
      <c r="A1552" s="153" t="s">
        <v>5693</v>
      </c>
      <c r="B1552" s="23" t="s">
        <v>5861</v>
      </c>
      <c r="C1552" s="154" t="s">
        <v>5695</v>
      </c>
      <c r="D1552" s="24">
        <v>43</v>
      </c>
      <c r="E1552" s="23">
        <v>1</v>
      </c>
      <c r="F1552" s="171" t="s">
        <v>5862</v>
      </c>
      <c r="G1552" s="171" t="s">
        <v>5862</v>
      </c>
      <c r="J1552" s="23" t="s">
        <v>618</v>
      </c>
      <c r="K1552" s="28" t="s">
        <v>2426</v>
      </c>
      <c r="N1552" s="147"/>
      <c r="O1552" s="118"/>
      <c r="P1552" s="119"/>
      <c r="Q1552" s="120"/>
      <c r="R1552" s="29"/>
      <c r="S1552" s="135"/>
      <c r="T1552" s="122"/>
      <c r="U1552" s="118"/>
      <c r="V1552" s="123"/>
      <c r="W1552" s="124"/>
      <c r="X1552" s="125"/>
      <c r="Y1552" s="29"/>
      <c r="Z1552" s="122"/>
      <c r="AA1552" s="126"/>
      <c r="AB1552" s="148"/>
      <c r="AF1552" s="23" t="s">
        <v>5863</v>
      </c>
      <c r="AI1552" s="171" t="s">
        <v>5862</v>
      </c>
      <c r="AL1552" s="23" t="s">
        <v>618</v>
      </c>
      <c r="AM1552" s="28" t="s">
        <v>2426</v>
      </c>
      <c r="AP1552" s="24"/>
      <c r="AQ1552" s="118"/>
      <c r="AR1552" s="119"/>
      <c r="AS1552" s="120"/>
      <c r="AT1552" s="29"/>
      <c r="AU1552" s="122"/>
      <c r="AV1552" s="118"/>
      <c r="AW1552" s="123"/>
      <c r="AX1552" s="124"/>
      <c r="AY1552" s="125"/>
      <c r="AZ1552" s="29"/>
      <c r="BA1552" s="122"/>
      <c r="BB1552" s="126"/>
      <c r="BG1552" s="23" t="s">
        <v>5864</v>
      </c>
    </row>
    <row r="1553" spans="1:59" ht="15" customHeight="1">
      <c r="A1553" s="153" t="s">
        <v>5693</v>
      </c>
      <c r="B1553" s="23" t="s">
        <v>5865</v>
      </c>
      <c r="C1553" s="154" t="s">
        <v>5695</v>
      </c>
      <c r="D1553" s="24">
        <v>44</v>
      </c>
      <c r="E1553" s="23">
        <v>1</v>
      </c>
      <c r="F1553" s="171" t="s">
        <v>5862</v>
      </c>
      <c r="G1553" s="154" t="s">
        <v>5866</v>
      </c>
      <c r="J1553" s="23" t="s">
        <v>619</v>
      </c>
      <c r="K1553" s="23" t="s">
        <v>2426</v>
      </c>
      <c r="L1553" s="23">
        <v>1</v>
      </c>
      <c r="N1553" s="147"/>
      <c r="O1553" s="118"/>
      <c r="P1553" s="119"/>
      <c r="Q1553" s="120"/>
      <c r="R1553" s="29"/>
      <c r="S1553" s="135"/>
      <c r="T1553" s="122"/>
      <c r="U1553" s="118"/>
      <c r="V1553" s="123"/>
      <c r="W1553" s="124"/>
      <c r="X1553" s="125"/>
      <c r="Y1553" s="29"/>
      <c r="Z1553" s="122"/>
      <c r="AA1553" s="126"/>
      <c r="AB1553" s="148"/>
      <c r="AF1553" s="23" t="s">
        <v>5867</v>
      </c>
      <c r="AI1553" s="154" t="s">
        <v>5868</v>
      </c>
      <c r="AL1553" s="23" t="s">
        <v>619</v>
      </c>
      <c r="AM1553" s="23" t="s">
        <v>2426</v>
      </c>
      <c r="AN1553" s="23">
        <v>1</v>
      </c>
      <c r="AP1553" s="24"/>
      <c r="AQ1553" s="118"/>
      <c r="AR1553" s="119"/>
      <c r="AS1553" s="120"/>
      <c r="AT1553" s="29"/>
      <c r="AU1553" s="122"/>
      <c r="AV1553" s="118"/>
      <c r="AW1553" s="123"/>
      <c r="AX1553" s="124"/>
      <c r="AY1553" s="125"/>
      <c r="AZ1553" s="29"/>
      <c r="BA1553" s="122"/>
      <c r="BB1553" s="126"/>
      <c r="BG1553" s="23" t="s">
        <v>5869</v>
      </c>
    </row>
    <row r="1554" spans="1:59" ht="15" customHeight="1">
      <c r="A1554" s="153" t="s">
        <v>5693</v>
      </c>
      <c r="B1554" s="23" t="s">
        <v>5870</v>
      </c>
      <c r="C1554" s="154" t="s">
        <v>5695</v>
      </c>
      <c r="D1554" s="24">
        <v>45</v>
      </c>
      <c r="E1554" s="23">
        <v>1</v>
      </c>
      <c r="F1554" s="171" t="s">
        <v>5862</v>
      </c>
      <c r="G1554" s="154" t="s">
        <v>5871</v>
      </c>
      <c r="J1554" s="23" t="s">
        <v>621</v>
      </c>
      <c r="K1554" s="23" t="s">
        <v>2426</v>
      </c>
      <c r="L1554" s="23">
        <v>1</v>
      </c>
      <c r="N1554" s="147"/>
      <c r="O1554" s="118"/>
      <c r="P1554" s="119"/>
      <c r="Q1554" s="120"/>
      <c r="R1554" s="29"/>
      <c r="S1554" s="135"/>
      <c r="T1554" s="122"/>
      <c r="U1554" s="118"/>
      <c r="V1554" s="123"/>
      <c r="W1554" s="124"/>
      <c r="X1554" s="125"/>
      <c r="Y1554" s="29" t="s">
        <v>38</v>
      </c>
      <c r="Z1554" s="122"/>
      <c r="AA1554" s="126"/>
      <c r="AB1554" s="148"/>
      <c r="AF1554" s="23" t="s">
        <v>5872</v>
      </c>
      <c r="AI1554" s="154" t="s">
        <v>2699</v>
      </c>
      <c r="AL1554" s="23" t="s">
        <v>621</v>
      </c>
      <c r="AM1554" s="23" t="s">
        <v>2426</v>
      </c>
      <c r="AN1554" s="23">
        <v>1</v>
      </c>
      <c r="AP1554" s="24"/>
      <c r="AQ1554" s="118"/>
      <c r="AR1554" s="119"/>
      <c r="AS1554" s="120"/>
      <c r="AT1554" s="29"/>
      <c r="AU1554" s="122"/>
      <c r="AV1554" s="118"/>
      <c r="AW1554" s="123"/>
      <c r="AX1554" s="124"/>
      <c r="AY1554" s="125"/>
      <c r="AZ1554" s="29"/>
      <c r="BA1554" s="122"/>
      <c r="BB1554" s="126"/>
      <c r="BG1554" s="23" t="s">
        <v>5873</v>
      </c>
    </row>
    <row r="1555" spans="1:59" ht="15" customHeight="1">
      <c r="A1555" s="153" t="s">
        <v>5693</v>
      </c>
      <c r="B1555" s="23" t="s">
        <v>5874</v>
      </c>
      <c r="C1555" s="154" t="s">
        <v>5695</v>
      </c>
      <c r="D1555" s="24">
        <v>46</v>
      </c>
      <c r="E1555" s="23">
        <v>1</v>
      </c>
      <c r="F1555" s="171" t="s">
        <v>5862</v>
      </c>
      <c r="G1555" s="154" t="s">
        <v>5875</v>
      </c>
      <c r="H1555" s="23" t="s">
        <v>5876</v>
      </c>
      <c r="I1555" s="23" t="s">
        <v>223</v>
      </c>
      <c r="J1555" s="23" t="s">
        <v>203</v>
      </c>
      <c r="K1555" s="23" t="s">
        <v>26</v>
      </c>
      <c r="N1555" s="147"/>
      <c r="O1555" s="118">
        <v>3</v>
      </c>
      <c r="P1555" s="119">
        <v>2</v>
      </c>
      <c r="Q1555" s="120">
        <v>4</v>
      </c>
      <c r="R1555" s="29">
        <v>1</v>
      </c>
      <c r="S1555" s="135"/>
      <c r="T1555" s="122">
        <v>8</v>
      </c>
      <c r="U1555" s="118">
        <v>4</v>
      </c>
      <c r="V1555" s="123"/>
      <c r="W1555" s="124"/>
      <c r="X1555" s="125"/>
      <c r="Y1555" s="29"/>
      <c r="Z1555" s="122"/>
      <c r="AA1555" s="126"/>
      <c r="AB1555" s="148"/>
      <c r="AD1555" s="23" t="s">
        <v>5877</v>
      </c>
      <c r="AF1555" s="23" t="s">
        <v>5878</v>
      </c>
      <c r="AI1555" s="154" t="s">
        <v>5875</v>
      </c>
      <c r="AJ1555" s="23" t="s">
        <v>5876</v>
      </c>
      <c r="AK1555" s="23" t="s">
        <v>223</v>
      </c>
      <c r="AL1555" s="23" t="s">
        <v>203</v>
      </c>
      <c r="AM1555" s="23" t="s">
        <v>26</v>
      </c>
      <c r="AP1555" s="24"/>
      <c r="AQ1555" s="118"/>
      <c r="AR1555" s="119"/>
      <c r="AS1555" s="120"/>
      <c r="AT1555" s="29"/>
      <c r="AU1555" s="122"/>
      <c r="AV1555" s="118"/>
      <c r="AW1555" s="123"/>
      <c r="AX1555" s="124"/>
      <c r="AY1555" s="125"/>
      <c r="AZ1555" s="29"/>
      <c r="BA1555" s="122"/>
      <c r="BB1555" s="126"/>
      <c r="BE1555" s="23" t="s">
        <v>5877</v>
      </c>
      <c r="BG1555" s="23" t="s">
        <v>5879</v>
      </c>
    </row>
    <row r="1556" spans="1:59" ht="15" customHeight="1">
      <c r="A1556" s="153" t="s">
        <v>5693</v>
      </c>
      <c r="B1556" s="23" t="s">
        <v>5880</v>
      </c>
      <c r="C1556" s="154" t="s">
        <v>5695</v>
      </c>
      <c r="D1556" s="24">
        <v>47</v>
      </c>
      <c r="E1556" s="23">
        <v>1</v>
      </c>
      <c r="F1556" s="171" t="s">
        <v>5862</v>
      </c>
      <c r="G1556" s="154" t="s">
        <v>5881</v>
      </c>
      <c r="H1556" s="23" t="s">
        <v>5882</v>
      </c>
      <c r="I1556" s="23" t="s">
        <v>223</v>
      </c>
      <c r="J1556" s="23" t="s">
        <v>203</v>
      </c>
      <c r="K1556" s="23" t="s">
        <v>26</v>
      </c>
      <c r="N1556" s="147"/>
      <c r="O1556" s="118">
        <v>2</v>
      </c>
      <c r="P1556" s="119">
        <v>4</v>
      </c>
      <c r="Q1556" s="120">
        <v>1</v>
      </c>
      <c r="R1556" s="29">
        <v>3</v>
      </c>
      <c r="S1556" s="135"/>
      <c r="T1556" s="122">
        <v>4</v>
      </c>
      <c r="U1556" s="118">
        <v>8</v>
      </c>
      <c r="V1556" s="123"/>
      <c r="W1556" s="124"/>
      <c r="X1556" s="125"/>
      <c r="Y1556" s="29"/>
      <c r="Z1556" s="122"/>
      <c r="AA1556" s="126"/>
      <c r="AB1556" s="148"/>
      <c r="AD1556" s="23" t="s">
        <v>5883</v>
      </c>
      <c r="AF1556" s="23" t="s">
        <v>5884</v>
      </c>
      <c r="AI1556" s="154" t="s">
        <v>5881</v>
      </c>
      <c r="AJ1556" s="23" t="s">
        <v>5882</v>
      </c>
      <c r="AK1556" s="23" t="s">
        <v>223</v>
      </c>
      <c r="AL1556" s="23" t="s">
        <v>203</v>
      </c>
      <c r="AM1556" s="23" t="s">
        <v>26</v>
      </c>
      <c r="AP1556" s="24"/>
      <c r="AQ1556" s="118"/>
      <c r="AR1556" s="119"/>
      <c r="AS1556" s="120"/>
      <c r="AT1556" s="29"/>
      <c r="AU1556" s="122"/>
      <c r="AV1556" s="118"/>
      <c r="AW1556" s="123"/>
      <c r="AX1556" s="124"/>
      <c r="AY1556" s="125"/>
      <c r="AZ1556" s="29"/>
      <c r="BA1556" s="122"/>
      <c r="BB1556" s="126"/>
      <c r="BE1556" s="23" t="s">
        <v>5883</v>
      </c>
      <c r="BG1556" s="23" t="s">
        <v>5885</v>
      </c>
    </row>
    <row r="1557" spans="1:59" ht="15" customHeight="1">
      <c r="A1557" s="153" t="s">
        <v>5693</v>
      </c>
      <c r="B1557" s="23" t="s">
        <v>5886</v>
      </c>
      <c r="C1557" s="154" t="s">
        <v>5695</v>
      </c>
      <c r="D1557" s="24">
        <v>48</v>
      </c>
      <c r="E1557" s="23">
        <v>1</v>
      </c>
      <c r="F1557" s="171" t="s">
        <v>5862</v>
      </c>
      <c r="G1557" s="154" t="s">
        <v>5887</v>
      </c>
      <c r="H1557" s="23" t="s">
        <v>5888</v>
      </c>
      <c r="I1557" s="23" t="s">
        <v>223</v>
      </c>
      <c r="J1557" s="23" t="s">
        <v>203</v>
      </c>
      <c r="K1557" s="23" t="s">
        <v>26</v>
      </c>
      <c r="N1557" s="147"/>
      <c r="O1557" s="118">
        <v>1</v>
      </c>
      <c r="P1557" s="119">
        <v>3</v>
      </c>
      <c r="Q1557" s="120">
        <v>2</v>
      </c>
      <c r="R1557" s="29">
        <v>4</v>
      </c>
      <c r="S1557" s="135"/>
      <c r="T1557" s="122">
        <v>5</v>
      </c>
      <c r="U1557" s="118">
        <v>7</v>
      </c>
      <c r="V1557" s="123"/>
      <c r="W1557" s="124"/>
      <c r="X1557" s="125"/>
      <c r="Y1557" s="29"/>
      <c r="Z1557" s="122"/>
      <c r="AA1557" s="126"/>
      <c r="AB1557" s="148"/>
      <c r="AD1557" s="23" t="s">
        <v>5710</v>
      </c>
      <c r="AF1557" s="23" t="s">
        <v>5889</v>
      </c>
      <c r="AI1557" s="154" t="s">
        <v>5887</v>
      </c>
      <c r="AJ1557" s="23" t="s">
        <v>5888</v>
      </c>
      <c r="AK1557" s="23" t="s">
        <v>223</v>
      </c>
      <c r="AL1557" s="23" t="s">
        <v>203</v>
      </c>
      <c r="AM1557" s="23" t="s">
        <v>26</v>
      </c>
      <c r="AP1557" s="24"/>
      <c r="AQ1557" s="118"/>
      <c r="AR1557" s="119"/>
      <c r="AS1557" s="120"/>
      <c r="AT1557" s="29"/>
      <c r="AU1557" s="122"/>
      <c r="AV1557" s="118"/>
      <c r="AW1557" s="123"/>
      <c r="AX1557" s="124"/>
      <c r="AY1557" s="125"/>
      <c r="AZ1557" s="29"/>
      <c r="BA1557" s="122"/>
      <c r="BB1557" s="126"/>
      <c r="BE1557" s="23" t="s">
        <v>5710</v>
      </c>
      <c r="BG1557" s="23" t="s">
        <v>5890</v>
      </c>
    </row>
    <row r="1558" spans="1:59" s="154" customFormat="1" ht="15" customHeight="1">
      <c r="A1558" s="153" t="s">
        <v>5693</v>
      </c>
      <c r="B1558" s="23" t="s">
        <v>5891</v>
      </c>
      <c r="C1558" s="154" t="s">
        <v>5695</v>
      </c>
      <c r="D1558" s="155">
        <v>49</v>
      </c>
      <c r="E1558" s="154">
        <v>1</v>
      </c>
      <c r="F1558" s="171" t="s">
        <v>5862</v>
      </c>
      <c r="G1558" s="154" t="s">
        <v>5892</v>
      </c>
      <c r="H1558" s="154" t="s">
        <v>5893</v>
      </c>
      <c r="I1558" s="154" t="s">
        <v>223</v>
      </c>
      <c r="J1558" s="154" t="s">
        <v>203</v>
      </c>
      <c r="K1558" s="154" t="s">
        <v>26</v>
      </c>
      <c r="N1558" s="155"/>
      <c r="O1558" s="156">
        <v>4</v>
      </c>
      <c r="P1558" s="157">
        <v>1</v>
      </c>
      <c r="Q1558" s="158">
        <v>3</v>
      </c>
      <c r="R1558" s="159">
        <v>2</v>
      </c>
      <c r="S1558" s="160"/>
      <c r="T1558" s="161">
        <v>7</v>
      </c>
      <c r="U1558" s="156">
        <v>5</v>
      </c>
      <c r="V1558" s="162"/>
      <c r="W1558" s="163"/>
      <c r="X1558" s="164"/>
      <c r="Y1558" s="159"/>
      <c r="Z1558" s="161"/>
      <c r="AA1558" s="165"/>
      <c r="AD1558" s="154" t="s">
        <v>2519</v>
      </c>
      <c r="AE1558" s="155"/>
      <c r="AF1558" s="154" t="s">
        <v>5894</v>
      </c>
      <c r="AI1558" s="154" t="s">
        <v>5892</v>
      </c>
      <c r="AJ1558" s="154" t="s">
        <v>5893</v>
      </c>
      <c r="AK1558" s="154" t="s">
        <v>223</v>
      </c>
      <c r="AL1558" s="154" t="s">
        <v>203</v>
      </c>
      <c r="AM1558" s="154" t="s">
        <v>26</v>
      </c>
      <c r="AP1558" s="155"/>
      <c r="AQ1558" s="156"/>
      <c r="AR1558" s="157"/>
      <c r="AS1558" s="158"/>
      <c r="AT1558" s="159"/>
      <c r="AU1558" s="161"/>
      <c r="AV1558" s="156"/>
      <c r="AW1558" s="162"/>
      <c r="AX1558" s="163"/>
      <c r="AY1558" s="164"/>
      <c r="AZ1558" s="159"/>
      <c r="BA1558" s="161"/>
      <c r="BB1558" s="165"/>
      <c r="BE1558" s="154" t="s">
        <v>2519</v>
      </c>
      <c r="BF1558" s="155"/>
      <c r="BG1558" s="154" t="s">
        <v>5895</v>
      </c>
    </row>
    <row r="1559" spans="1:59" s="154" customFormat="1" ht="15" customHeight="1">
      <c r="A1559" s="153" t="s">
        <v>5693</v>
      </c>
      <c r="B1559" s="23" t="s">
        <v>5896</v>
      </c>
      <c r="C1559" s="154" t="s">
        <v>5695</v>
      </c>
      <c r="D1559" s="155">
        <v>50</v>
      </c>
      <c r="E1559" s="154">
        <v>1</v>
      </c>
      <c r="F1559" s="154" t="s">
        <v>5897</v>
      </c>
      <c r="G1559" s="154" t="s">
        <v>5897</v>
      </c>
      <c r="J1559" s="154" t="s">
        <v>618</v>
      </c>
      <c r="K1559" s="154" t="s">
        <v>2426</v>
      </c>
      <c r="N1559" s="155"/>
      <c r="O1559" s="156"/>
      <c r="P1559" s="157"/>
      <c r="Q1559" s="158"/>
      <c r="R1559" s="159"/>
      <c r="S1559" s="160"/>
      <c r="T1559" s="161"/>
      <c r="U1559" s="156"/>
      <c r="V1559" s="162"/>
      <c r="W1559" s="163"/>
      <c r="X1559" s="164"/>
      <c r="Y1559" s="159"/>
      <c r="Z1559" s="161"/>
      <c r="AA1559" s="165"/>
      <c r="AE1559" s="155"/>
      <c r="AF1559" s="154" t="s">
        <v>5898</v>
      </c>
      <c r="AI1559" s="154" t="s">
        <v>5897</v>
      </c>
      <c r="AL1559" s="154" t="s">
        <v>618</v>
      </c>
      <c r="AM1559" s="154" t="s">
        <v>2426</v>
      </c>
      <c r="AP1559" s="155"/>
      <c r="AQ1559" s="156"/>
      <c r="AR1559" s="157"/>
      <c r="AS1559" s="158"/>
      <c r="AT1559" s="159"/>
      <c r="AU1559" s="161"/>
      <c r="AV1559" s="156"/>
      <c r="AW1559" s="162"/>
      <c r="AX1559" s="163"/>
      <c r="AY1559" s="164"/>
      <c r="AZ1559" s="159"/>
      <c r="BA1559" s="161"/>
      <c r="BB1559" s="165"/>
      <c r="BF1559" s="155"/>
      <c r="BG1559" s="154" t="s">
        <v>5899</v>
      </c>
    </row>
    <row r="1560" spans="1:59" s="154" customFormat="1" ht="15" customHeight="1">
      <c r="A1560" s="153" t="s">
        <v>5693</v>
      </c>
      <c r="B1560" s="23" t="s">
        <v>5900</v>
      </c>
      <c r="C1560" s="154" t="s">
        <v>5695</v>
      </c>
      <c r="D1560" s="155">
        <v>51</v>
      </c>
      <c r="E1560" s="154">
        <v>1</v>
      </c>
      <c r="F1560" s="154" t="s">
        <v>5897</v>
      </c>
      <c r="G1560" s="154" t="s">
        <v>5901</v>
      </c>
      <c r="J1560" s="154" t="s">
        <v>619</v>
      </c>
      <c r="K1560" s="154" t="s">
        <v>2426</v>
      </c>
      <c r="L1560" s="154">
        <v>1</v>
      </c>
      <c r="N1560" s="155"/>
      <c r="O1560" s="156"/>
      <c r="P1560" s="157"/>
      <c r="Q1560" s="158"/>
      <c r="R1560" s="159"/>
      <c r="S1560" s="160"/>
      <c r="T1560" s="161"/>
      <c r="U1560" s="156"/>
      <c r="V1560" s="162"/>
      <c r="W1560" s="163"/>
      <c r="X1560" s="164"/>
      <c r="Y1560" s="159"/>
      <c r="Z1560" s="161">
        <v>8</v>
      </c>
      <c r="AA1560" s="165"/>
      <c r="AE1560" s="155"/>
      <c r="AI1560" s="154" t="s">
        <v>5902</v>
      </c>
      <c r="AL1560" s="154" t="s">
        <v>619</v>
      </c>
      <c r="AM1560" s="154" t="s">
        <v>2426</v>
      </c>
      <c r="AN1560" s="154">
        <v>1</v>
      </c>
      <c r="AP1560" s="155"/>
      <c r="AQ1560" s="156"/>
      <c r="AR1560" s="157"/>
      <c r="AS1560" s="158"/>
      <c r="AT1560" s="159"/>
      <c r="AU1560" s="161"/>
      <c r="AV1560" s="156"/>
      <c r="AW1560" s="162"/>
      <c r="AX1560" s="163"/>
      <c r="AY1560" s="164"/>
      <c r="AZ1560" s="159"/>
      <c r="BA1560" s="161"/>
      <c r="BB1560" s="165"/>
      <c r="BF1560" s="155"/>
      <c r="BG1560" s="154" t="s">
        <v>5903</v>
      </c>
    </row>
    <row r="1561" spans="1:59" s="154" customFormat="1" ht="15" customHeight="1">
      <c r="A1561" s="153" t="s">
        <v>5693</v>
      </c>
      <c r="B1561" s="23" t="s">
        <v>5904</v>
      </c>
      <c r="C1561" s="154" t="s">
        <v>5695</v>
      </c>
      <c r="D1561" s="155">
        <v>52</v>
      </c>
      <c r="E1561" s="154">
        <v>1</v>
      </c>
      <c r="F1561" s="154" t="s">
        <v>5897</v>
      </c>
      <c r="G1561" s="154" t="s">
        <v>5905</v>
      </c>
      <c r="J1561" s="154" t="s">
        <v>619</v>
      </c>
      <c r="K1561" s="154" t="s">
        <v>2426</v>
      </c>
      <c r="L1561" s="154">
        <v>2</v>
      </c>
      <c r="N1561" s="155"/>
      <c r="O1561" s="156"/>
      <c r="P1561" s="157"/>
      <c r="Q1561" s="158"/>
      <c r="R1561" s="159"/>
      <c r="S1561" s="160"/>
      <c r="T1561" s="161"/>
      <c r="U1561" s="156"/>
      <c r="V1561" s="162"/>
      <c r="W1561" s="163"/>
      <c r="X1561" s="164"/>
      <c r="Y1561" s="159"/>
      <c r="Z1561" s="161">
        <v>12</v>
      </c>
      <c r="AA1561" s="165"/>
      <c r="AE1561" s="155"/>
      <c r="AF1561" s="154" t="s">
        <v>5906</v>
      </c>
      <c r="AI1561" s="154" t="s">
        <v>5907</v>
      </c>
      <c r="AL1561" s="154" t="s">
        <v>619</v>
      </c>
      <c r="AM1561" s="154" t="s">
        <v>2426</v>
      </c>
      <c r="AN1561" s="154">
        <v>2</v>
      </c>
      <c r="AP1561" s="155"/>
      <c r="AQ1561" s="156"/>
      <c r="AR1561" s="157"/>
      <c r="AS1561" s="158"/>
      <c r="AT1561" s="159"/>
      <c r="AU1561" s="161"/>
      <c r="AV1561" s="156"/>
      <c r="AW1561" s="162"/>
      <c r="AX1561" s="163"/>
      <c r="AY1561" s="164"/>
      <c r="AZ1561" s="159"/>
      <c r="BA1561" s="161"/>
      <c r="BB1561" s="165"/>
      <c r="BF1561" s="155"/>
      <c r="BG1561" s="154" t="s">
        <v>5908</v>
      </c>
    </row>
    <row r="1562" spans="1:59" s="154" customFormat="1" ht="15" customHeight="1">
      <c r="A1562" s="153" t="s">
        <v>5693</v>
      </c>
      <c r="B1562" s="23" t="s">
        <v>5909</v>
      </c>
      <c r="C1562" s="154" t="s">
        <v>5695</v>
      </c>
      <c r="D1562" s="155">
        <v>53</v>
      </c>
      <c r="E1562" s="154">
        <v>1</v>
      </c>
      <c r="F1562" s="154" t="s">
        <v>5897</v>
      </c>
      <c r="G1562" s="154" t="s">
        <v>5910</v>
      </c>
      <c r="J1562" s="154" t="s">
        <v>621</v>
      </c>
      <c r="K1562" s="154" t="s">
        <v>2426</v>
      </c>
      <c r="L1562" s="154">
        <v>1</v>
      </c>
      <c r="N1562" s="155"/>
      <c r="O1562" s="156"/>
      <c r="P1562" s="157"/>
      <c r="Q1562" s="158"/>
      <c r="R1562" s="159"/>
      <c r="S1562" s="160"/>
      <c r="T1562" s="161"/>
      <c r="U1562" s="156"/>
      <c r="V1562" s="162"/>
      <c r="W1562" s="163"/>
      <c r="X1562" s="164"/>
      <c r="Y1562" s="159" t="s">
        <v>1111</v>
      </c>
      <c r="Z1562" s="161"/>
      <c r="AA1562" s="165"/>
      <c r="AE1562" s="155"/>
      <c r="AF1562" s="154" t="s">
        <v>5911</v>
      </c>
      <c r="AI1562" s="154" t="s">
        <v>5912</v>
      </c>
      <c r="AL1562" s="154" t="s">
        <v>621</v>
      </c>
      <c r="AM1562" s="154" t="s">
        <v>2426</v>
      </c>
      <c r="AN1562" s="154">
        <v>1</v>
      </c>
      <c r="AP1562" s="155"/>
      <c r="AQ1562" s="156"/>
      <c r="AR1562" s="157"/>
      <c r="AS1562" s="158"/>
      <c r="AT1562" s="159"/>
      <c r="AU1562" s="161"/>
      <c r="AV1562" s="156"/>
      <c r="AW1562" s="162"/>
      <c r="AX1562" s="163"/>
      <c r="AY1562" s="164"/>
      <c r="AZ1562" s="159"/>
      <c r="BA1562" s="161"/>
      <c r="BB1562" s="165"/>
      <c r="BF1562" s="155"/>
      <c r="BG1562" s="154" t="s">
        <v>5913</v>
      </c>
    </row>
    <row r="1563" spans="1:59" s="154" customFormat="1" ht="15" customHeight="1">
      <c r="A1563" s="153" t="s">
        <v>5693</v>
      </c>
      <c r="B1563" s="23" t="s">
        <v>5914</v>
      </c>
      <c r="C1563" s="154" t="s">
        <v>5695</v>
      </c>
      <c r="D1563" s="155">
        <v>54</v>
      </c>
      <c r="E1563" s="154">
        <v>1</v>
      </c>
      <c r="F1563" s="154" t="s">
        <v>5897</v>
      </c>
      <c r="G1563" s="154" t="s">
        <v>5915</v>
      </c>
      <c r="J1563" s="154" t="s">
        <v>621</v>
      </c>
      <c r="K1563" s="154" t="s">
        <v>2426</v>
      </c>
      <c r="L1563" s="154">
        <v>2</v>
      </c>
      <c r="N1563" s="155"/>
      <c r="O1563" s="156"/>
      <c r="P1563" s="157"/>
      <c r="Q1563" s="158"/>
      <c r="R1563" s="159"/>
      <c r="S1563" s="160"/>
      <c r="T1563" s="161"/>
      <c r="U1563" s="156"/>
      <c r="V1563" s="162"/>
      <c r="W1563" s="163"/>
      <c r="X1563" s="164"/>
      <c r="Y1563" s="159" t="s">
        <v>1073</v>
      </c>
      <c r="Z1563" s="161"/>
      <c r="AA1563" s="165"/>
      <c r="AE1563" s="155"/>
      <c r="AF1563" s="154" t="s">
        <v>5916</v>
      </c>
      <c r="AI1563" s="154" t="s">
        <v>5917</v>
      </c>
      <c r="AL1563" s="154" t="s">
        <v>621</v>
      </c>
      <c r="AM1563" s="154" t="s">
        <v>2426</v>
      </c>
      <c r="AN1563" s="154">
        <v>2</v>
      </c>
      <c r="AP1563" s="155"/>
      <c r="AQ1563" s="156"/>
      <c r="AR1563" s="157"/>
      <c r="AS1563" s="158"/>
      <c r="AT1563" s="159"/>
      <c r="AU1563" s="161"/>
      <c r="AV1563" s="156"/>
      <c r="AW1563" s="162"/>
      <c r="AX1563" s="163"/>
      <c r="AY1563" s="164"/>
      <c r="AZ1563" s="159"/>
      <c r="BA1563" s="161"/>
      <c r="BB1563" s="165"/>
      <c r="BF1563" s="155"/>
      <c r="BG1563" s="154" t="s">
        <v>5918</v>
      </c>
    </row>
    <row r="1564" spans="1:59" s="154" customFormat="1" ht="15" customHeight="1">
      <c r="A1564" s="153" t="s">
        <v>5693</v>
      </c>
      <c r="B1564" s="23" t="s">
        <v>5919</v>
      </c>
      <c r="C1564" s="154" t="s">
        <v>5695</v>
      </c>
      <c r="D1564" s="155">
        <v>55</v>
      </c>
      <c r="E1564" s="154">
        <v>1</v>
      </c>
      <c r="F1564" s="154" t="s">
        <v>5897</v>
      </c>
      <c r="G1564" s="154" t="s">
        <v>5920</v>
      </c>
      <c r="J1564" s="154" t="s">
        <v>621</v>
      </c>
      <c r="K1564" s="154" t="s">
        <v>2426</v>
      </c>
      <c r="L1564" s="154">
        <v>3</v>
      </c>
      <c r="N1564" s="155"/>
      <c r="O1564" s="156"/>
      <c r="P1564" s="157"/>
      <c r="Q1564" s="158"/>
      <c r="R1564" s="159"/>
      <c r="S1564" s="160"/>
      <c r="T1564" s="161"/>
      <c r="U1564" s="156"/>
      <c r="V1564" s="162"/>
      <c r="W1564" s="163"/>
      <c r="X1564" s="164"/>
      <c r="Y1564" s="159" t="s">
        <v>1112</v>
      </c>
      <c r="Z1564" s="161"/>
      <c r="AA1564" s="165"/>
      <c r="AE1564" s="155"/>
      <c r="AF1564" s="154" t="s">
        <v>5921</v>
      </c>
      <c r="AP1564" s="155"/>
      <c r="AQ1564" s="156"/>
      <c r="AR1564" s="157"/>
      <c r="AS1564" s="158"/>
      <c r="AT1564" s="159"/>
      <c r="AU1564" s="161"/>
      <c r="AV1564" s="156"/>
      <c r="AW1564" s="162"/>
      <c r="AX1564" s="163"/>
      <c r="AY1564" s="164"/>
      <c r="AZ1564" s="159"/>
      <c r="BA1564" s="161"/>
      <c r="BB1564" s="165"/>
      <c r="BF1564" s="155"/>
    </row>
    <row r="1565" spans="1:59" s="154" customFormat="1" ht="15" customHeight="1">
      <c r="A1565" s="153" t="s">
        <v>5693</v>
      </c>
      <c r="B1565" s="23" t="s">
        <v>5922</v>
      </c>
      <c r="C1565" s="154" t="s">
        <v>5695</v>
      </c>
      <c r="D1565" s="155">
        <v>55</v>
      </c>
      <c r="E1565" s="154">
        <v>1</v>
      </c>
      <c r="F1565" s="154" t="s">
        <v>5897</v>
      </c>
      <c r="G1565" s="154" t="s">
        <v>5923</v>
      </c>
      <c r="J1565" s="154" t="s">
        <v>31</v>
      </c>
      <c r="K1565" s="154" t="s">
        <v>2426</v>
      </c>
      <c r="N1565" s="155"/>
      <c r="O1565" s="156"/>
      <c r="P1565" s="157"/>
      <c r="Q1565" s="158"/>
      <c r="R1565" s="159"/>
      <c r="S1565" s="160"/>
      <c r="T1565" s="161"/>
      <c r="U1565" s="156"/>
      <c r="V1565" s="162"/>
      <c r="W1565" s="163"/>
      <c r="X1565" s="164">
        <v>3</v>
      </c>
      <c r="Y1565" s="159" t="s">
        <v>1112</v>
      </c>
      <c r="Z1565" s="161"/>
      <c r="AA1565" s="165">
        <v>2</v>
      </c>
      <c r="AD1565" s="154" t="s">
        <v>5924</v>
      </c>
      <c r="AE1565" s="155"/>
      <c r="AF1565" s="154" t="s">
        <v>5925</v>
      </c>
      <c r="AP1565" s="155"/>
      <c r="AQ1565" s="156"/>
      <c r="AR1565" s="157"/>
      <c r="AS1565" s="158"/>
      <c r="AT1565" s="159"/>
      <c r="AU1565" s="161"/>
      <c r="AV1565" s="156"/>
      <c r="AW1565" s="162"/>
      <c r="AX1565" s="163"/>
      <c r="AY1565" s="164"/>
      <c r="AZ1565" s="159"/>
      <c r="BA1565" s="161"/>
      <c r="BB1565" s="165"/>
      <c r="BF1565" s="155"/>
    </row>
    <row r="1566" spans="1:59" s="154" customFormat="1" ht="15" customHeight="1">
      <c r="A1566" s="153" t="s">
        <v>5693</v>
      </c>
      <c r="B1566" s="23" t="s">
        <v>5926</v>
      </c>
      <c r="C1566" s="154" t="s">
        <v>5695</v>
      </c>
      <c r="D1566" s="155">
        <v>56</v>
      </c>
      <c r="E1566" s="154">
        <v>1</v>
      </c>
      <c r="F1566" s="154" t="s">
        <v>5897</v>
      </c>
      <c r="G1566" s="154" t="s">
        <v>5927</v>
      </c>
      <c r="J1566" s="154" t="s">
        <v>621</v>
      </c>
      <c r="K1566" s="154" t="s">
        <v>2426</v>
      </c>
      <c r="L1566" s="154">
        <v>4</v>
      </c>
      <c r="N1566" s="155"/>
      <c r="O1566" s="156"/>
      <c r="P1566" s="157"/>
      <c r="Q1566" s="158"/>
      <c r="R1566" s="159"/>
      <c r="S1566" s="160"/>
      <c r="T1566" s="161"/>
      <c r="U1566" s="156"/>
      <c r="V1566" s="162"/>
      <c r="W1566" s="163"/>
      <c r="X1566" s="164"/>
      <c r="Y1566" s="159" t="s">
        <v>38</v>
      </c>
      <c r="Z1566" s="161"/>
      <c r="AA1566" s="165"/>
      <c r="AE1566" s="155"/>
      <c r="AF1566" s="154" t="s">
        <v>5928</v>
      </c>
      <c r="AI1566" s="154" t="s">
        <v>5929</v>
      </c>
      <c r="AL1566" s="154" t="s">
        <v>621</v>
      </c>
      <c r="AM1566" s="154" t="s">
        <v>2426</v>
      </c>
      <c r="AN1566" s="154">
        <v>4</v>
      </c>
      <c r="AP1566" s="155"/>
      <c r="AQ1566" s="156"/>
      <c r="AR1566" s="157"/>
      <c r="AS1566" s="158"/>
      <c r="AT1566" s="159"/>
      <c r="AU1566" s="161"/>
      <c r="AV1566" s="156"/>
      <c r="AW1566" s="162"/>
      <c r="AX1566" s="163"/>
      <c r="AY1566" s="164"/>
      <c r="AZ1566" s="159"/>
      <c r="BA1566" s="161"/>
      <c r="BB1566" s="165"/>
      <c r="BF1566" s="155"/>
      <c r="BG1566" s="154" t="s">
        <v>5930</v>
      </c>
    </row>
    <row r="1567" spans="1:59" s="154" customFormat="1" ht="15" customHeight="1">
      <c r="A1567" s="153" t="s">
        <v>5693</v>
      </c>
      <c r="B1567" s="23" t="s">
        <v>5931</v>
      </c>
      <c r="C1567" s="154" t="s">
        <v>5695</v>
      </c>
      <c r="D1567" s="155">
        <v>57</v>
      </c>
      <c r="E1567" s="154">
        <v>1</v>
      </c>
      <c r="F1567" s="154" t="s">
        <v>5897</v>
      </c>
      <c r="G1567" s="154" t="s">
        <v>5932</v>
      </c>
      <c r="H1567" s="154" t="s">
        <v>5933</v>
      </c>
      <c r="I1567" s="154" t="s">
        <v>223</v>
      </c>
      <c r="J1567" s="154" t="s">
        <v>29</v>
      </c>
      <c r="K1567" s="154" t="s">
        <v>2426</v>
      </c>
      <c r="N1567" s="155"/>
      <c r="O1567" s="156"/>
      <c r="P1567" s="157"/>
      <c r="Q1567" s="158">
        <v>4</v>
      </c>
      <c r="R1567" s="159">
        <v>4</v>
      </c>
      <c r="S1567" s="160"/>
      <c r="T1567" s="161" t="s">
        <v>4883</v>
      </c>
      <c r="U1567" s="156"/>
      <c r="V1567" s="162">
        <v>1</v>
      </c>
      <c r="W1567" s="163">
        <v>1</v>
      </c>
      <c r="X1567" s="164"/>
      <c r="Y1567" s="159"/>
      <c r="Z1567" s="161"/>
      <c r="AA1567" s="165">
        <v>2</v>
      </c>
      <c r="AD1567" s="154" t="s">
        <v>5934</v>
      </c>
      <c r="AE1567" s="155"/>
      <c r="AF1567" s="154" t="s">
        <v>5935</v>
      </c>
      <c r="AP1567" s="155"/>
      <c r="AQ1567" s="156"/>
      <c r="AR1567" s="157"/>
      <c r="AS1567" s="158"/>
      <c r="AT1567" s="159"/>
      <c r="AU1567" s="161"/>
      <c r="AV1567" s="156"/>
      <c r="AW1567" s="162"/>
      <c r="AX1567" s="163"/>
      <c r="AY1567" s="164"/>
      <c r="AZ1567" s="159"/>
      <c r="BA1567" s="161"/>
      <c r="BB1567" s="165"/>
      <c r="BF1567" s="155"/>
    </row>
    <row r="1568" spans="1:59" s="154" customFormat="1" ht="15" customHeight="1">
      <c r="A1568" s="153" t="s">
        <v>5693</v>
      </c>
      <c r="B1568" s="23" t="s">
        <v>5936</v>
      </c>
      <c r="C1568" s="154" t="s">
        <v>5695</v>
      </c>
      <c r="D1568" s="155">
        <v>58</v>
      </c>
      <c r="E1568" s="154">
        <v>1</v>
      </c>
      <c r="F1568" s="154" t="s">
        <v>5897</v>
      </c>
      <c r="G1568" s="154" t="s">
        <v>5937</v>
      </c>
      <c r="J1568" s="154" t="s">
        <v>31</v>
      </c>
      <c r="K1568" s="154" t="s">
        <v>2426</v>
      </c>
      <c r="N1568" s="155"/>
      <c r="O1568" s="156"/>
      <c r="P1568" s="157"/>
      <c r="Q1568" s="158"/>
      <c r="R1568" s="159"/>
      <c r="S1568" s="160"/>
      <c r="T1568" s="161"/>
      <c r="U1568" s="156"/>
      <c r="V1568" s="162"/>
      <c r="W1568" s="163"/>
      <c r="X1568" s="164"/>
      <c r="Y1568" s="159"/>
      <c r="Z1568" s="161"/>
      <c r="AA1568" s="165"/>
      <c r="AD1568" s="154" t="s">
        <v>472</v>
      </c>
      <c r="AE1568" s="155"/>
      <c r="AI1568" s="154" t="s">
        <v>5937</v>
      </c>
      <c r="AJ1568" s="154" t="s">
        <v>5938</v>
      </c>
      <c r="AL1568" s="154" t="s">
        <v>31</v>
      </c>
      <c r="AM1568" s="154" t="s">
        <v>2426</v>
      </c>
      <c r="AP1568" s="155"/>
      <c r="AQ1568" s="156"/>
      <c r="AR1568" s="157"/>
      <c r="AS1568" s="158"/>
      <c r="AT1568" s="159"/>
      <c r="AU1568" s="161"/>
      <c r="AV1568" s="156"/>
      <c r="AW1568" s="162"/>
      <c r="AX1568" s="163"/>
      <c r="AY1568" s="164">
        <v>2</v>
      </c>
      <c r="AZ1568" s="159" t="s">
        <v>1073</v>
      </c>
      <c r="BA1568" s="161"/>
      <c r="BB1568" s="165">
        <v>1</v>
      </c>
      <c r="BE1568" s="154" t="s">
        <v>472</v>
      </c>
      <c r="BF1568" s="155"/>
      <c r="BG1568" s="154" t="s">
        <v>5939</v>
      </c>
    </row>
    <row r="1569" spans="1:59" s="154" customFormat="1" ht="15" customHeight="1">
      <c r="A1569" s="153" t="s">
        <v>5693</v>
      </c>
      <c r="B1569" s="23" t="s">
        <v>5940</v>
      </c>
      <c r="C1569" s="154" t="s">
        <v>5695</v>
      </c>
      <c r="D1569" s="155">
        <v>59</v>
      </c>
      <c r="E1569" s="154">
        <v>1</v>
      </c>
      <c r="F1569" s="154" t="s">
        <v>5897</v>
      </c>
      <c r="G1569" s="154" t="s">
        <v>5937</v>
      </c>
      <c r="J1569" s="154" t="s">
        <v>31</v>
      </c>
      <c r="K1569" s="154" t="s">
        <v>2426</v>
      </c>
      <c r="N1569" s="155"/>
      <c r="O1569" s="156"/>
      <c r="P1569" s="157"/>
      <c r="Q1569" s="158"/>
      <c r="R1569" s="159"/>
      <c r="S1569" s="160"/>
      <c r="T1569" s="161"/>
      <c r="U1569" s="156"/>
      <c r="V1569" s="162"/>
      <c r="W1569" s="163"/>
      <c r="X1569" s="164"/>
      <c r="Y1569" s="159"/>
      <c r="Z1569" s="161"/>
      <c r="AA1569" s="165"/>
      <c r="AD1569" s="154" t="s">
        <v>472</v>
      </c>
      <c r="AE1569" s="155"/>
      <c r="AI1569" s="154" t="s">
        <v>5937</v>
      </c>
      <c r="AJ1569" s="154" t="s">
        <v>5941</v>
      </c>
      <c r="AL1569" s="154" t="s">
        <v>31</v>
      </c>
      <c r="AM1569" s="154" t="s">
        <v>2426</v>
      </c>
      <c r="AP1569" s="155"/>
      <c r="AQ1569" s="156"/>
      <c r="AR1569" s="157"/>
      <c r="AS1569" s="158"/>
      <c r="AT1569" s="159"/>
      <c r="AU1569" s="161"/>
      <c r="AV1569" s="156"/>
      <c r="AW1569" s="162"/>
      <c r="AX1569" s="163"/>
      <c r="AY1569" s="164">
        <v>3</v>
      </c>
      <c r="AZ1569" s="159" t="s">
        <v>1111</v>
      </c>
      <c r="BA1569" s="161"/>
      <c r="BB1569" s="165">
        <v>1</v>
      </c>
      <c r="BE1569" s="154" t="s">
        <v>472</v>
      </c>
      <c r="BF1569" s="155"/>
      <c r="BG1569" s="154" t="s">
        <v>5942</v>
      </c>
    </row>
    <row r="1570" spans="1:59" s="154" customFormat="1" ht="15" customHeight="1">
      <c r="A1570" s="153" t="s">
        <v>5693</v>
      </c>
      <c r="B1570" s="23" t="s">
        <v>5943</v>
      </c>
      <c r="C1570" s="154" t="s">
        <v>5695</v>
      </c>
      <c r="D1570" s="155">
        <v>60</v>
      </c>
      <c r="E1570" s="154">
        <v>1</v>
      </c>
      <c r="F1570" s="154" t="s">
        <v>5897</v>
      </c>
      <c r="G1570" s="154" t="s">
        <v>5937</v>
      </c>
      <c r="J1570" s="154" t="s">
        <v>31</v>
      </c>
      <c r="K1570" s="154" t="s">
        <v>2426</v>
      </c>
      <c r="N1570" s="155"/>
      <c r="O1570" s="156"/>
      <c r="P1570" s="157"/>
      <c r="Q1570" s="158"/>
      <c r="R1570" s="159"/>
      <c r="S1570" s="160"/>
      <c r="T1570" s="161"/>
      <c r="U1570" s="156"/>
      <c r="V1570" s="162"/>
      <c r="W1570" s="163"/>
      <c r="X1570" s="164"/>
      <c r="Y1570" s="159"/>
      <c r="Z1570" s="161"/>
      <c r="AA1570" s="165"/>
      <c r="AD1570" s="154" t="s">
        <v>472</v>
      </c>
      <c r="AE1570" s="155"/>
      <c r="AI1570" s="154" t="s">
        <v>5937</v>
      </c>
      <c r="AJ1570" s="154" t="s">
        <v>5944</v>
      </c>
      <c r="AL1570" s="154" t="s">
        <v>31</v>
      </c>
      <c r="AM1570" s="154" t="s">
        <v>2426</v>
      </c>
      <c r="AP1570" s="155"/>
      <c r="AQ1570" s="156"/>
      <c r="AR1570" s="157"/>
      <c r="AS1570" s="158"/>
      <c r="AT1570" s="159"/>
      <c r="AU1570" s="161"/>
      <c r="AV1570" s="156"/>
      <c r="AW1570" s="162"/>
      <c r="AX1570" s="163"/>
      <c r="AY1570" s="164">
        <v>2</v>
      </c>
      <c r="AZ1570" s="159" t="s">
        <v>1073</v>
      </c>
      <c r="BA1570" s="161"/>
      <c r="BB1570" s="165">
        <v>1</v>
      </c>
      <c r="BE1570" s="154" t="s">
        <v>472</v>
      </c>
      <c r="BF1570" s="155"/>
      <c r="BG1570" s="154" t="s">
        <v>5945</v>
      </c>
    </row>
    <row r="1571" spans="1:59" s="154" customFormat="1" ht="15" customHeight="1">
      <c r="A1571" s="153" t="s">
        <v>5693</v>
      </c>
      <c r="B1571" s="23" t="s">
        <v>5946</v>
      </c>
      <c r="C1571" s="154" t="s">
        <v>5695</v>
      </c>
      <c r="D1571" s="155">
        <v>61</v>
      </c>
      <c r="E1571" s="154">
        <v>1</v>
      </c>
      <c r="F1571" s="154" t="s">
        <v>5897</v>
      </c>
      <c r="G1571" s="154" t="s">
        <v>5937</v>
      </c>
      <c r="J1571" s="154" t="s">
        <v>31</v>
      </c>
      <c r="K1571" s="154" t="s">
        <v>2426</v>
      </c>
      <c r="N1571" s="155"/>
      <c r="O1571" s="156"/>
      <c r="P1571" s="157"/>
      <c r="Q1571" s="158"/>
      <c r="R1571" s="159"/>
      <c r="S1571" s="160"/>
      <c r="T1571" s="161"/>
      <c r="U1571" s="156"/>
      <c r="V1571" s="162"/>
      <c r="W1571" s="163"/>
      <c r="X1571" s="164"/>
      <c r="Y1571" s="159"/>
      <c r="Z1571" s="161"/>
      <c r="AA1571" s="165"/>
      <c r="AD1571" s="154" t="s">
        <v>472</v>
      </c>
      <c r="AE1571" s="155"/>
      <c r="AI1571" s="154" t="s">
        <v>5937</v>
      </c>
      <c r="AJ1571" s="154" t="s">
        <v>5947</v>
      </c>
      <c r="AL1571" s="154" t="s">
        <v>31</v>
      </c>
      <c r="AM1571" s="154" t="s">
        <v>2426</v>
      </c>
      <c r="AP1571" s="155"/>
      <c r="AQ1571" s="156"/>
      <c r="AR1571" s="157"/>
      <c r="AS1571" s="158"/>
      <c r="AT1571" s="159"/>
      <c r="AU1571" s="161"/>
      <c r="AV1571" s="156"/>
      <c r="AW1571" s="162"/>
      <c r="AX1571" s="163"/>
      <c r="AY1571" s="164">
        <v>1</v>
      </c>
      <c r="AZ1571" s="159" t="s">
        <v>1111</v>
      </c>
      <c r="BA1571" s="161"/>
      <c r="BB1571" s="165">
        <v>1</v>
      </c>
      <c r="BE1571" s="154" t="s">
        <v>472</v>
      </c>
      <c r="BF1571" s="155"/>
      <c r="BG1571" s="154" t="s">
        <v>5948</v>
      </c>
    </row>
    <row r="1572" spans="1:59" s="154" customFormat="1" ht="15" customHeight="1">
      <c r="A1572" s="153" t="s">
        <v>5693</v>
      </c>
      <c r="B1572" s="23" t="s">
        <v>5949</v>
      </c>
      <c r="C1572" s="154" t="s">
        <v>5695</v>
      </c>
      <c r="D1572" s="155">
        <v>62</v>
      </c>
      <c r="E1572" s="154">
        <v>1</v>
      </c>
      <c r="F1572" s="154" t="s">
        <v>5897</v>
      </c>
      <c r="G1572" s="154" t="s">
        <v>5937</v>
      </c>
      <c r="J1572" s="154" t="s">
        <v>31</v>
      </c>
      <c r="K1572" s="154" t="s">
        <v>2426</v>
      </c>
      <c r="N1572" s="155"/>
      <c r="O1572" s="156"/>
      <c r="P1572" s="157"/>
      <c r="Q1572" s="158"/>
      <c r="R1572" s="159"/>
      <c r="S1572" s="160"/>
      <c r="T1572" s="161"/>
      <c r="U1572" s="156"/>
      <c r="V1572" s="162"/>
      <c r="W1572" s="163"/>
      <c r="X1572" s="164"/>
      <c r="Y1572" s="159"/>
      <c r="Z1572" s="161"/>
      <c r="AA1572" s="165"/>
      <c r="AD1572" s="154" t="s">
        <v>472</v>
      </c>
      <c r="AE1572" s="155"/>
      <c r="AI1572" s="154" t="s">
        <v>5937</v>
      </c>
      <c r="AJ1572" s="154" t="s">
        <v>5950</v>
      </c>
      <c r="AL1572" s="154" t="s">
        <v>31</v>
      </c>
      <c r="AM1572" s="154" t="s">
        <v>2426</v>
      </c>
      <c r="AP1572" s="155"/>
      <c r="AQ1572" s="156"/>
      <c r="AR1572" s="157"/>
      <c r="AS1572" s="158"/>
      <c r="AT1572" s="159"/>
      <c r="AU1572" s="161"/>
      <c r="AV1572" s="156"/>
      <c r="AW1572" s="162"/>
      <c r="AX1572" s="163"/>
      <c r="AY1572" s="164">
        <v>3</v>
      </c>
      <c r="AZ1572" s="159" t="s">
        <v>1073</v>
      </c>
      <c r="BA1572" s="161"/>
      <c r="BB1572" s="165">
        <v>1</v>
      </c>
      <c r="BE1572" s="154" t="s">
        <v>472</v>
      </c>
      <c r="BF1572" s="155"/>
      <c r="BG1572" s="154" t="s">
        <v>5951</v>
      </c>
    </row>
    <row r="1573" spans="1:59" s="154" customFormat="1" ht="15" customHeight="1">
      <c r="A1573" s="153" t="s">
        <v>5693</v>
      </c>
      <c r="B1573" s="23" t="s">
        <v>5952</v>
      </c>
      <c r="C1573" s="154" t="s">
        <v>5695</v>
      </c>
      <c r="D1573" s="155">
        <v>63</v>
      </c>
      <c r="E1573" s="154">
        <v>1</v>
      </c>
      <c r="F1573" s="154" t="s">
        <v>5897</v>
      </c>
      <c r="G1573" s="154" t="s">
        <v>5937</v>
      </c>
      <c r="J1573" s="154" t="s">
        <v>31</v>
      </c>
      <c r="K1573" s="154" t="s">
        <v>2426</v>
      </c>
      <c r="N1573" s="155"/>
      <c r="O1573" s="156"/>
      <c r="P1573" s="157"/>
      <c r="Q1573" s="158"/>
      <c r="R1573" s="159"/>
      <c r="S1573" s="160"/>
      <c r="T1573" s="161"/>
      <c r="U1573" s="156"/>
      <c r="V1573" s="162"/>
      <c r="W1573" s="163"/>
      <c r="X1573" s="164"/>
      <c r="Y1573" s="159"/>
      <c r="Z1573" s="161"/>
      <c r="AA1573" s="165"/>
      <c r="AD1573" s="154" t="s">
        <v>472</v>
      </c>
      <c r="AE1573" s="155"/>
      <c r="AI1573" s="154" t="s">
        <v>5937</v>
      </c>
      <c r="AJ1573" s="154" t="s">
        <v>5953</v>
      </c>
      <c r="AL1573" s="154" t="s">
        <v>31</v>
      </c>
      <c r="AM1573" s="154" t="s">
        <v>2426</v>
      </c>
      <c r="AP1573" s="155"/>
      <c r="AQ1573" s="156"/>
      <c r="AR1573" s="157"/>
      <c r="AS1573" s="158"/>
      <c r="AT1573" s="159"/>
      <c r="AU1573" s="161"/>
      <c r="AV1573" s="156"/>
      <c r="AW1573" s="162"/>
      <c r="AX1573" s="163"/>
      <c r="AY1573" s="164">
        <v>4</v>
      </c>
      <c r="AZ1573" s="159" t="s">
        <v>1111</v>
      </c>
      <c r="BA1573" s="161"/>
      <c r="BB1573" s="165">
        <v>1</v>
      </c>
      <c r="BE1573" s="154" t="s">
        <v>472</v>
      </c>
      <c r="BF1573" s="155"/>
      <c r="BG1573" s="154" t="s">
        <v>5954</v>
      </c>
    </row>
    <row r="1574" spans="1:59" s="154" customFormat="1" ht="15" customHeight="1">
      <c r="A1574" s="153" t="s">
        <v>5693</v>
      </c>
      <c r="B1574" s="23" t="s">
        <v>5955</v>
      </c>
      <c r="C1574" s="154" t="s">
        <v>5695</v>
      </c>
      <c r="D1574" s="155">
        <v>64</v>
      </c>
      <c r="E1574" s="154">
        <v>1</v>
      </c>
      <c r="F1574" s="154" t="s">
        <v>5897</v>
      </c>
      <c r="G1574" s="154" t="s">
        <v>5937</v>
      </c>
      <c r="J1574" s="154" t="s">
        <v>31</v>
      </c>
      <c r="K1574" s="154" t="s">
        <v>2426</v>
      </c>
      <c r="N1574" s="155"/>
      <c r="O1574" s="156"/>
      <c r="P1574" s="157"/>
      <c r="Q1574" s="158"/>
      <c r="R1574" s="159"/>
      <c r="S1574" s="160"/>
      <c r="T1574" s="161"/>
      <c r="U1574" s="156"/>
      <c r="V1574" s="162"/>
      <c r="W1574" s="163"/>
      <c r="X1574" s="164"/>
      <c r="Y1574" s="159"/>
      <c r="Z1574" s="161"/>
      <c r="AA1574" s="165"/>
      <c r="AD1574" s="154" t="s">
        <v>472</v>
      </c>
      <c r="AE1574" s="155"/>
      <c r="AI1574" s="154" t="s">
        <v>5937</v>
      </c>
      <c r="AJ1574" s="154" t="s">
        <v>5956</v>
      </c>
      <c r="AL1574" s="154" t="s">
        <v>31</v>
      </c>
      <c r="AM1574" s="154" t="s">
        <v>2426</v>
      </c>
      <c r="AP1574" s="155"/>
      <c r="AQ1574" s="156"/>
      <c r="AR1574" s="157"/>
      <c r="AS1574" s="158"/>
      <c r="AT1574" s="159"/>
      <c r="AU1574" s="161"/>
      <c r="AV1574" s="156"/>
      <c r="AW1574" s="162"/>
      <c r="AX1574" s="163"/>
      <c r="AY1574" s="164">
        <v>3</v>
      </c>
      <c r="AZ1574" s="159" t="s">
        <v>1073</v>
      </c>
      <c r="BA1574" s="161"/>
      <c r="BB1574" s="165">
        <v>1</v>
      </c>
      <c r="BE1574" s="154" t="s">
        <v>472</v>
      </c>
      <c r="BF1574" s="155"/>
      <c r="BG1574" s="154" t="s">
        <v>5957</v>
      </c>
    </row>
    <row r="1575" spans="1:59" s="154" customFormat="1" ht="15" customHeight="1">
      <c r="A1575" s="153" t="s">
        <v>5693</v>
      </c>
      <c r="B1575" s="23" t="s">
        <v>5958</v>
      </c>
      <c r="C1575" s="154" t="s">
        <v>5695</v>
      </c>
      <c r="D1575" s="155">
        <v>65</v>
      </c>
      <c r="E1575" s="154">
        <v>1</v>
      </c>
      <c r="F1575" s="154" t="s">
        <v>5959</v>
      </c>
      <c r="G1575" s="154" t="s">
        <v>5959</v>
      </c>
      <c r="J1575" s="154" t="s">
        <v>618</v>
      </c>
      <c r="K1575" s="154" t="s">
        <v>2426</v>
      </c>
      <c r="N1575" s="155"/>
      <c r="O1575" s="156"/>
      <c r="P1575" s="157"/>
      <c r="Q1575" s="158"/>
      <c r="R1575" s="159"/>
      <c r="S1575" s="160"/>
      <c r="T1575" s="161"/>
      <c r="U1575" s="156"/>
      <c r="V1575" s="162"/>
      <c r="W1575" s="163"/>
      <c r="X1575" s="164"/>
      <c r="Y1575" s="159"/>
      <c r="Z1575" s="161"/>
      <c r="AA1575" s="165"/>
      <c r="AE1575" s="155"/>
      <c r="AF1575" s="154" t="s">
        <v>5960</v>
      </c>
      <c r="AI1575" s="154" t="s">
        <v>5959</v>
      </c>
      <c r="AL1575" s="154" t="s">
        <v>618</v>
      </c>
      <c r="AM1575" s="154" t="s">
        <v>2426</v>
      </c>
      <c r="AP1575" s="155"/>
      <c r="AQ1575" s="156"/>
      <c r="AR1575" s="157"/>
      <c r="AS1575" s="158"/>
      <c r="AT1575" s="159"/>
      <c r="AU1575" s="161"/>
      <c r="AV1575" s="156"/>
      <c r="AW1575" s="162"/>
      <c r="AX1575" s="163"/>
      <c r="AY1575" s="164"/>
      <c r="AZ1575" s="159"/>
      <c r="BA1575" s="161"/>
      <c r="BB1575" s="165"/>
      <c r="BF1575" s="155"/>
      <c r="BG1575" s="154" t="s">
        <v>5961</v>
      </c>
    </row>
    <row r="1576" spans="1:59" s="154" customFormat="1" ht="15" customHeight="1">
      <c r="A1576" s="153" t="s">
        <v>5693</v>
      </c>
      <c r="B1576" s="23" t="s">
        <v>5962</v>
      </c>
      <c r="C1576" s="154" t="s">
        <v>5695</v>
      </c>
      <c r="D1576" s="155">
        <v>66</v>
      </c>
      <c r="E1576" s="154">
        <v>1</v>
      </c>
      <c r="F1576" s="154" t="s">
        <v>5959</v>
      </c>
      <c r="G1576" s="154" t="s">
        <v>5963</v>
      </c>
      <c r="J1576" s="154" t="s">
        <v>619</v>
      </c>
      <c r="K1576" s="154" t="s">
        <v>2426</v>
      </c>
      <c r="L1576" s="154">
        <v>1</v>
      </c>
      <c r="N1576" s="155"/>
      <c r="O1576" s="156"/>
      <c r="P1576" s="157"/>
      <c r="Q1576" s="158"/>
      <c r="R1576" s="159"/>
      <c r="S1576" s="160"/>
      <c r="T1576" s="161"/>
      <c r="U1576" s="156"/>
      <c r="V1576" s="162"/>
      <c r="W1576" s="163"/>
      <c r="X1576" s="164"/>
      <c r="Y1576" s="159"/>
      <c r="Z1576" s="161">
        <v>8</v>
      </c>
      <c r="AA1576" s="165"/>
      <c r="AE1576" s="155"/>
      <c r="AF1576" s="154" t="s">
        <v>5964</v>
      </c>
      <c r="AI1576" s="154" t="s">
        <v>5965</v>
      </c>
      <c r="AL1576" s="154" t="s">
        <v>619</v>
      </c>
      <c r="AM1576" s="154" t="s">
        <v>2426</v>
      </c>
      <c r="AN1576" s="154">
        <v>1</v>
      </c>
      <c r="AP1576" s="155"/>
      <c r="AQ1576" s="156"/>
      <c r="AR1576" s="157"/>
      <c r="AS1576" s="158"/>
      <c r="AT1576" s="159"/>
      <c r="AU1576" s="161"/>
      <c r="AV1576" s="156"/>
      <c r="AW1576" s="162"/>
      <c r="AX1576" s="163"/>
      <c r="AY1576" s="164"/>
      <c r="AZ1576" s="159"/>
      <c r="BA1576" s="161"/>
      <c r="BB1576" s="165"/>
      <c r="BF1576" s="155"/>
      <c r="BG1576" s="154" t="s">
        <v>5966</v>
      </c>
    </row>
    <row r="1577" spans="1:59" s="154" customFormat="1" ht="15" customHeight="1">
      <c r="A1577" s="153" t="s">
        <v>5693</v>
      </c>
      <c r="B1577" s="23" t="s">
        <v>5967</v>
      </c>
      <c r="C1577" s="154" t="s">
        <v>5695</v>
      </c>
      <c r="D1577" s="155">
        <v>67</v>
      </c>
      <c r="E1577" s="154">
        <v>1</v>
      </c>
      <c r="F1577" s="154" t="s">
        <v>5959</v>
      </c>
      <c r="G1577" s="154" t="s">
        <v>5968</v>
      </c>
      <c r="J1577" s="154" t="s">
        <v>619</v>
      </c>
      <c r="K1577" s="154" t="s">
        <v>2426</v>
      </c>
      <c r="L1577" s="154">
        <v>2</v>
      </c>
      <c r="N1577" s="155"/>
      <c r="O1577" s="156"/>
      <c r="P1577" s="157"/>
      <c r="Q1577" s="158"/>
      <c r="R1577" s="159"/>
      <c r="S1577" s="160"/>
      <c r="T1577" s="161"/>
      <c r="U1577" s="156"/>
      <c r="V1577" s="162"/>
      <c r="W1577" s="163"/>
      <c r="X1577" s="164"/>
      <c r="Y1577" s="159"/>
      <c r="Z1577" s="161">
        <v>11</v>
      </c>
      <c r="AA1577" s="165"/>
      <c r="AE1577" s="155"/>
      <c r="AF1577" s="154" t="s">
        <v>5969</v>
      </c>
      <c r="AI1577" s="154" t="s">
        <v>5970</v>
      </c>
      <c r="AL1577" s="154" t="s">
        <v>619</v>
      </c>
      <c r="AM1577" s="154" t="s">
        <v>2426</v>
      </c>
      <c r="AN1577" s="154">
        <v>2</v>
      </c>
      <c r="AP1577" s="155"/>
      <c r="AQ1577" s="156"/>
      <c r="AR1577" s="157"/>
      <c r="AS1577" s="158"/>
      <c r="AT1577" s="159"/>
      <c r="AU1577" s="161"/>
      <c r="AV1577" s="156"/>
      <c r="AW1577" s="162"/>
      <c r="AX1577" s="163"/>
      <c r="AY1577" s="164"/>
      <c r="AZ1577" s="159"/>
      <c r="BA1577" s="161"/>
      <c r="BB1577" s="165"/>
      <c r="BF1577" s="155"/>
      <c r="BG1577" s="154" t="s">
        <v>5971</v>
      </c>
    </row>
    <row r="1578" spans="1:59" s="154" customFormat="1" ht="15" customHeight="1">
      <c r="A1578" s="153" t="s">
        <v>5693</v>
      </c>
      <c r="B1578" s="23" t="s">
        <v>5972</v>
      </c>
      <c r="C1578" s="154" t="s">
        <v>5695</v>
      </c>
      <c r="D1578" s="155">
        <v>68</v>
      </c>
      <c r="E1578" s="154">
        <v>1</v>
      </c>
      <c r="F1578" s="154" t="s">
        <v>5959</v>
      </c>
      <c r="G1578" s="154" t="s">
        <v>5973</v>
      </c>
      <c r="J1578" s="154" t="s">
        <v>621</v>
      </c>
      <c r="K1578" s="154" t="s">
        <v>2426</v>
      </c>
      <c r="L1578" s="154">
        <v>1</v>
      </c>
      <c r="N1578" s="155"/>
      <c r="O1578" s="156"/>
      <c r="P1578" s="157"/>
      <c r="Q1578" s="158"/>
      <c r="R1578" s="159"/>
      <c r="S1578" s="160"/>
      <c r="T1578" s="161"/>
      <c r="U1578" s="156"/>
      <c r="V1578" s="162"/>
      <c r="W1578" s="163"/>
      <c r="X1578" s="164"/>
      <c r="Y1578" s="159" t="s">
        <v>38</v>
      </c>
      <c r="Z1578" s="161"/>
      <c r="AA1578" s="165"/>
      <c r="AE1578" s="155"/>
      <c r="AF1578" s="154" t="s">
        <v>5974</v>
      </c>
      <c r="AI1578" s="154" t="s">
        <v>5975</v>
      </c>
      <c r="AL1578" s="154" t="s">
        <v>621</v>
      </c>
      <c r="AM1578" s="154" t="s">
        <v>2426</v>
      </c>
      <c r="AN1578" s="154">
        <v>1</v>
      </c>
      <c r="AP1578" s="155"/>
      <c r="AQ1578" s="156"/>
      <c r="AR1578" s="157"/>
      <c r="AS1578" s="158"/>
      <c r="AT1578" s="159"/>
      <c r="AU1578" s="161"/>
      <c r="AV1578" s="156"/>
      <c r="AW1578" s="162"/>
      <c r="AX1578" s="163"/>
      <c r="AY1578" s="164"/>
      <c r="AZ1578" s="159"/>
      <c r="BA1578" s="161"/>
      <c r="BB1578" s="165"/>
      <c r="BF1578" s="155"/>
      <c r="BG1578" s="154" t="s">
        <v>5976</v>
      </c>
    </row>
    <row r="1579" spans="1:59" s="154" customFormat="1" ht="15" customHeight="1">
      <c r="A1579" s="153" t="s">
        <v>5693</v>
      </c>
      <c r="B1579" s="23" t="s">
        <v>5977</v>
      </c>
      <c r="C1579" s="154" t="s">
        <v>5695</v>
      </c>
      <c r="D1579" s="155">
        <v>69</v>
      </c>
      <c r="E1579" s="154">
        <v>1</v>
      </c>
      <c r="F1579" s="154" t="s">
        <v>5959</v>
      </c>
      <c r="G1579" s="154" t="s">
        <v>5978</v>
      </c>
      <c r="J1579" s="154" t="s">
        <v>621</v>
      </c>
      <c r="K1579" s="154" t="s">
        <v>2426</v>
      </c>
      <c r="L1579" s="154">
        <v>2</v>
      </c>
      <c r="N1579" s="155"/>
      <c r="O1579" s="156"/>
      <c r="P1579" s="157"/>
      <c r="Q1579" s="158"/>
      <c r="R1579" s="159"/>
      <c r="S1579" s="160"/>
      <c r="T1579" s="161"/>
      <c r="U1579" s="156"/>
      <c r="V1579" s="162"/>
      <c r="W1579" s="163"/>
      <c r="X1579" s="164"/>
      <c r="Y1579" s="159" t="s">
        <v>4883</v>
      </c>
      <c r="Z1579" s="161"/>
      <c r="AA1579" s="165"/>
      <c r="AE1579" s="155"/>
      <c r="AI1579" s="154" t="s">
        <v>3138</v>
      </c>
      <c r="AL1579" s="154" t="s">
        <v>621</v>
      </c>
      <c r="AM1579" s="154" t="s">
        <v>2426</v>
      </c>
      <c r="AN1579" s="154">
        <v>2</v>
      </c>
      <c r="AP1579" s="155"/>
      <c r="AQ1579" s="156"/>
      <c r="AR1579" s="157"/>
      <c r="AS1579" s="158"/>
      <c r="AT1579" s="159"/>
      <c r="AU1579" s="161"/>
      <c r="AV1579" s="156"/>
      <c r="AW1579" s="162"/>
      <c r="AX1579" s="163"/>
      <c r="AY1579" s="164"/>
      <c r="AZ1579" s="159"/>
      <c r="BA1579" s="161"/>
      <c r="BB1579" s="165"/>
      <c r="BF1579" s="155"/>
      <c r="BG1579" s="154" t="s">
        <v>5979</v>
      </c>
    </row>
    <row r="1580" spans="1:59" s="154" customFormat="1" ht="15" customHeight="1">
      <c r="A1580" s="153" t="s">
        <v>5693</v>
      </c>
      <c r="B1580" s="23" t="s">
        <v>5980</v>
      </c>
      <c r="C1580" s="154" t="s">
        <v>5695</v>
      </c>
      <c r="D1580" s="155">
        <v>70</v>
      </c>
      <c r="E1580" s="154">
        <v>1</v>
      </c>
      <c r="F1580" s="154" t="s">
        <v>5959</v>
      </c>
      <c r="G1580" s="154" t="s">
        <v>5981</v>
      </c>
      <c r="J1580" s="154" t="s">
        <v>621</v>
      </c>
      <c r="K1580" s="154" t="s">
        <v>2426</v>
      </c>
      <c r="L1580" s="154">
        <v>3</v>
      </c>
      <c r="N1580" s="155"/>
      <c r="O1580" s="156"/>
      <c r="P1580" s="157"/>
      <c r="Q1580" s="158"/>
      <c r="R1580" s="159"/>
      <c r="S1580" s="160"/>
      <c r="T1580" s="161"/>
      <c r="U1580" s="156"/>
      <c r="V1580" s="162"/>
      <c r="W1580" s="163"/>
      <c r="X1580" s="164"/>
      <c r="Y1580" s="159" t="s">
        <v>38</v>
      </c>
      <c r="Z1580" s="161"/>
      <c r="AA1580" s="165"/>
      <c r="AE1580" s="155"/>
      <c r="AF1580" s="154" t="s">
        <v>5982</v>
      </c>
      <c r="AI1580" s="154" t="s">
        <v>5983</v>
      </c>
      <c r="AL1580" s="154" t="s">
        <v>621</v>
      </c>
      <c r="AM1580" s="154" t="s">
        <v>2426</v>
      </c>
      <c r="AN1580" s="154">
        <v>3</v>
      </c>
      <c r="AP1580" s="155"/>
      <c r="AQ1580" s="156"/>
      <c r="AR1580" s="157"/>
      <c r="AS1580" s="158"/>
      <c r="AT1580" s="159"/>
      <c r="AU1580" s="161"/>
      <c r="AV1580" s="156"/>
      <c r="AW1580" s="162"/>
      <c r="AX1580" s="163"/>
      <c r="AY1580" s="164"/>
      <c r="AZ1580" s="159"/>
      <c r="BA1580" s="161"/>
      <c r="BB1580" s="165"/>
      <c r="BF1580" s="155"/>
      <c r="BG1580" s="154" t="s">
        <v>4555</v>
      </c>
    </row>
    <row r="1581" spans="1:59" s="154" customFormat="1" ht="15" customHeight="1">
      <c r="A1581" s="153" t="s">
        <v>5693</v>
      </c>
      <c r="B1581" s="23" t="s">
        <v>5984</v>
      </c>
      <c r="C1581" s="154" t="s">
        <v>5695</v>
      </c>
      <c r="D1581" s="155">
        <v>71</v>
      </c>
      <c r="E1581" s="154">
        <v>1</v>
      </c>
      <c r="F1581" s="154" t="s">
        <v>5959</v>
      </c>
      <c r="G1581" s="154" t="s">
        <v>3012</v>
      </c>
      <c r="J1581" s="154" t="s">
        <v>31</v>
      </c>
      <c r="K1581" s="154" t="s">
        <v>2426</v>
      </c>
      <c r="N1581" s="155"/>
      <c r="O1581" s="156"/>
      <c r="P1581" s="157"/>
      <c r="Q1581" s="158"/>
      <c r="R1581" s="159"/>
      <c r="S1581" s="160"/>
      <c r="T1581" s="161"/>
      <c r="U1581" s="156"/>
      <c r="V1581" s="162"/>
      <c r="W1581" s="163"/>
      <c r="X1581" s="164"/>
      <c r="Y1581" s="159"/>
      <c r="Z1581" s="161"/>
      <c r="AA1581" s="165"/>
      <c r="AE1581" s="155"/>
      <c r="AI1581" s="154" t="s">
        <v>3012</v>
      </c>
      <c r="AL1581" s="154" t="s">
        <v>31</v>
      </c>
      <c r="AM1581" s="154" t="s">
        <v>2426</v>
      </c>
      <c r="AP1581" s="155"/>
      <c r="AQ1581" s="156"/>
      <c r="AR1581" s="157"/>
      <c r="AS1581" s="158"/>
      <c r="AT1581" s="159"/>
      <c r="AU1581" s="161"/>
      <c r="AV1581" s="156"/>
      <c r="AW1581" s="162"/>
      <c r="AX1581" s="163"/>
      <c r="AY1581" s="164">
        <v>3</v>
      </c>
      <c r="AZ1581" s="159">
        <v>0</v>
      </c>
      <c r="BA1581" s="161"/>
      <c r="BB1581" s="165"/>
      <c r="BF1581" s="155"/>
      <c r="BG1581" s="154" t="s">
        <v>5985</v>
      </c>
    </row>
    <row r="1582" spans="1:59" s="154" customFormat="1" ht="15" customHeight="1">
      <c r="A1582" s="153" t="s">
        <v>5693</v>
      </c>
      <c r="B1582" s="23" t="s">
        <v>5986</v>
      </c>
      <c r="C1582" s="154" t="s">
        <v>5695</v>
      </c>
      <c r="D1582" s="155">
        <v>72</v>
      </c>
      <c r="E1582" s="154">
        <v>1</v>
      </c>
      <c r="F1582" s="154" t="s">
        <v>5959</v>
      </c>
      <c r="G1582" s="154" t="s">
        <v>5987</v>
      </c>
      <c r="J1582" s="154" t="s">
        <v>31</v>
      </c>
      <c r="K1582" s="154" t="s">
        <v>2426</v>
      </c>
      <c r="N1582" s="155"/>
      <c r="O1582" s="156"/>
      <c r="P1582" s="157"/>
      <c r="Q1582" s="158"/>
      <c r="R1582" s="159"/>
      <c r="S1582" s="160"/>
      <c r="T1582" s="161"/>
      <c r="U1582" s="156"/>
      <c r="V1582" s="162"/>
      <c r="W1582" s="163"/>
      <c r="X1582" s="164"/>
      <c r="Y1582" s="159"/>
      <c r="Z1582" s="161"/>
      <c r="AA1582" s="165"/>
      <c r="AE1582" s="155"/>
      <c r="AI1582" s="154" t="s">
        <v>5987</v>
      </c>
      <c r="AL1582" s="154" t="s">
        <v>31</v>
      </c>
      <c r="AM1582" s="154" t="s">
        <v>2426</v>
      </c>
      <c r="AP1582" s="155"/>
      <c r="AQ1582" s="156"/>
      <c r="AR1582" s="157"/>
      <c r="AS1582" s="158"/>
      <c r="AT1582" s="159"/>
      <c r="AU1582" s="161"/>
      <c r="AV1582" s="156"/>
      <c r="AW1582" s="162"/>
      <c r="AX1582" s="163"/>
      <c r="AY1582" s="164">
        <v>4</v>
      </c>
      <c r="AZ1582" s="159">
        <v>0</v>
      </c>
      <c r="BA1582" s="161"/>
      <c r="BB1582" s="165"/>
      <c r="BF1582" s="155"/>
      <c r="BG1582" s="154" t="s">
        <v>5988</v>
      </c>
    </row>
    <row r="1583" spans="1:59" s="154" customFormat="1" ht="15" customHeight="1">
      <c r="A1583" s="153" t="s">
        <v>5693</v>
      </c>
      <c r="B1583" s="23" t="s">
        <v>5989</v>
      </c>
      <c r="C1583" s="154" t="s">
        <v>5695</v>
      </c>
      <c r="D1583" s="155">
        <v>73</v>
      </c>
      <c r="E1583" s="154">
        <v>1</v>
      </c>
      <c r="F1583" s="154" t="s">
        <v>5959</v>
      </c>
      <c r="G1583" s="154" t="s">
        <v>5990</v>
      </c>
      <c r="J1583" s="154" t="s">
        <v>31</v>
      </c>
      <c r="K1583" s="154" t="s">
        <v>2426</v>
      </c>
      <c r="N1583" s="155"/>
      <c r="O1583" s="156"/>
      <c r="P1583" s="157"/>
      <c r="Q1583" s="158"/>
      <c r="R1583" s="159"/>
      <c r="S1583" s="160"/>
      <c r="T1583" s="161"/>
      <c r="U1583" s="156"/>
      <c r="V1583" s="162"/>
      <c r="W1583" s="163"/>
      <c r="X1583" s="164"/>
      <c r="Y1583" s="159"/>
      <c r="Z1583" s="161"/>
      <c r="AA1583" s="165"/>
      <c r="AE1583" s="155"/>
      <c r="AI1583" s="154" t="s">
        <v>5990</v>
      </c>
      <c r="AL1583" s="154" t="s">
        <v>31</v>
      </c>
      <c r="AM1583" s="154" t="s">
        <v>2426</v>
      </c>
      <c r="AP1583" s="155"/>
      <c r="AQ1583" s="156"/>
      <c r="AR1583" s="157"/>
      <c r="AS1583" s="158"/>
      <c r="AT1583" s="159"/>
      <c r="AU1583" s="161"/>
      <c r="AV1583" s="156"/>
      <c r="AW1583" s="162"/>
      <c r="AX1583" s="163"/>
      <c r="AY1583" s="164">
        <v>2</v>
      </c>
      <c r="AZ1583" s="159">
        <v>0</v>
      </c>
      <c r="BA1583" s="161"/>
      <c r="BB1583" s="165"/>
      <c r="BF1583" s="155"/>
      <c r="BG1583" s="154" t="s">
        <v>5991</v>
      </c>
    </row>
    <row r="1584" spans="1:59" s="154" customFormat="1" ht="15" customHeight="1">
      <c r="A1584" s="153" t="s">
        <v>5693</v>
      </c>
      <c r="B1584" s="23" t="s">
        <v>5992</v>
      </c>
      <c r="C1584" s="154" t="s">
        <v>5695</v>
      </c>
      <c r="D1584" s="155">
        <v>74</v>
      </c>
      <c r="E1584" s="154">
        <v>1</v>
      </c>
      <c r="F1584" s="154" t="s">
        <v>5959</v>
      </c>
      <c r="G1584" s="154" t="s">
        <v>5993</v>
      </c>
      <c r="J1584" s="154" t="s">
        <v>31</v>
      </c>
      <c r="K1584" s="154" t="s">
        <v>2426</v>
      </c>
      <c r="N1584" s="155"/>
      <c r="O1584" s="156"/>
      <c r="P1584" s="157"/>
      <c r="Q1584" s="158"/>
      <c r="R1584" s="159"/>
      <c r="S1584" s="160"/>
      <c r="T1584" s="161"/>
      <c r="U1584" s="156"/>
      <c r="V1584" s="162"/>
      <c r="W1584" s="163"/>
      <c r="X1584" s="164"/>
      <c r="Y1584" s="159"/>
      <c r="Z1584" s="161"/>
      <c r="AA1584" s="165"/>
      <c r="AE1584" s="155"/>
      <c r="AI1584" s="154" t="s">
        <v>5993</v>
      </c>
      <c r="AL1584" s="154" t="s">
        <v>31</v>
      </c>
      <c r="AM1584" s="154" t="s">
        <v>2426</v>
      </c>
      <c r="AP1584" s="155"/>
      <c r="AQ1584" s="156"/>
      <c r="AR1584" s="157"/>
      <c r="AS1584" s="158"/>
      <c r="AT1584" s="159"/>
      <c r="AU1584" s="161"/>
      <c r="AV1584" s="156"/>
      <c r="AW1584" s="162"/>
      <c r="AX1584" s="163"/>
      <c r="AY1584" s="164">
        <v>3</v>
      </c>
      <c r="AZ1584" s="159">
        <v>0</v>
      </c>
      <c r="BA1584" s="161"/>
      <c r="BB1584" s="165"/>
      <c r="BF1584" s="155"/>
      <c r="BG1584" s="154" t="s">
        <v>5994</v>
      </c>
    </row>
    <row r="1585" spans="1:59" s="154" customFormat="1" ht="15" customHeight="1">
      <c r="A1585" s="153" t="s">
        <v>5693</v>
      </c>
      <c r="B1585" s="23" t="s">
        <v>5995</v>
      </c>
      <c r="C1585" s="154" t="s">
        <v>5695</v>
      </c>
      <c r="D1585" s="155">
        <v>75</v>
      </c>
      <c r="E1585" s="154">
        <v>1</v>
      </c>
      <c r="F1585" s="154" t="s">
        <v>5959</v>
      </c>
      <c r="G1585" s="154" t="s">
        <v>5996</v>
      </c>
      <c r="J1585" s="154" t="s">
        <v>31</v>
      </c>
      <c r="K1585" s="154" t="s">
        <v>2426</v>
      </c>
      <c r="N1585" s="155"/>
      <c r="O1585" s="156"/>
      <c r="P1585" s="157"/>
      <c r="Q1585" s="158"/>
      <c r="R1585" s="159"/>
      <c r="S1585" s="160"/>
      <c r="T1585" s="161"/>
      <c r="U1585" s="156"/>
      <c r="V1585" s="162"/>
      <c r="W1585" s="163"/>
      <c r="X1585" s="164"/>
      <c r="Y1585" s="159"/>
      <c r="Z1585" s="161"/>
      <c r="AA1585" s="165"/>
      <c r="AE1585" s="155"/>
      <c r="AI1585" s="154" t="s">
        <v>5996</v>
      </c>
      <c r="AL1585" s="154" t="s">
        <v>31</v>
      </c>
      <c r="AM1585" s="154" t="s">
        <v>2426</v>
      </c>
      <c r="AP1585" s="155"/>
      <c r="AQ1585" s="156"/>
      <c r="AR1585" s="157"/>
      <c r="AS1585" s="158"/>
      <c r="AT1585" s="159"/>
      <c r="AU1585" s="161"/>
      <c r="AV1585" s="156"/>
      <c r="AW1585" s="162"/>
      <c r="AX1585" s="163"/>
      <c r="AY1585" s="164">
        <v>3</v>
      </c>
      <c r="AZ1585" s="159" t="s">
        <v>1073</v>
      </c>
      <c r="BA1585" s="161"/>
      <c r="BB1585" s="165"/>
      <c r="BF1585" s="155"/>
      <c r="BG1585" s="154" t="s">
        <v>5997</v>
      </c>
    </row>
    <row r="1586" spans="1:59" s="154" customFormat="1" ht="15" customHeight="1">
      <c r="A1586" s="153" t="s">
        <v>5693</v>
      </c>
      <c r="B1586" s="23" t="s">
        <v>5998</v>
      </c>
      <c r="C1586" s="154" t="s">
        <v>5695</v>
      </c>
      <c r="D1586" s="155">
        <v>76</v>
      </c>
      <c r="E1586" s="154">
        <v>1</v>
      </c>
      <c r="F1586" s="154" t="s">
        <v>5959</v>
      </c>
      <c r="G1586" s="154" t="s">
        <v>2663</v>
      </c>
      <c r="J1586" s="154" t="s">
        <v>31</v>
      </c>
      <c r="K1586" s="154" t="s">
        <v>2426</v>
      </c>
      <c r="N1586" s="155"/>
      <c r="O1586" s="156"/>
      <c r="P1586" s="157"/>
      <c r="Q1586" s="158"/>
      <c r="R1586" s="159"/>
      <c r="S1586" s="160"/>
      <c r="T1586" s="161"/>
      <c r="U1586" s="156"/>
      <c r="V1586" s="162"/>
      <c r="W1586" s="163"/>
      <c r="X1586" s="164"/>
      <c r="Y1586" s="159"/>
      <c r="Z1586" s="161"/>
      <c r="AA1586" s="165"/>
      <c r="AE1586" s="155"/>
      <c r="AI1586" s="154" t="s">
        <v>2663</v>
      </c>
      <c r="AL1586" s="154" t="s">
        <v>31</v>
      </c>
      <c r="AM1586" s="154" t="s">
        <v>2426</v>
      </c>
      <c r="AP1586" s="155"/>
      <c r="AQ1586" s="156"/>
      <c r="AR1586" s="157"/>
      <c r="AS1586" s="158"/>
      <c r="AT1586" s="159"/>
      <c r="AU1586" s="161"/>
      <c r="AV1586" s="156"/>
      <c r="AW1586" s="162"/>
      <c r="AX1586" s="163"/>
      <c r="AY1586" s="164">
        <v>1</v>
      </c>
      <c r="AZ1586" s="159">
        <v>0</v>
      </c>
      <c r="BA1586" s="161"/>
      <c r="BB1586" s="165"/>
      <c r="BF1586" s="155"/>
      <c r="BG1586" s="154" t="s">
        <v>5999</v>
      </c>
    </row>
    <row r="1587" spans="1:59" s="154" customFormat="1" ht="15" customHeight="1">
      <c r="A1587" s="153" t="s">
        <v>5693</v>
      </c>
      <c r="B1587" s="23" t="s">
        <v>6000</v>
      </c>
      <c r="C1587" s="154" t="s">
        <v>5695</v>
      </c>
      <c r="D1587" s="155">
        <v>77</v>
      </c>
      <c r="E1587" s="154">
        <v>1</v>
      </c>
      <c r="F1587" s="154" t="s">
        <v>5959</v>
      </c>
      <c r="G1587" s="154" t="s">
        <v>6001</v>
      </c>
      <c r="J1587" s="154" t="s">
        <v>31</v>
      </c>
      <c r="K1587" s="154" t="s">
        <v>2426</v>
      </c>
      <c r="N1587" s="155"/>
      <c r="O1587" s="156"/>
      <c r="P1587" s="157"/>
      <c r="Q1587" s="158"/>
      <c r="R1587" s="159"/>
      <c r="S1587" s="160"/>
      <c r="T1587" s="161"/>
      <c r="U1587" s="156"/>
      <c r="V1587" s="162"/>
      <c r="W1587" s="163"/>
      <c r="X1587" s="164"/>
      <c r="Y1587" s="159"/>
      <c r="Z1587" s="161"/>
      <c r="AA1587" s="165"/>
      <c r="AE1587" s="155"/>
      <c r="AI1587" s="154" t="s">
        <v>6001</v>
      </c>
      <c r="AL1587" s="154" t="s">
        <v>31</v>
      </c>
      <c r="AM1587" s="154" t="s">
        <v>2426</v>
      </c>
      <c r="AP1587" s="155"/>
      <c r="AQ1587" s="156"/>
      <c r="AR1587" s="157"/>
      <c r="AS1587" s="158"/>
      <c r="AT1587" s="159"/>
      <c r="AU1587" s="161"/>
      <c r="AV1587" s="156"/>
      <c r="AW1587" s="162"/>
      <c r="AX1587" s="163"/>
      <c r="AY1587" s="164">
        <v>4</v>
      </c>
      <c r="AZ1587" s="159" t="s">
        <v>1073</v>
      </c>
      <c r="BA1587" s="161"/>
      <c r="BB1587" s="165"/>
      <c r="BF1587" s="155"/>
      <c r="BG1587" s="154" t="s">
        <v>6002</v>
      </c>
    </row>
    <row r="1588" spans="1:59" s="154" customFormat="1" ht="15" customHeight="1">
      <c r="A1588" s="153" t="s">
        <v>5693</v>
      </c>
      <c r="B1588" s="23" t="s">
        <v>6003</v>
      </c>
      <c r="C1588" s="154" t="s">
        <v>5695</v>
      </c>
      <c r="D1588" s="155">
        <v>78</v>
      </c>
      <c r="E1588" s="154">
        <v>1</v>
      </c>
      <c r="F1588" s="154" t="s">
        <v>5959</v>
      </c>
      <c r="G1588" s="154" t="s">
        <v>3012</v>
      </c>
      <c r="J1588" s="154" t="s">
        <v>31</v>
      </c>
      <c r="K1588" s="154" t="s">
        <v>2426</v>
      </c>
      <c r="N1588" s="155"/>
      <c r="O1588" s="156"/>
      <c r="P1588" s="157"/>
      <c r="Q1588" s="158"/>
      <c r="R1588" s="159"/>
      <c r="S1588" s="160"/>
      <c r="T1588" s="161"/>
      <c r="U1588" s="156"/>
      <c r="V1588" s="162"/>
      <c r="W1588" s="163"/>
      <c r="X1588" s="164"/>
      <c r="Y1588" s="159"/>
      <c r="Z1588" s="161"/>
      <c r="AA1588" s="165"/>
      <c r="AD1588" s="154" t="s">
        <v>6004</v>
      </c>
      <c r="AE1588" s="155"/>
      <c r="AI1588" s="154" t="s">
        <v>3012</v>
      </c>
      <c r="AL1588" s="154" t="s">
        <v>31</v>
      </c>
      <c r="AM1588" s="154" t="s">
        <v>2426</v>
      </c>
      <c r="AP1588" s="155"/>
      <c r="AQ1588" s="156"/>
      <c r="AR1588" s="157"/>
      <c r="AS1588" s="158"/>
      <c r="AT1588" s="159"/>
      <c r="AU1588" s="161"/>
      <c r="AV1588" s="156"/>
      <c r="AW1588" s="162"/>
      <c r="AX1588" s="163"/>
      <c r="AY1588" s="164">
        <v>3</v>
      </c>
      <c r="AZ1588" s="159">
        <v>0</v>
      </c>
      <c r="BA1588" s="161"/>
      <c r="BB1588" s="165"/>
      <c r="BE1588" s="154" t="s">
        <v>6004</v>
      </c>
      <c r="BF1588" s="155"/>
      <c r="BG1588" s="154" t="s">
        <v>6005</v>
      </c>
    </row>
    <row r="1589" spans="1:59" s="154" customFormat="1" ht="15" customHeight="1">
      <c r="A1589" s="153" t="s">
        <v>5693</v>
      </c>
      <c r="B1589" s="23" t="s">
        <v>6006</v>
      </c>
      <c r="C1589" s="154" t="s">
        <v>5695</v>
      </c>
      <c r="D1589" s="155">
        <v>79</v>
      </c>
      <c r="E1589" s="154">
        <v>1</v>
      </c>
      <c r="F1589" s="154" t="s">
        <v>5959</v>
      </c>
      <c r="G1589" s="154" t="s">
        <v>5987</v>
      </c>
      <c r="J1589" s="154" t="s">
        <v>31</v>
      </c>
      <c r="K1589" s="154" t="s">
        <v>2426</v>
      </c>
      <c r="N1589" s="155"/>
      <c r="O1589" s="156"/>
      <c r="P1589" s="157"/>
      <c r="Q1589" s="158"/>
      <c r="R1589" s="159"/>
      <c r="S1589" s="160"/>
      <c r="T1589" s="161"/>
      <c r="U1589" s="156"/>
      <c r="V1589" s="162"/>
      <c r="W1589" s="163"/>
      <c r="X1589" s="164"/>
      <c r="Y1589" s="159"/>
      <c r="Z1589" s="161"/>
      <c r="AA1589" s="165"/>
      <c r="AD1589" s="154" t="s">
        <v>6004</v>
      </c>
      <c r="AE1589" s="155"/>
      <c r="AI1589" s="154" t="s">
        <v>5987</v>
      </c>
      <c r="AL1589" s="154" t="s">
        <v>31</v>
      </c>
      <c r="AM1589" s="154" t="s">
        <v>2426</v>
      </c>
      <c r="AP1589" s="155"/>
      <c r="AQ1589" s="156"/>
      <c r="AR1589" s="157"/>
      <c r="AS1589" s="158"/>
      <c r="AT1589" s="159"/>
      <c r="AU1589" s="161"/>
      <c r="AV1589" s="156"/>
      <c r="AW1589" s="162"/>
      <c r="AX1589" s="163"/>
      <c r="AY1589" s="164">
        <v>4</v>
      </c>
      <c r="AZ1589" s="159">
        <v>0</v>
      </c>
      <c r="BA1589" s="161"/>
      <c r="BB1589" s="165"/>
      <c r="BE1589" s="154" t="s">
        <v>6004</v>
      </c>
      <c r="BF1589" s="155"/>
      <c r="BG1589" s="154" t="s">
        <v>6007</v>
      </c>
    </row>
    <row r="1590" spans="1:59" s="154" customFormat="1" ht="15" customHeight="1">
      <c r="A1590" s="153" t="s">
        <v>5693</v>
      </c>
      <c r="B1590" s="23" t="s">
        <v>6008</v>
      </c>
      <c r="C1590" s="154" t="s">
        <v>5695</v>
      </c>
      <c r="D1590" s="155">
        <v>80</v>
      </c>
      <c r="E1590" s="154">
        <v>1</v>
      </c>
      <c r="F1590" s="154" t="s">
        <v>5959</v>
      </c>
      <c r="G1590" s="154" t="s">
        <v>5990</v>
      </c>
      <c r="J1590" s="154" t="s">
        <v>31</v>
      </c>
      <c r="K1590" s="154" t="s">
        <v>2426</v>
      </c>
      <c r="N1590" s="155"/>
      <c r="O1590" s="156"/>
      <c r="P1590" s="157"/>
      <c r="Q1590" s="158"/>
      <c r="R1590" s="159"/>
      <c r="S1590" s="160"/>
      <c r="T1590" s="161"/>
      <c r="U1590" s="156"/>
      <c r="V1590" s="162"/>
      <c r="W1590" s="163"/>
      <c r="X1590" s="164"/>
      <c r="Y1590" s="159"/>
      <c r="Z1590" s="161"/>
      <c r="AA1590" s="165"/>
      <c r="AD1590" s="154" t="s">
        <v>6004</v>
      </c>
      <c r="AE1590" s="155"/>
      <c r="AI1590" s="154" t="s">
        <v>5990</v>
      </c>
      <c r="AL1590" s="154" t="s">
        <v>31</v>
      </c>
      <c r="AM1590" s="154" t="s">
        <v>2426</v>
      </c>
      <c r="AP1590" s="155"/>
      <c r="AQ1590" s="156"/>
      <c r="AR1590" s="157"/>
      <c r="AS1590" s="158"/>
      <c r="AT1590" s="159"/>
      <c r="AU1590" s="161"/>
      <c r="AV1590" s="156"/>
      <c r="AW1590" s="162"/>
      <c r="AX1590" s="163"/>
      <c r="AY1590" s="164">
        <v>2</v>
      </c>
      <c r="AZ1590" s="159" t="s">
        <v>1073</v>
      </c>
      <c r="BA1590" s="161"/>
      <c r="BB1590" s="165"/>
      <c r="BE1590" s="154" t="s">
        <v>6004</v>
      </c>
      <c r="BF1590" s="155"/>
      <c r="BG1590" s="154" t="s">
        <v>6009</v>
      </c>
    </row>
    <row r="1591" spans="1:59" s="154" customFormat="1" ht="15" customHeight="1">
      <c r="A1591" s="153" t="s">
        <v>5693</v>
      </c>
      <c r="B1591" s="23" t="s">
        <v>6010</v>
      </c>
      <c r="C1591" s="154" t="s">
        <v>5695</v>
      </c>
      <c r="D1591" s="155">
        <v>81</v>
      </c>
      <c r="E1591" s="154">
        <v>1</v>
      </c>
      <c r="F1591" s="154" t="s">
        <v>5959</v>
      </c>
      <c r="G1591" s="154" t="s">
        <v>5993</v>
      </c>
      <c r="J1591" s="154" t="s">
        <v>31</v>
      </c>
      <c r="K1591" s="154" t="s">
        <v>2426</v>
      </c>
      <c r="N1591" s="155"/>
      <c r="O1591" s="156"/>
      <c r="P1591" s="157"/>
      <c r="Q1591" s="158"/>
      <c r="R1591" s="159"/>
      <c r="S1591" s="160"/>
      <c r="T1591" s="161"/>
      <c r="U1591" s="156"/>
      <c r="V1591" s="162"/>
      <c r="W1591" s="163"/>
      <c r="X1591" s="164"/>
      <c r="Y1591" s="159"/>
      <c r="Z1591" s="161"/>
      <c r="AA1591" s="165"/>
      <c r="AD1591" s="154" t="s">
        <v>6004</v>
      </c>
      <c r="AE1591" s="155"/>
      <c r="AI1591" s="154" t="s">
        <v>5993</v>
      </c>
      <c r="AL1591" s="154" t="s">
        <v>31</v>
      </c>
      <c r="AM1591" s="154" t="s">
        <v>2426</v>
      </c>
      <c r="AP1591" s="155"/>
      <c r="AQ1591" s="156"/>
      <c r="AR1591" s="157"/>
      <c r="AS1591" s="158"/>
      <c r="AT1591" s="159"/>
      <c r="AU1591" s="161"/>
      <c r="AV1591" s="156"/>
      <c r="AW1591" s="162"/>
      <c r="AX1591" s="163"/>
      <c r="AY1591" s="164">
        <v>3</v>
      </c>
      <c r="AZ1591" s="159" t="s">
        <v>1073</v>
      </c>
      <c r="BA1591" s="161"/>
      <c r="BB1591" s="165">
        <v>1</v>
      </c>
      <c r="BE1591" s="154" t="s">
        <v>6004</v>
      </c>
      <c r="BF1591" s="155"/>
      <c r="BG1591" s="154" t="s">
        <v>6011</v>
      </c>
    </row>
    <row r="1592" spans="1:59" s="154" customFormat="1" ht="15" customHeight="1">
      <c r="A1592" s="153" t="s">
        <v>5693</v>
      </c>
      <c r="B1592" s="23" t="s">
        <v>6012</v>
      </c>
      <c r="C1592" s="154" t="s">
        <v>5695</v>
      </c>
      <c r="D1592" s="155">
        <v>82</v>
      </c>
      <c r="E1592" s="154">
        <v>1</v>
      </c>
      <c r="F1592" s="154" t="s">
        <v>5959</v>
      </c>
      <c r="G1592" s="154" t="s">
        <v>5996</v>
      </c>
      <c r="J1592" s="154" t="s">
        <v>31</v>
      </c>
      <c r="K1592" s="154" t="s">
        <v>2426</v>
      </c>
      <c r="N1592" s="155"/>
      <c r="O1592" s="156"/>
      <c r="P1592" s="157"/>
      <c r="Q1592" s="158"/>
      <c r="R1592" s="159"/>
      <c r="S1592" s="160"/>
      <c r="T1592" s="161"/>
      <c r="U1592" s="156"/>
      <c r="V1592" s="162"/>
      <c r="W1592" s="163"/>
      <c r="X1592" s="164"/>
      <c r="Y1592" s="159"/>
      <c r="Z1592" s="161"/>
      <c r="AA1592" s="165"/>
      <c r="AD1592" s="154" t="s">
        <v>6004</v>
      </c>
      <c r="AE1592" s="155"/>
      <c r="AI1592" s="154" t="s">
        <v>5996</v>
      </c>
      <c r="AL1592" s="154" t="s">
        <v>31</v>
      </c>
      <c r="AM1592" s="154" t="s">
        <v>2426</v>
      </c>
      <c r="AP1592" s="155"/>
      <c r="AQ1592" s="156"/>
      <c r="AR1592" s="157"/>
      <c r="AS1592" s="158"/>
      <c r="AT1592" s="159"/>
      <c r="AU1592" s="161"/>
      <c r="AV1592" s="156"/>
      <c r="AW1592" s="162"/>
      <c r="AX1592" s="163"/>
      <c r="AY1592" s="164">
        <v>3</v>
      </c>
      <c r="AZ1592" s="159" t="s">
        <v>1073</v>
      </c>
      <c r="BA1592" s="161"/>
      <c r="BB1592" s="165">
        <v>1</v>
      </c>
      <c r="BE1592" s="154" t="s">
        <v>6004</v>
      </c>
      <c r="BF1592" s="155"/>
      <c r="BG1592" s="154" t="s">
        <v>6013</v>
      </c>
    </row>
    <row r="1593" spans="1:59" s="154" customFormat="1" ht="15" customHeight="1">
      <c r="A1593" s="153" t="s">
        <v>5693</v>
      </c>
      <c r="B1593" s="23" t="s">
        <v>6014</v>
      </c>
      <c r="C1593" s="154" t="s">
        <v>5695</v>
      </c>
      <c r="D1593" s="155">
        <v>83</v>
      </c>
      <c r="E1593" s="154">
        <v>1</v>
      </c>
      <c r="F1593" s="154" t="s">
        <v>5959</v>
      </c>
      <c r="G1593" s="154" t="s">
        <v>2663</v>
      </c>
      <c r="J1593" s="154" t="s">
        <v>31</v>
      </c>
      <c r="K1593" s="154" t="s">
        <v>2426</v>
      </c>
      <c r="N1593" s="155"/>
      <c r="O1593" s="156"/>
      <c r="P1593" s="157"/>
      <c r="Q1593" s="158"/>
      <c r="R1593" s="159"/>
      <c r="S1593" s="160"/>
      <c r="T1593" s="161"/>
      <c r="U1593" s="156"/>
      <c r="V1593" s="162"/>
      <c r="W1593" s="163"/>
      <c r="X1593" s="164"/>
      <c r="Y1593" s="159"/>
      <c r="Z1593" s="161"/>
      <c r="AA1593" s="165"/>
      <c r="AD1593" s="154" t="s">
        <v>6004</v>
      </c>
      <c r="AE1593" s="155"/>
      <c r="AI1593" s="154" t="s">
        <v>2663</v>
      </c>
      <c r="AL1593" s="154" t="s">
        <v>31</v>
      </c>
      <c r="AM1593" s="154" t="s">
        <v>2426</v>
      </c>
      <c r="AP1593" s="155"/>
      <c r="AQ1593" s="156"/>
      <c r="AR1593" s="157"/>
      <c r="AS1593" s="158"/>
      <c r="AT1593" s="159"/>
      <c r="AU1593" s="161"/>
      <c r="AV1593" s="156"/>
      <c r="AW1593" s="162"/>
      <c r="AX1593" s="163"/>
      <c r="AY1593" s="164">
        <v>1</v>
      </c>
      <c r="AZ1593" s="159" t="s">
        <v>1073</v>
      </c>
      <c r="BA1593" s="161"/>
      <c r="BB1593" s="165"/>
      <c r="BE1593" s="154" t="s">
        <v>6004</v>
      </c>
      <c r="BF1593" s="155"/>
      <c r="BG1593" s="154" t="s">
        <v>6015</v>
      </c>
    </row>
    <row r="1594" spans="1:59" s="154" customFormat="1" ht="15" customHeight="1">
      <c r="A1594" s="153" t="s">
        <v>5693</v>
      </c>
      <c r="B1594" s="23" t="s">
        <v>6016</v>
      </c>
      <c r="C1594" s="154" t="s">
        <v>5695</v>
      </c>
      <c r="D1594" s="155">
        <v>84</v>
      </c>
      <c r="E1594" s="154">
        <v>1</v>
      </c>
      <c r="F1594" s="154" t="s">
        <v>5959</v>
      </c>
      <c r="G1594" s="154" t="s">
        <v>6001</v>
      </c>
      <c r="J1594" s="154" t="s">
        <v>31</v>
      </c>
      <c r="K1594" s="154" t="s">
        <v>2426</v>
      </c>
      <c r="N1594" s="155"/>
      <c r="O1594" s="156"/>
      <c r="P1594" s="157"/>
      <c r="Q1594" s="158"/>
      <c r="R1594" s="159"/>
      <c r="S1594" s="160"/>
      <c r="T1594" s="161"/>
      <c r="U1594" s="156"/>
      <c r="V1594" s="162"/>
      <c r="W1594" s="163"/>
      <c r="X1594" s="164"/>
      <c r="Y1594" s="159"/>
      <c r="Z1594" s="161"/>
      <c r="AA1594" s="165"/>
      <c r="AD1594" s="154" t="s">
        <v>6004</v>
      </c>
      <c r="AE1594" s="155"/>
      <c r="AI1594" s="154" t="s">
        <v>6001</v>
      </c>
      <c r="AL1594" s="154" t="s">
        <v>31</v>
      </c>
      <c r="AM1594" s="154" t="s">
        <v>2426</v>
      </c>
      <c r="AP1594" s="155"/>
      <c r="AQ1594" s="156"/>
      <c r="AR1594" s="157"/>
      <c r="AS1594" s="158"/>
      <c r="AT1594" s="159"/>
      <c r="AU1594" s="161"/>
      <c r="AV1594" s="156"/>
      <c r="AW1594" s="162"/>
      <c r="AX1594" s="163"/>
      <c r="AY1594" s="164">
        <v>4</v>
      </c>
      <c r="AZ1594" s="159" t="s">
        <v>1111</v>
      </c>
      <c r="BA1594" s="161"/>
      <c r="BB1594" s="165">
        <v>2</v>
      </c>
      <c r="BE1594" s="154" t="s">
        <v>6004</v>
      </c>
      <c r="BF1594" s="155"/>
      <c r="BG1594" s="154" t="s">
        <v>6017</v>
      </c>
    </row>
    <row r="1595" spans="1:59" s="154" customFormat="1" ht="15" customHeight="1">
      <c r="A1595" s="153" t="s">
        <v>5693</v>
      </c>
      <c r="B1595" s="23" t="s">
        <v>6018</v>
      </c>
      <c r="C1595" s="154" t="s">
        <v>5695</v>
      </c>
      <c r="D1595" s="155">
        <v>85</v>
      </c>
      <c r="E1595" s="154">
        <v>1</v>
      </c>
      <c r="F1595" s="154" t="s">
        <v>5959</v>
      </c>
      <c r="G1595" s="154" t="s">
        <v>6019</v>
      </c>
      <c r="H1595" s="154" t="s">
        <v>6020</v>
      </c>
      <c r="I1595" s="154" t="s">
        <v>223</v>
      </c>
      <c r="J1595" s="154" t="s">
        <v>29</v>
      </c>
      <c r="K1595" s="154" t="s">
        <v>2426</v>
      </c>
      <c r="N1595" s="155"/>
      <c r="O1595" s="156"/>
      <c r="P1595" s="157"/>
      <c r="Q1595" s="158">
        <v>3</v>
      </c>
      <c r="R1595" s="159">
        <v>3</v>
      </c>
      <c r="S1595" s="160"/>
      <c r="T1595" s="161">
        <v>2</v>
      </c>
      <c r="U1595" s="156"/>
      <c r="V1595" s="162">
        <v>1</v>
      </c>
      <c r="W1595" s="163">
        <v>1</v>
      </c>
      <c r="X1595" s="164"/>
      <c r="Y1595" s="159"/>
      <c r="Z1595" s="161"/>
      <c r="AA1595" s="165">
        <v>2</v>
      </c>
      <c r="AD1595" s="154" t="s">
        <v>6021</v>
      </c>
      <c r="AE1595" s="155"/>
      <c r="AF1595" s="154" t="s">
        <v>6022</v>
      </c>
      <c r="AP1595" s="155"/>
      <c r="AQ1595" s="156"/>
      <c r="AR1595" s="157"/>
      <c r="AS1595" s="158"/>
      <c r="AT1595" s="159"/>
      <c r="AU1595" s="161"/>
      <c r="AV1595" s="156"/>
      <c r="AW1595" s="162"/>
      <c r="AX1595" s="163"/>
      <c r="AY1595" s="164"/>
      <c r="AZ1595" s="159"/>
      <c r="BA1595" s="161"/>
      <c r="BB1595" s="165"/>
      <c r="BF1595" s="155"/>
    </row>
    <row r="1596" spans="1:59" s="154" customFormat="1" ht="15" customHeight="1">
      <c r="A1596" s="153" t="s">
        <v>5693</v>
      </c>
      <c r="B1596" s="23" t="s">
        <v>6023</v>
      </c>
      <c r="C1596" s="154" t="s">
        <v>5695</v>
      </c>
      <c r="D1596" s="155">
        <v>85</v>
      </c>
      <c r="E1596" s="154">
        <v>1</v>
      </c>
      <c r="F1596" s="154" t="s">
        <v>5959</v>
      </c>
      <c r="G1596" s="154" t="s">
        <v>6024</v>
      </c>
      <c r="J1596" s="154" t="s">
        <v>2702</v>
      </c>
      <c r="K1596" s="154" t="s">
        <v>2426</v>
      </c>
      <c r="N1596" s="155"/>
      <c r="O1596" s="156"/>
      <c r="P1596" s="157"/>
      <c r="Q1596" s="158"/>
      <c r="R1596" s="159"/>
      <c r="S1596" s="160"/>
      <c r="T1596" s="161"/>
      <c r="U1596" s="156"/>
      <c r="V1596" s="162"/>
      <c r="W1596" s="163"/>
      <c r="X1596" s="164"/>
      <c r="Y1596" s="159"/>
      <c r="Z1596" s="161"/>
      <c r="AA1596" s="165"/>
      <c r="AE1596" s="155"/>
      <c r="AF1596" s="154" t="s">
        <v>6025</v>
      </c>
      <c r="AP1596" s="155"/>
      <c r="AQ1596" s="156"/>
      <c r="AR1596" s="157"/>
      <c r="AS1596" s="158"/>
      <c r="AT1596" s="159"/>
      <c r="AU1596" s="161"/>
      <c r="AV1596" s="156"/>
      <c r="AW1596" s="162"/>
      <c r="AX1596" s="163"/>
      <c r="AY1596" s="164"/>
      <c r="AZ1596" s="159"/>
      <c r="BA1596" s="161"/>
      <c r="BB1596" s="165"/>
      <c r="BF1596" s="155"/>
    </row>
    <row r="1597" spans="1:59" s="154" customFormat="1" ht="15" customHeight="1">
      <c r="A1597" s="153" t="s">
        <v>5693</v>
      </c>
      <c r="B1597" s="30" t="s">
        <v>6026</v>
      </c>
      <c r="C1597" s="154" t="s">
        <v>5695</v>
      </c>
      <c r="D1597" s="155">
        <v>86</v>
      </c>
      <c r="E1597" s="154">
        <v>1</v>
      </c>
      <c r="F1597" s="154" t="s">
        <v>6107</v>
      </c>
      <c r="G1597" s="154" t="s">
        <v>6027</v>
      </c>
      <c r="H1597" s="154" t="s">
        <v>6028</v>
      </c>
      <c r="I1597" s="154" t="s">
        <v>223</v>
      </c>
      <c r="J1597" s="154" t="s">
        <v>29</v>
      </c>
      <c r="K1597" s="154" t="s">
        <v>2426</v>
      </c>
      <c r="N1597" s="155"/>
      <c r="O1597" s="156"/>
      <c r="P1597" s="157"/>
      <c r="Q1597" s="158">
        <v>3</v>
      </c>
      <c r="R1597" s="159">
        <v>3</v>
      </c>
      <c r="S1597" s="160"/>
      <c r="T1597" s="161">
        <v>5</v>
      </c>
      <c r="U1597" s="156"/>
      <c r="V1597" s="162">
        <v>1</v>
      </c>
      <c r="W1597" s="163">
        <v>1</v>
      </c>
      <c r="X1597" s="164"/>
      <c r="Y1597" s="159"/>
      <c r="Z1597" s="161"/>
      <c r="AA1597" s="165"/>
      <c r="AD1597" s="154" t="s">
        <v>6029</v>
      </c>
      <c r="AE1597" s="155"/>
      <c r="AF1597" s="154" t="s">
        <v>6030</v>
      </c>
      <c r="AP1597" s="155"/>
      <c r="AQ1597" s="156"/>
      <c r="AR1597" s="157"/>
      <c r="AS1597" s="158"/>
      <c r="AT1597" s="159"/>
      <c r="AU1597" s="161"/>
      <c r="AV1597" s="156"/>
      <c r="AW1597" s="162"/>
      <c r="AX1597" s="163"/>
      <c r="AY1597" s="164"/>
      <c r="AZ1597" s="159"/>
      <c r="BA1597" s="161"/>
      <c r="BB1597" s="165"/>
      <c r="BF1597" s="155"/>
    </row>
    <row r="1598" spans="1:59" s="154" customFormat="1" ht="15" customHeight="1">
      <c r="A1598" s="153" t="s">
        <v>5693</v>
      </c>
      <c r="B1598" s="23" t="s">
        <v>6031</v>
      </c>
      <c r="C1598" s="154" t="s">
        <v>5695</v>
      </c>
      <c r="D1598" s="155">
        <v>87</v>
      </c>
      <c r="E1598" s="154">
        <v>2</v>
      </c>
      <c r="F1598" s="154" t="s">
        <v>6107</v>
      </c>
      <c r="G1598" s="154" t="s">
        <v>6032</v>
      </c>
      <c r="J1598" s="154" t="s">
        <v>28</v>
      </c>
      <c r="K1598" s="154" t="s">
        <v>2426</v>
      </c>
      <c r="N1598" s="155"/>
      <c r="O1598" s="156"/>
      <c r="P1598" s="157"/>
      <c r="Q1598" s="158"/>
      <c r="R1598" s="159"/>
      <c r="S1598" s="160"/>
      <c r="T1598" s="161"/>
      <c r="U1598" s="156"/>
      <c r="V1598" s="162"/>
      <c r="W1598" s="163"/>
      <c r="X1598" s="164"/>
      <c r="Y1598" s="159"/>
      <c r="Z1598" s="161"/>
      <c r="AA1598" s="165"/>
      <c r="AD1598" s="154" t="s">
        <v>6033</v>
      </c>
      <c r="AE1598" s="155"/>
      <c r="AF1598" s="154" t="s">
        <v>6034</v>
      </c>
      <c r="AP1598" s="155"/>
      <c r="AQ1598" s="156"/>
      <c r="AR1598" s="157"/>
      <c r="AS1598" s="158"/>
      <c r="AT1598" s="159"/>
      <c r="AU1598" s="161"/>
      <c r="AV1598" s="156"/>
      <c r="AW1598" s="162"/>
      <c r="AX1598" s="163"/>
      <c r="AY1598" s="164"/>
      <c r="AZ1598" s="159"/>
      <c r="BA1598" s="161"/>
      <c r="BB1598" s="165"/>
      <c r="BF1598" s="155"/>
    </row>
    <row r="1599" spans="1:59" s="154" customFormat="1" ht="15" customHeight="1">
      <c r="A1599" s="153" t="s">
        <v>5693</v>
      </c>
      <c r="B1599" s="23" t="s">
        <v>6035</v>
      </c>
      <c r="C1599" s="154" t="s">
        <v>5695</v>
      </c>
      <c r="D1599" s="155">
        <v>88</v>
      </c>
      <c r="E1599" s="154">
        <v>1</v>
      </c>
      <c r="F1599" s="154" t="s">
        <v>6108</v>
      </c>
      <c r="G1599" s="154" t="s">
        <v>6036</v>
      </c>
      <c r="J1599" s="154" t="s">
        <v>29</v>
      </c>
      <c r="K1599" s="154" t="s">
        <v>2426</v>
      </c>
      <c r="N1599" s="155"/>
      <c r="O1599" s="156"/>
      <c r="P1599" s="157"/>
      <c r="Q1599" s="158">
        <v>5</v>
      </c>
      <c r="R1599" s="159">
        <v>2</v>
      </c>
      <c r="S1599" s="160"/>
      <c r="T1599" s="161">
        <v>7</v>
      </c>
      <c r="U1599" s="156"/>
      <c r="V1599" s="162"/>
      <c r="W1599" s="163">
        <v>2</v>
      </c>
      <c r="X1599" s="164"/>
      <c r="Y1599" s="159"/>
      <c r="Z1599" s="161"/>
      <c r="AA1599" s="165">
        <v>2</v>
      </c>
      <c r="AD1599" s="154" t="s">
        <v>1794</v>
      </c>
      <c r="AE1599" s="155"/>
      <c r="AF1599" s="154" t="s">
        <v>6037</v>
      </c>
      <c r="AP1599" s="155"/>
      <c r="AQ1599" s="156"/>
      <c r="AR1599" s="157"/>
      <c r="AS1599" s="158"/>
      <c r="AT1599" s="159"/>
      <c r="AU1599" s="161"/>
      <c r="AV1599" s="156"/>
      <c r="AW1599" s="162"/>
      <c r="AX1599" s="163"/>
      <c r="AY1599" s="164"/>
      <c r="AZ1599" s="159"/>
      <c r="BA1599" s="161"/>
      <c r="BB1599" s="165"/>
      <c r="BF1599" s="155"/>
    </row>
    <row r="1600" spans="1:59" ht="15" customHeight="1">
      <c r="A1600" s="153" t="s">
        <v>5693</v>
      </c>
      <c r="B1600" s="23" t="s">
        <v>6038</v>
      </c>
      <c r="C1600" s="154" t="s">
        <v>5695</v>
      </c>
      <c r="D1600" s="24">
        <v>89</v>
      </c>
      <c r="E1600" s="23">
        <v>3</v>
      </c>
      <c r="F1600" s="154" t="s">
        <v>6108</v>
      </c>
      <c r="G1600" s="28" t="s">
        <v>6039</v>
      </c>
      <c r="J1600" s="23" t="s">
        <v>28</v>
      </c>
      <c r="K1600" s="28" t="s">
        <v>2426</v>
      </c>
      <c r="N1600" s="147"/>
      <c r="O1600" s="118"/>
      <c r="P1600" s="119"/>
      <c r="Q1600" s="120"/>
      <c r="R1600" s="29"/>
      <c r="S1600" s="135"/>
      <c r="T1600" s="122"/>
      <c r="U1600" s="118"/>
      <c r="V1600" s="123"/>
      <c r="W1600" s="124"/>
      <c r="X1600" s="125"/>
      <c r="Y1600" s="29"/>
      <c r="Z1600" s="122"/>
      <c r="AA1600" s="126"/>
      <c r="AB1600" s="148"/>
      <c r="AD1600" s="23" t="s">
        <v>4913</v>
      </c>
      <c r="AF1600" s="23" t="s">
        <v>6040</v>
      </c>
      <c r="AI1600" s="28"/>
      <c r="AM1600" s="28"/>
      <c r="AP1600" s="24"/>
      <c r="AQ1600" s="118"/>
      <c r="AR1600" s="119"/>
      <c r="AS1600" s="120"/>
      <c r="AT1600" s="29"/>
      <c r="AU1600" s="122"/>
      <c r="AV1600" s="118"/>
      <c r="AW1600" s="123"/>
      <c r="AX1600" s="124"/>
      <c r="AY1600" s="125"/>
      <c r="AZ1600" s="29"/>
      <c r="BA1600" s="122"/>
      <c r="BB1600" s="126"/>
    </row>
    <row r="1601" spans="1:58" ht="15" customHeight="1">
      <c r="A1601" s="153" t="s">
        <v>5693</v>
      </c>
      <c r="B1601" s="30" t="s">
        <v>6041</v>
      </c>
      <c r="C1601" s="154" t="s">
        <v>5695</v>
      </c>
      <c r="D1601" s="24">
        <v>90</v>
      </c>
      <c r="E1601" s="23">
        <v>3</v>
      </c>
      <c r="F1601" s="154" t="s">
        <v>6109</v>
      </c>
      <c r="G1601" s="23" t="s">
        <v>6042</v>
      </c>
      <c r="J1601" s="23" t="s">
        <v>29</v>
      </c>
      <c r="K1601" s="23" t="s">
        <v>2426</v>
      </c>
      <c r="N1601" s="147"/>
      <c r="O1601" s="118"/>
      <c r="P1601" s="119"/>
      <c r="Q1601" s="120">
        <v>2</v>
      </c>
      <c r="R1601" s="29">
        <v>2</v>
      </c>
      <c r="S1601" s="135"/>
      <c r="T1601" s="122">
        <v>2</v>
      </c>
      <c r="U1601" s="118"/>
      <c r="V1601" s="123"/>
      <c r="W1601" s="124">
        <v>1</v>
      </c>
      <c r="X1601" s="125"/>
      <c r="Y1601" s="29"/>
      <c r="Z1601" s="122"/>
      <c r="AA1601" s="126"/>
      <c r="AB1601" s="148"/>
      <c r="AD1601" s="23" t="s">
        <v>6043</v>
      </c>
      <c r="AF1601" s="23" t="s">
        <v>6044</v>
      </c>
      <c r="AP1601" s="24"/>
      <c r="AQ1601" s="118"/>
      <c r="AR1601" s="119"/>
      <c r="AS1601" s="120"/>
      <c r="AT1601" s="29"/>
      <c r="AU1601" s="122"/>
      <c r="AV1601" s="118"/>
      <c r="AW1601" s="123"/>
      <c r="AX1601" s="124"/>
      <c r="AY1601" s="125"/>
      <c r="AZ1601" s="29"/>
      <c r="BA1601" s="122"/>
      <c r="BB1601" s="126"/>
    </row>
    <row r="1602" spans="1:58" ht="15" customHeight="1">
      <c r="A1602" s="153" t="s">
        <v>5693</v>
      </c>
      <c r="B1602" s="23" t="s">
        <v>6045</v>
      </c>
      <c r="C1602" s="154" t="s">
        <v>5695</v>
      </c>
      <c r="D1602" s="24">
        <v>91</v>
      </c>
      <c r="E1602" s="23">
        <v>1</v>
      </c>
      <c r="F1602" s="154" t="s">
        <v>6109</v>
      </c>
      <c r="G1602" s="23" t="s">
        <v>6046</v>
      </c>
      <c r="J1602" s="23" t="s">
        <v>29</v>
      </c>
      <c r="K1602" s="23" t="s">
        <v>2426</v>
      </c>
      <c r="N1602" s="147"/>
      <c r="O1602" s="118"/>
      <c r="P1602" s="119"/>
      <c r="Q1602" s="120">
        <v>2</v>
      </c>
      <c r="R1602" s="29">
        <v>2</v>
      </c>
      <c r="S1602" s="135"/>
      <c r="T1602" s="122">
        <v>3</v>
      </c>
      <c r="U1602" s="118"/>
      <c r="V1602" s="123">
        <v>2</v>
      </c>
      <c r="W1602" s="124"/>
      <c r="X1602" s="125"/>
      <c r="Y1602" s="29"/>
      <c r="Z1602" s="122"/>
      <c r="AA1602" s="126"/>
      <c r="AB1602" s="148"/>
      <c r="AD1602" s="23" t="s">
        <v>6043</v>
      </c>
      <c r="AF1602" s="23" t="s">
        <v>6047</v>
      </c>
      <c r="AP1602" s="24"/>
      <c r="AQ1602" s="118"/>
      <c r="AR1602" s="119"/>
      <c r="AS1602" s="120"/>
      <c r="AT1602" s="29"/>
      <c r="AU1602" s="122"/>
      <c r="AV1602" s="118"/>
      <c r="AW1602" s="123"/>
      <c r="AX1602" s="124"/>
      <c r="AY1602" s="125"/>
      <c r="AZ1602" s="29"/>
      <c r="BA1602" s="122"/>
      <c r="BB1602" s="126"/>
    </row>
    <row r="1603" spans="1:58" ht="15" customHeight="1">
      <c r="A1603" s="153" t="s">
        <v>5693</v>
      </c>
      <c r="B1603" s="23" t="s">
        <v>6048</v>
      </c>
      <c r="C1603" s="154" t="s">
        <v>5695</v>
      </c>
      <c r="D1603" s="24">
        <v>92</v>
      </c>
      <c r="E1603" s="23">
        <v>3</v>
      </c>
      <c r="F1603" s="154" t="s">
        <v>6110</v>
      </c>
      <c r="G1603" s="23" t="s">
        <v>6049</v>
      </c>
      <c r="J1603" s="23" t="s">
        <v>28</v>
      </c>
      <c r="K1603" s="23" t="s">
        <v>2426</v>
      </c>
      <c r="N1603" s="147"/>
      <c r="O1603" s="118"/>
      <c r="P1603" s="119"/>
      <c r="Q1603" s="120"/>
      <c r="R1603" s="29"/>
      <c r="S1603" s="135"/>
      <c r="T1603" s="122"/>
      <c r="U1603" s="118"/>
      <c r="V1603" s="123"/>
      <c r="W1603" s="124"/>
      <c r="X1603" s="125"/>
      <c r="Y1603" s="29"/>
      <c r="Z1603" s="122"/>
      <c r="AA1603" s="126"/>
      <c r="AB1603" s="148"/>
      <c r="AD1603" s="23" t="s">
        <v>439</v>
      </c>
      <c r="AF1603" s="23" t="s">
        <v>6050</v>
      </c>
      <c r="AP1603" s="24"/>
      <c r="AQ1603" s="118"/>
      <c r="AR1603" s="119"/>
      <c r="AS1603" s="120"/>
      <c r="AT1603" s="29"/>
      <c r="AU1603" s="122"/>
      <c r="AV1603" s="118"/>
      <c r="AW1603" s="123"/>
      <c r="AX1603" s="124"/>
      <c r="AY1603" s="125"/>
      <c r="AZ1603" s="29"/>
      <c r="BA1603" s="122"/>
      <c r="BB1603" s="126"/>
    </row>
    <row r="1604" spans="1:58" ht="15" customHeight="1">
      <c r="A1604" s="153" t="s">
        <v>5693</v>
      </c>
      <c r="B1604" s="23" t="s">
        <v>6051</v>
      </c>
      <c r="C1604" s="154" t="s">
        <v>5695</v>
      </c>
      <c r="D1604" s="24">
        <v>93</v>
      </c>
      <c r="E1604" s="23">
        <v>2</v>
      </c>
      <c r="F1604" s="154" t="s">
        <v>6110</v>
      </c>
      <c r="G1604" s="23" t="s">
        <v>6052</v>
      </c>
      <c r="J1604" s="23" t="s">
        <v>28</v>
      </c>
      <c r="K1604" s="23" t="s">
        <v>2426</v>
      </c>
      <c r="N1604" s="147"/>
      <c r="O1604" s="118"/>
      <c r="P1604" s="119"/>
      <c r="Q1604" s="120"/>
      <c r="R1604" s="29"/>
      <c r="S1604" s="135"/>
      <c r="T1604" s="122"/>
      <c r="U1604" s="118"/>
      <c r="V1604" s="123"/>
      <c r="W1604" s="124"/>
      <c r="X1604" s="125"/>
      <c r="Y1604" s="29"/>
      <c r="Z1604" s="122"/>
      <c r="AA1604" s="126"/>
      <c r="AB1604" s="148"/>
      <c r="AD1604" s="23" t="s">
        <v>486</v>
      </c>
      <c r="AF1604" s="23" t="s">
        <v>6053</v>
      </c>
      <c r="AP1604" s="24"/>
      <c r="AQ1604" s="118"/>
      <c r="AR1604" s="119"/>
      <c r="AS1604" s="120"/>
      <c r="AT1604" s="29"/>
      <c r="AU1604" s="122"/>
      <c r="AV1604" s="118"/>
      <c r="AW1604" s="123"/>
      <c r="AX1604" s="124"/>
      <c r="AY1604" s="125"/>
      <c r="AZ1604" s="29"/>
      <c r="BA1604" s="122"/>
      <c r="BB1604" s="126"/>
    </row>
    <row r="1605" spans="1:58" s="154" customFormat="1" ht="15" customHeight="1">
      <c r="A1605" s="153" t="s">
        <v>5693</v>
      </c>
      <c r="B1605" s="23" t="s">
        <v>6054</v>
      </c>
      <c r="C1605" s="154" t="s">
        <v>5695</v>
      </c>
      <c r="D1605" s="155">
        <v>94</v>
      </c>
      <c r="E1605" s="154">
        <v>2</v>
      </c>
      <c r="F1605" s="154" t="s">
        <v>6110</v>
      </c>
      <c r="G1605" s="171" t="s">
        <v>6055</v>
      </c>
      <c r="J1605" s="154" t="s">
        <v>28</v>
      </c>
      <c r="K1605" s="171" t="s">
        <v>2426</v>
      </c>
      <c r="N1605" s="155"/>
      <c r="O1605" s="156"/>
      <c r="P1605" s="157"/>
      <c r="Q1605" s="158"/>
      <c r="R1605" s="159"/>
      <c r="S1605" s="160"/>
      <c r="T1605" s="161"/>
      <c r="U1605" s="156"/>
      <c r="V1605" s="162"/>
      <c r="W1605" s="163"/>
      <c r="X1605" s="164"/>
      <c r="Y1605" s="159"/>
      <c r="Z1605" s="161"/>
      <c r="AA1605" s="165"/>
      <c r="AD1605" s="154" t="s">
        <v>486</v>
      </c>
      <c r="AE1605" s="155"/>
      <c r="AF1605" s="154" t="s">
        <v>6056</v>
      </c>
      <c r="AI1605" s="171"/>
      <c r="AM1605" s="171"/>
      <c r="AP1605" s="155"/>
      <c r="AQ1605" s="156"/>
      <c r="AR1605" s="157"/>
      <c r="AS1605" s="158"/>
      <c r="AT1605" s="159"/>
      <c r="AU1605" s="161"/>
      <c r="AV1605" s="156"/>
      <c r="AW1605" s="162"/>
      <c r="AX1605" s="163"/>
      <c r="AY1605" s="164"/>
      <c r="AZ1605" s="159"/>
      <c r="BA1605" s="161"/>
      <c r="BB1605" s="165"/>
      <c r="BF1605" s="155"/>
    </row>
    <row r="1606" spans="1:58" s="154" customFormat="1" ht="15" customHeight="1">
      <c r="A1606" s="153" t="s">
        <v>5693</v>
      </c>
      <c r="B1606" s="23" t="s">
        <v>6057</v>
      </c>
      <c r="C1606" s="154" t="s">
        <v>5695</v>
      </c>
      <c r="D1606" s="155">
        <v>95</v>
      </c>
      <c r="E1606" s="154">
        <v>3</v>
      </c>
      <c r="F1606" s="154" t="s">
        <v>6111</v>
      </c>
      <c r="G1606" s="154" t="s">
        <v>6058</v>
      </c>
      <c r="J1606" s="154" t="s">
        <v>29</v>
      </c>
      <c r="K1606" s="154" t="s">
        <v>2426</v>
      </c>
      <c r="N1606" s="155"/>
      <c r="O1606" s="156"/>
      <c r="P1606" s="157"/>
      <c r="Q1606" s="158">
        <v>3</v>
      </c>
      <c r="R1606" s="159">
        <v>2</v>
      </c>
      <c r="S1606" s="160"/>
      <c r="T1606" s="161">
        <v>1</v>
      </c>
      <c r="U1606" s="156"/>
      <c r="V1606" s="162"/>
      <c r="W1606" s="163">
        <v>1</v>
      </c>
      <c r="X1606" s="164"/>
      <c r="Y1606" s="159"/>
      <c r="Z1606" s="161"/>
      <c r="AA1606" s="165"/>
      <c r="AD1606" s="154" t="s">
        <v>704</v>
      </c>
      <c r="AE1606" s="155"/>
      <c r="AF1606" s="154" t="s">
        <v>6059</v>
      </c>
      <c r="AP1606" s="155"/>
      <c r="AQ1606" s="156"/>
      <c r="AR1606" s="157"/>
      <c r="AS1606" s="158"/>
      <c r="AT1606" s="159"/>
      <c r="AU1606" s="161"/>
      <c r="AV1606" s="156"/>
      <c r="AW1606" s="162"/>
      <c r="AX1606" s="163"/>
      <c r="AY1606" s="164"/>
      <c r="AZ1606" s="159"/>
      <c r="BA1606" s="161"/>
      <c r="BB1606" s="165"/>
      <c r="BF1606" s="155"/>
    </row>
    <row r="1607" spans="1:58" s="154" customFormat="1" ht="15" customHeight="1">
      <c r="A1607" s="153" t="s">
        <v>5693</v>
      </c>
      <c r="B1607" s="23" t="s">
        <v>6060</v>
      </c>
      <c r="C1607" s="154" t="s">
        <v>5695</v>
      </c>
      <c r="D1607" s="155">
        <v>96</v>
      </c>
      <c r="E1607" s="154">
        <v>1</v>
      </c>
      <c r="F1607" s="154" t="s">
        <v>6111</v>
      </c>
      <c r="G1607" s="154" t="s">
        <v>6061</v>
      </c>
      <c r="J1607" s="154" t="s">
        <v>29</v>
      </c>
      <c r="K1607" s="154" t="s">
        <v>2426</v>
      </c>
      <c r="N1607" s="155"/>
      <c r="O1607" s="156"/>
      <c r="P1607" s="157"/>
      <c r="Q1607" s="158">
        <v>4</v>
      </c>
      <c r="R1607" s="159">
        <v>3</v>
      </c>
      <c r="S1607" s="160"/>
      <c r="T1607" s="161">
        <v>2</v>
      </c>
      <c r="U1607" s="156"/>
      <c r="V1607" s="162">
        <v>1</v>
      </c>
      <c r="W1607" s="163">
        <v>1</v>
      </c>
      <c r="X1607" s="164"/>
      <c r="Y1607" s="159"/>
      <c r="Z1607" s="161"/>
      <c r="AA1607" s="165"/>
      <c r="AD1607" s="154" t="s">
        <v>704</v>
      </c>
      <c r="AE1607" s="155"/>
      <c r="AF1607" s="154" t="s">
        <v>6062</v>
      </c>
      <c r="AP1607" s="155"/>
      <c r="AQ1607" s="156"/>
      <c r="AR1607" s="157"/>
      <c r="AS1607" s="158"/>
      <c r="AT1607" s="159"/>
      <c r="AU1607" s="161"/>
      <c r="AV1607" s="156"/>
      <c r="AW1607" s="162"/>
      <c r="AX1607" s="163"/>
      <c r="AY1607" s="164"/>
      <c r="AZ1607" s="159"/>
      <c r="BA1607" s="161"/>
      <c r="BB1607" s="165"/>
      <c r="BF1607" s="155"/>
    </row>
    <row r="1608" spans="1:58" s="154" customFormat="1" ht="15" customHeight="1">
      <c r="A1608" s="153" t="s">
        <v>5693</v>
      </c>
      <c r="B1608" s="23" t="s">
        <v>6063</v>
      </c>
      <c r="C1608" s="154" t="s">
        <v>5695</v>
      </c>
      <c r="D1608" s="155">
        <v>97</v>
      </c>
      <c r="E1608" s="154">
        <v>2</v>
      </c>
      <c r="F1608" s="154" t="s">
        <v>6111</v>
      </c>
      <c r="G1608" s="154" t="s">
        <v>6064</v>
      </c>
      <c r="J1608" s="154" t="s">
        <v>28</v>
      </c>
      <c r="K1608" s="154" t="s">
        <v>2426</v>
      </c>
      <c r="N1608" s="155"/>
      <c r="O1608" s="156"/>
      <c r="P1608" s="157"/>
      <c r="Q1608" s="158"/>
      <c r="R1608" s="159"/>
      <c r="S1608" s="160"/>
      <c r="T1608" s="161"/>
      <c r="U1608" s="156"/>
      <c r="V1608" s="162"/>
      <c r="W1608" s="163"/>
      <c r="X1608" s="164"/>
      <c r="Y1608" s="159"/>
      <c r="Z1608" s="161"/>
      <c r="AA1608" s="165"/>
      <c r="AD1608" s="154" t="s">
        <v>1196</v>
      </c>
      <c r="AE1608" s="155"/>
      <c r="AF1608" s="154" t="s">
        <v>6065</v>
      </c>
      <c r="AP1608" s="155"/>
      <c r="AQ1608" s="156"/>
      <c r="AR1608" s="157"/>
      <c r="AS1608" s="158"/>
      <c r="AT1608" s="159"/>
      <c r="AU1608" s="161"/>
      <c r="AV1608" s="156"/>
      <c r="AW1608" s="162"/>
      <c r="AX1608" s="163"/>
      <c r="AY1608" s="164"/>
      <c r="AZ1608" s="159"/>
      <c r="BA1608" s="161"/>
      <c r="BB1608" s="165"/>
      <c r="BF1608" s="155"/>
    </row>
    <row r="1609" spans="1:58" s="154" customFormat="1" ht="15" customHeight="1">
      <c r="A1609" s="153" t="s">
        <v>5693</v>
      </c>
      <c r="B1609" s="23" t="s">
        <v>6066</v>
      </c>
      <c r="C1609" s="154" t="s">
        <v>5695</v>
      </c>
      <c r="D1609" s="155">
        <v>98</v>
      </c>
      <c r="E1609" s="154">
        <v>2</v>
      </c>
      <c r="F1609" s="154" t="s">
        <v>6112</v>
      </c>
      <c r="G1609" s="154" t="s">
        <v>6067</v>
      </c>
      <c r="J1609" s="154" t="s">
        <v>28</v>
      </c>
      <c r="K1609" s="154" t="s">
        <v>2426</v>
      </c>
      <c r="N1609" s="155"/>
      <c r="O1609" s="156"/>
      <c r="P1609" s="157"/>
      <c r="Q1609" s="158"/>
      <c r="R1609" s="159"/>
      <c r="S1609" s="160"/>
      <c r="T1609" s="161"/>
      <c r="U1609" s="156"/>
      <c r="V1609" s="162"/>
      <c r="W1609" s="163"/>
      <c r="X1609" s="164"/>
      <c r="Y1609" s="159"/>
      <c r="Z1609" s="161"/>
      <c r="AA1609" s="165"/>
      <c r="AD1609" s="154" t="s">
        <v>439</v>
      </c>
      <c r="AE1609" s="155"/>
      <c r="AF1609" s="154" t="s">
        <v>6068</v>
      </c>
      <c r="AP1609" s="155"/>
      <c r="AQ1609" s="156"/>
      <c r="AR1609" s="157"/>
      <c r="AS1609" s="158"/>
      <c r="AT1609" s="159"/>
      <c r="AU1609" s="161"/>
      <c r="AV1609" s="156"/>
      <c r="AW1609" s="162"/>
      <c r="AX1609" s="163"/>
      <c r="AY1609" s="164"/>
      <c r="AZ1609" s="159"/>
      <c r="BA1609" s="161"/>
      <c r="BB1609" s="165"/>
      <c r="BF1609" s="155"/>
    </row>
    <row r="1610" spans="1:58" s="154" customFormat="1" ht="15" customHeight="1">
      <c r="A1610" s="153" t="s">
        <v>5693</v>
      </c>
      <c r="B1610" s="23" t="s">
        <v>6069</v>
      </c>
      <c r="C1610" s="154" t="s">
        <v>5695</v>
      </c>
      <c r="D1610" s="155">
        <v>99</v>
      </c>
      <c r="E1610" s="154">
        <v>3</v>
      </c>
      <c r="F1610" s="154" t="s">
        <v>6112</v>
      </c>
      <c r="G1610" s="154" t="s">
        <v>6070</v>
      </c>
      <c r="J1610" s="154" t="s">
        <v>28</v>
      </c>
      <c r="K1610" s="171" t="s">
        <v>2426</v>
      </c>
      <c r="N1610" s="155"/>
      <c r="O1610" s="156"/>
      <c r="P1610" s="157"/>
      <c r="Q1610" s="158"/>
      <c r="R1610" s="159"/>
      <c r="S1610" s="160"/>
      <c r="T1610" s="161"/>
      <c r="U1610" s="156"/>
      <c r="V1610" s="162"/>
      <c r="W1610" s="163"/>
      <c r="X1610" s="164"/>
      <c r="Y1610" s="159"/>
      <c r="Z1610" s="161"/>
      <c r="AA1610" s="165"/>
      <c r="AD1610" s="154" t="s">
        <v>439</v>
      </c>
      <c r="AE1610" s="155"/>
      <c r="AF1610" s="154" t="s">
        <v>6071</v>
      </c>
      <c r="AP1610" s="155"/>
      <c r="AQ1610" s="156"/>
      <c r="AR1610" s="157"/>
      <c r="AS1610" s="158"/>
      <c r="AT1610" s="159"/>
      <c r="AU1610" s="161"/>
      <c r="AV1610" s="156"/>
      <c r="AW1610" s="162"/>
      <c r="AX1610" s="163"/>
      <c r="AY1610" s="164"/>
      <c r="AZ1610" s="159"/>
      <c r="BA1610" s="161"/>
      <c r="BB1610" s="165"/>
      <c r="BF1610" s="155"/>
    </row>
    <row r="1611" spans="1:58" s="154" customFormat="1" ht="15" customHeight="1">
      <c r="A1611" s="153" t="s">
        <v>5693</v>
      </c>
      <c r="B1611" s="23" t="s">
        <v>6072</v>
      </c>
      <c r="C1611" s="154" t="s">
        <v>5695</v>
      </c>
      <c r="D1611" s="155">
        <v>100</v>
      </c>
      <c r="E1611" s="154">
        <v>1</v>
      </c>
      <c r="F1611" s="154" t="s">
        <v>6113</v>
      </c>
      <c r="G1611" s="154" t="s">
        <v>6073</v>
      </c>
      <c r="J1611" s="154" t="s">
        <v>29</v>
      </c>
      <c r="K1611" s="171" t="s">
        <v>2426</v>
      </c>
      <c r="N1611" s="155"/>
      <c r="O1611" s="156"/>
      <c r="P1611" s="157"/>
      <c r="Q1611" s="158">
        <v>3</v>
      </c>
      <c r="R1611" s="159">
        <v>3</v>
      </c>
      <c r="S1611" s="160"/>
      <c r="T1611" s="161">
        <v>4</v>
      </c>
      <c r="U1611" s="156"/>
      <c r="V1611" s="162">
        <v>1</v>
      </c>
      <c r="W1611" s="163">
        <v>1</v>
      </c>
      <c r="X1611" s="164"/>
      <c r="Y1611" s="159"/>
      <c r="Z1611" s="161"/>
      <c r="AA1611" s="165">
        <v>1</v>
      </c>
      <c r="AD1611" s="154" t="s">
        <v>6074</v>
      </c>
      <c r="AE1611" s="155"/>
      <c r="AF1611" s="154" t="s">
        <v>6075</v>
      </c>
      <c r="AP1611" s="155"/>
      <c r="AQ1611" s="156"/>
      <c r="AR1611" s="157"/>
      <c r="AS1611" s="158"/>
      <c r="AT1611" s="159"/>
      <c r="AU1611" s="161"/>
      <c r="AV1611" s="156"/>
      <c r="AW1611" s="162"/>
      <c r="AX1611" s="163"/>
      <c r="AY1611" s="164"/>
      <c r="AZ1611" s="159"/>
      <c r="BA1611" s="161"/>
      <c r="BB1611" s="165"/>
      <c r="BF1611" s="155"/>
    </row>
    <row r="1612" spans="1:58" s="154" customFormat="1" ht="15" customHeight="1">
      <c r="A1612" s="153" t="s">
        <v>5693</v>
      </c>
      <c r="B1612" s="23" t="s">
        <v>6076</v>
      </c>
      <c r="C1612" s="154" t="s">
        <v>5695</v>
      </c>
      <c r="D1612" s="155">
        <v>101</v>
      </c>
      <c r="E1612" s="154">
        <v>2</v>
      </c>
      <c r="F1612" s="154" t="s">
        <v>6113</v>
      </c>
      <c r="G1612" s="154" t="s">
        <v>6077</v>
      </c>
      <c r="J1612" s="154" t="s">
        <v>29</v>
      </c>
      <c r="K1612" s="154" t="s">
        <v>2426</v>
      </c>
      <c r="N1612" s="155"/>
      <c r="O1612" s="156"/>
      <c r="P1612" s="157"/>
      <c r="Q1612" s="158">
        <v>2</v>
      </c>
      <c r="R1612" s="159">
        <v>1</v>
      </c>
      <c r="S1612" s="160"/>
      <c r="T1612" s="161">
        <v>3</v>
      </c>
      <c r="U1612" s="156"/>
      <c r="V1612" s="162">
        <v>1</v>
      </c>
      <c r="W1612" s="163"/>
      <c r="X1612" s="164"/>
      <c r="Y1612" s="159"/>
      <c r="Z1612" s="161"/>
      <c r="AA1612" s="165"/>
      <c r="AD1612" s="154" t="s">
        <v>6074</v>
      </c>
      <c r="AE1612" s="155"/>
      <c r="AF1612" s="154" t="s">
        <v>6078</v>
      </c>
      <c r="AP1612" s="155"/>
      <c r="AQ1612" s="156"/>
      <c r="AR1612" s="157"/>
      <c r="AS1612" s="158"/>
      <c r="AT1612" s="159"/>
      <c r="AU1612" s="161"/>
      <c r="AV1612" s="156"/>
      <c r="AW1612" s="162"/>
      <c r="AX1612" s="163"/>
      <c r="AY1612" s="164"/>
      <c r="AZ1612" s="159"/>
      <c r="BA1612" s="161"/>
      <c r="BB1612" s="165"/>
      <c r="BF1612" s="155"/>
    </row>
    <row r="1613" spans="1:58" s="154" customFormat="1" ht="15" customHeight="1">
      <c r="A1613" s="153" t="s">
        <v>5693</v>
      </c>
      <c r="B1613" s="23" t="s">
        <v>6079</v>
      </c>
      <c r="C1613" s="154" t="s">
        <v>5695</v>
      </c>
      <c r="D1613" s="155">
        <v>102</v>
      </c>
      <c r="E1613" s="154">
        <v>2</v>
      </c>
      <c r="F1613" s="154" t="s">
        <v>6113</v>
      </c>
      <c r="G1613" s="154" t="s">
        <v>6080</v>
      </c>
      <c r="J1613" s="154" t="s">
        <v>28</v>
      </c>
      <c r="K1613" s="154" t="s">
        <v>2426</v>
      </c>
      <c r="N1613" s="155"/>
      <c r="O1613" s="156"/>
      <c r="P1613" s="157"/>
      <c r="Q1613" s="158"/>
      <c r="R1613" s="159"/>
      <c r="S1613" s="160"/>
      <c r="T1613" s="161"/>
      <c r="U1613" s="156"/>
      <c r="V1613" s="162"/>
      <c r="W1613" s="163"/>
      <c r="X1613" s="164"/>
      <c r="Y1613" s="159"/>
      <c r="Z1613" s="161"/>
      <c r="AA1613" s="165"/>
      <c r="AD1613" s="154" t="s">
        <v>6081</v>
      </c>
      <c r="AE1613" s="155"/>
      <c r="AF1613" s="154" t="s">
        <v>6082</v>
      </c>
      <c r="AP1613" s="155"/>
      <c r="AQ1613" s="156"/>
      <c r="AR1613" s="157"/>
      <c r="AS1613" s="158"/>
      <c r="AT1613" s="159"/>
      <c r="AU1613" s="161"/>
      <c r="AV1613" s="156"/>
      <c r="AW1613" s="162"/>
      <c r="AX1613" s="163"/>
      <c r="AY1613" s="164"/>
      <c r="AZ1613" s="159"/>
      <c r="BA1613" s="161"/>
      <c r="BB1613" s="165"/>
      <c r="BF1613" s="155"/>
    </row>
    <row r="1614" spans="1:58" s="154" customFormat="1" ht="15" customHeight="1">
      <c r="A1614" s="153" t="s">
        <v>5693</v>
      </c>
      <c r="B1614" s="23" t="s">
        <v>6083</v>
      </c>
      <c r="C1614" s="154" t="s">
        <v>5695</v>
      </c>
      <c r="D1614" s="155">
        <v>103</v>
      </c>
      <c r="E1614" s="154">
        <v>2</v>
      </c>
      <c r="F1614" s="154" t="s">
        <v>6088</v>
      </c>
      <c r="G1614" s="154" t="s">
        <v>6084</v>
      </c>
      <c r="J1614" s="154" t="s">
        <v>29</v>
      </c>
      <c r="K1614" s="154" t="s">
        <v>2426</v>
      </c>
      <c r="N1614" s="155"/>
      <c r="O1614" s="156"/>
      <c r="P1614" s="157"/>
      <c r="Q1614" s="158">
        <v>2</v>
      </c>
      <c r="R1614" s="159">
        <v>2</v>
      </c>
      <c r="S1614" s="160"/>
      <c r="T1614" s="161">
        <v>2</v>
      </c>
      <c r="U1614" s="156"/>
      <c r="V1614" s="162"/>
      <c r="W1614" s="163">
        <v>2</v>
      </c>
      <c r="X1614" s="164"/>
      <c r="Y1614" s="159"/>
      <c r="Z1614" s="161"/>
      <c r="AA1614" s="165"/>
      <c r="AD1614" s="154" t="s">
        <v>6085</v>
      </c>
      <c r="AE1614" s="155"/>
      <c r="AF1614" s="154" t="s">
        <v>6086</v>
      </c>
      <c r="AP1614" s="155"/>
      <c r="AQ1614" s="156"/>
      <c r="AR1614" s="157"/>
      <c r="AS1614" s="158"/>
      <c r="AT1614" s="159"/>
      <c r="AU1614" s="161"/>
      <c r="AV1614" s="156"/>
      <c r="AW1614" s="162"/>
      <c r="AX1614" s="163"/>
      <c r="AY1614" s="164"/>
      <c r="AZ1614" s="159"/>
      <c r="BA1614" s="161"/>
      <c r="BB1614" s="165"/>
      <c r="BF1614" s="155"/>
    </row>
    <row r="1615" spans="1:58" s="154" customFormat="1" ht="15" customHeight="1">
      <c r="A1615" s="153" t="s">
        <v>5693</v>
      </c>
      <c r="B1615" s="23" t="s">
        <v>6087</v>
      </c>
      <c r="C1615" s="154" t="s">
        <v>5695</v>
      </c>
      <c r="D1615" s="155">
        <v>104</v>
      </c>
      <c r="E1615" s="154">
        <v>2</v>
      </c>
      <c r="F1615" s="154" t="s">
        <v>6088</v>
      </c>
      <c r="G1615" s="154" t="s">
        <v>6088</v>
      </c>
      <c r="J1615" s="154" t="s">
        <v>28</v>
      </c>
      <c r="K1615" s="154" t="s">
        <v>2426</v>
      </c>
      <c r="N1615" s="155"/>
      <c r="O1615" s="156"/>
      <c r="P1615" s="157"/>
      <c r="Q1615" s="158"/>
      <c r="R1615" s="159"/>
      <c r="S1615" s="160"/>
      <c r="T1615" s="161"/>
      <c r="U1615" s="156"/>
      <c r="V1615" s="162"/>
      <c r="W1615" s="163"/>
      <c r="X1615" s="164"/>
      <c r="Y1615" s="159"/>
      <c r="Z1615" s="161"/>
      <c r="AA1615" s="165"/>
      <c r="AD1615" s="154" t="s">
        <v>6089</v>
      </c>
      <c r="AE1615" s="155"/>
      <c r="AF1615" s="154" t="s">
        <v>6090</v>
      </c>
      <c r="AP1615" s="155"/>
      <c r="AQ1615" s="156"/>
      <c r="AR1615" s="157"/>
      <c r="AS1615" s="158"/>
      <c r="AT1615" s="159"/>
      <c r="AU1615" s="161"/>
      <c r="AV1615" s="156"/>
      <c r="AW1615" s="162"/>
      <c r="AX1615" s="163"/>
      <c r="AY1615" s="164"/>
      <c r="AZ1615" s="159"/>
      <c r="BA1615" s="161"/>
      <c r="BB1615" s="165"/>
      <c r="BF1615" s="155"/>
    </row>
    <row r="1616" spans="1:58" s="154" customFormat="1" ht="15" customHeight="1">
      <c r="A1616" s="153" t="s">
        <v>5693</v>
      </c>
      <c r="B1616" s="23" t="s">
        <v>6091</v>
      </c>
      <c r="C1616" s="154" t="s">
        <v>5695</v>
      </c>
      <c r="D1616" s="155">
        <v>105</v>
      </c>
      <c r="E1616" s="154">
        <v>2</v>
      </c>
      <c r="F1616" s="154" t="s">
        <v>6114</v>
      </c>
      <c r="G1616" s="154" t="s">
        <v>6092</v>
      </c>
      <c r="J1616" s="154" t="s">
        <v>28</v>
      </c>
      <c r="K1616" s="154" t="s">
        <v>2426</v>
      </c>
      <c r="N1616" s="155"/>
      <c r="O1616" s="156"/>
      <c r="P1616" s="157"/>
      <c r="Q1616" s="158"/>
      <c r="R1616" s="159"/>
      <c r="S1616" s="160"/>
      <c r="T1616" s="161"/>
      <c r="U1616" s="156"/>
      <c r="V1616" s="162"/>
      <c r="W1616" s="163"/>
      <c r="X1616" s="164"/>
      <c r="Y1616" s="159"/>
      <c r="Z1616" s="161"/>
      <c r="AA1616" s="165"/>
      <c r="AD1616" s="154" t="s">
        <v>6089</v>
      </c>
      <c r="AE1616" s="155"/>
      <c r="AF1616" s="154" t="s">
        <v>6093</v>
      </c>
      <c r="AP1616" s="155"/>
      <c r="AQ1616" s="156"/>
      <c r="AR1616" s="157"/>
      <c r="AS1616" s="158"/>
      <c r="AT1616" s="159"/>
      <c r="AU1616" s="161"/>
      <c r="AV1616" s="156"/>
      <c r="AW1616" s="162"/>
      <c r="AX1616" s="163"/>
      <c r="AY1616" s="164"/>
      <c r="AZ1616" s="159"/>
      <c r="BA1616" s="161"/>
      <c r="BB1616" s="165"/>
      <c r="BF1616" s="155"/>
    </row>
    <row r="1617" spans="1:58" s="154" customFormat="1" ht="15" customHeight="1">
      <c r="A1617" s="153" t="s">
        <v>5693</v>
      </c>
      <c r="B1617" s="30" t="s">
        <v>6094</v>
      </c>
      <c r="C1617" s="154" t="s">
        <v>5695</v>
      </c>
      <c r="D1617" s="155">
        <v>106</v>
      </c>
      <c r="E1617" s="154">
        <v>2</v>
      </c>
      <c r="F1617" s="154" t="s">
        <v>6114</v>
      </c>
      <c r="G1617" s="154" t="s">
        <v>6095</v>
      </c>
      <c r="J1617" s="154" t="s">
        <v>28</v>
      </c>
      <c r="K1617" s="154" t="s">
        <v>2426</v>
      </c>
      <c r="N1617" s="155"/>
      <c r="O1617" s="156"/>
      <c r="P1617" s="157"/>
      <c r="Q1617" s="158"/>
      <c r="R1617" s="159"/>
      <c r="S1617" s="160"/>
      <c r="T1617" s="161"/>
      <c r="U1617" s="156"/>
      <c r="V1617" s="162"/>
      <c r="W1617" s="163"/>
      <c r="X1617" s="164"/>
      <c r="Y1617" s="159"/>
      <c r="Z1617" s="161"/>
      <c r="AA1617" s="165"/>
      <c r="AD1617" s="154" t="s">
        <v>6089</v>
      </c>
      <c r="AE1617" s="155"/>
      <c r="AF1617" s="154" t="s">
        <v>6096</v>
      </c>
      <c r="AP1617" s="155"/>
      <c r="AQ1617" s="156"/>
      <c r="AR1617" s="157"/>
      <c r="AS1617" s="158"/>
      <c r="AT1617" s="159"/>
      <c r="AU1617" s="161"/>
      <c r="AV1617" s="156"/>
      <c r="AW1617" s="162"/>
      <c r="AX1617" s="163"/>
      <c r="AY1617" s="164"/>
      <c r="AZ1617" s="159"/>
      <c r="BA1617" s="161"/>
      <c r="BB1617" s="165"/>
      <c r="BF1617" s="155"/>
    </row>
    <row r="1618" spans="1:58" s="154" customFormat="1" ht="15" customHeight="1">
      <c r="A1618" s="153" t="s">
        <v>5693</v>
      </c>
      <c r="B1618" s="23" t="s">
        <v>6097</v>
      </c>
      <c r="C1618" s="154" t="s">
        <v>5695</v>
      </c>
      <c r="D1618" s="155">
        <v>107</v>
      </c>
      <c r="E1618" s="154">
        <v>3</v>
      </c>
      <c r="F1618" s="154" t="s">
        <v>6115</v>
      </c>
      <c r="G1618" s="154" t="s">
        <v>6098</v>
      </c>
      <c r="J1618" s="154" t="s">
        <v>28</v>
      </c>
      <c r="K1618" s="154" t="s">
        <v>2426</v>
      </c>
      <c r="N1618" s="155"/>
      <c r="O1618" s="156"/>
      <c r="P1618" s="157"/>
      <c r="Q1618" s="158"/>
      <c r="R1618" s="159"/>
      <c r="S1618" s="160"/>
      <c r="T1618" s="161"/>
      <c r="U1618" s="156"/>
      <c r="V1618" s="162"/>
      <c r="W1618" s="163"/>
      <c r="X1618" s="164"/>
      <c r="Y1618" s="159"/>
      <c r="Z1618" s="161"/>
      <c r="AA1618" s="165"/>
      <c r="AD1618" s="154" t="s">
        <v>6089</v>
      </c>
      <c r="AE1618" s="155"/>
      <c r="AF1618" s="154" t="s">
        <v>6099</v>
      </c>
      <c r="AP1618" s="155"/>
      <c r="AQ1618" s="156"/>
      <c r="AR1618" s="157"/>
      <c r="AS1618" s="158"/>
      <c r="AT1618" s="159"/>
      <c r="AU1618" s="161"/>
      <c r="AV1618" s="156"/>
      <c r="AW1618" s="162"/>
      <c r="AX1618" s="163"/>
      <c r="AY1618" s="164"/>
      <c r="AZ1618" s="159"/>
      <c r="BA1618" s="161"/>
      <c r="BB1618" s="165"/>
      <c r="BF1618" s="155"/>
    </row>
    <row r="1619" spans="1:58" s="154" customFormat="1" ht="15" customHeight="1">
      <c r="A1619" s="153" t="s">
        <v>5693</v>
      </c>
      <c r="B1619" s="23" t="s">
        <v>6100</v>
      </c>
      <c r="C1619" s="154" t="s">
        <v>5695</v>
      </c>
      <c r="D1619" s="155">
        <v>108</v>
      </c>
      <c r="E1619" s="154">
        <v>3</v>
      </c>
      <c r="F1619" s="154" t="s">
        <v>6115</v>
      </c>
      <c r="G1619" s="154" t="s">
        <v>6101</v>
      </c>
      <c r="J1619" s="154" t="s">
        <v>28</v>
      </c>
      <c r="K1619" s="154" t="s">
        <v>2426</v>
      </c>
      <c r="N1619" s="155"/>
      <c r="O1619" s="156"/>
      <c r="P1619" s="157"/>
      <c r="Q1619" s="158"/>
      <c r="R1619" s="159"/>
      <c r="S1619" s="160"/>
      <c r="T1619" s="161"/>
      <c r="U1619" s="156"/>
      <c r="V1619" s="162"/>
      <c r="W1619" s="163"/>
      <c r="X1619" s="164"/>
      <c r="Y1619" s="159"/>
      <c r="Z1619" s="161"/>
      <c r="AA1619" s="165"/>
      <c r="AD1619" s="154" t="s">
        <v>6081</v>
      </c>
      <c r="AE1619" s="155"/>
      <c r="AF1619" s="154" t="s">
        <v>6102</v>
      </c>
      <c r="AP1619" s="155"/>
      <c r="AQ1619" s="156"/>
      <c r="AR1619" s="157"/>
      <c r="AS1619" s="158"/>
      <c r="AT1619" s="159"/>
      <c r="AU1619" s="161"/>
      <c r="AV1619" s="156"/>
      <c r="AW1619" s="162"/>
      <c r="AX1619" s="163"/>
      <c r="AY1619" s="164"/>
      <c r="AZ1619" s="159"/>
      <c r="BA1619" s="161"/>
      <c r="BB1619" s="165"/>
      <c r="BF1619" s="155"/>
    </row>
    <row r="1620" spans="1:58" ht="15" customHeight="1">
      <c r="A1620" s="153" t="s">
        <v>5693</v>
      </c>
      <c r="B1620" s="23" t="s">
        <v>5849</v>
      </c>
      <c r="C1620" s="154" t="s">
        <v>5695</v>
      </c>
      <c r="D1620" s="24">
        <v>990</v>
      </c>
      <c r="E1620" s="23">
        <v>1</v>
      </c>
      <c r="G1620" s="171" t="s">
        <v>5696</v>
      </c>
      <c r="J1620" s="23" t="s">
        <v>861</v>
      </c>
      <c r="K1620" s="28" t="s">
        <v>198</v>
      </c>
      <c r="N1620" s="147"/>
      <c r="O1620" s="118"/>
      <c r="P1620" s="119"/>
      <c r="Q1620" s="120"/>
      <c r="R1620" s="29"/>
      <c r="S1620" s="135"/>
      <c r="T1620" s="122"/>
      <c r="U1620" s="118"/>
      <c r="V1620" s="123"/>
      <c r="W1620" s="124"/>
      <c r="X1620" s="125"/>
      <c r="Y1620" s="29"/>
      <c r="Z1620" s="122"/>
      <c r="AA1620" s="126"/>
      <c r="AB1620" s="148"/>
      <c r="AI1620" s="171" t="s">
        <v>5696</v>
      </c>
      <c r="AL1620" s="23" t="s">
        <v>861</v>
      </c>
      <c r="AM1620" s="28" t="s">
        <v>198</v>
      </c>
      <c r="AP1620" s="24"/>
      <c r="AQ1620" s="118"/>
      <c r="AR1620" s="119"/>
      <c r="AS1620" s="120"/>
      <c r="AT1620" s="29"/>
      <c r="AU1620" s="122"/>
      <c r="AV1620" s="118"/>
      <c r="AW1620" s="123"/>
      <c r="AX1620" s="124"/>
      <c r="AY1620" s="125"/>
      <c r="AZ1620" s="29"/>
      <c r="BA1620" s="122"/>
      <c r="BB1620" s="126"/>
    </row>
    <row r="1621" spans="1:58" ht="15" customHeight="1">
      <c r="A1621" s="153" t="s">
        <v>5693</v>
      </c>
      <c r="B1621" s="23" t="s">
        <v>5850</v>
      </c>
      <c r="C1621" s="154" t="s">
        <v>5695</v>
      </c>
      <c r="D1621" s="24">
        <v>991</v>
      </c>
      <c r="E1621" s="23">
        <v>1</v>
      </c>
      <c r="G1621" s="154" t="s">
        <v>5702</v>
      </c>
      <c r="J1621" s="23" t="s">
        <v>861</v>
      </c>
      <c r="K1621" s="23" t="s">
        <v>199</v>
      </c>
      <c r="N1621" s="147"/>
      <c r="O1621" s="118"/>
      <c r="P1621" s="119"/>
      <c r="Q1621" s="120"/>
      <c r="R1621" s="29"/>
      <c r="S1621" s="135"/>
      <c r="T1621" s="122"/>
      <c r="U1621" s="118"/>
      <c r="V1621" s="123"/>
      <c r="W1621" s="124"/>
      <c r="X1621" s="125"/>
      <c r="Y1621" s="29"/>
      <c r="Z1621" s="122"/>
      <c r="AA1621" s="126"/>
      <c r="AB1621" s="148"/>
      <c r="AI1621" s="154" t="s">
        <v>5702</v>
      </c>
      <c r="AL1621" s="23" t="s">
        <v>861</v>
      </c>
      <c r="AM1621" s="23" t="s">
        <v>199</v>
      </c>
      <c r="AP1621" s="24"/>
      <c r="AQ1621" s="118"/>
      <c r="AR1621" s="119"/>
      <c r="AS1621" s="120"/>
      <c r="AT1621" s="29"/>
      <c r="AU1621" s="122"/>
      <c r="AV1621" s="118"/>
      <c r="AW1621" s="123"/>
      <c r="AX1621" s="124"/>
      <c r="AY1621" s="125"/>
      <c r="AZ1621" s="29"/>
      <c r="BA1621" s="122"/>
      <c r="BB1621" s="126"/>
    </row>
    <row r="1622" spans="1:58" ht="15" customHeight="1">
      <c r="A1622" s="153" t="s">
        <v>5693</v>
      </c>
      <c r="B1622" s="23" t="s">
        <v>5851</v>
      </c>
      <c r="C1622" s="154" t="s">
        <v>5695</v>
      </c>
      <c r="D1622" s="24">
        <v>992</v>
      </c>
      <c r="E1622" s="23">
        <v>1</v>
      </c>
      <c r="G1622" s="154" t="s">
        <v>5708</v>
      </c>
      <c r="J1622" s="23" t="s">
        <v>861</v>
      </c>
      <c r="K1622" s="23" t="s">
        <v>201</v>
      </c>
      <c r="N1622" s="147"/>
      <c r="O1622" s="118"/>
      <c r="P1622" s="119"/>
      <c r="Q1622" s="120"/>
      <c r="R1622" s="29"/>
      <c r="S1622" s="135"/>
      <c r="T1622" s="122"/>
      <c r="U1622" s="118"/>
      <c r="V1622" s="123"/>
      <c r="W1622" s="124"/>
      <c r="X1622" s="125"/>
      <c r="Y1622" s="29"/>
      <c r="Z1622" s="122"/>
      <c r="AA1622" s="126"/>
      <c r="AB1622" s="148"/>
      <c r="AI1622" s="154" t="s">
        <v>5708</v>
      </c>
      <c r="AL1622" s="23" t="s">
        <v>861</v>
      </c>
      <c r="AM1622" s="23" t="s">
        <v>201</v>
      </c>
      <c r="AP1622" s="24"/>
      <c r="AQ1622" s="118"/>
      <c r="AR1622" s="119"/>
      <c r="AS1622" s="120"/>
      <c r="AT1622" s="29"/>
      <c r="AU1622" s="122"/>
      <c r="AV1622" s="118"/>
      <c r="AW1622" s="123"/>
      <c r="AX1622" s="124"/>
      <c r="AY1622" s="125"/>
      <c r="AZ1622" s="29"/>
      <c r="BA1622" s="122"/>
      <c r="BB1622" s="126"/>
    </row>
    <row r="1623" spans="1:58" ht="15" customHeight="1">
      <c r="A1623" s="153" t="s">
        <v>5693</v>
      </c>
      <c r="B1623" s="23" t="s">
        <v>5852</v>
      </c>
      <c r="C1623" s="154" t="s">
        <v>5695</v>
      </c>
      <c r="D1623" s="24">
        <v>993</v>
      </c>
      <c r="E1623" s="23">
        <v>1</v>
      </c>
      <c r="G1623" s="154" t="s">
        <v>5714</v>
      </c>
      <c r="J1623" s="23" t="s">
        <v>861</v>
      </c>
      <c r="K1623" s="23" t="s">
        <v>200</v>
      </c>
      <c r="N1623" s="147"/>
      <c r="O1623" s="118"/>
      <c r="P1623" s="119"/>
      <c r="Q1623" s="120"/>
      <c r="R1623" s="29"/>
      <c r="S1623" s="135"/>
      <c r="T1623" s="122"/>
      <c r="U1623" s="118"/>
      <c r="V1623" s="123"/>
      <c r="W1623" s="124"/>
      <c r="X1623" s="125"/>
      <c r="Y1623" s="29"/>
      <c r="Z1623" s="122"/>
      <c r="AA1623" s="126"/>
      <c r="AB1623" s="148"/>
      <c r="AI1623" s="154" t="s">
        <v>5714</v>
      </c>
      <c r="AL1623" s="23" t="s">
        <v>861</v>
      </c>
      <c r="AM1623" s="23" t="s">
        <v>200</v>
      </c>
      <c r="AP1623" s="24"/>
      <c r="AQ1623" s="118"/>
      <c r="AR1623" s="119"/>
      <c r="AS1623" s="120"/>
      <c r="AT1623" s="29"/>
      <c r="AU1623" s="122"/>
      <c r="AV1623" s="118"/>
      <c r="AW1623" s="123"/>
      <c r="AX1623" s="124"/>
      <c r="AY1623" s="125"/>
      <c r="AZ1623" s="29"/>
      <c r="BA1623" s="122"/>
      <c r="BB1623" s="126"/>
    </row>
    <row r="1624" spans="1:58" ht="15" customHeight="1">
      <c r="A1624" s="153" t="s">
        <v>5693</v>
      </c>
      <c r="B1624" s="23" t="s">
        <v>5853</v>
      </c>
      <c r="C1624" s="154" t="s">
        <v>5695</v>
      </c>
      <c r="D1624" s="24">
        <v>994</v>
      </c>
      <c r="E1624" s="23">
        <v>1</v>
      </c>
      <c r="G1624" s="154" t="s">
        <v>5720</v>
      </c>
      <c r="J1624" s="23" t="s">
        <v>861</v>
      </c>
      <c r="K1624" s="23" t="s">
        <v>202</v>
      </c>
      <c r="N1624" s="147"/>
      <c r="O1624" s="118"/>
      <c r="P1624" s="119"/>
      <c r="Q1624" s="120"/>
      <c r="R1624" s="29"/>
      <c r="S1624" s="135"/>
      <c r="T1624" s="122"/>
      <c r="U1624" s="118"/>
      <c r="V1624" s="123"/>
      <c r="W1624" s="124"/>
      <c r="X1624" s="125"/>
      <c r="Y1624" s="29"/>
      <c r="Z1624" s="122"/>
      <c r="AA1624" s="126"/>
      <c r="AB1624" s="148"/>
      <c r="AI1624" s="154" t="s">
        <v>5720</v>
      </c>
      <c r="AL1624" s="23" t="s">
        <v>861</v>
      </c>
      <c r="AM1624" s="23" t="s">
        <v>202</v>
      </c>
      <c r="AP1624" s="24"/>
      <c r="AQ1624" s="118"/>
      <c r="AR1624" s="119"/>
      <c r="AS1624" s="120"/>
      <c r="AT1624" s="29"/>
      <c r="AU1624" s="122"/>
      <c r="AV1624" s="118"/>
      <c r="AW1624" s="123"/>
      <c r="AX1624" s="124"/>
      <c r="AY1624" s="125"/>
      <c r="AZ1624" s="29"/>
      <c r="BA1624" s="122"/>
      <c r="BB1624" s="126"/>
    </row>
    <row r="1625" spans="1:58" ht="15" customHeight="1">
      <c r="A1625" s="153" t="s">
        <v>5693</v>
      </c>
      <c r="B1625" s="23" t="s">
        <v>5854</v>
      </c>
      <c r="C1625" s="154" t="s">
        <v>5695</v>
      </c>
      <c r="D1625" s="24">
        <v>995</v>
      </c>
      <c r="E1625" s="23">
        <v>1</v>
      </c>
      <c r="G1625" s="154" t="s">
        <v>1114</v>
      </c>
      <c r="J1625" s="23" t="s">
        <v>861</v>
      </c>
      <c r="K1625" s="23" t="s">
        <v>200</v>
      </c>
      <c r="N1625" s="147"/>
      <c r="O1625" s="118"/>
      <c r="P1625" s="119"/>
      <c r="Q1625" s="120"/>
      <c r="R1625" s="29"/>
      <c r="S1625" s="135"/>
      <c r="T1625" s="122"/>
      <c r="U1625" s="118"/>
      <c r="V1625" s="123"/>
      <c r="W1625" s="124"/>
      <c r="X1625" s="125"/>
      <c r="Y1625" s="29"/>
      <c r="Z1625" s="122"/>
      <c r="AA1625" s="126"/>
      <c r="AB1625" s="148"/>
      <c r="AI1625" s="154" t="s">
        <v>1114</v>
      </c>
      <c r="AL1625" s="23" t="s">
        <v>861</v>
      </c>
      <c r="AM1625" s="23" t="s">
        <v>200</v>
      </c>
      <c r="AP1625" s="24"/>
      <c r="AQ1625" s="118"/>
      <c r="AR1625" s="119"/>
      <c r="AS1625" s="120"/>
      <c r="AT1625" s="29"/>
      <c r="AU1625" s="122"/>
      <c r="AV1625" s="118"/>
      <c r="AW1625" s="123"/>
      <c r="AX1625" s="124"/>
      <c r="AY1625" s="125"/>
      <c r="AZ1625" s="29"/>
      <c r="BA1625" s="122"/>
      <c r="BB1625" s="126"/>
    </row>
    <row r="1626" spans="1:58" s="154" customFormat="1" ht="15" customHeight="1">
      <c r="A1626" s="153" t="s">
        <v>5693</v>
      </c>
      <c r="B1626" s="23" t="s">
        <v>6103</v>
      </c>
      <c r="C1626" s="154" t="s">
        <v>5695</v>
      </c>
      <c r="D1626" s="24">
        <v>996</v>
      </c>
      <c r="E1626" s="154">
        <v>1</v>
      </c>
      <c r="F1626" s="171" t="s">
        <v>5862</v>
      </c>
      <c r="G1626" s="154" t="s">
        <v>5875</v>
      </c>
      <c r="J1626" s="23" t="s">
        <v>861</v>
      </c>
      <c r="K1626" s="23" t="s">
        <v>26</v>
      </c>
      <c r="N1626" s="155"/>
      <c r="O1626" s="156"/>
      <c r="P1626" s="157"/>
      <c r="Q1626" s="158"/>
      <c r="R1626" s="159"/>
      <c r="S1626" s="160"/>
      <c r="T1626" s="161"/>
      <c r="U1626" s="156"/>
      <c r="V1626" s="162"/>
      <c r="W1626" s="163"/>
      <c r="X1626" s="164"/>
      <c r="Y1626" s="159"/>
      <c r="Z1626" s="161"/>
      <c r="AA1626" s="165"/>
      <c r="AE1626" s="155"/>
      <c r="AI1626" s="154" t="s">
        <v>5875</v>
      </c>
      <c r="AL1626" s="23" t="s">
        <v>861</v>
      </c>
      <c r="AM1626" s="23" t="s">
        <v>26</v>
      </c>
      <c r="AP1626" s="155"/>
      <c r="AQ1626" s="156"/>
      <c r="AR1626" s="157"/>
      <c r="AS1626" s="158"/>
      <c r="AT1626" s="159"/>
      <c r="AU1626" s="161"/>
      <c r="AV1626" s="156"/>
      <c r="AW1626" s="162"/>
      <c r="AX1626" s="163"/>
      <c r="AY1626" s="164"/>
      <c r="AZ1626" s="159"/>
      <c r="BA1626" s="161"/>
      <c r="BB1626" s="165"/>
      <c r="BF1626" s="155"/>
    </row>
    <row r="1627" spans="1:58" s="154" customFormat="1" ht="15" customHeight="1">
      <c r="A1627" s="153" t="s">
        <v>5693</v>
      </c>
      <c r="B1627" s="23" t="s">
        <v>6104</v>
      </c>
      <c r="C1627" s="154" t="s">
        <v>5695</v>
      </c>
      <c r="D1627" s="24">
        <v>997</v>
      </c>
      <c r="E1627" s="154">
        <v>1</v>
      </c>
      <c r="F1627" s="171" t="s">
        <v>5862</v>
      </c>
      <c r="G1627" s="154" t="s">
        <v>5881</v>
      </c>
      <c r="J1627" s="23" t="s">
        <v>861</v>
      </c>
      <c r="K1627" s="23" t="s">
        <v>26</v>
      </c>
      <c r="N1627" s="155"/>
      <c r="O1627" s="156"/>
      <c r="P1627" s="157"/>
      <c r="Q1627" s="158"/>
      <c r="R1627" s="159"/>
      <c r="S1627" s="160"/>
      <c r="T1627" s="161"/>
      <c r="U1627" s="156"/>
      <c r="V1627" s="162"/>
      <c r="W1627" s="163"/>
      <c r="X1627" s="164"/>
      <c r="Y1627" s="159"/>
      <c r="Z1627" s="161"/>
      <c r="AA1627" s="165"/>
      <c r="AE1627" s="155"/>
      <c r="AI1627" s="154" t="s">
        <v>5881</v>
      </c>
      <c r="AL1627" s="23" t="s">
        <v>861</v>
      </c>
      <c r="AM1627" s="23" t="s">
        <v>26</v>
      </c>
      <c r="AP1627" s="155"/>
      <c r="AQ1627" s="156"/>
      <c r="AR1627" s="157"/>
      <c r="AS1627" s="158"/>
      <c r="AT1627" s="159"/>
      <c r="AU1627" s="161"/>
      <c r="AV1627" s="156"/>
      <c r="AW1627" s="162"/>
      <c r="AX1627" s="163"/>
      <c r="AY1627" s="164"/>
      <c r="AZ1627" s="159"/>
      <c r="BA1627" s="161"/>
      <c r="BB1627" s="165"/>
      <c r="BF1627" s="155"/>
    </row>
    <row r="1628" spans="1:58" s="154" customFormat="1" ht="15" customHeight="1">
      <c r="A1628" s="153" t="s">
        <v>5693</v>
      </c>
      <c r="B1628" s="23" t="s">
        <v>6105</v>
      </c>
      <c r="C1628" s="154" t="s">
        <v>5695</v>
      </c>
      <c r="D1628" s="24">
        <v>998</v>
      </c>
      <c r="E1628" s="154">
        <v>1</v>
      </c>
      <c r="F1628" s="171" t="s">
        <v>5862</v>
      </c>
      <c r="G1628" s="154" t="s">
        <v>5887</v>
      </c>
      <c r="J1628" s="23" t="s">
        <v>861</v>
      </c>
      <c r="K1628" s="23" t="s">
        <v>26</v>
      </c>
      <c r="N1628" s="155"/>
      <c r="O1628" s="156"/>
      <c r="P1628" s="157"/>
      <c r="Q1628" s="158"/>
      <c r="R1628" s="159"/>
      <c r="S1628" s="160"/>
      <c r="T1628" s="161"/>
      <c r="U1628" s="156"/>
      <c r="V1628" s="162"/>
      <c r="W1628" s="163"/>
      <c r="X1628" s="164"/>
      <c r="Y1628" s="159"/>
      <c r="Z1628" s="161"/>
      <c r="AA1628" s="165"/>
      <c r="AE1628" s="155"/>
      <c r="AI1628" s="154" t="s">
        <v>5887</v>
      </c>
      <c r="AL1628" s="23" t="s">
        <v>861</v>
      </c>
      <c r="AM1628" s="23" t="s">
        <v>26</v>
      </c>
      <c r="AP1628" s="155"/>
      <c r="AQ1628" s="156"/>
      <c r="AR1628" s="157"/>
      <c r="AS1628" s="158"/>
      <c r="AT1628" s="159"/>
      <c r="AU1628" s="161"/>
      <c r="AV1628" s="156"/>
      <c r="AW1628" s="162"/>
      <c r="AX1628" s="163"/>
      <c r="AY1628" s="164"/>
      <c r="AZ1628" s="159"/>
      <c r="BA1628" s="161"/>
      <c r="BB1628" s="165"/>
      <c r="BF1628" s="155"/>
    </row>
    <row r="1629" spans="1:58" s="154" customFormat="1" ht="15" customHeight="1">
      <c r="A1629" s="153" t="s">
        <v>5693</v>
      </c>
      <c r="B1629" s="23" t="s">
        <v>6106</v>
      </c>
      <c r="C1629" s="154" t="s">
        <v>5695</v>
      </c>
      <c r="D1629" s="24">
        <v>999</v>
      </c>
      <c r="E1629" s="154">
        <v>1</v>
      </c>
      <c r="F1629" s="171" t="s">
        <v>5862</v>
      </c>
      <c r="G1629" s="154" t="s">
        <v>5892</v>
      </c>
      <c r="J1629" s="23" t="s">
        <v>861</v>
      </c>
      <c r="K1629" s="23" t="s">
        <v>26</v>
      </c>
      <c r="N1629" s="155"/>
      <c r="O1629" s="156"/>
      <c r="P1629" s="157"/>
      <c r="Q1629" s="158"/>
      <c r="R1629" s="159"/>
      <c r="S1629" s="160"/>
      <c r="T1629" s="161"/>
      <c r="U1629" s="156"/>
      <c r="V1629" s="162"/>
      <c r="W1629" s="163"/>
      <c r="X1629" s="164"/>
      <c r="Y1629" s="159"/>
      <c r="Z1629" s="161"/>
      <c r="AA1629" s="165"/>
      <c r="AE1629" s="155"/>
      <c r="AI1629" s="154" t="s">
        <v>5892</v>
      </c>
      <c r="AL1629" s="23" t="s">
        <v>861</v>
      </c>
      <c r="AM1629" s="23" t="s">
        <v>26</v>
      </c>
      <c r="AP1629" s="155"/>
      <c r="AQ1629" s="156"/>
      <c r="AR1629" s="157"/>
      <c r="AS1629" s="158"/>
      <c r="AT1629" s="159"/>
      <c r="AU1629" s="161"/>
      <c r="AV1629" s="156"/>
      <c r="AW1629" s="162"/>
      <c r="AX1629" s="163"/>
      <c r="AY1629" s="164"/>
      <c r="AZ1629" s="159"/>
      <c r="BA1629" s="161"/>
      <c r="BB1629" s="165"/>
      <c r="BF1629"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AM1630:AM1048576 K1630:K1048576">
    <cfRule type="cellIs" dxfId="2495" priority="4261" operator="equal">
      <formula>"Seeker"</formula>
    </cfRule>
    <cfRule type="cellIs" dxfId="2494" priority="4262" operator="equal">
      <formula>"Neutral"</formula>
    </cfRule>
    <cfRule type="cellIs" dxfId="2493" priority="4263" operator="equal">
      <formula>"Rogue"</formula>
    </cfRule>
    <cfRule type="cellIs" dxfId="2492" priority="4264" operator="equal">
      <formula>"Guardian"</formula>
    </cfRule>
    <cfRule type="cellIs" dxfId="2491" priority="4265" operator="equal">
      <formula>"Survivor"</formula>
    </cfRule>
    <cfRule type="cellIs" dxfId="2490" priority="4266" operator="equal">
      <formula>"Mystic"</formula>
    </cfRule>
  </conditionalFormatting>
  <conditionalFormatting sqref="K2:K99 K101:K104 K234:K347">
    <cfRule type="cellIs" dxfId="2489" priority="4255" operator="equal">
      <formula>"seeker"</formula>
    </cfRule>
    <cfRule type="cellIs" dxfId="2488" priority="4256" operator="equal">
      <formula>"neutral"</formula>
    </cfRule>
    <cfRule type="cellIs" dxfId="2487" priority="4257" operator="equal">
      <formula>"rogue"</formula>
    </cfRule>
    <cfRule type="cellIs" dxfId="2486" priority="4258" operator="equal">
      <formula>"Guardian"</formula>
    </cfRule>
    <cfRule type="cellIs" dxfId="2485" priority="4259" operator="equal">
      <formula>"Survivor"</formula>
    </cfRule>
    <cfRule type="cellIs" dxfId="2484" priority="4260" operator="equal">
      <formula>"Mystic"</formula>
    </cfRule>
  </conditionalFormatting>
  <conditionalFormatting sqref="K134:K152 K158:K169 K171:K193 K105:K122 K195:K232 K124:K132">
    <cfRule type="cellIs" dxfId="2483" priority="4249" operator="equal">
      <formula>"seeker"</formula>
    </cfRule>
    <cfRule type="cellIs" dxfId="2482" priority="4250" operator="equal">
      <formula>"neutral"</formula>
    </cfRule>
    <cfRule type="cellIs" dxfId="2481" priority="4251" operator="equal">
      <formula>"rogue"</formula>
    </cfRule>
    <cfRule type="cellIs" dxfId="2480" priority="4252" operator="equal">
      <formula>"Guardian"</formula>
    </cfRule>
    <cfRule type="cellIs" dxfId="2479" priority="4253" operator="equal">
      <formula>"Survivor"</formula>
    </cfRule>
    <cfRule type="cellIs" dxfId="2478" priority="4254" operator="equal">
      <formula>"Mystic"</formula>
    </cfRule>
  </conditionalFormatting>
  <conditionalFormatting sqref="K100">
    <cfRule type="cellIs" dxfId="2477" priority="4243" operator="equal">
      <formula>"seeker"</formula>
    </cfRule>
    <cfRule type="cellIs" dxfId="2476" priority="4244" operator="equal">
      <formula>"neutral"</formula>
    </cfRule>
    <cfRule type="cellIs" dxfId="2475" priority="4245" operator="equal">
      <formula>"rogue"</formula>
    </cfRule>
    <cfRule type="cellIs" dxfId="2474" priority="4246" operator="equal">
      <formula>"Guardian"</formula>
    </cfRule>
    <cfRule type="cellIs" dxfId="2473" priority="4247" operator="equal">
      <formula>"Survivor"</formula>
    </cfRule>
    <cfRule type="cellIs" dxfId="2472" priority="4248" operator="equal">
      <formula>"Mystic"</formula>
    </cfRule>
  </conditionalFormatting>
  <conditionalFormatting sqref="AM112:AM116">
    <cfRule type="cellIs" dxfId="2471" priority="4237" operator="equal">
      <formula>"seeker"</formula>
    </cfRule>
    <cfRule type="cellIs" dxfId="2470" priority="4238" operator="equal">
      <formula>"neutral"</formula>
    </cfRule>
    <cfRule type="cellIs" dxfId="2469" priority="4239" operator="equal">
      <formula>"rogue"</formula>
    </cfRule>
    <cfRule type="cellIs" dxfId="2468" priority="4240" operator="equal">
      <formula>"Guardian"</formula>
    </cfRule>
    <cfRule type="cellIs" dxfId="2467" priority="4241" operator="equal">
      <formula>"Survivor"</formula>
    </cfRule>
    <cfRule type="cellIs" dxfId="2466" priority="4242" operator="equal">
      <formula>"Mystic"</formula>
    </cfRule>
  </conditionalFormatting>
  <conditionalFormatting sqref="AM130:AM131">
    <cfRule type="cellIs" dxfId="2465" priority="4231" operator="equal">
      <formula>"seeker"</formula>
    </cfRule>
    <cfRule type="cellIs" dxfId="2464" priority="4232" operator="equal">
      <formula>"neutral"</formula>
    </cfRule>
    <cfRule type="cellIs" dxfId="2463" priority="4233" operator="equal">
      <formula>"rogue"</formula>
    </cfRule>
    <cfRule type="cellIs" dxfId="2462" priority="4234" operator="equal">
      <formula>"Guardian"</formula>
    </cfRule>
    <cfRule type="cellIs" dxfId="2461" priority="4235" operator="equal">
      <formula>"Survivor"</formula>
    </cfRule>
    <cfRule type="cellIs" dxfId="2460" priority="4236" operator="equal">
      <formula>"Mystic"</formula>
    </cfRule>
  </conditionalFormatting>
  <conditionalFormatting sqref="AL133">
    <cfRule type="cellIs" dxfId="2459" priority="4225" operator="equal">
      <formula>"Seeker"</formula>
    </cfRule>
    <cfRule type="cellIs" dxfId="2458" priority="4226" operator="equal">
      <formula>"Neutral"</formula>
    </cfRule>
    <cfRule type="cellIs" dxfId="2457" priority="4227" operator="equal">
      <formula>"Rogue"</formula>
    </cfRule>
    <cfRule type="cellIs" dxfId="2456" priority="4228" operator="equal">
      <formula>"Guardian"</formula>
    </cfRule>
    <cfRule type="cellIs" dxfId="2455" priority="4229" operator="equal">
      <formula>"Survivor"</formula>
    </cfRule>
    <cfRule type="cellIs" dxfId="2454" priority="4230" operator="equal">
      <formula>"Mystic"</formula>
    </cfRule>
  </conditionalFormatting>
  <conditionalFormatting sqref="K133">
    <cfRule type="cellIs" dxfId="2453" priority="4219" operator="equal">
      <formula>"seeker"</formula>
    </cfRule>
    <cfRule type="cellIs" dxfId="2452" priority="4220" operator="equal">
      <formula>"neutral"</formula>
    </cfRule>
    <cfRule type="cellIs" dxfId="2451" priority="4221" operator="equal">
      <formula>"rogue"</formula>
    </cfRule>
    <cfRule type="cellIs" dxfId="2450" priority="4222" operator="equal">
      <formula>"Guardian"</formula>
    </cfRule>
    <cfRule type="cellIs" dxfId="2449" priority="4223" operator="equal">
      <formula>"Survivor"</formula>
    </cfRule>
    <cfRule type="cellIs" dxfId="2448" priority="4224" operator="equal">
      <formula>"Mystic"</formula>
    </cfRule>
  </conditionalFormatting>
  <conditionalFormatting sqref="AM151:AM152 AM158:AM159">
    <cfRule type="cellIs" dxfId="2447" priority="4213" operator="equal">
      <formula>"seeker"</formula>
    </cfRule>
    <cfRule type="cellIs" dxfId="2446" priority="4214" operator="equal">
      <formula>"neutral"</formula>
    </cfRule>
    <cfRule type="cellIs" dxfId="2445" priority="4215" operator="equal">
      <formula>"rogue"</formula>
    </cfRule>
    <cfRule type="cellIs" dxfId="2444" priority="4216" operator="equal">
      <formula>"Guardian"</formula>
    </cfRule>
    <cfRule type="cellIs" dxfId="2443" priority="4217" operator="equal">
      <formula>"Survivor"</formula>
    </cfRule>
    <cfRule type="cellIs" dxfId="2442" priority="4218" operator="equal">
      <formula>"Mystic"</formula>
    </cfRule>
  </conditionalFormatting>
  <conditionalFormatting sqref="K153">
    <cfRule type="cellIs" dxfId="2441" priority="4207" operator="equal">
      <formula>"seeker"</formula>
    </cfRule>
    <cfRule type="cellIs" dxfId="2440" priority="4208" operator="equal">
      <formula>"neutral"</formula>
    </cfRule>
    <cfRule type="cellIs" dxfId="2439" priority="4209" operator="equal">
      <formula>"rogue"</formula>
    </cfRule>
    <cfRule type="cellIs" dxfId="2438" priority="4210" operator="equal">
      <formula>"Guardian"</formula>
    </cfRule>
    <cfRule type="cellIs" dxfId="2437" priority="4211" operator="equal">
      <formula>"Survivor"</formula>
    </cfRule>
    <cfRule type="cellIs" dxfId="2436" priority="4212" operator="equal">
      <formula>"Mystic"</formula>
    </cfRule>
  </conditionalFormatting>
  <conditionalFormatting sqref="AM153">
    <cfRule type="cellIs" dxfId="2435" priority="4201" operator="equal">
      <formula>"seeker"</formula>
    </cfRule>
    <cfRule type="cellIs" dxfId="2434" priority="4202" operator="equal">
      <formula>"neutral"</formula>
    </cfRule>
    <cfRule type="cellIs" dxfId="2433" priority="4203" operator="equal">
      <formula>"rogue"</formula>
    </cfRule>
    <cfRule type="cellIs" dxfId="2432" priority="4204" operator="equal">
      <formula>"Guardian"</formula>
    </cfRule>
    <cfRule type="cellIs" dxfId="2431" priority="4205" operator="equal">
      <formula>"Survivor"</formula>
    </cfRule>
    <cfRule type="cellIs" dxfId="2430" priority="4206" operator="equal">
      <formula>"Mystic"</formula>
    </cfRule>
  </conditionalFormatting>
  <conditionalFormatting sqref="K154">
    <cfRule type="cellIs" dxfId="2429" priority="4195" operator="equal">
      <formula>"seeker"</formula>
    </cfRule>
    <cfRule type="cellIs" dxfId="2428" priority="4196" operator="equal">
      <formula>"neutral"</formula>
    </cfRule>
    <cfRule type="cellIs" dxfId="2427" priority="4197" operator="equal">
      <formula>"rogue"</formula>
    </cfRule>
    <cfRule type="cellIs" dxfId="2426" priority="4198" operator="equal">
      <formula>"Guardian"</formula>
    </cfRule>
    <cfRule type="cellIs" dxfId="2425" priority="4199" operator="equal">
      <formula>"Survivor"</formula>
    </cfRule>
    <cfRule type="cellIs" dxfId="2424" priority="4200" operator="equal">
      <formula>"Mystic"</formula>
    </cfRule>
  </conditionalFormatting>
  <conditionalFormatting sqref="AM154">
    <cfRule type="cellIs" dxfId="2423" priority="4189" operator="equal">
      <formula>"seeker"</formula>
    </cfRule>
    <cfRule type="cellIs" dxfId="2422" priority="4190" operator="equal">
      <formula>"neutral"</formula>
    </cfRule>
    <cfRule type="cellIs" dxfId="2421" priority="4191" operator="equal">
      <formula>"rogue"</formula>
    </cfRule>
    <cfRule type="cellIs" dxfId="2420" priority="4192" operator="equal">
      <formula>"Guardian"</formula>
    </cfRule>
    <cfRule type="cellIs" dxfId="2419" priority="4193" operator="equal">
      <formula>"Survivor"</formula>
    </cfRule>
    <cfRule type="cellIs" dxfId="2418" priority="4194" operator="equal">
      <formula>"Mystic"</formula>
    </cfRule>
  </conditionalFormatting>
  <conditionalFormatting sqref="K155">
    <cfRule type="cellIs" dxfId="2417" priority="4183" operator="equal">
      <formula>"seeker"</formula>
    </cfRule>
    <cfRule type="cellIs" dxfId="2416" priority="4184" operator="equal">
      <formula>"neutral"</formula>
    </cfRule>
    <cfRule type="cellIs" dxfId="2415" priority="4185" operator="equal">
      <formula>"rogue"</formula>
    </cfRule>
    <cfRule type="cellIs" dxfId="2414" priority="4186" operator="equal">
      <formula>"Guardian"</formula>
    </cfRule>
    <cfRule type="cellIs" dxfId="2413" priority="4187" operator="equal">
      <formula>"Survivor"</formula>
    </cfRule>
    <cfRule type="cellIs" dxfId="2412" priority="4188" operator="equal">
      <formula>"Mystic"</formula>
    </cfRule>
  </conditionalFormatting>
  <conditionalFormatting sqref="AM155">
    <cfRule type="cellIs" dxfId="2411" priority="4177" operator="equal">
      <formula>"seeker"</formula>
    </cfRule>
    <cfRule type="cellIs" dxfId="2410" priority="4178" operator="equal">
      <formula>"neutral"</formula>
    </cfRule>
    <cfRule type="cellIs" dxfId="2409" priority="4179" operator="equal">
      <formula>"rogue"</formula>
    </cfRule>
    <cfRule type="cellIs" dxfId="2408" priority="4180" operator="equal">
      <formula>"Guardian"</formula>
    </cfRule>
    <cfRule type="cellIs" dxfId="2407" priority="4181" operator="equal">
      <formula>"Survivor"</formula>
    </cfRule>
    <cfRule type="cellIs" dxfId="2406" priority="4182" operator="equal">
      <formula>"Mystic"</formula>
    </cfRule>
  </conditionalFormatting>
  <conditionalFormatting sqref="K156">
    <cfRule type="cellIs" dxfId="2405" priority="4171" operator="equal">
      <formula>"seeker"</formula>
    </cfRule>
    <cfRule type="cellIs" dxfId="2404" priority="4172" operator="equal">
      <formula>"neutral"</formula>
    </cfRule>
    <cfRule type="cellIs" dxfId="2403" priority="4173" operator="equal">
      <formula>"rogue"</formula>
    </cfRule>
    <cfRule type="cellIs" dxfId="2402" priority="4174" operator="equal">
      <formula>"Guardian"</formula>
    </cfRule>
    <cfRule type="cellIs" dxfId="2401" priority="4175" operator="equal">
      <formula>"Survivor"</formula>
    </cfRule>
    <cfRule type="cellIs" dxfId="2400" priority="4176" operator="equal">
      <formula>"Mystic"</formula>
    </cfRule>
  </conditionalFormatting>
  <conditionalFormatting sqref="AM156">
    <cfRule type="cellIs" dxfId="2399" priority="4165" operator="equal">
      <formula>"seeker"</formula>
    </cfRule>
    <cfRule type="cellIs" dxfId="2398" priority="4166" operator="equal">
      <formula>"neutral"</formula>
    </cfRule>
    <cfRule type="cellIs" dxfId="2397" priority="4167" operator="equal">
      <formula>"rogue"</formula>
    </cfRule>
    <cfRule type="cellIs" dxfId="2396" priority="4168" operator="equal">
      <formula>"Guardian"</formula>
    </cfRule>
    <cfRule type="cellIs" dxfId="2395" priority="4169" operator="equal">
      <formula>"Survivor"</formula>
    </cfRule>
    <cfRule type="cellIs" dxfId="2394" priority="4170" operator="equal">
      <formula>"Mystic"</formula>
    </cfRule>
  </conditionalFormatting>
  <conditionalFormatting sqref="K157">
    <cfRule type="cellIs" dxfId="2393" priority="4159" operator="equal">
      <formula>"seeker"</formula>
    </cfRule>
    <cfRule type="cellIs" dxfId="2392" priority="4160" operator="equal">
      <formula>"neutral"</formula>
    </cfRule>
    <cfRule type="cellIs" dxfId="2391" priority="4161" operator="equal">
      <formula>"rogue"</formula>
    </cfRule>
    <cfRule type="cellIs" dxfId="2390" priority="4162" operator="equal">
      <formula>"Guardian"</formula>
    </cfRule>
    <cfRule type="cellIs" dxfId="2389" priority="4163" operator="equal">
      <formula>"Survivor"</formula>
    </cfRule>
    <cfRule type="cellIs" dxfId="2388" priority="4164" operator="equal">
      <formula>"Mystic"</formula>
    </cfRule>
  </conditionalFormatting>
  <conditionalFormatting sqref="AM157">
    <cfRule type="cellIs" dxfId="2387" priority="4153" operator="equal">
      <formula>"seeker"</formula>
    </cfRule>
    <cfRule type="cellIs" dxfId="2386" priority="4154" operator="equal">
      <formula>"neutral"</formula>
    </cfRule>
    <cfRule type="cellIs" dxfId="2385" priority="4155" operator="equal">
      <formula>"rogue"</formula>
    </cfRule>
    <cfRule type="cellIs" dxfId="2384" priority="4156" operator="equal">
      <formula>"Guardian"</formula>
    </cfRule>
    <cfRule type="cellIs" dxfId="2383" priority="4157" operator="equal">
      <formula>"Survivor"</formula>
    </cfRule>
    <cfRule type="cellIs" dxfId="2382" priority="4158" operator="equal">
      <formula>"Mystic"</formula>
    </cfRule>
  </conditionalFormatting>
  <conditionalFormatting sqref="K170">
    <cfRule type="cellIs" dxfId="2381" priority="4147" operator="equal">
      <formula>"seeker"</formula>
    </cfRule>
    <cfRule type="cellIs" dxfId="2380" priority="4148" operator="equal">
      <formula>"neutral"</formula>
    </cfRule>
    <cfRule type="cellIs" dxfId="2379" priority="4149" operator="equal">
      <formula>"rogue"</formula>
    </cfRule>
    <cfRule type="cellIs" dxfId="2378" priority="4150" operator="equal">
      <formula>"Guardian"</formula>
    </cfRule>
    <cfRule type="cellIs" dxfId="2377" priority="4151" operator="equal">
      <formula>"Survivor"</formula>
    </cfRule>
    <cfRule type="cellIs" dxfId="2376" priority="4152" operator="equal">
      <formula>"Mystic"</formula>
    </cfRule>
  </conditionalFormatting>
  <conditionalFormatting sqref="AL190">
    <cfRule type="cellIs" dxfId="2375" priority="4135" operator="equal">
      <formula>"Seeker"</formula>
    </cfRule>
    <cfRule type="cellIs" dxfId="2374" priority="4136" operator="equal">
      <formula>"Neutral"</formula>
    </cfRule>
    <cfRule type="cellIs" dxfId="2373" priority="4137" operator="equal">
      <formula>"Rogue"</formula>
    </cfRule>
    <cfRule type="cellIs" dxfId="2372" priority="4138" operator="equal">
      <formula>"Guardian"</formula>
    </cfRule>
    <cfRule type="cellIs" dxfId="2371" priority="4139" operator="equal">
      <formula>"Survivor"</formula>
    </cfRule>
    <cfRule type="cellIs" dxfId="2370" priority="4140" operator="equal">
      <formula>"Mystic"</formula>
    </cfRule>
  </conditionalFormatting>
  <conditionalFormatting sqref="AM191">
    <cfRule type="cellIs" dxfId="2369" priority="4129" operator="equal">
      <formula>"seeker"</formula>
    </cfRule>
    <cfRule type="cellIs" dxfId="2368" priority="4130" operator="equal">
      <formula>"neutral"</formula>
    </cfRule>
    <cfRule type="cellIs" dxfId="2367" priority="4131" operator="equal">
      <formula>"rogue"</formula>
    </cfRule>
    <cfRule type="cellIs" dxfId="2366" priority="4132" operator="equal">
      <formula>"Guardian"</formula>
    </cfRule>
    <cfRule type="cellIs" dxfId="2365" priority="4133" operator="equal">
      <formula>"Survivor"</formula>
    </cfRule>
    <cfRule type="cellIs" dxfId="2364" priority="4134" operator="equal">
      <formula>"Mystic"</formula>
    </cfRule>
  </conditionalFormatting>
  <conditionalFormatting sqref="AM193">
    <cfRule type="cellIs" dxfId="2363" priority="4123" operator="equal">
      <formula>"seeker"</formula>
    </cfRule>
    <cfRule type="cellIs" dxfId="2362" priority="4124" operator="equal">
      <formula>"neutral"</formula>
    </cfRule>
    <cfRule type="cellIs" dxfId="2361" priority="4125" operator="equal">
      <formula>"rogue"</formula>
    </cfRule>
    <cfRule type="cellIs" dxfId="2360" priority="4126" operator="equal">
      <formula>"Guardian"</formula>
    </cfRule>
    <cfRule type="cellIs" dxfId="2359" priority="4127" operator="equal">
      <formula>"Survivor"</formula>
    </cfRule>
    <cfRule type="cellIs" dxfId="2358" priority="4128" operator="equal">
      <formula>"Mystic"</formula>
    </cfRule>
  </conditionalFormatting>
  <conditionalFormatting sqref="K194">
    <cfRule type="cellIs" dxfId="2357" priority="4117" operator="equal">
      <formula>"seeker"</formula>
    </cfRule>
    <cfRule type="cellIs" dxfId="2356" priority="4118" operator="equal">
      <formula>"neutral"</formula>
    </cfRule>
    <cfRule type="cellIs" dxfId="2355" priority="4119" operator="equal">
      <formula>"rogue"</formula>
    </cfRule>
    <cfRule type="cellIs" dxfId="2354" priority="4120" operator="equal">
      <formula>"Guardian"</formula>
    </cfRule>
    <cfRule type="cellIs" dxfId="2353" priority="4121" operator="equal">
      <formula>"Survivor"</formula>
    </cfRule>
    <cfRule type="cellIs" dxfId="2352" priority="4122" operator="equal">
      <formula>"Mystic"</formula>
    </cfRule>
  </conditionalFormatting>
  <conditionalFormatting sqref="AM195">
    <cfRule type="cellIs" dxfId="2351" priority="4111" operator="equal">
      <formula>"seeker"</formula>
    </cfRule>
    <cfRule type="cellIs" dxfId="2350" priority="4112" operator="equal">
      <formula>"neutral"</formula>
    </cfRule>
    <cfRule type="cellIs" dxfId="2349" priority="4113" operator="equal">
      <formula>"rogue"</formula>
    </cfRule>
    <cfRule type="cellIs" dxfId="2348" priority="4114" operator="equal">
      <formula>"Guardian"</formula>
    </cfRule>
    <cfRule type="cellIs" dxfId="2347" priority="4115" operator="equal">
      <formula>"Survivor"</formula>
    </cfRule>
    <cfRule type="cellIs" dxfId="2346" priority="4116" operator="equal">
      <formula>"Mystic"</formula>
    </cfRule>
  </conditionalFormatting>
  <conditionalFormatting sqref="AM194">
    <cfRule type="cellIs" dxfId="2345" priority="4105" operator="equal">
      <formula>"seeker"</formula>
    </cfRule>
    <cfRule type="cellIs" dxfId="2344" priority="4106" operator="equal">
      <formula>"neutral"</formula>
    </cfRule>
    <cfRule type="cellIs" dxfId="2343" priority="4107" operator="equal">
      <formula>"rogue"</formula>
    </cfRule>
    <cfRule type="cellIs" dxfId="2342" priority="4108" operator="equal">
      <formula>"Guardian"</formula>
    </cfRule>
    <cfRule type="cellIs" dxfId="2341" priority="4109" operator="equal">
      <formula>"Survivor"</formula>
    </cfRule>
    <cfRule type="cellIs" dxfId="2340" priority="4110" operator="equal">
      <formula>"Mystic"</formula>
    </cfRule>
  </conditionalFormatting>
  <conditionalFormatting sqref="AL3">
    <cfRule type="cellIs" dxfId="2339" priority="4099" operator="equal">
      <formula>"Seeker"</formula>
    </cfRule>
    <cfRule type="cellIs" dxfId="2338" priority="4100" operator="equal">
      <formula>"Neutral"</formula>
    </cfRule>
    <cfRule type="cellIs" dxfId="2337" priority="4101" operator="equal">
      <formula>"Rogue"</formula>
    </cfRule>
    <cfRule type="cellIs" dxfId="2336" priority="4102" operator="equal">
      <formula>"Guardian"</formula>
    </cfRule>
    <cfRule type="cellIs" dxfId="2335" priority="4103" operator="equal">
      <formula>"Survivor"</formula>
    </cfRule>
    <cfRule type="cellIs" dxfId="2334" priority="4104" operator="equal">
      <formula>"Mystic"</formula>
    </cfRule>
  </conditionalFormatting>
  <conditionalFormatting sqref="AL4">
    <cfRule type="cellIs" dxfId="2333" priority="4093" operator="equal">
      <formula>"Seeker"</formula>
    </cfRule>
    <cfRule type="cellIs" dxfId="2332" priority="4094" operator="equal">
      <formula>"Neutral"</formula>
    </cfRule>
    <cfRule type="cellIs" dxfId="2331" priority="4095" operator="equal">
      <formula>"Rogue"</formula>
    </cfRule>
    <cfRule type="cellIs" dxfId="2330" priority="4096" operator="equal">
      <formula>"Guardian"</formula>
    </cfRule>
    <cfRule type="cellIs" dxfId="2329" priority="4097" operator="equal">
      <formula>"Survivor"</formula>
    </cfRule>
    <cfRule type="cellIs" dxfId="2328" priority="4098" operator="equal">
      <formula>"Mystic"</formula>
    </cfRule>
  </conditionalFormatting>
  <conditionalFormatting sqref="AL5">
    <cfRule type="cellIs" dxfId="2327" priority="4087" operator="equal">
      <formula>"Seeker"</formula>
    </cfRule>
    <cfRule type="cellIs" dxfId="2326" priority="4088" operator="equal">
      <formula>"Neutral"</formula>
    </cfRule>
    <cfRule type="cellIs" dxfId="2325" priority="4089" operator="equal">
      <formula>"Rogue"</formula>
    </cfRule>
    <cfRule type="cellIs" dxfId="2324" priority="4090" operator="equal">
      <formula>"Guardian"</formula>
    </cfRule>
    <cfRule type="cellIs" dxfId="2323" priority="4091" operator="equal">
      <formula>"Survivor"</formula>
    </cfRule>
    <cfRule type="cellIs" dxfId="2322" priority="4092" operator="equal">
      <formula>"Mystic"</formula>
    </cfRule>
  </conditionalFormatting>
  <conditionalFormatting sqref="AL6">
    <cfRule type="cellIs" dxfId="2321" priority="4081" operator="equal">
      <formula>"Seeker"</formula>
    </cfRule>
    <cfRule type="cellIs" dxfId="2320" priority="4082" operator="equal">
      <formula>"Neutral"</formula>
    </cfRule>
    <cfRule type="cellIs" dxfId="2319" priority="4083" operator="equal">
      <formula>"Rogue"</formula>
    </cfRule>
    <cfRule type="cellIs" dxfId="2318" priority="4084" operator="equal">
      <formula>"Guardian"</formula>
    </cfRule>
    <cfRule type="cellIs" dxfId="2317" priority="4085" operator="equal">
      <formula>"Survivor"</formula>
    </cfRule>
    <cfRule type="cellIs" dxfId="2316" priority="4086" operator="equal">
      <formula>"Mystic"</formula>
    </cfRule>
  </conditionalFormatting>
  <conditionalFormatting sqref="AL122">
    <cfRule type="cellIs" dxfId="2315" priority="4075" operator="equal">
      <formula>"Seeker"</formula>
    </cfRule>
    <cfRule type="cellIs" dxfId="2314" priority="4076" operator="equal">
      <formula>"Neutral"</formula>
    </cfRule>
    <cfRule type="cellIs" dxfId="2313" priority="4077" operator="equal">
      <formula>"Rogue"</formula>
    </cfRule>
    <cfRule type="cellIs" dxfId="2312" priority="4078" operator="equal">
      <formula>"Guardian"</formula>
    </cfRule>
    <cfRule type="cellIs" dxfId="2311" priority="4079" operator="equal">
      <formula>"Survivor"</formula>
    </cfRule>
    <cfRule type="cellIs" dxfId="2310" priority="4080" operator="equal">
      <formula>"Mystic"</formula>
    </cfRule>
  </conditionalFormatting>
  <conditionalFormatting sqref="AL123">
    <cfRule type="cellIs" dxfId="2309" priority="4069" operator="equal">
      <formula>"Seeker"</formula>
    </cfRule>
    <cfRule type="cellIs" dxfId="2308" priority="4070" operator="equal">
      <formula>"Neutral"</formula>
    </cfRule>
    <cfRule type="cellIs" dxfId="2307" priority="4071" operator="equal">
      <formula>"Rogue"</formula>
    </cfRule>
    <cfRule type="cellIs" dxfId="2306" priority="4072" operator="equal">
      <formula>"Guardian"</formula>
    </cfRule>
    <cfRule type="cellIs" dxfId="2305" priority="4073" operator="equal">
      <formula>"Survivor"</formula>
    </cfRule>
    <cfRule type="cellIs" dxfId="2304" priority="4074" operator="equal">
      <formula>"Mystic"</formula>
    </cfRule>
  </conditionalFormatting>
  <conditionalFormatting sqref="J123">
    <cfRule type="cellIs" dxfId="2303" priority="4063" operator="equal">
      <formula>"Seeker"</formula>
    </cfRule>
    <cfRule type="cellIs" dxfId="2302" priority="4064" operator="equal">
      <formula>"Neutral"</formula>
    </cfRule>
    <cfRule type="cellIs" dxfId="2301" priority="4065" operator="equal">
      <formula>"Rogue"</formula>
    </cfRule>
    <cfRule type="cellIs" dxfId="2300" priority="4066" operator="equal">
      <formula>"Guardian"</formula>
    </cfRule>
    <cfRule type="cellIs" dxfId="2299" priority="4067" operator="equal">
      <formula>"Survivor"</formula>
    </cfRule>
    <cfRule type="cellIs" dxfId="2298" priority="4068" operator="equal">
      <formula>"Mystic"</formula>
    </cfRule>
  </conditionalFormatting>
  <conditionalFormatting sqref="AM253">
    <cfRule type="cellIs" dxfId="2297" priority="4057" operator="equal">
      <formula>"seeker"</formula>
    </cfRule>
    <cfRule type="cellIs" dxfId="2296" priority="4058" operator="equal">
      <formula>"neutral"</formula>
    </cfRule>
    <cfRule type="cellIs" dxfId="2295" priority="4059" operator="equal">
      <formula>"rogue"</formula>
    </cfRule>
    <cfRule type="cellIs" dxfId="2294" priority="4060" operator="equal">
      <formula>"Guardian"</formula>
    </cfRule>
    <cfRule type="cellIs" dxfId="2293" priority="4061" operator="equal">
      <formula>"Survivor"</formula>
    </cfRule>
    <cfRule type="cellIs" dxfId="2292" priority="4062" operator="equal">
      <formula>"Mystic"</formula>
    </cfRule>
  </conditionalFormatting>
  <conditionalFormatting sqref="AM254">
    <cfRule type="cellIs" dxfId="2291" priority="4051" operator="equal">
      <formula>"seeker"</formula>
    </cfRule>
    <cfRule type="cellIs" dxfId="2290" priority="4052" operator="equal">
      <formula>"neutral"</formula>
    </cfRule>
    <cfRule type="cellIs" dxfId="2289" priority="4053" operator="equal">
      <formula>"rogue"</formula>
    </cfRule>
    <cfRule type="cellIs" dxfId="2288" priority="4054" operator="equal">
      <formula>"Guardian"</formula>
    </cfRule>
    <cfRule type="cellIs" dxfId="2287" priority="4055" operator="equal">
      <formula>"Survivor"</formula>
    </cfRule>
    <cfRule type="cellIs" dxfId="2286" priority="4056" operator="equal">
      <formula>"Mystic"</formula>
    </cfRule>
  </conditionalFormatting>
  <conditionalFormatting sqref="AM255">
    <cfRule type="cellIs" dxfId="2285" priority="4045" operator="equal">
      <formula>"seeker"</formula>
    </cfRule>
    <cfRule type="cellIs" dxfId="2284" priority="4046" operator="equal">
      <formula>"neutral"</formula>
    </cfRule>
    <cfRule type="cellIs" dxfId="2283" priority="4047" operator="equal">
      <formula>"rogue"</formula>
    </cfRule>
    <cfRule type="cellIs" dxfId="2282" priority="4048" operator="equal">
      <formula>"Guardian"</formula>
    </cfRule>
    <cfRule type="cellIs" dxfId="2281" priority="4049" operator="equal">
      <formula>"Survivor"</formula>
    </cfRule>
    <cfRule type="cellIs" dxfId="2280" priority="4050" operator="equal">
      <formula>"Mystic"</formula>
    </cfRule>
  </conditionalFormatting>
  <conditionalFormatting sqref="AM256">
    <cfRule type="cellIs" dxfId="2279" priority="4039" operator="equal">
      <formula>"seeker"</formula>
    </cfRule>
    <cfRule type="cellIs" dxfId="2278" priority="4040" operator="equal">
      <formula>"neutral"</formula>
    </cfRule>
    <cfRule type="cellIs" dxfId="2277" priority="4041" operator="equal">
      <formula>"rogue"</formula>
    </cfRule>
    <cfRule type="cellIs" dxfId="2276" priority="4042" operator="equal">
      <formula>"Guardian"</formula>
    </cfRule>
    <cfRule type="cellIs" dxfId="2275" priority="4043" operator="equal">
      <formula>"Survivor"</formula>
    </cfRule>
    <cfRule type="cellIs" dxfId="2274" priority="4044" operator="equal">
      <formula>"Mystic"</formula>
    </cfRule>
  </conditionalFormatting>
  <conditionalFormatting sqref="AM252">
    <cfRule type="cellIs" dxfId="2273" priority="4033" operator="equal">
      <formula>"seeker"</formula>
    </cfRule>
    <cfRule type="cellIs" dxfId="2272" priority="4034" operator="equal">
      <formula>"neutral"</formula>
    </cfRule>
    <cfRule type="cellIs" dxfId="2271" priority="4035" operator="equal">
      <formula>"rogue"</formula>
    </cfRule>
    <cfRule type="cellIs" dxfId="2270" priority="4036" operator="equal">
      <formula>"Guardian"</formula>
    </cfRule>
    <cfRule type="cellIs" dxfId="2269" priority="4037" operator="equal">
      <formula>"Survivor"</formula>
    </cfRule>
    <cfRule type="cellIs" dxfId="2268" priority="4038" operator="equal">
      <formula>"Mystic"</formula>
    </cfRule>
  </conditionalFormatting>
  <conditionalFormatting sqref="AM383:AM387">
    <cfRule type="cellIs" dxfId="2267" priority="4027" operator="equal">
      <formula>"Seeker"</formula>
    </cfRule>
    <cfRule type="cellIs" dxfId="2266" priority="4028" operator="equal">
      <formula>"Neutral"</formula>
    </cfRule>
    <cfRule type="cellIs" dxfId="2265" priority="4029" operator="equal">
      <formula>"Rogue"</formula>
    </cfRule>
    <cfRule type="cellIs" dxfId="2264" priority="4030" operator="equal">
      <formula>"Guardian"</formula>
    </cfRule>
    <cfRule type="cellIs" dxfId="2263" priority="4031" operator="equal">
      <formula>"Survivor"</formula>
    </cfRule>
    <cfRule type="cellIs" dxfId="2262" priority="4032" operator="equal">
      <formula>"Mystic"</formula>
    </cfRule>
  </conditionalFormatting>
  <conditionalFormatting sqref="K383:K387">
    <cfRule type="cellIs" dxfId="2261" priority="4021" operator="equal">
      <formula>"seeker"</formula>
    </cfRule>
    <cfRule type="cellIs" dxfId="2260" priority="4022" operator="equal">
      <formula>"neutral"</formula>
    </cfRule>
    <cfRule type="cellIs" dxfId="2259" priority="4023" operator="equal">
      <formula>"rogue"</formula>
    </cfRule>
    <cfRule type="cellIs" dxfId="2258" priority="4024" operator="equal">
      <formula>"Guardian"</formula>
    </cfRule>
    <cfRule type="cellIs" dxfId="2257" priority="4025" operator="equal">
      <formula>"Survivor"</formula>
    </cfRule>
    <cfRule type="cellIs" dxfId="2256" priority="4026" operator="equal">
      <formula>"Mystic"</formula>
    </cfRule>
  </conditionalFormatting>
  <conditionalFormatting sqref="AM233">
    <cfRule type="cellIs" dxfId="2255" priority="4015" operator="equal">
      <formula>"Seeker"</formula>
    </cfRule>
    <cfRule type="cellIs" dxfId="2254" priority="4016" operator="equal">
      <formula>"Neutral"</formula>
    </cfRule>
    <cfRule type="cellIs" dxfId="2253" priority="4017" operator="equal">
      <formula>"Rogue"</formula>
    </cfRule>
    <cfRule type="cellIs" dxfId="2252" priority="4018" operator="equal">
      <formula>"Guardian"</formula>
    </cfRule>
    <cfRule type="cellIs" dxfId="2251" priority="4019" operator="equal">
      <formula>"Survivor"</formula>
    </cfRule>
    <cfRule type="cellIs" dxfId="2250" priority="4020" operator="equal">
      <formula>"Mystic"</formula>
    </cfRule>
  </conditionalFormatting>
  <conditionalFormatting sqref="K233">
    <cfRule type="cellIs" dxfId="2249" priority="4009" operator="equal">
      <formula>"seeker"</formula>
    </cfRule>
    <cfRule type="cellIs" dxfId="2248" priority="4010" operator="equal">
      <formula>"neutral"</formula>
    </cfRule>
    <cfRule type="cellIs" dxfId="2247" priority="4011" operator="equal">
      <formula>"rogue"</formula>
    </cfRule>
    <cfRule type="cellIs" dxfId="2246" priority="4012" operator="equal">
      <formula>"Guardian"</formula>
    </cfRule>
    <cfRule type="cellIs" dxfId="2245" priority="4013" operator="equal">
      <formula>"Survivor"</formula>
    </cfRule>
    <cfRule type="cellIs" dxfId="2244" priority="4014" operator="equal">
      <formula>"Mystic"</formula>
    </cfRule>
  </conditionalFormatting>
  <conditionalFormatting sqref="K388:K429 AM388:AM429">
    <cfRule type="cellIs" dxfId="2243" priority="4003" operator="equal">
      <formula>"seeker"</formula>
    </cfRule>
    <cfRule type="cellIs" dxfId="2242" priority="4004" operator="equal">
      <formula>"neutral"</formula>
    </cfRule>
    <cfRule type="cellIs" dxfId="2241" priority="4005" operator="equal">
      <formula>"rogue"</formula>
    </cfRule>
    <cfRule type="cellIs" dxfId="2240" priority="4006" operator="equal">
      <formula>"Guardian"</formula>
    </cfRule>
    <cfRule type="cellIs" dxfId="2239" priority="4007" operator="equal">
      <formula>"Survivor"</formula>
    </cfRule>
    <cfRule type="cellIs" dxfId="2238" priority="4008" operator="equal">
      <formula>"Mystic"</formula>
    </cfRule>
  </conditionalFormatting>
  <conditionalFormatting sqref="K430:K466 AM430:AM442 AM450:AM466">
    <cfRule type="cellIs" dxfId="2237" priority="3997" operator="equal">
      <formula>"seeker"</formula>
    </cfRule>
    <cfRule type="cellIs" dxfId="2236" priority="3998" operator="equal">
      <formula>"neutral"</formula>
    </cfRule>
    <cfRule type="cellIs" dxfId="2235" priority="3999" operator="equal">
      <formula>"rogue"</formula>
    </cfRule>
    <cfRule type="cellIs" dxfId="2234" priority="4000" operator="equal">
      <formula>"Guardian"</formula>
    </cfRule>
    <cfRule type="cellIs" dxfId="2233" priority="4001" operator="equal">
      <formula>"Survivor"</formula>
    </cfRule>
    <cfRule type="cellIs" dxfId="2232" priority="4002" operator="equal">
      <formula>"Mystic"</formula>
    </cfRule>
  </conditionalFormatting>
  <conditionalFormatting sqref="AM443:AM449">
    <cfRule type="cellIs" dxfId="2231" priority="3991" operator="equal">
      <formula>"seeker"</formula>
    </cfRule>
    <cfRule type="cellIs" dxfId="2230" priority="3992" operator="equal">
      <formula>"neutral"</formula>
    </cfRule>
    <cfRule type="cellIs" dxfId="2229" priority="3993" operator="equal">
      <formula>"rogue"</formula>
    </cfRule>
    <cfRule type="cellIs" dxfId="2228" priority="3994" operator="equal">
      <formula>"Guardian"</formula>
    </cfRule>
    <cfRule type="cellIs" dxfId="2227" priority="3995" operator="equal">
      <formula>"Survivor"</formula>
    </cfRule>
    <cfRule type="cellIs" dxfId="2226" priority="3996" operator="equal">
      <formula>"Mystic"</formula>
    </cfRule>
  </conditionalFormatting>
  <conditionalFormatting sqref="AL737">
    <cfRule type="cellIs" dxfId="2225" priority="3955" operator="equal">
      <formula>"Seeker"</formula>
    </cfRule>
    <cfRule type="cellIs" dxfId="2224" priority="3956" operator="equal">
      <formula>"Neutral"</formula>
    </cfRule>
    <cfRule type="cellIs" dxfId="2223" priority="3957" operator="equal">
      <formula>"Rogue"</formula>
    </cfRule>
    <cfRule type="cellIs" dxfId="2222" priority="3958" operator="equal">
      <formula>"Guardian"</formula>
    </cfRule>
    <cfRule type="cellIs" dxfId="2221" priority="3959" operator="equal">
      <formula>"Survivor"</formula>
    </cfRule>
    <cfRule type="cellIs" dxfId="2220" priority="3960" operator="equal">
      <formula>"Mystic"</formula>
    </cfRule>
  </conditionalFormatting>
  <conditionalFormatting sqref="AL733 AL738:AL746 AL767:AL773">
    <cfRule type="cellIs" dxfId="2219" priority="3985" operator="equal">
      <formula>"Seeker"</formula>
    </cfRule>
    <cfRule type="cellIs" dxfId="2218" priority="3986" operator="equal">
      <formula>"Neutral"</formula>
    </cfRule>
    <cfRule type="cellIs" dxfId="2217" priority="3987" operator="equal">
      <formula>"Rogue"</formula>
    </cfRule>
    <cfRule type="cellIs" dxfId="2216" priority="3988" operator="equal">
      <formula>"Guardian"</formula>
    </cfRule>
    <cfRule type="cellIs" dxfId="2215" priority="3989" operator="equal">
      <formula>"Survivor"</formula>
    </cfRule>
    <cfRule type="cellIs" dxfId="2214" priority="3990" operator="equal">
      <formula>"Mystic"</formula>
    </cfRule>
  </conditionalFormatting>
  <conditionalFormatting sqref="K733:K773">
    <cfRule type="cellIs" dxfId="2213" priority="3979" operator="equal">
      <formula>"seeker"</formula>
    </cfRule>
    <cfRule type="cellIs" dxfId="2212" priority="3980" operator="equal">
      <formula>"neutral"</formula>
    </cfRule>
    <cfRule type="cellIs" dxfId="2211" priority="3981" operator="equal">
      <formula>"rogue"</formula>
    </cfRule>
    <cfRule type="cellIs" dxfId="2210" priority="3982" operator="equal">
      <formula>"Guardian"</formula>
    </cfRule>
    <cfRule type="cellIs" dxfId="2209" priority="3983" operator="equal">
      <formula>"Survivor"</formula>
    </cfRule>
    <cfRule type="cellIs" dxfId="2208" priority="3984" operator="equal">
      <formula>"Mystic"</formula>
    </cfRule>
  </conditionalFormatting>
  <conditionalFormatting sqref="AL734">
    <cfRule type="cellIs" dxfId="2207" priority="3973" operator="equal">
      <formula>"Seeker"</formula>
    </cfRule>
    <cfRule type="cellIs" dxfId="2206" priority="3974" operator="equal">
      <formula>"Neutral"</formula>
    </cfRule>
    <cfRule type="cellIs" dxfId="2205" priority="3975" operator="equal">
      <formula>"Rogue"</formula>
    </cfRule>
    <cfRule type="cellIs" dxfId="2204" priority="3976" operator="equal">
      <formula>"Guardian"</formula>
    </cfRule>
    <cfRule type="cellIs" dxfId="2203" priority="3977" operator="equal">
      <formula>"Survivor"</formula>
    </cfRule>
    <cfRule type="cellIs" dxfId="2202" priority="3978" operator="equal">
      <formula>"Mystic"</formula>
    </cfRule>
  </conditionalFormatting>
  <conditionalFormatting sqref="AL735">
    <cfRule type="cellIs" dxfId="2201" priority="3967" operator="equal">
      <formula>"Seeker"</formula>
    </cfRule>
    <cfRule type="cellIs" dxfId="2200" priority="3968" operator="equal">
      <formula>"Neutral"</formula>
    </cfRule>
    <cfRule type="cellIs" dxfId="2199" priority="3969" operator="equal">
      <formula>"Rogue"</formula>
    </cfRule>
    <cfRule type="cellIs" dxfId="2198" priority="3970" operator="equal">
      <formula>"Guardian"</formula>
    </cfRule>
    <cfRule type="cellIs" dxfId="2197" priority="3971" operator="equal">
      <formula>"Survivor"</formula>
    </cfRule>
    <cfRule type="cellIs" dxfId="2196" priority="3972" operator="equal">
      <formula>"Mystic"</formula>
    </cfRule>
  </conditionalFormatting>
  <conditionalFormatting sqref="AL736">
    <cfRule type="cellIs" dxfId="2195" priority="3961" operator="equal">
      <formula>"Seeker"</formula>
    </cfRule>
    <cfRule type="cellIs" dxfId="2194" priority="3962" operator="equal">
      <formula>"Neutral"</formula>
    </cfRule>
    <cfRule type="cellIs" dxfId="2193" priority="3963" operator="equal">
      <formula>"Rogue"</formula>
    </cfRule>
    <cfRule type="cellIs" dxfId="2192" priority="3964" operator="equal">
      <formula>"Guardian"</formula>
    </cfRule>
    <cfRule type="cellIs" dxfId="2191" priority="3965" operator="equal">
      <formula>"Survivor"</formula>
    </cfRule>
    <cfRule type="cellIs" dxfId="2190" priority="3966" operator="equal">
      <formula>"Mystic"</formula>
    </cfRule>
  </conditionalFormatting>
  <conditionalFormatting sqref="AM727:AM731">
    <cfRule type="cellIs" dxfId="2189" priority="3949" operator="equal">
      <formula>"Seeker"</formula>
    </cfRule>
    <cfRule type="cellIs" dxfId="2188" priority="3950" operator="equal">
      <formula>"Neutral"</formula>
    </cfRule>
    <cfRule type="cellIs" dxfId="2187" priority="3951" operator="equal">
      <formula>"Rogue"</formula>
    </cfRule>
    <cfRule type="cellIs" dxfId="2186" priority="3952" operator="equal">
      <formula>"Guardian"</formula>
    </cfRule>
    <cfRule type="cellIs" dxfId="2185" priority="3953" operator="equal">
      <formula>"Survivor"</formula>
    </cfRule>
    <cfRule type="cellIs" dxfId="2184" priority="3954" operator="equal">
      <formula>"Mystic"</formula>
    </cfRule>
  </conditionalFormatting>
  <conditionalFormatting sqref="K727:K731">
    <cfRule type="cellIs" dxfId="2183" priority="3943" operator="equal">
      <formula>"seeker"</formula>
    </cfRule>
    <cfRule type="cellIs" dxfId="2182" priority="3944" operator="equal">
      <formula>"neutral"</formula>
    </cfRule>
    <cfRule type="cellIs" dxfId="2181" priority="3945" operator="equal">
      <formula>"rogue"</formula>
    </cfRule>
    <cfRule type="cellIs" dxfId="2180" priority="3946" operator="equal">
      <formula>"Guardian"</formula>
    </cfRule>
    <cfRule type="cellIs" dxfId="2179" priority="3947" operator="equal">
      <formula>"Survivor"</formula>
    </cfRule>
    <cfRule type="cellIs" dxfId="2178" priority="3948" operator="equal">
      <formula>"Mystic"</formula>
    </cfRule>
  </conditionalFormatting>
  <conditionalFormatting sqref="AM732">
    <cfRule type="cellIs" dxfId="2177" priority="3937" operator="equal">
      <formula>"Seeker"</formula>
    </cfRule>
    <cfRule type="cellIs" dxfId="2176" priority="3938" operator="equal">
      <formula>"Neutral"</formula>
    </cfRule>
    <cfRule type="cellIs" dxfId="2175" priority="3939" operator="equal">
      <formula>"Rogue"</formula>
    </cfRule>
    <cfRule type="cellIs" dxfId="2174" priority="3940" operator="equal">
      <formula>"Guardian"</formula>
    </cfRule>
    <cfRule type="cellIs" dxfId="2173" priority="3941" operator="equal">
      <formula>"Survivor"</formula>
    </cfRule>
    <cfRule type="cellIs" dxfId="2172" priority="3942" operator="equal">
      <formula>"Mystic"</formula>
    </cfRule>
  </conditionalFormatting>
  <conditionalFormatting sqref="K732">
    <cfRule type="cellIs" dxfId="2171" priority="3931" operator="equal">
      <formula>"seeker"</formula>
    </cfRule>
    <cfRule type="cellIs" dxfId="2170" priority="3932" operator="equal">
      <formula>"neutral"</formula>
    </cfRule>
    <cfRule type="cellIs" dxfId="2169" priority="3933" operator="equal">
      <formula>"rogue"</formula>
    </cfRule>
    <cfRule type="cellIs" dxfId="2168" priority="3934" operator="equal">
      <formula>"Guardian"</formula>
    </cfRule>
    <cfRule type="cellIs" dxfId="2167" priority="3935" operator="equal">
      <formula>"Survivor"</formula>
    </cfRule>
    <cfRule type="cellIs" dxfId="2166" priority="3936" operator="equal">
      <formula>"Mystic"</formula>
    </cfRule>
  </conditionalFormatting>
  <conditionalFormatting sqref="AL863 AL865:AL881 AL855:AL860">
    <cfRule type="cellIs" dxfId="2165" priority="3925" operator="equal">
      <formula>"Seeker"</formula>
    </cfRule>
    <cfRule type="cellIs" dxfId="2164" priority="3926" operator="equal">
      <formula>"Neutral"</formula>
    </cfRule>
    <cfRule type="cellIs" dxfId="2163" priority="3927" operator="equal">
      <formula>"Rogue"</formula>
    </cfRule>
    <cfRule type="cellIs" dxfId="2162" priority="3928" operator="equal">
      <formula>"Guardian"</formula>
    </cfRule>
    <cfRule type="cellIs" dxfId="2161" priority="3929" operator="equal">
      <formula>"Survivor"</formula>
    </cfRule>
    <cfRule type="cellIs" dxfId="2160" priority="3930" operator="equal">
      <formula>"Mystic"</formula>
    </cfRule>
  </conditionalFormatting>
  <conditionalFormatting sqref="K865:K883 K889 K855:K863">
    <cfRule type="cellIs" dxfId="2159" priority="3919" operator="equal">
      <formula>"seeker"</formula>
    </cfRule>
    <cfRule type="cellIs" dxfId="2158" priority="3920" operator="equal">
      <formula>"neutral"</formula>
    </cfRule>
    <cfRule type="cellIs" dxfId="2157" priority="3921" operator="equal">
      <formula>"rogue"</formula>
    </cfRule>
    <cfRule type="cellIs" dxfId="2156" priority="3922" operator="equal">
      <formula>"Guardian"</formula>
    </cfRule>
    <cfRule type="cellIs" dxfId="2155" priority="3923" operator="equal">
      <formula>"Survivor"</formula>
    </cfRule>
    <cfRule type="cellIs" dxfId="2154" priority="3924" operator="equal">
      <formula>"Mystic"</formula>
    </cfRule>
  </conditionalFormatting>
  <conditionalFormatting sqref="AM861:AM862">
    <cfRule type="cellIs" dxfId="2153" priority="3913" operator="equal">
      <formula>"seeker"</formula>
    </cfRule>
    <cfRule type="cellIs" dxfId="2152" priority="3914" operator="equal">
      <formula>"neutral"</formula>
    </cfRule>
    <cfRule type="cellIs" dxfId="2151" priority="3915" operator="equal">
      <formula>"rogue"</formula>
    </cfRule>
    <cfRule type="cellIs" dxfId="2150" priority="3916" operator="equal">
      <formula>"Guardian"</formula>
    </cfRule>
    <cfRule type="cellIs" dxfId="2149" priority="3917" operator="equal">
      <formula>"Survivor"</formula>
    </cfRule>
    <cfRule type="cellIs" dxfId="2148" priority="3918" operator="equal">
      <formula>"Mystic"</formula>
    </cfRule>
  </conditionalFormatting>
  <conditionalFormatting sqref="AL864">
    <cfRule type="cellIs" dxfId="2147" priority="3907" operator="equal">
      <formula>"Seeker"</formula>
    </cfRule>
    <cfRule type="cellIs" dxfId="2146" priority="3908" operator="equal">
      <formula>"Neutral"</formula>
    </cfRule>
    <cfRule type="cellIs" dxfId="2145" priority="3909" operator="equal">
      <formula>"Rogue"</formula>
    </cfRule>
    <cfRule type="cellIs" dxfId="2144" priority="3910" operator="equal">
      <formula>"Guardian"</formula>
    </cfRule>
    <cfRule type="cellIs" dxfId="2143" priority="3911" operator="equal">
      <formula>"Survivor"</formula>
    </cfRule>
    <cfRule type="cellIs" dxfId="2142" priority="3912" operator="equal">
      <formula>"Mystic"</formula>
    </cfRule>
  </conditionalFormatting>
  <conditionalFormatting sqref="K864">
    <cfRule type="cellIs" dxfId="2141" priority="3901" operator="equal">
      <formula>"seeker"</formula>
    </cfRule>
    <cfRule type="cellIs" dxfId="2140" priority="3902" operator="equal">
      <formula>"neutral"</formula>
    </cfRule>
    <cfRule type="cellIs" dxfId="2139" priority="3903" operator="equal">
      <formula>"rogue"</formula>
    </cfRule>
    <cfRule type="cellIs" dxfId="2138" priority="3904" operator="equal">
      <formula>"Guardian"</formula>
    </cfRule>
    <cfRule type="cellIs" dxfId="2137" priority="3905" operator="equal">
      <formula>"Survivor"</formula>
    </cfRule>
    <cfRule type="cellIs" dxfId="2136" priority="3906" operator="equal">
      <formula>"Mystic"</formula>
    </cfRule>
  </conditionalFormatting>
  <conditionalFormatting sqref="AM882:AM883 AM889">
    <cfRule type="cellIs" dxfId="2135" priority="3895" operator="equal">
      <formula>"seeker"</formula>
    </cfRule>
    <cfRule type="cellIs" dxfId="2134" priority="3896" operator="equal">
      <formula>"neutral"</formula>
    </cfRule>
    <cfRule type="cellIs" dxfId="2133" priority="3897" operator="equal">
      <formula>"rogue"</formula>
    </cfRule>
    <cfRule type="cellIs" dxfId="2132" priority="3898" operator="equal">
      <formula>"Guardian"</formula>
    </cfRule>
    <cfRule type="cellIs" dxfId="2131" priority="3899" operator="equal">
      <formula>"Survivor"</formula>
    </cfRule>
    <cfRule type="cellIs" dxfId="2130" priority="3900" operator="equal">
      <formula>"Mystic"</formula>
    </cfRule>
  </conditionalFormatting>
  <conditionalFormatting sqref="K884">
    <cfRule type="cellIs" dxfId="2129" priority="3889" operator="equal">
      <formula>"seeker"</formula>
    </cfRule>
    <cfRule type="cellIs" dxfId="2128" priority="3890" operator="equal">
      <formula>"neutral"</formula>
    </cfRule>
    <cfRule type="cellIs" dxfId="2127" priority="3891" operator="equal">
      <formula>"rogue"</formula>
    </cfRule>
    <cfRule type="cellIs" dxfId="2126" priority="3892" operator="equal">
      <formula>"Guardian"</formula>
    </cfRule>
    <cfRule type="cellIs" dxfId="2125" priority="3893" operator="equal">
      <formula>"Survivor"</formula>
    </cfRule>
    <cfRule type="cellIs" dxfId="2124" priority="3894" operator="equal">
      <formula>"Mystic"</formula>
    </cfRule>
  </conditionalFormatting>
  <conditionalFormatting sqref="AM884">
    <cfRule type="cellIs" dxfId="2123" priority="3883" operator="equal">
      <formula>"seeker"</formula>
    </cfRule>
    <cfRule type="cellIs" dxfId="2122" priority="3884" operator="equal">
      <formula>"neutral"</formula>
    </cfRule>
    <cfRule type="cellIs" dxfId="2121" priority="3885" operator="equal">
      <formula>"rogue"</formula>
    </cfRule>
    <cfRule type="cellIs" dxfId="2120" priority="3886" operator="equal">
      <formula>"Guardian"</formula>
    </cfRule>
    <cfRule type="cellIs" dxfId="2119" priority="3887" operator="equal">
      <formula>"Survivor"</formula>
    </cfRule>
    <cfRule type="cellIs" dxfId="2118" priority="3888" operator="equal">
      <formula>"Mystic"</formula>
    </cfRule>
  </conditionalFormatting>
  <conditionalFormatting sqref="K885">
    <cfRule type="cellIs" dxfId="2117" priority="3877" operator="equal">
      <formula>"seeker"</formula>
    </cfRule>
    <cfRule type="cellIs" dxfId="2116" priority="3878" operator="equal">
      <formula>"neutral"</formula>
    </cfRule>
    <cfRule type="cellIs" dxfId="2115" priority="3879" operator="equal">
      <formula>"rogue"</formula>
    </cfRule>
    <cfRule type="cellIs" dxfId="2114" priority="3880" operator="equal">
      <formula>"Guardian"</formula>
    </cfRule>
    <cfRule type="cellIs" dxfId="2113" priority="3881" operator="equal">
      <formula>"Survivor"</formula>
    </cfRule>
    <cfRule type="cellIs" dxfId="2112" priority="3882" operator="equal">
      <formula>"Mystic"</formula>
    </cfRule>
  </conditionalFormatting>
  <conditionalFormatting sqref="AM885">
    <cfRule type="cellIs" dxfId="2111" priority="3871" operator="equal">
      <formula>"seeker"</formula>
    </cfRule>
    <cfRule type="cellIs" dxfId="2110" priority="3872" operator="equal">
      <formula>"neutral"</formula>
    </cfRule>
    <cfRule type="cellIs" dxfId="2109" priority="3873" operator="equal">
      <formula>"rogue"</formula>
    </cfRule>
    <cfRule type="cellIs" dxfId="2108" priority="3874" operator="equal">
      <formula>"Guardian"</formula>
    </cfRule>
    <cfRule type="cellIs" dxfId="2107" priority="3875" operator="equal">
      <formula>"Survivor"</formula>
    </cfRule>
    <cfRule type="cellIs" dxfId="2106" priority="3876" operator="equal">
      <formula>"Mystic"</formula>
    </cfRule>
  </conditionalFormatting>
  <conditionalFormatting sqref="K886">
    <cfRule type="cellIs" dxfId="2105" priority="3865" operator="equal">
      <formula>"seeker"</formula>
    </cfRule>
    <cfRule type="cellIs" dxfId="2104" priority="3866" operator="equal">
      <formula>"neutral"</formula>
    </cfRule>
    <cfRule type="cellIs" dxfId="2103" priority="3867" operator="equal">
      <formula>"rogue"</formula>
    </cfRule>
    <cfRule type="cellIs" dxfId="2102" priority="3868" operator="equal">
      <formula>"Guardian"</formula>
    </cfRule>
    <cfRule type="cellIs" dxfId="2101" priority="3869" operator="equal">
      <formula>"Survivor"</formula>
    </cfRule>
    <cfRule type="cellIs" dxfId="2100" priority="3870" operator="equal">
      <formula>"Mystic"</formula>
    </cfRule>
  </conditionalFormatting>
  <conditionalFormatting sqref="AM886">
    <cfRule type="cellIs" dxfId="2099" priority="3859" operator="equal">
      <formula>"seeker"</formula>
    </cfRule>
    <cfRule type="cellIs" dxfId="2098" priority="3860" operator="equal">
      <formula>"neutral"</formula>
    </cfRule>
    <cfRule type="cellIs" dxfId="2097" priority="3861" operator="equal">
      <formula>"rogue"</formula>
    </cfRule>
    <cfRule type="cellIs" dxfId="2096" priority="3862" operator="equal">
      <formula>"Guardian"</formula>
    </cfRule>
    <cfRule type="cellIs" dxfId="2095" priority="3863" operator="equal">
      <formula>"Survivor"</formula>
    </cfRule>
    <cfRule type="cellIs" dxfId="2094" priority="3864" operator="equal">
      <formula>"Mystic"</formula>
    </cfRule>
  </conditionalFormatting>
  <conditionalFormatting sqref="K887">
    <cfRule type="cellIs" dxfId="2093" priority="3853" operator="equal">
      <formula>"seeker"</formula>
    </cfRule>
    <cfRule type="cellIs" dxfId="2092" priority="3854" operator="equal">
      <formula>"neutral"</formula>
    </cfRule>
    <cfRule type="cellIs" dxfId="2091" priority="3855" operator="equal">
      <formula>"rogue"</formula>
    </cfRule>
    <cfRule type="cellIs" dxfId="2090" priority="3856" operator="equal">
      <formula>"Guardian"</formula>
    </cfRule>
    <cfRule type="cellIs" dxfId="2089" priority="3857" operator="equal">
      <formula>"Survivor"</formula>
    </cfRule>
    <cfRule type="cellIs" dxfId="2088" priority="3858" operator="equal">
      <formula>"Mystic"</formula>
    </cfRule>
  </conditionalFormatting>
  <conditionalFormatting sqref="AM887">
    <cfRule type="cellIs" dxfId="2087" priority="3847" operator="equal">
      <formula>"seeker"</formula>
    </cfRule>
    <cfRule type="cellIs" dxfId="2086" priority="3848" operator="equal">
      <formula>"neutral"</formula>
    </cfRule>
    <cfRule type="cellIs" dxfId="2085" priority="3849" operator="equal">
      <formula>"rogue"</formula>
    </cfRule>
    <cfRule type="cellIs" dxfId="2084" priority="3850" operator="equal">
      <formula>"Guardian"</formula>
    </cfRule>
    <cfRule type="cellIs" dxfId="2083" priority="3851" operator="equal">
      <formula>"Survivor"</formula>
    </cfRule>
    <cfRule type="cellIs" dxfId="2082" priority="3852" operator="equal">
      <formula>"Mystic"</formula>
    </cfRule>
  </conditionalFormatting>
  <conditionalFormatting sqref="K888">
    <cfRule type="cellIs" dxfId="2081" priority="3841" operator="equal">
      <formula>"seeker"</formula>
    </cfRule>
    <cfRule type="cellIs" dxfId="2080" priority="3842" operator="equal">
      <formula>"neutral"</formula>
    </cfRule>
    <cfRule type="cellIs" dxfId="2079" priority="3843" operator="equal">
      <formula>"rogue"</formula>
    </cfRule>
    <cfRule type="cellIs" dxfId="2078" priority="3844" operator="equal">
      <formula>"Guardian"</formula>
    </cfRule>
    <cfRule type="cellIs" dxfId="2077" priority="3845" operator="equal">
      <formula>"Survivor"</formula>
    </cfRule>
    <cfRule type="cellIs" dxfId="2076" priority="3846" operator="equal">
      <formula>"Mystic"</formula>
    </cfRule>
  </conditionalFormatting>
  <conditionalFormatting sqref="AM888">
    <cfRule type="cellIs" dxfId="2075" priority="3835" operator="equal">
      <formula>"seeker"</formula>
    </cfRule>
    <cfRule type="cellIs" dxfId="2074" priority="3836" operator="equal">
      <formula>"neutral"</formula>
    </cfRule>
    <cfRule type="cellIs" dxfId="2073" priority="3837" operator="equal">
      <formula>"rogue"</formula>
    </cfRule>
    <cfRule type="cellIs" dxfId="2072" priority="3838" operator="equal">
      <formula>"Guardian"</formula>
    </cfRule>
    <cfRule type="cellIs" dxfId="2071" priority="3839" operator="equal">
      <formula>"Survivor"</formula>
    </cfRule>
    <cfRule type="cellIs" dxfId="2070" priority="3840" operator="equal">
      <formula>"Mystic"</formula>
    </cfRule>
  </conditionalFormatting>
  <conditionalFormatting sqref="AM955:AM960 K933:K957 K960 K963 AM963 AM965:AM977 K965:K977">
    <cfRule type="cellIs" dxfId="2069" priority="3793" operator="equal">
      <formula>"seeker"</formula>
    </cfRule>
    <cfRule type="cellIs" dxfId="2068" priority="3794" operator="equal">
      <formula>"neutral"</formula>
    </cfRule>
    <cfRule type="cellIs" dxfId="2067" priority="3795" operator="equal">
      <formula>"rogue"</formula>
    </cfRule>
    <cfRule type="cellIs" dxfId="2066" priority="3796" operator="equal">
      <formula>"Guardian"</formula>
    </cfRule>
    <cfRule type="cellIs" dxfId="2065" priority="3797" operator="equal">
      <formula>"Survivor"</formula>
    </cfRule>
    <cfRule type="cellIs" dxfId="2064" priority="3798" operator="equal">
      <formula>"Mystic"</formula>
    </cfRule>
  </conditionalFormatting>
  <conditionalFormatting sqref="AL937">
    <cfRule type="cellIs" dxfId="2063" priority="3763" operator="equal">
      <formula>"Seeker"</formula>
    </cfRule>
    <cfRule type="cellIs" dxfId="2062" priority="3764" operator="equal">
      <formula>"Neutral"</formula>
    </cfRule>
    <cfRule type="cellIs" dxfId="2061" priority="3765" operator="equal">
      <formula>"Rogue"</formula>
    </cfRule>
    <cfRule type="cellIs" dxfId="2060" priority="3766" operator="equal">
      <formula>"Guardian"</formula>
    </cfRule>
    <cfRule type="cellIs" dxfId="2059" priority="3767" operator="equal">
      <formula>"Survivor"</formula>
    </cfRule>
    <cfRule type="cellIs" dxfId="2058" priority="3768" operator="equal">
      <formula>"Mystic"</formula>
    </cfRule>
  </conditionalFormatting>
  <conditionalFormatting sqref="AL933 AL938:AL944">
    <cfRule type="cellIs" dxfId="2057" priority="3787" operator="equal">
      <formula>"Seeker"</formula>
    </cfRule>
    <cfRule type="cellIs" dxfId="2056" priority="3788" operator="equal">
      <formula>"Neutral"</formula>
    </cfRule>
    <cfRule type="cellIs" dxfId="2055" priority="3789" operator="equal">
      <formula>"Rogue"</formula>
    </cfRule>
    <cfRule type="cellIs" dxfId="2054" priority="3790" operator="equal">
      <formula>"Guardian"</formula>
    </cfRule>
    <cfRule type="cellIs" dxfId="2053" priority="3791" operator="equal">
      <formula>"Survivor"</formula>
    </cfRule>
    <cfRule type="cellIs" dxfId="2052" priority="3792" operator="equal">
      <formula>"Mystic"</formula>
    </cfRule>
  </conditionalFormatting>
  <conditionalFormatting sqref="AL934">
    <cfRule type="cellIs" dxfId="2051" priority="3781" operator="equal">
      <formula>"Seeker"</formula>
    </cfRule>
    <cfRule type="cellIs" dxfId="2050" priority="3782" operator="equal">
      <formula>"Neutral"</formula>
    </cfRule>
    <cfRule type="cellIs" dxfId="2049" priority="3783" operator="equal">
      <formula>"Rogue"</formula>
    </cfRule>
    <cfRule type="cellIs" dxfId="2048" priority="3784" operator="equal">
      <formula>"Guardian"</formula>
    </cfRule>
    <cfRule type="cellIs" dxfId="2047" priority="3785" operator="equal">
      <formula>"Survivor"</formula>
    </cfRule>
    <cfRule type="cellIs" dxfId="2046" priority="3786" operator="equal">
      <formula>"Mystic"</formula>
    </cfRule>
  </conditionalFormatting>
  <conditionalFormatting sqref="AL935">
    <cfRule type="cellIs" dxfId="2045" priority="3775" operator="equal">
      <formula>"Seeker"</formula>
    </cfRule>
    <cfRule type="cellIs" dxfId="2044" priority="3776" operator="equal">
      <formula>"Neutral"</formula>
    </cfRule>
    <cfRule type="cellIs" dxfId="2043" priority="3777" operator="equal">
      <formula>"Rogue"</formula>
    </cfRule>
    <cfRule type="cellIs" dxfId="2042" priority="3778" operator="equal">
      <formula>"Guardian"</formula>
    </cfRule>
    <cfRule type="cellIs" dxfId="2041" priority="3779" operator="equal">
      <formula>"Survivor"</formula>
    </cfRule>
    <cfRule type="cellIs" dxfId="2040" priority="3780" operator="equal">
      <formula>"Mystic"</formula>
    </cfRule>
  </conditionalFormatting>
  <conditionalFormatting sqref="AL936">
    <cfRule type="cellIs" dxfId="2039" priority="3769" operator="equal">
      <formula>"Seeker"</formula>
    </cfRule>
    <cfRule type="cellIs" dxfId="2038" priority="3770" operator="equal">
      <formula>"Neutral"</formula>
    </cfRule>
    <cfRule type="cellIs" dxfId="2037" priority="3771" operator="equal">
      <formula>"Rogue"</formula>
    </cfRule>
    <cfRule type="cellIs" dxfId="2036" priority="3772" operator="equal">
      <formula>"Guardian"</formula>
    </cfRule>
    <cfRule type="cellIs" dxfId="2035" priority="3773" operator="equal">
      <formula>"Survivor"</formula>
    </cfRule>
    <cfRule type="cellIs" dxfId="2034" priority="3774" operator="equal">
      <formula>"Mystic"</formula>
    </cfRule>
  </conditionalFormatting>
  <conditionalFormatting sqref="K958">
    <cfRule type="cellIs" dxfId="2033" priority="3757" operator="equal">
      <formula>"seeker"</formula>
    </cfRule>
    <cfRule type="cellIs" dxfId="2032" priority="3758" operator="equal">
      <formula>"neutral"</formula>
    </cfRule>
    <cfRule type="cellIs" dxfId="2031" priority="3759" operator="equal">
      <formula>"rogue"</formula>
    </cfRule>
    <cfRule type="cellIs" dxfId="2030" priority="3760" operator="equal">
      <formula>"Guardian"</formula>
    </cfRule>
    <cfRule type="cellIs" dxfId="2029" priority="3761" operator="equal">
      <formula>"Survivor"</formula>
    </cfRule>
    <cfRule type="cellIs" dxfId="2028" priority="3762" operator="equal">
      <formula>"Mystic"</formula>
    </cfRule>
  </conditionalFormatting>
  <conditionalFormatting sqref="K959">
    <cfRule type="cellIs" dxfId="2027" priority="3751" operator="equal">
      <formula>"seeker"</formula>
    </cfRule>
    <cfRule type="cellIs" dxfId="2026" priority="3752" operator="equal">
      <formula>"neutral"</formula>
    </cfRule>
    <cfRule type="cellIs" dxfId="2025" priority="3753" operator="equal">
      <formula>"rogue"</formula>
    </cfRule>
    <cfRule type="cellIs" dxfId="2024" priority="3754" operator="equal">
      <formula>"Guardian"</formula>
    </cfRule>
    <cfRule type="cellIs" dxfId="2023" priority="3755" operator="equal">
      <formula>"Survivor"</formula>
    </cfRule>
    <cfRule type="cellIs" dxfId="2022" priority="3756" operator="equal">
      <formula>"Mystic"</formula>
    </cfRule>
  </conditionalFormatting>
  <conditionalFormatting sqref="AM961 K961">
    <cfRule type="cellIs" dxfId="2021" priority="3745" operator="equal">
      <formula>"seeker"</formula>
    </cfRule>
    <cfRule type="cellIs" dxfId="2020" priority="3746" operator="equal">
      <formula>"neutral"</formula>
    </cfRule>
    <cfRule type="cellIs" dxfId="2019" priority="3747" operator="equal">
      <formula>"rogue"</formula>
    </cfRule>
    <cfRule type="cellIs" dxfId="2018" priority="3748" operator="equal">
      <formula>"Guardian"</formula>
    </cfRule>
    <cfRule type="cellIs" dxfId="2017" priority="3749" operator="equal">
      <formula>"Survivor"</formula>
    </cfRule>
    <cfRule type="cellIs" dxfId="2016" priority="3750" operator="equal">
      <formula>"Mystic"</formula>
    </cfRule>
  </conditionalFormatting>
  <conditionalFormatting sqref="AM962 K962">
    <cfRule type="cellIs" dxfId="2015" priority="3739" operator="equal">
      <formula>"seeker"</formula>
    </cfRule>
    <cfRule type="cellIs" dxfId="2014" priority="3740" operator="equal">
      <formula>"neutral"</formula>
    </cfRule>
    <cfRule type="cellIs" dxfId="2013" priority="3741" operator="equal">
      <formula>"rogue"</formula>
    </cfRule>
    <cfRule type="cellIs" dxfId="2012" priority="3742" operator="equal">
      <formula>"Guardian"</formula>
    </cfRule>
    <cfRule type="cellIs" dxfId="2011" priority="3743" operator="equal">
      <formula>"Survivor"</formula>
    </cfRule>
    <cfRule type="cellIs" dxfId="2010" priority="3744" operator="equal">
      <formula>"Mystic"</formula>
    </cfRule>
  </conditionalFormatting>
  <conditionalFormatting sqref="K964 AM964">
    <cfRule type="cellIs" dxfId="2009" priority="3733" operator="equal">
      <formula>"seeker"</formula>
    </cfRule>
    <cfRule type="cellIs" dxfId="2008" priority="3734" operator="equal">
      <formula>"neutral"</formula>
    </cfRule>
    <cfRule type="cellIs" dxfId="2007" priority="3735" operator="equal">
      <formula>"rogue"</formula>
    </cfRule>
    <cfRule type="cellIs" dxfId="2006" priority="3736" operator="equal">
      <formula>"Guardian"</formula>
    </cfRule>
    <cfRule type="cellIs" dxfId="2005" priority="3737" operator="equal">
      <formula>"Survivor"</formula>
    </cfRule>
    <cfRule type="cellIs" dxfId="2004" priority="3738" operator="equal">
      <formula>"Mystic"</formula>
    </cfRule>
  </conditionalFormatting>
  <conditionalFormatting sqref="K1009">
    <cfRule type="cellIs" dxfId="2003" priority="2347" operator="equal">
      <formula>"seeker"</formula>
    </cfRule>
    <cfRule type="cellIs" dxfId="2002" priority="2348" operator="equal">
      <formula>"neutral"</formula>
    </cfRule>
    <cfRule type="cellIs" dxfId="2001" priority="2349" operator="equal">
      <formula>"rogue"</formula>
    </cfRule>
    <cfRule type="cellIs" dxfId="2000" priority="2350" operator="equal">
      <formula>"Guardian"</formula>
    </cfRule>
    <cfRule type="cellIs" dxfId="1999" priority="2351" operator="equal">
      <formula>"Survivor"</formula>
    </cfRule>
    <cfRule type="cellIs" dxfId="1998" priority="2352" operator="equal">
      <formula>"Mystic"</formula>
    </cfRule>
  </conditionalFormatting>
  <conditionalFormatting sqref="K1020">
    <cfRule type="cellIs" dxfId="1997" priority="2335" operator="equal">
      <formula>"seeker"</formula>
    </cfRule>
    <cfRule type="cellIs" dxfId="1996" priority="2336" operator="equal">
      <formula>"neutral"</formula>
    </cfRule>
    <cfRule type="cellIs" dxfId="1995" priority="2337" operator="equal">
      <formula>"rogue"</formula>
    </cfRule>
    <cfRule type="cellIs" dxfId="1994" priority="2338" operator="equal">
      <formula>"Guardian"</formula>
    </cfRule>
    <cfRule type="cellIs" dxfId="1993" priority="2339" operator="equal">
      <formula>"Survivor"</formula>
    </cfRule>
    <cfRule type="cellIs" dxfId="1992" priority="2340" operator="equal">
      <formula>"Mystic"</formula>
    </cfRule>
  </conditionalFormatting>
  <conditionalFormatting sqref="AL1090:AL1096">
    <cfRule type="cellIs" dxfId="1991" priority="2311" operator="equal">
      <formula>"Seeker"</formula>
    </cfRule>
    <cfRule type="cellIs" dxfId="1990" priority="2312" operator="equal">
      <formula>"Neutral"</formula>
    </cfRule>
    <cfRule type="cellIs" dxfId="1989" priority="2313" operator="equal">
      <formula>"Rogue"</formula>
    </cfRule>
    <cfRule type="cellIs" dxfId="1988" priority="2314" operator="equal">
      <formula>"Guardian"</formula>
    </cfRule>
    <cfRule type="cellIs" dxfId="1987" priority="2315" operator="equal">
      <formula>"Survivor"</formula>
    </cfRule>
    <cfRule type="cellIs" dxfId="1986" priority="2316" operator="equal">
      <formula>"Mystic"</formula>
    </cfRule>
  </conditionalFormatting>
  <conditionalFormatting sqref="K1085">
    <cfRule type="cellIs" dxfId="1985" priority="2299" operator="equal">
      <formula>"Seeker"</formula>
    </cfRule>
    <cfRule type="cellIs" dxfId="1984" priority="2300" operator="equal">
      <formula>"Neutral"</formula>
    </cfRule>
    <cfRule type="cellIs" dxfId="1983" priority="2301" operator="equal">
      <formula>"Rogue"</formula>
    </cfRule>
    <cfRule type="cellIs" dxfId="1982" priority="2302" operator="equal">
      <formula>"Guardian"</formula>
    </cfRule>
    <cfRule type="cellIs" dxfId="1981" priority="2303" operator="equal">
      <formula>"Survivor"</formula>
    </cfRule>
    <cfRule type="cellIs" dxfId="1980" priority="2304" operator="equal">
      <formula>"Mystic"</formula>
    </cfRule>
  </conditionalFormatting>
  <conditionalFormatting sqref="K1107">
    <cfRule type="cellIs" dxfId="1979" priority="2257" operator="equal">
      <formula>"seeker"</formula>
    </cfRule>
    <cfRule type="cellIs" dxfId="1978" priority="2258" operator="equal">
      <formula>"neutral"</formula>
    </cfRule>
    <cfRule type="cellIs" dxfId="1977" priority="2259" operator="equal">
      <formula>"rogue"</formula>
    </cfRule>
    <cfRule type="cellIs" dxfId="1976" priority="2260" operator="equal">
      <formula>"Guardian"</formula>
    </cfRule>
    <cfRule type="cellIs" dxfId="1975" priority="2261" operator="equal">
      <formula>"Survivor"</formula>
    </cfRule>
    <cfRule type="cellIs" dxfId="1974" priority="2262" operator="equal">
      <formula>"Mystic"</formula>
    </cfRule>
  </conditionalFormatting>
  <conditionalFormatting sqref="AM1107">
    <cfRule type="cellIs" dxfId="1973" priority="2251" operator="equal">
      <formula>"seeker"</formula>
    </cfRule>
    <cfRule type="cellIs" dxfId="1972" priority="2252" operator="equal">
      <formula>"neutral"</formula>
    </cfRule>
    <cfRule type="cellIs" dxfId="1971" priority="2253" operator="equal">
      <formula>"rogue"</formula>
    </cfRule>
    <cfRule type="cellIs" dxfId="1970" priority="2254" operator="equal">
      <formula>"Guardian"</formula>
    </cfRule>
    <cfRule type="cellIs" dxfId="1969" priority="2255" operator="equal">
      <formula>"Survivor"</formula>
    </cfRule>
    <cfRule type="cellIs" dxfId="1968" priority="2256" operator="equal">
      <formula>"Mystic"</formula>
    </cfRule>
  </conditionalFormatting>
  <conditionalFormatting sqref="AM1108">
    <cfRule type="cellIs" dxfId="1967" priority="2239" operator="equal">
      <formula>"seeker"</formula>
    </cfRule>
    <cfRule type="cellIs" dxfId="1966" priority="2240" operator="equal">
      <formula>"neutral"</formula>
    </cfRule>
    <cfRule type="cellIs" dxfId="1965" priority="2241" operator="equal">
      <formula>"rogue"</formula>
    </cfRule>
    <cfRule type="cellIs" dxfId="1964" priority="2242" operator="equal">
      <formula>"Guardian"</formula>
    </cfRule>
    <cfRule type="cellIs" dxfId="1963" priority="2243" operator="equal">
      <formula>"Survivor"</formula>
    </cfRule>
    <cfRule type="cellIs" dxfId="1962" priority="2244" operator="equal">
      <formula>"Mystic"</formula>
    </cfRule>
  </conditionalFormatting>
  <conditionalFormatting sqref="K1109">
    <cfRule type="cellIs" dxfId="1961" priority="2233" operator="equal">
      <formula>"seeker"</formula>
    </cfRule>
    <cfRule type="cellIs" dxfId="1960" priority="2234" operator="equal">
      <formula>"neutral"</formula>
    </cfRule>
    <cfRule type="cellIs" dxfId="1959" priority="2235" operator="equal">
      <formula>"rogue"</formula>
    </cfRule>
    <cfRule type="cellIs" dxfId="1958" priority="2236" operator="equal">
      <formula>"Guardian"</formula>
    </cfRule>
    <cfRule type="cellIs" dxfId="1957" priority="2237" operator="equal">
      <formula>"Survivor"</formula>
    </cfRule>
    <cfRule type="cellIs" dxfId="1956" priority="2238" operator="equal">
      <formula>"Mystic"</formula>
    </cfRule>
  </conditionalFormatting>
  <conditionalFormatting sqref="AM1162">
    <cfRule type="cellIs" dxfId="1955" priority="2089" operator="equal">
      <formula>"seeker"</formula>
    </cfRule>
    <cfRule type="cellIs" dxfId="1954" priority="2090" operator="equal">
      <formula>"neutral"</formula>
    </cfRule>
    <cfRule type="cellIs" dxfId="1953" priority="2091" operator="equal">
      <formula>"rogue"</formula>
    </cfRule>
    <cfRule type="cellIs" dxfId="1952" priority="2092" operator="equal">
      <formula>"Guardian"</formula>
    </cfRule>
    <cfRule type="cellIs" dxfId="1951" priority="2093" operator="equal">
      <formula>"Survivor"</formula>
    </cfRule>
    <cfRule type="cellIs" dxfId="1950" priority="2094" operator="equal">
      <formula>"Mystic"</formula>
    </cfRule>
  </conditionalFormatting>
  <conditionalFormatting sqref="K1110">
    <cfRule type="cellIs" dxfId="1949" priority="2227" operator="equal">
      <formula>"seeker"</formula>
    </cfRule>
    <cfRule type="cellIs" dxfId="1948" priority="2228" operator="equal">
      <formula>"neutral"</formula>
    </cfRule>
    <cfRule type="cellIs" dxfId="1947" priority="2229" operator="equal">
      <formula>"rogue"</formula>
    </cfRule>
    <cfRule type="cellIs" dxfId="1946" priority="2230" operator="equal">
      <formula>"Guardian"</formula>
    </cfRule>
    <cfRule type="cellIs" dxfId="1945" priority="2231" operator="equal">
      <formula>"Survivor"</formula>
    </cfRule>
    <cfRule type="cellIs" dxfId="1944" priority="2232" operator="equal">
      <formula>"Mystic"</formula>
    </cfRule>
  </conditionalFormatting>
  <conditionalFormatting sqref="K1118">
    <cfRule type="cellIs" dxfId="1943" priority="2209" operator="equal">
      <formula>"seeker"</formula>
    </cfRule>
    <cfRule type="cellIs" dxfId="1942" priority="2210" operator="equal">
      <formula>"neutral"</formula>
    </cfRule>
    <cfRule type="cellIs" dxfId="1941" priority="2211" operator="equal">
      <formula>"rogue"</formula>
    </cfRule>
    <cfRule type="cellIs" dxfId="1940" priority="2212" operator="equal">
      <formula>"Guardian"</formula>
    </cfRule>
    <cfRule type="cellIs" dxfId="1939" priority="2213" operator="equal">
      <formula>"Survivor"</formula>
    </cfRule>
    <cfRule type="cellIs" dxfId="1938" priority="2214" operator="equal">
      <formula>"Mystic"</formula>
    </cfRule>
  </conditionalFormatting>
  <conditionalFormatting sqref="K1128">
    <cfRule type="cellIs" dxfId="1937" priority="2203" operator="equal">
      <formula>"seeker"</formula>
    </cfRule>
    <cfRule type="cellIs" dxfId="1936" priority="2204" operator="equal">
      <formula>"neutral"</formula>
    </cfRule>
    <cfRule type="cellIs" dxfId="1935" priority="2205" operator="equal">
      <formula>"rogue"</formula>
    </cfRule>
    <cfRule type="cellIs" dxfId="1934" priority="2206" operator="equal">
      <formula>"Guardian"</formula>
    </cfRule>
    <cfRule type="cellIs" dxfId="1933" priority="2207" operator="equal">
      <formula>"Survivor"</formula>
    </cfRule>
    <cfRule type="cellIs" dxfId="1932" priority="2208" operator="equal">
      <formula>"Mystic"</formula>
    </cfRule>
  </conditionalFormatting>
  <conditionalFormatting sqref="AL1128">
    <cfRule type="cellIs" dxfId="1931" priority="2197" operator="equal">
      <formula>"Seeker"</formula>
    </cfRule>
    <cfRule type="cellIs" dxfId="1930" priority="2198" operator="equal">
      <formula>"Neutral"</formula>
    </cfRule>
    <cfRule type="cellIs" dxfId="1929" priority="2199" operator="equal">
      <formula>"Rogue"</formula>
    </cfRule>
    <cfRule type="cellIs" dxfId="1928" priority="2200" operator="equal">
      <formula>"Guardian"</formula>
    </cfRule>
    <cfRule type="cellIs" dxfId="1927" priority="2201" operator="equal">
      <formula>"Survivor"</formula>
    </cfRule>
    <cfRule type="cellIs" dxfId="1926" priority="2202" operator="equal">
      <formula>"Mystic"</formula>
    </cfRule>
  </conditionalFormatting>
  <conditionalFormatting sqref="AM1104">
    <cfRule type="cellIs" dxfId="1925" priority="2191" operator="equal">
      <formula>"seeker"</formula>
    </cfRule>
    <cfRule type="cellIs" dxfId="1924" priority="2192" operator="equal">
      <formula>"neutral"</formula>
    </cfRule>
    <cfRule type="cellIs" dxfId="1923" priority="2193" operator="equal">
      <formula>"rogue"</formula>
    </cfRule>
    <cfRule type="cellIs" dxfId="1922" priority="2194" operator="equal">
      <formula>"Guardian"</formula>
    </cfRule>
    <cfRule type="cellIs" dxfId="1921" priority="2195" operator="equal">
      <formula>"Survivor"</formula>
    </cfRule>
    <cfRule type="cellIs" dxfId="1920" priority="2196" operator="equal">
      <formula>"Mystic"</formula>
    </cfRule>
  </conditionalFormatting>
  <conditionalFormatting sqref="AL1136:AL1142">
    <cfRule type="cellIs" dxfId="1919" priority="2179" operator="equal">
      <formula>"Seeker"</formula>
    </cfRule>
    <cfRule type="cellIs" dxfId="1918" priority="2180" operator="equal">
      <formula>"Neutral"</formula>
    </cfRule>
    <cfRule type="cellIs" dxfId="1917" priority="2181" operator="equal">
      <formula>"Rogue"</formula>
    </cfRule>
    <cfRule type="cellIs" dxfId="1916" priority="2182" operator="equal">
      <formula>"Guardian"</formula>
    </cfRule>
    <cfRule type="cellIs" dxfId="1915" priority="2183" operator="equal">
      <formula>"Survivor"</formula>
    </cfRule>
    <cfRule type="cellIs" dxfId="1914" priority="2184" operator="equal">
      <formula>"Mystic"</formula>
    </cfRule>
  </conditionalFormatting>
  <conditionalFormatting sqref="K1131">
    <cfRule type="cellIs" dxfId="1913" priority="2167" operator="equal">
      <formula>"Seeker"</formula>
    </cfRule>
    <cfRule type="cellIs" dxfId="1912" priority="2168" operator="equal">
      <formula>"Neutral"</formula>
    </cfRule>
    <cfRule type="cellIs" dxfId="1911" priority="2169" operator="equal">
      <formula>"Rogue"</formula>
    </cfRule>
    <cfRule type="cellIs" dxfId="1910" priority="2170" operator="equal">
      <formula>"Guardian"</formula>
    </cfRule>
    <cfRule type="cellIs" dxfId="1909" priority="2171" operator="equal">
      <formula>"Survivor"</formula>
    </cfRule>
    <cfRule type="cellIs" dxfId="1908" priority="2172" operator="equal">
      <formula>"Mystic"</formula>
    </cfRule>
  </conditionalFormatting>
  <conditionalFormatting sqref="K1153">
    <cfRule type="cellIs" dxfId="1907" priority="2125" operator="equal">
      <formula>"seeker"</formula>
    </cfRule>
    <cfRule type="cellIs" dxfId="1906" priority="2126" operator="equal">
      <formula>"neutral"</formula>
    </cfRule>
    <cfRule type="cellIs" dxfId="1905" priority="2127" operator="equal">
      <formula>"rogue"</formula>
    </cfRule>
    <cfRule type="cellIs" dxfId="1904" priority="2128" operator="equal">
      <formula>"Guardian"</formula>
    </cfRule>
    <cfRule type="cellIs" dxfId="1903" priority="2129" operator="equal">
      <formula>"Survivor"</formula>
    </cfRule>
    <cfRule type="cellIs" dxfId="1902" priority="2130" operator="equal">
      <formula>"Mystic"</formula>
    </cfRule>
  </conditionalFormatting>
  <conditionalFormatting sqref="AM1153">
    <cfRule type="cellIs" dxfId="1901" priority="2119" operator="equal">
      <formula>"seeker"</formula>
    </cfRule>
    <cfRule type="cellIs" dxfId="1900" priority="2120" operator="equal">
      <formula>"neutral"</formula>
    </cfRule>
    <cfRule type="cellIs" dxfId="1899" priority="2121" operator="equal">
      <formula>"rogue"</formula>
    </cfRule>
    <cfRule type="cellIs" dxfId="1898" priority="2122" operator="equal">
      <formula>"Guardian"</formula>
    </cfRule>
    <cfRule type="cellIs" dxfId="1897" priority="2123" operator="equal">
      <formula>"Survivor"</formula>
    </cfRule>
    <cfRule type="cellIs" dxfId="1896" priority="2124" operator="equal">
      <formula>"Mystic"</formula>
    </cfRule>
  </conditionalFormatting>
  <conditionalFormatting sqref="AM1154">
    <cfRule type="cellIs" dxfId="1895" priority="2107" operator="equal">
      <formula>"seeker"</formula>
    </cfRule>
    <cfRule type="cellIs" dxfId="1894" priority="2108" operator="equal">
      <formula>"neutral"</formula>
    </cfRule>
    <cfRule type="cellIs" dxfId="1893" priority="2109" operator="equal">
      <formula>"rogue"</formula>
    </cfRule>
    <cfRule type="cellIs" dxfId="1892" priority="2110" operator="equal">
      <formula>"Guardian"</formula>
    </cfRule>
    <cfRule type="cellIs" dxfId="1891" priority="2111" operator="equal">
      <formula>"Survivor"</formula>
    </cfRule>
    <cfRule type="cellIs" dxfId="1890" priority="2112" operator="equal">
      <formula>"Mystic"</formula>
    </cfRule>
  </conditionalFormatting>
  <conditionalFormatting sqref="K1155">
    <cfRule type="cellIs" dxfId="1889" priority="2101" operator="equal">
      <formula>"seeker"</formula>
    </cfRule>
    <cfRule type="cellIs" dxfId="1888" priority="2102" operator="equal">
      <formula>"neutral"</formula>
    </cfRule>
    <cfRule type="cellIs" dxfId="1887" priority="2103" operator="equal">
      <formula>"rogue"</formula>
    </cfRule>
    <cfRule type="cellIs" dxfId="1886" priority="2104" operator="equal">
      <formula>"Guardian"</formula>
    </cfRule>
    <cfRule type="cellIs" dxfId="1885" priority="2105" operator="equal">
      <formula>"Survivor"</formula>
    </cfRule>
    <cfRule type="cellIs" dxfId="1884" priority="2106" operator="equal">
      <formula>"Mystic"</formula>
    </cfRule>
  </conditionalFormatting>
  <conditionalFormatting sqref="AM1081:AM1084">
    <cfRule type="cellIs" dxfId="1883" priority="2479" operator="equal">
      <formula>"seeker"</formula>
    </cfRule>
    <cfRule type="cellIs" dxfId="1882" priority="2480" operator="equal">
      <formula>"neutral"</formula>
    </cfRule>
    <cfRule type="cellIs" dxfId="1881" priority="2481" operator="equal">
      <formula>"rogue"</formula>
    </cfRule>
    <cfRule type="cellIs" dxfId="1880" priority="2482" operator="equal">
      <formula>"Guardian"</formula>
    </cfRule>
    <cfRule type="cellIs" dxfId="1879" priority="2483" operator="equal">
      <formula>"Survivor"</formula>
    </cfRule>
    <cfRule type="cellIs" dxfId="1878" priority="2484" operator="equal">
      <formula>"Mystic"</formula>
    </cfRule>
  </conditionalFormatting>
  <conditionalFormatting sqref="AM1080">
    <cfRule type="cellIs" dxfId="1877" priority="2473" operator="equal">
      <formula>"Seeker"</formula>
    </cfRule>
    <cfRule type="cellIs" dxfId="1876" priority="2474" operator="equal">
      <formula>"Neutral"</formula>
    </cfRule>
    <cfRule type="cellIs" dxfId="1875" priority="2475" operator="equal">
      <formula>"Rogue"</formula>
    </cfRule>
    <cfRule type="cellIs" dxfId="1874" priority="2476" operator="equal">
      <formula>"Guardian"</formula>
    </cfRule>
    <cfRule type="cellIs" dxfId="1873" priority="2477" operator="equal">
      <formula>"Survivor"</formula>
    </cfRule>
    <cfRule type="cellIs" dxfId="1872" priority="2478" operator="equal">
      <formula>"Mystic"</formula>
    </cfRule>
  </conditionalFormatting>
  <conditionalFormatting sqref="K1081:K1084">
    <cfRule type="cellIs" dxfId="1871" priority="2467" operator="equal">
      <formula>"seeker"</formula>
    </cfRule>
    <cfRule type="cellIs" dxfId="1870" priority="2468" operator="equal">
      <formula>"neutral"</formula>
    </cfRule>
    <cfRule type="cellIs" dxfId="1869" priority="2469" operator="equal">
      <formula>"rogue"</formula>
    </cfRule>
    <cfRule type="cellIs" dxfId="1868" priority="2470" operator="equal">
      <formula>"Guardian"</formula>
    </cfRule>
    <cfRule type="cellIs" dxfId="1867" priority="2471" operator="equal">
      <formula>"Survivor"</formula>
    </cfRule>
    <cfRule type="cellIs" dxfId="1866" priority="2472" operator="equal">
      <formula>"Mystic"</formula>
    </cfRule>
  </conditionalFormatting>
  <conditionalFormatting sqref="K1080">
    <cfRule type="cellIs" dxfId="1865" priority="2461" operator="equal">
      <formula>"Seeker"</formula>
    </cfRule>
    <cfRule type="cellIs" dxfId="1864" priority="2462" operator="equal">
      <formula>"Neutral"</formula>
    </cfRule>
    <cfRule type="cellIs" dxfId="1863" priority="2463" operator="equal">
      <formula>"Rogue"</formula>
    </cfRule>
    <cfRule type="cellIs" dxfId="1862" priority="2464" operator="equal">
      <formula>"Guardian"</formula>
    </cfRule>
    <cfRule type="cellIs" dxfId="1861" priority="2465" operator="equal">
      <formula>"Survivor"</formula>
    </cfRule>
    <cfRule type="cellIs" dxfId="1860" priority="2466" operator="equal">
      <formula>"Mystic"</formula>
    </cfRule>
  </conditionalFormatting>
  <conditionalFormatting sqref="AM1000:AM1005 AM1008 AM1010:AM1019 K979:K993 K998:K1002 K1010:K1019 AM1021:AM1030 K1021:K1030 AM1032:AM1079 K1032:K1079">
    <cfRule type="cellIs" dxfId="1859" priority="2455" operator="equal">
      <formula>"seeker"</formula>
    </cfRule>
    <cfRule type="cellIs" dxfId="1858" priority="2456" operator="equal">
      <formula>"neutral"</formula>
    </cfRule>
    <cfRule type="cellIs" dxfId="1857" priority="2457" operator="equal">
      <formula>"rogue"</formula>
    </cfRule>
    <cfRule type="cellIs" dxfId="1856" priority="2458" operator="equal">
      <formula>"Guardian"</formula>
    </cfRule>
    <cfRule type="cellIs" dxfId="1855" priority="2459" operator="equal">
      <formula>"Survivor"</formula>
    </cfRule>
    <cfRule type="cellIs" dxfId="1854" priority="2460" operator="equal">
      <formula>"Mystic"</formula>
    </cfRule>
  </conditionalFormatting>
  <conditionalFormatting sqref="AL983:AL989">
    <cfRule type="cellIs" dxfId="1853" priority="2449" operator="equal">
      <formula>"Seeker"</formula>
    </cfRule>
    <cfRule type="cellIs" dxfId="1852" priority="2450" operator="equal">
      <formula>"Neutral"</formula>
    </cfRule>
    <cfRule type="cellIs" dxfId="1851" priority="2451" operator="equal">
      <formula>"Rogue"</formula>
    </cfRule>
    <cfRule type="cellIs" dxfId="1850" priority="2452" operator="equal">
      <formula>"Guardian"</formula>
    </cfRule>
    <cfRule type="cellIs" dxfId="1849" priority="2453" operator="equal">
      <formula>"Survivor"</formula>
    </cfRule>
    <cfRule type="cellIs" dxfId="1848" priority="2454" operator="equal">
      <formula>"Mystic"</formula>
    </cfRule>
  </conditionalFormatting>
  <conditionalFormatting sqref="AM1006">
    <cfRule type="cellIs" dxfId="1847" priority="2443" operator="equal">
      <formula>"seeker"</formula>
    </cfRule>
    <cfRule type="cellIs" dxfId="1846" priority="2444" operator="equal">
      <formula>"neutral"</formula>
    </cfRule>
    <cfRule type="cellIs" dxfId="1845" priority="2445" operator="equal">
      <formula>"rogue"</formula>
    </cfRule>
    <cfRule type="cellIs" dxfId="1844" priority="2446" operator="equal">
      <formula>"Guardian"</formula>
    </cfRule>
    <cfRule type="cellIs" dxfId="1843" priority="2447" operator="equal">
      <formula>"Survivor"</formula>
    </cfRule>
    <cfRule type="cellIs" dxfId="1842" priority="2448" operator="equal">
      <formula>"Mystic"</formula>
    </cfRule>
  </conditionalFormatting>
  <conditionalFormatting sqref="AM1007">
    <cfRule type="cellIs" dxfId="1841" priority="2437" operator="equal">
      <formula>"seeker"</formula>
    </cfRule>
    <cfRule type="cellIs" dxfId="1840" priority="2438" operator="equal">
      <formula>"neutral"</formula>
    </cfRule>
    <cfRule type="cellIs" dxfId="1839" priority="2439" operator="equal">
      <formula>"rogue"</formula>
    </cfRule>
    <cfRule type="cellIs" dxfId="1838" priority="2440" operator="equal">
      <formula>"Guardian"</formula>
    </cfRule>
    <cfRule type="cellIs" dxfId="1837" priority="2441" operator="equal">
      <formula>"Survivor"</formula>
    </cfRule>
    <cfRule type="cellIs" dxfId="1836" priority="2442" operator="equal">
      <formula>"Mystic"</formula>
    </cfRule>
  </conditionalFormatting>
  <conditionalFormatting sqref="AM1009">
    <cfRule type="cellIs" dxfId="1835" priority="2431" operator="equal">
      <formula>"seeker"</formula>
    </cfRule>
    <cfRule type="cellIs" dxfId="1834" priority="2432" operator="equal">
      <formula>"neutral"</formula>
    </cfRule>
    <cfRule type="cellIs" dxfId="1833" priority="2433" operator="equal">
      <formula>"rogue"</formula>
    </cfRule>
    <cfRule type="cellIs" dxfId="1832" priority="2434" operator="equal">
      <formula>"Guardian"</formula>
    </cfRule>
    <cfRule type="cellIs" dxfId="1831" priority="2435" operator="equal">
      <formula>"Survivor"</formula>
    </cfRule>
    <cfRule type="cellIs" dxfId="1830" priority="2436" operator="equal">
      <formula>"Mystic"</formula>
    </cfRule>
  </conditionalFormatting>
  <conditionalFormatting sqref="K978">
    <cfRule type="cellIs" dxfId="1829" priority="2425" operator="equal">
      <formula>"Seeker"</formula>
    </cfRule>
    <cfRule type="cellIs" dxfId="1828" priority="2426" operator="equal">
      <formula>"Neutral"</formula>
    </cfRule>
    <cfRule type="cellIs" dxfId="1827" priority="2427" operator="equal">
      <formula>"Rogue"</formula>
    </cfRule>
    <cfRule type="cellIs" dxfId="1826" priority="2428" operator="equal">
      <formula>"Guardian"</formula>
    </cfRule>
    <cfRule type="cellIs" dxfId="1825" priority="2429" operator="equal">
      <formula>"Survivor"</formula>
    </cfRule>
    <cfRule type="cellIs" dxfId="1824" priority="2430" operator="equal">
      <formula>"Mystic"</formula>
    </cfRule>
  </conditionalFormatting>
  <conditionalFormatting sqref="AM979:AM982">
    <cfRule type="cellIs" dxfId="1823" priority="2419" operator="equal">
      <formula>"seeker"</formula>
    </cfRule>
    <cfRule type="cellIs" dxfId="1822" priority="2420" operator="equal">
      <formula>"neutral"</formula>
    </cfRule>
    <cfRule type="cellIs" dxfId="1821" priority="2421" operator="equal">
      <formula>"rogue"</formula>
    </cfRule>
    <cfRule type="cellIs" dxfId="1820" priority="2422" operator="equal">
      <formula>"Guardian"</formula>
    </cfRule>
    <cfRule type="cellIs" dxfId="1819" priority="2423" operator="equal">
      <formula>"Survivor"</formula>
    </cfRule>
    <cfRule type="cellIs" dxfId="1818" priority="2424" operator="equal">
      <formula>"Mystic"</formula>
    </cfRule>
  </conditionalFormatting>
  <conditionalFormatting sqref="AM978">
    <cfRule type="cellIs" dxfId="1817" priority="2413" operator="equal">
      <formula>"Seeker"</formula>
    </cfRule>
    <cfRule type="cellIs" dxfId="1816" priority="2414" operator="equal">
      <formula>"Neutral"</formula>
    </cfRule>
    <cfRule type="cellIs" dxfId="1815" priority="2415" operator="equal">
      <formula>"Rogue"</formula>
    </cfRule>
    <cfRule type="cellIs" dxfId="1814" priority="2416" operator="equal">
      <formula>"Guardian"</formula>
    </cfRule>
    <cfRule type="cellIs" dxfId="1813" priority="2417" operator="equal">
      <formula>"Survivor"</formula>
    </cfRule>
    <cfRule type="cellIs" dxfId="1812" priority="2418" operator="equal">
      <formula>"Mystic"</formula>
    </cfRule>
  </conditionalFormatting>
  <conditionalFormatting sqref="K994">
    <cfRule type="cellIs" dxfId="1811" priority="2407" operator="equal">
      <formula>"Seeker"</formula>
    </cfRule>
    <cfRule type="cellIs" dxfId="1810" priority="2408" operator="equal">
      <formula>"Neutral"</formula>
    </cfRule>
    <cfRule type="cellIs" dxfId="1809" priority="2409" operator="equal">
      <formula>"Rogue"</formula>
    </cfRule>
    <cfRule type="cellIs" dxfId="1808" priority="2410" operator="equal">
      <formula>"Guardian"</formula>
    </cfRule>
    <cfRule type="cellIs" dxfId="1807" priority="2411" operator="equal">
      <formula>"Survivor"</formula>
    </cfRule>
    <cfRule type="cellIs" dxfId="1806" priority="2412" operator="equal">
      <formula>"Mystic"</formula>
    </cfRule>
  </conditionalFormatting>
  <conditionalFormatting sqref="K995">
    <cfRule type="cellIs" dxfId="1805" priority="2401" operator="equal">
      <formula>"Seeker"</formula>
    </cfRule>
    <cfRule type="cellIs" dxfId="1804" priority="2402" operator="equal">
      <formula>"Neutral"</formula>
    </cfRule>
    <cfRule type="cellIs" dxfId="1803" priority="2403" operator="equal">
      <formula>"Rogue"</formula>
    </cfRule>
    <cfRule type="cellIs" dxfId="1802" priority="2404" operator="equal">
      <formula>"Guardian"</formula>
    </cfRule>
    <cfRule type="cellIs" dxfId="1801" priority="2405" operator="equal">
      <formula>"Survivor"</formula>
    </cfRule>
    <cfRule type="cellIs" dxfId="1800" priority="2406" operator="equal">
      <formula>"Mystic"</formula>
    </cfRule>
  </conditionalFormatting>
  <conditionalFormatting sqref="K996">
    <cfRule type="cellIs" dxfId="1799" priority="2395" operator="equal">
      <formula>"Seeker"</formula>
    </cfRule>
    <cfRule type="cellIs" dxfId="1798" priority="2396" operator="equal">
      <formula>"Neutral"</formula>
    </cfRule>
    <cfRule type="cellIs" dxfId="1797" priority="2397" operator="equal">
      <formula>"Rogue"</formula>
    </cfRule>
    <cfRule type="cellIs" dxfId="1796" priority="2398" operator="equal">
      <formula>"Guardian"</formula>
    </cfRule>
    <cfRule type="cellIs" dxfId="1795" priority="2399" operator="equal">
      <formula>"Survivor"</formula>
    </cfRule>
    <cfRule type="cellIs" dxfId="1794" priority="2400" operator="equal">
      <formula>"Mystic"</formula>
    </cfRule>
  </conditionalFormatting>
  <conditionalFormatting sqref="K997">
    <cfRule type="cellIs" dxfId="1793" priority="2389" operator="equal">
      <formula>"Seeker"</formula>
    </cfRule>
    <cfRule type="cellIs" dxfId="1792" priority="2390" operator="equal">
      <formula>"Neutral"</formula>
    </cfRule>
    <cfRule type="cellIs" dxfId="1791" priority="2391" operator="equal">
      <formula>"Rogue"</formula>
    </cfRule>
    <cfRule type="cellIs" dxfId="1790" priority="2392" operator="equal">
      <formula>"Guardian"</formula>
    </cfRule>
    <cfRule type="cellIs" dxfId="1789" priority="2393" operator="equal">
      <formula>"Survivor"</formula>
    </cfRule>
    <cfRule type="cellIs" dxfId="1788" priority="2394" operator="equal">
      <formula>"Mystic"</formula>
    </cfRule>
  </conditionalFormatting>
  <conditionalFormatting sqref="K1003">
    <cfRule type="cellIs" dxfId="1787" priority="2383" operator="equal">
      <formula>"seeker"</formula>
    </cfRule>
    <cfRule type="cellIs" dxfId="1786" priority="2384" operator="equal">
      <formula>"neutral"</formula>
    </cfRule>
    <cfRule type="cellIs" dxfId="1785" priority="2385" operator="equal">
      <formula>"rogue"</formula>
    </cfRule>
    <cfRule type="cellIs" dxfId="1784" priority="2386" operator="equal">
      <formula>"Guardian"</formula>
    </cfRule>
    <cfRule type="cellIs" dxfId="1783" priority="2387" operator="equal">
      <formula>"Survivor"</formula>
    </cfRule>
    <cfRule type="cellIs" dxfId="1782" priority="2388" operator="equal">
      <formula>"Mystic"</formula>
    </cfRule>
  </conditionalFormatting>
  <conditionalFormatting sqref="K1004">
    <cfRule type="cellIs" dxfId="1781" priority="2377" operator="equal">
      <formula>"seeker"</formula>
    </cfRule>
    <cfRule type="cellIs" dxfId="1780" priority="2378" operator="equal">
      <formula>"neutral"</formula>
    </cfRule>
    <cfRule type="cellIs" dxfId="1779" priority="2379" operator="equal">
      <formula>"rogue"</formula>
    </cfRule>
    <cfRule type="cellIs" dxfId="1778" priority="2380" operator="equal">
      <formula>"Guardian"</formula>
    </cfRule>
    <cfRule type="cellIs" dxfId="1777" priority="2381" operator="equal">
      <formula>"Survivor"</formula>
    </cfRule>
    <cfRule type="cellIs" dxfId="1776" priority="2382" operator="equal">
      <formula>"Mystic"</formula>
    </cfRule>
  </conditionalFormatting>
  <conditionalFormatting sqref="K1005">
    <cfRule type="cellIs" dxfId="1775" priority="2371" operator="equal">
      <formula>"seeker"</formula>
    </cfRule>
    <cfRule type="cellIs" dxfId="1774" priority="2372" operator="equal">
      <formula>"neutral"</formula>
    </cfRule>
    <cfRule type="cellIs" dxfId="1773" priority="2373" operator="equal">
      <formula>"rogue"</formula>
    </cfRule>
    <cfRule type="cellIs" dxfId="1772" priority="2374" operator="equal">
      <formula>"Guardian"</formula>
    </cfRule>
    <cfRule type="cellIs" dxfId="1771" priority="2375" operator="equal">
      <formula>"Survivor"</formula>
    </cfRule>
    <cfRule type="cellIs" dxfId="1770" priority="2376" operator="equal">
      <formula>"Mystic"</formula>
    </cfRule>
  </conditionalFormatting>
  <conditionalFormatting sqref="K1006">
    <cfRule type="cellIs" dxfId="1769" priority="2365" operator="equal">
      <formula>"seeker"</formula>
    </cfRule>
    <cfRule type="cellIs" dxfId="1768" priority="2366" operator="equal">
      <formula>"neutral"</formula>
    </cfRule>
    <cfRule type="cellIs" dxfId="1767" priority="2367" operator="equal">
      <formula>"rogue"</formula>
    </cfRule>
    <cfRule type="cellIs" dxfId="1766" priority="2368" operator="equal">
      <formula>"Guardian"</formula>
    </cfRule>
    <cfRule type="cellIs" dxfId="1765" priority="2369" operator="equal">
      <formula>"Survivor"</formula>
    </cfRule>
    <cfRule type="cellIs" dxfId="1764" priority="2370" operator="equal">
      <formula>"Mystic"</formula>
    </cfRule>
  </conditionalFormatting>
  <conditionalFormatting sqref="K1007">
    <cfRule type="cellIs" dxfId="1763" priority="2359" operator="equal">
      <formula>"seeker"</formula>
    </cfRule>
    <cfRule type="cellIs" dxfId="1762" priority="2360" operator="equal">
      <formula>"neutral"</formula>
    </cfRule>
    <cfRule type="cellIs" dxfId="1761" priority="2361" operator="equal">
      <formula>"rogue"</formula>
    </cfRule>
    <cfRule type="cellIs" dxfId="1760" priority="2362" operator="equal">
      <formula>"Guardian"</formula>
    </cfRule>
    <cfRule type="cellIs" dxfId="1759" priority="2363" operator="equal">
      <formula>"Survivor"</formula>
    </cfRule>
    <cfRule type="cellIs" dxfId="1758" priority="2364" operator="equal">
      <formula>"Mystic"</formula>
    </cfRule>
  </conditionalFormatting>
  <conditionalFormatting sqref="K1008">
    <cfRule type="cellIs" dxfId="1757" priority="2353" operator="equal">
      <formula>"seeker"</formula>
    </cfRule>
    <cfRule type="cellIs" dxfId="1756" priority="2354" operator="equal">
      <formula>"neutral"</formula>
    </cfRule>
    <cfRule type="cellIs" dxfId="1755" priority="2355" operator="equal">
      <formula>"rogue"</formula>
    </cfRule>
    <cfRule type="cellIs" dxfId="1754" priority="2356" operator="equal">
      <formula>"Guardian"</formula>
    </cfRule>
    <cfRule type="cellIs" dxfId="1753" priority="2357" operator="equal">
      <formula>"Survivor"</formula>
    </cfRule>
    <cfRule type="cellIs" dxfId="1752" priority="2358" operator="equal">
      <formula>"Mystic"</formula>
    </cfRule>
  </conditionalFormatting>
  <conditionalFormatting sqref="AL1020">
    <cfRule type="cellIs" dxfId="1751" priority="2341" operator="equal">
      <formula>"Seeker"</formula>
    </cfRule>
    <cfRule type="cellIs" dxfId="1750" priority="2342" operator="equal">
      <formula>"Neutral"</formula>
    </cfRule>
    <cfRule type="cellIs" dxfId="1749" priority="2343" operator="equal">
      <formula>"Rogue"</formula>
    </cfRule>
    <cfRule type="cellIs" dxfId="1748" priority="2344" operator="equal">
      <formula>"Guardian"</formula>
    </cfRule>
    <cfRule type="cellIs" dxfId="1747" priority="2345" operator="equal">
      <formula>"Survivor"</formula>
    </cfRule>
    <cfRule type="cellIs" dxfId="1746" priority="2346" operator="equal">
      <formula>"Mystic"</formula>
    </cfRule>
  </conditionalFormatting>
  <conditionalFormatting sqref="K1031">
    <cfRule type="cellIs" dxfId="1745" priority="2329" operator="equal">
      <formula>"seeker"</formula>
    </cfRule>
    <cfRule type="cellIs" dxfId="1744" priority="2330" operator="equal">
      <formula>"neutral"</formula>
    </cfRule>
    <cfRule type="cellIs" dxfId="1743" priority="2331" operator="equal">
      <formula>"rogue"</formula>
    </cfRule>
    <cfRule type="cellIs" dxfId="1742" priority="2332" operator="equal">
      <formula>"Guardian"</formula>
    </cfRule>
    <cfRule type="cellIs" dxfId="1741" priority="2333" operator="equal">
      <formula>"Survivor"</formula>
    </cfRule>
    <cfRule type="cellIs" dxfId="1740" priority="2334" operator="equal">
      <formula>"Mystic"</formula>
    </cfRule>
  </conditionalFormatting>
  <conditionalFormatting sqref="AL1031">
    <cfRule type="cellIs" dxfId="1739" priority="2323" operator="equal">
      <formula>"Seeker"</formula>
    </cfRule>
    <cfRule type="cellIs" dxfId="1738" priority="2324" operator="equal">
      <formula>"Neutral"</formula>
    </cfRule>
    <cfRule type="cellIs" dxfId="1737" priority="2325" operator="equal">
      <formula>"Rogue"</formula>
    </cfRule>
    <cfRule type="cellIs" dxfId="1736" priority="2326" operator="equal">
      <formula>"Guardian"</formula>
    </cfRule>
    <cfRule type="cellIs" dxfId="1735" priority="2327" operator="equal">
      <formula>"Survivor"</formula>
    </cfRule>
    <cfRule type="cellIs" dxfId="1734" priority="2328" operator="equal">
      <formula>"Mystic"</formula>
    </cfRule>
  </conditionalFormatting>
  <conditionalFormatting sqref="AM1129:AM1130 K1129:K1130 K1086:K1099 AM1099 AM1105:AM1106 K1103:K1106 K1111:K1117 AM1111:AM1117 K1119:K1127 AM1119:AM1127">
    <cfRule type="cellIs" dxfId="1733" priority="2317" operator="equal">
      <formula>"seeker"</formula>
    </cfRule>
    <cfRule type="cellIs" dxfId="1732" priority="2318" operator="equal">
      <formula>"neutral"</formula>
    </cfRule>
    <cfRule type="cellIs" dxfId="1731" priority="2319" operator="equal">
      <formula>"rogue"</formula>
    </cfRule>
    <cfRule type="cellIs" dxfId="1730" priority="2320" operator="equal">
      <formula>"Guardian"</formula>
    </cfRule>
    <cfRule type="cellIs" dxfId="1729" priority="2321" operator="equal">
      <formula>"Survivor"</formula>
    </cfRule>
    <cfRule type="cellIs" dxfId="1728" priority="2322" operator="equal">
      <formula>"Mystic"</formula>
    </cfRule>
  </conditionalFormatting>
  <conditionalFormatting sqref="AM1109">
    <cfRule type="cellIs" dxfId="1727" priority="2305" operator="equal">
      <formula>"seeker"</formula>
    </cfRule>
    <cfRule type="cellIs" dxfId="1726" priority="2306" operator="equal">
      <formula>"neutral"</formula>
    </cfRule>
    <cfRule type="cellIs" dxfId="1725" priority="2307" operator="equal">
      <formula>"rogue"</formula>
    </cfRule>
    <cfRule type="cellIs" dxfId="1724" priority="2308" operator="equal">
      <formula>"Guardian"</formula>
    </cfRule>
    <cfRule type="cellIs" dxfId="1723" priority="2309" operator="equal">
      <formula>"Survivor"</formula>
    </cfRule>
    <cfRule type="cellIs" dxfId="1722" priority="2310" operator="equal">
      <formula>"Mystic"</formula>
    </cfRule>
  </conditionalFormatting>
  <conditionalFormatting sqref="AM1086:AM1089">
    <cfRule type="cellIs" dxfId="1721" priority="2293" operator="equal">
      <formula>"seeker"</formula>
    </cfRule>
    <cfRule type="cellIs" dxfId="1720" priority="2294" operator="equal">
      <formula>"neutral"</formula>
    </cfRule>
    <cfRule type="cellIs" dxfId="1719" priority="2295" operator="equal">
      <formula>"rogue"</formula>
    </cfRule>
    <cfRule type="cellIs" dxfId="1718" priority="2296" operator="equal">
      <formula>"Guardian"</formula>
    </cfRule>
    <cfRule type="cellIs" dxfId="1717" priority="2297" operator="equal">
      <formula>"Survivor"</formula>
    </cfRule>
    <cfRule type="cellIs" dxfId="1716" priority="2298" operator="equal">
      <formula>"Mystic"</formula>
    </cfRule>
  </conditionalFormatting>
  <conditionalFormatting sqref="AM1085">
    <cfRule type="cellIs" dxfId="1715" priority="2287" operator="equal">
      <formula>"Seeker"</formula>
    </cfRule>
    <cfRule type="cellIs" dxfId="1714" priority="2288" operator="equal">
      <formula>"Neutral"</formula>
    </cfRule>
    <cfRule type="cellIs" dxfId="1713" priority="2289" operator="equal">
      <formula>"Rogue"</formula>
    </cfRule>
    <cfRule type="cellIs" dxfId="1712" priority="2290" operator="equal">
      <formula>"Guardian"</formula>
    </cfRule>
    <cfRule type="cellIs" dxfId="1711" priority="2291" operator="equal">
      <formula>"Survivor"</formula>
    </cfRule>
    <cfRule type="cellIs" dxfId="1710" priority="2292" operator="equal">
      <formula>"Mystic"</formula>
    </cfRule>
  </conditionalFormatting>
  <conditionalFormatting sqref="K1100">
    <cfRule type="cellIs" dxfId="1709" priority="2281" operator="equal">
      <formula>"Seeker"</formula>
    </cfRule>
    <cfRule type="cellIs" dxfId="1708" priority="2282" operator="equal">
      <formula>"Neutral"</formula>
    </cfRule>
    <cfRule type="cellIs" dxfId="1707" priority="2283" operator="equal">
      <formula>"Rogue"</formula>
    </cfRule>
    <cfRule type="cellIs" dxfId="1706" priority="2284" operator="equal">
      <formula>"Guardian"</formula>
    </cfRule>
    <cfRule type="cellIs" dxfId="1705" priority="2285" operator="equal">
      <formula>"Survivor"</formula>
    </cfRule>
    <cfRule type="cellIs" dxfId="1704" priority="2286" operator="equal">
      <formula>"Mystic"</formula>
    </cfRule>
  </conditionalFormatting>
  <conditionalFormatting sqref="AM1100">
    <cfRule type="cellIs" dxfId="1703" priority="2275" operator="equal">
      <formula>"Seeker"</formula>
    </cfRule>
    <cfRule type="cellIs" dxfId="1702" priority="2276" operator="equal">
      <formula>"Neutral"</formula>
    </cfRule>
    <cfRule type="cellIs" dxfId="1701" priority="2277" operator="equal">
      <formula>"Rogue"</formula>
    </cfRule>
    <cfRule type="cellIs" dxfId="1700" priority="2278" operator="equal">
      <formula>"Guardian"</formula>
    </cfRule>
    <cfRule type="cellIs" dxfId="1699" priority="2279" operator="equal">
      <formula>"Survivor"</formula>
    </cfRule>
    <cfRule type="cellIs" dxfId="1698" priority="2280" operator="equal">
      <formula>"Mystic"</formula>
    </cfRule>
  </conditionalFormatting>
  <conditionalFormatting sqref="K1101">
    <cfRule type="cellIs" dxfId="1697" priority="2269" operator="equal">
      <formula>"Seeker"</formula>
    </cfRule>
    <cfRule type="cellIs" dxfId="1696" priority="2270" operator="equal">
      <formula>"Neutral"</formula>
    </cfRule>
    <cfRule type="cellIs" dxfId="1695" priority="2271" operator="equal">
      <formula>"Rogue"</formula>
    </cfRule>
    <cfRule type="cellIs" dxfId="1694" priority="2272" operator="equal">
      <formula>"Guardian"</formula>
    </cfRule>
    <cfRule type="cellIs" dxfId="1693" priority="2273" operator="equal">
      <formula>"Survivor"</formula>
    </cfRule>
    <cfRule type="cellIs" dxfId="1692" priority="2274" operator="equal">
      <formula>"Mystic"</formula>
    </cfRule>
  </conditionalFormatting>
  <conditionalFormatting sqref="K1102">
    <cfRule type="cellIs" dxfId="1691" priority="2263" operator="equal">
      <formula>"Seeker"</formula>
    </cfRule>
    <cfRule type="cellIs" dxfId="1690" priority="2264" operator="equal">
      <formula>"Neutral"</formula>
    </cfRule>
    <cfRule type="cellIs" dxfId="1689" priority="2265" operator="equal">
      <formula>"Rogue"</formula>
    </cfRule>
    <cfRule type="cellIs" dxfId="1688" priority="2266" operator="equal">
      <formula>"Guardian"</formula>
    </cfRule>
    <cfRule type="cellIs" dxfId="1687" priority="2267" operator="equal">
      <formula>"Survivor"</formula>
    </cfRule>
    <cfRule type="cellIs" dxfId="1686" priority="2268" operator="equal">
      <formula>"Mystic"</formula>
    </cfRule>
  </conditionalFormatting>
  <conditionalFormatting sqref="K1108">
    <cfRule type="cellIs" dxfId="1685" priority="2245" operator="equal">
      <formula>"seeker"</formula>
    </cfRule>
    <cfRule type="cellIs" dxfId="1684" priority="2246" operator="equal">
      <formula>"neutral"</formula>
    </cfRule>
    <cfRule type="cellIs" dxfId="1683" priority="2247" operator="equal">
      <formula>"rogue"</formula>
    </cfRule>
    <cfRule type="cellIs" dxfId="1682" priority="2248" operator="equal">
      <formula>"Guardian"</formula>
    </cfRule>
    <cfRule type="cellIs" dxfId="1681" priority="2249" operator="equal">
      <formula>"Survivor"</formula>
    </cfRule>
    <cfRule type="cellIs" dxfId="1680" priority="2250" operator="equal">
      <formula>"Mystic"</formula>
    </cfRule>
  </conditionalFormatting>
  <conditionalFormatting sqref="AM1110">
    <cfRule type="cellIs" dxfId="1679" priority="2221" operator="equal">
      <formula>"seeker"</formula>
    </cfRule>
    <cfRule type="cellIs" dxfId="1678" priority="2222" operator="equal">
      <formula>"neutral"</formula>
    </cfRule>
    <cfRule type="cellIs" dxfId="1677" priority="2223" operator="equal">
      <formula>"rogue"</formula>
    </cfRule>
    <cfRule type="cellIs" dxfId="1676" priority="2224" operator="equal">
      <formula>"Guardian"</formula>
    </cfRule>
    <cfRule type="cellIs" dxfId="1675" priority="2225" operator="equal">
      <formula>"Survivor"</formula>
    </cfRule>
    <cfRule type="cellIs" dxfId="1674" priority="2226" operator="equal">
      <formula>"Mystic"</formula>
    </cfRule>
  </conditionalFormatting>
  <conditionalFormatting sqref="AL1118">
    <cfRule type="cellIs" dxfId="1673" priority="2215" operator="equal">
      <formula>"Seeker"</formula>
    </cfRule>
    <cfRule type="cellIs" dxfId="1672" priority="2216" operator="equal">
      <formula>"Neutral"</formula>
    </cfRule>
    <cfRule type="cellIs" dxfId="1671" priority="2217" operator="equal">
      <formula>"Rogue"</formula>
    </cfRule>
    <cfRule type="cellIs" dxfId="1670" priority="2218" operator="equal">
      <formula>"Guardian"</formula>
    </cfRule>
    <cfRule type="cellIs" dxfId="1669" priority="2219" operator="equal">
      <formula>"Survivor"</formula>
    </cfRule>
    <cfRule type="cellIs" dxfId="1668" priority="2220" operator="equal">
      <formula>"Mystic"</formula>
    </cfRule>
  </conditionalFormatting>
  <conditionalFormatting sqref="AM1173:AM1176 K1173:K1176 K1132:K1145 AM1145 AM1151:AM1152 K1149:K1152 AM1163:AM1171 K1157:K1171 AM1156:AM1161">
    <cfRule type="cellIs" dxfId="1667" priority="2185" operator="equal">
      <formula>"seeker"</formula>
    </cfRule>
    <cfRule type="cellIs" dxfId="1666" priority="2186" operator="equal">
      <formula>"neutral"</formula>
    </cfRule>
    <cfRule type="cellIs" dxfId="1665" priority="2187" operator="equal">
      <formula>"rogue"</formula>
    </cfRule>
    <cfRule type="cellIs" dxfId="1664" priority="2188" operator="equal">
      <formula>"Guardian"</formula>
    </cfRule>
    <cfRule type="cellIs" dxfId="1663" priority="2189" operator="equal">
      <formula>"Survivor"</formula>
    </cfRule>
    <cfRule type="cellIs" dxfId="1662" priority="2190" operator="equal">
      <formula>"Mystic"</formula>
    </cfRule>
  </conditionalFormatting>
  <conditionalFormatting sqref="AM1155">
    <cfRule type="cellIs" dxfId="1661" priority="2173" operator="equal">
      <formula>"seeker"</formula>
    </cfRule>
    <cfRule type="cellIs" dxfId="1660" priority="2174" operator="equal">
      <formula>"neutral"</formula>
    </cfRule>
    <cfRule type="cellIs" dxfId="1659" priority="2175" operator="equal">
      <formula>"rogue"</formula>
    </cfRule>
    <cfRule type="cellIs" dxfId="1658" priority="2176" operator="equal">
      <formula>"Guardian"</formula>
    </cfRule>
    <cfRule type="cellIs" dxfId="1657" priority="2177" operator="equal">
      <formula>"Survivor"</formula>
    </cfRule>
    <cfRule type="cellIs" dxfId="1656" priority="2178" operator="equal">
      <formula>"Mystic"</formula>
    </cfRule>
  </conditionalFormatting>
  <conditionalFormatting sqref="AM1132:AM1135">
    <cfRule type="cellIs" dxfId="1655" priority="2161" operator="equal">
      <formula>"seeker"</formula>
    </cfRule>
    <cfRule type="cellIs" dxfId="1654" priority="2162" operator="equal">
      <formula>"neutral"</formula>
    </cfRule>
    <cfRule type="cellIs" dxfId="1653" priority="2163" operator="equal">
      <formula>"rogue"</formula>
    </cfRule>
    <cfRule type="cellIs" dxfId="1652" priority="2164" operator="equal">
      <formula>"Guardian"</formula>
    </cfRule>
    <cfRule type="cellIs" dxfId="1651" priority="2165" operator="equal">
      <formula>"Survivor"</formula>
    </cfRule>
    <cfRule type="cellIs" dxfId="1650" priority="2166" operator="equal">
      <formula>"Mystic"</formula>
    </cfRule>
  </conditionalFormatting>
  <conditionalFormatting sqref="AM1131">
    <cfRule type="cellIs" dxfId="1649" priority="2155" operator="equal">
      <formula>"Seeker"</formula>
    </cfRule>
    <cfRule type="cellIs" dxfId="1648" priority="2156" operator="equal">
      <formula>"Neutral"</formula>
    </cfRule>
    <cfRule type="cellIs" dxfId="1647" priority="2157" operator="equal">
      <formula>"Rogue"</formula>
    </cfRule>
    <cfRule type="cellIs" dxfId="1646" priority="2158" operator="equal">
      <formula>"Guardian"</formula>
    </cfRule>
    <cfRule type="cellIs" dxfId="1645" priority="2159" operator="equal">
      <formula>"Survivor"</formula>
    </cfRule>
    <cfRule type="cellIs" dxfId="1644" priority="2160" operator="equal">
      <formula>"Mystic"</formula>
    </cfRule>
  </conditionalFormatting>
  <conditionalFormatting sqref="K1146">
    <cfRule type="cellIs" dxfId="1643" priority="2149" operator="equal">
      <formula>"Seeker"</formula>
    </cfRule>
    <cfRule type="cellIs" dxfId="1642" priority="2150" operator="equal">
      <formula>"Neutral"</formula>
    </cfRule>
    <cfRule type="cellIs" dxfId="1641" priority="2151" operator="equal">
      <formula>"Rogue"</formula>
    </cfRule>
    <cfRule type="cellIs" dxfId="1640" priority="2152" operator="equal">
      <formula>"Guardian"</formula>
    </cfRule>
    <cfRule type="cellIs" dxfId="1639" priority="2153" operator="equal">
      <formula>"Survivor"</formula>
    </cfRule>
    <cfRule type="cellIs" dxfId="1638" priority="2154" operator="equal">
      <formula>"Mystic"</formula>
    </cfRule>
  </conditionalFormatting>
  <conditionalFormatting sqref="AM1146">
    <cfRule type="cellIs" dxfId="1637" priority="2143" operator="equal">
      <formula>"Seeker"</formula>
    </cfRule>
    <cfRule type="cellIs" dxfId="1636" priority="2144" operator="equal">
      <formula>"Neutral"</formula>
    </cfRule>
    <cfRule type="cellIs" dxfId="1635" priority="2145" operator="equal">
      <formula>"Rogue"</formula>
    </cfRule>
    <cfRule type="cellIs" dxfId="1634" priority="2146" operator="equal">
      <formula>"Guardian"</formula>
    </cfRule>
    <cfRule type="cellIs" dxfId="1633" priority="2147" operator="equal">
      <formula>"Survivor"</formula>
    </cfRule>
    <cfRule type="cellIs" dxfId="1632" priority="2148" operator="equal">
      <formula>"Mystic"</formula>
    </cfRule>
  </conditionalFormatting>
  <conditionalFormatting sqref="K1147">
    <cfRule type="cellIs" dxfId="1631" priority="2137" operator="equal">
      <formula>"Seeker"</formula>
    </cfRule>
    <cfRule type="cellIs" dxfId="1630" priority="2138" operator="equal">
      <formula>"Neutral"</formula>
    </cfRule>
    <cfRule type="cellIs" dxfId="1629" priority="2139" operator="equal">
      <formula>"Rogue"</formula>
    </cfRule>
    <cfRule type="cellIs" dxfId="1628" priority="2140" operator="equal">
      <formula>"Guardian"</formula>
    </cfRule>
    <cfRule type="cellIs" dxfId="1627" priority="2141" operator="equal">
      <formula>"Survivor"</formula>
    </cfRule>
    <cfRule type="cellIs" dxfId="1626" priority="2142" operator="equal">
      <formula>"Mystic"</formula>
    </cfRule>
  </conditionalFormatting>
  <conditionalFormatting sqref="K1148">
    <cfRule type="cellIs" dxfId="1625" priority="2131" operator="equal">
      <formula>"Seeker"</formula>
    </cfRule>
    <cfRule type="cellIs" dxfId="1624" priority="2132" operator="equal">
      <formula>"Neutral"</formula>
    </cfRule>
    <cfRule type="cellIs" dxfId="1623" priority="2133" operator="equal">
      <formula>"Rogue"</formula>
    </cfRule>
    <cfRule type="cellIs" dxfId="1622" priority="2134" operator="equal">
      <formula>"Guardian"</formula>
    </cfRule>
    <cfRule type="cellIs" dxfId="1621" priority="2135" operator="equal">
      <formula>"Survivor"</formula>
    </cfRule>
    <cfRule type="cellIs" dxfId="1620" priority="2136" operator="equal">
      <formula>"Mystic"</formula>
    </cfRule>
  </conditionalFormatting>
  <conditionalFormatting sqref="K1154">
    <cfRule type="cellIs" dxfId="1619" priority="2113" operator="equal">
      <formula>"seeker"</formula>
    </cfRule>
    <cfRule type="cellIs" dxfId="1618" priority="2114" operator="equal">
      <formula>"neutral"</formula>
    </cfRule>
    <cfRule type="cellIs" dxfId="1617" priority="2115" operator="equal">
      <formula>"rogue"</formula>
    </cfRule>
    <cfRule type="cellIs" dxfId="1616" priority="2116" operator="equal">
      <formula>"Guardian"</formula>
    </cfRule>
    <cfRule type="cellIs" dxfId="1615" priority="2117" operator="equal">
      <formula>"Survivor"</formula>
    </cfRule>
    <cfRule type="cellIs" dxfId="1614" priority="2118" operator="equal">
      <formula>"Mystic"</formula>
    </cfRule>
  </conditionalFormatting>
  <conditionalFormatting sqref="K1156">
    <cfRule type="cellIs" dxfId="1613" priority="2095" operator="equal">
      <formula>"seeker"</formula>
    </cfRule>
    <cfRule type="cellIs" dxfId="1612" priority="2096" operator="equal">
      <formula>"neutral"</formula>
    </cfRule>
    <cfRule type="cellIs" dxfId="1611" priority="2097" operator="equal">
      <formula>"rogue"</formula>
    </cfRule>
    <cfRule type="cellIs" dxfId="1610" priority="2098" operator="equal">
      <formula>"Guardian"</formula>
    </cfRule>
    <cfRule type="cellIs" dxfId="1609" priority="2099" operator="equal">
      <formula>"Survivor"</formula>
    </cfRule>
    <cfRule type="cellIs" dxfId="1608" priority="2100" operator="equal">
      <formula>"Mystic"</formula>
    </cfRule>
  </conditionalFormatting>
  <conditionalFormatting sqref="K1172">
    <cfRule type="cellIs" dxfId="1607" priority="2083" operator="equal">
      <formula>"seeker"</formula>
    </cfRule>
    <cfRule type="cellIs" dxfId="1606" priority="2084" operator="equal">
      <formula>"neutral"</formula>
    </cfRule>
    <cfRule type="cellIs" dxfId="1605" priority="2085" operator="equal">
      <formula>"rogue"</formula>
    </cfRule>
    <cfRule type="cellIs" dxfId="1604" priority="2086" operator="equal">
      <formula>"Guardian"</formula>
    </cfRule>
    <cfRule type="cellIs" dxfId="1603" priority="2087" operator="equal">
      <formula>"Survivor"</formula>
    </cfRule>
    <cfRule type="cellIs" dxfId="1602" priority="2088" operator="equal">
      <formula>"Mystic"</formula>
    </cfRule>
  </conditionalFormatting>
  <conditionalFormatting sqref="AL1172">
    <cfRule type="cellIs" dxfId="1601" priority="2077" operator="equal">
      <formula>"Seeker"</formula>
    </cfRule>
    <cfRule type="cellIs" dxfId="1600" priority="2078" operator="equal">
      <formula>"Neutral"</formula>
    </cfRule>
    <cfRule type="cellIs" dxfId="1599" priority="2079" operator="equal">
      <formula>"Rogue"</formula>
    </cfRule>
    <cfRule type="cellIs" dxfId="1598" priority="2080" operator="equal">
      <formula>"Guardian"</formula>
    </cfRule>
    <cfRule type="cellIs" dxfId="1597" priority="2081" operator="equal">
      <formula>"Survivor"</formula>
    </cfRule>
    <cfRule type="cellIs" dxfId="1596" priority="2082" operator="equal">
      <formula>"Mystic"</formula>
    </cfRule>
  </conditionalFormatting>
  <conditionalFormatting sqref="AM1150">
    <cfRule type="cellIs" dxfId="1595" priority="2071" operator="equal">
      <formula>"seeker"</formula>
    </cfRule>
    <cfRule type="cellIs" dxfId="1594" priority="2072" operator="equal">
      <formula>"neutral"</formula>
    </cfRule>
    <cfRule type="cellIs" dxfId="1593" priority="2073" operator="equal">
      <formula>"rogue"</formula>
    </cfRule>
    <cfRule type="cellIs" dxfId="1592" priority="2074" operator="equal">
      <formula>"Guardian"</formula>
    </cfRule>
    <cfRule type="cellIs" dxfId="1591" priority="2075" operator="equal">
      <formula>"Survivor"</formula>
    </cfRule>
    <cfRule type="cellIs" dxfId="1590" priority="2076" operator="equal">
      <formula>"Mystic"</formula>
    </cfRule>
  </conditionalFormatting>
  <conditionalFormatting sqref="AM1219 K1219 K1178:K1191 AM1191 AM1197:AM1198 K1195:K1198 AM1209:AM1217 K1203:K1217 AM1202:AM1207">
    <cfRule type="cellIs" dxfId="1589" priority="1825" operator="equal">
      <formula>"seeker"</formula>
    </cfRule>
    <cfRule type="cellIs" dxfId="1588" priority="1826" operator="equal">
      <formula>"neutral"</formula>
    </cfRule>
    <cfRule type="cellIs" dxfId="1587" priority="1827" operator="equal">
      <formula>"rogue"</formula>
    </cfRule>
    <cfRule type="cellIs" dxfId="1586" priority="1828" operator="equal">
      <formula>"Guardian"</formula>
    </cfRule>
    <cfRule type="cellIs" dxfId="1585" priority="1829" operator="equal">
      <formula>"Survivor"</formula>
    </cfRule>
    <cfRule type="cellIs" dxfId="1584" priority="1830" operator="equal">
      <formula>"Mystic"</formula>
    </cfRule>
  </conditionalFormatting>
  <conditionalFormatting sqref="AL1182:AL1188">
    <cfRule type="cellIs" dxfId="1583" priority="1819" operator="equal">
      <formula>"Seeker"</formula>
    </cfRule>
    <cfRule type="cellIs" dxfId="1582" priority="1820" operator="equal">
      <formula>"Neutral"</formula>
    </cfRule>
    <cfRule type="cellIs" dxfId="1581" priority="1821" operator="equal">
      <formula>"Rogue"</formula>
    </cfRule>
    <cfRule type="cellIs" dxfId="1580" priority="1822" operator="equal">
      <formula>"Guardian"</formula>
    </cfRule>
    <cfRule type="cellIs" dxfId="1579" priority="1823" operator="equal">
      <formula>"Survivor"</formula>
    </cfRule>
    <cfRule type="cellIs" dxfId="1578" priority="1824" operator="equal">
      <formula>"Mystic"</formula>
    </cfRule>
  </conditionalFormatting>
  <conditionalFormatting sqref="AM1201">
    <cfRule type="cellIs" dxfId="1577" priority="1813" operator="equal">
      <formula>"seeker"</formula>
    </cfRule>
    <cfRule type="cellIs" dxfId="1576" priority="1814" operator="equal">
      <formula>"neutral"</formula>
    </cfRule>
    <cfRule type="cellIs" dxfId="1575" priority="1815" operator="equal">
      <formula>"rogue"</formula>
    </cfRule>
    <cfRule type="cellIs" dxfId="1574" priority="1816" operator="equal">
      <formula>"Guardian"</formula>
    </cfRule>
    <cfRule type="cellIs" dxfId="1573" priority="1817" operator="equal">
      <formula>"Survivor"</formula>
    </cfRule>
    <cfRule type="cellIs" dxfId="1572" priority="1818" operator="equal">
      <formula>"Mystic"</formula>
    </cfRule>
  </conditionalFormatting>
  <conditionalFormatting sqref="K1177">
    <cfRule type="cellIs" dxfId="1571" priority="1807" operator="equal">
      <formula>"Seeker"</formula>
    </cfRule>
    <cfRule type="cellIs" dxfId="1570" priority="1808" operator="equal">
      <formula>"Neutral"</formula>
    </cfRule>
    <cfRule type="cellIs" dxfId="1569" priority="1809" operator="equal">
      <formula>"Rogue"</formula>
    </cfRule>
    <cfRule type="cellIs" dxfId="1568" priority="1810" operator="equal">
      <formula>"Guardian"</formula>
    </cfRule>
    <cfRule type="cellIs" dxfId="1567" priority="1811" operator="equal">
      <formula>"Survivor"</formula>
    </cfRule>
    <cfRule type="cellIs" dxfId="1566" priority="1812" operator="equal">
      <formula>"Mystic"</formula>
    </cfRule>
  </conditionalFormatting>
  <conditionalFormatting sqref="AM1178:AM1181">
    <cfRule type="cellIs" dxfId="1565" priority="1801" operator="equal">
      <formula>"seeker"</formula>
    </cfRule>
    <cfRule type="cellIs" dxfId="1564" priority="1802" operator="equal">
      <formula>"neutral"</formula>
    </cfRule>
    <cfRule type="cellIs" dxfId="1563" priority="1803" operator="equal">
      <formula>"rogue"</formula>
    </cfRule>
    <cfRule type="cellIs" dxfId="1562" priority="1804" operator="equal">
      <formula>"Guardian"</formula>
    </cfRule>
    <cfRule type="cellIs" dxfId="1561" priority="1805" operator="equal">
      <formula>"Survivor"</formula>
    </cfRule>
    <cfRule type="cellIs" dxfId="1560" priority="1806" operator="equal">
      <formula>"Mystic"</formula>
    </cfRule>
  </conditionalFormatting>
  <conditionalFormatting sqref="AM1177">
    <cfRule type="cellIs" dxfId="1559" priority="1795" operator="equal">
      <formula>"Seeker"</formula>
    </cfRule>
    <cfRule type="cellIs" dxfId="1558" priority="1796" operator="equal">
      <formula>"Neutral"</formula>
    </cfRule>
    <cfRule type="cellIs" dxfId="1557" priority="1797" operator="equal">
      <formula>"Rogue"</formula>
    </cfRule>
    <cfRule type="cellIs" dxfId="1556" priority="1798" operator="equal">
      <formula>"Guardian"</formula>
    </cfRule>
    <cfRule type="cellIs" dxfId="1555" priority="1799" operator="equal">
      <formula>"Survivor"</formula>
    </cfRule>
    <cfRule type="cellIs" dxfId="1554" priority="1800" operator="equal">
      <formula>"Mystic"</formula>
    </cfRule>
  </conditionalFormatting>
  <conditionalFormatting sqref="K1192">
    <cfRule type="cellIs" dxfId="1553" priority="1789" operator="equal">
      <formula>"Seeker"</formula>
    </cfRule>
    <cfRule type="cellIs" dxfId="1552" priority="1790" operator="equal">
      <formula>"Neutral"</formula>
    </cfRule>
    <cfRule type="cellIs" dxfId="1551" priority="1791" operator="equal">
      <formula>"Rogue"</formula>
    </cfRule>
    <cfRule type="cellIs" dxfId="1550" priority="1792" operator="equal">
      <formula>"Guardian"</formula>
    </cfRule>
    <cfRule type="cellIs" dxfId="1549" priority="1793" operator="equal">
      <formula>"Survivor"</formula>
    </cfRule>
    <cfRule type="cellIs" dxfId="1548" priority="1794" operator="equal">
      <formula>"Mystic"</formula>
    </cfRule>
  </conditionalFormatting>
  <conditionalFormatting sqref="AM1192">
    <cfRule type="cellIs" dxfId="1547" priority="1783" operator="equal">
      <formula>"Seeker"</formula>
    </cfRule>
    <cfRule type="cellIs" dxfId="1546" priority="1784" operator="equal">
      <formula>"Neutral"</formula>
    </cfRule>
    <cfRule type="cellIs" dxfId="1545" priority="1785" operator="equal">
      <formula>"Rogue"</formula>
    </cfRule>
    <cfRule type="cellIs" dxfId="1544" priority="1786" operator="equal">
      <formula>"Guardian"</formula>
    </cfRule>
    <cfRule type="cellIs" dxfId="1543" priority="1787" operator="equal">
      <formula>"Survivor"</formula>
    </cfRule>
    <cfRule type="cellIs" dxfId="1542" priority="1788" operator="equal">
      <formula>"Mystic"</formula>
    </cfRule>
  </conditionalFormatting>
  <conditionalFormatting sqref="K1193">
    <cfRule type="cellIs" dxfId="1541" priority="1777" operator="equal">
      <formula>"Seeker"</formula>
    </cfRule>
    <cfRule type="cellIs" dxfId="1540" priority="1778" operator="equal">
      <formula>"Neutral"</formula>
    </cfRule>
    <cfRule type="cellIs" dxfId="1539" priority="1779" operator="equal">
      <formula>"Rogue"</formula>
    </cfRule>
    <cfRule type="cellIs" dxfId="1538" priority="1780" operator="equal">
      <formula>"Guardian"</formula>
    </cfRule>
    <cfRule type="cellIs" dxfId="1537" priority="1781" operator="equal">
      <formula>"Survivor"</formula>
    </cfRule>
    <cfRule type="cellIs" dxfId="1536" priority="1782" operator="equal">
      <formula>"Mystic"</formula>
    </cfRule>
  </conditionalFormatting>
  <conditionalFormatting sqref="K1194">
    <cfRule type="cellIs" dxfId="1535" priority="1771" operator="equal">
      <formula>"Seeker"</formula>
    </cfRule>
    <cfRule type="cellIs" dxfId="1534" priority="1772" operator="equal">
      <formula>"Neutral"</formula>
    </cfRule>
    <cfRule type="cellIs" dxfId="1533" priority="1773" operator="equal">
      <formula>"Rogue"</formula>
    </cfRule>
    <cfRule type="cellIs" dxfId="1532" priority="1774" operator="equal">
      <formula>"Guardian"</formula>
    </cfRule>
    <cfRule type="cellIs" dxfId="1531" priority="1775" operator="equal">
      <formula>"Survivor"</formula>
    </cfRule>
    <cfRule type="cellIs" dxfId="1530" priority="1776" operator="equal">
      <formula>"Mystic"</formula>
    </cfRule>
  </conditionalFormatting>
  <conditionalFormatting sqref="K1199">
    <cfRule type="cellIs" dxfId="1529" priority="1765" operator="equal">
      <formula>"seeker"</formula>
    </cfRule>
    <cfRule type="cellIs" dxfId="1528" priority="1766" operator="equal">
      <formula>"neutral"</formula>
    </cfRule>
    <cfRule type="cellIs" dxfId="1527" priority="1767" operator="equal">
      <formula>"rogue"</formula>
    </cfRule>
    <cfRule type="cellIs" dxfId="1526" priority="1768" operator="equal">
      <formula>"Guardian"</formula>
    </cfRule>
    <cfRule type="cellIs" dxfId="1525" priority="1769" operator="equal">
      <formula>"Survivor"</formula>
    </cfRule>
    <cfRule type="cellIs" dxfId="1524" priority="1770" operator="equal">
      <formula>"Mystic"</formula>
    </cfRule>
  </conditionalFormatting>
  <conditionalFormatting sqref="AM1199">
    <cfRule type="cellIs" dxfId="1523" priority="1759" operator="equal">
      <formula>"seeker"</formula>
    </cfRule>
    <cfRule type="cellIs" dxfId="1522" priority="1760" operator="equal">
      <formula>"neutral"</formula>
    </cfRule>
    <cfRule type="cellIs" dxfId="1521" priority="1761" operator="equal">
      <formula>"rogue"</formula>
    </cfRule>
    <cfRule type="cellIs" dxfId="1520" priority="1762" operator="equal">
      <formula>"Guardian"</formula>
    </cfRule>
    <cfRule type="cellIs" dxfId="1519" priority="1763" operator="equal">
      <formula>"Survivor"</formula>
    </cfRule>
    <cfRule type="cellIs" dxfId="1518" priority="1764" operator="equal">
      <formula>"Mystic"</formula>
    </cfRule>
  </conditionalFormatting>
  <conditionalFormatting sqref="K1200">
    <cfRule type="cellIs" dxfId="1517" priority="1753" operator="equal">
      <formula>"seeker"</formula>
    </cfRule>
    <cfRule type="cellIs" dxfId="1516" priority="1754" operator="equal">
      <formula>"neutral"</formula>
    </cfRule>
    <cfRule type="cellIs" dxfId="1515" priority="1755" operator="equal">
      <formula>"rogue"</formula>
    </cfRule>
    <cfRule type="cellIs" dxfId="1514" priority="1756" operator="equal">
      <formula>"Guardian"</formula>
    </cfRule>
    <cfRule type="cellIs" dxfId="1513" priority="1757" operator="equal">
      <formula>"Survivor"</formula>
    </cfRule>
    <cfRule type="cellIs" dxfId="1512" priority="1758" operator="equal">
      <formula>"Mystic"</formula>
    </cfRule>
  </conditionalFormatting>
  <conditionalFormatting sqref="AM1200">
    <cfRule type="cellIs" dxfId="1511" priority="1747" operator="equal">
      <formula>"seeker"</formula>
    </cfRule>
    <cfRule type="cellIs" dxfId="1510" priority="1748" operator="equal">
      <formula>"neutral"</formula>
    </cfRule>
    <cfRule type="cellIs" dxfId="1509" priority="1749" operator="equal">
      <formula>"rogue"</formula>
    </cfRule>
    <cfRule type="cellIs" dxfId="1508" priority="1750" operator="equal">
      <formula>"Guardian"</formula>
    </cfRule>
    <cfRule type="cellIs" dxfId="1507" priority="1751" operator="equal">
      <formula>"Survivor"</formula>
    </cfRule>
    <cfRule type="cellIs" dxfId="1506" priority="1752" operator="equal">
      <formula>"Mystic"</formula>
    </cfRule>
  </conditionalFormatting>
  <conditionalFormatting sqref="K1201">
    <cfRule type="cellIs" dxfId="1505" priority="1741" operator="equal">
      <formula>"seeker"</formula>
    </cfRule>
    <cfRule type="cellIs" dxfId="1504" priority="1742" operator="equal">
      <formula>"neutral"</formula>
    </cfRule>
    <cfRule type="cellIs" dxfId="1503" priority="1743" operator="equal">
      <formula>"rogue"</formula>
    </cfRule>
    <cfRule type="cellIs" dxfId="1502" priority="1744" operator="equal">
      <formula>"Guardian"</formula>
    </cfRule>
    <cfRule type="cellIs" dxfId="1501" priority="1745" operator="equal">
      <formula>"Survivor"</formula>
    </cfRule>
    <cfRule type="cellIs" dxfId="1500" priority="1746" operator="equal">
      <formula>"Mystic"</formula>
    </cfRule>
  </conditionalFormatting>
  <conditionalFormatting sqref="K1202">
    <cfRule type="cellIs" dxfId="1499" priority="1735" operator="equal">
      <formula>"seeker"</formula>
    </cfRule>
    <cfRule type="cellIs" dxfId="1498" priority="1736" operator="equal">
      <formula>"neutral"</formula>
    </cfRule>
    <cfRule type="cellIs" dxfId="1497" priority="1737" operator="equal">
      <formula>"rogue"</formula>
    </cfRule>
    <cfRule type="cellIs" dxfId="1496" priority="1738" operator="equal">
      <formula>"Guardian"</formula>
    </cfRule>
    <cfRule type="cellIs" dxfId="1495" priority="1739" operator="equal">
      <formula>"Survivor"</formula>
    </cfRule>
    <cfRule type="cellIs" dxfId="1494" priority="1740" operator="equal">
      <formula>"Mystic"</formula>
    </cfRule>
  </conditionalFormatting>
  <conditionalFormatting sqref="AM1208">
    <cfRule type="cellIs" dxfId="1493" priority="1729" operator="equal">
      <formula>"seeker"</formula>
    </cfRule>
    <cfRule type="cellIs" dxfId="1492" priority="1730" operator="equal">
      <formula>"neutral"</formula>
    </cfRule>
    <cfRule type="cellIs" dxfId="1491" priority="1731" operator="equal">
      <formula>"rogue"</formula>
    </cfRule>
    <cfRule type="cellIs" dxfId="1490" priority="1732" operator="equal">
      <formula>"Guardian"</formula>
    </cfRule>
    <cfRule type="cellIs" dxfId="1489" priority="1733" operator="equal">
      <formula>"Survivor"</formula>
    </cfRule>
    <cfRule type="cellIs" dxfId="1488" priority="1734" operator="equal">
      <formula>"Mystic"</formula>
    </cfRule>
  </conditionalFormatting>
  <conditionalFormatting sqref="K1218">
    <cfRule type="cellIs" dxfId="1487" priority="1723" operator="equal">
      <formula>"seeker"</formula>
    </cfRule>
    <cfRule type="cellIs" dxfId="1486" priority="1724" operator="equal">
      <formula>"neutral"</formula>
    </cfRule>
    <cfRule type="cellIs" dxfId="1485" priority="1725" operator="equal">
      <formula>"rogue"</formula>
    </cfRule>
    <cfRule type="cellIs" dxfId="1484" priority="1726" operator="equal">
      <formula>"Guardian"</formula>
    </cfRule>
    <cfRule type="cellIs" dxfId="1483" priority="1727" operator="equal">
      <formula>"Survivor"</formula>
    </cfRule>
    <cfRule type="cellIs" dxfId="1482" priority="1728" operator="equal">
      <formula>"Mystic"</formula>
    </cfRule>
  </conditionalFormatting>
  <conditionalFormatting sqref="AL1218">
    <cfRule type="cellIs" dxfId="1481" priority="1717" operator="equal">
      <formula>"Seeker"</formula>
    </cfRule>
    <cfRule type="cellIs" dxfId="1480" priority="1718" operator="equal">
      <formula>"Neutral"</formula>
    </cfRule>
    <cfRule type="cellIs" dxfId="1479" priority="1719" operator="equal">
      <formula>"Rogue"</formula>
    </cfRule>
    <cfRule type="cellIs" dxfId="1478" priority="1720" operator="equal">
      <formula>"Guardian"</formula>
    </cfRule>
    <cfRule type="cellIs" dxfId="1477" priority="1721" operator="equal">
      <formula>"Survivor"</formula>
    </cfRule>
    <cfRule type="cellIs" dxfId="1476" priority="1722" operator="equal">
      <formula>"Mystic"</formula>
    </cfRule>
  </conditionalFormatting>
  <conditionalFormatting sqref="AM1196">
    <cfRule type="cellIs" dxfId="1475" priority="1711" operator="equal">
      <formula>"seeker"</formula>
    </cfRule>
    <cfRule type="cellIs" dxfId="1474" priority="1712" operator="equal">
      <formula>"neutral"</formula>
    </cfRule>
    <cfRule type="cellIs" dxfId="1473" priority="1713" operator="equal">
      <formula>"rogue"</formula>
    </cfRule>
    <cfRule type="cellIs" dxfId="1472" priority="1714" operator="equal">
      <formula>"Guardian"</formula>
    </cfRule>
    <cfRule type="cellIs" dxfId="1471" priority="1715" operator="equal">
      <formula>"Survivor"</formula>
    </cfRule>
    <cfRule type="cellIs" dxfId="1470" priority="1716" operator="equal">
      <formula>"Mystic"</formula>
    </cfRule>
  </conditionalFormatting>
  <conditionalFormatting sqref="K1221:K1232">
    <cfRule type="cellIs" dxfId="1469" priority="1705" operator="equal">
      <formula>"seeker"</formula>
    </cfRule>
    <cfRule type="cellIs" dxfId="1468" priority="1706" operator="equal">
      <formula>"neutral"</formula>
    </cfRule>
    <cfRule type="cellIs" dxfId="1467" priority="1707" operator="equal">
      <formula>"rogue"</formula>
    </cfRule>
    <cfRule type="cellIs" dxfId="1466" priority="1708" operator="equal">
      <formula>"Guardian"</formula>
    </cfRule>
    <cfRule type="cellIs" dxfId="1465" priority="1709" operator="equal">
      <formula>"Survivor"</formula>
    </cfRule>
    <cfRule type="cellIs" dxfId="1464" priority="1710" operator="equal">
      <formula>"Mystic"</formula>
    </cfRule>
  </conditionalFormatting>
  <conditionalFormatting sqref="AL1225:AL1231">
    <cfRule type="cellIs" dxfId="1463" priority="1699" operator="equal">
      <formula>"Seeker"</formula>
    </cfRule>
    <cfRule type="cellIs" dxfId="1462" priority="1700" operator="equal">
      <formula>"Neutral"</formula>
    </cfRule>
    <cfRule type="cellIs" dxfId="1461" priority="1701" operator="equal">
      <formula>"Rogue"</formula>
    </cfRule>
    <cfRule type="cellIs" dxfId="1460" priority="1702" operator="equal">
      <formula>"Guardian"</formula>
    </cfRule>
    <cfRule type="cellIs" dxfId="1459" priority="1703" operator="equal">
      <formula>"Survivor"</formula>
    </cfRule>
    <cfRule type="cellIs" dxfId="1458" priority="1704" operator="equal">
      <formula>"Mystic"</formula>
    </cfRule>
  </conditionalFormatting>
  <conditionalFormatting sqref="K1220">
    <cfRule type="cellIs" dxfId="1457" priority="1693" operator="equal">
      <formula>"Seeker"</formula>
    </cfRule>
    <cfRule type="cellIs" dxfId="1456" priority="1694" operator="equal">
      <formula>"Neutral"</formula>
    </cfRule>
    <cfRule type="cellIs" dxfId="1455" priority="1695" operator="equal">
      <formula>"Rogue"</formula>
    </cfRule>
    <cfRule type="cellIs" dxfId="1454" priority="1696" operator="equal">
      <formula>"Guardian"</formula>
    </cfRule>
    <cfRule type="cellIs" dxfId="1453" priority="1697" operator="equal">
      <formula>"Survivor"</formula>
    </cfRule>
    <cfRule type="cellIs" dxfId="1452" priority="1698" operator="equal">
      <formula>"Mystic"</formula>
    </cfRule>
  </conditionalFormatting>
  <conditionalFormatting sqref="AM1221:AM1224">
    <cfRule type="cellIs" dxfId="1451" priority="1687" operator="equal">
      <formula>"seeker"</formula>
    </cfRule>
    <cfRule type="cellIs" dxfId="1450" priority="1688" operator="equal">
      <formula>"neutral"</formula>
    </cfRule>
    <cfRule type="cellIs" dxfId="1449" priority="1689" operator="equal">
      <formula>"rogue"</formula>
    </cfRule>
    <cfRule type="cellIs" dxfId="1448" priority="1690" operator="equal">
      <formula>"Guardian"</formula>
    </cfRule>
    <cfRule type="cellIs" dxfId="1447" priority="1691" operator="equal">
      <formula>"Survivor"</formula>
    </cfRule>
    <cfRule type="cellIs" dxfId="1446" priority="1692" operator="equal">
      <formula>"Mystic"</formula>
    </cfRule>
  </conditionalFormatting>
  <conditionalFormatting sqref="AM1220">
    <cfRule type="cellIs" dxfId="1445" priority="1681" operator="equal">
      <formula>"Seeker"</formula>
    </cfRule>
    <cfRule type="cellIs" dxfId="1444" priority="1682" operator="equal">
      <formula>"Neutral"</formula>
    </cfRule>
    <cfRule type="cellIs" dxfId="1443" priority="1683" operator="equal">
      <formula>"Rogue"</formula>
    </cfRule>
    <cfRule type="cellIs" dxfId="1442" priority="1684" operator="equal">
      <formula>"Guardian"</formula>
    </cfRule>
    <cfRule type="cellIs" dxfId="1441" priority="1685" operator="equal">
      <formula>"Survivor"</formula>
    </cfRule>
    <cfRule type="cellIs" dxfId="1440" priority="1686" operator="equal">
      <formula>"Mystic"</formula>
    </cfRule>
  </conditionalFormatting>
  <conditionalFormatting sqref="AM1275:AM1292 K1275:K1292 K1234:K1247 AM1247 AM1253:AM1254 K1251:K1254 AM1265:AM1273 K1259:K1273 AM1258:AM1263">
    <cfRule type="cellIs" dxfId="1439" priority="1555" operator="equal">
      <formula>"seeker"</formula>
    </cfRule>
    <cfRule type="cellIs" dxfId="1438" priority="1556" operator="equal">
      <formula>"neutral"</formula>
    </cfRule>
    <cfRule type="cellIs" dxfId="1437" priority="1557" operator="equal">
      <formula>"rogue"</formula>
    </cfRule>
    <cfRule type="cellIs" dxfId="1436" priority="1558" operator="equal">
      <formula>"Guardian"</formula>
    </cfRule>
    <cfRule type="cellIs" dxfId="1435" priority="1559" operator="equal">
      <formula>"Survivor"</formula>
    </cfRule>
    <cfRule type="cellIs" dxfId="1434" priority="1560" operator="equal">
      <formula>"Mystic"</formula>
    </cfRule>
  </conditionalFormatting>
  <conditionalFormatting sqref="AL1238:AL1244">
    <cfRule type="cellIs" dxfId="1433" priority="1549" operator="equal">
      <formula>"Seeker"</formula>
    </cfRule>
    <cfRule type="cellIs" dxfId="1432" priority="1550" operator="equal">
      <formula>"Neutral"</formula>
    </cfRule>
    <cfRule type="cellIs" dxfId="1431" priority="1551" operator="equal">
      <formula>"Rogue"</formula>
    </cfRule>
    <cfRule type="cellIs" dxfId="1430" priority="1552" operator="equal">
      <formula>"Guardian"</formula>
    </cfRule>
    <cfRule type="cellIs" dxfId="1429" priority="1553" operator="equal">
      <formula>"Survivor"</formula>
    </cfRule>
    <cfRule type="cellIs" dxfId="1428" priority="1554" operator="equal">
      <formula>"Mystic"</formula>
    </cfRule>
  </conditionalFormatting>
  <conditionalFormatting sqref="AM1257">
    <cfRule type="cellIs" dxfId="1427" priority="1543" operator="equal">
      <formula>"seeker"</formula>
    </cfRule>
    <cfRule type="cellIs" dxfId="1426" priority="1544" operator="equal">
      <formula>"neutral"</formula>
    </cfRule>
    <cfRule type="cellIs" dxfId="1425" priority="1545" operator="equal">
      <formula>"rogue"</formula>
    </cfRule>
    <cfRule type="cellIs" dxfId="1424" priority="1546" operator="equal">
      <formula>"Guardian"</formula>
    </cfRule>
    <cfRule type="cellIs" dxfId="1423" priority="1547" operator="equal">
      <formula>"Survivor"</formula>
    </cfRule>
    <cfRule type="cellIs" dxfId="1422" priority="1548" operator="equal">
      <formula>"Mystic"</formula>
    </cfRule>
  </conditionalFormatting>
  <conditionalFormatting sqref="K1233">
    <cfRule type="cellIs" dxfId="1421" priority="1537" operator="equal">
      <formula>"Seeker"</formula>
    </cfRule>
    <cfRule type="cellIs" dxfId="1420" priority="1538" operator="equal">
      <formula>"Neutral"</formula>
    </cfRule>
    <cfRule type="cellIs" dxfId="1419" priority="1539" operator="equal">
      <formula>"Rogue"</formula>
    </cfRule>
    <cfRule type="cellIs" dxfId="1418" priority="1540" operator="equal">
      <formula>"Guardian"</formula>
    </cfRule>
    <cfRule type="cellIs" dxfId="1417" priority="1541" operator="equal">
      <formula>"Survivor"</formula>
    </cfRule>
    <cfRule type="cellIs" dxfId="1416" priority="1542" operator="equal">
      <formula>"Mystic"</formula>
    </cfRule>
  </conditionalFormatting>
  <conditionalFormatting sqref="AM1234:AM1237">
    <cfRule type="cellIs" dxfId="1415" priority="1531" operator="equal">
      <formula>"seeker"</formula>
    </cfRule>
    <cfRule type="cellIs" dxfId="1414" priority="1532" operator="equal">
      <formula>"neutral"</formula>
    </cfRule>
    <cfRule type="cellIs" dxfId="1413" priority="1533" operator="equal">
      <formula>"rogue"</formula>
    </cfRule>
    <cfRule type="cellIs" dxfId="1412" priority="1534" operator="equal">
      <formula>"Guardian"</formula>
    </cfRule>
    <cfRule type="cellIs" dxfId="1411" priority="1535" operator="equal">
      <formula>"Survivor"</formula>
    </cfRule>
    <cfRule type="cellIs" dxfId="1410" priority="1536" operator="equal">
      <formula>"Mystic"</formula>
    </cfRule>
  </conditionalFormatting>
  <conditionalFormatting sqref="AM1233">
    <cfRule type="cellIs" dxfId="1409" priority="1525" operator="equal">
      <formula>"Seeker"</formula>
    </cfRule>
    <cfRule type="cellIs" dxfId="1408" priority="1526" operator="equal">
      <formula>"Neutral"</formula>
    </cfRule>
    <cfRule type="cellIs" dxfId="1407" priority="1527" operator="equal">
      <formula>"Rogue"</formula>
    </cfRule>
    <cfRule type="cellIs" dxfId="1406" priority="1528" operator="equal">
      <formula>"Guardian"</formula>
    </cfRule>
    <cfRule type="cellIs" dxfId="1405" priority="1529" operator="equal">
      <formula>"Survivor"</formula>
    </cfRule>
    <cfRule type="cellIs" dxfId="1404" priority="1530" operator="equal">
      <formula>"Mystic"</formula>
    </cfRule>
  </conditionalFormatting>
  <conditionalFormatting sqref="K1248">
    <cfRule type="cellIs" dxfId="1403" priority="1519" operator="equal">
      <formula>"Seeker"</formula>
    </cfRule>
    <cfRule type="cellIs" dxfId="1402" priority="1520" operator="equal">
      <formula>"Neutral"</formula>
    </cfRule>
    <cfRule type="cellIs" dxfId="1401" priority="1521" operator="equal">
      <formula>"Rogue"</formula>
    </cfRule>
    <cfRule type="cellIs" dxfId="1400" priority="1522" operator="equal">
      <formula>"Guardian"</formula>
    </cfRule>
    <cfRule type="cellIs" dxfId="1399" priority="1523" operator="equal">
      <formula>"Survivor"</formula>
    </cfRule>
    <cfRule type="cellIs" dxfId="1398" priority="1524" operator="equal">
      <formula>"Mystic"</formula>
    </cfRule>
  </conditionalFormatting>
  <conditionalFormatting sqref="AM1248">
    <cfRule type="cellIs" dxfId="1397" priority="1513" operator="equal">
      <formula>"Seeker"</formula>
    </cfRule>
    <cfRule type="cellIs" dxfId="1396" priority="1514" operator="equal">
      <formula>"Neutral"</formula>
    </cfRule>
    <cfRule type="cellIs" dxfId="1395" priority="1515" operator="equal">
      <formula>"Rogue"</formula>
    </cfRule>
    <cfRule type="cellIs" dxfId="1394" priority="1516" operator="equal">
      <formula>"Guardian"</formula>
    </cfRule>
    <cfRule type="cellIs" dxfId="1393" priority="1517" operator="equal">
      <formula>"Survivor"</formula>
    </cfRule>
    <cfRule type="cellIs" dxfId="1392" priority="1518" operator="equal">
      <formula>"Mystic"</formula>
    </cfRule>
  </conditionalFormatting>
  <conditionalFormatting sqref="K1249">
    <cfRule type="cellIs" dxfId="1391" priority="1507" operator="equal">
      <formula>"Seeker"</formula>
    </cfRule>
    <cfRule type="cellIs" dxfId="1390" priority="1508" operator="equal">
      <formula>"Neutral"</formula>
    </cfRule>
    <cfRule type="cellIs" dxfId="1389" priority="1509" operator="equal">
      <formula>"Rogue"</formula>
    </cfRule>
    <cfRule type="cellIs" dxfId="1388" priority="1510" operator="equal">
      <formula>"Guardian"</formula>
    </cfRule>
    <cfRule type="cellIs" dxfId="1387" priority="1511" operator="equal">
      <formula>"Survivor"</formula>
    </cfRule>
    <cfRule type="cellIs" dxfId="1386" priority="1512" operator="equal">
      <formula>"Mystic"</formula>
    </cfRule>
  </conditionalFormatting>
  <conditionalFormatting sqref="K1250">
    <cfRule type="cellIs" dxfId="1385" priority="1501" operator="equal">
      <formula>"Seeker"</formula>
    </cfRule>
    <cfRule type="cellIs" dxfId="1384" priority="1502" operator="equal">
      <formula>"Neutral"</formula>
    </cfRule>
    <cfRule type="cellIs" dxfId="1383" priority="1503" operator="equal">
      <formula>"Rogue"</formula>
    </cfRule>
    <cfRule type="cellIs" dxfId="1382" priority="1504" operator="equal">
      <formula>"Guardian"</formula>
    </cfRule>
    <cfRule type="cellIs" dxfId="1381" priority="1505" operator="equal">
      <formula>"Survivor"</formula>
    </cfRule>
    <cfRule type="cellIs" dxfId="1380" priority="1506" operator="equal">
      <formula>"Mystic"</formula>
    </cfRule>
  </conditionalFormatting>
  <conditionalFormatting sqref="K1255">
    <cfRule type="cellIs" dxfId="1379" priority="1495" operator="equal">
      <formula>"seeker"</formula>
    </cfRule>
    <cfRule type="cellIs" dxfId="1378" priority="1496" operator="equal">
      <formula>"neutral"</formula>
    </cfRule>
    <cfRule type="cellIs" dxfId="1377" priority="1497" operator="equal">
      <formula>"rogue"</formula>
    </cfRule>
    <cfRule type="cellIs" dxfId="1376" priority="1498" operator="equal">
      <formula>"Guardian"</formula>
    </cfRule>
    <cfRule type="cellIs" dxfId="1375" priority="1499" operator="equal">
      <formula>"Survivor"</formula>
    </cfRule>
    <cfRule type="cellIs" dxfId="1374" priority="1500" operator="equal">
      <formula>"Mystic"</formula>
    </cfRule>
  </conditionalFormatting>
  <conditionalFormatting sqref="AM1255">
    <cfRule type="cellIs" dxfId="1373" priority="1489" operator="equal">
      <formula>"seeker"</formula>
    </cfRule>
    <cfRule type="cellIs" dxfId="1372" priority="1490" operator="equal">
      <formula>"neutral"</formula>
    </cfRule>
    <cfRule type="cellIs" dxfId="1371" priority="1491" operator="equal">
      <formula>"rogue"</formula>
    </cfRule>
    <cfRule type="cellIs" dxfId="1370" priority="1492" operator="equal">
      <formula>"Guardian"</formula>
    </cfRule>
    <cfRule type="cellIs" dxfId="1369" priority="1493" operator="equal">
      <formula>"Survivor"</formula>
    </cfRule>
    <cfRule type="cellIs" dxfId="1368" priority="1494" operator="equal">
      <formula>"Mystic"</formula>
    </cfRule>
  </conditionalFormatting>
  <conditionalFormatting sqref="K1256">
    <cfRule type="cellIs" dxfId="1367" priority="1483" operator="equal">
      <formula>"seeker"</formula>
    </cfRule>
    <cfRule type="cellIs" dxfId="1366" priority="1484" operator="equal">
      <formula>"neutral"</formula>
    </cfRule>
    <cfRule type="cellIs" dxfId="1365" priority="1485" operator="equal">
      <formula>"rogue"</formula>
    </cfRule>
    <cfRule type="cellIs" dxfId="1364" priority="1486" operator="equal">
      <formula>"Guardian"</formula>
    </cfRule>
    <cfRule type="cellIs" dxfId="1363" priority="1487" operator="equal">
      <formula>"Survivor"</formula>
    </cfRule>
    <cfRule type="cellIs" dxfId="1362" priority="1488" operator="equal">
      <formula>"Mystic"</formula>
    </cfRule>
  </conditionalFormatting>
  <conditionalFormatting sqref="AM1256">
    <cfRule type="cellIs" dxfId="1361" priority="1477" operator="equal">
      <formula>"seeker"</formula>
    </cfRule>
    <cfRule type="cellIs" dxfId="1360" priority="1478" operator="equal">
      <formula>"neutral"</formula>
    </cfRule>
    <cfRule type="cellIs" dxfId="1359" priority="1479" operator="equal">
      <formula>"rogue"</formula>
    </cfRule>
    <cfRule type="cellIs" dxfId="1358" priority="1480" operator="equal">
      <formula>"Guardian"</formula>
    </cfRule>
    <cfRule type="cellIs" dxfId="1357" priority="1481" operator="equal">
      <formula>"Survivor"</formula>
    </cfRule>
    <cfRule type="cellIs" dxfId="1356" priority="1482" operator="equal">
      <formula>"Mystic"</formula>
    </cfRule>
  </conditionalFormatting>
  <conditionalFormatting sqref="K1257">
    <cfRule type="cellIs" dxfId="1355" priority="1471" operator="equal">
      <formula>"seeker"</formula>
    </cfRule>
    <cfRule type="cellIs" dxfId="1354" priority="1472" operator="equal">
      <formula>"neutral"</formula>
    </cfRule>
    <cfRule type="cellIs" dxfId="1353" priority="1473" operator="equal">
      <formula>"rogue"</formula>
    </cfRule>
    <cfRule type="cellIs" dxfId="1352" priority="1474" operator="equal">
      <formula>"Guardian"</formula>
    </cfRule>
    <cfRule type="cellIs" dxfId="1351" priority="1475" operator="equal">
      <formula>"Survivor"</formula>
    </cfRule>
    <cfRule type="cellIs" dxfId="1350" priority="1476" operator="equal">
      <formula>"Mystic"</formula>
    </cfRule>
  </conditionalFormatting>
  <conditionalFormatting sqref="K1258">
    <cfRule type="cellIs" dxfId="1349" priority="1465" operator="equal">
      <formula>"seeker"</formula>
    </cfRule>
    <cfRule type="cellIs" dxfId="1348" priority="1466" operator="equal">
      <formula>"neutral"</formula>
    </cfRule>
    <cfRule type="cellIs" dxfId="1347" priority="1467" operator="equal">
      <formula>"rogue"</formula>
    </cfRule>
    <cfRule type="cellIs" dxfId="1346" priority="1468" operator="equal">
      <formula>"Guardian"</formula>
    </cfRule>
    <cfRule type="cellIs" dxfId="1345" priority="1469" operator="equal">
      <formula>"Survivor"</formula>
    </cfRule>
    <cfRule type="cellIs" dxfId="1344" priority="1470" operator="equal">
      <formula>"Mystic"</formula>
    </cfRule>
  </conditionalFormatting>
  <conditionalFormatting sqref="AM1264">
    <cfRule type="cellIs" dxfId="1343" priority="1459" operator="equal">
      <formula>"seeker"</formula>
    </cfRule>
    <cfRule type="cellIs" dxfId="1342" priority="1460" operator="equal">
      <formula>"neutral"</formula>
    </cfRule>
    <cfRule type="cellIs" dxfId="1341" priority="1461" operator="equal">
      <formula>"rogue"</formula>
    </cfRule>
    <cfRule type="cellIs" dxfId="1340" priority="1462" operator="equal">
      <formula>"Guardian"</formula>
    </cfRule>
    <cfRule type="cellIs" dxfId="1339" priority="1463" operator="equal">
      <formula>"Survivor"</formula>
    </cfRule>
    <cfRule type="cellIs" dxfId="1338" priority="1464" operator="equal">
      <formula>"Mystic"</formula>
    </cfRule>
  </conditionalFormatting>
  <conditionalFormatting sqref="K1274">
    <cfRule type="cellIs" dxfId="1337" priority="1453" operator="equal">
      <formula>"seeker"</formula>
    </cfRule>
    <cfRule type="cellIs" dxfId="1336" priority="1454" operator="equal">
      <formula>"neutral"</formula>
    </cfRule>
    <cfRule type="cellIs" dxfId="1335" priority="1455" operator="equal">
      <formula>"rogue"</formula>
    </cfRule>
    <cfRule type="cellIs" dxfId="1334" priority="1456" operator="equal">
      <formula>"Guardian"</formula>
    </cfRule>
    <cfRule type="cellIs" dxfId="1333" priority="1457" operator="equal">
      <formula>"Survivor"</formula>
    </cfRule>
    <cfRule type="cellIs" dxfId="1332" priority="1458" operator="equal">
      <formula>"Mystic"</formula>
    </cfRule>
  </conditionalFormatting>
  <conditionalFormatting sqref="AL1274">
    <cfRule type="cellIs" dxfId="1331" priority="1447" operator="equal">
      <formula>"Seeker"</formula>
    </cfRule>
    <cfRule type="cellIs" dxfId="1330" priority="1448" operator="equal">
      <formula>"Neutral"</formula>
    </cfRule>
    <cfRule type="cellIs" dxfId="1329" priority="1449" operator="equal">
      <formula>"Rogue"</formula>
    </cfRule>
    <cfRule type="cellIs" dxfId="1328" priority="1450" operator="equal">
      <formula>"Guardian"</formula>
    </cfRule>
    <cfRule type="cellIs" dxfId="1327" priority="1451" operator="equal">
      <formula>"Survivor"</formula>
    </cfRule>
    <cfRule type="cellIs" dxfId="1326" priority="1452" operator="equal">
      <formula>"Mystic"</formula>
    </cfRule>
  </conditionalFormatting>
  <conditionalFormatting sqref="AM1252">
    <cfRule type="cellIs" dxfId="1325" priority="1441" operator="equal">
      <formula>"seeker"</formula>
    </cfRule>
    <cfRule type="cellIs" dxfId="1324" priority="1442" operator="equal">
      <formula>"neutral"</formula>
    </cfRule>
    <cfRule type="cellIs" dxfId="1323" priority="1443" operator="equal">
      <formula>"rogue"</formula>
    </cfRule>
    <cfRule type="cellIs" dxfId="1322" priority="1444" operator="equal">
      <formula>"Guardian"</formula>
    </cfRule>
    <cfRule type="cellIs" dxfId="1321" priority="1445" operator="equal">
      <formula>"Survivor"</formula>
    </cfRule>
    <cfRule type="cellIs" dxfId="1320" priority="1446" operator="equal">
      <formula>"Mystic"</formula>
    </cfRule>
  </conditionalFormatting>
  <conditionalFormatting sqref="K1294:K1307 AM1307 AM1313:AM1314 K1311:K1314 AM1325:AM1331 K1319:K1331 AM1318:AM1323">
    <cfRule type="cellIs" dxfId="1319" priority="1435" operator="equal">
      <formula>"seeker"</formula>
    </cfRule>
    <cfRule type="cellIs" dxfId="1318" priority="1436" operator="equal">
      <formula>"neutral"</formula>
    </cfRule>
    <cfRule type="cellIs" dxfId="1317" priority="1437" operator="equal">
      <formula>"rogue"</formula>
    </cfRule>
    <cfRule type="cellIs" dxfId="1316" priority="1438" operator="equal">
      <formula>"Guardian"</formula>
    </cfRule>
    <cfRule type="cellIs" dxfId="1315" priority="1439" operator="equal">
      <formula>"Survivor"</formula>
    </cfRule>
    <cfRule type="cellIs" dxfId="1314" priority="1440" operator="equal">
      <formula>"Mystic"</formula>
    </cfRule>
  </conditionalFormatting>
  <conditionalFormatting sqref="AL1298:AL1304">
    <cfRule type="cellIs" dxfId="1313" priority="1429" operator="equal">
      <formula>"Seeker"</formula>
    </cfRule>
    <cfRule type="cellIs" dxfId="1312" priority="1430" operator="equal">
      <formula>"Neutral"</formula>
    </cfRule>
    <cfRule type="cellIs" dxfId="1311" priority="1431" operator="equal">
      <formula>"Rogue"</formula>
    </cfRule>
    <cfRule type="cellIs" dxfId="1310" priority="1432" operator="equal">
      <formula>"Guardian"</formula>
    </cfRule>
    <cfRule type="cellIs" dxfId="1309" priority="1433" operator="equal">
      <formula>"Survivor"</formula>
    </cfRule>
    <cfRule type="cellIs" dxfId="1308" priority="1434" operator="equal">
      <formula>"Mystic"</formula>
    </cfRule>
  </conditionalFormatting>
  <conditionalFormatting sqref="AM1317">
    <cfRule type="cellIs" dxfId="1307" priority="1423" operator="equal">
      <formula>"seeker"</formula>
    </cfRule>
    <cfRule type="cellIs" dxfId="1306" priority="1424" operator="equal">
      <formula>"neutral"</formula>
    </cfRule>
    <cfRule type="cellIs" dxfId="1305" priority="1425" operator="equal">
      <formula>"rogue"</formula>
    </cfRule>
    <cfRule type="cellIs" dxfId="1304" priority="1426" operator="equal">
      <formula>"Guardian"</formula>
    </cfRule>
    <cfRule type="cellIs" dxfId="1303" priority="1427" operator="equal">
      <formula>"Survivor"</formula>
    </cfRule>
    <cfRule type="cellIs" dxfId="1302" priority="1428" operator="equal">
      <formula>"Mystic"</formula>
    </cfRule>
  </conditionalFormatting>
  <conditionalFormatting sqref="K1293">
    <cfRule type="cellIs" dxfId="1301" priority="1417" operator="equal">
      <formula>"Seeker"</formula>
    </cfRule>
    <cfRule type="cellIs" dxfId="1300" priority="1418" operator="equal">
      <formula>"Neutral"</formula>
    </cfRule>
    <cfRule type="cellIs" dxfId="1299" priority="1419" operator="equal">
      <formula>"Rogue"</formula>
    </cfRule>
    <cfRule type="cellIs" dxfId="1298" priority="1420" operator="equal">
      <formula>"Guardian"</formula>
    </cfRule>
    <cfRule type="cellIs" dxfId="1297" priority="1421" operator="equal">
      <formula>"Survivor"</formula>
    </cfRule>
    <cfRule type="cellIs" dxfId="1296" priority="1422" operator="equal">
      <formula>"Mystic"</formula>
    </cfRule>
  </conditionalFormatting>
  <conditionalFormatting sqref="AM1294:AM1297">
    <cfRule type="cellIs" dxfId="1295" priority="1411" operator="equal">
      <formula>"seeker"</formula>
    </cfRule>
    <cfRule type="cellIs" dxfId="1294" priority="1412" operator="equal">
      <formula>"neutral"</formula>
    </cfRule>
    <cfRule type="cellIs" dxfId="1293" priority="1413" operator="equal">
      <formula>"rogue"</formula>
    </cfRule>
    <cfRule type="cellIs" dxfId="1292" priority="1414" operator="equal">
      <formula>"Guardian"</formula>
    </cfRule>
    <cfRule type="cellIs" dxfId="1291" priority="1415" operator="equal">
      <formula>"Survivor"</formula>
    </cfRule>
    <cfRule type="cellIs" dxfId="1290" priority="1416" operator="equal">
      <formula>"Mystic"</formula>
    </cfRule>
  </conditionalFormatting>
  <conditionalFormatting sqref="AM1293">
    <cfRule type="cellIs" dxfId="1289" priority="1405" operator="equal">
      <formula>"Seeker"</formula>
    </cfRule>
    <cfRule type="cellIs" dxfId="1288" priority="1406" operator="equal">
      <formula>"Neutral"</formula>
    </cfRule>
    <cfRule type="cellIs" dxfId="1287" priority="1407" operator="equal">
      <formula>"Rogue"</formula>
    </cfRule>
    <cfRule type="cellIs" dxfId="1286" priority="1408" operator="equal">
      <formula>"Guardian"</formula>
    </cfRule>
    <cfRule type="cellIs" dxfId="1285" priority="1409" operator="equal">
      <formula>"Survivor"</formula>
    </cfRule>
    <cfRule type="cellIs" dxfId="1284" priority="1410" operator="equal">
      <formula>"Mystic"</formula>
    </cfRule>
  </conditionalFormatting>
  <conditionalFormatting sqref="K1308">
    <cfRule type="cellIs" dxfId="1283" priority="1399" operator="equal">
      <formula>"Seeker"</formula>
    </cfRule>
    <cfRule type="cellIs" dxfId="1282" priority="1400" operator="equal">
      <formula>"Neutral"</formula>
    </cfRule>
    <cfRule type="cellIs" dxfId="1281" priority="1401" operator="equal">
      <formula>"Rogue"</formula>
    </cfRule>
    <cfRule type="cellIs" dxfId="1280" priority="1402" operator="equal">
      <formula>"Guardian"</formula>
    </cfRule>
    <cfRule type="cellIs" dxfId="1279" priority="1403" operator="equal">
      <formula>"Survivor"</formula>
    </cfRule>
    <cfRule type="cellIs" dxfId="1278" priority="1404" operator="equal">
      <formula>"Mystic"</formula>
    </cfRule>
  </conditionalFormatting>
  <conditionalFormatting sqref="AM1308">
    <cfRule type="cellIs" dxfId="1277" priority="1393" operator="equal">
      <formula>"Seeker"</formula>
    </cfRule>
    <cfRule type="cellIs" dxfId="1276" priority="1394" operator="equal">
      <formula>"Neutral"</formula>
    </cfRule>
    <cfRule type="cellIs" dxfId="1275" priority="1395" operator="equal">
      <formula>"Rogue"</formula>
    </cfRule>
    <cfRule type="cellIs" dxfId="1274" priority="1396" operator="equal">
      <formula>"Guardian"</formula>
    </cfRule>
    <cfRule type="cellIs" dxfId="1273" priority="1397" operator="equal">
      <formula>"Survivor"</formula>
    </cfRule>
    <cfRule type="cellIs" dxfId="1272" priority="1398" operator="equal">
      <formula>"Mystic"</formula>
    </cfRule>
  </conditionalFormatting>
  <conditionalFormatting sqref="K1309">
    <cfRule type="cellIs" dxfId="1271" priority="1387" operator="equal">
      <formula>"Seeker"</formula>
    </cfRule>
    <cfRule type="cellIs" dxfId="1270" priority="1388" operator="equal">
      <formula>"Neutral"</formula>
    </cfRule>
    <cfRule type="cellIs" dxfId="1269" priority="1389" operator="equal">
      <formula>"Rogue"</formula>
    </cfRule>
    <cfRule type="cellIs" dxfId="1268" priority="1390" operator="equal">
      <formula>"Guardian"</formula>
    </cfRule>
    <cfRule type="cellIs" dxfId="1267" priority="1391" operator="equal">
      <formula>"Survivor"</formula>
    </cfRule>
    <cfRule type="cellIs" dxfId="1266" priority="1392" operator="equal">
      <formula>"Mystic"</formula>
    </cfRule>
  </conditionalFormatting>
  <conditionalFormatting sqref="K1310">
    <cfRule type="cellIs" dxfId="1265" priority="1381" operator="equal">
      <formula>"Seeker"</formula>
    </cfRule>
    <cfRule type="cellIs" dxfId="1264" priority="1382" operator="equal">
      <formula>"Neutral"</formula>
    </cfRule>
    <cfRule type="cellIs" dxfId="1263" priority="1383" operator="equal">
      <formula>"Rogue"</formula>
    </cfRule>
    <cfRule type="cellIs" dxfId="1262" priority="1384" operator="equal">
      <formula>"Guardian"</formula>
    </cfRule>
    <cfRule type="cellIs" dxfId="1261" priority="1385" operator="equal">
      <formula>"Survivor"</formula>
    </cfRule>
    <cfRule type="cellIs" dxfId="1260" priority="1386" operator="equal">
      <formula>"Mystic"</formula>
    </cfRule>
  </conditionalFormatting>
  <conditionalFormatting sqref="K1315">
    <cfRule type="cellIs" dxfId="1259" priority="1375" operator="equal">
      <formula>"seeker"</formula>
    </cfRule>
    <cfRule type="cellIs" dxfId="1258" priority="1376" operator="equal">
      <formula>"neutral"</formula>
    </cfRule>
    <cfRule type="cellIs" dxfId="1257" priority="1377" operator="equal">
      <formula>"rogue"</formula>
    </cfRule>
    <cfRule type="cellIs" dxfId="1256" priority="1378" operator="equal">
      <formula>"Guardian"</formula>
    </cfRule>
    <cfRule type="cellIs" dxfId="1255" priority="1379" operator="equal">
      <formula>"Survivor"</formula>
    </cfRule>
    <cfRule type="cellIs" dxfId="1254" priority="1380" operator="equal">
      <formula>"Mystic"</formula>
    </cfRule>
  </conditionalFormatting>
  <conditionalFormatting sqref="AM1315">
    <cfRule type="cellIs" dxfId="1253" priority="1369" operator="equal">
      <formula>"seeker"</formula>
    </cfRule>
    <cfRule type="cellIs" dxfId="1252" priority="1370" operator="equal">
      <formula>"neutral"</formula>
    </cfRule>
    <cfRule type="cellIs" dxfId="1251" priority="1371" operator="equal">
      <formula>"rogue"</formula>
    </cfRule>
    <cfRule type="cellIs" dxfId="1250" priority="1372" operator="equal">
      <formula>"Guardian"</formula>
    </cfRule>
    <cfRule type="cellIs" dxfId="1249" priority="1373" operator="equal">
      <formula>"Survivor"</formula>
    </cfRule>
    <cfRule type="cellIs" dxfId="1248" priority="1374" operator="equal">
      <formula>"Mystic"</formula>
    </cfRule>
  </conditionalFormatting>
  <conditionalFormatting sqref="K1316">
    <cfRule type="cellIs" dxfId="1247" priority="1363" operator="equal">
      <formula>"seeker"</formula>
    </cfRule>
    <cfRule type="cellIs" dxfId="1246" priority="1364" operator="equal">
      <formula>"neutral"</formula>
    </cfRule>
    <cfRule type="cellIs" dxfId="1245" priority="1365" operator="equal">
      <formula>"rogue"</formula>
    </cfRule>
    <cfRule type="cellIs" dxfId="1244" priority="1366" operator="equal">
      <formula>"Guardian"</formula>
    </cfRule>
    <cfRule type="cellIs" dxfId="1243" priority="1367" operator="equal">
      <formula>"Survivor"</formula>
    </cfRule>
    <cfRule type="cellIs" dxfId="1242" priority="1368" operator="equal">
      <formula>"Mystic"</formula>
    </cfRule>
  </conditionalFormatting>
  <conditionalFormatting sqref="AM1316">
    <cfRule type="cellIs" dxfId="1241" priority="1357" operator="equal">
      <formula>"seeker"</formula>
    </cfRule>
    <cfRule type="cellIs" dxfId="1240" priority="1358" operator="equal">
      <formula>"neutral"</formula>
    </cfRule>
    <cfRule type="cellIs" dxfId="1239" priority="1359" operator="equal">
      <formula>"rogue"</formula>
    </cfRule>
    <cfRule type="cellIs" dxfId="1238" priority="1360" operator="equal">
      <formula>"Guardian"</formula>
    </cfRule>
    <cfRule type="cellIs" dxfId="1237" priority="1361" operator="equal">
      <formula>"Survivor"</formula>
    </cfRule>
    <cfRule type="cellIs" dxfId="1236" priority="1362" operator="equal">
      <formula>"Mystic"</formula>
    </cfRule>
  </conditionalFormatting>
  <conditionalFormatting sqref="K1317">
    <cfRule type="cellIs" dxfId="1235" priority="1351" operator="equal">
      <formula>"seeker"</formula>
    </cfRule>
    <cfRule type="cellIs" dxfId="1234" priority="1352" operator="equal">
      <formula>"neutral"</formula>
    </cfRule>
    <cfRule type="cellIs" dxfId="1233" priority="1353" operator="equal">
      <formula>"rogue"</formula>
    </cfRule>
    <cfRule type="cellIs" dxfId="1232" priority="1354" operator="equal">
      <formula>"Guardian"</formula>
    </cfRule>
    <cfRule type="cellIs" dxfId="1231" priority="1355" operator="equal">
      <formula>"Survivor"</formula>
    </cfRule>
    <cfRule type="cellIs" dxfId="1230" priority="1356" operator="equal">
      <formula>"Mystic"</formula>
    </cfRule>
  </conditionalFormatting>
  <conditionalFormatting sqref="K1318">
    <cfRule type="cellIs" dxfId="1229" priority="1345" operator="equal">
      <formula>"seeker"</formula>
    </cfRule>
    <cfRule type="cellIs" dxfId="1228" priority="1346" operator="equal">
      <formula>"neutral"</formula>
    </cfRule>
    <cfRule type="cellIs" dxfId="1227" priority="1347" operator="equal">
      <formula>"rogue"</formula>
    </cfRule>
    <cfRule type="cellIs" dxfId="1226" priority="1348" operator="equal">
      <formula>"Guardian"</formula>
    </cfRule>
    <cfRule type="cellIs" dxfId="1225" priority="1349" operator="equal">
      <formula>"Survivor"</formula>
    </cfRule>
    <cfRule type="cellIs" dxfId="1224" priority="1350" operator="equal">
      <formula>"Mystic"</formula>
    </cfRule>
  </conditionalFormatting>
  <conditionalFormatting sqref="AM1324">
    <cfRule type="cellIs" dxfId="1223" priority="1339" operator="equal">
      <formula>"seeker"</formula>
    </cfRule>
    <cfRule type="cellIs" dxfId="1222" priority="1340" operator="equal">
      <formula>"neutral"</formula>
    </cfRule>
    <cfRule type="cellIs" dxfId="1221" priority="1341" operator="equal">
      <formula>"rogue"</formula>
    </cfRule>
    <cfRule type="cellIs" dxfId="1220" priority="1342" operator="equal">
      <formula>"Guardian"</formula>
    </cfRule>
    <cfRule type="cellIs" dxfId="1219" priority="1343" operator="equal">
      <formula>"Survivor"</formula>
    </cfRule>
    <cfRule type="cellIs" dxfId="1218" priority="1344" operator="equal">
      <formula>"Mystic"</formula>
    </cfRule>
  </conditionalFormatting>
  <conditionalFormatting sqref="AM1312">
    <cfRule type="cellIs" dxfId="1217" priority="1333" operator="equal">
      <formula>"seeker"</formula>
    </cfRule>
    <cfRule type="cellIs" dxfId="1216" priority="1334" operator="equal">
      <formula>"neutral"</formula>
    </cfRule>
    <cfRule type="cellIs" dxfId="1215" priority="1335" operator="equal">
      <formula>"rogue"</formula>
    </cfRule>
    <cfRule type="cellIs" dxfId="1214" priority="1336" operator="equal">
      <formula>"Guardian"</formula>
    </cfRule>
    <cfRule type="cellIs" dxfId="1213" priority="1337" operator="equal">
      <formula>"Survivor"</formula>
    </cfRule>
    <cfRule type="cellIs" dxfId="1212" priority="1338" operator="equal">
      <formula>"Mystic"</formula>
    </cfRule>
  </conditionalFormatting>
  <conditionalFormatting sqref="AM1374:AM1421 K1374:K1421 AM1432:AM1436 K1333:K1346 AM1346 AM1352:AM1353 K1350:K1353 AM1364:AM1372 K1358:K1372 AM1357:AM1362">
    <cfRule type="cellIs" dxfId="1211" priority="1129" operator="equal">
      <formula>"seeker"</formula>
    </cfRule>
    <cfRule type="cellIs" dxfId="1210" priority="1130" operator="equal">
      <formula>"neutral"</formula>
    </cfRule>
    <cfRule type="cellIs" dxfId="1209" priority="1131" operator="equal">
      <formula>"rogue"</formula>
    </cfRule>
    <cfRule type="cellIs" dxfId="1208" priority="1132" operator="equal">
      <formula>"Guardian"</formula>
    </cfRule>
    <cfRule type="cellIs" dxfId="1207" priority="1133" operator="equal">
      <formula>"Survivor"</formula>
    </cfRule>
    <cfRule type="cellIs" dxfId="1206" priority="1134" operator="equal">
      <formula>"Mystic"</formula>
    </cfRule>
  </conditionalFormatting>
  <conditionalFormatting sqref="AL1337:AL1343">
    <cfRule type="cellIs" dxfId="1205" priority="1123" operator="equal">
      <formula>"Seeker"</formula>
    </cfRule>
    <cfRule type="cellIs" dxfId="1204" priority="1124" operator="equal">
      <formula>"Neutral"</formula>
    </cfRule>
    <cfRule type="cellIs" dxfId="1203" priority="1125" operator="equal">
      <formula>"Rogue"</formula>
    </cfRule>
    <cfRule type="cellIs" dxfId="1202" priority="1126" operator="equal">
      <formula>"Guardian"</formula>
    </cfRule>
    <cfRule type="cellIs" dxfId="1201" priority="1127" operator="equal">
      <formula>"Survivor"</formula>
    </cfRule>
    <cfRule type="cellIs" dxfId="1200" priority="1128" operator="equal">
      <formula>"Mystic"</formula>
    </cfRule>
  </conditionalFormatting>
  <conditionalFormatting sqref="AM1356">
    <cfRule type="cellIs" dxfId="1199" priority="1117" operator="equal">
      <formula>"seeker"</formula>
    </cfRule>
    <cfRule type="cellIs" dxfId="1198" priority="1118" operator="equal">
      <formula>"neutral"</formula>
    </cfRule>
    <cfRule type="cellIs" dxfId="1197" priority="1119" operator="equal">
      <formula>"rogue"</formula>
    </cfRule>
    <cfRule type="cellIs" dxfId="1196" priority="1120" operator="equal">
      <formula>"Guardian"</formula>
    </cfRule>
    <cfRule type="cellIs" dxfId="1195" priority="1121" operator="equal">
      <formula>"Survivor"</formula>
    </cfRule>
    <cfRule type="cellIs" dxfId="1194" priority="1122" operator="equal">
      <formula>"Mystic"</formula>
    </cfRule>
  </conditionalFormatting>
  <conditionalFormatting sqref="K1332">
    <cfRule type="cellIs" dxfId="1193" priority="1111" operator="equal">
      <formula>"Seeker"</formula>
    </cfRule>
    <cfRule type="cellIs" dxfId="1192" priority="1112" operator="equal">
      <formula>"Neutral"</formula>
    </cfRule>
    <cfRule type="cellIs" dxfId="1191" priority="1113" operator="equal">
      <formula>"Rogue"</formula>
    </cfRule>
    <cfRule type="cellIs" dxfId="1190" priority="1114" operator="equal">
      <formula>"Guardian"</formula>
    </cfRule>
    <cfRule type="cellIs" dxfId="1189" priority="1115" operator="equal">
      <formula>"Survivor"</formula>
    </cfRule>
    <cfRule type="cellIs" dxfId="1188" priority="1116" operator="equal">
      <formula>"Mystic"</formula>
    </cfRule>
  </conditionalFormatting>
  <conditionalFormatting sqref="AM1333:AM1336">
    <cfRule type="cellIs" dxfId="1187" priority="1105" operator="equal">
      <formula>"seeker"</formula>
    </cfRule>
    <cfRule type="cellIs" dxfId="1186" priority="1106" operator="equal">
      <formula>"neutral"</formula>
    </cfRule>
    <cfRule type="cellIs" dxfId="1185" priority="1107" operator="equal">
      <formula>"rogue"</formula>
    </cfRule>
    <cfRule type="cellIs" dxfId="1184" priority="1108" operator="equal">
      <formula>"Guardian"</formula>
    </cfRule>
    <cfRule type="cellIs" dxfId="1183" priority="1109" operator="equal">
      <formula>"Survivor"</formula>
    </cfRule>
    <cfRule type="cellIs" dxfId="1182" priority="1110" operator="equal">
      <formula>"Mystic"</formula>
    </cfRule>
  </conditionalFormatting>
  <conditionalFormatting sqref="AM1332">
    <cfRule type="cellIs" dxfId="1181" priority="1099" operator="equal">
      <formula>"Seeker"</formula>
    </cfRule>
    <cfRule type="cellIs" dxfId="1180" priority="1100" operator="equal">
      <formula>"Neutral"</formula>
    </cfRule>
    <cfRule type="cellIs" dxfId="1179" priority="1101" operator="equal">
      <formula>"Rogue"</formula>
    </cfRule>
    <cfRule type="cellIs" dxfId="1178" priority="1102" operator="equal">
      <formula>"Guardian"</formula>
    </cfRule>
    <cfRule type="cellIs" dxfId="1177" priority="1103" operator="equal">
      <formula>"Survivor"</formula>
    </cfRule>
    <cfRule type="cellIs" dxfId="1176" priority="1104" operator="equal">
      <formula>"Mystic"</formula>
    </cfRule>
  </conditionalFormatting>
  <conditionalFormatting sqref="K1347">
    <cfRule type="cellIs" dxfId="1175" priority="1093" operator="equal">
      <formula>"Seeker"</formula>
    </cfRule>
    <cfRule type="cellIs" dxfId="1174" priority="1094" operator="equal">
      <formula>"Neutral"</formula>
    </cfRule>
    <cfRule type="cellIs" dxfId="1173" priority="1095" operator="equal">
      <formula>"Rogue"</formula>
    </cfRule>
    <cfRule type="cellIs" dxfId="1172" priority="1096" operator="equal">
      <formula>"Guardian"</formula>
    </cfRule>
    <cfRule type="cellIs" dxfId="1171" priority="1097" operator="equal">
      <formula>"Survivor"</formula>
    </cfRule>
    <cfRule type="cellIs" dxfId="1170" priority="1098" operator="equal">
      <formula>"Mystic"</formula>
    </cfRule>
  </conditionalFormatting>
  <conditionalFormatting sqref="AM1347">
    <cfRule type="cellIs" dxfId="1169" priority="1087" operator="equal">
      <formula>"Seeker"</formula>
    </cfRule>
    <cfRule type="cellIs" dxfId="1168" priority="1088" operator="equal">
      <formula>"Neutral"</formula>
    </cfRule>
    <cfRule type="cellIs" dxfId="1167" priority="1089" operator="equal">
      <formula>"Rogue"</formula>
    </cfRule>
    <cfRule type="cellIs" dxfId="1166" priority="1090" operator="equal">
      <formula>"Guardian"</formula>
    </cfRule>
    <cfRule type="cellIs" dxfId="1165" priority="1091" operator="equal">
      <formula>"Survivor"</formula>
    </cfRule>
    <cfRule type="cellIs" dxfId="1164" priority="1092" operator="equal">
      <formula>"Mystic"</formula>
    </cfRule>
  </conditionalFormatting>
  <conditionalFormatting sqref="K1348">
    <cfRule type="cellIs" dxfId="1163" priority="1081" operator="equal">
      <formula>"Seeker"</formula>
    </cfRule>
    <cfRule type="cellIs" dxfId="1162" priority="1082" operator="equal">
      <formula>"Neutral"</formula>
    </cfRule>
    <cfRule type="cellIs" dxfId="1161" priority="1083" operator="equal">
      <formula>"Rogue"</formula>
    </cfRule>
    <cfRule type="cellIs" dxfId="1160" priority="1084" operator="equal">
      <formula>"Guardian"</formula>
    </cfRule>
    <cfRule type="cellIs" dxfId="1159" priority="1085" operator="equal">
      <formula>"Survivor"</formula>
    </cfRule>
    <cfRule type="cellIs" dxfId="1158" priority="1086" operator="equal">
      <formula>"Mystic"</formula>
    </cfRule>
  </conditionalFormatting>
  <conditionalFormatting sqref="K1349">
    <cfRule type="cellIs" dxfId="1157" priority="1075" operator="equal">
      <formula>"Seeker"</formula>
    </cfRule>
    <cfRule type="cellIs" dxfId="1156" priority="1076" operator="equal">
      <formula>"Neutral"</formula>
    </cfRule>
    <cfRule type="cellIs" dxfId="1155" priority="1077" operator="equal">
      <formula>"Rogue"</formula>
    </cfRule>
    <cfRule type="cellIs" dxfId="1154" priority="1078" operator="equal">
      <formula>"Guardian"</formula>
    </cfRule>
    <cfRule type="cellIs" dxfId="1153" priority="1079" operator="equal">
      <formula>"Survivor"</formula>
    </cfRule>
    <cfRule type="cellIs" dxfId="1152" priority="1080" operator="equal">
      <formula>"Mystic"</formula>
    </cfRule>
  </conditionalFormatting>
  <conditionalFormatting sqref="K1354">
    <cfRule type="cellIs" dxfId="1151" priority="1069" operator="equal">
      <formula>"seeker"</formula>
    </cfRule>
    <cfRule type="cellIs" dxfId="1150" priority="1070" operator="equal">
      <formula>"neutral"</formula>
    </cfRule>
    <cfRule type="cellIs" dxfId="1149" priority="1071" operator="equal">
      <formula>"rogue"</formula>
    </cfRule>
    <cfRule type="cellIs" dxfId="1148" priority="1072" operator="equal">
      <formula>"Guardian"</formula>
    </cfRule>
    <cfRule type="cellIs" dxfId="1147" priority="1073" operator="equal">
      <formula>"Survivor"</formula>
    </cfRule>
    <cfRule type="cellIs" dxfId="1146" priority="1074" operator="equal">
      <formula>"Mystic"</formula>
    </cfRule>
  </conditionalFormatting>
  <conditionalFormatting sqref="AM1354">
    <cfRule type="cellIs" dxfId="1145" priority="1063" operator="equal">
      <formula>"seeker"</formula>
    </cfRule>
    <cfRule type="cellIs" dxfId="1144" priority="1064" operator="equal">
      <formula>"neutral"</formula>
    </cfRule>
    <cfRule type="cellIs" dxfId="1143" priority="1065" operator="equal">
      <formula>"rogue"</formula>
    </cfRule>
    <cfRule type="cellIs" dxfId="1142" priority="1066" operator="equal">
      <formula>"Guardian"</formula>
    </cfRule>
    <cfRule type="cellIs" dxfId="1141" priority="1067" operator="equal">
      <formula>"Survivor"</formula>
    </cfRule>
    <cfRule type="cellIs" dxfId="1140" priority="1068" operator="equal">
      <formula>"Mystic"</formula>
    </cfRule>
  </conditionalFormatting>
  <conditionalFormatting sqref="K1355">
    <cfRule type="cellIs" dxfId="1139" priority="1057" operator="equal">
      <formula>"seeker"</formula>
    </cfRule>
    <cfRule type="cellIs" dxfId="1138" priority="1058" operator="equal">
      <formula>"neutral"</formula>
    </cfRule>
    <cfRule type="cellIs" dxfId="1137" priority="1059" operator="equal">
      <formula>"rogue"</formula>
    </cfRule>
    <cfRule type="cellIs" dxfId="1136" priority="1060" operator="equal">
      <formula>"Guardian"</formula>
    </cfRule>
    <cfRule type="cellIs" dxfId="1135" priority="1061" operator="equal">
      <formula>"Survivor"</formula>
    </cfRule>
    <cfRule type="cellIs" dxfId="1134" priority="1062" operator="equal">
      <formula>"Mystic"</formula>
    </cfRule>
  </conditionalFormatting>
  <conditionalFormatting sqref="AM1355">
    <cfRule type="cellIs" dxfId="1133" priority="1051" operator="equal">
      <formula>"seeker"</formula>
    </cfRule>
    <cfRule type="cellIs" dxfId="1132" priority="1052" operator="equal">
      <formula>"neutral"</formula>
    </cfRule>
    <cfRule type="cellIs" dxfId="1131" priority="1053" operator="equal">
      <formula>"rogue"</formula>
    </cfRule>
    <cfRule type="cellIs" dxfId="1130" priority="1054" operator="equal">
      <formula>"Guardian"</formula>
    </cfRule>
    <cfRule type="cellIs" dxfId="1129" priority="1055" operator="equal">
      <formula>"Survivor"</formula>
    </cfRule>
    <cfRule type="cellIs" dxfId="1128" priority="1056" operator="equal">
      <formula>"Mystic"</formula>
    </cfRule>
  </conditionalFormatting>
  <conditionalFormatting sqref="K1356">
    <cfRule type="cellIs" dxfId="1127" priority="1045" operator="equal">
      <formula>"seeker"</formula>
    </cfRule>
    <cfRule type="cellIs" dxfId="1126" priority="1046" operator="equal">
      <formula>"neutral"</formula>
    </cfRule>
    <cfRule type="cellIs" dxfId="1125" priority="1047" operator="equal">
      <formula>"rogue"</formula>
    </cfRule>
    <cfRule type="cellIs" dxfId="1124" priority="1048" operator="equal">
      <formula>"Guardian"</formula>
    </cfRule>
    <cfRule type="cellIs" dxfId="1123" priority="1049" operator="equal">
      <formula>"Survivor"</formula>
    </cfRule>
    <cfRule type="cellIs" dxfId="1122" priority="1050" operator="equal">
      <formula>"Mystic"</formula>
    </cfRule>
  </conditionalFormatting>
  <conditionalFormatting sqref="K1357">
    <cfRule type="cellIs" dxfId="1121" priority="1039" operator="equal">
      <formula>"seeker"</formula>
    </cfRule>
    <cfRule type="cellIs" dxfId="1120" priority="1040" operator="equal">
      <formula>"neutral"</formula>
    </cfRule>
    <cfRule type="cellIs" dxfId="1119" priority="1041" operator="equal">
      <formula>"rogue"</formula>
    </cfRule>
    <cfRule type="cellIs" dxfId="1118" priority="1042" operator="equal">
      <formula>"Guardian"</formula>
    </cfRule>
    <cfRule type="cellIs" dxfId="1117" priority="1043" operator="equal">
      <formula>"Survivor"</formula>
    </cfRule>
    <cfRule type="cellIs" dxfId="1116" priority="1044" operator="equal">
      <formula>"Mystic"</formula>
    </cfRule>
  </conditionalFormatting>
  <conditionalFormatting sqref="AM1363">
    <cfRule type="cellIs" dxfId="1115" priority="1033" operator="equal">
      <formula>"seeker"</formula>
    </cfRule>
    <cfRule type="cellIs" dxfId="1114" priority="1034" operator="equal">
      <formula>"neutral"</formula>
    </cfRule>
    <cfRule type="cellIs" dxfId="1113" priority="1035" operator="equal">
      <formula>"rogue"</formula>
    </cfRule>
    <cfRule type="cellIs" dxfId="1112" priority="1036" operator="equal">
      <formula>"Guardian"</formula>
    </cfRule>
    <cfRule type="cellIs" dxfId="1111" priority="1037" operator="equal">
      <formula>"Survivor"</formula>
    </cfRule>
    <cfRule type="cellIs" dxfId="1110" priority="1038" operator="equal">
      <formula>"Mystic"</formula>
    </cfRule>
  </conditionalFormatting>
  <conditionalFormatting sqref="K1373">
    <cfRule type="cellIs" dxfId="1109" priority="1027" operator="equal">
      <formula>"seeker"</formula>
    </cfRule>
    <cfRule type="cellIs" dxfId="1108" priority="1028" operator="equal">
      <formula>"neutral"</formula>
    </cfRule>
    <cfRule type="cellIs" dxfId="1107" priority="1029" operator="equal">
      <formula>"rogue"</formula>
    </cfRule>
    <cfRule type="cellIs" dxfId="1106" priority="1030" operator="equal">
      <formula>"Guardian"</formula>
    </cfRule>
    <cfRule type="cellIs" dxfId="1105" priority="1031" operator="equal">
      <formula>"Survivor"</formula>
    </cfRule>
    <cfRule type="cellIs" dxfId="1104" priority="1032" operator="equal">
      <formula>"Mystic"</formula>
    </cfRule>
  </conditionalFormatting>
  <conditionalFormatting sqref="AL1373">
    <cfRule type="cellIs" dxfId="1103" priority="1021" operator="equal">
      <formula>"Seeker"</formula>
    </cfRule>
    <cfRule type="cellIs" dxfId="1102" priority="1022" operator="equal">
      <formula>"Neutral"</formula>
    </cfRule>
    <cfRule type="cellIs" dxfId="1101" priority="1023" operator="equal">
      <formula>"Rogue"</formula>
    </cfRule>
    <cfRule type="cellIs" dxfId="1100" priority="1024" operator="equal">
      <formula>"Guardian"</formula>
    </cfRule>
    <cfRule type="cellIs" dxfId="1099" priority="1025" operator="equal">
      <formula>"Survivor"</formula>
    </cfRule>
    <cfRule type="cellIs" dxfId="1098" priority="1026" operator="equal">
      <formula>"Mystic"</formula>
    </cfRule>
  </conditionalFormatting>
  <conditionalFormatting sqref="AM1428:AM1431">
    <cfRule type="cellIs" dxfId="1097" priority="1015" operator="equal">
      <formula>"seeker"</formula>
    </cfRule>
    <cfRule type="cellIs" dxfId="1096" priority="1016" operator="equal">
      <formula>"neutral"</formula>
    </cfRule>
    <cfRule type="cellIs" dxfId="1095" priority="1017" operator="equal">
      <formula>"rogue"</formula>
    </cfRule>
    <cfRule type="cellIs" dxfId="1094" priority="1018" operator="equal">
      <formula>"Guardian"</formula>
    </cfRule>
    <cfRule type="cellIs" dxfId="1093" priority="1019" operator="equal">
      <formula>"Survivor"</formula>
    </cfRule>
    <cfRule type="cellIs" dxfId="1092" priority="1020" operator="equal">
      <formula>"Mystic"</formula>
    </cfRule>
  </conditionalFormatting>
  <conditionalFormatting sqref="AM1427">
    <cfRule type="cellIs" dxfId="1091" priority="1009" operator="equal">
      <formula>"Seeker"</formula>
    </cfRule>
    <cfRule type="cellIs" dxfId="1090" priority="1010" operator="equal">
      <formula>"Neutral"</formula>
    </cfRule>
    <cfRule type="cellIs" dxfId="1089" priority="1011" operator="equal">
      <formula>"Rogue"</formula>
    </cfRule>
    <cfRule type="cellIs" dxfId="1088" priority="1012" operator="equal">
      <formula>"Guardian"</formula>
    </cfRule>
    <cfRule type="cellIs" dxfId="1087" priority="1013" operator="equal">
      <formula>"Survivor"</formula>
    </cfRule>
    <cfRule type="cellIs" dxfId="1086" priority="1014" operator="equal">
      <formula>"Mystic"</formula>
    </cfRule>
  </conditionalFormatting>
  <conditionalFormatting sqref="K1428:K1431">
    <cfRule type="cellIs" dxfId="1085" priority="1003" operator="equal">
      <formula>"seeker"</formula>
    </cfRule>
    <cfRule type="cellIs" dxfId="1084" priority="1004" operator="equal">
      <formula>"neutral"</formula>
    </cfRule>
    <cfRule type="cellIs" dxfId="1083" priority="1005" operator="equal">
      <formula>"rogue"</formula>
    </cfRule>
    <cfRule type="cellIs" dxfId="1082" priority="1006" operator="equal">
      <formula>"Guardian"</formula>
    </cfRule>
    <cfRule type="cellIs" dxfId="1081" priority="1007" operator="equal">
      <formula>"Survivor"</formula>
    </cfRule>
    <cfRule type="cellIs" dxfId="1080" priority="1008" operator="equal">
      <formula>"Mystic"</formula>
    </cfRule>
  </conditionalFormatting>
  <conditionalFormatting sqref="K1427">
    <cfRule type="cellIs" dxfId="1079" priority="997" operator="equal">
      <formula>"Seeker"</formula>
    </cfRule>
    <cfRule type="cellIs" dxfId="1078" priority="998" operator="equal">
      <formula>"Neutral"</formula>
    </cfRule>
    <cfRule type="cellIs" dxfId="1077" priority="999" operator="equal">
      <formula>"Rogue"</formula>
    </cfRule>
    <cfRule type="cellIs" dxfId="1076" priority="1000" operator="equal">
      <formula>"Guardian"</formula>
    </cfRule>
    <cfRule type="cellIs" dxfId="1075" priority="1001" operator="equal">
      <formula>"Survivor"</formula>
    </cfRule>
    <cfRule type="cellIs" dxfId="1074" priority="1002" operator="equal">
      <formula>"Mystic"</formula>
    </cfRule>
  </conditionalFormatting>
  <conditionalFormatting sqref="K1432">
    <cfRule type="cellIs" dxfId="1073" priority="991" operator="equal">
      <formula>"Seeker"</formula>
    </cfRule>
    <cfRule type="cellIs" dxfId="1072" priority="992" operator="equal">
      <formula>"Neutral"</formula>
    </cfRule>
    <cfRule type="cellIs" dxfId="1071" priority="993" operator="equal">
      <formula>"Rogue"</formula>
    </cfRule>
    <cfRule type="cellIs" dxfId="1070" priority="994" operator="equal">
      <formula>"Guardian"</formula>
    </cfRule>
    <cfRule type="cellIs" dxfId="1069" priority="995" operator="equal">
      <formula>"Survivor"</formula>
    </cfRule>
    <cfRule type="cellIs" dxfId="1068" priority="996" operator="equal">
      <formula>"Mystic"</formula>
    </cfRule>
  </conditionalFormatting>
  <conditionalFormatting sqref="K1433">
    <cfRule type="cellIs" dxfId="1067" priority="985" operator="equal">
      <formula>"Seeker"</formula>
    </cfRule>
    <cfRule type="cellIs" dxfId="1066" priority="986" operator="equal">
      <formula>"Neutral"</formula>
    </cfRule>
    <cfRule type="cellIs" dxfId="1065" priority="987" operator="equal">
      <formula>"Rogue"</formula>
    </cfRule>
    <cfRule type="cellIs" dxfId="1064" priority="988" operator="equal">
      <formula>"Guardian"</formula>
    </cfRule>
    <cfRule type="cellIs" dxfId="1063" priority="989" operator="equal">
      <formula>"Survivor"</formula>
    </cfRule>
    <cfRule type="cellIs" dxfId="1062" priority="990" operator="equal">
      <formula>"Mystic"</formula>
    </cfRule>
  </conditionalFormatting>
  <conditionalFormatting sqref="K1434">
    <cfRule type="cellIs" dxfId="1061" priority="979" operator="equal">
      <formula>"seeker"</formula>
    </cfRule>
    <cfRule type="cellIs" dxfId="1060" priority="980" operator="equal">
      <formula>"neutral"</formula>
    </cfRule>
    <cfRule type="cellIs" dxfId="1059" priority="981" operator="equal">
      <formula>"rogue"</formula>
    </cfRule>
    <cfRule type="cellIs" dxfId="1058" priority="982" operator="equal">
      <formula>"Guardian"</formula>
    </cfRule>
    <cfRule type="cellIs" dxfId="1057" priority="983" operator="equal">
      <formula>"Survivor"</formula>
    </cfRule>
    <cfRule type="cellIs" dxfId="1056" priority="984" operator="equal">
      <formula>"Mystic"</formula>
    </cfRule>
  </conditionalFormatting>
  <conditionalFormatting sqref="K1435">
    <cfRule type="cellIs" dxfId="1055" priority="973" operator="equal">
      <formula>"seeker"</formula>
    </cfRule>
    <cfRule type="cellIs" dxfId="1054" priority="974" operator="equal">
      <formula>"neutral"</formula>
    </cfRule>
    <cfRule type="cellIs" dxfId="1053" priority="975" operator="equal">
      <formula>"rogue"</formula>
    </cfRule>
    <cfRule type="cellIs" dxfId="1052" priority="976" operator="equal">
      <formula>"Guardian"</formula>
    </cfRule>
    <cfRule type="cellIs" dxfId="1051" priority="977" operator="equal">
      <formula>"Survivor"</formula>
    </cfRule>
    <cfRule type="cellIs" dxfId="1050" priority="978" operator="equal">
      <formula>"Mystic"</formula>
    </cfRule>
  </conditionalFormatting>
  <conditionalFormatting sqref="K1436">
    <cfRule type="cellIs" dxfId="1049" priority="967" operator="equal">
      <formula>"seeker"</formula>
    </cfRule>
    <cfRule type="cellIs" dxfId="1048" priority="968" operator="equal">
      <formula>"neutral"</formula>
    </cfRule>
    <cfRule type="cellIs" dxfId="1047" priority="969" operator="equal">
      <formula>"rogue"</formula>
    </cfRule>
    <cfRule type="cellIs" dxfId="1046" priority="970" operator="equal">
      <formula>"Guardian"</formula>
    </cfRule>
    <cfRule type="cellIs" dxfId="1045" priority="971" operator="equal">
      <formula>"Survivor"</formula>
    </cfRule>
    <cfRule type="cellIs" dxfId="1044" priority="972" operator="equal">
      <formula>"Mystic"</formula>
    </cfRule>
  </conditionalFormatting>
  <conditionalFormatting sqref="AM1423:AM1426">
    <cfRule type="cellIs" dxfId="1043" priority="961" operator="equal">
      <formula>"seeker"</formula>
    </cfRule>
    <cfRule type="cellIs" dxfId="1042" priority="962" operator="equal">
      <formula>"neutral"</formula>
    </cfRule>
    <cfRule type="cellIs" dxfId="1041" priority="963" operator="equal">
      <formula>"rogue"</formula>
    </cfRule>
    <cfRule type="cellIs" dxfId="1040" priority="964" operator="equal">
      <formula>"Guardian"</formula>
    </cfRule>
    <cfRule type="cellIs" dxfId="1039" priority="965" operator="equal">
      <formula>"Survivor"</formula>
    </cfRule>
    <cfRule type="cellIs" dxfId="1038" priority="966" operator="equal">
      <formula>"Mystic"</formula>
    </cfRule>
  </conditionalFormatting>
  <conditionalFormatting sqref="AM1422">
    <cfRule type="cellIs" dxfId="1037" priority="955" operator="equal">
      <formula>"Seeker"</formula>
    </cfRule>
    <cfRule type="cellIs" dxfId="1036" priority="956" operator="equal">
      <formula>"Neutral"</formula>
    </cfRule>
    <cfRule type="cellIs" dxfId="1035" priority="957" operator="equal">
      <formula>"Rogue"</formula>
    </cfRule>
    <cfRule type="cellIs" dxfId="1034" priority="958" operator="equal">
      <formula>"Guardian"</formula>
    </cfRule>
    <cfRule type="cellIs" dxfId="1033" priority="959" operator="equal">
      <formula>"Survivor"</formula>
    </cfRule>
    <cfRule type="cellIs" dxfId="1032" priority="960" operator="equal">
      <formula>"Mystic"</formula>
    </cfRule>
  </conditionalFormatting>
  <conditionalFormatting sqref="K1423:K1426">
    <cfRule type="cellIs" dxfId="1031" priority="949" operator="equal">
      <formula>"seeker"</formula>
    </cfRule>
    <cfRule type="cellIs" dxfId="1030" priority="950" operator="equal">
      <formula>"neutral"</formula>
    </cfRule>
    <cfRule type="cellIs" dxfId="1029" priority="951" operator="equal">
      <formula>"rogue"</formula>
    </cfRule>
    <cfRule type="cellIs" dxfId="1028" priority="952" operator="equal">
      <formula>"Guardian"</formula>
    </cfRule>
    <cfRule type="cellIs" dxfId="1027" priority="953" operator="equal">
      <formula>"Survivor"</formula>
    </cfRule>
    <cfRule type="cellIs" dxfId="1026" priority="954" operator="equal">
      <formula>"Mystic"</formula>
    </cfRule>
  </conditionalFormatting>
  <conditionalFormatting sqref="K1422">
    <cfRule type="cellIs" dxfId="1025" priority="943" operator="equal">
      <formula>"Seeker"</formula>
    </cfRule>
    <cfRule type="cellIs" dxfId="1024" priority="944" operator="equal">
      <formula>"Neutral"</formula>
    </cfRule>
    <cfRule type="cellIs" dxfId="1023" priority="945" operator="equal">
      <formula>"Rogue"</formula>
    </cfRule>
    <cfRule type="cellIs" dxfId="1022" priority="946" operator="equal">
      <formula>"Guardian"</formula>
    </cfRule>
    <cfRule type="cellIs" dxfId="1021" priority="947" operator="equal">
      <formula>"Survivor"</formula>
    </cfRule>
    <cfRule type="cellIs" dxfId="1020" priority="948" operator="equal">
      <formula>"Mystic"</formula>
    </cfRule>
  </conditionalFormatting>
  <conditionalFormatting sqref="AM1351">
    <cfRule type="cellIs" dxfId="1019" priority="937" operator="equal">
      <formula>"seeker"</formula>
    </cfRule>
    <cfRule type="cellIs" dxfId="1018" priority="938" operator="equal">
      <formula>"neutral"</formula>
    </cfRule>
    <cfRule type="cellIs" dxfId="1017" priority="939" operator="equal">
      <formula>"rogue"</formula>
    </cfRule>
    <cfRule type="cellIs" dxfId="1016" priority="940" operator="equal">
      <formula>"Guardian"</formula>
    </cfRule>
    <cfRule type="cellIs" dxfId="1015" priority="941" operator="equal">
      <formula>"Survivor"</formula>
    </cfRule>
    <cfRule type="cellIs" dxfId="1014" priority="942" operator="equal">
      <formula>"Mystic"</formula>
    </cfRule>
  </conditionalFormatting>
  <conditionalFormatting sqref="K1438:K1447">
    <cfRule type="cellIs" dxfId="1013" priority="931" operator="equal">
      <formula>"seeker"</formula>
    </cfRule>
    <cfRule type="cellIs" dxfId="1012" priority="932" operator="equal">
      <formula>"neutral"</formula>
    </cfRule>
    <cfRule type="cellIs" dxfId="1011" priority="933" operator="equal">
      <formula>"rogue"</formula>
    </cfRule>
    <cfRule type="cellIs" dxfId="1010" priority="934" operator="equal">
      <formula>"Guardian"</formula>
    </cfRule>
    <cfRule type="cellIs" dxfId="1009" priority="935" operator="equal">
      <formula>"Survivor"</formula>
    </cfRule>
    <cfRule type="cellIs" dxfId="1008" priority="936" operator="equal">
      <formula>"Mystic"</formula>
    </cfRule>
  </conditionalFormatting>
  <conditionalFormatting sqref="AL1442:AL1447">
    <cfRule type="cellIs" dxfId="1007" priority="925" operator="equal">
      <formula>"Seeker"</formula>
    </cfRule>
    <cfRule type="cellIs" dxfId="1006" priority="926" operator="equal">
      <formula>"Neutral"</formula>
    </cfRule>
    <cfRule type="cellIs" dxfId="1005" priority="927" operator="equal">
      <formula>"Rogue"</formula>
    </cfRule>
    <cfRule type="cellIs" dxfId="1004" priority="928" operator="equal">
      <formula>"Guardian"</formula>
    </cfRule>
    <cfRule type="cellIs" dxfId="1003" priority="929" operator="equal">
      <formula>"Survivor"</formula>
    </cfRule>
    <cfRule type="cellIs" dxfId="1002" priority="930" operator="equal">
      <formula>"Mystic"</formula>
    </cfRule>
  </conditionalFormatting>
  <conditionalFormatting sqref="K1437">
    <cfRule type="cellIs" dxfId="1001" priority="919" operator="equal">
      <formula>"Seeker"</formula>
    </cfRule>
    <cfRule type="cellIs" dxfId="1000" priority="920" operator="equal">
      <formula>"Neutral"</formula>
    </cfRule>
    <cfRule type="cellIs" dxfId="999" priority="921" operator="equal">
      <formula>"Rogue"</formula>
    </cfRule>
    <cfRule type="cellIs" dxfId="998" priority="922" operator="equal">
      <formula>"Guardian"</formula>
    </cfRule>
    <cfRule type="cellIs" dxfId="997" priority="923" operator="equal">
      <formula>"Survivor"</formula>
    </cfRule>
    <cfRule type="cellIs" dxfId="996" priority="924" operator="equal">
      <formula>"Mystic"</formula>
    </cfRule>
  </conditionalFormatting>
  <conditionalFormatting sqref="AM1438:AM1441">
    <cfRule type="cellIs" dxfId="995" priority="913" operator="equal">
      <formula>"seeker"</formula>
    </cfRule>
    <cfRule type="cellIs" dxfId="994" priority="914" operator="equal">
      <formula>"neutral"</formula>
    </cfRule>
    <cfRule type="cellIs" dxfId="993" priority="915" operator="equal">
      <formula>"rogue"</formula>
    </cfRule>
    <cfRule type="cellIs" dxfId="992" priority="916" operator="equal">
      <formula>"Guardian"</formula>
    </cfRule>
    <cfRule type="cellIs" dxfId="991" priority="917" operator="equal">
      <formula>"Survivor"</formula>
    </cfRule>
    <cfRule type="cellIs" dxfId="990" priority="918" operator="equal">
      <formula>"Mystic"</formula>
    </cfRule>
  </conditionalFormatting>
  <conditionalFormatting sqref="AM1437">
    <cfRule type="cellIs" dxfId="989" priority="907" operator="equal">
      <formula>"Seeker"</formula>
    </cfRule>
    <cfRule type="cellIs" dxfId="988" priority="908" operator="equal">
      <formula>"Neutral"</formula>
    </cfRule>
    <cfRule type="cellIs" dxfId="987" priority="909" operator="equal">
      <formula>"Rogue"</formula>
    </cfRule>
    <cfRule type="cellIs" dxfId="986" priority="910" operator="equal">
      <formula>"Guardian"</formula>
    </cfRule>
    <cfRule type="cellIs" dxfId="985" priority="911" operator="equal">
      <formula>"Survivor"</formula>
    </cfRule>
    <cfRule type="cellIs" dxfId="984" priority="912" operator="equal">
      <formula>"Mystic"</formula>
    </cfRule>
  </conditionalFormatting>
  <conditionalFormatting sqref="AM1490:AM1509 K1490:K1509 K1449:K1462 AM1462 AM1468:AM1469 K1466:K1469 AM1480:AM1488 K1474:K1488 AM1473:AM1478">
    <cfRule type="cellIs" dxfId="983" priority="781" operator="equal">
      <formula>"seeker"</formula>
    </cfRule>
    <cfRule type="cellIs" dxfId="982" priority="782" operator="equal">
      <formula>"neutral"</formula>
    </cfRule>
    <cfRule type="cellIs" dxfId="981" priority="783" operator="equal">
      <formula>"rogue"</formula>
    </cfRule>
    <cfRule type="cellIs" dxfId="980" priority="784" operator="equal">
      <formula>"Guardian"</formula>
    </cfRule>
    <cfRule type="cellIs" dxfId="979" priority="785" operator="equal">
      <formula>"Survivor"</formula>
    </cfRule>
    <cfRule type="cellIs" dxfId="978" priority="786" operator="equal">
      <formula>"Mystic"</formula>
    </cfRule>
  </conditionalFormatting>
  <conditionalFormatting sqref="AL1453:AL1459">
    <cfRule type="cellIs" dxfId="977" priority="775" operator="equal">
      <formula>"Seeker"</formula>
    </cfRule>
    <cfRule type="cellIs" dxfId="976" priority="776" operator="equal">
      <formula>"Neutral"</formula>
    </cfRule>
    <cfRule type="cellIs" dxfId="975" priority="777" operator="equal">
      <formula>"Rogue"</formula>
    </cfRule>
    <cfRule type="cellIs" dxfId="974" priority="778" operator="equal">
      <formula>"Guardian"</formula>
    </cfRule>
    <cfRule type="cellIs" dxfId="973" priority="779" operator="equal">
      <formula>"Survivor"</formula>
    </cfRule>
    <cfRule type="cellIs" dxfId="972" priority="780" operator="equal">
      <formula>"Mystic"</formula>
    </cfRule>
  </conditionalFormatting>
  <conditionalFormatting sqref="AM1472">
    <cfRule type="cellIs" dxfId="971" priority="769" operator="equal">
      <formula>"seeker"</formula>
    </cfRule>
    <cfRule type="cellIs" dxfId="970" priority="770" operator="equal">
      <formula>"neutral"</formula>
    </cfRule>
    <cfRule type="cellIs" dxfId="969" priority="771" operator="equal">
      <formula>"rogue"</formula>
    </cfRule>
    <cfRule type="cellIs" dxfId="968" priority="772" operator="equal">
      <formula>"Guardian"</formula>
    </cfRule>
    <cfRule type="cellIs" dxfId="967" priority="773" operator="equal">
      <formula>"Survivor"</formula>
    </cfRule>
    <cfRule type="cellIs" dxfId="966" priority="774" operator="equal">
      <formula>"Mystic"</formula>
    </cfRule>
  </conditionalFormatting>
  <conditionalFormatting sqref="K1448">
    <cfRule type="cellIs" dxfId="965" priority="763" operator="equal">
      <formula>"Seeker"</formula>
    </cfRule>
    <cfRule type="cellIs" dxfId="964" priority="764" operator="equal">
      <formula>"Neutral"</formula>
    </cfRule>
    <cfRule type="cellIs" dxfId="963" priority="765" operator="equal">
      <formula>"Rogue"</formula>
    </cfRule>
    <cfRule type="cellIs" dxfId="962" priority="766" operator="equal">
      <formula>"Guardian"</formula>
    </cfRule>
    <cfRule type="cellIs" dxfId="961" priority="767" operator="equal">
      <formula>"Survivor"</formula>
    </cfRule>
    <cfRule type="cellIs" dxfId="960" priority="768" operator="equal">
      <formula>"Mystic"</formula>
    </cfRule>
  </conditionalFormatting>
  <conditionalFormatting sqref="AM1449:AM1452">
    <cfRule type="cellIs" dxfId="959" priority="757" operator="equal">
      <formula>"seeker"</formula>
    </cfRule>
    <cfRule type="cellIs" dxfId="958" priority="758" operator="equal">
      <formula>"neutral"</formula>
    </cfRule>
    <cfRule type="cellIs" dxfId="957" priority="759" operator="equal">
      <formula>"rogue"</formula>
    </cfRule>
    <cfRule type="cellIs" dxfId="956" priority="760" operator="equal">
      <formula>"Guardian"</formula>
    </cfRule>
    <cfRule type="cellIs" dxfId="955" priority="761" operator="equal">
      <formula>"Survivor"</formula>
    </cfRule>
    <cfRule type="cellIs" dxfId="954" priority="762" operator="equal">
      <formula>"Mystic"</formula>
    </cfRule>
  </conditionalFormatting>
  <conditionalFormatting sqref="AM1448">
    <cfRule type="cellIs" dxfId="953" priority="751" operator="equal">
      <formula>"Seeker"</formula>
    </cfRule>
    <cfRule type="cellIs" dxfId="952" priority="752" operator="equal">
      <formula>"Neutral"</formula>
    </cfRule>
    <cfRule type="cellIs" dxfId="951" priority="753" operator="equal">
      <formula>"Rogue"</formula>
    </cfRule>
    <cfRule type="cellIs" dxfId="950" priority="754" operator="equal">
      <formula>"Guardian"</formula>
    </cfRule>
    <cfRule type="cellIs" dxfId="949" priority="755" operator="equal">
      <formula>"Survivor"</formula>
    </cfRule>
    <cfRule type="cellIs" dxfId="948" priority="756" operator="equal">
      <formula>"Mystic"</formula>
    </cfRule>
  </conditionalFormatting>
  <conditionalFormatting sqref="K1463">
    <cfRule type="cellIs" dxfId="947" priority="745" operator="equal">
      <formula>"Seeker"</formula>
    </cfRule>
    <cfRule type="cellIs" dxfId="946" priority="746" operator="equal">
      <formula>"Neutral"</formula>
    </cfRule>
    <cfRule type="cellIs" dxfId="945" priority="747" operator="equal">
      <formula>"Rogue"</formula>
    </cfRule>
    <cfRule type="cellIs" dxfId="944" priority="748" operator="equal">
      <formula>"Guardian"</formula>
    </cfRule>
    <cfRule type="cellIs" dxfId="943" priority="749" operator="equal">
      <formula>"Survivor"</formula>
    </cfRule>
    <cfRule type="cellIs" dxfId="942" priority="750" operator="equal">
      <formula>"Mystic"</formula>
    </cfRule>
  </conditionalFormatting>
  <conditionalFormatting sqref="AM1463">
    <cfRule type="cellIs" dxfId="941" priority="739" operator="equal">
      <formula>"Seeker"</formula>
    </cfRule>
    <cfRule type="cellIs" dxfId="940" priority="740" operator="equal">
      <formula>"Neutral"</formula>
    </cfRule>
    <cfRule type="cellIs" dxfId="939" priority="741" operator="equal">
      <formula>"Rogue"</formula>
    </cfRule>
    <cfRule type="cellIs" dxfId="938" priority="742" operator="equal">
      <formula>"Guardian"</formula>
    </cfRule>
    <cfRule type="cellIs" dxfId="937" priority="743" operator="equal">
      <formula>"Survivor"</formula>
    </cfRule>
    <cfRule type="cellIs" dxfId="936" priority="744" operator="equal">
      <formula>"Mystic"</formula>
    </cfRule>
  </conditionalFormatting>
  <conditionalFormatting sqref="K1464">
    <cfRule type="cellIs" dxfId="935" priority="733" operator="equal">
      <formula>"Seeker"</formula>
    </cfRule>
    <cfRule type="cellIs" dxfId="934" priority="734" operator="equal">
      <formula>"Neutral"</formula>
    </cfRule>
    <cfRule type="cellIs" dxfId="933" priority="735" operator="equal">
      <formula>"Rogue"</formula>
    </cfRule>
    <cfRule type="cellIs" dxfId="932" priority="736" operator="equal">
      <formula>"Guardian"</formula>
    </cfRule>
    <cfRule type="cellIs" dxfId="931" priority="737" operator="equal">
      <formula>"Survivor"</formula>
    </cfRule>
    <cfRule type="cellIs" dxfId="930" priority="738" operator="equal">
      <formula>"Mystic"</formula>
    </cfRule>
  </conditionalFormatting>
  <conditionalFormatting sqref="K1465">
    <cfRule type="cellIs" dxfId="929" priority="727" operator="equal">
      <formula>"Seeker"</formula>
    </cfRule>
    <cfRule type="cellIs" dxfId="928" priority="728" operator="equal">
      <formula>"Neutral"</formula>
    </cfRule>
    <cfRule type="cellIs" dxfId="927" priority="729" operator="equal">
      <formula>"Rogue"</formula>
    </cfRule>
    <cfRule type="cellIs" dxfId="926" priority="730" operator="equal">
      <formula>"Guardian"</formula>
    </cfRule>
    <cfRule type="cellIs" dxfId="925" priority="731" operator="equal">
      <formula>"Survivor"</formula>
    </cfRule>
    <cfRule type="cellIs" dxfId="924" priority="732" operator="equal">
      <formula>"Mystic"</formula>
    </cfRule>
  </conditionalFormatting>
  <conditionalFormatting sqref="K1470">
    <cfRule type="cellIs" dxfId="923" priority="721" operator="equal">
      <formula>"seeker"</formula>
    </cfRule>
    <cfRule type="cellIs" dxfId="922" priority="722" operator="equal">
      <formula>"neutral"</formula>
    </cfRule>
    <cfRule type="cellIs" dxfId="921" priority="723" operator="equal">
      <formula>"rogue"</formula>
    </cfRule>
    <cfRule type="cellIs" dxfId="920" priority="724" operator="equal">
      <formula>"Guardian"</formula>
    </cfRule>
    <cfRule type="cellIs" dxfId="919" priority="725" operator="equal">
      <formula>"Survivor"</formula>
    </cfRule>
    <cfRule type="cellIs" dxfId="918" priority="726" operator="equal">
      <formula>"Mystic"</formula>
    </cfRule>
  </conditionalFormatting>
  <conditionalFormatting sqref="AM1470">
    <cfRule type="cellIs" dxfId="917" priority="715" operator="equal">
      <formula>"seeker"</formula>
    </cfRule>
    <cfRule type="cellIs" dxfId="916" priority="716" operator="equal">
      <formula>"neutral"</formula>
    </cfRule>
    <cfRule type="cellIs" dxfId="915" priority="717" operator="equal">
      <formula>"rogue"</formula>
    </cfRule>
    <cfRule type="cellIs" dxfId="914" priority="718" operator="equal">
      <formula>"Guardian"</formula>
    </cfRule>
    <cfRule type="cellIs" dxfId="913" priority="719" operator="equal">
      <formula>"Survivor"</formula>
    </cfRule>
    <cfRule type="cellIs" dxfId="912" priority="720" operator="equal">
      <formula>"Mystic"</formula>
    </cfRule>
  </conditionalFormatting>
  <conditionalFormatting sqref="K1471">
    <cfRule type="cellIs" dxfId="911" priority="709" operator="equal">
      <formula>"seeker"</formula>
    </cfRule>
    <cfRule type="cellIs" dxfId="910" priority="710" operator="equal">
      <formula>"neutral"</formula>
    </cfRule>
    <cfRule type="cellIs" dxfId="909" priority="711" operator="equal">
      <formula>"rogue"</formula>
    </cfRule>
    <cfRule type="cellIs" dxfId="908" priority="712" operator="equal">
      <formula>"Guardian"</formula>
    </cfRule>
    <cfRule type="cellIs" dxfId="907" priority="713" operator="equal">
      <formula>"Survivor"</formula>
    </cfRule>
    <cfRule type="cellIs" dxfId="906" priority="714" operator="equal">
      <formula>"Mystic"</formula>
    </cfRule>
  </conditionalFormatting>
  <conditionalFormatting sqref="AM1471">
    <cfRule type="cellIs" dxfId="905" priority="703" operator="equal">
      <formula>"seeker"</formula>
    </cfRule>
    <cfRule type="cellIs" dxfId="904" priority="704" operator="equal">
      <formula>"neutral"</formula>
    </cfRule>
    <cfRule type="cellIs" dxfId="903" priority="705" operator="equal">
      <formula>"rogue"</formula>
    </cfRule>
    <cfRule type="cellIs" dxfId="902" priority="706" operator="equal">
      <formula>"Guardian"</formula>
    </cfRule>
    <cfRule type="cellIs" dxfId="901" priority="707" operator="equal">
      <formula>"Survivor"</formula>
    </cfRule>
    <cfRule type="cellIs" dxfId="900" priority="708" operator="equal">
      <formula>"Mystic"</formula>
    </cfRule>
  </conditionalFormatting>
  <conditionalFormatting sqref="K1472">
    <cfRule type="cellIs" dxfId="899" priority="697" operator="equal">
      <formula>"seeker"</formula>
    </cfRule>
    <cfRule type="cellIs" dxfId="898" priority="698" operator="equal">
      <formula>"neutral"</formula>
    </cfRule>
    <cfRule type="cellIs" dxfId="897" priority="699" operator="equal">
      <formula>"rogue"</formula>
    </cfRule>
    <cfRule type="cellIs" dxfId="896" priority="700" operator="equal">
      <formula>"Guardian"</formula>
    </cfRule>
    <cfRule type="cellIs" dxfId="895" priority="701" operator="equal">
      <formula>"Survivor"</formula>
    </cfRule>
    <cfRule type="cellIs" dxfId="894" priority="702" operator="equal">
      <formula>"Mystic"</formula>
    </cfRule>
  </conditionalFormatting>
  <conditionalFormatting sqref="K1473">
    <cfRule type="cellIs" dxfId="893" priority="691" operator="equal">
      <formula>"seeker"</formula>
    </cfRule>
    <cfRule type="cellIs" dxfId="892" priority="692" operator="equal">
      <formula>"neutral"</formula>
    </cfRule>
    <cfRule type="cellIs" dxfId="891" priority="693" operator="equal">
      <formula>"rogue"</formula>
    </cfRule>
    <cfRule type="cellIs" dxfId="890" priority="694" operator="equal">
      <formula>"Guardian"</formula>
    </cfRule>
    <cfRule type="cellIs" dxfId="889" priority="695" operator="equal">
      <formula>"Survivor"</formula>
    </cfRule>
    <cfRule type="cellIs" dxfId="888" priority="696" operator="equal">
      <formula>"Mystic"</formula>
    </cfRule>
  </conditionalFormatting>
  <conditionalFormatting sqref="AM1479">
    <cfRule type="cellIs" dxfId="887" priority="685" operator="equal">
      <formula>"seeker"</formula>
    </cfRule>
    <cfRule type="cellIs" dxfId="886" priority="686" operator="equal">
      <formula>"neutral"</formula>
    </cfRule>
    <cfRule type="cellIs" dxfId="885" priority="687" operator="equal">
      <formula>"rogue"</formula>
    </cfRule>
    <cfRule type="cellIs" dxfId="884" priority="688" operator="equal">
      <formula>"Guardian"</formula>
    </cfRule>
    <cfRule type="cellIs" dxfId="883" priority="689" operator="equal">
      <formula>"Survivor"</formula>
    </cfRule>
    <cfRule type="cellIs" dxfId="882" priority="690" operator="equal">
      <formula>"Mystic"</formula>
    </cfRule>
  </conditionalFormatting>
  <conditionalFormatting sqref="K1489">
    <cfRule type="cellIs" dxfId="881" priority="679" operator="equal">
      <formula>"seeker"</formula>
    </cfRule>
    <cfRule type="cellIs" dxfId="880" priority="680" operator="equal">
      <formula>"neutral"</formula>
    </cfRule>
    <cfRule type="cellIs" dxfId="879" priority="681" operator="equal">
      <formula>"rogue"</formula>
    </cfRule>
    <cfRule type="cellIs" dxfId="878" priority="682" operator="equal">
      <formula>"Guardian"</formula>
    </cfRule>
    <cfRule type="cellIs" dxfId="877" priority="683" operator="equal">
      <formula>"Survivor"</formula>
    </cfRule>
    <cfRule type="cellIs" dxfId="876" priority="684" operator="equal">
      <formula>"Mystic"</formula>
    </cfRule>
  </conditionalFormatting>
  <conditionalFormatting sqref="AL1489">
    <cfRule type="cellIs" dxfId="875" priority="673" operator="equal">
      <formula>"Seeker"</formula>
    </cfRule>
    <cfRule type="cellIs" dxfId="874" priority="674" operator="equal">
      <formula>"Neutral"</formula>
    </cfRule>
    <cfRule type="cellIs" dxfId="873" priority="675" operator="equal">
      <formula>"Rogue"</formula>
    </cfRule>
    <cfRule type="cellIs" dxfId="872" priority="676" operator="equal">
      <formula>"Guardian"</formula>
    </cfRule>
    <cfRule type="cellIs" dxfId="871" priority="677" operator="equal">
      <formula>"Survivor"</formula>
    </cfRule>
    <cfRule type="cellIs" dxfId="870" priority="678" operator="equal">
      <formula>"Mystic"</formula>
    </cfRule>
  </conditionalFormatting>
  <conditionalFormatting sqref="AM1467">
    <cfRule type="cellIs" dxfId="869" priority="667" operator="equal">
      <formula>"seeker"</formula>
    </cfRule>
    <cfRule type="cellIs" dxfId="868" priority="668" operator="equal">
      <formula>"neutral"</formula>
    </cfRule>
    <cfRule type="cellIs" dxfId="867" priority="669" operator="equal">
      <formula>"rogue"</formula>
    </cfRule>
    <cfRule type="cellIs" dxfId="866" priority="670" operator="equal">
      <formula>"Guardian"</formula>
    </cfRule>
    <cfRule type="cellIs" dxfId="865" priority="671" operator="equal">
      <formula>"Survivor"</formula>
    </cfRule>
    <cfRule type="cellIs" dxfId="864" priority="672" operator="equal">
      <formula>"Mystic"</formula>
    </cfRule>
  </conditionalFormatting>
  <conditionalFormatting sqref="AM1558:AM1599 K1558:K1599 AM1610:AM1619">
    <cfRule type="cellIs" dxfId="707" priority="349" operator="equal">
      <formula>"seeker"</formula>
    </cfRule>
    <cfRule type="cellIs" dxfId="706" priority="350" operator="equal">
      <formula>"neutral"</formula>
    </cfRule>
    <cfRule type="cellIs" dxfId="705" priority="351" operator="equal">
      <formula>"rogue"</formula>
    </cfRule>
    <cfRule type="cellIs" dxfId="704" priority="352" operator="equal">
      <formula>"Guardian"</formula>
    </cfRule>
    <cfRule type="cellIs" dxfId="703" priority="353" operator="equal">
      <formula>"Survivor"</formula>
    </cfRule>
    <cfRule type="cellIs" dxfId="702" priority="354" operator="equal">
      <formula>"Mystic"</formula>
    </cfRule>
  </conditionalFormatting>
  <conditionalFormatting sqref="K1615">
    <cfRule type="cellIs" dxfId="695" priority="289" operator="equal">
      <formula>"seeker"</formula>
    </cfRule>
    <cfRule type="cellIs" dxfId="694" priority="290" operator="equal">
      <formula>"neutral"</formula>
    </cfRule>
    <cfRule type="cellIs" dxfId="693" priority="291" operator="equal">
      <formula>"rogue"</formula>
    </cfRule>
    <cfRule type="cellIs" dxfId="692" priority="292" operator="equal">
      <formula>"Guardian"</formula>
    </cfRule>
    <cfRule type="cellIs" dxfId="691" priority="293" operator="equal">
      <formula>"Survivor"</formula>
    </cfRule>
    <cfRule type="cellIs" dxfId="690" priority="294" operator="equal">
      <formula>"Mystic"</formula>
    </cfRule>
  </conditionalFormatting>
  <conditionalFormatting sqref="AM1606:AM1609">
    <cfRule type="cellIs" dxfId="683" priority="343" operator="equal">
      <formula>"seeker"</formula>
    </cfRule>
    <cfRule type="cellIs" dxfId="682" priority="344" operator="equal">
      <formula>"neutral"</formula>
    </cfRule>
    <cfRule type="cellIs" dxfId="681" priority="345" operator="equal">
      <formula>"rogue"</formula>
    </cfRule>
    <cfRule type="cellIs" dxfId="680" priority="346" operator="equal">
      <formula>"Guardian"</formula>
    </cfRule>
    <cfRule type="cellIs" dxfId="679" priority="347" operator="equal">
      <formula>"Survivor"</formula>
    </cfRule>
    <cfRule type="cellIs" dxfId="678" priority="348" operator="equal">
      <formula>"Mystic"</formula>
    </cfRule>
  </conditionalFormatting>
  <conditionalFormatting sqref="AM1605">
    <cfRule type="cellIs" dxfId="671" priority="337" operator="equal">
      <formula>"Seeker"</formula>
    </cfRule>
    <cfRule type="cellIs" dxfId="670" priority="338" operator="equal">
      <formula>"Neutral"</formula>
    </cfRule>
    <cfRule type="cellIs" dxfId="669" priority="339" operator="equal">
      <formula>"Rogue"</formula>
    </cfRule>
    <cfRule type="cellIs" dxfId="668" priority="340" operator="equal">
      <formula>"Guardian"</formula>
    </cfRule>
    <cfRule type="cellIs" dxfId="667" priority="341" operator="equal">
      <formula>"Survivor"</formula>
    </cfRule>
    <cfRule type="cellIs" dxfId="666" priority="342" operator="equal">
      <formula>"Mystic"</formula>
    </cfRule>
  </conditionalFormatting>
  <conditionalFormatting sqref="K1606:K1609">
    <cfRule type="cellIs" dxfId="659" priority="331" operator="equal">
      <formula>"seeker"</formula>
    </cfRule>
    <cfRule type="cellIs" dxfId="658" priority="332" operator="equal">
      <formula>"neutral"</formula>
    </cfRule>
    <cfRule type="cellIs" dxfId="657" priority="333" operator="equal">
      <formula>"rogue"</formula>
    </cfRule>
    <cfRule type="cellIs" dxfId="656" priority="334" operator="equal">
      <formula>"Guardian"</formula>
    </cfRule>
    <cfRule type="cellIs" dxfId="655" priority="335" operator="equal">
      <formula>"Survivor"</formula>
    </cfRule>
    <cfRule type="cellIs" dxfId="654" priority="336" operator="equal">
      <formula>"Mystic"</formula>
    </cfRule>
  </conditionalFormatting>
  <conditionalFormatting sqref="K1605">
    <cfRule type="cellIs" dxfId="647" priority="325" operator="equal">
      <formula>"Seeker"</formula>
    </cfRule>
    <cfRule type="cellIs" dxfId="646" priority="326" operator="equal">
      <formula>"Neutral"</formula>
    </cfRule>
    <cfRule type="cellIs" dxfId="645" priority="327" operator="equal">
      <formula>"Rogue"</formula>
    </cfRule>
    <cfRule type="cellIs" dxfId="644" priority="328" operator="equal">
      <formula>"Guardian"</formula>
    </cfRule>
    <cfRule type="cellIs" dxfId="643" priority="329" operator="equal">
      <formula>"Survivor"</formula>
    </cfRule>
    <cfRule type="cellIs" dxfId="642" priority="330" operator="equal">
      <formula>"Mystic"</formula>
    </cfRule>
  </conditionalFormatting>
  <conditionalFormatting sqref="K1610">
    <cfRule type="cellIs" dxfId="635" priority="319" operator="equal">
      <formula>"Seeker"</formula>
    </cfRule>
    <cfRule type="cellIs" dxfId="634" priority="320" operator="equal">
      <formula>"Neutral"</formula>
    </cfRule>
    <cfRule type="cellIs" dxfId="633" priority="321" operator="equal">
      <formula>"Rogue"</formula>
    </cfRule>
    <cfRule type="cellIs" dxfId="632" priority="322" operator="equal">
      <formula>"Guardian"</formula>
    </cfRule>
    <cfRule type="cellIs" dxfId="631" priority="323" operator="equal">
      <formula>"Survivor"</formula>
    </cfRule>
    <cfRule type="cellIs" dxfId="630" priority="324" operator="equal">
      <formula>"Mystic"</formula>
    </cfRule>
  </conditionalFormatting>
  <conditionalFormatting sqref="K1611">
    <cfRule type="cellIs" dxfId="623" priority="313" operator="equal">
      <formula>"Seeker"</formula>
    </cfRule>
    <cfRule type="cellIs" dxfId="622" priority="314" operator="equal">
      <formula>"Neutral"</formula>
    </cfRule>
    <cfRule type="cellIs" dxfId="621" priority="315" operator="equal">
      <formula>"Rogue"</formula>
    </cfRule>
    <cfRule type="cellIs" dxfId="620" priority="316" operator="equal">
      <formula>"Guardian"</formula>
    </cfRule>
    <cfRule type="cellIs" dxfId="619" priority="317" operator="equal">
      <formula>"Survivor"</formula>
    </cfRule>
    <cfRule type="cellIs" dxfId="618" priority="318" operator="equal">
      <formula>"Mystic"</formula>
    </cfRule>
  </conditionalFormatting>
  <conditionalFormatting sqref="K1612">
    <cfRule type="cellIs" dxfId="611" priority="307" operator="equal">
      <formula>"seeker"</formula>
    </cfRule>
    <cfRule type="cellIs" dxfId="610" priority="308" operator="equal">
      <formula>"neutral"</formula>
    </cfRule>
    <cfRule type="cellIs" dxfId="609" priority="309" operator="equal">
      <formula>"rogue"</formula>
    </cfRule>
    <cfRule type="cellIs" dxfId="608" priority="310" operator="equal">
      <formula>"Guardian"</formula>
    </cfRule>
    <cfRule type="cellIs" dxfId="607" priority="311" operator="equal">
      <formula>"Survivor"</formula>
    </cfRule>
    <cfRule type="cellIs" dxfId="606" priority="312" operator="equal">
      <formula>"Mystic"</formula>
    </cfRule>
  </conditionalFormatting>
  <conditionalFormatting sqref="K1613">
    <cfRule type="cellIs" dxfId="599" priority="301" operator="equal">
      <formula>"seeker"</formula>
    </cfRule>
    <cfRule type="cellIs" dxfId="598" priority="302" operator="equal">
      <formula>"neutral"</formula>
    </cfRule>
    <cfRule type="cellIs" dxfId="597" priority="303" operator="equal">
      <formula>"rogue"</formula>
    </cfRule>
    <cfRule type="cellIs" dxfId="596" priority="304" operator="equal">
      <formula>"Guardian"</formula>
    </cfRule>
    <cfRule type="cellIs" dxfId="595" priority="305" operator="equal">
      <formula>"Survivor"</formula>
    </cfRule>
    <cfRule type="cellIs" dxfId="594" priority="306" operator="equal">
      <formula>"Mystic"</formula>
    </cfRule>
  </conditionalFormatting>
  <conditionalFormatting sqref="K1614">
    <cfRule type="cellIs" dxfId="587" priority="295" operator="equal">
      <formula>"seeker"</formula>
    </cfRule>
    <cfRule type="cellIs" dxfId="586" priority="296" operator="equal">
      <formula>"neutral"</formula>
    </cfRule>
    <cfRule type="cellIs" dxfId="585" priority="297" operator="equal">
      <formula>"rogue"</formula>
    </cfRule>
    <cfRule type="cellIs" dxfId="584" priority="298" operator="equal">
      <formula>"Guardian"</formula>
    </cfRule>
    <cfRule type="cellIs" dxfId="583" priority="299" operator="equal">
      <formula>"Survivor"</formula>
    </cfRule>
    <cfRule type="cellIs" dxfId="582" priority="300" operator="equal">
      <formula>"Mystic"</formula>
    </cfRule>
  </conditionalFormatting>
  <conditionalFormatting sqref="K1616">
    <cfRule type="cellIs" dxfId="575" priority="283" operator="equal">
      <formula>"seeker"</formula>
    </cfRule>
    <cfRule type="cellIs" dxfId="574" priority="284" operator="equal">
      <formula>"neutral"</formula>
    </cfRule>
    <cfRule type="cellIs" dxfId="573" priority="285" operator="equal">
      <formula>"rogue"</formula>
    </cfRule>
    <cfRule type="cellIs" dxfId="572" priority="286" operator="equal">
      <formula>"Guardian"</formula>
    </cfRule>
    <cfRule type="cellIs" dxfId="571" priority="287" operator="equal">
      <formula>"Survivor"</formula>
    </cfRule>
    <cfRule type="cellIs" dxfId="570" priority="288" operator="equal">
      <formula>"Mystic"</formula>
    </cfRule>
  </conditionalFormatting>
  <conditionalFormatting sqref="K1617">
    <cfRule type="cellIs" dxfId="563" priority="277" operator="equal">
      <formula>"seeker"</formula>
    </cfRule>
    <cfRule type="cellIs" dxfId="562" priority="278" operator="equal">
      <formula>"neutral"</formula>
    </cfRule>
    <cfRule type="cellIs" dxfId="561" priority="279" operator="equal">
      <formula>"rogue"</formula>
    </cfRule>
    <cfRule type="cellIs" dxfId="560" priority="280" operator="equal">
      <formula>"Guardian"</formula>
    </cfRule>
    <cfRule type="cellIs" dxfId="559" priority="281" operator="equal">
      <formula>"Survivor"</formula>
    </cfRule>
    <cfRule type="cellIs" dxfId="558" priority="282" operator="equal">
      <formula>"Mystic"</formula>
    </cfRule>
  </conditionalFormatting>
  <conditionalFormatting sqref="K1618">
    <cfRule type="cellIs" dxfId="551" priority="271" operator="equal">
      <formula>"seeker"</formula>
    </cfRule>
    <cfRule type="cellIs" dxfId="550" priority="272" operator="equal">
      <formula>"neutral"</formula>
    </cfRule>
    <cfRule type="cellIs" dxfId="549" priority="273" operator="equal">
      <formula>"rogue"</formula>
    </cfRule>
    <cfRule type="cellIs" dxfId="548" priority="274" operator="equal">
      <formula>"Guardian"</formula>
    </cfRule>
    <cfRule type="cellIs" dxfId="547" priority="275" operator="equal">
      <formula>"Survivor"</formula>
    </cfRule>
    <cfRule type="cellIs" dxfId="546" priority="276" operator="equal">
      <formula>"Mystic"</formula>
    </cfRule>
  </conditionalFormatting>
  <conditionalFormatting sqref="K1619">
    <cfRule type="cellIs" dxfId="539" priority="265" operator="equal">
      <formula>"seeker"</formula>
    </cfRule>
    <cfRule type="cellIs" dxfId="538" priority="266" operator="equal">
      <formula>"neutral"</formula>
    </cfRule>
    <cfRule type="cellIs" dxfId="537" priority="267" operator="equal">
      <formula>"rogue"</formula>
    </cfRule>
    <cfRule type="cellIs" dxfId="536" priority="268" operator="equal">
      <formula>"Guardian"</formula>
    </cfRule>
    <cfRule type="cellIs" dxfId="535" priority="269" operator="equal">
      <formula>"Survivor"</formula>
    </cfRule>
    <cfRule type="cellIs" dxfId="534" priority="270" operator="equal">
      <formula>"Mystic"</formula>
    </cfRule>
  </conditionalFormatting>
  <conditionalFormatting sqref="AM1601:AM1604">
    <cfRule type="cellIs" dxfId="527" priority="259" operator="equal">
      <formula>"seeker"</formula>
    </cfRule>
    <cfRule type="cellIs" dxfId="526" priority="260" operator="equal">
      <formula>"neutral"</formula>
    </cfRule>
    <cfRule type="cellIs" dxfId="525" priority="261" operator="equal">
      <formula>"rogue"</formula>
    </cfRule>
    <cfRule type="cellIs" dxfId="524" priority="262" operator="equal">
      <formula>"Guardian"</formula>
    </cfRule>
    <cfRule type="cellIs" dxfId="523" priority="263" operator="equal">
      <formula>"Survivor"</formula>
    </cfRule>
    <cfRule type="cellIs" dxfId="522" priority="264" operator="equal">
      <formula>"Mystic"</formula>
    </cfRule>
  </conditionalFormatting>
  <conditionalFormatting sqref="AM1600">
    <cfRule type="cellIs" dxfId="515" priority="253" operator="equal">
      <formula>"Seeker"</formula>
    </cfRule>
    <cfRule type="cellIs" dxfId="514" priority="254" operator="equal">
      <formula>"Neutral"</formula>
    </cfRule>
    <cfRule type="cellIs" dxfId="513" priority="255" operator="equal">
      <formula>"Rogue"</formula>
    </cfRule>
    <cfRule type="cellIs" dxfId="512" priority="256" operator="equal">
      <formula>"Guardian"</formula>
    </cfRule>
    <cfRule type="cellIs" dxfId="511" priority="257" operator="equal">
      <formula>"Survivor"</formula>
    </cfRule>
    <cfRule type="cellIs" dxfId="510" priority="258" operator="equal">
      <formula>"Mystic"</formula>
    </cfRule>
  </conditionalFormatting>
  <conditionalFormatting sqref="K1601:K1604">
    <cfRule type="cellIs" dxfId="503" priority="247" operator="equal">
      <formula>"seeker"</formula>
    </cfRule>
    <cfRule type="cellIs" dxfId="502" priority="248" operator="equal">
      <formula>"neutral"</formula>
    </cfRule>
    <cfRule type="cellIs" dxfId="501" priority="249" operator="equal">
      <formula>"rogue"</formula>
    </cfRule>
    <cfRule type="cellIs" dxfId="500" priority="250" operator="equal">
      <formula>"Guardian"</formula>
    </cfRule>
    <cfRule type="cellIs" dxfId="499" priority="251" operator="equal">
      <formula>"Survivor"</formula>
    </cfRule>
    <cfRule type="cellIs" dxfId="498" priority="252" operator="equal">
      <formula>"Mystic"</formula>
    </cfRule>
  </conditionalFormatting>
  <conditionalFormatting sqref="K1600">
    <cfRule type="cellIs" dxfId="491" priority="241" operator="equal">
      <formula>"Seeker"</formula>
    </cfRule>
    <cfRule type="cellIs" dxfId="490" priority="242" operator="equal">
      <formula>"Neutral"</formula>
    </cfRule>
    <cfRule type="cellIs" dxfId="489" priority="243" operator="equal">
      <formula>"Rogue"</formula>
    </cfRule>
    <cfRule type="cellIs" dxfId="488" priority="244" operator="equal">
      <formula>"Guardian"</formula>
    </cfRule>
    <cfRule type="cellIs" dxfId="487" priority="245" operator="equal">
      <formula>"Survivor"</formula>
    </cfRule>
    <cfRule type="cellIs" dxfId="486" priority="246" operator="equal">
      <formula>"Mystic"</formula>
    </cfRule>
  </conditionalFormatting>
  <conditionalFormatting sqref="K1551">
    <cfRule type="cellIs" dxfId="479" priority="97" operator="equal">
      <formula>"seeker"</formula>
    </cfRule>
    <cfRule type="cellIs" dxfId="478" priority="98" operator="equal">
      <formula>"neutral"</formula>
    </cfRule>
    <cfRule type="cellIs" dxfId="477" priority="99" operator="equal">
      <formula>"rogue"</formula>
    </cfRule>
    <cfRule type="cellIs" dxfId="476" priority="100" operator="equal">
      <formula>"Guardian"</formula>
    </cfRule>
    <cfRule type="cellIs" dxfId="475" priority="101" operator="equal">
      <formula>"Survivor"</formula>
    </cfRule>
    <cfRule type="cellIs" dxfId="474" priority="102" operator="equal">
      <formula>"Mystic"</formula>
    </cfRule>
  </conditionalFormatting>
  <conditionalFormatting sqref="AM1553:AM1556">
    <cfRule type="cellIs" dxfId="467" priority="235" operator="equal">
      <formula>"seeker"</formula>
    </cfRule>
    <cfRule type="cellIs" dxfId="466" priority="236" operator="equal">
      <formula>"neutral"</formula>
    </cfRule>
    <cfRule type="cellIs" dxfId="465" priority="237" operator="equal">
      <formula>"rogue"</formula>
    </cfRule>
    <cfRule type="cellIs" dxfId="464" priority="238" operator="equal">
      <formula>"Guardian"</formula>
    </cfRule>
    <cfRule type="cellIs" dxfId="463" priority="239" operator="equal">
      <formula>"Survivor"</formula>
    </cfRule>
    <cfRule type="cellIs" dxfId="462" priority="240" operator="equal">
      <formula>"Mystic"</formula>
    </cfRule>
  </conditionalFormatting>
  <conditionalFormatting sqref="AM1552">
    <cfRule type="cellIs" dxfId="455" priority="229" operator="equal">
      <formula>"Seeker"</formula>
    </cfRule>
    <cfRule type="cellIs" dxfId="454" priority="230" operator="equal">
      <formula>"Neutral"</formula>
    </cfRule>
    <cfRule type="cellIs" dxfId="453" priority="231" operator="equal">
      <formula>"Rogue"</formula>
    </cfRule>
    <cfRule type="cellIs" dxfId="452" priority="232" operator="equal">
      <formula>"Guardian"</formula>
    </cfRule>
    <cfRule type="cellIs" dxfId="451" priority="233" operator="equal">
      <formula>"Survivor"</formula>
    </cfRule>
    <cfRule type="cellIs" dxfId="450" priority="234" operator="equal">
      <formula>"Mystic"</formula>
    </cfRule>
  </conditionalFormatting>
  <conditionalFormatting sqref="K1553:K1556">
    <cfRule type="cellIs" dxfId="443" priority="223" operator="equal">
      <formula>"seeker"</formula>
    </cfRule>
    <cfRule type="cellIs" dxfId="442" priority="224" operator="equal">
      <formula>"neutral"</formula>
    </cfRule>
    <cfRule type="cellIs" dxfId="441" priority="225" operator="equal">
      <formula>"rogue"</formula>
    </cfRule>
    <cfRule type="cellIs" dxfId="440" priority="226" operator="equal">
      <formula>"Guardian"</formula>
    </cfRule>
    <cfRule type="cellIs" dxfId="439" priority="227" operator="equal">
      <formula>"Survivor"</formula>
    </cfRule>
    <cfRule type="cellIs" dxfId="438" priority="228" operator="equal">
      <formula>"Mystic"</formula>
    </cfRule>
  </conditionalFormatting>
  <conditionalFormatting sqref="K1552">
    <cfRule type="cellIs" dxfId="431" priority="217" operator="equal">
      <formula>"Seeker"</formula>
    </cfRule>
    <cfRule type="cellIs" dxfId="430" priority="218" operator="equal">
      <formula>"Neutral"</formula>
    </cfRule>
    <cfRule type="cellIs" dxfId="429" priority="219" operator="equal">
      <formula>"Rogue"</formula>
    </cfRule>
    <cfRule type="cellIs" dxfId="428" priority="220" operator="equal">
      <formula>"Guardian"</formula>
    </cfRule>
    <cfRule type="cellIs" dxfId="427" priority="221" operator="equal">
      <formula>"Survivor"</formula>
    </cfRule>
    <cfRule type="cellIs" dxfId="426" priority="222" operator="equal">
      <formula>"Mystic"</formula>
    </cfRule>
  </conditionalFormatting>
  <conditionalFormatting sqref="K1557">
    <cfRule type="cellIs" dxfId="419" priority="211" operator="equal">
      <formula>"seeker"</formula>
    </cfRule>
    <cfRule type="cellIs" dxfId="418" priority="212" operator="equal">
      <formula>"neutral"</formula>
    </cfRule>
    <cfRule type="cellIs" dxfId="417" priority="213" operator="equal">
      <formula>"rogue"</formula>
    </cfRule>
    <cfRule type="cellIs" dxfId="416" priority="214" operator="equal">
      <formula>"Guardian"</formula>
    </cfRule>
    <cfRule type="cellIs" dxfId="415" priority="215" operator="equal">
      <formula>"Survivor"</formula>
    </cfRule>
    <cfRule type="cellIs" dxfId="414" priority="216" operator="equal">
      <formula>"Mystic"</formula>
    </cfRule>
  </conditionalFormatting>
  <conditionalFormatting sqref="AM1557">
    <cfRule type="cellIs" dxfId="407" priority="205" operator="equal">
      <formula>"seeker"</formula>
    </cfRule>
    <cfRule type="cellIs" dxfId="406" priority="206" operator="equal">
      <formula>"neutral"</formula>
    </cfRule>
    <cfRule type="cellIs" dxfId="405" priority="207" operator="equal">
      <formula>"rogue"</formula>
    </cfRule>
    <cfRule type="cellIs" dxfId="404" priority="208" operator="equal">
      <formula>"Guardian"</formula>
    </cfRule>
    <cfRule type="cellIs" dxfId="403" priority="209" operator="equal">
      <formula>"Survivor"</formula>
    </cfRule>
    <cfRule type="cellIs" dxfId="402" priority="210" operator="equal">
      <formula>"Mystic"</formula>
    </cfRule>
  </conditionalFormatting>
  <conditionalFormatting sqref="K1511:K1524 AM1524 AM1530:AM1531 K1528:K1531 AM1542:AM1550 K1536:K1550 AM1535:AM1540">
    <cfRule type="cellIs" dxfId="395" priority="199" operator="equal">
      <formula>"seeker"</formula>
    </cfRule>
    <cfRule type="cellIs" dxfId="394" priority="200" operator="equal">
      <formula>"neutral"</formula>
    </cfRule>
    <cfRule type="cellIs" dxfId="393" priority="201" operator="equal">
      <formula>"rogue"</formula>
    </cfRule>
    <cfRule type="cellIs" dxfId="392" priority="202" operator="equal">
      <formula>"Guardian"</formula>
    </cfRule>
    <cfRule type="cellIs" dxfId="391" priority="203" operator="equal">
      <formula>"Survivor"</formula>
    </cfRule>
    <cfRule type="cellIs" dxfId="390" priority="204" operator="equal">
      <formula>"Mystic"</formula>
    </cfRule>
  </conditionalFormatting>
  <conditionalFormatting sqref="AL1515:AL1521">
    <cfRule type="cellIs" dxfId="383" priority="193" operator="equal">
      <formula>"Seeker"</formula>
    </cfRule>
    <cfRule type="cellIs" dxfId="382" priority="194" operator="equal">
      <formula>"Neutral"</formula>
    </cfRule>
    <cfRule type="cellIs" dxfId="381" priority="195" operator="equal">
      <formula>"Rogue"</formula>
    </cfRule>
    <cfRule type="cellIs" dxfId="380" priority="196" operator="equal">
      <formula>"Guardian"</formula>
    </cfRule>
    <cfRule type="cellIs" dxfId="379" priority="197" operator="equal">
      <formula>"Survivor"</formula>
    </cfRule>
    <cfRule type="cellIs" dxfId="378" priority="198" operator="equal">
      <formula>"Mystic"</formula>
    </cfRule>
  </conditionalFormatting>
  <conditionalFormatting sqref="AM1534">
    <cfRule type="cellIs" dxfId="371" priority="187" operator="equal">
      <formula>"seeker"</formula>
    </cfRule>
    <cfRule type="cellIs" dxfId="370" priority="188" operator="equal">
      <formula>"neutral"</formula>
    </cfRule>
    <cfRule type="cellIs" dxfId="369" priority="189" operator="equal">
      <formula>"rogue"</formula>
    </cfRule>
    <cfRule type="cellIs" dxfId="368" priority="190" operator="equal">
      <formula>"Guardian"</formula>
    </cfRule>
    <cfRule type="cellIs" dxfId="367" priority="191" operator="equal">
      <formula>"Survivor"</formula>
    </cfRule>
    <cfRule type="cellIs" dxfId="366" priority="192" operator="equal">
      <formula>"Mystic"</formula>
    </cfRule>
  </conditionalFormatting>
  <conditionalFormatting sqref="K1510">
    <cfRule type="cellIs" dxfId="359" priority="181" operator="equal">
      <formula>"Seeker"</formula>
    </cfRule>
    <cfRule type="cellIs" dxfId="358" priority="182" operator="equal">
      <formula>"Neutral"</formula>
    </cfRule>
    <cfRule type="cellIs" dxfId="357" priority="183" operator="equal">
      <formula>"Rogue"</formula>
    </cfRule>
    <cfRule type="cellIs" dxfId="356" priority="184" operator="equal">
      <formula>"Guardian"</formula>
    </cfRule>
    <cfRule type="cellIs" dxfId="355" priority="185" operator="equal">
      <formula>"Survivor"</formula>
    </cfRule>
    <cfRule type="cellIs" dxfId="354" priority="186" operator="equal">
      <formula>"Mystic"</formula>
    </cfRule>
  </conditionalFormatting>
  <conditionalFormatting sqref="AM1511:AM1514">
    <cfRule type="cellIs" dxfId="347" priority="175" operator="equal">
      <formula>"seeker"</formula>
    </cfRule>
    <cfRule type="cellIs" dxfId="346" priority="176" operator="equal">
      <formula>"neutral"</formula>
    </cfRule>
    <cfRule type="cellIs" dxfId="345" priority="177" operator="equal">
      <formula>"rogue"</formula>
    </cfRule>
    <cfRule type="cellIs" dxfId="344" priority="178" operator="equal">
      <formula>"Guardian"</formula>
    </cfRule>
    <cfRule type="cellIs" dxfId="343" priority="179" operator="equal">
      <formula>"Survivor"</formula>
    </cfRule>
    <cfRule type="cellIs" dxfId="342" priority="180" operator="equal">
      <formula>"Mystic"</formula>
    </cfRule>
  </conditionalFormatting>
  <conditionalFormatting sqref="AM1510">
    <cfRule type="cellIs" dxfId="335" priority="169" operator="equal">
      <formula>"Seeker"</formula>
    </cfRule>
    <cfRule type="cellIs" dxfId="334" priority="170" operator="equal">
      <formula>"Neutral"</formula>
    </cfRule>
    <cfRule type="cellIs" dxfId="333" priority="171" operator="equal">
      <formula>"Rogue"</formula>
    </cfRule>
    <cfRule type="cellIs" dxfId="332" priority="172" operator="equal">
      <formula>"Guardian"</formula>
    </cfRule>
    <cfRule type="cellIs" dxfId="331" priority="173" operator="equal">
      <formula>"Survivor"</formula>
    </cfRule>
    <cfRule type="cellIs" dxfId="330" priority="174" operator="equal">
      <formula>"Mystic"</formula>
    </cfRule>
  </conditionalFormatting>
  <conditionalFormatting sqref="K1525">
    <cfRule type="cellIs" dxfId="323" priority="163" operator="equal">
      <formula>"Seeker"</formula>
    </cfRule>
    <cfRule type="cellIs" dxfId="322" priority="164" operator="equal">
      <formula>"Neutral"</formula>
    </cfRule>
    <cfRule type="cellIs" dxfId="321" priority="165" operator="equal">
      <formula>"Rogue"</formula>
    </cfRule>
    <cfRule type="cellIs" dxfId="320" priority="166" operator="equal">
      <formula>"Guardian"</formula>
    </cfRule>
    <cfRule type="cellIs" dxfId="319" priority="167" operator="equal">
      <formula>"Survivor"</formula>
    </cfRule>
    <cfRule type="cellIs" dxfId="318" priority="168" operator="equal">
      <formula>"Mystic"</formula>
    </cfRule>
  </conditionalFormatting>
  <conditionalFormatting sqref="AM1525">
    <cfRule type="cellIs" dxfId="311" priority="157" operator="equal">
      <formula>"Seeker"</formula>
    </cfRule>
    <cfRule type="cellIs" dxfId="310" priority="158" operator="equal">
      <formula>"Neutral"</formula>
    </cfRule>
    <cfRule type="cellIs" dxfId="309" priority="159" operator="equal">
      <formula>"Rogue"</formula>
    </cfRule>
    <cfRule type="cellIs" dxfId="308" priority="160" operator="equal">
      <formula>"Guardian"</formula>
    </cfRule>
    <cfRule type="cellIs" dxfId="307" priority="161" operator="equal">
      <formula>"Survivor"</formula>
    </cfRule>
    <cfRule type="cellIs" dxfId="306" priority="162" operator="equal">
      <formula>"Mystic"</formula>
    </cfRule>
  </conditionalFormatting>
  <conditionalFormatting sqref="K1526">
    <cfRule type="cellIs" dxfId="299" priority="151" operator="equal">
      <formula>"Seeker"</formula>
    </cfRule>
    <cfRule type="cellIs" dxfId="298" priority="152" operator="equal">
      <formula>"Neutral"</formula>
    </cfRule>
    <cfRule type="cellIs" dxfId="297" priority="153" operator="equal">
      <formula>"Rogue"</formula>
    </cfRule>
    <cfRule type="cellIs" dxfId="296" priority="154" operator="equal">
      <formula>"Guardian"</formula>
    </cfRule>
    <cfRule type="cellIs" dxfId="295" priority="155" operator="equal">
      <formula>"Survivor"</formula>
    </cfRule>
    <cfRule type="cellIs" dxfId="294" priority="156" operator="equal">
      <formula>"Mystic"</formula>
    </cfRule>
  </conditionalFormatting>
  <conditionalFormatting sqref="K1527">
    <cfRule type="cellIs" dxfId="287" priority="145" operator="equal">
      <formula>"Seeker"</formula>
    </cfRule>
    <cfRule type="cellIs" dxfId="286" priority="146" operator="equal">
      <formula>"Neutral"</formula>
    </cfRule>
    <cfRule type="cellIs" dxfId="285" priority="147" operator="equal">
      <formula>"Rogue"</formula>
    </cfRule>
    <cfRule type="cellIs" dxfId="284" priority="148" operator="equal">
      <formula>"Guardian"</formula>
    </cfRule>
    <cfRule type="cellIs" dxfId="283" priority="149" operator="equal">
      <formula>"Survivor"</formula>
    </cfRule>
    <cfRule type="cellIs" dxfId="282" priority="150" operator="equal">
      <formula>"Mystic"</formula>
    </cfRule>
  </conditionalFormatting>
  <conditionalFormatting sqref="K1532">
    <cfRule type="cellIs" dxfId="275" priority="139" operator="equal">
      <formula>"seeker"</formula>
    </cfRule>
    <cfRule type="cellIs" dxfId="274" priority="140" operator="equal">
      <formula>"neutral"</formula>
    </cfRule>
    <cfRule type="cellIs" dxfId="273" priority="141" operator="equal">
      <formula>"rogue"</formula>
    </cfRule>
    <cfRule type="cellIs" dxfId="272" priority="142" operator="equal">
      <formula>"Guardian"</formula>
    </cfRule>
    <cfRule type="cellIs" dxfId="271" priority="143" operator="equal">
      <formula>"Survivor"</formula>
    </cfRule>
    <cfRule type="cellIs" dxfId="270" priority="144" operator="equal">
      <formula>"Mystic"</formula>
    </cfRule>
  </conditionalFormatting>
  <conditionalFormatting sqref="AM1532">
    <cfRule type="cellIs" dxfId="263" priority="133" operator="equal">
      <formula>"seeker"</formula>
    </cfRule>
    <cfRule type="cellIs" dxfId="262" priority="134" operator="equal">
      <formula>"neutral"</formula>
    </cfRule>
    <cfRule type="cellIs" dxfId="261" priority="135" operator="equal">
      <formula>"rogue"</formula>
    </cfRule>
    <cfRule type="cellIs" dxfId="260" priority="136" operator="equal">
      <formula>"Guardian"</formula>
    </cfRule>
    <cfRule type="cellIs" dxfId="259" priority="137" operator="equal">
      <formula>"Survivor"</formula>
    </cfRule>
    <cfRule type="cellIs" dxfId="258" priority="138" operator="equal">
      <formula>"Mystic"</formula>
    </cfRule>
  </conditionalFormatting>
  <conditionalFormatting sqref="K1533">
    <cfRule type="cellIs" dxfId="251" priority="127" operator="equal">
      <formula>"seeker"</formula>
    </cfRule>
    <cfRule type="cellIs" dxfId="250" priority="128" operator="equal">
      <formula>"neutral"</formula>
    </cfRule>
    <cfRule type="cellIs" dxfId="249" priority="129" operator="equal">
      <formula>"rogue"</formula>
    </cfRule>
    <cfRule type="cellIs" dxfId="248" priority="130" operator="equal">
      <formula>"Guardian"</formula>
    </cfRule>
    <cfRule type="cellIs" dxfId="247" priority="131" operator="equal">
      <formula>"Survivor"</formula>
    </cfRule>
    <cfRule type="cellIs" dxfId="246" priority="132" operator="equal">
      <formula>"Mystic"</formula>
    </cfRule>
  </conditionalFormatting>
  <conditionalFormatting sqref="AM1533">
    <cfRule type="cellIs" dxfId="239" priority="121" operator="equal">
      <formula>"seeker"</formula>
    </cfRule>
    <cfRule type="cellIs" dxfId="238" priority="122" operator="equal">
      <formula>"neutral"</formula>
    </cfRule>
    <cfRule type="cellIs" dxfId="237" priority="123" operator="equal">
      <formula>"rogue"</formula>
    </cfRule>
    <cfRule type="cellIs" dxfId="236" priority="124" operator="equal">
      <formula>"Guardian"</formula>
    </cfRule>
    <cfRule type="cellIs" dxfId="235" priority="125" operator="equal">
      <formula>"Survivor"</formula>
    </cfRule>
    <cfRule type="cellIs" dxfId="234" priority="126" operator="equal">
      <formula>"Mystic"</formula>
    </cfRule>
  </conditionalFormatting>
  <conditionalFormatting sqref="K1534">
    <cfRule type="cellIs" dxfId="227" priority="115" operator="equal">
      <formula>"seeker"</formula>
    </cfRule>
    <cfRule type="cellIs" dxfId="226" priority="116" operator="equal">
      <formula>"neutral"</formula>
    </cfRule>
    <cfRule type="cellIs" dxfId="225" priority="117" operator="equal">
      <formula>"rogue"</formula>
    </cfRule>
    <cfRule type="cellIs" dxfId="224" priority="118" operator="equal">
      <formula>"Guardian"</formula>
    </cfRule>
    <cfRule type="cellIs" dxfId="223" priority="119" operator="equal">
      <formula>"Survivor"</formula>
    </cfRule>
    <cfRule type="cellIs" dxfId="222" priority="120" operator="equal">
      <formula>"Mystic"</formula>
    </cfRule>
  </conditionalFormatting>
  <conditionalFormatting sqref="K1535">
    <cfRule type="cellIs" dxfId="215" priority="109" operator="equal">
      <formula>"seeker"</formula>
    </cfRule>
    <cfRule type="cellIs" dxfId="214" priority="110" operator="equal">
      <formula>"neutral"</formula>
    </cfRule>
    <cfRule type="cellIs" dxfId="213" priority="111" operator="equal">
      <formula>"rogue"</formula>
    </cfRule>
    <cfRule type="cellIs" dxfId="212" priority="112" operator="equal">
      <formula>"Guardian"</formula>
    </cfRule>
    <cfRule type="cellIs" dxfId="211" priority="113" operator="equal">
      <formula>"Survivor"</formula>
    </cfRule>
    <cfRule type="cellIs" dxfId="210" priority="114" operator="equal">
      <formula>"Mystic"</formula>
    </cfRule>
  </conditionalFormatting>
  <conditionalFormatting sqref="AM1541">
    <cfRule type="cellIs" dxfId="203" priority="103" operator="equal">
      <formula>"seeker"</formula>
    </cfRule>
    <cfRule type="cellIs" dxfId="202" priority="104" operator="equal">
      <formula>"neutral"</formula>
    </cfRule>
    <cfRule type="cellIs" dxfId="201" priority="105" operator="equal">
      <formula>"rogue"</formula>
    </cfRule>
    <cfRule type="cellIs" dxfId="200" priority="106" operator="equal">
      <formula>"Guardian"</formula>
    </cfRule>
    <cfRule type="cellIs" dxfId="199" priority="107" operator="equal">
      <formula>"Survivor"</formula>
    </cfRule>
    <cfRule type="cellIs" dxfId="198" priority="108" operator="equal">
      <formula>"Mystic"</formula>
    </cfRule>
  </conditionalFormatting>
  <conditionalFormatting sqref="AL1551">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AM1529">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AM1621:AM1624">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AM1620">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1621:K1624">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K1620">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K1625">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AM1625">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AM1626">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AM1627">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AM1628">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M1629">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K1626">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K1627">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K1628">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K1629">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2019-03-13T21:29:02Z</dcterms:modified>
</cp:coreProperties>
</file>