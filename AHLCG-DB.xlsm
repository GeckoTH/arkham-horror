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20" windowWidth="20175" windowHeight="1170"/>
  </bookViews>
  <sheets>
    <sheet name="Sets" sheetId="2" r:id="rId1"/>
    <sheet name="Card Data" sheetId="1" r:id="rId2"/>
    <sheet name="Special Characters" sheetId="7" r:id="rId3"/>
    <sheet name="Tables" sheetId="4" state="hidden" r:id="rId4"/>
    <sheet name="Sheet2" sheetId="6" state="hidden" r:id="rId5"/>
  </sheets>
  <functionGroups builtInGroupCount="17"/>
  <definedNames>
    <definedName name="_xlnm._FilterDatabase" localSheetId="1" hidden="1">'Card Data'!$A$1:$BH$5</definedName>
    <definedName name="GameGUID">Sets!$A$2</definedName>
    <definedName name="GameVersion">Sets!$C$2</definedName>
    <definedName name="SymbolTable">Tables!$C$1:$D$11</definedName>
    <definedName name="UseSymbols">#REF!</definedName>
    <definedName name="YesNo">Tables!$A$1:$A$2</definedName>
  </definedNames>
  <calcPr calcId="145621" calcMode="manual"/>
</workbook>
</file>

<file path=xl/calcChain.xml><?xml version="1.0" encoding="utf-8"?>
<calcChain xmlns="http://schemas.openxmlformats.org/spreadsheetml/2006/main">
  <c r="AA27" i="2" l="1"/>
  <c r="Z27" i="2"/>
  <c r="Y27" i="2"/>
  <c r="X27" i="2"/>
  <c r="W27" i="2"/>
  <c r="V27" i="2"/>
  <c r="S27" i="2"/>
  <c r="T27" i="2"/>
  <c r="R27" i="2"/>
  <c r="Q27" i="2"/>
  <c r="P27" i="2"/>
  <c r="O27" i="2"/>
  <c r="N27" i="2"/>
  <c r="L27" i="2"/>
  <c r="K27" i="2"/>
  <c r="J27" i="2"/>
  <c r="I27" i="2" s="1"/>
  <c r="H27" i="2"/>
  <c r="G27" i="2"/>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<sst xmlns="http://schemas.openxmlformats.org/spreadsheetml/2006/main" count="14653" uniqueCount="5088">
  <si>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</si>
  <si>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</si>
  <si>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</si>
  <si>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</si>
  <si>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</si>
  <si>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</si>
  <si>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</si>
  <si>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</si>
  <si>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</si>
  <si>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</si>
  <si>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</si>
  <si>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</si>
  <si>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</si>
  <si>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</si>
  <si>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</si>
  <si>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</si>
  <si>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</si>
  <si>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</si>
  <si>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</si>
  <si>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</si>
  <si>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</si>
  <si>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</si>
  <si>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</si>
  <si>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</si>
  <si>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</si>
  <si>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</si>
  <si>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</si>
  <si>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</si>
  <si>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</si>
  <si>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</si>
  <si>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</si>
  <si>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</si>
  <si>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</si>
  <si>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</si>
  <si>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</si>
  <si>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</si>
  <si>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</si>
  <si>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</si>
  <si>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</si>
  <si>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</si>
  <si>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</si>
  <si>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</si>
  <si>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</si>
  <si>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</si>
  <si>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</si>
  <si>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</si>
  <si>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</si>
  <si>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</si>
  <si>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</si>
  <si>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</si>
  <si>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</si>
  <si>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</si>
  <si>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</si>
  <si>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</si>
  <si>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</si>
  <si>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</si>
  <si>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</si>
  <si>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</si>
  <si>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</si>
  <si>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</si>
  <si>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</si>
  <si>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</si>
  <si>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</si>
  <si>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</si>
  <si>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</si>
  <si>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</si>
  <si>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</si>
  <si>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</si>
  <si>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</si>
  <si>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</si>
  <si>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</si>
  <si>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</si>
  <si>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</si>
  <si>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</si>
  <si>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</si>
  <si>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</si>
  <si>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</si>
  <si>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</si>
  <si>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</si>
  <si>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</si>
  <si>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</si>
  <si>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</si>
  <si>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</si>
  <si>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</si>
  <si>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</si>
  <si>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</si>
  <si>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</si>
  <si>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</si>
  <si>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</si>
  <si>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</si>
  <si>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</si>
  <si>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</si>
  <si>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</si>
  <si>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</si>
  <si>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</si>
  <si>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</si>
  <si>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</si>
  <si>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</si>
  <si>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</si>
  <si>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</si>
  <si>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</si>
  <si>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</si>
  <si>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</si>
  <si>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</si>
  <si>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</si>
  <si>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</si>
  <si>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</si>
  <si>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</si>
  <si>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</si>
  <si>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</si>
  <si>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</si>
  <si>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</si>
  <si>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</si>
  <si>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</si>
  <si>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</si>
  <si>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</si>
  <si>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</si>
  <si>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</si>
  <si>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</si>
  <si>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</si>
  <si>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</si>
  <si>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</si>
  <si>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</si>
  <si>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</si>
  <si>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</si>
  <si>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</si>
  <si>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</si>
  <si>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</si>
  <si>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</si>
  <si>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</si>
  <si>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</si>
  <si>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</si>
  <si>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</si>
  <si>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</si>
  <si>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</si>
  <si>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</si>
  <si>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</si>
  <si>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</si>
  <si>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</si>
  <si>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</si>
  <si>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</si>
  <si>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</si>
  <si>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</si>
  <si>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</si>
  <si>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</si>
  <si>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</si>
  <si>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</si>
  <si>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Damage</t>
  </si>
  <si>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</si>
  <si>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</si>
  <si>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</si>
  <si>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</si>
  <si>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</si>
  <si>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</si>
  <si>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</si>
  <si>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</si>
  <si>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</si>
  <si>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</si>
  <si>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</si>
  <si>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</si>
  <si>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</si>
  <si>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</si>
  <si>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</si>
  <si>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</si>
  <si>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</si>
  <si>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</si>
  <si>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</si>
  <si>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</si>
  <si>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</si>
  <si>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</si>
  <si>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</si>
  <si>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</si>
  <si>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</si>
  <si>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</si>
  <si>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t>1.0.0</t>
  </si>
  <si>
    <t>Card Counts (with quantities)</t>
  </si>
  <si>
    <t>TOTAL CARDS</t>
  </si>
  <si>
    <t>Player Cards</t>
  </si>
  <si>
    <t>Encounter Cards</t>
  </si>
  <si>
    <t>Combat</t>
  </si>
  <si>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</si>
  <si>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</si>
  <si>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</si>
  <si>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</si>
  <si>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</si>
  <si>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</si>
  <si>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</si>
  <si>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</si>
  <si>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</si>
  <si>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</si>
  <si>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</si>
  <si>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</si>
  <si>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</si>
  <si>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</si>
  <si>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</si>
  <si>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</si>
  <si>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</si>
  <si>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</si>
  <si>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</si>
  <si>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</si>
  <si>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</si>
  <si>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</si>
  <si>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</si>
  <si>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</si>
  <si>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</si>
  <si>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</si>
  <si>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</si>
  <si>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</si>
  <si>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</si>
  <si>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</si>
  <si>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</si>
  <si>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</si>
  <si>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</si>
  <si>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</si>
  <si>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</si>
  <si>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</si>
  <si>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</si>
  <si>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</si>
  <si>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</si>
  <si>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</si>
  <si>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</si>
  <si>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</si>
  <si>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</si>
  <si>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</si>
  <si>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</si>
  <si>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</si>
  <si>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</si>
  <si>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</si>
  <si>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</si>
  <si>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</si>
  <si>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</si>
  <si>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</si>
  <si>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</si>
  <si>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</si>
  <si>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</si>
  <si>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</si>
  <si>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</si>
  <si>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</si>
  <si>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</si>
  <si>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</si>
  <si>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</si>
  <si>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</si>
  <si>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</si>
  <si>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</si>
  <si>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</si>
  <si>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</si>
  <si>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</si>
  <si>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</si>
  <si>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</si>
  <si>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</si>
  <si>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</si>
  <si>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</si>
  <si>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</si>
  <si>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</si>
  <si>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</si>
  <si>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</si>
  <si>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</si>
  <si>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</si>
  <si>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</si>
  <si>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</si>
  <si>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</si>
  <si>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</si>
  <si>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</si>
  <si>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</si>
  <si>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</si>
  <si>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</si>
  <si>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</si>
  <si>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</si>
  <si>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</si>
  <si>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</si>
  <si>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</si>
  <si>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</si>
  <si>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</si>
  <si>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</si>
  <si>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</si>
  <si>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</si>
  <si>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</si>
  <si>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</si>
  <si>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</si>
  <si>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</si>
  <si>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</si>
  <si>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</si>
  <si>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</si>
  <si>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</si>
  <si>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</si>
  <si>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</si>
  <si>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</si>
  <si>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</si>
  <si>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</si>
  <si>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</si>
  <si>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</si>
  <si>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</si>
  <si>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</si>
  <si>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</si>
  <si>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</si>
  <si>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</si>
  <si>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</si>
  <si>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</si>
  <si>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</si>
  <si>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</si>
  <si>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</si>
  <si>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</si>
  <si>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</si>
  <si>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</si>
  <si>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</si>
  <si>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</si>
  <si>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</si>
  <si>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</si>
  <si>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</si>
  <si>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</si>
  <si>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</si>
  <si>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</si>
  <si>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</si>
  <si>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</si>
  <si>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</si>
  <si>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</si>
  <si>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</si>
  <si>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</si>
  <si>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</si>
  <si>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</si>
  <si>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</si>
  <si>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</si>
  <si>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</si>
  <si>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</si>
  <si>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</si>
  <si>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</si>
  <si>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</si>
  <si>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</si>
  <si>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</si>
  <si>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</si>
  <si>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</si>
  <si>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</si>
  <si>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</si>
  <si>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</si>
  <si>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</si>
  <si>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</si>
  <si>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</si>
  <si>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</si>
  <si>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</si>
  <si>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</si>
  <si>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</si>
  <si>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</si>
  <si>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</si>
  <si>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</si>
  <si>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</si>
  <si>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</si>
  <si>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</si>
  <si>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</si>
  <si>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</si>
  <si>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</si>
  <si>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</si>
  <si>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</si>
  <si>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</si>
  <si>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</si>
  <si>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</si>
  <si>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</si>
  <si>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</si>
  <si>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</si>
  <si>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</si>
  <si>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</si>
  <si>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</si>
  <si>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</si>
  <si>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</si>
  <si>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</si>
  <si>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</si>
  <si>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</si>
  <si>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</si>
  <si>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</si>
  <si>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</si>
  <si>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</si>
  <si>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</si>
  <si>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</si>
  <si>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</si>
  <si>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</si>
  <si>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</si>
  <si>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</si>
  <si>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</si>
  <si>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</si>
  <si>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</si>
  <si>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</si>
  <si>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</si>
  <si>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</si>
  <si>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</si>
  <si>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</si>
  <si>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</si>
  <si>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</si>
  <si>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</si>
  <si>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</si>
  <si>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</si>
  <si>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</si>
  <si>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</si>
  <si>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</si>
  <si>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</si>
  <si>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</si>
  <si>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</si>
  <si>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</si>
  <si>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</si>
  <si>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</si>
  <si>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</si>
  <si>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</si>
  <si>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</si>
  <si>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</si>
  <si>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</si>
  <si>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</si>
  <si>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</si>
  <si>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</si>
  <si>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</si>
  <si>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</si>
  <si>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</si>
  <si>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</si>
  <si>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</si>
  <si>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</si>
  <si>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</si>
  <si>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</si>
  <si>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</si>
  <si>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</si>
  <si>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</si>
  <si>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</si>
  <si>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</si>
  <si>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</si>
  <si>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</si>
  <si>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</si>
  <si>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</si>
  <si>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</si>
  <si>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</si>
  <si>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</si>
  <si>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</si>
  <si>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</si>
  <si>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</si>
  <si>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</si>
  <si>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</si>
  <si>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</si>
  <si>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</si>
  <si>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</si>
  <si>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</si>
  <si>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</si>
  <si>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</si>
  <si>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</si>
  <si>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</si>
  <si>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</si>
  <si>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</si>
  <si>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</si>
  <si>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</si>
  <si>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</si>
  <si>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</si>
  <si>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</si>
  <si>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</si>
  <si>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</si>
  <si>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</si>
  <si>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</si>
  <si>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</si>
  <si>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</si>
  <si>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</si>
  <si>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</si>
  <si>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</si>
  <si>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</si>
  <si>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</si>
  <si>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</si>
  <si>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</si>
  <si>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</si>
  <si>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</si>
  <si>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</si>
  <si>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</si>
  <si>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</si>
  <si>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</si>
  <si>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</si>
  <si>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</si>
  <si>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</si>
  <si>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</si>
  <si>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</si>
  <si>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</si>
  <si>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</si>
  <si>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</si>
  <si>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</si>
  <si>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</si>
  <si>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</si>
  <si>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</si>
  <si>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</si>
  <si>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</si>
  <si>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</si>
  <si>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</si>
  <si>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</si>
  <si>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</si>
  <si>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</si>
  <si>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</si>
  <si>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</si>
  <si>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</si>
  <si>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</si>
  <si>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</si>
  <si>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</si>
  <si>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</si>
  <si>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</si>
  <si>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</si>
  <si>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</si>
  <si>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</si>
  <si>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</si>
  <si>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</si>
  <si>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</si>
  <si>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</si>
  <si>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</si>
  <si>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</si>
  <si>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</si>
  <si>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</si>
  <si>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</si>
  <si>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</si>
  <si>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</si>
  <si>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</si>
  <si>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</si>
  <si>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</si>
  <si>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</si>
  <si>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</si>
  <si>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</si>
  <si>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</si>
  <si>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</si>
  <si>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</si>
  <si>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</si>
  <si>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</si>
  <si>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</si>
  <si>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</si>
  <si>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</si>
  <si>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</si>
  <si>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</si>
  <si>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</si>
  <si>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</si>
  <si>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</si>
  <si>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</si>
  <si>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</si>
  <si>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</si>
  <si>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</si>
  <si>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</si>
  <si>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</si>
  <si>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</si>
  <si>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</si>
  <si>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</si>
  <si>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</si>
  <si>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</si>
  <si>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</si>
  <si>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</si>
  <si>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</si>
  <si>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</si>
  <si>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</si>
  <si>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</si>
  <si>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</si>
  <si>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</si>
  <si>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</si>
  <si>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</si>
  <si>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</si>
  <si>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</si>
  <si>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</si>
  <si>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</si>
  <si>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</si>
  <si>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</si>
  <si>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</si>
  <si>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</si>
  <si>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</si>
  <si>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</si>
  <si>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</si>
  <si>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</si>
  <si>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</si>
  <si>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</si>
  <si>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</si>
  <si>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</si>
  <si>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</si>
  <si>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</si>
  <si>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</si>
  <si>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</si>
  <si>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</si>
  <si>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</si>
  <si>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</si>
  <si>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</si>
  <si>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</si>
  <si>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</si>
  <si>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</si>
  <si>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</si>
  <si>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</si>
  <si>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</si>
  <si>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</si>
  <si>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</si>
  <si>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</si>
  <si>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</si>
  <si>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</si>
  <si>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</si>
  <si>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</si>
  <si>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</si>
  <si>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</si>
  <si>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</si>
  <si>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</si>
  <si>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</si>
  <si>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</si>
  <si>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</si>
  <si>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</si>
  <si>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</si>
  <si>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</si>
  <si>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</si>
  <si>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</si>
  <si>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</si>
  <si>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</si>
  <si>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</si>
  <si>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</si>
  <si>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</si>
  <si>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</si>
  <si>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</si>
  <si>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</si>
  <si>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</si>
  <si>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</si>
  <si>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</si>
  <si>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</si>
  <si>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</si>
  <si>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</si>
  <si>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</si>
  <si>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</si>
  <si>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</si>
  <si>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</si>
  <si>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</si>
  <si>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</si>
  <si>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</si>
  <si>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</si>
  <si>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</si>
  <si>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</si>
  <si>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</si>
  <si>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</si>
  <si>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</si>
  <si>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</si>
  <si>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</si>
  <si>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</si>
  <si>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</si>
  <si>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</si>
  <si>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</si>
  <si>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</si>
  <si>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</si>
  <si>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</si>
  <si>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</si>
  <si>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</si>
  <si>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</si>
  <si>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</si>
  <si>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</si>
  <si>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</si>
  <si>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</si>
  <si>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</si>
  <si>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</si>
  <si>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</si>
  <si>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</si>
  <si>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</si>
  <si>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</si>
  <si>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</si>
  <si>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</si>
  <si>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</si>
  <si>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</si>
  <si>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</si>
  <si>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</si>
  <si>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</si>
  <si>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</si>
  <si>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</si>
  <si>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</si>
  <si>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</si>
  <si>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</si>
  <si>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</si>
  <si>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</si>
  <si>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</si>
  <si>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</si>
  <si>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</si>
  <si>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</si>
  <si>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</si>
  <si>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</si>
  <si>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</si>
  <si>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</si>
  <si>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</si>
  <si>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</si>
  <si>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</si>
  <si>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</si>
  <si>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</si>
  <si>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</si>
  <si>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</si>
  <si>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</si>
  <si>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</si>
  <si>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</si>
  <si>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</si>
  <si>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</si>
  <si>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</si>
  <si>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</si>
  <si>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</si>
  <si>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</si>
  <si>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</si>
  <si>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</si>
  <si>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</si>
  <si>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</si>
  <si>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</si>
  <si>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</si>
  <si>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</si>
  <si>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</si>
  <si>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</si>
  <si>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</si>
  <si>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</si>
  <si>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</si>
  <si>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</si>
  <si>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</si>
  <si>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</si>
  <si>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</si>
  <si>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</si>
  <si>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</si>
  <si>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</si>
  <si>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</si>
  <si>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</si>
  <si>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</si>
  <si>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</si>
  <si>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</si>
  <si>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</si>
  <si>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</si>
  <si>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</si>
  <si>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</si>
  <si>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</si>
  <si>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</si>
  <si>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</si>
  <si>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</si>
  <si>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</si>
  <si>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</si>
  <si>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</si>
  <si>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</si>
  <si>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</si>
  <si>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</si>
  <si>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</si>
  <si>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</si>
  <si>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</si>
  <si>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</si>
  <si>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</si>
  <si>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</si>
  <si>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</si>
  <si>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</si>
  <si>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</si>
  <si>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</si>
  <si>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</si>
  <si>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</si>
  <si>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</si>
  <si>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</si>
  <si>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</si>
  <si>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</si>
  <si>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</si>
  <si>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</si>
  <si>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</si>
  <si>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</si>
  <si>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</si>
  <si>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</si>
  <si>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</si>
  <si>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</si>
  <si>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</si>
  <si>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</si>
  <si>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</si>
  <si>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</si>
  <si>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</si>
  <si>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</si>
  <si>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</si>
  <si>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</si>
  <si>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</si>
  <si>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</si>
  <si>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</si>
  <si>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</si>
  <si>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</si>
  <si>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</si>
  <si>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</si>
  <si>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</si>
  <si>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</si>
  <si>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</si>
  <si>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</si>
  <si>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</si>
  <si>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</si>
  <si>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</si>
  <si>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</si>
  <si>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</si>
  <si>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</si>
  <si>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</si>
  <si>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</si>
  <si>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</si>
  <si>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</si>
  <si>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</si>
  <si>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</si>
  <si>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</si>
  <si>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</si>
  <si>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</si>
  <si>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</si>
  <si>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</si>
  <si>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</si>
  <si>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</si>
  <si>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</si>
  <si>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</si>
  <si>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</si>
  <si>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</si>
  <si>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</si>
  <si>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</si>
  <si>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</si>
  <si>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</si>
  <si>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</si>
  <si>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</si>
  <si>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</si>
  <si>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</si>
  <si>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</si>
  <si>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</si>
  <si>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</si>
  <si>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</si>
  <si>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</si>
  <si>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</si>
  <si>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</si>
  <si>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</si>
  <si>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</si>
  <si>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</si>
  <si>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</si>
  <si>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</si>
  <si>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</si>
  <si>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</si>
  <si>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</si>
  <si>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</si>
  <si>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</si>
  <si>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</si>
  <si>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</si>
  <si>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</si>
  <si>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</si>
  <si>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</si>
  <si>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</si>
  <si>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</si>
  <si>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</si>
  <si>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</si>
  <si>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</si>
  <si>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</si>
  <si>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</si>
  <si>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</si>
  <si>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</si>
  <si>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</si>
  <si>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</si>
  <si>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</si>
  <si>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</si>
  <si>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</si>
  <si>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</si>
  <si>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</si>
  <si>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</si>
  <si>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</si>
  <si>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</si>
  <si>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</si>
  <si>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</si>
  <si>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</si>
  <si>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</si>
  <si>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</si>
  <si>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</si>
  <si>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</si>
  <si>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</si>
  <si>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</si>
  <si>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</si>
  <si>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</si>
  <si>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</si>
  <si>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</si>
  <si>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</si>
  <si>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</si>
  <si>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</si>
  <si>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</si>
  <si>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</si>
  <si>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</si>
  <si>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</si>
  <si>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</si>
  <si>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</si>
  <si>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</si>
  <si>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</si>
  <si>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</si>
  <si>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</si>
  <si>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</si>
  <si>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</si>
  <si>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</si>
  <si>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</si>
  <si>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</si>
  <si>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</si>
  <si>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</si>
  <si>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</si>
  <si>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</si>
  <si>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</si>
  <si>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</si>
  <si>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</si>
  <si>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</si>
  <si>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</si>
  <si>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</si>
  <si>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</si>
  <si>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</si>
  <si>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</si>
  <si>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</si>
  <si>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</si>
  <si>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</si>
  <si>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</si>
  <si>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</si>
  <si>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</si>
  <si>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</si>
  <si>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</si>
  <si>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</si>
  <si>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</si>
  <si>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</si>
  <si>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</si>
  <si>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</si>
  <si>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</si>
  <si>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</si>
  <si>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</si>
  <si>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</si>
  <si>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</si>
  <si>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</si>
  <si>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</si>
  <si>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</si>
  <si>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</si>
  <si>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</si>
  <si>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</si>
  <si>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</si>
  <si>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</si>
  <si>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</si>
  <si>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</si>
  <si>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</si>
  <si>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</si>
  <si>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</si>
  <si>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</si>
  <si>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</si>
  <si>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</si>
  <si>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</si>
  <si>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</si>
  <si>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</si>
  <si>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</si>
  <si>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</si>
  <si>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</si>
  <si>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</si>
  <si>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</si>
  <si>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</si>
  <si>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</si>
  <si>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</si>
  <si>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</si>
  <si>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</si>
  <si>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</si>
  <si>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</si>
  <si>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</si>
  <si>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</si>
  <si>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</si>
  <si>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</si>
  <si>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</si>
  <si>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</si>
  <si>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</si>
  <si>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</si>
  <si>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</si>
  <si>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</si>
  <si>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</si>
  <si>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</si>
  <si>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</si>
  <si>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</si>
  <si>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</si>
  <si>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</si>
  <si>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</si>
  <si>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</si>
  <si>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</si>
  <si>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</si>
  <si>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</si>
  <si>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</si>
  <si>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</si>
  <si>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</si>
  <si>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</si>
  <si>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</si>
  <si>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</si>
  <si>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</si>
  <si>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</si>
  <si>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</si>
  <si>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</si>
  <si>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</si>
  <si>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</si>
  <si>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</si>
  <si>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</si>
  <si>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</si>
  <si>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</si>
  <si>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</si>
  <si>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</si>
  <si>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</si>
  <si>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</si>
  <si>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</si>
  <si>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</si>
  <si>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</si>
  <si>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</si>
  <si>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</si>
  <si>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</si>
  <si>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</si>
  <si>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</si>
  <si>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</si>
  <si>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</si>
  <si>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</si>
  <si>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</si>
  <si>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</si>
  <si>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</si>
  <si>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</si>
  <si>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</si>
  <si>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</si>
  <si>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</si>
  <si>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</si>
  <si>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</si>
  <si>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</si>
  <si>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</si>
  <si>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</si>
  <si>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</si>
  <si>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</si>
  <si>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</si>
  <si>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</si>
  <si>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</si>
  <si>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</si>
  <si>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</si>
  <si>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</si>
  <si>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</si>
  <si>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</si>
  <si>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</si>
  <si>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</si>
  <si>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</si>
  <si>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</si>
  <si>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</si>
  <si>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</si>
  <si>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</si>
  <si>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</si>
  <si>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</si>
  <si>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</si>
  <si>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</si>
  <si>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</si>
  <si>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</si>
  <si>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</si>
  <si>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</si>
  <si>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</si>
  <si>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</si>
  <si>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</si>
  <si>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</si>
  <si>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</si>
  <si>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</si>
  <si>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</si>
  <si>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</si>
  <si>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</si>
  <si>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</si>
  <si>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</si>
  <si>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</si>
  <si>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</si>
  <si>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</si>
  <si>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</si>
  <si>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</si>
  <si>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</si>
  <si>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</si>
  <si>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</si>
  <si>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</si>
  <si>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</si>
  <si>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</si>
  <si>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</si>
  <si>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</si>
  <si>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</si>
  <si>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</si>
  <si>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</si>
  <si>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</si>
  <si>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</si>
  <si>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</si>
  <si>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</si>
  <si>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</si>
  <si>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</si>
  <si>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</si>
  <si>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</si>
  <si>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</si>
  <si>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</si>
  <si>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</si>
  <si>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</si>
  <si>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</si>
  <si>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</si>
  <si>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</si>
  <si>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</si>
  <si>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</si>
  <si>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</si>
  <si>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</si>
  <si>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</si>
  <si>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</si>
  <si>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</si>
  <si>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</si>
  <si>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</si>
  <si>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</si>
  <si>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</si>
  <si>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</si>
  <si>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</si>
  <si>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</si>
  <si>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</si>
  <si>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</si>
  <si>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</si>
  <si>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</si>
  <si>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</si>
  <si>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</si>
  <si>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</si>
  <si>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</si>
  <si>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</si>
  <si>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</si>
  <si>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</si>
  <si>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</si>
  <si>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</si>
  <si>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</si>
  <si>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</si>
  <si>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</si>
  <si>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</si>
  <si>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</si>
  <si>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</si>
  <si>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</si>
  <si>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</si>
  <si>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</si>
  <si>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</si>
  <si>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</si>
  <si>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</si>
  <si>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</si>
  <si>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</si>
  <si>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</si>
  <si>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</si>
  <si>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</si>
  <si>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</si>
  <si>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</si>
  <si>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</si>
  <si>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</si>
  <si>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</si>
  <si>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</si>
  <si>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</si>
  <si>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</si>
  <si>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</si>
  <si>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</si>
  <si>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</si>
  <si>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</si>
  <si>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</si>
  <si>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</si>
  <si>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</si>
  <si>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</si>
  <si>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</si>
  <si>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</si>
  <si>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</si>
  <si>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</si>
  <si>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</si>
  <si>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</si>
  <si>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</si>
  <si>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</si>
  <si>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</si>
  <si>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</si>
  <si>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</si>
  <si>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</si>
  <si>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</si>
  <si>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</si>
  <si>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</si>
  <si>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</si>
  <si>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</si>
  <si>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</si>
  <si>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</si>
  <si>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</si>
  <si>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</si>
  <si>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</si>
  <si>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</si>
  <si>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</si>
  <si>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</si>
  <si>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</si>
  <si>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</si>
  <si>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</si>
  <si>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</si>
  <si>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</si>
  <si>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</si>
  <si>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</si>
  <si>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</si>
  <si>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</si>
  <si>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</si>
  <si>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</si>
  <si>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</si>
  <si>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</si>
  <si>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</si>
  <si>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</si>
  <si>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</si>
  <si>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</si>
  <si>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</si>
  <si>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</si>
  <si>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</si>
  <si>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</si>
  <si>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</si>
  <si>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</si>
  <si>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</si>
  <si>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</si>
  <si>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</si>
  <si>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</si>
  <si>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</si>
  <si>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</si>
  <si>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</si>
  <si>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</si>
  <si>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</si>
  <si>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</si>
  <si>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</si>
  <si>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</si>
  <si>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</si>
  <si>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</si>
  <si>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</si>
  <si>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</si>
  <si>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</si>
  <si>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</si>
  <si>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</si>
  <si>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</si>
  <si>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</si>
  <si>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</si>
  <si>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</si>
  <si>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</si>
  <si>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</si>
  <si>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</si>
  <si>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</si>
  <si>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</si>
  <si>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</si>
  <si>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</si>
  <si>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</si>
  <si>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</si>
  <si>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</si>
  <si>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</si>
  <si>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</si>
  <si>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</si>
  <si>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</si>
  <si>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</si>
  <si>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</si>
  <si>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</si>
  <si>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</si>
  <si>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</si>
  <si>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</si>
  <si>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</si>
  <si>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</si>
  <si>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</si>
  <si>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</si>
  <si>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</si>
  <si>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</si>
  <si>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</si>
  <si>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</si>
  <si>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</si>
  <si>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</si>
  <si>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</si>
  <si>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</si>
  <si>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</si>
  <si>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</si>
  <si>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</si>
  <si>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</si>
  <si>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</si>
  <si>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</si>
  <si>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</si>
  <si>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</si>
  <si>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</si>
  <si>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</si>
  <si>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</si>
  <si>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</si>
  <si>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</si>
  <si>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</si>
  <si>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</si>
  <si>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</si>
  <si>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</si>
  <si>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</si>
  <si>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</si>
  <si>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</si>
  <si>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</si>
  <si>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</si>
  <si>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</si>
  <si>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</si>
  <si>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</si>
  <si>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</si>
  <si>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</si>
  <si>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</si>
  <si>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</si>
  <si>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</si>
  <si>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</si>
  <si>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</si>
  <si>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</si>
  <si>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</si>
  <si>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</si>
  <si>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</si>
  <si>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</si>
  <si>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</si>
  <si>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</si>
  <si>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</si>
  <si>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</si>
  <si>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</si>
  <si>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</si>
  <si>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</si>
  <si>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</si>
  <si>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</si>
  <si>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</si>
  <si>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</si>
  <si>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</si>
  <si>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</si>
  <si>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</si>
  <si>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</si>
  <si>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</si>
  <si>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</si>
  <si>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</si>
  <si>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</si>
  <si>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</si>
  <si>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</si>
  <si>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</si>
  <si>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</si>
  <si>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</si>
  <si>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</si>
  <si>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</si>
  <si>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</si>
  <si>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</si>
  <si>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</si>
  <si>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</si>
  <si>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</si>
  <si>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</si>
  <si>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</si>
  <si>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</si>
  <si>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</si>
  <si>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</si>
  <si>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</si>
  <si>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</si>
  <si>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</si>
  <si>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</si>
  <si>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</si>
  <si>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</si>
  <si>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</si>
  <si>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</si>
  <si>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</si>
  <si>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</si>
  <si>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</si>
  <si>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</si>
  <si>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</si>
  <si>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</si>
  <si>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</si>
  <si>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</si>
  <si>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</si>
  <si>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</si>
  <si>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</si>
  <si>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</si>
  <si>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</si>
  <si>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</si>
  <si>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</si>
  <si>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</si>
  <si>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</si>
  <si>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</si>
  <si>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</si>
  <si>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</si>
  <si>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</si>
  <si>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</si>
  <si>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</si>
  <si>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</si>
  <si>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</si>
  <si>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</si>
  <si>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</si>
  <si>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</si>
  <si>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</si>
  <si>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</si>
  <si>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</si>
  <si>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</si>
  <si>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</si>
  <si>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</si>
  <si>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</si>
  <si>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</si>
  <si>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</si>
  <si>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</si>
  <si>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</si>
  <si>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</si>
  <si>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</si>
  <si>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</si>
  <si>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</si>
  <si>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</si>
  <si>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</si>
  <si>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</si>
  <si>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</si>
  <si>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</si>
  <si>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</si>
  <si>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</si>
  <si>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</si>
  <si>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</si>
  <si>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</si>
  <si>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</si>
  <si>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</si>
  <si>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</si>
  <si>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</si>
  <si>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</si>
  <si>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</si>
  <si>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</si>
  <si>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</si>
  <si>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</si>
  <si>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</si>
  <si>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</si>
  <si>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</si>
  <si>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</si>
  <si>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</si>
  <si>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</si>
  <si>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</si>
  <si>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</si>
  <si>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</si>
  <si>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</si>
  <si>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</si>
  <si>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</si>
  <si>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</si>
  <si>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</si>
  <si>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</si>
  <si>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</si>
  <si>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</si>
  <si>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</si>
  <si>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</si>
  <si>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</si>
  <si>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</si>
  <si>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</si>
  <si>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</si>
  <si>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</si>
  <si>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</si>
  <si>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</si>
  <si>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</si>
  <si>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</si>
  <si>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</si>
  <si>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</si>
  <si>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</si>
  <si>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</si>
  <si>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</si>
  <si>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</si>
  <si>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</si>
  <si>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</si>
  <si>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</si>
  <si>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</si>
  <si>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</si>
  <si>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</si>
  <si>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</si>
  <si>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</si>
  <si>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</si>
  <si>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</si>
  <si>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</si>
  <si>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</si>
  <si>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</si>
  <si>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</si>
  <si>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</si>
  <si>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</si>
  <si>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</si>
  <si>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</si>
  <si>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</si>
  <si>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</si>
  <si>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</si>
  <si>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</si>
  <si>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</si>
  <si>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</si>
  <si>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</si>
  <si>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</si>
  <si>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</si>
  <si>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</si>
  <si>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</si>
  <si>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</si>
  <si>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</si>
  <si>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</si>
  <si>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</si>
  <si>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</si>
  <si>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</si>
  <si>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</si>
  <si>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</si>
  <si>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</si>
  <si>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</si>
  <si>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</si>
  <si>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</si>
  <si>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</si>
  <si>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</si>
  <si>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</si>
  <si>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</si>
  <si>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</si>
  <si>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</si>
  <si>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</si>
  <si>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</si>
  <si>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</si>
  <si>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</si>
  <si>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</si>
  <si>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</si>
  <si>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</si>
  <si>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</si>
  <si>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</si>
  <si>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</si>
  <si>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</si>
  <si>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</si>
  <si>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</si>
  <si>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</si>
  <si>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</si>
  <si>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</si>
  <si>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</si>
  <si>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</si>
  <si>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</si>
  <si>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</si>
  <si>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</si>
  <si>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</si>
  <si>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</si>
  <si>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</si>
  <si>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</si>
  <si>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</si>
  <si>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</si>
  <si>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</si>
  <si>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</si>
  <si>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</si>
  <si>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</si>
  <si>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</si>
  <si>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</si>
  <si>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</si>
  <si>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</si>
  <si>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</si>
  <si>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</si>
  <si>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</si>
  <si>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</si>
  <si>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</si>
  <si>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</si>
  <si>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</si>
  <si>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</si>
  <si>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</si>
  <si>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</si>
  <si>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</si>
  <si>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</si>
  <si>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</si>
  <si>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</si>
  <si>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</si>
  <si>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</si>
  <si>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</si>
  <si>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</si>
  <si>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</si>
  <si>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</si>
  <si>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</si>
  <si>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</si>
  <si>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</si>
  <si>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</si>
  <si>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</si>
  <si>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</si>
  <si>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</si>
  <si>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</si>
  <si>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</si>
  <si>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</si>
  <si>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</si>
  <si>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</si>
  <si>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</si>
  <si>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</si>
  <si>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</si>
  <si>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</si>
  <si>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</si>
  <si>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</si>
  <si>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</si>
  <si>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</si>
  <si>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</si>
  <si>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</si>
  <si>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</si>
  <si>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</si>
  <si>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</si>
  <si>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</si>
  <si>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</si>
  <si>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</si>
  <si>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</si>
  <si>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</si>
  <si>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</si>
  <si>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</si>
  <si>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</si>
  <si>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</si>
  <si>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</si>
  <si>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</si>
  <si>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</si>
  <si>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</si>
  <si>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</si>
  <si>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</si>
  <si>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</si>
  <si>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</si>
  <si>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</si>
  <si>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</si>
  <si>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</si>
  <si>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</si>
  <si>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</si>
  <si>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</si>
  <si>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</si>
  <si>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</si>
  <si>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</si>
  <si>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</si>
  <si>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</si>
  <si>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</si>
  <si>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</si>
  <si>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</si>
  <si>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</si>
  <si>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</si>
  <si>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</si>
  <si>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</si>
  <si>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</si>
  <si>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</si>
  <si>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</si>
  <si>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</si>
  <si>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</si>
  <si>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</si>
  <si>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</si>
  <si>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</si>
  <si>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</si>
  <si>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</si>
  <si>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</si>
  <si>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</si>
  <si>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</si>
  <si>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</si>
  <si>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</si>
  <si>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</si>
  <si>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</si>
  <si>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</si>
  <si>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</si>
  <si>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</si>
  <si>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</si>
  <si>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</si>
  <si>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</si>
  <si>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</si>
  <si>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</si>
  <si>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</si>
  <si>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</si>
  <si>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</si>
  <si>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</si>
  <si>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</si>
  <si>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</si>
  <si>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</si>
  <si>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</si>
  <si>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</si>
  <si>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</si>
  <si>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</si>
  <si>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</si>
  <si>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</si>
  <si>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</si>
  <si>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</si>
  <si>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</si>
  <si>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</si>
  <si>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</si>
  <si>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</si>
  <si>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</si>
  <si>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</si>
  <si>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</si>
  <si>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</si>
  <si>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</si>
  <si>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</si>
  <si>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</si>
  <si>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</si>
  <si>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</si>
  <si>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</si>
  <si>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</si>
  <si>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</si>
  <si>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</si>
  <si>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</si>
  <si>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</si>
  <si>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</si>
  <si>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</si>
  <si>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</si>
  <si>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</si>
  <si>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</si>
  <si>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</si>
  <si>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</si>
  <si>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</si>
  <si>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</si>
  <si>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</si>
  <si>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</si>
  <si>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</si>
  <si>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</si>
  <si>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</si>
  <si>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</si>
  <si>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</si>
  <si>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</si>
  <si>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</si>
  <si>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</si>
  <si>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</si>
  <si>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</si>
  <si>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</si>
  <si>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</si>
  <si>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</si>
  <si>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</si>
  <si>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</si>
  <si>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</si>
  <si>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</si>
  <si>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</si>
  <si>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</si>
  <si>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</si>
  <si>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</si>
  <si>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</si>
  <si>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</si>
  <si>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</si>
  <si>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</si>
  <si>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</si>
  <si>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</si>
  <si>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</si>
  <si>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</si>
  <si>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</si>
  <si>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</si>
  <si>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</si>
  <si>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</si>
  <si>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</si>
  <si>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</si>
  <si>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</si>
  <si>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</si>
  <si>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</si>
  <si>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</si>
  <si>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</si>
  <si>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</si>
  <si>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</si>
  <si>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</si>
  <si>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</si>
  <si>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</si>
  <si>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</si>
  <si>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</si>
  <si>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</si>
  <si>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</si>
  <si>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</si>
  <si>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</si>
  <si>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</si>
  <si>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</si>
  <si>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</si>
  <si>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</si>
  <si>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</si>
  <si>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</si>
  <si>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</si>
  <si>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</si>
  <si>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</si>
  <si>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</si>
  <si>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</si>
  <si>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</si>
  <si>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</si>
  <si>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</si>
  <si>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</si>
  <si>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</si>
  <si>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</si>
  <si>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</si>
  <si>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</si>
  <si>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</si>
  <si>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</si>
  <si>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</si>
  <si>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</si>
  <si>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</si>
  <si>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</si>
  <si>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</si>
  <si>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</si>
  <si>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</si>
  <si>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</si>
  <si>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</si>
  <si>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</si>
  <si>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</si>
  <si>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</si>
  <si>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</si>
  <si>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</si>
  <si>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</si>
  <si>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</si>
  <si>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</si>
  <si>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</si>
  <si>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</si>
  <si>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</si>
  <si>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</si>
  <si>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</si>
  <si>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</si>
  <si>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</si>
  <si>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</si>
  <si>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</si>
  <si>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</si>
  <si>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</si>
  <si>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</si>
  <si>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</si>
  <si>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</si>
  <si>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</si>
  <si>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</si>
  <si>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</si>
  <si>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</si>
  <si>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</si>
  <si>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</si>
  <si>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</si>
  <si>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</si>
  <si>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</si>
  <si>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</si>
  <si>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</si>
  <si>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</si>
  <si>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</si>
  <si>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</si>
  <si>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</si>
  <si>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</si>
  <si>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</si>
  <si>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</si>
  <si>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</si>
  <si>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</si>
  <si>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</si>
  <si>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</si>
  <si>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</si>
  <si>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</si>
  <si>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</si>
  <si>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</si>
  <si>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</si>
  <si>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</si>
  <si>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</si>
  <si>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</si>
  <si>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</si>
  <si>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</si>
  <si>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</si>
  <si>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</si>
  <si>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</si>
  <si>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</si>
  <si>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</si>
  <si>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</si>
  <si>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</si>
  <si>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</si>
  <si>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</si>
  <si>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</si>
  <si>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</si>
  <si>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</si>
  <si>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</si>
  <si>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</si>
  <si>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</si>
  <si>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</si>
  <si>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</si>
  <si>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</si>
  <si>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</si>
  <si>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</si>
  <si>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</si>
  <si>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</si>
  <si>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</si>
  <si>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</si>
  <si>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</si>
  <si>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</si>
  <si>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</si>
  <si>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</si>
  <si>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</si>
  <si>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</si>
  <si>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</si>
  <si>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</si>
  <si>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</si>
  <si>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</si>
  <si>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</si>
  <si>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</si>
  <si>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</si>
  <si>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</si>
  <si>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</si>
  <si>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</si>
  <si>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</si>
  <si>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</si>
  <si>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</si>
  <si>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</si>
  <si>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</si>
  <si>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</si>
  <si>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</si>
  <si>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</si>
  <si>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</si>
  <si>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</si>
  <si>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</si>
  <si>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</si>
  <si>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</si>
  <si>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</si>
  <si>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</si>
  <si>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</si>
  <si>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</si>
  <si>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</si>
  <si>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</si>
  <si>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</si>
  <si>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</si>
  <si>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</si>
  <si>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</si>
  <si>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</si>
  <si>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</si>
  <si>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</si>
  <si>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</si>
  <si>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</si>
  <si>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</si>
  <si>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</si>
  <si>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</si>
  <si>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</si>
  <si>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</si>
  <si>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</si>
  <si>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</si>
  <si>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</si>
  <si>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</si>
  <si>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</si>
  <si>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</si>
  <si>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</si>
  <si>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</si>
  <si>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</si>
  <si>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</si>
  <si>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</si>
  <si>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</si>
  <si>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</si>
  <si>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</si>
  <si>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</si>
  <si>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</si>
  <si>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</si>
  <si>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</si>
  <si>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</si>
  <si>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</si>
  <si>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</si>
  <si>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</si>
  <si>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</si>
  <si>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</si>
  <si>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</si>
  <si>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</si>
  <si>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</si>
  <si>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</si>
  <si>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</si>
  <si>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</si>
  <si>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</si>
  <si>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</si>
  <si>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</si>
  <si>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</si>
  <si>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</si>
  <si>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</si>
  <si>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</si>
  <si>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</si>
  <si>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</si>
  <si>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</si>
  <si>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</si>
  <si>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</si>
  <si>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</si>
  <si>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</si>
  <si>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</si>
  <si>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</si>
  <si>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</si>
  <si>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</si>
  <si>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</si>
  <si>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</si>
  <si>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</si>
  <si>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</si>
  <si>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</si>
  <si>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</si>
  <si>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</si>
  <si>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</si>
  <si>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</si>
  <si>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</si>
  <si>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</si>
  <si>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</si>
  <si>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</si>
  <si>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</si>
  <si>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</si>
  <si>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</si>
  <si>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</si>
  <si>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</si>
  <si>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</si>
  <si>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</si>
  <si>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</si>
  <si>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</si>
  <si>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</si>
  <si>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</si>
  <si>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</si>
  <si>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</si>
  <si>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</si>
  <si>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</si>
  <si>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</si>
  <si>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</si>
  <si>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</si>
  <si>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</si>
  <si>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</si>
  <si>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</si>
  <si>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</si>
  <si>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</si>
  <si>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</si>
  <si>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</si>
  <si>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</si>
  <si>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</si>
  <si>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</si>
  <si>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</si>
  <si>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</si>
  <si>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</si>
  <si>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</si>
  <si>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</si>
  <si>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</si>
  <si>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</si>
  <si>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</si>
  <si>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</si>
  <si>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</si>
  <si>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</si>
  <si>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</si>
  <si>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</si>
  <si>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</si>
  <si>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</si>
  <si>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</si>
  <si>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</si>
  <si>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</si>
  <si>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</si>
  <si>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</si>
  <si>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</si>
  <si>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</si>
  <si>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</si>
  <si>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</si>
  <si>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</si>
  <si>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</si>
  <si>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</si>
  <si>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</si>
  <si>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</si>
  <si>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</si>
  <si>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</si>
  <si>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</si>
  <si>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</si>
  <si>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</si>
  <si>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</si>
  <si>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</si>
  <si>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</si>
  <si>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</si>
  <si>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</si>
  <si>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</si>
  <si>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</si>
  <si>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</si>
  <si>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</si>
  <si>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</si>
  <si>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</si>
  <si>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</si>
  <si>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</si>
  <si>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</si>
  <si>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</si>
  <si>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</si>
  <si>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</si>
  <si>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</si>
  <si>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</si>
  <si>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</si>
  <si>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</si>
  <si>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</si>
  <si>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</si>
  <si>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</si>
  <si>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</si>
  <si>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</si>
  <si>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</si>
  <si>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</si>
  <si>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</si>
  <si>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</si>
  <si>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</si>
  <si>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</si>
  <si>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</si>
  <si>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</si>
  <si>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</si>
  <si>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</si>
  <si>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</si>
  <si>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</si>
  <si>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</si>
  <si>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</si>
  <si>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</si>
  <si>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</si>
  <si>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</si>
  <si>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</si>
  <si>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</si>
  <si>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</si>
  <si>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</si>
  <si>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</si>
  <si>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</si>
  <si>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</si>
  <si>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</si>
  <si>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</si>
  <si>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</si>
  <si>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</si>
  <si>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</si>
  <si>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</si>
  <si>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</si>
  <si>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</si>
  <si>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</si>
  <si>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</si>
  <si>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</si>
  <si>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</si>
  <si>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</si>
  <si>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</si>
  <si>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</si>
  <si>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</si>
  <si>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</si>
  <si>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</si>
  <si>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</si>
  <si>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</si>
  <si>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</si>
  <si>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</si>
  <si>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</si>
  <si>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</si>
  <si>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</si>
  <si>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</si>
  <si>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</si>
  <si>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</si>
  <si>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</si>
  <si>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</si>
  <si>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</si>
  <si>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</si>
  <si>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</si>
  <si>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</si>
  <si>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</si>
  <si>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</si>
  <si>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</si>
  <si>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</si>
  <si>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</si>
  <si>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</si>
  <si>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</si>
  <si>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</si>
  <si>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</si>
  <si>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</si>
  <si>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</si>
  <si>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</si>
  <si>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</si>
  <si>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</si>
  <si>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</si>
  <si>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</si>
  <si>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</si>
  <si>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</si>
  <si>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</si>
  <si>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</si>
  <si>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</si>
  <si>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</si>
  <si>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</si>
  <si>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</si>
  <si>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</si>
  <si>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</si>
  <si>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</si>
  <si>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</si>
  <si>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</si>
  <si>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</si>
  <si>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</si>
  <si>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</si>
  <si>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</si>
  <si>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</si>
  <si>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</si>
  <si>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</si>
  <si>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</si>
  <si>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</si>
  <si>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</si>
  <si>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</si>
  <si>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</si>
  <si>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</si>
  <si>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</si>
  <si>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</si>
  <si>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</si>
  <si>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</si>
  <si>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</si>
  <si>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</si>
  <si>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</si>
  <si>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</si>
  <si>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</si>
  <si>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</si>
  <si>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</si>
  <si>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</si>
  <si>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</si>
  <si>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</si>
  <si>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</si>
  <si>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</si>
  <si>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</si>
  <si>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</si>
  <si>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</si>
  <si>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</si>
  <si>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</si>
  <si>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</si>
  <si>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</si>
  <si>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</si>
  <si>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</si>
  <si>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</si>
  <si>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</si>
  <si>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</si>
  <si>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</si>
  <si>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</si>
  <si>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</si>
  <si>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</si>
  <si>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</si>
  <si>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</si>
  <si>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</si>
  <si>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</si>
  <si>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</si>
  <si>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</si>
  <si>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</si>
  <si>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</si>
  <si>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</si>
  <si>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</si>
  <si>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</si>
  <si>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</si>
  <si>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</si>
  <si>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</si>
  <si>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</si>
  <si>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</si>
  <si>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</si>
  <si>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</si>
  <si>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</si>
  <si>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</si>
  <si>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</si>
  <si>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</si>
  <si>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</si>
  <si>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</si>
  <si>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</si>
  <si>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</si>
  <si>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</si>
  <si>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</si>
  <si>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</si>
  <si>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</si>
  <si>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</si>
  <si>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</si>
  <si>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</si>
  <si>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</si>
  <si>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</si>
  <si>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</si>
  <si>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</si>
  <si>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</si>
  <si>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</si>
  <si>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</si>
  <si>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</si>
  <si>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</si>
  <si>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</si>
  <si>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</si>
  <si>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</si>
  <si>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</si>
  <si>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</si>
  <si>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</si>
  <si>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</si>
  <si>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</si>
  <si>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</si>
  <si>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</si>
  <si>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</si>
  <si>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</si>
  <si>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</si>
  <si>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</si>
  <si>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</si>
  <si>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</si>
  <si>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</si>
  <si>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</si>
  <si>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</si>
  <si>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</si>
  <si>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</si>
  <si>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</si>
  <si>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</si>
  <si>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</si>
  <si>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</si>
  <si>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</si>
  <si>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</si>
  <si>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</si>
  <si>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</si>
  <si>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</si>
  <si>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</si>
  <si>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</si>
  <si>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</si>
  <si>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</si>
  <si>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</si>
  <si>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</si>
  <si>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</si>
  <si>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</si>
  <si>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</si>
  <si>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</si>
  <si>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</si>
  <si>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</si>
  <si>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</si>
  <si>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</si>
  <si>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</si>
  <si>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</si>
  <si>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</si>
  <si>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</si>
  <si>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</si>
  <si>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</si>
  <si>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</si>
  <si>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</si>
  <si>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</si>
  <si>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</si>
  <si>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</si>
  <si>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</si>
  <si>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</si>
  <si>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</si>
  <si>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</si>
  <si>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</si>
  <si>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</si>
  <si>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</si>
  <si>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</si>
  <si>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</si>
  <si>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</si>
  <si>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</si>
  <si>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</si>
  <si>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</si>
  <si>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</si>
  <si>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</si>
  <si>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</si>
  <si>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</si>
  <si>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</si>
  <si>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</si>
  <si>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</si>
  <si>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</si>
  <si>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</si>
  <si>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</si>
  <si>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</si>
  <si>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</si>
  <si>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</si>
  <si>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</si>
  <si>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</si>
  <si>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</si>
  <si>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</si>
  <si>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</si>
  <si>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</si>
  <si>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</si>
  <si>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</si>
  <si>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</si>
  <si>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</si>
  <si>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</si>
  <si>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</si>
  <si>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</si>
  <si>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</si>
  <si>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</si>
  <si>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</si>
  <si>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</si>
  <si>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</si>
  <si>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</si>
  <si>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</si>
  <si>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</si>
  <si>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</si>
  <si>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</si>
  <si>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</si>
  <si>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</si>
  <si>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</si>
  <si>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</si>
  <si>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</si>
  <si>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</si>
  <si>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</si>
  <si>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</si>
  <si>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</si>
  <si>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</si>
  <si>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</si>
  <si>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</si>
  <si>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</si>
  <si>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</si>
  <si>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</si>
  <si>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</si>
  <si>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</si>
  <si>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</si>
  <si>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</si>
  <si>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</si>
  <si>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</si>
  <si>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</si>
  <si>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</si>
  <si>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</si>
  <si>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</si>
  <si>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</si>
  <si>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</si>
  <si>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</si>
  <si>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</si>
  <si>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</si>
  <si>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</si>
  <si>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</si>
  <si>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</si>
  <si>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</si>
  <si>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</si>
  <si>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</si>
  <si>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</si>
  <si>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</si>
  <si>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</si>
  <si>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</si>
  <si>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</si>
  <si>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</si>
  <si>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</si>
  <si>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</si>
  <si>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</si>
  <si>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</si>
  <si>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</si>
  <si>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</si>
  <si>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</si>
  <si>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</si>
  <si>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</si>
  <si>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</si>
  <si>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</si>
  <si>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</si>
  <si>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</si>
  <si>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</si>
  <si>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</si>
  <si>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</si>
  <si>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</si>
  <si>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</si>
  <si>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</si>
  <si>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</si>
  <si>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</si>
  <si>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</si>
  <si>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</si>
  <si>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</si>
  <si>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</si>
  <si>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</si>
  <si>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</si>
  <si>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</si>
  <si>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</si>
  <si>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</si>
  <si>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</si>
  <si>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</si>
  <si>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</si>
  <si>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</si>
  <si>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</si>
  <si>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</si>
  <si>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</si>
  <si>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</si>
  <si>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</si>
  <si>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</si>
  <si>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</si>
  <si>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</si>
  <si>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</si>
  <si>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</si>
  <si>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</si>
  <si>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</si>
  <si>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</si>
  <si>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</si>
  <si>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</si>
  <si>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</si>
  <si>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</si>
  <si>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</si>
  <si>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</si>
  <si>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</si>
  <si>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</si>
  <si>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</si>
  <si>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</si>
  <si>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</si>
  <si>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</si>
  <si>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</si>
  <si>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</si>
  <si>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</si>
  <si>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</si>
  <si>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</si>
  <si>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</si>
  <si>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</si>
  <si>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</si>
  <si>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</si>
  <si>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</si>
  <si>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</si>
  <si>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</si>
  <si>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</si>
  <si>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</si>
  <si>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</si>
  <si>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</si>
  <si>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</si>
  <si>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</si>
  <si>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</si>
  <si>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</si>
  <si>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</si>
  <si>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</si>
  <si>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</si>
  <si>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</si>
  <si>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</si>
  <si>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</si>
  <si>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</si>
  <si>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</si>
  <si>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</si>
  <si>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</si>
  <si>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</si>
  <si>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</si>
  <si>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</si>
  <si>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</si>
  <si>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</si>
  <si>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</si>
  <si>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</si>
  <si>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</si>
  <si>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</si>
  <si>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</si>
  <si>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</si>
  <si>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</si>
  <si>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</si>
  <si>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</si>
  <si>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</si>
  <si>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</si>
  <si>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</si>
  <si>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</si>
  <si>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</si>
  <si>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</si>
  <si>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</si>
  <si>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</si>
  <si>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</si>
  <si>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</si>
  <si>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</si>
  <si>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</si>
  <si>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</si>
  <si>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</si>
  <si>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</si>
  <si>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</si>
  <si>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</si>
  <si>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</si>
  <si>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</si>
  <si>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</si>
  <si>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</si>
  <si>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</si>
  <si>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</si>
  <si>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</si>
  <si>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</si>
  <si>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</si>
  <si>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</si>
  <si>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</si>
  <si>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</si>
  <si>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</si>
  <si>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</si>
  <si>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</si>
  <si>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</si>
  <si>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</si>
  <si>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</si>
  <si>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</si>
  <si>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</si>
  <si>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</si>
  <si>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</si>
  <si>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</si>
  <si>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</si>
  <si>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</si>
  <si>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</si>
  <si>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</si>
  <si>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</si>
  <si>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</si>
  <si>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</si>
  <si>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</si>
  <si>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</si>
  <si>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</si>
  <si>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</si>
  <si>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</si>
  <si>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</si>
  <si>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</si>
  <si>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</si>
  <si>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</si>
  <si>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</si>
  <si>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</si>
  <si>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</si>
  <si>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</si>
  <si>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</si>
  <si>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</si>
  <si>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</si>
  <si>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</si>
  <si>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</si>
  <si>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</si>
  <si>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</si>
  <si>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</si>
  <si>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</si>
  <si>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</si>
  <si>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</si>
  <si>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</si>
  <si>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</si>
  <si>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</si>
  <si>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</si>
  <si>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</si>
  <si>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</si>
  <si>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</si>
  <si>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</si>
  <si>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</si>
  <si>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</si>
  <si>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</si>
  <si>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</si>
  <si>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</si>
  <si>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</si>
  <si>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</si>
  <si>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</si>
  <si>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</si>
  <si>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</si>
  <si>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</si>
  <si>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</si>
  <si>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</si>
  <si>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</si>
  <si>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</si>
  <si>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</si>
  <si>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</si>
  <si>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</si>
  <si>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</si>
  <si>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</si>
  <si>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</si>
  <si>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</si>
  <si>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</si>
  <si>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</si>
  <si>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</si>
  <si>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</si>
  <si>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</si>
  <si>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</si>
  <si>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</si>
  <si>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</si>
  <si>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</si>
  <si>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</si>
  <si>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</si>
  <si>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</si>
  <si>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</si>
  <si>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</si>
  <si>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</si>
  <si>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</si>
  <si>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</si>
  <si>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</si>
  <si>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</si>
  <si>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</si>
  <si>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</si>
  <si>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</si>
  <si>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</si>
  <si>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</si>
  <si>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</si>
  <si>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</si>
  <si>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</si>
  <si>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</si>
  <si>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</si>
  <si>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</si>
  <si>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</si>
  <si>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</si>
  <si>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</si>
  <si>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</si>
  <si>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</si>
  <si>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</si>
  <si>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</si>
  <si>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</si>
  <si>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</si>
  <si>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</si>
  <si>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</si>
  <si>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</si>
  <si>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</si>
  <si>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</si>
  <si>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</si>
  <si>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</si>
  <si>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</si>
  <si>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</si>
  <si>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</si>
  <si>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</si>
  <si>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</si>
  <si>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</si>
  <si>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</si>
  <si>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</si>
  <si>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</si>
  <si>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</si>
  <si>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</si>
  <si>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</si>
  <si>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</si>
  <si>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</si>
  <si>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</si>
  <si>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</si>
  <si>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</si>
  <si>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</si>
  <si>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</si>
  <si>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</si>
  <si>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</si>
  <si>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</si>
  <si>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</si>
  <si>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</si>
  <si>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</si>
  <si>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</si>
  <si>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</si>
  <si>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</si>
  <si>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</si>
  <si>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</si>
  <si>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</si>
  <si>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</si>
  <si>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</si>
  <si>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</si>
  <si>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</si>
  <si>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</si>
  <si>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</si>
  <si>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</si>
  <si>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</si>
  <si>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</si>
  <si>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</si>
  <si>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</si>
  <si>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</si>
  <si>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</si>
  <si>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</si>
  <si>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</si>
  <si>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</si>
  <si>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</si>
  <si>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</si>
  <si>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</si>
  <si>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</si>
  <si>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</si>
  <si>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</si>
  <si>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</si>
  <si>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</si>
  <si>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</si>
  <si>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</si>
  <si>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</si>
  <si>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</si>
  <si>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</si>
  <si>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</si>
  <si>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</si>
  <si>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</si>
  <si>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</si>
  <si>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</si>
  <si>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</si>
  <si>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</si>
  <si>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</si>
  <si>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</si>
  <si>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</si>
  <si>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</si>
  <si>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</si>
  <si>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</si>
  <si>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</si>
  <si>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</si>
  <si>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</si>
  <si>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</si>
  <si>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</si>
  <si>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</si>
  <si>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</si>
  <si>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</si>
  <si>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</si>
  <si>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</si>
  <si>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</si>
  <si>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</si>
  <si>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</si>
  <si>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</si>
  <si>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</si>
  <si>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</si>
  <si>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</si>
  <si>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</si>
  <si>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</si>
  <si>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</si>
  <si>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</si>
  <si>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</si>
  <si>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</si>
  <si>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</si>
  <si>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</si>
  <si>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</si>
  <si>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</si>
  <si>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</si>
  <si>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</si>
  <si>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</si>
  <si>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</si>
  <si>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</si>
  <si>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</si>
  <si>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</si>
  <si>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</si>
  <si>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</si>
  <si>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</si>
  <si>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</si>
  <si>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</si>
  <si>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</si>
  <si>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</si>
  <si>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</si>
  <si>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</si>
  <si>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</si>
  <si>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</si>
  <si>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</si>
  <si>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</si>
  <si>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</si>
  <si>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</si>
  <si>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</si>
  <si>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</si>
  <si>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</si>
  <si>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</si>
  <si>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</si>
  <si>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</si>
  <si>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</si>
  <si>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</si>
  <si>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</si>
  <si>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</si>
  <si>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</si>
  <si>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</si>
  <si>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</si>
  <si>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</si>
  <si>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</si>
  <si>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</si>
  <si>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</si>
  <si>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</si>
  <si>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</si>
  <si>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</si>
  <si>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</si>
  <si>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</si>
  <si>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</si>
  <si>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</si>
  <si>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</si>
  <si>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</si>
  <si>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</si>
  <si>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</si>
  <si>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</si>
  <si>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</si>
  <si>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</si>
  <si>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</si>
  <si>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</si>
  <si>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</si>
  <si>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</si>
  <si>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</si>
  <si>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</si>
  <si>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</si>
  <si>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</si>
  <si>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</si>
  <si>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</si>
  <si>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</si>
  <si>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</si>
  <si>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</si>
  <si>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</si>
  <si>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</si>
  <si>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</si>
  <si>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</si>
  <si>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</si>
  <si>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</si>
  <si>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</si>
  <si>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</si>
  <si>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</si>
  <si>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</si>
  <si>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</si>
  <si>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</si>
  <si>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</si>
  <si>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</si>
  <si>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</si>
  <si>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</si>
  <si>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</si>
  <si>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</si>
  <si>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</si>
  <si>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</si>
  <si>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</si>
  <si>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</si>
  <si>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</si>
  <si>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</si>
  <si>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</si>
  <si>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</si>
  <si>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</si>
  <si>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</si>
  <si>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</si>
  <si>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</si>
  <si>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</si>
  <si>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</si>
  <si>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</si>
  <si>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</si>
  <si>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</si>
  <si>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</si>
  <si>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</si>
  <si>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</si>
  <si>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</si>
  <si>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</si>
  <si>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</si>
  <si>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</si>
  <si>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</si>
  <si>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</si>
  <si>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</si>
  <si>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</si>
  <si>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</si>
  <si>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</si>
  <si>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</si>
  <si>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</si>
  <si>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</si>
  <si>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</si>
  <si>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</si>
  <si>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</si>
  <si>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</si>
  <si>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</si>
  <si>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</si>
  <si>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</si>
  <si>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</si>
  <si>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</si>
  <si>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</si>
  <si>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</si>
  <si>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</si>
  <si>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</si>
  <si>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</si>
  <si>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</si>
  <si>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</si>
  <si>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</si>
  <si>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</si>
  <si>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</si>
  <si>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</si>
  <si>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</si>
  <si>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</si>
  <si>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</si>
  <si>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</si>
  <si>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</si>
  <si>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</si>
  <si>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</si>
  <si>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</si>
  <si>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</si>
  <si>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</si>
  <si>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</si>
  <si>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</si>
  <si>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</si>
  <si>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</si>
  <si>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</si>
  <si>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</si>
  <si>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</si>
  <si>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</si>
  <si>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</si>
  <si>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</si>
  <si>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</si>
  <si>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</si>
  <si>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</si>
  <si>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</si>
  <si>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</si>
  <si>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</si>
  <si>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</si>
  <si>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</si>
  <si>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</si>
  <si>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</si>
  <si>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</si>
  <si>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</si>
  <si>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</si>
  <si>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</si>
  <si>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</si>
  <si>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</si>
  <si>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</si>
  <si>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</si>
  <si>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</si>
  <si>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</si>
  <si>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</si>
  <si>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</si>
  <si>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</si>
  <si>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</si>
  <si>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</si>
  <si>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</si>
  <si>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</si>
  <si>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</si>
  <si>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</si>
  <si>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</si>
  <si>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</si>
  <si>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</si>
  <si>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</si>
  <si>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</si>
  <si>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</si>
  <si>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</si>
  <si>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</si>
  <si>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</si>
  <si>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</si>
  <si>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</si>
  <si>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</si>
  <si>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</si>
  <si>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</si>
  <si>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</si>
  <si>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</si>
  <si>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</si>
  <si>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</si>
  <si>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</si>
  <si>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</si>
  <si>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</si>
  <si>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</si>
  <si>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</si>
  <si>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</si>
  <si>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</si>
  <si>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</si>
  <si>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</si>
  <si>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</si>
  <si>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</si>
  <si>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</si>
  <si>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</si>
  <si>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</si>
  <si>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</si>
  <si>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</si>
  <si>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</si>
  <si>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</si>
  <si>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</si>
  <si>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</si>
  <si>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</si>
  <si>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</si>
  <si>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</si>
  <si>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</si>
  <si>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</si>
  <si>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</si>
  <si>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</si>
  <si>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</si>
  <si>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</si>
  <si>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</si>
  <si>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</si>
  <si>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</si>
  <si>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</si>
  <si>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</si>
  <si>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</si>
  <si>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</si>
  <si>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</si>
  <si>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</si>
  <si>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</si>
  <si>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</si>
  <si>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</si>
  <si>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</si>
  <si>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</si>
  <si>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</si>
  <si>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</si>
  <si>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</si>
  <si>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</si>
  <si>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</si>
  <si>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</si>
  <si>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</si>
  <si>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</si>
  <si>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</si>
  <si>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</si>
  <si>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</si>
  <si>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</si>
  <si>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</si>
  <si>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</si>
  <si>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</si>
  <si>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</si>
  <si>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</si>
  <si>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</si>
  <si>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</si>
  <si>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</si>
  <si>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</si>
  <si>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</si>
  <si>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</si>
  <si>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</si>
  <si>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</si>
  <si>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</si>
  <si>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</si>
  <si>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</si>
  <si>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</si>
  <si>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</si>
  <si>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</si>
  <si>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</si>
  <si>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</si>
  <si>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</si>
  <si>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</si>
  <si>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</si>
  <si>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</si>
  <si>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</si>
  <si>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</si>
  <si>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</si>
  <si>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</si>
  <si>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</si>
  <si>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</si>
  <si>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</si>
  <si>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</si>
  <si>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</si>
  <si>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</si>
  <si>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</si>
  <si>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</si>
  <si>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</si>
  <si>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</si>
  <si>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</si>
  <si>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</si>
  <si>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</si>
  <si>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</si>
  <si>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</si>
  <si>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</si>
  <si>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</si>
  <si>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</si>
  <si>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</si>
  <si>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</si>
  <si>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</si>
  <si>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</si>
  <si>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</si>
  <si>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</si>
  <si>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</si>
  <si>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</si>
  <si>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</si>
  <si>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</si>
  <si>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</si>
  <si>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</si>
  <si>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</si>
  <si>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</si>
  <si>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</si>
  <si>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</si>
  <si>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</si>
  <si>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</si>
  <si>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</si>
  <si>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</si>
  <si>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</si>
  <si>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</si>
  <si>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</si>
  <si>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</si>
  <si>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</si>
  <si>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</si>
  <si>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</si>
  <si>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</si>
  <si>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</si>
  <si>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</si>
  <si>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</si>
  <si>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</si>
  <si>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</si>
  <si>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</si>
  <si>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</si>
  <si>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</si>
  <si>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</si>
  <si>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</si>
  <si>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</si>
  <si>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</si>
  <si>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</si>
  <si>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</si>
  <si>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</si>
  <si>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</si>
  <si>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</si>
  <si>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</si>
  <si>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</si>
  <si>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</si>
  <si>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</si>
  <si>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</si>
  <si>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</si>
  <si>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</si>
  <si>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</si>
  <si>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</si>
  <si>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</si>
  <si>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</si>
  <si>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</si>
  <si>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</si>
  <si>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</si>
  <si>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</si>
  <si>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</si>
  <si>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</si>
  <si>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</si>
  <si>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</si>
  <si>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</si>
  <si>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</si>
  <si>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</si>
  <si>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</si>
  <si>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</si>
  <si>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</si>
  <si>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</si>
  <si>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</si>
  <si>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</si>
  <si>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</si>
  <si>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</si>
  <si>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</si>
  <si>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</si>
  <si>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</si>
  <si>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</si>
  <si>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</si>
  <si>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</si>
  <si>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</si>
  <si>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</si>
  <si>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</si>
  <si>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</si>
  <si>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</si>
  <si>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</si>
  <si>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</si>
  <si>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</si>
  <si>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</si>
  <si>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</si>
  <si>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</si>
  <si>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</si>
  <si>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</si>
  <si>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</si>
  <si>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</si>
  <si>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</si>
  <si>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</si>
  <si>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</si>
  <si>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</si>
  <si>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</si>
  <si>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</si>
  <si>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</si>
  <si>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</si>
  <si>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</si>
  <si>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</si>
  <si>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</si>
  <si>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</si>
  <si>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</si>
  <si>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</si>
  <si>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</si>
  <si>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</si>
  <si>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</si>
  <si>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</si>
  <si>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</si>
  <si>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</si>
  <si>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</si>
  <si>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</si>
  <si>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</si>
  <si>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</si>
  <si>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</si>
  <si>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</si>
  <si>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</si>
  <si>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</si>
  <si>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</si>
  <si>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</si>
  <si>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</si>
  <si>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</si>
  <si>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</si>
  <si>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</si>
  <si>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</si>
  <si>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</si>
  <si>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</si>
  <si>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</si>
  <si>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</si>
  <si>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</si>
  <si>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</si>
  <si>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</si>
  <si>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</si>
  <si>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</si>
  <si>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</si>
  <si>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</si>
  <si>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</si>
  <si>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</si>
  <si>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</si>
  <si>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</si>
  <si>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</si>
  <si>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</si>
  <si>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</si>
  <si>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</si>
  <si>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</si>
  <si>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</si>
  <si>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</si>
  <si>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</si>
  <si>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</si>
  <si>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</si>
  <si>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</si>
  <si>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</si>
  <si>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</si>
  <si>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</si>
  <si>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</si>
  <si>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</si>
  <si>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</si>
  <si>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</si>
  <si>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</si>
  <si>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</si>
  <si>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</si>
  <si>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</si>
  <si>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</si>
  <si>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</si>
  <si>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</si>
  <si>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</si>
  <si>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</si>
  <si>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</si>
  <si>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</si>
  <si>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</si>
  <si>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</si>
  <si>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</si>
  <si>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</si>
  <si>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</si>
  <si>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</si>
  <si>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</si>
  <si>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</si>
  <si>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</si>
  <si>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</si>
  <si>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</si>
  <si>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</si>
  <si>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</si>
  <si>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</si>
  <si>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</si>
  <si>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</si>
  <si>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</si>
  <si>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</si>
  <si>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</si>
  <si>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</si>
  <si>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</si>
  <si>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</si>
  <si>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</si>
  <si>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</si>
  <si>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</si>
  <si>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</si>
  <si>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</si>
  <si>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</si>
  <si>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</si>
  <si>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</si>
  <si>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</si>
  <si>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</si>
  <si>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</si>
  <si>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</si>
  <si>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</si>
  <si>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</si>
  <si>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</si>
  <si>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</si>
  <si>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</si>
  <si>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</si>
  <si>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</si>
  <si>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</si>
  <si>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</si>
  <si>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</si>
  <si>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</si>
  <si>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</si>
  <si>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</si>
  <si>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</si>
  <si>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</si>
  <si>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</si>
  <si>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</si>
  <si>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</si>
  <si>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</si>
  <si>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</si>
  <si>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</si>
  <si>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</si>
  <si>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</si>
  <si>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</si>
  <si>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</si>
  <si>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</si>
  <si>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</si>
  <si>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</si>
  <si>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</si>
  <si>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</si>
  <si>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</si>
  <si>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</si>
  <si>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</si>
  <si>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</si>
  <si>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</si>
  <si>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</si>
  <si>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</si>
  <si>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</si>
  <si>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</si>
  <si>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</si>
  <si>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</si>
  <si>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</si>
  <si>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</si>
  <si>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</si>
  <si>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</si>
  <si>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</si>
  <si>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</si>
  <si>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</si>
  <si>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</si>
  <si>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</si>
  <si>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</si>
  <si>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</si>
  <si>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</si>
  <si>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</si>
  <si>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</si>
  <si>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</si>
  <si>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</si>
  <si>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</si>
  <si>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</si>
  <si>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</si>
  <si>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</si>
  <si>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</si>
  <si>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</si>
  <si>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</si>
  <si>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</si>
  <si>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</si>
  <si>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</si>
  <si>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</si>
  <si>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</si>
  <si>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</si>
  <si>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</si>
  <si>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</si>
  <si>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</si>
  <si>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</si>
  <si>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</si>
  <si>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</si>
  <si>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</si>
  <si>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</si>
  <si>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</si>
  <si>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</si>
  <si>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</si>
  <si>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</si>
  <si>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</si>
  <si>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</si>
  <si>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</si>
  <si>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</si>
  <si>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</si>
  <si>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</si>
  <si>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</si>
  <si>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</si>
  <si>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</si>
  <si>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</si>
  <si>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</si>
  <si>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</si>
  <si>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</si>
  <si>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</si>
  <si>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</si>
  <si>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</si>
  <si>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</si>
  <si>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</si>
  <si>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</si>
  <si>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</si>
  <si>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</si>
  <si>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</si>
  <si>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</si>
  <si>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</si>
  <si>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</si>
  <si>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</si>
  <si>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</si>
  <si>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</si>
  <si>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</si>
  <si>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</si>
  <si>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</si>
  <si>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</si>
  <si>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</si>
  <si>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</si>
  <si>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</si>
  <si>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</si>
  <si>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</si>
  <si>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</si>
  <si>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</si>
  <si>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</si>
  <si>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</si>
  <si>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</si>
  <si>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</si>
  <si>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</si>
  <si>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</si>
  <si>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</si>
  <si>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</si>
  <si>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</si>
  <si>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</si>
  <si>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</si>
  <si>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</si>
  <si>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</si>
  <si>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</si>
  <si>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</si>
  <si>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</si>
  <si>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</si>
  <si>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</si>
  <si>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</si>
  <si>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</si>
  <si>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</si>
  <si>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</si>
  <si>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</si>
  <si>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</si>
  <si>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</si>
  <si>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</si>
  <si>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</si>
  <si>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</si>
  <si>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</si>
  <si>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</si>
  <si>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</si>
  <si>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</si>
  <si>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</si>
  <si>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</si>
  <si>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</si>
  <si>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</si>
  <si>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</si>
  <si>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</si>
  <si>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</si>
  <si>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</si>
  <si>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</si>
  <si>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</si>
  <si>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</si>
  <si>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</si>
  <si>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</si>
  <si>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</si>
  <si>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</si>
  <si>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</si>
  <si>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</si>
  <si>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</si>
  <si>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</si>
  <si>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</si>
  <si>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</si>
  <si>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</si>
  <si>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</si>
  <si>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</si>
  <si>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</si>
  <si>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</si>
  <si>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</si>
  <si>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</si>
  <si>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</si>
  <si>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</si>
  <si>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</si>
  <si>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</si>
  <si>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</si>
  <si>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</si>
  <si>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</si>
  <si>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</si>
  <si>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</si>
  <si>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</si>
  <si>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</si>
  <si>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</si>
  <si>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</si>
  <si>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</si>
  <si>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</si>
  <si>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</si>
  <si>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</si>
  <si>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</si>
  <si>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</si>
  <si>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</si>
  <si>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</si>
  <si>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</si>
  <si>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</si>
  <si>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</si>
  <si>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</si>
  <si>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</si>
  <si>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</si>
  <si>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</si>
  <si>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</si>
  <si>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</si>
  <si>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</si>
  <si>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</si>
  <si>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</si>
  <si>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</si>
  <si>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</si>
  <si>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</si>
  <si>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</si>
  <si>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</si>
  <si>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</si>
  <si>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</si>
  <si>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</si>
  <si>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</si>
  <si>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</si>
  <si>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</si>
  <si>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</si>
  <si>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</si>
  <si>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</si>
  <si>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</si>
  <si>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</si>
  <si>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</si>
  <si>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</si>
  <si>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</si>
  <si>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</si>
  <si>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</si>
  <si>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</si>
  <si>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</si>
  <si>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</si>
  <si>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</si>
  <si>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</si>
  <si>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</si>
  <si>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</si>
  <si>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</si>
  <si>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</si>
  <si>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</si>
  <si>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</si>
  <si>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</si>
  <si>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</si>
  <si>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</si>
  <si>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</si>
  <si>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</si>
  <si>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</si>
  <si>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</si>
  <si>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</si>
  <si>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</si>
  <si>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</si>
  <si>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</si>
  <si>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</si>
  <si>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</si>
  <si>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</si>
  <si>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</si>
  <si>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</si>
  <si>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</si>
  <si>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</si>
  <si>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</si>
  <si>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</si>
  <si>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</si>
  <si>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</si>
  <si>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</si>
  <si>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</si>
  <si>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</si>
  <si>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</si>
  <si>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</si>
  <si>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</si>
  <si>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</si>
  <si>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</si>
  <si>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</si>
  <si>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</si>
  <si>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</si>
  <si>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</si>
  <si>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</si>
  <si>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</si>
  <si>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</si>
  <si>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</si>
  <si>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</si>
  <si>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</si>
  <si>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</si>
  <si>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</si>
  <si>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</si>
  <si>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</si>
  <si>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</si>
  <si>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</si>
  <si>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</si>
  <si>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</si>
  <si>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</si>
  <si>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</si>
  <si>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</si>
  <si>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</si>
  <si>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</si>
  <si>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</si>
  <si>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</si>
  <si>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</si>
  <si>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</si>
  <si>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</si>
  <si>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</si>
  <si>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</si>
  <si>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</si>
  <si>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</si>
  <si>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</si>
  <si>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</si>
  <si>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</si>
  <si>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</si>
  <si>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</si>
  <si>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</si>
  <si>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</si>
  <si>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</si>
  <si>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</si>
  <si>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</si>
  <si>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</si>
  <si>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</si>
  <si>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</si>
  <si>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</si>
  <si>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</si>
  <si>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</si>
  <si>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</si>
  <si>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</si>
  <si>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</si>
  <si>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</si>
  <si>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</si>
  <si>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</si>
  <si>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</si>
  <si>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</si>
  <si>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</si>
  <si>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</si>
  <si>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</si>
  <si>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</si>
  <si>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</si>
  <si>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</si>
  <si>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</si>
  <si>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</si>
  <si>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</si>
  <si>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</si>
  <si>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</si>
  <si>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</si>
  <si>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</si>
  <si>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</si>
  <si>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</si>
  <si>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</si>
  <si>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</si>
  <si>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</si>
  <si>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</si>
  <si>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</si>
  <si>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</si>
  <si>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</si>
  <si>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</si>
  <si>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</si>
  <si>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</si>
  <si>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</si>
  <si>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</si>
  <si>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</si>
  <si>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</si>
  <si>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</si>
  <si>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</si>
  <si>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</si>
  <si>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</si>
  <si>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</si>
  <si>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</si>
  <si>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</si>
  <si>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</si>
  <si>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</si>
  <si>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</si>
  <si>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</si>
  <si>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</si>
  <si>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</si>
  <si>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</si>
  <si>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</si>
  <si>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</si>
  <si>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</si>
  <si>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</si>
  <si>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</si>
  <si>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</si>
  <si>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</si>
  <si>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</si>
  <si>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</si>
  <si>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</si>
  <si>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</si>
  <si>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</si>
  <si>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</si>
  <si>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</si>
  <si>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</si>
  <si>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</si>
  <si>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</si>
  <si>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</si>
  <si>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</si>
  <si>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</si>
  <si>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</si>
  <si>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</si>
  <si>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</si>
  <si>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</si>
  <si>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</si>
  <si>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</si>
  <si>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</si>
  <si>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</si>
  <si>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</si>
  <si>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</si>
  <si>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</si>
  <si>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</si>
  <si>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</si>
  <si>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</si>
  <si>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</si>
  <si>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</si>
  <si>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</si>
  <si>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</si>
  <si>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</si>
  <si>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</si>
  <si>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</si>
  <si>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</si>
  <si>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</si>
  <si>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</si>
  <si>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</si>
  <si>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</si>
  <si>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</si>
  <si>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</si>
  <si>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</si>
  <si>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</si>
  <si>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</si>
  <si>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</si>
  <si>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</si>
  <si>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</si>
  <si>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</si>
  <si>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</si>
  <si>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</si>
  <si>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</si>
  <si>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</si>
  <si>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</si>
  <si>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</si>
  <si>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</si>
  <si>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</si>
  <si>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</si>
  <si>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</si>
  <si>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</si>
  <si>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</si>
  <si>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</si>
  <si>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</si>
  <si>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</si>
  <si>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</si>
  <si>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</si>
  <si>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</si>
  <si>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</si>
  <si>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</si>
  <si>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</si>
  <si>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</si>
  <si>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</si>
  <si>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</si>
  <si>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</si>
  <si>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</si>
  <si>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</si>
  <si>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</si>
  <si>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</si>
  <si>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</si>
  <si>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</si>
  <si>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</si>
  <si>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</si>
  <si>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</si>
  <si>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</si>
  <si>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</si>
  <si>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</si>
  <si>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</si>
  <si>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</si>
  <si>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</si>
  <si>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</si>
  <si>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</si>
  <si>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</si>
  <si>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</si>
  <si>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</si>
  <si>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</si>
  <si>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</si>
  <si>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</si>
  <si>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</si>
  <si>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</si>
  <si>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</si>
  <si>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</si>
  <si>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</si>
  <si>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</si>
  <si>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</si>
  <si>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</si>
  <si>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</si>
  <si>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</si>
  <si>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</si>
  <si>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</si>
  <si>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</si>
  <si>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</si>
  <si>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</si>
  <si>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</si>
  <si>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</si>
  <si>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</si>
  <si>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</si>
  <si>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</si>
  <si>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</si>
  <si>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</si>
  <si>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</si>
  <si>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</si>
  <si>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</si>
  <si>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</si>
  <si>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</si>
  <si>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</si>
  <si>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</si>
  <si>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</si>
  <si>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</si>
  <si>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</si>
  <si>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</si>
  <si>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</si>
  <si>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</si>
  <si>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</si>
  <si>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</si>
  <si>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</si>
  <si>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</si>
  <si>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</si>
  <si>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</si>
  <si>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</si>
  <si>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</si>
  <si>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</si>
  <si>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</si>
  <si>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</si>
  <si>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</si>
  <si>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</si>
  <si>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</si>
  <si>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</si>
  <si>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</si>
  <si>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</si>
  <si>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</si>
  <si>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</si>
  <si>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</si>
  <si>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</si>
  <si>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</si>
  <si>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</si>
  <si>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</si>
  <si>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</si>
  <si>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</si>
  <si>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</si>
  <si>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</si>
  <si>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</si>
  <si>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</si>
  <si>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</si>
  <si>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</si>
  <si>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</si>
  <si>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</si>
  <si>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</si>
  <si>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</si>
  <si>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</si>
  <si>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</si>
  <si>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</si>
  <si>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</si>
  <si>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</si>
  <si>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</si>
  <si>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</si>
  <si>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</si>
  <si>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</si>
  <si>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</si>
  <si>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</si>
  <si>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</si>
  <si>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</si>
  <si>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</si>
  <si>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</si>
  <si>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</si>
  <si>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</si>
  <si>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</si>
  <si>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</si>
  <si>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</si>
  <si>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</si>
  <si>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</si>
  <si>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</si>
  <si>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</si>
  <si>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</si>
  <si>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</si>
  <si>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</si>
  <si>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</si>
  <si>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</si>
  <si>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</si>
  <si>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</si>
  <si>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</si>
  <si>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</si>
  <si>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</si>
  <si>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</si>
  <si>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</si>
  <si>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</si>
  <si>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</si>
  <si>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</si>
  <si>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</si>
  <si>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</si>
  <si>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</si>
  <si>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</si>
  <si>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</si>
  <si>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</si>
  <si>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</si>
  <si>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</si>
  <si>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</si>
  <si>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</si>
  <si>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</si>
  <si>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</si>
  <si>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</si>
  <si>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</si>
  <si>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</si>
  <si>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</si>
  <si>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</si>
  <si>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</si>
  <si>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</si>
  <si>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</si>
  <si>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</si>
  <si>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</si>
  <si>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</si>
  <si>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</si>
  <si>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</si>
  <si>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</si>
  <si>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</si>
  <si>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</si>
  <si>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</si>
  <si>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</si>
  <si>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</si>
  <si>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</si>
  <si>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</si>
  <si>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</si>
  <si>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</si>
  <si>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</si>
  <si>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</si>
  <si>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</si>
  <si>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</si>
  <si>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</si>
  <si>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</si>
  <si>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</si>
  <si>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</si>
  <si>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</si>
  <si>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</si>
  <si>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</si>
  <si>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</si>
  <si>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</si>
  <si>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</si>
  <si>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</si>
  <si>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</si>
  <si>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</si>
  <si>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</si>
  <si>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</si>
  <si>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</si>
  <si>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</si>
  <si>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</si>
  <si>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</si>
  <si>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</si>
  <si>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</si>
  <si>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</si>
  <si>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</si>
  <si>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</si>
  <si>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</si>
  <si>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</si>
  <si>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</si>
  <si>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</si>
  <si>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</si>
  <si>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</si>
  <si>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</si>
  <si>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</si>
  <si>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</si>
  <si>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</si>
  <si>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</si>
  <si>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</si>
  <si>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</si>
  <si>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</si>
  <si>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</si>
  <si>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</si>
  <si>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</si>
  <si>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</si>
  <si>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</si>
  <si>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</si>
  <si>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</si>
  <si>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</si>
  <si>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</si>
  <si>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</si>
  <si>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</si>
  <si>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</si>
  <si>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</si>
  <si>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</si>
  <si>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</si>
  <si>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</si>
  <si>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</si>
  <si>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</si>
  <si>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</si>
  <si>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</si>
  <si>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</si>
  <si>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</si>
  <si>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</si>
  <si>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</si>
  <si>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</si>
  <si>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</si>
  <si>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</si>
  <si>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</si>
  <si>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</si>
  <si>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</si>
  <si>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</si>
  <si>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</si>
  <si>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</si>
  <si>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</si>
  <si>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</si>
  <si>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</si>
  <si>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</si>
  <si>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</si>
  <si>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</si>
  <si>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</si>
  <si>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</si>
  <si>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</si>
  <si>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</si>
  <si>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</si>
  <si>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</si>
  <si>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</si>
  <si>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</si>
  <si>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</si>
  <si>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</si>
  <si>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</si>
  <si>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</si>
  <si>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</si>
  <si>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</si>
  <si>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</si>
  <si>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</si>
  <si>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</si>
  <si>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</si>
  <si>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</si>
  <si>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</si>
  <si>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</si>
  <si>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</si>
  <si>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</si>
  <si>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</si>
  <si>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</si>
  <si>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</si>
  <si>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</si>
  <si>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</si>
  <si>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</si>
  <si>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</si>
  <si>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</si>
  <si>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</si>
  <si>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</si>
  <si>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</si>
  <si>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</si>
  <si>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</si>
  <si>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</si>
  <si>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</si>
  <si>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</si>
  <si>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</si>
  <si>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</si>
  <si>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</si>
  <si>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</si>
  <si>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</si>
  <si>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</si>
  <si>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</si>
  <si>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</si>
  <si>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</si>
  <si>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</si>
  <si>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</si>
  <si>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</si>
  <si>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</si>
  <si>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</si>
  <si>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</si>
  <si>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</si>
  <si>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</si>
  <si>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</si>
  <si>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</si>
  <si>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</si>
  <si>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</si>
  <si>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</si>
  <si>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</si>
  <si>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</si>
  <si>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</si>
  <si>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</si>
  <si>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</si>
  <si>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</si>
  <si>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</si>
  <si>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</si>
  <si>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</si>
  <si>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</si>
  <si>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</si>
  <si>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</si>
  <si>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</si>
  <si>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</si>
  <si>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</si>
  <si>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</si>
  <si>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</si>
  <si>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</si>
  <si>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</si>
  <si>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</si>
  <si>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</si>
  <si>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</si>
  <si>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</si>
  <si>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</si>
  <si>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</si>
  <si>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</si>
  <si>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</si>
  <si>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</si>
  <si>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</si>
  <si>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</si>
  <si>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</si>
  <si>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</si>
  <si>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</si>
  <si>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</si>
  <si>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</si>
  <si>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</si>
  <si>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</si>
  <si>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</si>
  <si>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</si>
  <si>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</si>
  <si>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</si>
  <si>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</si>
  <si>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</si>
  <si>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</si>
  <si>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</si>
  <si>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</si>
  <si>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</si>
  <si>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</si>
  <si>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</si>
  <si>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</si>
  <si>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</si>
  <si>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</si>
  <si>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</si>
  <si>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</si>
  <si>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</si>
  <si>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</si>
  <si>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</si>
  <si>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</si>
  <si>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</si>
  <si>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</si>
  <si>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</si>
  <si>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</si>
  <si>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</si>
  <si>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</si>
  <si>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</si>
  <si>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</si>
  <si>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</si>
  <si>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</si>
  <si>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</si>
  <si>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</si>
  <si>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</si>
  <si>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</si>
  <si>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</si>
  <si>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</si>
  <si>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</si>
  <si>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</si>
  <si>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</si>
  <si>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</si>
  <si>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</si>
  <si>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</si>
  <si>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</si>
  <si>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</si>
  <si>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</si>
  <si>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</si>
  <si>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</si>
  <si>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</si>
  <si>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</si>
  <si>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</si>
  <si>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</si>
  <si>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</si>
  <si>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</si>
  <si>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</si>
  <si>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</si>
  <si>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</si>
  <si>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</si>
  <si>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</si>
  <si>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</si>
  <si>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</si>
  <si>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</si>
  <si>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</si>
  <si>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</si>
  <si>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</si>
  <si>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</si>
  <si>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</si>
  <si>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</si>
  <si>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</si>
  <si>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</si>
  <si>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</si>
  <si>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</si>
  <si>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</si>
  <si>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</si>
  <si>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</si>
  <si>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</si>
  <si>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</si>
  <si>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</si>
  <si>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</si>
  <si>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</si>
  <si>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</si>
  <si>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</si>
  <si>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</si>
  <si>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</si>
  <si>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</si>
  <si>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</si>
  <si>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</si>
  <si>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</si>
  <si>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</si>
  <si>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</si>
  <si>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</si>
  <si>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</si>
  <si>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</si>
  <si>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</si>
  <si>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</si>
  <si>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</si>
  <si>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</si>
  <si>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</si>
  <si>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</si>
  <si>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</si>
  <si>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</si>
  <si>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</si>
  <si>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</si>
  <si>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</si>
  <si>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</si>
  <si>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</si>
  <si>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</si>
  <si>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</si>
  <si>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</si>
  <si>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</si>
  <si>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</si>
  <si>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</si>
  <si>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</si>
  <si>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</si>
  <si>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</si>
  <si>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</si>
  <si>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</si>
  <si>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</si>
  <si>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</si>
  <si>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</si>
  <si>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</si>
  <si>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</si>
  <si>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</si>
  <si>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</si>
  <si>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</si>
  <si>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</si>
  <si>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</si>
  <si>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</si>
  <si>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</si>
  <si>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</si>
  <si>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</si>
  <si>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</si>
  <si>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</si>
  <si>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</si>
  <si>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</si>
  <si>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</si>
  <si>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</si>
  <si>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</si>
  <si>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</si>
  <si>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</si>
  <si>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</si>
  <si>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</si>
  <si>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</si>
  <si>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</si>
  <si>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</si>
  <si>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</si>
  <si>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</si>
  <si>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</si>
  <si>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</si>
  <si>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</si>
  <si>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</si>
  <si>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</si>
  <si>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</si>
  <si>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</si>
  <si>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</si>
  <si>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</si>
  <si>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</si>
  <si>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</si>
  <si>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</si>
  <si>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</si>
  <si>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</si>
  <si>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</si>
  <si>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</si>
  <si>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</si>
  <si>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</si>
  <si>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</si>
  <si>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</si>
  <si>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</si>
  <si>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</si>
  <si>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</si>
  <si>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</si>
  <si>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</si>
  <si>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</si>
  <si>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</si>
  <si>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</si>
  <si>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</si>
  <si>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</si>
  <si>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</si>
  <si>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</si>
  <si>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</si>
  <si>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</si>
  <si>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</si>
  <si>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</si>
  <si>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</si>
  <si>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</si>
  <si>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</si>
  <si>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</si>
  <si>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</si>
  <si>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</si>
  <si>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</si>
  <si>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</si>
  <si>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</si>
  <si>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</si>
  <si>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</si>
  <si>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</si>
  <si>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</si>
  <si>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</si>
  <si>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</si>
  <si>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</si>
  <si>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</si>
  <si>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</si>
  <si>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</si>
  <si>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</si>
  <si>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</si>
  <si>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</si>
  <si>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</si>
  <si>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</si>
  <si>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</si>
  <si>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</si>
  <si>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</si>
  <si>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</si>
  <si>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</si>
  <si>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</si>
  <si>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</si>
  <si>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</si>
  <si>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</si>
  <si>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</si>
  <si>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</si>
  <si>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</si>
  <si>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</si>
  <si>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</si>
  <si>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</si>
  <si>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</si>
  <si>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</si>
  <si>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</si>
  <si>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</si>
  <si>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</si>
  <si>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</si>
  <si>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</si>
  <si>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</si>
  <si>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</si>
  <si>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</si>
  <si>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</si>
  <si>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</si>
  <si>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</si>
  <si>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</si>
  <si>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</si>
  <si>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</si>
  <si>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</si>
  <si>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</si>
  <si>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</si>
  <si>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</si>
  <si>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</si>
  <si>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</si>
  <si>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</si>
  <si>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</si>
  <si>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</si>
  <si>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</si>
  <si>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</si>
  <si>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</si>
  <si>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</si>
  <si>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</si>
  <si>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</si>
  <si>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</si>
  <si>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</si>
  <si>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</si>
  <si>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</si>
  <si>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</si>
  <si>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</si>
  <si>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</si>
  <si>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</si>
  <si>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</si>
  <si>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</si>
  <si>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</si>
  <si>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</si>
  <si>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</si>
  <si>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</si>
  <si>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</si>
  <si>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</si>
  <si>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</si>
  <si>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</si>
  <si>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</si>
  <si>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</si>
  <si>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</si>
  <si>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</si>
  <si>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</si>
  <si>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</si>
  <si>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</si>
  <si>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</si>
  <si>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</si>
  <si>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</si>
  <si>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</si>
  <si>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</si>
  <si>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</si>
  <si>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</si>
  <si>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</si>
  <si>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</si>
  <si>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</si>
  <si>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</si>
  <si>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</si>
  <si>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</si>
  <si>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</si>
  <si>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</si>
  <si>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</si>
  <si>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</si>
  <si>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</si>
  <si>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</si>
  <si>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</si>
  <si>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</si>
  <si>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</si>
  <si>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</si>
  <si>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</si>
  <si>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</si>
  <si>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</si>
  <si>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</si>
  <si>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</si>
  <si>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</si>
  <si>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</si>
  <si>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</si>
  <si>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</si>
  <si>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</si>
  <si>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</si>
  <si>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</si>
  <si>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</si>
  <si>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</si>
  <si>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</si>
  <si>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</si>
  <si>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</si>
  <si>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</si>
  <si>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</si>
  <si>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</si>
  <si>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</si>
  <si>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</si>
  <si>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</si>
  <si>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</si>
  <si>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</si>
  <si>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</si>
  <si>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</si>
  <si>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</si>
  <si>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</si>
  <si>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</si>
  <si>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</si>
  <si>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</si>
  <si>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</si>
  <si>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</si>
  <si>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</si>
  <si>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</si>
  <si>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</si>
  <si>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</si>
  <si>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</si>
  <si>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</si>
  <si>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</si>
  <si>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</si>
  <si>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</si>
  <si>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</si>
  <si>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</si>
  <si>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</si>
  <si>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</si>
  <si>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</si>
  <si>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</si>
  <si>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</si>
  <si>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</si>
  <si>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</si>
  <si>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</si>
  <si>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</si>
  <si>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</si>
  <si>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</si>
  <si>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</si>
  <si>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</si>
  <si>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</si>
  <si>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</si>
  <si>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</si>
  <si>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</si>
  <si>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</si>
  <si>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</si>
  <si>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</si>
  <si>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</si>
  <si>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</si>
  <si>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</si>
  <si>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</si>
  <si>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</si>
  <si>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</si>
  <si>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</si>
  <si>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</si>
  <si>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</si>
  <si>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</si>
  <si>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</si>
  <si>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</si>
  <si>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</si>
  <si>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</si>
  <si>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</si>
  <si>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</si>
  <si>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</si>
  <si>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</si>
  <si>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</si>
  <si>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</si>
  <si>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</si>
  <si>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</si>
  <si>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</si>
  <si>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</si>
  <si>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</si>
  <si>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</si>
  <si>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</si>
  <si>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</si>
  <si>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</si>
  <si>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</si>
  <si>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</si>
  <si>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</si>
  <si>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</si>
  <si>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</si>
  <si>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</si>
  <si>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</si>
  <si>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</si>
  <si>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</si>
  <si>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</si>
  <si>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</si>
  <si>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</si>
  <si>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</si>
  <si>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</si>
  <si>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</si>
  <si>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</si>
  <si>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</si>
  <si>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</si>
  <si>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</si>
  <si>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</si>
  <si>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</si>
  <si>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</si>
  <si>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</si>
  <si>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</si>
  <si>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</si>
  <si>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</si>
  <si>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</si>
  <si>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</si>
  <si>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</si>
  <si>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</si>
  <si>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</si>
  <si>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</si>
  <si>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</si>
  <si>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</si>
  <si>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</si>
  <si>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</si>
  <si>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</si>
  <si>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</si>
  <si>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</si>
  <si>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</si>
  <si>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</si>
  <si>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</si>
  <si>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</si>
  <si>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</si>
  <si>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</si>
  <si>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</si>
  <si>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</si>
  <si>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</si>
  <si>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</si>
  <si>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</si>
  <si>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</si>
  <si>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</si>
  <si>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</si>
  <si>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</si>
  <si>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</si>
  <si>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</si>
  <si>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</si>
  <si>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</si>
  <si>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</si>
  <si>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</si>
  <si>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</si>
  <si>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</si>
  <si>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</si>
  <si>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</si>
  <si>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</si>
  <si>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</si>
  <si>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</si>
  <si>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</si>
  <si>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</si>
  <si>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</si>
  <si>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</si>
  <si>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</si>
  <si>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</si>
  <si>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</si>
  <si>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</si>
  <si>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</si>
  <si>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</si>
  <si>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</si>
  <si>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</si>
  <si>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</si>
  <si>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</si>
  <si>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</si>
  <si>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</si>
  <si>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</si>
  <si>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</si>
  <si>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</si>
  <si>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</si>
  <si>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</si>
  <si>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</si>
  <si>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</si>
  <si>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</si>
  <si>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</si>
  <si>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</si>
  <si>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</si>
  <si>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</si>
  <si>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</si>
  <si>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</si>
  <si>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</si>
  <si>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</si>
  <si>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</si>
  <si>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</si>
  <si>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</si>
  <si>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</si>
  <si>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</si>
  <si>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</si>
  <si>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</si>
  <si>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</si>
  <si>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</si>
  <si>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</si>
  <si>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</si>
  <si>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</si>
  <si>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</si>
  <si>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</si>
  <si>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</si>
  <si>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</si>
  <si>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</si>
  <si>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</si>
  <si>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</si>
  <si>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</si>
  <si>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</si>
  <si>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</si>
  <si>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</si>
  <si>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</si>
  <si>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</si>
  <si>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</si>
  <si>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</si>
  <si>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</si>
  <si>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</si>
  <si>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</si>
  <si>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</si>
  <si>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</si>
  <si>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</si>
  <si>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</si>
  <si>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</si>
  <si>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</si>
  <si>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</si>
  <si>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</si>
  <si>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</si>
  <si>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</si>
  <si>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</si>
  <si>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</si>
  <si>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</si>
  <si>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</si>
  <si>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</si>
  <si>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</si>
  <si>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</si>
  <si>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</si>
  <si>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</si>
  <si>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</si>
  <si>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</si>
  <si>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</si>
  <si>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</si>
  <si>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</si>
  <si>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</si>
  <si>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</si>
  <si>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</si>
  <si>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</si>
  <si>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</si>
  <si>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</si>
  <si>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</si>
  <si>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</si>
  <si>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</si>
  <si>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</si>
  <si>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</si>
  <si>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</si>
  <si>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</si>
  <si>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</si>
  <si>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</si>
  <si>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</si>
  <si>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</si>
  <si>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</si>
  <si>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</si>
  <si>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</si>
  <si>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</si>
  <si>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</si>
  <si>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</si>
  <si>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</si>
  <si>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</si>
  <si>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</si>
  <si>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</si>
  <si>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</si>
  <si>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</si>
  <si>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</si>
  <si>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</si>
  <si>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</si>
  <si>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</si>
  <si>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</si>
  <si>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</si>
  <si>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</si>
  <si>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</si>
  <si>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</si>
  <si>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</si>
  <si>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</si>
  <si>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</si>
  <si>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</si>
  <si>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</si>
  <si>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</si>
  <si>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</si>
  <si>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</si>
  <si>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</si>
  <si>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</si>
  <si>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</si>
  <si>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</si>
  <si>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</si>
  <si>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</si>
  <si>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</si>
  <si>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</si>
  <si>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</si>
  <si>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</si>
  <si>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</si>
  <si>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</si>
  <si>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</si>
  <si>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</si>
  <si>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</si>
  <si>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</si>
  <si>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</si>
  <si>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</si>
  <si>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</si>
  <si>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</si>
  <si>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</si>
  <si>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</si>
  <si>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</si>
  <si>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</si>
  <si>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</si>
  <si>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</si>
  <si>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</si>
  <si>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</si>
  <si>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</si>
  <si>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</si>
  <si>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</si>
  <si>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</si>
  <si>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</si>
  <si>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</si>
  <si>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</si>
  <si>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</si>
  <si>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</si>
  <si>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</si>
  <si>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</si>
  <si>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</si>
  <si>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</si>
  <si>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</si>
  <si>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</si>
  <si>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</si>
  <si>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</si>
  <si>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</si>
  <si>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</si>
  <si>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</si>
  <si>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</si>
  <si>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</si>
  <si>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</si>
  <si>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</si>
  <si>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</si>
  <si>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</si>
  <si>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</si>
  <si>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</si>
  <si>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</si>
  <si>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</si>
  <si>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</si>
  <si>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</si>
  <si>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</si>
  <si>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</si>
  <si>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</si>
  <si>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</si>
  <si>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</si>
  <si>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</si>
  <si>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</si>
  <si>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</si>
  <si>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</si>
  <si>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</si>
  <si>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</si>
  <si>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</si>
  <si>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</si>
  <si>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</si>
  <si>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</si>
  <si>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</si>
  <si>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</si>
  <si>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</si>
  <si>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</si>
  <si>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</si>
  <si>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</si>
  <si>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</si>
  <si>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</si>
  <si>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</si>
  <si>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</si>
  <si>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</si>
  <si>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</si>
  <si>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</si>
  <si>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</si>
  <si>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</si>
  <si>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</si>
  <si>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</si>
  <si>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</si>
  <si>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</si>
  <si>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</si>
  <si>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</si>
  <si>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</si>
  <si>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</si>
  <si>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</si>
  <si>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</si>
  <si>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</si>
  <si>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</si>
  <si>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</si>
  <si>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</si>
  <si>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</si>
  <si>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</si>
  <si>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</si>
  <si>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</si>
  <si>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</si>
  <si>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</si>
  <si>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</si>
  <si>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</si>
  <si>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</si>
  <si>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</si>
  <si>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</si>
  <si>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</si>
  <si>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</si>
  <si>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</si>
  <si>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</si>
  <si>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</si>
  <si>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</si>
  <si>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</si>
  <si>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</si>
  <si>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</si>
  <si>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</si>
  <si>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</si>
  <si>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</si>
  <si>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</si>
  <si>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</si>
  <si>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</si>
  <si>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</si>
  <si>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</si>
  <si>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</si>
  <si>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</si>
  <si>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</si>
  <si>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</si>
  <si>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</si>
  <si>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</si>
  <si>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</si>
  <si>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</si>
  <si>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</si>
  <si>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</si>
  <si>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</si>
  <si>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</si>
  <si>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</si>
  <si>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</si>
  <si>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</si>
  <si>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</si>
  <si>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</si>
  <si>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</si>
  <si>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</si>
  <si>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</si>
  <si>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</si>
  <si>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</si>
  <si>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</si>
  <si>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</si>
  <si>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</si>
  <si>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</si>
  <si>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</si>
  <si>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</si>
  <si>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</si>
  <si>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</si>
  <si>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</si>
  <si>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</si>
  <si>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</si>
  <si>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</si>
  <si>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</si>
  <si>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</si>
  <si>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</si>
  <si>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</si>
  <si>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</si>
  <si>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</si>
  <si>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</si>
  <si>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</si>
  <si>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</si>
  <si>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</si>
  <si>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</si>
  <si>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</si>
  <si>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</si>
  <si>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</si>
  <si>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</si>
  <si>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</si>
  <si>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</si>
  <si>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</si>
  <si>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</si>
  <si>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</si>
  <si>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</si>
  <si>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</si>
  <si>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</si>
  <si>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</si>
  <si>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</si>
  <si>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</si>
  <si>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</si>
  <si>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</si>
  <si>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</si>
  <si>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</si>
  <si>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</si>
  <si>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</si>
  <si>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</si>
  <si>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</si>
  <si>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</si>
  <si>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</si>
  <si>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</si>
  <si>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</si>
  <si>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</si>
  <si>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</si>
  <si>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</si>
  <si>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</si>
  <si>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</si>
  <si>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</si>
  <si>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</si>
  <si>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</si>
  <si>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</si>
  <si>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</si>
  <si>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</si>
  <si>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</si>
  <si>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</si>
  <si>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</si>
  <si>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</si>
  <si>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</si>
  <si>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</si>
  <si>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</si>
  <si>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</si>
  <si>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</si>
  <si>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</si>
  <si>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</si>
  <si>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</si>
  <si>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</si>
  <si>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</si>
  <si>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</si>
  <si>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</si>
  <si>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</si>
  <si>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</si>
  <si>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</si>
  <si>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</si>
  <si>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</si>
  <si>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</si>
  <si>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</si>
  <si>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</si>
  <si>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</si>
  <si>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</si>
  <si>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</si>
  <si>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</si>
  <si>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</si>
  <si>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</si>
  <si>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</si>
  <si>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</si>
  <si>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</si>
  <si>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</si>
  <si>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</si>
  <si>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</si>
  <si>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</si>
  <si>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</si>
  <si>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</si>
  <si>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</si>
  <si>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</si>
  <si>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</si>
  <si>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</si>
  <si>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</si>
  <si>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</si>
  <si>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</si>
  <si>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</si>
  <si>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</si>
  <si>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</si>
  <si>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</si>
  <si>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</si>
  <si>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</si>
  <si>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</si>
  <si>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</si>
  <si>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</si>
  <si>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</si>
  <si>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</si>
  <si>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</si>
  <si>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</si>
  <si>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</si>
  <si>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</si>
  <si>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</si>
  <si>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</si>
  <si>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</si>
  <si>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</si>
  <si>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</si>
  <si>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</si>
  <si>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</si>
  <si>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</si>
  <si>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</si>
  <si>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</si>
  <si>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</si>
  <si>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</si>
  <si>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</si>
  <si>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</si>
  <si>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</si>
  <si>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</si>
  <si>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</si>
  <si>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</si>
  <si>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</si>
  <si>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</si>
  <si>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</si>
  <si>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</si>
  <si>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</si>
  <si>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</si>
  <si>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</si>
  <si>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</si>
  <si>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</si>
  <si>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</si>
  <si>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</si>
  <si>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</si>
  <si>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</si>
  <si>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</si>
  <si>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</si>
  <si>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</si>
  <si>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</si>
  <si>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</si>
  <si>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</si>
  <si>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</si>
  <si>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</si>
  <si>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</si>
  <si>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</si>
  <si>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</si>
  <si>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</si>
  <si>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</si>
  <si>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</si>
  <si>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</si>
  <si>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</si>
  <si>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</si>
  <si>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</si>
  <si>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</si>
  <si>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</si>
  <si>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</si>
  <si>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</si>
  <si>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</si>
  <si>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</si>
  <si>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</si>
  <si>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</si>
  <si>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</si>
  <si>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</si>
  <si>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</si>
  <si>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</si>
  <si>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</si>
  <si>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</si>
  <si>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</si>
  <si>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</si>
  <si>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</si>
  <si>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</si>
  <si>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</si>
  <si>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</si>
  <si>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</si>
  <si>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</si>
  <si>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</si>
  <si>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</si>
  <si>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</si>
  <si>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</si>
  <si>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</si>
  <si>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</si>
  <si>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</si>
  <si>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</si>
  <si>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</si>
  <si>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</si>
  <si>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</si>
  <si>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</si>
  <si>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</si>
  <si>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</si>
  <si>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</si>
  <si>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</si>
  <si>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</si>
  <si>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</si>
  <si>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</si>
  <si>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</si>
  <si>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</si>
  <si>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</si>
  <si>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</si>
  <si>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</si>
  <si>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</si>
  <si>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</si>
  <si>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</si>
  <si>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</si>
  <si>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</si>
  <si>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</si>
  <si>
    <t>Deck Size: What it used to be, when you were human.
Deckbuilding Options: Yithians can't build decks.
Deckbuilding Requirements: Do you remember...?</t>
  </si>
  <si>
    <t>Pillars of Judgement</t>
  </si>
  <si>
    <t>Knyan</t>
  </si>
  <si>
    <t>The Depths Beneath</t>
  </si>
  <si>
    <t>η: Check your supplies.If you have a map, look at the top 2 cards of the exploration deck. Discard each treachery looked at by this effect. Shuffle the exploration deck.</t>
  </si>
  <si>
    <t>0494b53f-d03c-42ff-b7c8-f5185babe0e9</t>
  </si>
  <si>
    <t>The Depths of Yoth</t>
  </si>
  <si>
    <t>TDOY</t>
  </si>
  <si>
    <t>4ee386b3-19fe-4718-8546-d092ae121791</t>
  </si>
  <si>
    <t>AV</t>
  </si>
  <si>
    <t>Handcuffs</t>
  </si>
  <si>
    <t>Item. Police.</t>
  </si>
  <si>
    <t>η If Handcuffs is not attached to an enemy: Evade. Use only on a [[Humanoid]] enemy. This evasion attempt uses ή instead of ί. If you succeed, attach Handcuffs to the just-evaded enemy._x000D_
If the attached enemy is non-[[Elite]], it cannot ready and doom cannot be placed on it.</t>
  </si>
  <si>
    <t>e18601aa-21ed-4468-8e2c-a613bfd1f75a</t>
  </si>
  <si>
    <t>Blood Eclipse</t>
  </si>
  <si>
    <t>As an additional cost to play Blood Eclipse, take up to 3 damage._x000D_
Fight. This attack uses ά instead of ή. You get +1 ά and deal +1 damage for this attack for each damage taken as part of this card's cost.</t>
  </si>
  <si>
    <t>336f8a91-80d9-4e56-9319-9c54d177472e</t>
  </si>
  <si>
    <t>Feed the Mind</t>
  </si>
  <si>
    <t>Uses (3 secrets)._x000D_
η Exhaust Feed the Mind and spend 1 secret: Test έ (0). For each point you succeed by, draw 1 card. Then, take 1 horror for each card in your hand in excess of your maximum hand size.</t>
  </si>
  <si>
    <t>80f17c0a-b83a-4005-b263-0266b7b6b706</t>
  </si>
  <si>
    <t>Colt Vest Pocket</t>
  </si>
  <si>
    <t>Uses (5 ammo)._x000D_
η Spend 1 ammo: Fight. You get +1 ή for this attack. This attack deals +1 damage._x000D_
Forced - At the end of the round: Discard Colt Vest Pocket.</t>
  </si>
  <si>
    <t>2fbc296b-cf99-4e32-bafe-b5b7f2f184cd</t>
  </si>
  <si>
    <t>Coup de Grâce</t>
  </si>
  <si>
    <t>Tactic. Fated.</t>
  </si>
  <si>
    <t>Deal 1 damage to an enemy at your location. If this effect defeats that enemy, draw 1 card. If it is your turn, end your turn. This action does not provoke attacks of opportunity.</t>
  </si>
  <si>
    <t>4e70891d-c8cf-4b97-af2e-01f295ebf389</t>
  </si>
  <si>
    <t>The Skeleton Key</t>
  </si>
  <si>
    <t>Exceptional. Fast._x000D_
η: Attach The Skeleton Key to your location. If it is already attached to your location, detach it and return it to your play area instead._x000D_
Set the attached location's shroud value to 1.</t>
  </si>
  <si>
    <t>df1b6b4d-f263-4c9a-9a30-6ed8c1353208</t>
  </si>
  <si>
    <t>Uses (5 charges)._x000D_
η Spend 1 charge: Evade. This evasion attempt uses ά instead of ί. You get +3 ά for this evasion attempt. If you succeed, after evading the chosen enemy, you may move to a connecting location. If a α, β, γ, δ, or ζ symbol is revealed during this evasion attempt, choose and discard a card from your hand.</t>
  </si>
  <si>
    <t>655e57bc-72fc-4bb6-b971-dc8cb8d96519</t>
  </si>
  <si>
    <t>Winging It</t>
  </si>
  <si>
    <t>You may play Winging It from your discard pile. If you do, shuffle it into your deck after resolving its effects._x000D_
Investigate. Your location gets -1 shroud for this investigation. (If you played Winging It from your discard pile, discover 1 additional clue if you succeed.)</t>
  </si>
  <si>
    <t>2990c62d-efff-4442-9084-97e491b814e6</t>
  </si>
  <si>
    <t>Old Hunting Rifle</t>
  </si>
  <si>
    <t>Uses (3 ammo)._x000D_
η Spend 1 ammo: Fight. You get +3 ή and deal +2 damage for this attack. If a α or ζ symbol is revealed during this attack, the rifle jams. (This attack automatically fails. Before you can activate this ability again, you must perform the following ability: "η: You clear the jam.")</t>
  </si>
  <si>
    <t>83868b15-c1e5-40b7-b248-e7bb29904491</t>
  </si>
  <si>
    <t>Thermos</t>
  </si>
  <si>
    <t>Uses (3 supplies)._x000D_
η Spend 1 supply, exhaust Thermos: Heal 1 damage from an investigator at your location (2 damage instead if he or she has 2 or more physical trauma)._x000D_
η Spend 1 supply, exhaust Thermos: Heal 1 horror from an investigator at your location (2 horror instead if he or she has 2 or more mental trauma).</t>
  </si>
  <si>
    <t>d8c9c917-aec2-4bc1-93dc-3b3cd1d44135</t>
  </si>
  <si>
    <t>Hemispheric Map</t>
  </si>
  <si>
    <t>While your current location is connected to at least 2 other locations, you get +1 ά and +1 έ._x000D_
While your current location is connected to at least 4 other locations, you get an additional +1 ά and +1 έ.</t>
  </si>
  <si>
    <t>6705ff5f-bf95-4310-83d6-30fb1684e8ae</t>
  </si>
  <si>
    <t>Timeworn Brand</t>
  </si>
  <si>
    <t>η If Timeworn Brand is ready: Fight. You get +2 ή and deal +1 damage for this attack._x000D_
η Exhaust Timeworn Brand: Fight. Add your ά to your skill value for this attack. This attack deals +3 damage. If this attack defeats an [[Elite]] enemy, draw 3 cards. (Max once per game.)</t>
  </si>
  <si>
    <t>6876db05-c1e2-4e46-b172-1739f700f716</t>
  </si>
  <si>
    <t>Easy / Standard_x000D_
α: -X. X is the current depth level._x000D_
β: Reveal another token. If you fail, each [[Serpent]] enemy at your location or a connecting location heals 2 damage._x000D_
γ: Reveal another token. If you fail, place 1 clue on your location (from the token pool)._x000D_
δ: -2. If there are 3 or more vengeance points in the victory display, you automatically fail this test, instead.</t>
  </si>
  <si>
    <t>Hard / Expert_x000D_
α: -X. X is the current depth level. If you fail, take 1 horror._x000D_
β: Reveal another token. If you fail, each [[Serpent]] enemy at your location or a connecting location heals 2 damage._x000D_
γ: Reveal another token. If you fail, place 1 clue on your location (from the token pool)._x000D_
δ: -4. If there are 3 or more vengeance points in the victory display, you automatically fail this test, instead.</t>
  </si>
  <si>
    <t>3fc2759d-a3a7-45b2-be16-854895115bbc</t>
  </si>
  <si>
    <t>The Descent Begins</t>
  </si>
  <si>
    <t>City of the Damned</t>
  </si>
  <si>
    <t>Find the enemy that is in pursuit with the highest evade value, and spawn it in the location where the investigators began at this depth level.</t>
  </si>
  <si>
    <t>464121d8-849d-4945-a07d-7169286e7369</t>
  </si>
  <si>
    <t>Horrific Descent</t>
  </si>
  <si>
    <t>Fountain of Venom</t>
  </si>
  <si>
    <t>Find the enemy that is in pursuit with the highest evade value, and spawn it at the location where the investigators began at this depth level._x000D_
Check your supplies. If an investigator has a canteen, that investigator must decide: _x000D_
- This could be useful. Remember that you have "collected a strange liquid."_x000D_
- I'm not going anywhere near that.You suffer no ill effects.</t>
  </si>
  <si>
    <t>de6357c3-3817-404d-9272-8060ee0763f1</t>
  </si>
  <si>
    <t>Endless Caverns</t>
  </si>
  <si>
    <t>Deep below the Earth</t>
  </si>
  <si>
    <t>Find the enemy that is in pursuit with the highest evade value, and spawn it at the location where the investigators began at this depth level._x000D_
The lead investigator chooses one investigator to be the group's scout. That investigator checks his or her supplies._x000D_
If the scout has rope, he or she is able to climb up with ease, and the investigators suffer no ill effects. _x000D_
If the scout does not have rope, he or she must test ή or ί (5). If the performing investigator fails, he or she makes it to the top but suffers 1 physical trauma from the exhaustion of the climb.</t>
  </si>
  <si>
    <t>94b133fb-3875-4499-be79-a7bfbab1b78e</t>
  </si>
  <si>
    <t>City of Blood</t>
  </si>
  <si>
    <t>The Sleeper's Pursuit</t>
  </si>
  <si>
    <t>If the Harbinger of Valusia is set aside, move it to the pursuit area._x000D_
Find the enemy that is in pursuit with the highest evade value, and spawn it at the location where the investigators began at this depth level.</t>
  </si>
  <si>
    <t>4a422def-881a-45e7-aeb8-31c4defb0e7c</t>
  </si>
  <si>
    <t>Fury That Shakes the Earth</t>
  </si>
  <si>
    <t>Forced - After the third doom is placed on this agenda: Find the enemy that is in pursuit with the highest evade value, and spawn it at the location where the investigators began at this depth level.</t>
  </si>
  <si>
    <t>Yig Emerges</t>
  </si>
  <si>
    <t>Find the enemy that is in pursuit with the highest evade value, and spawn it at the location where the investigators began at this depth level._x000D_
If Yig is set aside:_x000D_
The ground shakes with each of the massive creature's steps. He crushes the stone beneath his mighty feet, tearing through walls with his clawed, scaly hands. He sets his hateful eyes on you, unhinging his jaw in a cruel display of hunger._x000D_
Spawn Yig in the location where the investigators began at this depth level.</t>
  </si>
  <si>
    <t>3055b330-ea7e-47b0-8b7b-0db55b041b2e</t>
  </si>
  <si>
    <t>The Red Depths</t>
  </si>
  <si>
    <t>Forced - After any amount of doom is placed on this agenda: Find the enemy that is in pursuit with the highest evade value, and spawn it at the location where the investigators began at this depth level.</t>
  </si>
  <si>
    <t>The Serpents' Final Bite</t>
  </si>
  <si>
    <t>Find the enemy that is in pursuit with the highest evade value, and spawn it in the location where the investigators began at this depth level._x000D_
Until the end of the scenario, the current agenda gains: "Forced - After any amount of doom is placed on the current agenda: Find the enemy that is in pursuit with the highest evade value, and spawn it in the location where the investigators began at this depth level."_x000D_
Place this card in the pursuit area with this side faceup, as a reminder.</t>
  </si>
  <si>
    <t>895f706a-3263-4cc1-b5ff-3fc157def818</t>
  </si>
  <si>
    <t>VENGEANCE</t>
  </si>
  <si>
    <t>Forced - At the end of the 'check doom threshold' step of the mythos phase: The investigators must draw 1 additional encounter card for each doom in play, in player order._x000D_
Objective - If each investigator is defeated, advance this agenda.</t>
  </si>
  <si>
    <t>The Chasm</t>
  </si>
  <si>
    <t>1f204153-9aa1-4c95-9e5d-deb7b8b16481</t>
  </si>
  <si>
    <t>Journey to the Nexus</t>
  </si>
  <si>
    <t>η If there are no clues on your location: Explore. Draw the top card of the exploration deck. If it is a connecting location, put it into play and move to it._x000D_
Objective - At the end of the round, if investigators at Steps of Yoth possess the requisite number of clues, they may advance. (Beware - any investigator who is not at Steps of Yoth will be defeated.)</t>
  </si>
  <si>
    <t>One Level Deeper</t>
  </si>
  <si>
    <t>Add 1 resource to the current depth level. If the current depth level is 5+ and you are playing in Campaign Mode, go to (-&gt;R2)._x000D_
Otherwise, perform the following:_x000D_
- Each investigator who is not at Steps of Yoth is left behind and is defeated. Each surviving investigator loses each of his or her clues. _x000D_
- Move each enemy in play to the pursuit area._x000D_
- Remove all doom from locations in play. Set each location in play and in the exploration deck aside, out of play. Investigators are not defeated during this process._x000D_
- Draw a random set-aside location other than Steps of Yoth, put it into play, and place each surviving investigator at that location._x000D_
- Create a new exploration deck consisting of Steps of Yoth and 4 other random set-aside locations. Shuffle the exploration deck._x000D_
- Flip this act back over. Journey as deep as you can…</t>
  </si>
  <si>
    <t>1ec867c4-b0c0-42e4-8b6a-f57f83c74eca</t>
  </si>
  <si>
    <t>Steps of Yoth</t>
  </si>
  <si>
    <t>Ancient. Forgotten. Yoth.</t>
  </si>
  <si>
    <t>ι When adding to the current depth level, if investigators at Steps of Yoth possess 5π clues as a group, an investigator at Steps of Yoth crosses rope off from his or her supplies: Add 1 additional resource to the current depth level. (Max once per game.)</t>
  </si>
  <si>
    <t>93d0dc54-236b-40c9-abb0-60fac45d6b04</t>
  </si>
  <si>
    <t>City of the Serpents</t>
  </si>
  <si>
    <t>Ancient. Cave. Yoth.</t>
  </si>
  <si>
    <t>While City of the Serpents has no clues on it, it is considered to be in the victory display (for the purposes of counting vengeance).</t>
  </si>
  <si>
    <t>0b0c6e37-8804-4eb2-a2e3-dfa2b6666114</t>
  </si>
  <si>
    <t>Hall of Heresy</t>
  </si>
  <si>
    <t>While an investigator is in Hall of Heresy, it is considered to be in the victory display (for the purposes of counting vengeance).</t>
  </si>
  <si>
    <t>41fa1d15-e606-486f-bbc0-3c59a68e7ae4</t>
  </si>
  <si>
    <t>Crumbling Precipice</t>
  </si>
  <si>
    <t>Forced - When you attempt to explore while at Crumbling Precipice: Test ά (4). If you fail, test ί (3). If you fail, test ή (2). If you fail, you fall to your death and are killed. (If you succeed at any of these tests, you explore as usual.)</t>
  </si>
  <si>
    <t>07ac1e64-3486-4504-b111-359b9049fa2f</t>
  </si>
  <si>
    <t>Caverns of Yoth</t>
  </si>
  <si>
    <t>Forced - After Caverns of Yoth enters play: Place clues on it equal to the current depth level.</t>
  </si>
  <si>
    <t>b94c4560-7fe7-4d19-aea8-e0cac3781d47</t>
  </si>
  <si>
    <t>Forked Path</t>
  </si>
  <si>
    <t>Forced - When you explore while at Forked Path, check your supplies. If you have a map: Continue drawing cards from the exploration deck until you have drawn 2 connecting locations, if able. Put both of those locations into play and choose 1 to move to.</t>
  </si>
  <si>
    <t>84d4bc64-aa84-4ede-a0eb-ab858ad14ded</t>
  </si>
  <si>
    <t>Bridge over N'kai</t>
  </si>
  <si>
    <t>Bridge over N'kai gets +1 shroud for each vengeance point in the victory display.</t>
  </si>
  <si>
    <t>1b7152da-96ae-4bd9-a778-23bbcb4a3ed3</t>
  </si>
  <si>
    <t>Broken Passage</t>
  </si>
  <si>
    <t>Forced - When you explore while at Broken Passage, check your supplies. If you do not have a pickaxe: Place 1 doom on Broken Passage.</t>
  </si>
  <si>
    <t>48708e1a-6021-40d0-ad6c-7d9a5ef894ad</t>
  </si>
  <si>
    <t>Abandoned Site</t>
  </si>
  <si>
    <t>X is the current depth level.</t>
  </si>
  <si>
    <t>e6a9042c-94a9-4ee1-b485-c74086f2a36a</t>
  </si>
  <si>
    <t>Bright Canyon</t>
  </si>
  <si>
    <t>Forced - After you enter Bright Canyon, if you are poisoned: Take 1 damage._x000D_
η: Check your supplies. If you have binoculars, discover 2 clues on Bright Canyon. (Group limit once each depth level.)</t>
  </si>
  <si>
    <t>736032a4-bfdd-408e-8547-5148a271bc34</t>
  </si>
  <si>
    <t>Yig</t>
  </si>
  <si>
    <t>The Father of Serpents</t>
  </si>
  <si>
    <t>Ancient One. Serpent. Elite.</t>
  </si>
  <si>
    <t>Hunter. Massive._x000D_
Yig gets +6π health._x000D_
Yig cannot be damaged while there is another ready [[Serpent]] enemy at its location._x000D_
Each other [[Serpent]] enemy at Yig's location gains alert and retaliate.</t>
  </si>
  <si>
    <t>fd16f750-79d2-432a-ad22-410720cd76b0</t>
  </si>
  <si>
    <t>Pit Warden</t>
  </si>
  <si>
    <t>Spawn - If Yig is in play, spawn Pit Warden at Yig's location. Otherwise, place Pit Warden in the pursuit area._x000D_
Hunter.</t>
  </si>
  <si>
    <t>47ce8ab2-7c1c-4f16-8940-125a8ba009e1</t>
  </si>
  <si>
    <t>Eater of the Depths</t>
  </si>
  <si>
    <t>Spawn - Put a random set-aside location into play and spawn Eater of the Depths there._x000D_
Hunter. Massive._x000D_
X is the current depth level.</t>
  </si>
  <si>
    <t>7896d01c-88e8-4cd3-b8ba-d5f90e85c7f3</t>
  </si>
  <si>
    <t>Children of Valusia</t>
  </si>
  <si>
    <t>Revelation - Put Children of Valusia into play next to the agenda deck._x000D_
Each [[Serpent]] enemy gets +1 fight and +1 evade._x000D_
Forced - At the end of the round: Discard 1 copy of Children of Valusia from play. (Max once per round.)</t>
  </si>
  <si>
    <t>7df4c15d-ddbe-4f7e-967e-7b584a6a864d</t>
  </si>
  <si>
    <t>Lightless Shadow</t>
  </si>
  <si>
    <t>Revelation - Test ί (1). This test gets +X difficulty, where X is the current depth level. If you fail, take 2 damage.</t>
  </si>
  <si>
    <t>fc7b7c62-7ef8-41c7-8574-27a8cdbeb1d8</t>
  </si>
  <si>
    <t>Bathophobia</t>
  </si>
  <si>
    <t>Revelation - Test ά (1). This test gets +X difficulty, where X is the current depth level. If you fail, take 2 horror.</t>
  </si>
  <si>
    <t>e9c86453-9774-48e1-8884-24feefa208ab</t>
  </si>
  <si>
    <t>Serpent's Ire</t>
  </si>
  <si>
    <t>Revelation - If there are no [[Serpent]] enemies in pursuit, Serpent's Ire gains surge. Otherwise, find the [[Serpent]] enemy in pursuit with the highest fight value and spawn it engaged with you. If an enemy is spawned by this effect, test ί (X), where X is that enemy's fight value. If you fail, that enemy immediately attacks you.</t>
  </si>
  <si>
    <t>e672cb77-056e-4f2e-95ba-3a8484e751c7</t>
  </si>
  <si>
    <t>Repossess the Past</t>
  </si>
  <si>
    <t>θ Exhaust Relic of Ages: Test ά or έ (4). If you succeed, remove 1 doom from any card in play. (Max one success per game.)</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</si>
</sst>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9"/>
      <color theme="1"/>
      <name val="Calibri"/>
      <family val="2"/>
      <scheme val="minor"/>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87">
    <xf numFmtId="0" fontId="0" fillId="0" borderId="0" xfId="0"/>
    <xf numFmtId="0" fontId="2" fillId="0" borderId="0" xfId="0" applyFont="1"/>
    <xf numFmtId="0" fontId="3" fillId="0" borderId="0" xfId="0" applyFont="1" applyBorder="1"/>
    <xf numFmtId="49" fontId="5" fillId="0" borderId="0" xfId="0" applyNumberFormat="1" applyFont="1" applyBorder="1"/>
    <xf numFmtId="0" fontId="1" fillId="0" borderId="0" xfId="0" applyFont="1"/>
    <xf numFmtId="0" fontId="6" fillId="0" borderId="0" xfId="0" applyFont="1"/>
    <xf numFmtId="49" fontId="1" fillId="0" borderId="0" xfId="0" applyNumberFormat="1" applyFont="1"/>
    <xf numFmtId="0" fontId="4" fillId="0" borderId="1" xfId="0" applyFont="1" applyBorder="1" applyAlignment="1">
      <alignment horizontal="center"/>
    </xf>
    <xf numFmtId="0" fontId="1" fillId="0" borderId="0" xfId="0" applyFont="1" applyFill="1"/>
    <xf numFmtId="0" fontId="7" fillId="3" borderId="0" xfId="0" applyFont="1" applyFill="1"/>
    <xf numFmtId="49" fontId="7" fillId="3" borderId="0" xfId="0" applyNumberFormat="1" applyFont="1" applyFill="1" applyBorder="1"/>
    <xf numFmtId="0" fontId="7" fillId="3" borderId="1" xfId="0" applyFont="1" applyFill="1" applyBorder="1"/>
    <xf numFmtId="0" fontId="0" fillId="0" borderId="0" xfId="0" applyAlignment="1">
      <alignment wrapText="1"/>
    </xf>
    <xf numFmtId="0" fontId="6" fillId="0" borderId="1" xfId="0" applyFont="1" applyFill="1" applyBorder="1" applyAlignment="1">
      <alignment horizontal="center"/>
    </xf>
    <xf numFmtId="0" fontId="6" fillId="0" borderId="0" xfId="0" applyFont="1" applyFill="1"/>
    <xf numFmtId="0" fontId="6" fillId="0" borderId="6" xfId="0" applyFont="1" applyFill="1" applyBorder="1" applyAlignment="1">
      <alignment horizontal="center"/>
    </xf>
    <xf numFmtId="0" fontId="8" fillId="0" borderId="0" xfId="0" applyFont="1"/>
    <xf numFmtId="0" fontId="8" fillId="0" borderId="0" xfId="0" applyFont="1" applyAlignment="1">
      <alignment horizontal="center"/>
    </xf>
    <xf numFmtId="0" fontId="5" fillId="0" borderId="0" xfId="0" applyFont="1" applyBorder="1" applyAlignment="1">
      <alignment wrapText="1"/>
    </xf>
    <xf numFmtId="0" fontId="6" fillId="0" borderId="0" xfId="0" applyFont="1" applyFill="1" applyBorder="1"/>
    <xf numFmtId="49" fontId="6" fillId="0" borderId="0" xfId="0" quotePrefix="1" applyNumberFormat="1" applyFont="1" applyFill="1" applyBorder="1"/>
    <xf numFmtId="0" fontId="9" fillId="0" borderId="0" xfId="0" applyFont="1" applyAlignment="1">
      <alignment horizontal="center"/>
    </xf>
    <xf numFmtId="0" fontId="0" fillId="0" borderId="0" xfId="0" applyAlignment="1">
      <alignment horizontal="center"/>
    </xf>
    <xf numFmtId="0" fontId="11" fillId="0" borderId="0" xfId="0" applyFont="1" applyAlignment="1">
      <alignment horizontal="left" vertical="top" wrapText="1"/>
    </xf>
    <xf numFmtId="0" fontId="11" fillId="0" borderId="0" xfId="0" applyNumberFormat="1" applyFont="1" applyAlignment="1">
      <alignment horizontal="left" vertical="top" wrapText="1"/>
    </xf>
    <xf numFmtId="0" fontId="11" fillId="0" borderId="7" xfId="0" applyNumberFormat="1" applyFont="1" applyBorder="1" applyAlignment="1">
      <alignment horizontal="left" vertical="top" wrapText="1"/>
    </xf>
    <xf numFmtId="0" fontId="11" fillId="12" borderId="0" xfId="0" applyFont="1" applyFill="1" applyAlignment="1">
      <alignment horizontal="left" vertical="top" wrapText="1"/>
    </xf>
    <xf numFmtId="0" fontId="11" fillId="12" borderId="0" xfId="0" applyNumberFormat="1" applyFont="1" applyFill="1" applyAlignment="1">
      <alignment horizontal="left" vertical="top" wrapText="1"/>
    </xf>
    <xf numFmtId="0" fontId="11" fillId="0" borderId="0" xfId="0" applyFont="1" applyFill="1" applyAlignment="1">
      <alignment horizontal="left" vertical="top" wrapText="1"/>
    </xf>
    <xf numFmtId="0" fontId="11" fillId="8" borderId="2" xfId="0" applyFont="1" applyFill="1" applyBorder="1" applyAlignment="1">
      <alignment horizontal="left" vertical="top" wrapText="1"/>
    </xf>
    <xf numFmtId="11" fontId="11" fillId="0" borderId="0" xfId="0" applyNumberFormat="1" applyFont="1" applyAlignment="1">
      <alignment horizontal="left" vertical="top" wrapText="1"/>
    </xf>
    <xf numFmtId="0" fontId="11" fillId="0" borderId="0" xfId="0" applyNumberFormat="1" applyFont="1" applyFill="1" applyAlignment="1">
      <alignment horizontal="left" vertical="top" wrapText="1"/>
    </xf>
    <xf numFmtId="0" fontId="11" fillId="0" borderId="7" xfId="0" applyFont="1" applyBorder="1" applyAlignment="1">
      <alignment horizontal="left" vertical="top" wrapText="1"/>
    </xf>
    <xf numFmtId="0" fontId="11" fillId="0" borderId="0" xfId="0" applyFont="1" applyAlignment="1">
      <alignment horizontal="left" vertical="top"/>
    </xf>
    <xf numFmtId="49" fontId="6" fillId="17" borderId="0" xfId="0" applyNumberFormat="1" applyFont="1" applyFill="1"/>
    <xf numFmtId="0" fontId="1" fillId="16" borderId="0" xfId="0" applyFont="1" applyFill="1" applyBorder="1"/>
    <xf numFmtId="49" fontId="6" fillId="16" borderId="0" xfId="0" quotePrefix="1" applyNumberFormat="1" applyFont="1" applyFill="1" applyBorder="1"/>
    <xf numFmtId="0" fontId="6" fillId="16" borderId="0" xfId="0" applyFont="1" applyFill="1"/>
    <xf numFmtId="49" fontId="6" fillId="16" borderId="0" xfId="0" applyNumberFormat="1" applyFont="1" applyFill="1"/>
    <xf numFmtId="0" fontId="1" fillId="17" borderId="0" xfId="0" applyFont="1" applyFill="1"/>
    <xf numFmtId="0" fontId="11" fillId="17" borderId="0" xfId="0" applyFont="1" applyFill="1" applyAlignment="1">
      <alignment horizontal="left" vertical="top" wrapText="1"/>
    </xf>
    <xf numFmtId="0" fontId="11" fillId="2" borderId="0" xfId="0" applyFont="1" applyFill="1" applyAlignment="1">
      <alignment horizontal="left" vertical="top" wrapText="1"/>
    </xf>
    <xf numFmtId="0" fontId="8" fillId="0" borderId="0" xfId="0" applyFont="1" applyAlignment="1">
      <alignment horizontal="left" vertical="top"/>
    </xf>
    <xf numFmtId="0" fontId="8" fillId="0" borderId="0" xfId="0" applyFont="1" applyAlignment="1">
      <alignment horizontal="left" vertical="top" wrapText="1"/>
    </xf>
    <xf numFmtId="0" fontId="10" fillId="3" borderId="0" xfId="0" applyFont="1" applyFill="1" applyAlignment="1">
      <alignment horizontal="left" textRotation="180" wrapText="1"/>
    </xf>
    <xf numFmtId="0" fontId="10" fillId="3" borderId="0" xfId="0" applyNumberFormat="1" applyFont="1" applyFill="1" applyAlignment="1">
      <alignment horizontal="left" textRotation="180" wrapText="1"/>
    </xf>
    <xf numFmtId="0" fontId="10" fillId="3" borderId="0" xfId="0" applyFont="1" applyFill="1" applyAlignment="1">
      <alignment horizontal="left" wrapText="1"/>
    </xf>
    <xf numFmtId="0" fontId="10" fillId="3" borderId="0" xfId="0" applyNumberFormat="1" applyFont="1" applyFill="1" applyAlignment="1">
      <alignment horizontal="left" wrapText="1"/>
    </xf>
    <xf numFmtId="0" fontId="10" fillId="11" borderId="0" xfId="0" applyFont="1" applyFill="1" applyAlignment="1">
      <alignment horizontal="left" wrapText="1"/>
    </xf>
    <xf numFmtId="0" fontId="10" fillId="11" borderId="0" xfId="0" applyFont="1" applyFill="1" applyAlignment="1">
      <alignment horizontal="left" textRotation="180" wrapText="1"/>
    </xf>
    <xf numFmtId="0" fontId="10" fillId="11" borderId="0" xfId="0" applyNumberFormat="1" applyFont="1" applyFill="1" applyAlignment="1">
      <alignment horizontal="left" wrapText="1"/>
    </xf>
    <xf numFmtId="0" fontId="13" fillId="15" borderId="0" xfId="0" applyFont="1" applyFill="1" applyAlignment="1">
      <alignment horizontal="left" wrapText="1"/>
    </xf>
    <xf numFmtId="0" fontId="14" fillId="0" borderId="0" xfId="0" applyFont="1" applyAlignment="1">
      <alignment horizontal="left" vertical="top"/>
    </xf>
    <xf numFmtId="0" fontId="11" fillId="2" borderId="0" xfId="0" applyNumberFormat="1" applyFont="1" applyFill="1" applyAlignment="1">
      <alignment horizontal="left" vertical="top"/>
    </xf>
    <xf numFmtId="0" fontId="11" fillId="2" borderId="0" xfId="0" applyFont="1" applyFill="1" applyAlignment="1">
      <alignment horizontal="left" vertical="top"/>
    </xf>
    <xf numFmtId="0" fontId="11" fillId="0" borderId="0" xfId="0" applyNumberFormat="1" applyFont="1" applyAlignment="1">
      <alignment horizontal="left" vertical="top"/>
    </xf>
    <xf numFmtId="0" fontId="10" fillId="3" borderId="0" xfId="0" applyNumberFormat="1" applyFont="1" applyFill="1" applyAlignment="1">
      <alignment horizontal="center" textRotation="180" wrapText="1"/>
    </xf>
    <xf numFmtId="0" fontId="10" fillId="3" borderId="2" xfId="0" applyNumberFormat="1" applyFont="1" applyFill="1" applyBorder="1" applyAlignment="1">
      <alignment horizontal="center" textRotation="180" wrapText="1"/>
    </xf>
    <xf numFmtId="0" fontId="10" fillId="3" borderId="2" xfId="0" applyFont="1" applyFill="1" applyBorder="1" applyAlignment="1">
      <alignment horizontal="center" textRotation="180" wrapText="1"/>
    </xf>
    <xf numFmtId="0" fontId="10" fillId="11" borderId="0" xfId="0" applyNumberFormat="1" applyFont="1" applyFill="1" applyAlignment="1">
      <alignment horizontal="center" textRotation="180" wrapText="1"/>
    </xf>
    <xf numFmtId="0" fontId="10" fillId="11" borderId="2" xfId="0" applyNumberFormat="1" applyFont="1" applyFill="1" applyBorder="1" applyAlignment="1">
      <alignment horizontal="center" textRotation="180" wrapText="1"/>
    </xf>
    <xf numFmtId="0" fontId="10" fillId="11" borderId="2" xfId="0" applyFont="1" applyFill="1" applyBorder="1" applyAlignment="1">
      <alignment horizontal="center" textRotation="180" wrapText="1"/>
    </xf>
    <xf numFmtId="0" fontId="11" fillId="0" borderId="0" xfId="0" applyNumberFormat="1" applyFont="1" applyAlignment="1">
      <alignment horizontal="center" vertical="top" wrapText="1"/>
    </xf>
    <xf numFmtId="0" fontId="11" fillId="9" borderId="2" xfId="0" applyNumberFormat="1" applyFont="1" applyFill="1" applyBorder="1" applyAlignment="1">
      <alignment horizontal="center" vertical="top" wrapText="1"/>
    </xf>
    <xf numFmtId="0" fontId="11" fillId="4" borderId="2" xfId="0" applyNumberFormat="1" applyFont="1" applyFill="1" applyBorder="1" applyAlignment="1">
      <alignment horizontal="center" vertical="top" wrapText="1"/>
    </xf>
    <xf numFmtId="0" fontId="11" fillId="10" borderId="2" xfId="0" applyNumberFormat="1" applyFont="1" applyFill="1" applyBorder="1" applyAlignment="1">
      <alignment horizontal="center" vertical="top" wrapText="1"/>
    </xf>
    <xf numFmtId="0" fontId="11" fillId="8" borderId="2" xfId="0" applyFont="1" applyFill="1" applyBorder="1" applyAlignment="1">
      <alignment horizontal="center" vertical="top" wrapText="1"/>
    </xf>
    <xf numFmtId="0" fontId="11" fillId="8" borderId="2" xfId="0" applyFont="1" applyFill="1" applyBorder="1" applyAlignment="1">
      <alignment horizontal="center" vertical="top"/>
    </xf>
    <xf numFmtId="0" fontId="11" fillId="7" borderId="2" xfId="0" applyFont="1" applyFill="1" applyBorder="1" applyAlignment="1">
      <alignment horizontal="center" vertical="top" wrapText="1"/>
    </xf>
    <xf numFmtId="0" fontId="12" fillId="13" borderId="2" xfId="0" applyNumberFormat="1" applyFont="1" applyFill="1" applyBorder="1" applyAlignment="1">
      <alignment horizontal="center" vertical="top" wrapText="1"/>
    </xf>
    <xf numFmtId="0" fontId="12" fillId="14" borderId="2" xfId="0" applyNumberFormat="1" applyFont="1" applyFill="1" applyBorder="1" applyAlignment="1">
      <alignment horizontal="center" vertical="top" wrapText="1"/>
    </xf>
    <xf numFmtId="0" fontId="11" fillId="6" borderId="2" xfId="0" applyNumberFormat="1" applyFont="1" applyFill="1" applyBorder="1" applyAlignment="1">
      <alignment horizontal="center" vertical="top" wrapText="1"/>
    </xf>
    <xf numFmtId="0" fontId="11" fillId="5" borderId="2" xfId="0" applyNumberFormat="1" applyFont="1" applyFill="1" applyBorder="1" applyAlignment="1">
      <alignment horizontal="center" vertical="top" wrapText="1"/>
    </xf>
    <xf numFmtId="0" fontId="11" fillId="0" borderId="0" xfId="0" applyFont="1" applyAlignment="1">
      <alignment horizontal="center" vertical="top" wrapText="1"/>
    </xf>
    <xf numFmtId="0" fontId="11" fillId="0" borderId="0" xfId="0" quotePrefix="1" applyFont="1" applyAlignment="1">
      <alignment horizontal="center" vertical="top" wrapText="1"/>
    </xf>
    <xf numFmtId="0" fontId="11" fillId="9" borderId="2" xfId="0" applyFont="1" applyFill="1" applyBorder="1" applyAlignment="1">
      <alignment horizontal="center" vertical="top" wrapText="1"/>
    </xf>
    <xf numFmtId="0" fontId="11" fillId="4" borderId="2" xfId="0" applyFont="1" applyFill="1" applyBorder="1" applyAlignment="1">
      <alignment horizontal="center" vertical="top" wrapText="1"/>
    </xf>
    <xf numFmtId="0" fontId="11" fillId="10" borderId="2" xfId="0" applyFont="1" applyFill="1" applyBorder="1" applyAlignment="1">
      <alignment horizontal="center" vertical="top" wrapText="1"/>
    </xf>
    <xf numFmtId="0" fontId="11" fillId="13" borderId="2" xfId="0" applyFont="1" applyFill="1" applyBorder="1" applyAlignment="1">
      <alignment horizontal="center" vertical="top" wrapText="1"/>
    </xf>
    <xf numFmtId="0" fontId="11" fillId="14" borderId="2" xfId="0" applyFont="1" applyFill="1" applyBorder="1" applyAlignment="1">
      <alignment horizontal="center" vertical="top" wrapText="1"/>
    </xf>
    <xf numFmtId="0" fontId="11" fillId="6" borderId="2" xfId="0" applyFont="1" applyFill="1" applyBorder="1" applyAlignment="1">
      <alignment horizontal="center" vertical="top" wrapText="1"/>
    </xf>
    <xf numFmtId="0" fontId="11" fillId="5" borderId="2" xfId="0" applyFont="1" applyFill="1" applyBorder="1" applyAlignment="1">
      <alignment horizontal="center" vertical="top" wrapText="1"/>
    </xf>
    <xf numFmtId="0" fontId="11" fillId="8" borderId="2" xfId="0" quotePrefix="1" applyFont="1" applyFill="1" applyBorder="1" applyAlignment="1">
      <alignment horizontal="center" vertical="top" wrapText="1"/>
    </xf>
    <xf numFmtId="0" fontId="12" fillId="13" borderId="2" xfId="0" applyFont="1" applyFill="1" applyBorder="1" applyAlignment="1">
      <alignment horizontal="center" vertical="top" wrapText="1"/>
    </xf>
    <xf numFmtId="0" fontId="12" fillId="14" borderId="2" xfId="0" applyFont="1" applyFill="1" applyBorder="1" applyAlignment="1">
      <alignment horizontal="center" vertical="top" wrapText="1"/>
    </xf>
    <xf numFmtId="0" fontId="11" fillId="0" borderId="7" xfId="0" applyFont="1" applyBorder="1" applyAlignment="1">
      <alignment horizontal="center" vertical="top" wrapText="1"/>
    </xf>
    <xf numFmtId="0" fontId="11" fillId="9" borderId="9" xfId="0" applyFont="1" applyFill="1" applyBorder="1" applyAlignment="1">
      <alignment horizontal="center" vertical="top" wrapText="1"/>
    </xf>
    <xf numFmtId="0" fontId="11" fillId="4" borderId="9" xfId="0" applyFont="1" applyFill="1" applyBorder="1" applyAlignment="1">
      <alignment horizontal="center" vertical="top" wrapText="1"/>
    </xf>
    <xf numFmtId="0" fontId="11" fillId="10" borderId="9" xfId="0" applyFont="1" applyFill="1" applyBorder="1" applyAlignment="1">
      <alignment horizontal="center" vertical="top" wrapText="1"/>
    </xf>
    <xf numFmtId="0" fontId="11" fillId="8" borderId="9" xfId="0" applyFont="1" applyFill="1" applyBorder="1" applyAlignment="1">
      <alignment horizontal="center" vertical="top" wrapText="1"/>
    </xf>
    <xf numFmtId="0" fontId="11" fillId="7" borderId="9" xfId="0" applyFont="1" applyFill="1" applyBorder="1" applyAlignment="1">
      <alignment horizontal="center" vertical="top" wrapText="1"/>
    </xf>
    <xf numFmtId="0" fontId="12" fillId="13" borderId="9" xfId="0" applyFont="1" applyFill="1" applyBorder="1" applyAlignment="1">
      <alignment horizontal="center" vertical="top" wrapText="1"/>
    </xf>
    <xf numFmtId="0" fontId="12" fillId="14" borderId="9" xfId="0" applyFont="1" applyFill="1" applyBorder="1" applyAlignment="1">
      <alignment horizontal="center" vertical="top" wrapText="1"/>
    </xf>
    <xf numFmtId="0" fontId="11" fillId="6" borderId="9" xfId="0" applyFont="1" applyFill="1" applyBorder="1" applyAlignment="1">
      <alignment horizontal="center" vertical="top" wrapText="1"/>
    </xf>
    <xf numFmtId="0" fontId="11" fillId="5" borderId="9" xfId="0" applyFont="1" applyFill="1" applyBorder="1" applyAlignment="1">
      <alignment horizontal="center" vertical="top" wrapText="1"/>
    </xf>
    <xf numFmtId="0" fontId="11" fillId="9" borderId="8" xfId="0" applyFont="1" applyFill="1" applyBorder="1" applyAlignment="1">
      <alignment horizontal="center" vertical="top" wrapText="1"/>
    </xf>
    <xf numFmtId="0" fontId="11" fillId="4" borderId="8" xfId="0" applyFont="1" applyFill="1" applyBorder="1" applyAlignment="1">
      <alignment horizontal="center" vertical="top" wrapText="1"/>
    </xf>
    <xf numFmtId="0" fontId="11" fillId="10" borderId="8" xfId="0" applyFont="1" applyFill="1" applyBorder="1" applyAlignment="1">
      <alignment horizontal="center" vertical="top" wrapText="1"/>
    </xf>
    <xf numFmtId="0" fontId="11" fillId="8" borderId="8" xfId="0" applyFont="1" applyFill="1" applyBorder="1" applyAlignment="1">
      <alignment horizontal="center" vertical="top" wrapText="1"/>
    </xf>
    <xf numFmtId="0" fontId="11" fillId="7" borderId="8" xfId="0" applyFont="1" applyFill="1" applyBorder="1" applyAlignment="1">
      <alignment horizontal="center" vertical="top" wrapText="1"/>
    </xf>
    <xf numFmtId="0" fontId="12" fillId="13" borderId="8" xfId="0" applyFont="1" applyFill="1" applyBorder="1" applyAlignment="1">
      <alignment horizontal="center" vertical="top" wrapText="1"/>
    </xf>
    <xf numFmtId="0" fontId="12" fillId="14" borderId="8" xfId="0" applyFont="1" applyFill="1" applyBorder="1" applyAlignment="1">
      <alignment horizontal="center" vertical="top" wrapText="1"/>
    </xf>
    <xf numFmtId="0" fontId="11" fillId="6" borderId="8" xfId="0" applyFont="1" applyFill="1" applyBorder="1" applyAlignment="1">
      <alignment horizontal="center" vertical="top" wrapText="1"/>
    </xf>
    <xf numFmtId="0" fontId="11" fillId="5" borderId="8" xfId="0" applyFont="1" applyFill="1" applyBorder="1" applyAlignment="1">
      <alignment horizontal="center" vertical="top" wrapText="1"/>
    </xf>
    <xf numFmtId="0" fontId="15" fillId="0" borderId="0" xfId="0" applyNumberFormat="1" applyFont="1" applyAlignment="1">
      <alignment horizontal="center" vertical="top"/>
    </xf>
    <xf numFmtId="0" fontId="11" fillId="9" borderId="2" xfId="0" applyNumberFormat="1" applyFont="1" applyFill="1" applyBorder="1" applyAlignment="1">
      <alignment horizontal="center" vertical="top"/>
    </xf>
    <xf numFmtId="0" fontId="11" fillId="4" borderId="2" xfId="0" applyNumberFormat="1" applyFont="1" applyFill="1" applyBorder="1" applyAlignment="1">
      <alignment horizontal="center" vertical="top"/>
    </xf>
    <xf numFmtId="0" fontId="11" fillId="10" borderId="2" xfId="0" applyNumberFormat="1" applyFont="1" applyFill="1" applyBorder="1" applyAlignment="1">
      <alignment horizontal="center" vertical="top"/>
    </xf>
    <xf numFmtId="0" fontId="12" fillId="13" borderId="2" xfId="0" applyNumberFormat="1" applyFont="1" applyFill="1" applyBorder="1" applyAlignment="1">
      <alignment horizontal="center" vertical="top"/>
    </xf>
    <xf numFmtId="0" fontId="12" fillId="14" borderId="2" xfId="0" applyNumberFormat="1" applyFont="1" applyFill="1" applyBorder="1" applyAlignment="1">
      <alignment horizontal="center" vertical="top"/>
    </xf>
    <xf numFmtId="0" fontId="11" fillId="6" borderId="2" xfId="0" applyNumberFormat="1" applyFont="1" applyFill="1" applyBorder="1" applyAlignment="1">
      <alignment horizontal="center" vertical="top"/>
    </xf>
    <xf numFmtId="0" fontId="11" fillId="5" borderId="2" xfId="0" applyNumberFormat="1" applyFont="1" applyFill="1" applyBorder="1" applyAlignment="1">
      <alignment horizontal="center" vertical="top"/>
    </xf>
    <xf numFmtId="0" fontId="11" fillId="0" borderId="0" xfId="0" applyNumberFormat="1" applyFont="1" applyAlignment="1">
      <alignment horizontal="center" vertical="top"/>
    </xf>
    <xf numFmtId="0" fontId="11" fillId="18" borderId="2" xfId="0" applyFont="1" applyFill="1" applyBorder="1" applyAlignment="1">
      <alignment horizontal="center" vertical="top"/>
    </xf>
    <xf numFmtId="11" fontId="11" fillId="2" borderId="0" xfId="0" applyNumberFormat="1" applyFont="1" applyFill="1" applyAlignment="1">
      <alignment horizontal="left" vertical="top"/>
    </xf>
    <xf numFmtId="11" fontId="11" fillId="0" borderId="0" xfId="0" applyNumberFormat="1" applyFont="1" applyAlignment="1">
      <alignment horizontal="left" vertical="top"/>
    </xf>
    <xf numFmtId="0" fontId="11" fillId="2" borderId="0" xfId="0" applyNumberFormat="1" applyFont="1" applyFill="1" applyAlignment="1">
      <alignment horizontal="left" vertical="top" wrapText="1"/>
    </xf>
    <xf numFmtId="0" fontId="11" fillId="0" borderId="0" xfId="0" applyFont="1" applyAlignment="1">
      <alignment wrapText="1"/>
    </xf>
    <xf numFmtId="0" fontId="11" fillId="9" borderId="2" xfId="0" applyNumberFormat="1" applyFont="1" applyFill="1" applyBorder="1" applyAlignment="1">
      <alignment horizontal="left" vertical="top" wrapText="1"/>
    </xf>
    <xf numFmtId="0" fontId="11" fillId="4" borderId="2" xfId="0" applyNumberFormat="1" applyFont="1" applyFill="1" applyBorder="1" applyAlignment="1">
      <alignment horizontal="left" vertical="top" wrapText="1"/>
    </xf>
    <xf numFmtId="0" fontId="11" fillId="10" borderId="2" xfId="0" applyNumberFormat="1" applyFont="1" applyFill="1" applyBorder="1" applyAlignment="1">
      <alignment horizontal="left" vertical="top" wrapText="1"/>
    </xf>
    <xf numFmtId="0" fontId="11" fillId="8" borderId="2" xfId="0" applyFont="1" applyFill="1" applyBorder="1" applyAlignment="1">
      <alignment horizontal="left" vertical="top"/>
    </xf>
    <xf numFmtId="0" fontId="11" fillId="7" borderId="2" xfId="0" applyFont="1" applyFill="1" applyBorder="1" applyAlignment="1">
      <alignment horizontal="left" vertical="top" wrapText="1"/>
    </xf>
    <xf numFmtId="0" fontId="12" fillId="13" borderId="2" xfId="0" applyNumberFormat="1" applyFont="1" applyFill="1" applyBorder="1" applyAlignment="1">
      <alignment horizontal="left" vertical="top" wrapText="1"/>
    </xf>
    <xf numFmtId="0" fontId="12" fillId="14" borderId="2" xfId="0" applyNumberFormat="1" applyFont="1" applyFill="1" applyBorder="1" applyAlignment="1">
      <alignment horizontal="left" vertical="top" wrapText="1"/>
    </xf>
    <xf numFmtId="0" fontId="11" fillId="6" borderId="2" xfId="0" applyNumberFormat="1" applyFont="1" applyFill="1" applyBorder="1" applyAlignment="1">
      <alignment horizontal="left" vertical="top" wrapText="1"/>
    </xf>
    <xf numFmtId="0" fontId="11" fillId="5" borderId="2" xfId="0" applyNumberFormat="1" applyFont="1" applyFill="1" applyBorder="1" applyAlignment="1">
      <alignment horizontal="left" vertical="top" wrapText="1"/>
    </xf>
    <xf numFmtId="0" fontId="14" fillId="0" borderId="0" xfId="0" applyFont="1"/>
    <xf numFmtId="0" fontId="11" fillId="0" borderId="0" xfId="0" quotePrefix="1" applyFont="1" applyAlignment="1">
      <alignment horizontal="left" vertical="top" wrapText="1"/>
    </xf>
    <xf numFmtId="0" fontId="11" fillId="9" borderId="2" xfId="0" applyFont="1" applyFill="1" applyBorder="1" applyAlignment="1">
      <alignment horizontal="left" vertical="top" wrapText="1"/>
    </xf>
    <xf numFmtId="0" fontId="11" fillId="4" borderId="2" xfId="0" applyFont="1" applyFill="1" applyBorder="1" applyAlignment="1">
      <alignment horizontal="left" vertical="top" wrapText="1"/>
    </xf>
    <xf numFmtId="0" fontId="11" fillId="10" borderId="2" xfId="0" applyFont="1" applyFill="1" applyBorder="1" applyAlignment="1">
      <alignment horizontal="left" vertical="top" wrapText="1"/>
    </xf>
    <xf numFmtId="0" fontId="11" fillId="13" borderId="2" xfId="0" applyFont="1" applyFill="1" applyBorder="1" applyAlignment="1">
      <alignment horizontal="left" vertical="top" wrapText="1"/>
    </xf>
    <xf numFmtId="0" fontId="11" fillId="14" borderId="2" xfId="0" applyFont="1" applyFill="1" applyBorder="1" applyAlignment="1">
      <alignment horizontal="left" vertical="top" wrapText="1"/>
    </xf>
    <xf numFmtId="0" fontId="11" fillId="6" borderId="2" xfId="0" applyFont="1" applyFill="1" applyBorder="1" applyAlignment="1">
      <alignment horizontal="left" vertical="top" wrapText="1"/>
    </xf>
    <xf numFmtId="0" fontId="11" fillId="5" borderId="2" xfId="0" applyFont="1" applyFill="1" applyBorder="1" applyAlignment="1">
      <alignment horizontal="left" vertical="top" wrapText="1"/>
    </xf>
    <xf numFmtId="0" fontId="12" fillId="13" borderId="2" xfId="0" applyFont="1" applyFill="1" applyBorder="1" applyAlignment="1">
      <alignment horizontal="left" vertical="top" wrapText="1"/>
    </xf>
    <xf numFmtId="0" fontId="12" fillId="14" borderId="2" xfId="0" applyFont="1" applyFill="1" applyBorder="1" applyAlignment="1">
      <alignment horizontal="left" vertical="top" wrapText="1"/>
    </xf>
    <xf numFmtId="49" fontId="1" fillId="17" borderId="0" xfId="0" applyNumberFormat="1" applyFont="1" applyFill="1"/>
    <xf numFmtId="0" fontId="11" fillId="0" borderId="0" xfId="0" applyFont="1" applyBorder="1" applyAlignment="1">
      <alignment horizontal="left" vertical="top" wrapText="1"/>
    </xf>
    <xf numFmtId="0" fontId="11" fillId="0" borderId="0" xfId="0" applyFont="1" applyBorder="1" applyAlignment="1">
      <alignment horizontal="center" vertical="top" wrapText="1"/>
    </xf>
    <xf numFmtId="0" fontId="11" fillId="0" borderId="0" xfId="0" applyNumberFormat="1" applyFont="1" applyBorder="1" applyAlignment="1">
      <alignment horizontal="left" vertical="top" wrapText="1"/>
    </xf>
    <xf numFmtId="0" fontId="11" fillId="0" borderId="10" xfId="0" applyFont="1" applyBorder="1" applyAlignment="1">
      <alignment horizontal="left" vertical="top" wrapText="1"/>
    </xf>
    <xf numFmtId="0" fontId="11" fillId="0" borderId="11" xfId="0" applyFont="1" applyBorder="1" applyAlignment="1">
      <alignment horizontal="center" vertical="top" wrapText="1"/>
    </xf>
    <xf numFmtId="0" fontId="11" fillId="17" borderId="0" xfId="0" applyNumberFormat="1" applyFont="1" applyFill="1" applyAlignment="1">
      <alignment horizontal="left" vertical="top" wrapText="1"/>
    </xf>
    <xf numFmtId="0" fontId="11" fillId="8" borderId="2" xfId="0" quotePrefix="1" applyFont="1" applyFill="1" applyBorder="1" applyAlignment="1">
      <alignment horizontal="left" vertical="top" wrapText="1"/>
    </xf>
    <xf numFmtId="0" fontId="1" fillId="0" borderId="0" xfId="0" applyFont="1" applyFill="1" applyAlignment="1">
      <alignment horizontal="left" vertical="top" wrapText="1"/>
    </xf>
    <xf numFmtId="0" fontId="15" fillId="0" borderId="0" xfId="0" applyNumberFormat="1" applyFont="1" applyAlignment="1">
      <alignment horizontal="left" vertical="top" wrapText="1"/>
    </xf>
    <xf numFmtId="0" fontId="14" fillId="0" borderId="0" xfId="0" applyFont="1" applyAlignment="1">
      <alignment horizontal="left" vertical="top" wrapText="1"/>
    </xf>
    <xf numFmtId="11" fontId="1" fillId="17" borderId="0" xfId="0" applyNumberFormat="1" applyFont="1" applyFill="1" applyAlignment="1">
      <alignment horizontal="left" vertical="top" wrapText="1"/>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0" borderId="0" xfId="0" applyFont="1" applyAlignment="1">
      <alignment horizontal="left" vertical="top" wrapText="1"/>
    </xf>
    <xf numFmtId="0" fontId="17" fillId="0" borderId="0" xfId="0" applyFont="1" applyAlignment="1">
      <alignment horizontal="left" vertical="top"/>
    </xf>
    <xf numFmtId="0" fontId="17" fillId="0" borderId="0" xfId="0" applyFont="1" applyAlignment="1">
      <alignment horizontal="left" vertical="top" wrapText="1"/>
    </xf>
    <xf numFmtId="0" fontId="17" fillId="0" borderId="0" xfId="0" applyNumberFormat="1" applyFont="1" applyAlignment="1">
      <alignment horizontal="left" vertical="top" wrapText="1"/>
    </xf>
    <xf numFmtId="0" fontId="17" fillId="9" borderId="2" xfId="0" applyNumberFormat="1" applyFont="1" applyFill="1" applyBorder="1" applyAlignment="1">
      <alignment horizontal="left" vertical="top" wrapText="1"/>
    </xf>
    <xf numFmtId="0" fontId="17" fillId="4" borderId="2" xfId="0" applyNumberFormat="1" applyFont="1" applyFill="1" applyBorder="1" applyAlignment="1">
      <alignment horizontal="left" vertical="top" wrapText="1"/>
    </xf>
    <xf numFmtId="0" fontId="17" fillId="10" borderId="2" xfId="0" applyNumberFormat="1" applyFont="1" applyFill="1" applyBorder="1" applyAlignment="1">
      <alignment horizontal="left" vertical="top" wrapText="1"/>
    </xf>
    <xf numFmtId="0" fontId="17" fillId="8" borderId="2" xfId="0" applyFont="1" applyFill="1" applyBorder="1" applyAlignment="1">
      <alignment horizontal="left" vertical="top" wrapText="1"/>
    </xf>
    <xf numFmtId="0" fontId="17" fillId="5" borderId="2" xfId="0" applyFont="1" applyFill="1" applyBorder="1" applyAlignment="1">
      <alignment horizontal="left" vertical="top" wrapText="1"/>
    </xf>
    <xf numFmtId="0" fontId="17" fillId="7" borderId="2" xfId="0" applyFont="1" applyFill="1" applyBorder="1" applyAlignment="1">
      <alignment horizontal="left" vertical="top" wrapText="1"/>
    </xf>
    <xf numFmtId="0" fontId="18" fillId="13" borderId="2" xfId="0" applyNumberFormat="1" applyFont="1" applyFill="1" applyBorder="1" applyAlignment="1">
      <alignment horizontal="left" vertical="top" wrapText="1"/>
    </xf>
    <xf numFmtId="0" fontId="18" fillId="14" borderId="2" xfId="0" applyNumberFormat="1" applyFont="1" applyFill="1" applyBorder="1" applyAlignment="1">
      <alignment horizontal="left" vertical="top" wrapText="1"/>
    </xf>
    <xf numFmtId="0" fontId="17" fillId="6" borderId="2" xfId="0" applyNumberFormat="1" applyFont="1" applyFill="1" applyBorder="1" applyAlignment="1">
      <alignment horizontal="left" vertical="top" wrapText="1"/>
    </xf>
    <xf numFmtId="0" fontId="17" fillId="5" borderId="2" xfId="0" applyNumberFormat="1" applyFont="1" applyFill="1" applyBorder="1" applyAlignment="1">
      <alignment horizontal="left" vertical="top" wrapText="1"/>
    </xf>
    <xf numFmtId="0" fontId="1" fillId="19" borderId="0" xfId="0" applyFont="1" applyFill="1"/>
    <xf numFmtId="49" fontId="1" fillId="19" borderId="0" xfId="0" applyNumberFormat="1" applyFont="1" applyFill="1"/>
    <xf numFmtId="11" fontId="17" fillId="0" borderId="0" xfId="0" applyNumberFormat="1" applyFont="1" applyFill="1" applyAlignment="1">
      <alignment horizontal="left" vertical="top" wrapText="1"/>
    </xf>
    <xf numFmtId="11" fontId="17" fillId="0" borderId="0" xfId="0" applyNumberFormat="1" applyFont="1" applyAlignment="1">
      <alignment horizontal="left" vertical="top"/>
    </xf>
    <xf numFmtId="0" fontId="17" fillId="0" borderId="0" xfId="0" applyNumberFormat="1" applyFont="1" applyFill="1" applyAlignment="1">
      <alignment horizontal="left" vertical="top" wrapText="1"/>
    </xf>
    <xf numFmtId="0" fontId="17" fillId="0" borderId="0" xfId="0" applyFont="1" applyFill="1" applyAlignment="1">
      <alignment horizontal="left" vertical="top" wrapText="1"/>
    </xf>
    <xf numFmtId="0" fontId="17" fillId="0" borderId="0" xfId="0" quotePrefix="1" applyFont="1" applyAlignment="1">
      <alignment horizontal="left" vertical="top" wrapText="1"/>
    </xf>
    <xf numFmtId="0" fontId="17" fillId="9" borderId="2" xfId="0" applyFont="1" applyFill="1" applyBorder="1" applyAlignment="1">
      <alignment horizontal="left" vertical="top" wrapText="1"/>
    </xf>
    <xf numFmtId="0" fontId="17" fillId="4" borderId="2" xfId="0" applyFont="1" applyFill="1" applyBorder="1" applyAlignment="1">
      <alignment horizontal="left" vertical="top" wrapText="1"/>
    </xf>
    <xf numFmtId="0" fontId="17" fillId="10" borderId="2" xfId="0" applyFont="1" applyFill="1" applyBorder="1" applyAlignment="1">
      <alignment horizontal="left" vertical="top" wrapText="1"/>
    </xf>
    <xf numFmtId="0" fontId="18" fillId="13" borderId="2" xfId="0" applyFont="1" applyFill="1" applyBorder="1" applyAlignment="1">
      <alignment horizontal="left" vertical="top" wrapText="1"/>
    </xf>
    <xf numFmtId="0" fontId="18" fillId="14" borderId="2" xfId="0" applyFont="1" applyFill="1" applyBorder="1" applyAlignment="1">
      <alignment horizontal="left" vertical="top" wrapText="1"/>
    </xf>
    <xf numFmtId="0" fontId="17" fillId="6" borderId="2" xfId="0" applyFont="1" applyFill="1" applyBorder="1" applyAlignment="1">
      <alignment horizontal="left" vertical="top" wrapText="1"/>
    </xf>
    <xf numFmtId="0" fontId="1" fillId="0" borderId="0" xfId="0" applyFont="1" applyAlignment="1"/>
    <xf numFmtId="0" fontId="1" fillId="0" borderId="0" xfId="0" applyNumberFormat="1" applyFont="1" applyFill="1" applyAlignment="1">
      <alignment horizontal="left" wrapText="1"/>
    </xf>
    <xf numFmtId="0" fontId="1" fillId="0" borderId="0" xfId="0" applyNumberFormat="1" applyFont="1" applyAlignment="1">
      <alignment horizontal="left"/>
    </xf>
    <xf numFmtId="0" fontId="7" fillId="3" borderId="3" xfId="0" applyFont="1" applyFill="1" applyBorder="1" applyAlignment="1">
      <alignment horizontal="center"/>
    </xf>
    <xf numFmtId="0" fontId="7" fillId="3" borderId="4" xfId="0" applyFont="1" applyFill="1" applyBorder="1" applyAlignment="1">
      <alignment horizontal="center"/>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0" borderId="0" xfId="0" applyFont="1" applyAlignment="1">
      <alignment wrapText="1"/>
    </xf>
  </cellXfs>
  <cellStyles count="1">
    <cellStyle name="Normal" xfId="0" builtinId="0"/>
  </cellStyles>
  <dxfs count="142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7"/>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26" sqref="A26"/>
    </sheetView>
  </sheetViews>
  <sheetFormatPr defaultColWidth="9.140625" defaultRowHeight="12" outlineLevelCol="1"/>
  <cols>
    <col min="1" max="1" width="38" style="4" customWidth="1" outlineLevel="1"/>
    <col min="2" max="2" width="44.5703125" style="4" bestFit="1" customWidth="1"/>
    <col min="3" max="3" width="9.140625" style="6" customWidth="1" outlineLevel="1"/>
    <col min="4" max="4" width="9.42578125" style="4" customWidth="1" outlineLevel="1"/>
    <col min="5" max="5" width="10.42578125" style="4" customWidth="1" outlineLevel="1"/>
    <col min="6" max="6" width="3.85546875" style="4" customWidth="1"/>
    <col min="7" max="7" width="10.85546875" style="4" bestFit="1" customWidth="1"/>
    <col min="8" max="8" width="9.7109375" style="4" bestFit="1" customWidth="1"/>
    <col min="9" max="9" width="12.28515625" style="4" bestFit="1" customWidth="1"/>
    <col min="10" max="12" width="8.5703125" style="4" customWidth="1"/>
    <col min="13" max="13" width="2.42578125" style="4" customWidth="1"/>
    <col min="14" max="15" width="8.5703125" style="4" customWidth="1"/>
    <col min="16" max="16" width="9.28515625" style="4" bestFit="1" customWidth="1"/>
    <col min="17" max="18" width="8.5703125" style="4" customWidth="1"/>
    <col min="19" max="19" width="6.85546875" style="4" bestFit="1" customWidth="1"/>
    <col min="20" max="20" width="8.5703125" style="4" customWidth="1"/>
    <col min="21" max="21" width="2.5703125" style="4" customWidth="1"/>
    <col min="22" max="27" width="8.5703125" style="4" customWidth="1"/>
    <col min="28" max="16384" width="9.140625" style="4"/>
  </cols>
  <sheetData>
    <row r="1" spans="1:27" s="9" customFormat="1" ht="42.75" customHeight="1">
      <c r="A1" s="9" t="s">
        <v>49</v>
      </c>
      <c r="B1" s="9" t="s">
        <v>2</v>
      </c>
      <c r="C1" s="10" t="s">
        <v>54</v>
      </c>
      <c r="D1" s="9" t="s">
        <v>51</v>
      </c>
      <c r="E1" s="9" t="s">
        <v>145</v>
      </c>
      <c r="G1" s="182" t="s">
        <v>175</v>
      </c>
      <c r="H1" s="183"/>
      <c r="I1" s="183"/>
      <c r="J1" s="184"/>
      <c r="K1" s="150"/>
      <c r="L1" s="150"/>
      <c r="M1" s="151"/>
      <c r="N1" s="185" t="s">
        <v>4</v>
      </c>
      <c r="O1" s="185"/>
      <c r="P1" s="185"/>
      <c r="Q1" s="185"/>
      <c r="R1" s="185"/>
      <c r="S1" s="185"/>
      <c r="T1" s="185"/>
      <c r="U1" s="11"/>
      <c r="V1" s="185" t="s">
        <v>225</v>
      </c>
      <c r="W1" s="185"/>
      <c r="X1" s="185"/>
      <c r="Y1" s="185"/>
      <c r="Z1" s="185"/>
      <c r="AA1" s="185"/>
    </row>
    <row r="2" spans="1:27" ht="18.75">
      <c r="A2" s="18" t="s">
        <v>180</v>
      </c>
      <c r="B2" s="2" t="s">
        <v>181</v>
      </c>
      <c r="C2" s="3" t="s">
        <v>182</v>
      </c>
      <c r="D2" s="8"/>
      <c r="G2" s="7" t="s">
        <v>176</v>
      </c>
      <c r="H2" s="7" t="s">
        <v>177</v>
      </c>
      <c r="I2" s="7" t="s">
        <v>178</v>
      </c>
      <c r="J2" s="7" t="s">
        <v>619</v>
      </c>
      <c r="K2" s="7" t="s">
        <v>621</v>
      </c>
      <c r="L2" s="7" t="s">
        <v>618</v>
      </c>
      <c r="M2" s="7"/>
      <c r="N2" s="7" t="s">
        <v>203</v>
      </c>
      <c r="O2" s="7" t="s">
        <v>257</v>
      </c>
      <c r="P2" s="7" t="s">
        <v>27</v>
      </c>
      <c r="Q2" s="7" t="s">
        <v>312</v>
      </c>
      <c r="R2" s="7" t="s">
        <v>29</v>
      </c>
      <c r="S2" s="7" t="s">
        <v>31</v>
      </c>
      <c r="T2" s="7" t="s">
        <v>28</v>
      </c>
      <c r="U2" s="7"/>
      <c r="V2" s="7" t="s">
        <v>198</v>
      </c>
      <c r="W2" s="7" t="s">
        <v>199</v>
      </c>
      <c r="X2" s="7" t="s">
        <v>201</v>
      </c>
      <c r="Y2" s="7" t="s">
        <v>200</v>
      </c>
      <c r="Z2" s="7" t="s">
        <v>202</v>
      </c>
      <c r="AA2" s="7" t="s">
        <v>26</v>
      </c>
    </row>
    <row r="3" spans="1:27" s="14" customFormat="1">
      <c r="A3" s="19" t="s">
        <v>183</v>
      </c>
      <c r="B3" s="19" t="s">
        <v>50</v>
      </c>
      <c r="C3" s="20" t="s">
        <v>174</v>
      </c>
      <c r="D3" s="19"/>
      <c r="E3" s="19" t="s">
        <v>146</v>
      </c>
      <c r="G3" s="13">
        <f>SUMIF('Card Data'!$A:$A,$A3,'Card Data'!$E:$E)</f>
        <v>238</v>
      </c>
      <c r="H3" s="13">
        <f>SUMIFS('Card Data'!$E:$E,'Card Data'!$A:$A,$A3,'Card Data'!$K:$K,"&lt;&gt;",'Card Data'!$J:$J,"&lt;&gt;Investigator")-SUMIFS('Card Data'!$E:$E,'Card Data'!$A:$A,$A3,'Card Data'!$K:$K,"&lt;&gt;",'Card Data'!$J:$J,"Mini")</f>
        <v>116</v>
      </c>
      <c r="I3" s="13">
        <f>SUMIFS('Card Data'!$E:$E,'Card Data'!$A:$A,$A3,'Card Data'!$K:$K,"",'Card Data'!$J:$J,"&lt;&gt;Campaign")+SUMIFS('Card Data'!$E:$E,'Card Data'!$A:$A,$A3,'Card Data'!$K:$K,"Mythos")-J3</f>
        <v>104</v>
      </c>
      <c r="J3" s="13">
        <f>SUMIFS('Card Data'!$E:$E,'Card Data'!$J:$J,J$2,'Card Data'!$A:$A,$A3,'Card Data'!$AD:$AD,"&lt;&gt;*Side Quest.*")</f>
        <v>8</v>
      </c>
      <c r="K3" s="13">
        <f>COUNTIFS('Card Data'!$J:$J,K$2,'Card Data'!$A:$A,$A3,'Card Data'!$AD:$AD,"&lt;&gt;*Side Quest.*")</f>
        <v>7</v>
      </c>
      <c r="L3" s="13">
        <f>COUNTIFS('Card Data'!$J:$J,L$2,'Card Data'!$A:$A,$A3,'Card Data'!$AD:$AD,"&lt;&gt;*Side Quest.*")</f>
        <v>3</v>
      </c>
      <c r="M3" s="15"/>
      <c r="N3" s="13">
        <f>COUNTIFS('Card Data'!$J:$J,N$2,'Card Data'!$A:$A,$A3)</f>
        <v>5</v>
      </c>
      <c r="O3" s="13">
        <f>COUNTIFS('Card Data'!$J:$J,O$2,'Card Data'!$A:$A,$A3)</f>
        <v>51</v>
      </c>
      <c r="P3" s="13">
        <f>COUNTIFS('Card Data'!$J:$J,P$2,'Card Data'!$A:$A,$A3)</f>
        <v>27</v>
      </c>
      <c r="Q3" s="13">
        <f>COUNTIFS('Card Data'!$J:$J,Q$2,'Card Data'!$A:$A,$A3)</f>
        <v>10</v>
      </c>
      <c r="R3" s="13">
        <f>COUNTIFS('Card Data'!$J:$J,R$2,'Card Data'!$A:$A,$A3)</f>
        <v>24</v>
      </c>
      <c r="S3" s="13">
        <f>COUNTIFS('Card Data'!$J:$J,S$2,'Card Data'!$A:$A,$A3)</f>
        <v>24</v>
      </c>
      <c r="T3" s="13">
        <f>COUNTIFS('Card Data'!$J:$J,T$2,'Card Data'!$A:$A,$A3)</f>
        <v>24</v>
      </c>
      <c r="U3" s="15"/>
      <c r="V3" s="13">
        <f>COUNTIFS('Card Data'!$K:$K,V$2,'Card Data'!$A:$A,$A3)</f>
        <v>16</v>
      </c>
      <c r="W3" s="13">
        <f>COUNTIFS('Card Data'!$K:$K,W$2,'Card Data'!$A:$A,$A3)</f>
        <v>16</v>
      </c>
      <c r="X3" s="13">
        <f>COUNTIFS('Card Data'!$K:$K,X$2,'Card Data'!$A:$A,$A3)</f>
        <v>16</v>
      </c>
      <c r="Y3" s="13">
        <f>COUNTIFS('Card Data'!$K:$K,Y$2,'Card Data'!$A:$A,$A3)</f>
        <v>16</v>
      </c>
      <c r="Z3" s="13">
        <f>COUNTIFS('Card Data'!$K:$K,Z$2,'Card Data'!$A:$A,$A3)</f>
        <v>16</v>
      </c>
      <c r="AA3" s="13">
        <f>COUNTIFS('Card Data'!$K:$K,AA$2,'Card Data'!$A:$A,$A3)</f>
        <v>28</v>
      </c>
    </row>
    <row r="4" spans="1:27">
      <c r="A4" s="35" t="s">
        <v>933</v>
      </c>
      <c r="B4" s="35" t="s">
        <v>934</v>
      </c>
      <c r="C4" s="36" t="s">
        <v>174</v>
      </c>
      <c r="D4" s="35"/>
      <c r="E4" s="35" t="s">
        <v>932</v>
      </c>
      <c r="F4" s="8"/>
      <c r="G4" s="13">
        <f>SUMIF('Card Data'!$A:$A,$A4,'Card Data'!$E:$E)</f>
        <v>61</v>
      </c>
      <c r="H4" s="13">
        <f>SUMIFS('Card Data'!$E:$E,'Card Data'!$A:$A,$A4,'Card Data'!$K:$K,"&lt;&gt;",'Card Data'!$J:$J,"&lt;&gt;Investigator")-SUMIFS('Card Data'!$E:$E,'Card Data'!$A:$A,$A4,'Card Data'!$K:$K,"&lt;&gt;",'Card Data'!$J:$J,"Mini")</f>
        <v>0</v>
      </c>
      <c r="I4" s="13">
        <f>SUMIFS('Card Data'!$E:$E,'Card Data'!$A:$A,$A4,'Card Data'!$K:$K,"",'Card Data'!$J:$J,"&lt;&gt;Campaign")+SUMIFS('Card Data'!$E:$E,'Card Data'!$A:$A,$A4,'Card Data'!$K:$K,"Mythos")-J4</f>
        <v>54</v>
      </c>
      <c r="J4" s="13">
        <f>SUMIFS('Card Data'!$E:$E,'Card Data'!$J:$J,J$2,'Card Data'!$A:$A,$A4,'Card Data'!$AD:$AD,"&lt;&gt;*Side Quest.*")</f>
        <v>3</v>
      </c>
      <c r="K4" s="13">
        <f>COUNTIFS('Card Data'!$J:$J,K$2,'Card Data'!$A:$A,$A4,'Card Data'!$AD:$AD,"&lt;&gt;*Side Quest.*")</f>
        <v>2</v>
      </c>
      <c r="L4" s="13">
        <f>COUNTIFS('Card Data'!$J:$J,L$2,'Card Data'!$A:$A,$A4,'Card Data'!$AD:$AD,"&lt;&gt;*Side Quest.*")</f>
        <v>1</v>
      </c>
      <c r="M4" s="15"/>
      <c r="N4" s="13">
        <f>COUNTIFS('Card Data'!$J:$J,N$2,'Card Data'!$A:$A,$A4)</f>
        <v>0</v>
      </c>
      <c r="O4" s="13">
        <f>COUNTIFS('Card Data'!$J:$J,O$2,'Card Data'!$A:$A,$A4)</f>
        <v>4</v>
      </c>
      <c r="P4" s="13">
        <f>COUNTIFS('Card Data'!$J:$J,P$2,'Card Data'!$A:$A,$A4)</f>
        <v>0</v>
      </c>
      <c r="Q4" s="13">
        <f>COUNTIFS('Card Data'!$J:$J,Q$2,'Card Data'!$A:$A,$A4)</f>
        <v>0</v>
      </c>
      <c r="R4" s="13">
        <f>COUNTIFS('Card Data'!$J:$J,R$2,'Card Data'!$A:$A,$A4)</f>
        <v>6</v>
      </c>
      <c r="S4" s="13">
        <f>COUNTIFS('Card Data'!$J:$J,S$2,'Card Data'!$A:$A,$A4)</f>
        <v>12</v>
      </c>
      <c r="T4" s="13">
        <f>COUNTIFS('Card Data'!$J:$J,T$2,'Card Data'!$A:$A,$A4)</f>
        <v>8</v>
      </c>
      <c r="U4" s="15"/>
      <c r="V4" s="13">
        <f>COUNTIFS('Card Data'!$K:$K,V$2,'Card Data'!$A:$A,$A4)</f>
        <v>0</v>
      </c>
      <c r="W4" s="13">
        <f>COUNTIFS('Card Data'!$K:$K,W$2,'Card Data'!$A:$A,$A4)</f>
        <v>0</v>
      </c>
      <c r="X4" s="13">
        <f>COUNTIFS('Card Data'!$K:$K,X$2,'Card Data'!$A:$A,$A4)</f>
        <v>0</v>
      </c>
      <c r="Y4" s="13">
        <f>COUNTIFS('Card Data'!$K:$K,Y$2,'Card Data'!$A:$A,$A4)</f>
        <v>0</v>
      </c>
      <c r="Z4" s="13">
        <f>COUNTIFS('Card Data'!$K:$K,Z$2,'Card Data'!$A:$A,$A4)</f>
        <v>0</v>
      </c>
      <c r="AA4" s="13">
        <f>COUNTIFS('Card Data'!$K:$K,AA$2,'Card Data'!$A:$A,$A4)</f>
        <v>0</v>
      </c>
    </row>
    <row r="5" spans="1:27" s="5" customFormat="1">
      <c r="A5" s="37" t="s">
        <v>1125</v>
      </c>
      <c r="B5" s="37" t="s">
        <v>1126</v>
      </c>
      <c r="C5" s="38" t="s">
        <v>174</v>
      </c>
      <c r="D5" s="37"/>
      <c r="E5" s="37" t="s">
        <v>1126</v>
      </c>
      <c r="G5" s="13">
        <f>SUMIF('Card Data'!$A:$A,$A5,'Card Data'!$E:$E)</f>
        <v>4</v>
      </c>
      <c r="H5" s="13">
        <f>SUMIFS('Card Data'!$E:$E,'Card Data'!$A:$A,$A5,'Card Data'!$K:$K,"&lt;&gt;",'Card Data'!$J:$J,"&lt;&gt;Investigator")-SUMIFS('Card Data'!$E:$E,'Card Data'!$A:$A,$A5,'Card Data'!$K:$K,"&lt;&gt;",'Card Data'!$J:$J,"Mini")</f>
        <v>2</v>
      </c>
      <c r="I5" s="13">
        <f>SUMIFS('Card Data'!$E:$E,'Card Data'!$A:$A,$A5,'Card Data'!$K:$K,"",'Card Data'!$J:$J,"&lt;&gt;Campaign")+SUMIFS('Card Data'!$E:$E,'Card Data'!$A:$A,$A5,'Card Data'!$K:$K,"Mythos")-J5</f>
        <v>0</v>
      </c>
      <c r="J5" s="13">
        <f>SUMIFS('Card Data'!$E:$E,'Card Data'!$J:$J,J$2,'Card Data'!$A:$A,$A5,'Card Data'!$AD:$AD,"&lt;&gt;*Side Quest.*")</f>
        <v>0</v>
      </c>
      <c r="K5" s="13">
        <f>COUNTIFS('Card Data'!$J:$J,K$2,'Card Data'!$A:$A,$A5,'Card Data'!$AD:$AD,"&lt;&gt;*Side Quest.*")</f>
        <v>0</v>
      </c>
      <c r="L5" s="13">
        <f>COUNTIFS('Card Data'!$J:$J,L$2,'Card Data'!$A:$A,$A5,'Card Data'!$AD:$AD,"&lt;&gt;*Side Quest.*")</f>
        <v>0</v>
      </c>
      <c r="M5" s="15"/>
      <c r="N5" s="13">
        <f>COUNTIFS('Card Data'!$J:$J,N$2,'Card Data'!$A:$A,$A5)</f>
        <v>1</v>
      </c>
      <c r="O5" s="13">
        <f>COUNTIFS('Card Data'!$J:$J,O$2,'Card Data'!$A:$A,$A5)</f>
        <v>1</v>
      </c>
      <c r="P5" s="13">
        <f>COUNTIFS('Card Data'!$J:$J,P$2,'Card Data'!$A:$A,$A5)</f>
        <v>1</v>
      </c>
      <c r="Q5" s="13">
        <f>COUNTIFS('Card Data'!$J:$J,Q$2,'Card Data'!$A:$A,$A5)</f>
        <v>0</v>
      </c>
      <c r="R5" s="13">
        <f>COUNTIFS('Card Data'!$J:$J,R$2,'Card Data'!$A:$A,$A5)</f>
        <v>0</v>
      </c>
      <c r="S5" s="13">
        <f>COUNTIFS('Card Data'!$J:$J,S$2,'Card Data'!$A:$A,$A5)</f>
        <v>0</v>
      </c>
      <c r="T5" s="13">
        <f>COUNTIFS('Card Data'!$J:$J,T$2,'Card Data'!$A:$A,$A5)</f>
        <v>0</v>
      </c>
      <c r="U5" s="15"/>
      <c r="V5" s="13">
        <f>COUNTIFS('Card Data'!$K:$K,V$2,'Card Data'!$A:$A,$A5)</f>
        <v>0</v>
      </c>
      <c r="W5" s="13">
        <f>COUNTIFS('Card Data'!$K:$K,W$2,'Card Data'!$A:$A,$A5)</f>
        <v>0</v>
      </c>
      <c r="X5" s="13">
        <f>COUNTIFS('Card Data'!$K:$K,X$2,'Card Data'!$A:$A,$A5)</f>
        <v>0</v>
      </c>
      <c r="Y5" s="13">
        <f>COUNTIFS('Card Data'!$K:$K,Y$2,'Card Data'!$A:$A,$A5)</f>
        <v>2</v>
      </c>
      <c r="Z5" s="13">
        <f>COUNTIFS('Card Data'!$K:$K,Z$2,'Card Data'!$A:$A,$A5)</f>
        <v>0</v>
      </c>
      <c r="AA5" s="13">
        <f>COUNTIFS('Card Data'!$K:$K,AA$2,'Card Data'!$A:$A,$A5)</f>
        <v>2</v>
      </c>
    </row>
    <row r="6" spans="1:27" s="5" customFormat="1">
      <c r="A6" s="37" t="s">
        <v>1199</v>
      </c>
      <c r="B6" s="37" t="s">
        <v>1131</v>
      </c>
      <c r="C6" s="38" t="s">
        <v>174</v>
      </c>
      <c r="D6" s="37"/>
      <c r="E6" s="37" t="s">
        <v>1200</v>
      </c>
      <c r="G6" s="13">
        <f>SUMIF('Card Data'!$A:$A,$A6,'Card Data'!$E:$E)</f>
        <v>63</v>
      </c>
      <c r="H6" s="13">
        <f>SUMIFS('Card Data'!$E:$E,'Card Data'!$A:$A,$A6,'Card Data'!$K:$K,"&lt;&gt;",'Card Data'!$J:$J,"&lt;&gt;Investigator")-SUMIFS('Card Data'!$E:$E,'Card Data'!$A:$A,$A6,'Card Data'!$K:$K,"&lt;&gt;",'Card Data'!$J:$J,"Mini")</f>
        <v>8</v>
      </c>
      <c r="I6" s="13">
        <f>SUMIFS('Card Data'!$E:$E,'Card Data'!$A:$A,$A6,'Card Data'!$K:$K,"",'Card Data'!$J:$J,"&lt;&gt;Campaign")+SUMIFS('Card Data'!$E:$E,'Card Data'!$A:$A,$A6,'Card Data'!$K:$K,"Mythos")-J6</f>
        <v>46</v>
      </c>
      <c r="J6" s="13">
        <f>SUMIFS('Card Data'!$E:$E,'Card Data'!$J:$J,J$2,'Card Data'!$A:$A,$A6,'Card Data'!$AD:$AD,"&lt;&gt;*Side Quest.*")</f>
        <v>3</v>
      </c>
      <c r="K6" s="13">
        <f>COUNTIFS('Card Data'!$J:$J,K$2,'Card Data'!$A:$A,$A6,'Card Data'!$AD:$AD,"&lt;&gt;*Side Quest.*")</f>
        <v>3</v>
      </c>
      <c r="L6" s="13">
        <f>COUNTIFS('Card Data'!$J:$J,L$2,'Card Data'!$A:$A,$A6,'Card Data'!$AD:$AD,"&lt;&gt;*Side Quest.*")</f>
        <v>1</v>
      </c>
      <c r="M6" s="15"/>
      <c r="N6" s="13">
        <f>COUNTIFS('Card Data'!$J:$J,N$2,'Card Data'!$A:$A,$A6)</f>
        <v>0</v>
      </c>
      <c r="O6" s="13">
        <f>COUNTIFS('Card Data'!$J:$J,O$2,'Card Data'!$A:$A,$A6)</f>
        <v>6</v>
      </c>
      <c r="P6" s="13">
        <f>COUNTIFS('Card Data'!$J:$J,P$2,'Card Data'!$A:$A,$A6)</f>
        <v>0</v>
      </c>
      <c r="Q6" s="13">
        <f>COUNTIFS('Card Data'!$J:$J,Q$2,'Card Data'!$A:$A,$A6)</f>
        <v>0</v>
      </c>
      <c r="R6" s="13">
        <f>COUNTIFS('Card Data'!$J:$J,R$2,'Card Data'!$A:$A,$A6)</f>
        <v>9</v>
      </c>
      <c r="S6" s="13">
        <f>COUNTIFS('Card Data'!$J:$J,S$2,'Card Data'!$A:$A,$A6)</f>
        <v>10</v>
      </c>
      <c r="T6" s="13">
        <f>COUNTIFS('Card Data'!$J:$J,T$2,'Card Data'!$A:$A,$A6)</f>
        <v>7</v>
      </c>
      <c r="U6" s="15"/>
      <c r="V6" s="13">
        <f>COUNTIFS('Card Data'!$K:$K,V$2,'Card Data'!$A:$A,$A6)</f>
        <v>0</v>
      </c>
      <c r="W6" s="13">
        <f>COUNTIFS('Card Data'!$K:$K,W$2,'Card Data'!$A:$A,$A6)</f>
        <v>0</v>
      </c>
      <c r="X6" s="13">
        <f>COUNTIFS('Card Data'!$K:$K,X$2,'Card Data'!$A:$A,$A6)</f>
        <v>0</v>
      </c>
      <c r="Y6" s="13">
        <f>COUNTIFS('Card Data'!$K:$K,Y$2,'Card Data'!$A:$A,$A6)</f>
        <v>0</v>
      </c>
      <c r="Z6" s="13">
        <f>COUNTIFS('Card Data'!$K:$K,Z$2,'Card Data'!$A:$A,$A6)</f>
        <v>0</v>
      </c>
      <c r="AA6" s="13">
        <f>COUNTIFS('Card Data'!$K:$K,AA$2,'Card Data'!$A:$A,$A6)</f>
        <v>6</v>
      </c>
    </row>
    <row r="7" spans="1:27">
      <c r="A7" s="39" t="s">
        <v>1303</v>
      </c>
      <c r="B7" s="39" t="s">
        <v>1304</v>
      </c>
      <c r="C7" s="34" t="s">
        <v>174</v>
      </c>
      <c r="D7" s="39"/>
      <c r="E7" s="39" t="s">
        <v>1305</v>
      </c>
      <c r="G7" s="13">
        <f>SUMIF('Card Data'!$A:$A,$A7,'Card Data'!$E:$E)</f>
        <v>161</v>
      </c>
      <c r="H7" s="13">
        <f>SUMIFS('Card Data'!$E:$E,'Card Data'!$A:$A,$A7,'Card Data'!$K:$K,"&lt;&gt;",'Card Data'!$J:$J,"&lt;&gt;Investigator")-SUMIFS('Card Data'!$E:$E,'Card Data'!$A:$A,$A7,'Card Data'!$K:$K,"&lt;&gt;",'Card Data'!$J:$J,"Mini")</f>
        <v>64</v>
      </c>
      <c r="I7" s="13">
        <f>SUMIFS('Card Data'!$E:$E,'Card Data'!$A:$A,$A7,'Card Data'!$K:$K,"",'Card Data'!$J:$J,"&lt;&gt;Campaign")+SUMIFS('Card Data'!$E:$E,'Card Data'!$A:$A,$A7,'Card Data'!$K:$K,"Mythos")-J7</f>
        <v>81</v>
      </c>
      <c r="J7" s="13">
        <f>SUMIFS('Card Data'!$E:$E,'Card Data'!$J:$J,J$2,'Card Data'!$A:$A,$A7,'Card Data'!$AD:$AD,"&lt;&gt;*Side Quest.*")</f>
        <v>6</v>
      </c>
      <c r="K7" s="13">
        <f>COUNTIFS('Card Data'!$J:$J,K$2,'Card Data'!$A:$A,$A7,'Card Data'!$AD:$AD,"&lt;&gt;*Side Quest.*")</f>
        <v>7</v>
      </c>
      <c r="L7" s="13">
        <f>COUNTIFS('Card Data'!$J:$J,L$2,'Card Data'!$A:$A,$A7,'Card Data'!$AD:$AD,"&lt;&gt;*Side Quest.*")</f>
        <v>2</v>
      </c>
      <c r="M7" s="15"/>
      <c r="N7" s="13">
        <f>COUNTIFS('Card Data'!$J:$J,N$2,'Card Data'!$A:$A,$A7)</f>
        <v>5</v>
      </c>
      <c r="O7" s="13">
        <f>COUNTIFS('Card Data'!$J:$J,O$2,'Card Data'!$A:$A,$A7)</f>
        <v>22</v>
      </c>
      <c r="P7" s="13">
        <f>COUNTIFS('Card Data'!$J:$J,P$2,'Card Data'!$A:$A,$A7)</f>
        <v>9</v>
      </c>
      <c r="Q7" s="13">
        <f>COUNTIFS('Card Data'!$J:$J,Q$2,'Card Data'!$A:$A,$A7)</f>
        <v>1</v>
      </c>
      <c r="R7" s="13">
        <f>COUNTIFS('Card Data'!$J:$J,R$2,'Card Data'!$A:$A,$A7)</f>
        <v>11</v>
      </c>
      <c r="S7" s="13">
        <f>COUNTIFS('Card Data'!$J:$J,S$2,'Card Data'!$A:$A,$A7)</f>
        <v>18</v>
      </c>
      <c r="T7" s="13">
        <f>COUNTIFS('Card Data'!$J:$J,T$2,'Card Data'!$A:$A,$A7)</f>
        <v>23</v>
      </c>
      <c r="U7" s="15"/>
      <c r="V7" s="13">
        <f>COUNTIFS('Card Data'!$K:$K,V$2,'Card Data'!$A:$A,$A7)</f>
        <v>6</v>
      </c>
      <c r="W7" s="13">
        <f>COUNTIFS('Card Data'!$K:$K,W$2,'Card Data'!$A:$A,$A7)</f>
        <v>6</v>
      </c>
      <c r="X7" s="13">
        <f>COUNTIFS('Card Data'!$K:$K,X$2,'Card Data'!$A:$A,$A7)</f>
        <v>6</v>
      </c>
      <c r="Y7" s="13">
        <f>COUNTIFS('Card Data'!$K:$K,Y$2,'Card Data'!$A:$A,$A7)</f>
        <v>6</v>
      </c>
      <c r="Z7" s="13">
        <f>COUNTIFS('Card Data'!$K:$K,Z$2,'Card Data'!$A:$A,$A7)</f>
        <v>6</v>
      </c>
      <c r="AA7" s="13">
        <f>COUNTIFS('Card Data'!$K:$K,AA$2,'Card Data'!$A:$A,$A7)</f>
        <v>20</v>
      </c>
    </row>
    <row r="8" spans="1:27">
      <c r="A8" s="4" t="s">
        <v>1714</v>
      </c>
      <c r="B8" s="4" t="s">
        <v>1715</v>
      </c>
      <c r="C8" s="6" t="s">
        <v>174</v>
      </c>
      <c r="E8" s="4" t="s">
        <v>1716</v>
      </c>
      <c r="G8" s="13">
        <f>SUMIF('Card Data'!$A:$A,$A8,'Card Data'!$E:$E)</f>
        <v>60</v>
      </c>
      <c r="H8" s="13">
        <f>SUMIFS('Card Data'!$E:$E,'Card Data'!$A:$A,$A8,'Card Data'!$K:$K,"&lt;&gt;",'Card Data'!$J:$J,"&lt;&gt;Investigator")-SUMIFS('Card Data'!$E:$E,'Card Data'!$A:$A,$A8,'Card Data'!$K:$K,"&lt;&gt;",'Card Data'!$J:$J,"Mini")</f>
        <v>29</v>
      </c>
      <c r="I8" s="13">
        <f>SUMIFS('Card Data'!$E:$E,'Card Data'!$A:$A,$A8,'Card Data'!$K:$K,"",'Card Data'!$J:$J,"&lt;&gt;Campaign")+SUMIFS('Card Data'!$E:$E,'Card Data'!$A:$A,$A8,'Card Data'!$K:$K,"Mythos")-J8</f>
        <v>28</v>
      </c>
      <c r="J8" s="13">
        <f>SUMIFS('Card Data'!$E:$E,'Card Data'!$J:$J,J$2,'Card Data'!$A:$A,$A8,'Card Data'!$AD:$AD,"&lt;&gt;*Side Quest.*")</f>
        <v>3</v>
      </c>
      <c r="K8" s="13">
        <f>COUNTIFS('Card Data'!$J:$J,K$2,'Card Data'!$A:$A,$A8,'Card Data'!$AD:$AD,"&lt;&gt;*Side Quest.*")</f>
        <v>4</v>
      </c>
      <c r="L8" s="13">
        <f>COUNTIFS('Card Data'!$J:$J,L$2,'Card Data'!$A:$A,$A8,'Card Data'!$AD:$AD,"&lt;&gt;*Side Quest.*")</f>
        <v>1</v>
      </c>
      <c r="M8" s="15"/>
      <c r="N8" s="13">
        <f>COUNTIFS('Card Data'!$J:$J,N$2,'Card Data'!$A:$A,$A8)</f>
        <v>0</v>
      </c>
      <c r="O8" s="13">
        <f>COUNTIFS('Card Data'!$J:$J,O$2,'Card Data'!$A:$A,$A8)</f>
        <v>10</v>
      </c>
      <c r="P8" s="13">
        <f>COUNTIFS('Card Data'!$J:$J,P$2,'Card Data'!$A:$A,$A8)</f>
        <v>6</v>
      </c>
      <c r="Q8" s="13">
        <f>COUNTIFS('Card Data'!$J:$J,Q$2,'Card Data'!$A:$A,$A8)</f>
        <v>0</v>
      </c>
      <c r="R8" s="13">
        <f>COUNTIFS('Card Data'!$J:$J,R$2,'Card Data'!$A:$A,$A8)</f>
        <v>1</v>
      </c>
      <c r="S8" s="13">
        <f>COUNTIFS('Card Data'!$J:$J,S$2,'Card Data'!$A:$A,$A8)</f>
        <v>12</v>
      </c>
      <c r="T8" s="13">
        <f>COUNTIFS('Card Data'!$J:$J,T$2,'Card Data'!$A:$A,$A8)</f>
        <v>5</v>
      </c>
      <c r="U8" s="15"/>
      <c r="V8" s="13">
        <f>COUNTIFS('Card Data'!$K:$K,V$2,'Card Data'!$A:$A,$A8)</f>
        <v>2</v>
      </c>
      <c r="W8" s="13">
        <f>COUNTIFS('Card Data'!$K:$K,W$2,'Card Data'!$A:$A,$A8)</f>
        <v>2</v>
      </c>
      <c r="X8" s="13">
        <f>COUNTIFS('Card Data'!$K:$K,X$2,'Card Data'!$A:$A,$A8)</f>
        <v>2</v>
      </c>
      <c r="Y8" s="13">
        <f>COUNTIFS('Card Data'!$K:$K,Y$2,'Card Data'!$A:$A,$A8)</f>
        <v>2</v>
      </c>
      <c r="Z8" s="13">
        <f>COUNTIFS('Card Data'!$K:$K,Z$2,'Card Data'!$A:$A,$A8)</f>
        <v>3</v>
      </c>
      <c r="AA8" s="13">
        <f>COUNTIFS('Card Data'!$K:$K,AA$2,'Card Data'!$A:$A,$A8)</f>
        <v>5</v>
      </c>
    </row>
    <row r="9" spans="1:27">
      <c r="A9" s="4" t="s">
        <v>1717</v>
      </c>
      <c r="B9" s="4" t="s">
        <v>1718</v>
      </c>
      <c r="C9" s="6" t="s">
        <v>174</v>
      </c>
      <c r="E9" s="4" t="s">
        <v>1719</v>
      </c>
      <c r="G9" s="13">
        <f>SUMIF('Card Data'!$A:$A,$A9,'Card Data'!$E:$E)</f>
        <v>60</v>
      </c>
      <c r="H9" s="13">
        <f>SUMIFS('Card Data'!$E:$E,'Card Data'!$A:$A,$A9,'Card Data'!$K:$K,"&lt;&gt;",'Card Data'!$J:$J,"&lt;&gt;Investigator")-SUMIFS('Card Data'!$E:$E,'Card Data'!$A:$A,$A9,'Card Data'!$K:$K,"&lt;&gt;",'Card Data'!$J:$J,"Mini")</f>
        <v>31</v>
      </c>
      <c r="I9" s="13">
        <f>SUMIFS('Card Data'!$E:$E,'Card Data'!$A:$A,$A9,'Card Data'!$K:$K,"",'Card Data'!$J:$J,"&lt;&gt;Campaign")+SUMIFS('Card Data'!$E:$E,'Card Data'!$A:$A,$A9,'Card Data'!$K:$K,"Mythos")-J9</f>
        <v>24</v>
      </c>
      <c r="J9" s="13">
        <f>SUMIFS('Card Data'!$E:$E,'Card Data'!$J:$J,J$2,'Card Data'!$A:$A,$A9,'Card Data'!$AD:$AD,"&lt;&gt;*Side Quest.*")</f>
        <v>5</v>
      </c>
      <c r="K9" s="13">
        <f>COUNTIFS('Card Data'!$J:$J,K$2,'Card Data'!$A:$A,$A9,'Card Data'!$AD:$AD,"&lt;&gt;*Side Quest.*")</f>
        <v>2</v>
      </c>
      <c r="L9" s="13">
        <f>COUNTIFS('Card Data'!$J:$J,L$2,'Card Data'!$A:$A,$A9,'Card Data'!$AD:$AD,"&lt;&gt;*Side Quest.*")</f>
        <v>1</v>
      </c>
      <c r="M9" s="15"/>
      <c r="N9" s="13">
        <f>COUNTIFS('Card Data'!$J:$J,N$2,'Card Data'!$A:$A,$A9)</f>
        <v>0</v>
      </c>
      <c r="O9" s="13">
        <f>COUNTIFS('Card Data'!$J:$J,O$2,'Card Data'!$A:$A,$A9)</f>
        <v>8</v>
      </c>
      <c r="P9" s="13">
        <f>COUNTIFS('Card Data'!$J:$J,P$2,'Card Data'!$A:$A,$A9)</f>
        <v>4</v>
      </c>
      <c r="Q9" s="13">
        <f>COUNTIFS('Card Data'!$J:$J,Q$2,'Card Data'!$A:$A,$A9)</f>
        <v>1</v>
      </c>
      <c r="R9" s="13">
        <f>COUNTIFS('Card Data'!$J:$J,R$2,'Card Data'!$A:$A,$A9)</f>
        <v>2</v>
      </c>
      <c r="S9" s="13">
        <f>COUNTIFS('Card Data'!$J:$J,S$2,'Card Data'!$A:$A,$A9)</f>
        <v>11</v>
      </c>
      <c r="T9" s="13">
        <f>COUNTIFS('Card Data'!$J:$J,T$2,'Card Data'!$A:$A,$A9)</f>
        <v>3</v>
      </c>
      <c r="U9" s="15"/>
      <c r="V9" s="13">
        <f>COUNTIFS('Card Data'!$K:$K,V$2,'Card Data'!$A:$A,$A9)</f>
        <v>2</v>
      </c>
      <c r="W9" s="13">
        <f>COUNTIFS('Card Data'!$K:$K,W$2,'Card Data'!$A:$A,$A9)</f>
        <v>2</v>
      </c>
      <c r="X9" s="13">
        <f>COUNTIFS('Card Data'!$K:$K,X$2,'Card Data'!$A:$A,$A9)</f>
        <v>2</v>
      </c>
      <c r="Y9" s="13">
        <f>COUNTIFS('Card Data'!$K:$K,Y$2,'Card Data'!$A:$A,$A9)</f>
        <v>2</v>
      </c>
      <c r="Z9" s="13">
        <f>COUNTIFS('Card Data'!$K:$K,Z$2,'Card Data'!$A:$A,$A9)</f>
        <v>2</v>
      </c>
      <c r="AA9" s="13">
        <f>COUNTIFS('Card Data'!$K:$K,AA$2,'Card Data'!$A:$A,$A9)</f>
        <v>4</v>
      </c>
    </row>
    <row r="10" spans="1:27">
      <c r="A10" s="4" t="s">
        <v>2045</v>
      </c>
      <c r="B10" s="4" t="s">
        <v>1983</v>
      </c>
      <c r="C10" s="6" t="s">
        <v>174</v>
      </c>
      <c r="E10" s="4" t="s">
        <v>2088</v>
      </c>
      <c r="G10" s="13">
        <f>SUMIF('Card Data'!$A:$A,$A10,'Card Data'!$E:$E)</f>
        <v>60</v>
      </c>
      <c r="H10" s="13">
        <f>SUMIFS('Card Data'!$E:$E,'Card Data'!$A:$A,$A10,'Card Data'!$K:$K,"&lt;&gt;",'Card Data'!$J:$J,"&lt;&gt;Investigator")-SUMIFS('Card Data'!$E:$E,'Card Data'!$A:$A,$A10,'Card Data'!$K:$K,"&lt;&gt;",'Card Data'!$J:$J,"Mini")</f>
        <v>22</v>
      </c>
      <c r="I10" s="13">
        <f>SUMIFS('Card Data'!$E:$E,'Card Data'!$A:$A,$A10,'Card Data'!$K:$K,"",'Card Data'!$J:$J,"&lt;&gt;Campaign")+SUMIFS('Card Data'!$E:$E,'Card Data'!$A:$A,$A10,'Card Data'!$K:$K,"Mythos")-J10</f>
        <v>35</v>
      </c>
      <c r="J10" s="13">
        <f>SUMIFS('Card Data'!$E:$E,'Card Data'!$J:$J,J$2,'Card Data'!$A:$A,$A10,'Card Data'!$AD:$AD,"&lt;&gt;*Side Quest.*")</f>
        <v>3</v>
      </c>
      <c r="K10" s="13">
        <f>COUNTIFS('Card Data'!$J:$J,K$2,'Card Data'!$A:$A,$A10,'Card Data'!$AD:$AD,"&lt;&gt;*Side Quest.*")</f>
        <v>2</v>
      </c>
      <c r="L10" s="13">
        <f>COUNTIFS('Card Data'!$J:$J,L$2,'Card Data'!$A:$A,$A10,'Card Data'!$AD:$AD,"&lt;&gt;*Side Quest.*")</f>
        <v>1</v>
      </c>
      <c r="M10" s="15"/>
      <c r="N10" s="13">
        <f>COUNTIFS('Card Data'!$J:$J,N$2,'Card Data'!$A:$A,$A10)</f>
        <v>0</v>
      </c>
      <c r="O10" s="13">
        <f>COUNTIFS('Card Data'!$J:$J,O$2,'Card Data'!$A:$A,$A10)</f>
        <v>10</v>
      </c>
      <c r="P10" s="13">
        <f>COUNTIFS('Card Data'!$J:$J,P$2,'Card Data'!$A:$A,$A10)</f>
        <v>3</v>
      </c>
      <c r="Q10" s="13">
        <f>COUNTIFS('Card Data'!$J:$J,Q$2,'Card Data'!$A:$A,$A10)</f>
        <v>2</v>
      </c>
      <c r="R10" s="13">
        <f>COUNTIFS('Card Data'!$J:$J,R$2,'Card Data'!$A:$A,$A10)</f>
        <v>2</v>
      </c>
      <c r="S10" s="13">
        <f>COUNTIFS('Card Data'!$J:$J,S$2,'Card Data'!$A:$A,$A10)</f>
        <v>14</v>
      </c>
      <c r="T10" s="13">
        <f>COUNTIFS('Card Data'!$J:$J,T$2,'Card Data'!$A:$A,$A10)</f>
        <v>4</v>
      </c>
      <c r="U10" s="15"/>
      <c r="V10" s="13">
        <f>COUNTIFS('Card Data'!$K:$K,V$2,'Card Data'!$A:$A,$A10)</f>
        <v>2</v>
      </c>
      <c r="W10" s="13">
        <f>COUNTIFS('Card Data'!$K:$K,W$2,'Card Data'!$A:$A,$A10)</f>
        <v>2</v>
      </c>
      <c r="X10" s="13">
        <f>COUNTIFS('Card Data'!$K:$K,X$2,'Card Data'!$A:$A,$A10)</f>
        <v>2</v>
      </c>
      <c r="Y10" s="13">
        <f>COUNTIFS('Card Data'!$K:$K,Y$2,'Card Data'!$A:$A,$A10)</f>
        <v>2</v>
      </c>
      <c r="Z10" s="13">
        <f>COUNTIFS('Card Data'!$K:$K,Z$2,'Card Data'!$A:$A,$A10)</f>
        <v>2</v>
      </c>
      <c r="AA10" s="13">
        <f>COUNTIFS('Card Data'!$K:$K,AA$2,'Card Data'!$A:$A,$A10)</f>
        <v>1</v>
      </c>
    </row>
    <row r="11" spans="1:27">
      <c r="A11" s="4" t="s">
        <v>2116</v>
      </c>
      <c r="B11" s="4" t="s">
        <v>2117</v>
      </c>
      <c r="C11" s="6" t="s">
        <v>174</v>
      </c>
      <c r="E11" s="4" t="s">
        <v>2118</v>
      </c>
      <c r="G11" s="13">
        <f>SUMIF('Card Data'!$A:$A,$A11,'Card Data'!$E:$E)</f>
        <v>57</v>
      </c>
      <c r="H11" s="13">
        <f>SUMIFS('Card Data'!$E:$E,'Card Data'!$A:$A,$A11,'Card Data'!$K:$K,"&lt;&gt;",'Card Data'!$J:$J,"&lt;&gt;Investigator")-SUMIFS('Card Data'!$E:$E,'Card Data'!$A:$A,$A11,'Card Data'!$K:$K,"&lt;&gt;",'Card Data'!$J:$J,"Mini")</f>
        <v>23</v>
      </c>
      <c r="I11" s="13">
        <f>SUMIFS('Card Data'!$E:$E,'Card Data'!$A:$A,$A11,'Card Data'!$K:$K,"",'Card Data'!$J:$J,"&lt;&gt;Campaign")+SUMIFS('Card Data'!$E:$E,'Card Data'!$A:$A,$A11,'Card Data'!$K:$K,"Mythos")-J11</f>
        <v>31</v>
      </c>
      <c r="J11" s="13">
        <f>SUMIFS('Card Data'!$E:$E,'Card Data'!$J:$J,J$2,'Card Data'!$A:$A,$A11,'Card Data'!$AD:$AD,"&lt;&gt;*Side Quest.*")</f>
        <v>3</v>
      </c>
      <c r="K11" s="13">
        <f>COUNTIFS('Card Data'!$J:$J,K$2,'Card Data'!$A:$A,$A11,'Card Data'!$AD:$AD,"&lt;&gt;*Side Quest.*")</f>
        <v>2</v>
      </c>
      <c r="L11" s="13">
        <f>COUNTIFS('Card Data'!$J:$J,L$2,'Card Data'!$A:$A,$A11,'Card Data'!$AD:$AD,"&lt;&gt;*Side Quest.*")</f>
        <v>1</v>
      </c>
      <c r="M11" s="15"/>
      <c r="N11" s="13">
        <f>COUNTIFS('Card Data'!$J:$J,N$2,'Card Data'!$A:$A,$A11)</f>
        <v>0</v>
      </c>
      <c r="O11" s="13">
        <f>COUNTIFS('Card Data'!$J:$J,O$2,'Card Data'!$A:$A,$A11)</f>
        <v>6</v>
      </c>
      <c r="P11" s="13">
        <f>COUNTIFS('Card Data'!$J:$J,P$2,'Card Data'!$A:$A,$A11)</f>
        <v>2</v>
      </c>
      <c r="Q11" s="13">
        <f>COUNTIFS('Card Data'!$J:$J,Q$2,'Card Data'!$A:$A,$A11)</f>
        <v>4</v>
      </c>
      <c r="R11" s="13">
        <f>COUNTIFS('Card Data'!$J:$J,R$2,'Card Data'!$A:$A,$A11)</f>
        <v>1</v>
      </c>
      <c r="S11" s="13">
        <f>COUNTIFS('Card Data'!$J:$J,S$2,'Card Data'!$A:$A,$A11)</f>
        <v>12</v>
      </c>
      <c r="T11" s="13">
        <f>COUNTIFS('Card Data'!$J:$J,T$2,'Card Data'!$A:$A,$A11)</f>
        <v>4</v>
      </c>
      <c r="U11" s="15"/>
      <c r="V11" s="13">
        <f>COUNTIFS('Card Data'!$K:$K,V$2,'Card Data'!$A:$A,$A11)</f>
        <v>2</v>
      </c>
      <c r="W11" s="13">
        <f>COUNTIFS('Card Data'!$K:$K,W$2,'Card Data'!$A:$A,$A11)</f>
        <v>2</v>
      </c>
      <c r="X11" s="13">
        <f>COUNTIFS('Card Data'!$K:$K,X$2,'Card Data'!$A:$A,$A11)</f>
        <v>3</v>
      </c>
      <c r="Y11" s="13">
        <f>COUNTIFS('Card Data'!$K:$K,Y$2,'Card Data'!$A:$A,$A11)</f>
        <v>2</v>
      </c>
      <c r="Z11" s="13">
        <f>COUNTIFS('Card Data'!$K:$K,Z$2,'Card Data'!$A:$A,$A11)</f>
        <v>2</v>
      </c>
      <c r="AA11" s="13">
        <f>COUNTIFS('Card Data'!$K:$K,AA$2,'Card Data'!$A:$A,$A11)</f>
        <v>1</v>
      </c>
    </row>
    <row r="12" spans="1:27">
      <c r="A12" s="4" t="s">
        <v>2231</v>
      </c>
      <c r="B12" s="4" t="s">
        <v>2232</v>
      </c>
      <c r="C12" s="6" t="s">
        <v>174</v>
      </c>
      <c r="E12" s="4" t="s">
        <v>2233</v>
      </c>
      <c r="G12" s="13">
        <f>SUMIF('Card Data'!$A:$A,$A12,'Card Data'!$E:$E)</f>
        <v>60</v>
      </c>
      <c r="H12" s="13">
        <f>SUMIFS('Card Data'!$E:$E,'Card Data'!$A:$A,$A12,'Card Data'!$K:$K,"&lt;&gt;",'Card Data'!$J:$J,"&lt;&gt;Investigator")-SUMIFS('Card Data'!$E:$E,'Card Data'!$A:$A,$A12,'Card Data'!$K:$K,"&lt;&gt;",'Card Data'!$J:$J,"Mini")</f>
        <v>28</v>
      </c>
      <c r="I12" s="13">
        <f>SUMIFS('Card Data'!$E:$E,'Card Data'!$A:$A,$A12,'Card Data'!$K:$K,"",'Card Data'!$J:$J,"&lt;&gt;Campaign")+SUMIFS('Card Data'!$E:$E,'Card Data'!$A:$A,$A12,'Card Data'!$K:$K,"Mythos")-J12</f>
        <v>30</v>
      </c>
      <c r="J12" s="13">
        <f>SUMIFS('Card Data'!$E:$E,'Card Data'!$J:$J,J$2,'Card Data'!$A:$A,$A12,'Card Data'!$AD:$AD,"&lt;&gt;*Side Quest.*")</f>
        <v>2</v>
      </c>
      <c r="K12" s="13">
        <f>COUNTIFS('Card Data'!$J:$J,K$2,'Card Data'!$A:$A,$A12,'Card Data'!$AD:$AD,"&lt;&gt;*Side Quest.*")</f>
        <v>5</v>
      </c>
      <c r="L12" s="13">
        <f>COUNTIFS('Card Data'!$J:$J,L$2,'Card Data'!$A:$A,$A12,'Card Data'!$AD:$AD,"&lt;&gt;*Side Quest.*")</f>
        <v>1</v>
      </c>
      <c r="M12" s="15"/>
      <c r="N12" s="13">
        <f>COUNTIFS('Card Data'!$J:$J,N$2,'Card Data'!$A:$A,$A12)</f>
        <v>0</v>
      </c>
      <c r="O12" s="13">
        <f>COUNTIFS('Card Data'!$J:$J,O$2,'Card Data'!$A:$A,$A12)</f>
        <v>6</v>
      </c>
      <c r="P12" s="13">
        <f>COUNTIFS('Card Data'!$J:$J,P$2,'Card Data'!$A:$A,$A12)</f>
        <v>5</v>
      </c>
      <c r="Q12" s="13">
        <f>COUNTIFS('Card Data'!$J:$J,Q$2,'Card Data'!$A:$A,$A12)</f>
        <v>3</v>
      </c>
      <c r="R12" s="13">
        <f>COUNTIFS('Card Data'!$J:$J,R$2,'Card Data'!$A:$A,$A12)</f>
        <v>3</v>
      </c>
      <c r="S12" s="13">
        <f>COUNTIFS('Card Data'!$J:$J,S$2,'Card Data'!$A:$A,$A12)</f>
        <v>11</v>
      </c>
      <c r="T12" s="13">
        <f>COUNTIFS('Card Data'!$J:$J,T$2,'Card Data'!$A:$A,$A12)</f>
        <v>3</v>
      </c>
      <c r="U12" s="15"/>
      <c r="V12" s="13">
        <f>COUNTIFS('Card Data'!$K:$K,V$2,'Card Data'!$A:$A,$A12)</f>
        <v>2</v>
      </c>
      <c r="W12" s="13">
        <f>COUNTIFS('Card Data'!$K:$K,W$2,'Card Data'!$A:$A,$A12)</f>
        <v>3</v>
      </c>
      <c r="X12" s="13">
        <f>COUNTIFS('Card Data'!$K:$K,X$2,'Card Data'!$A:$A,$A12)</f>
        <v>2</v>
      </c>
      <c r="Y12" s="13">
        <f>COUNTIFS('Card Data'!$K:$K,Y$2,'Card Data'!$A:$A,$A12)</f>
        <v>3</v>
      </c>
      <c r="Z12" s="13">
        <f>COUNTIFS('Card Data'!$K:$K,Z$2,'Card Data'!$A:$A,$A12)</f>
        <v>2</v>
      </c>
      <c r="AA12" s="13">
        <f>COUNTIFS('Card Data'!$K:$K,AA$2,'Card Data'!$A:$A,$A12)</f>
        <v>2</v>
      </c>
    </row>
    <row r="13" spans="1:27">
      <c r="A13" s="4" t="s">
        <v>2384</v>
      </c>
      <c r="B13" s="4" t="s">
        <v>2424</v>
      </c>
      <c r="C13" s="6" t="s">
        <v>174</v>
      </c>
      <c r="E13" s="4" t="s">
        <v>2511</v>
      </c>
      <c r="G13" s="13">
        <f>SUMIF('Card Data'!$A:$A,$A13,'Card Data'!$E:$E)</f>
        <v>60</v>
      </c>
      <c r="H13" s="13">
        <f>SUMIFS('Card Data'!$E:$E,'Card Data'!$A:$A,$A13,'Card Data'!$K:$K,"&lt;&gt;",'Card Data'!$J:$J,"&lt;&gt;Investigator")-SUMIFS('Card Data'!$E:$E,'Card Data'!$A:$A,$A13,'Card Data'!$K:$K,"&lt;&gt;",'Card Data'!$J:$J,"Mini")</f>
        <v>24</v>
      </c>
      <c r="I13" s="13">
        <f>SUMIFS('Card Data'!$E:$E,'Card Data'!$A:$A,$A13,'Card Data'!$K:$K,"",'Card Data'!$J:$J,"&lt;&gt;Campaign")+SUMIFS('Card Data'!$E:$E,'Card Data'!$A:$A,$A13,'Card Data'!$K:$K,"Mythos")-J13</f>
        <v>32</v>
      </c>
      <c r="J13" s="13">
        <f>SUMIFS('Card Data'!$E:$E,'Card Data'!$J:$J,J$2,'Card Data'!$A:$A,$A13,'Card Data'!$AD:$AD,"&lt;&gt;*Side Quest.*")</f>
        <v>4</v>
      </c>
      <c r="K13" s="13">
        <f>COUNTIFS('Card Data'!$J:$J,K$2,'Card Data'!$A:$A,$A13,'Card Data'!$AD:$AD,"&lt;&gt;*Side Quest.*")</f>
        <v>4</v>
      </c>
      <c r="L13" s="13">
        <f>COUNTIFS('Card Data'!$J:$J,L$2,'Card Data'!$A:$A,$A13,'Card Data'!$AD:$AD,"&lt;&gt;*Side Quest.*")</f>
        <v>1</v>
      </c>
      <c r="M13" s="15"/>
      <c r="N13" s="13">
        <f>COUNTIFS('Card Data'!$J:$J,N$2,'Card Data'!$A:$A,$A13)</f>
        <v>0</v>
      </c>
      <c r="O13" s="13">
        <f>COUNTIFS('Card Data'!$J:$J,O$2,'Card Data'!$A:$A,$A13)</f>
        <v>8</v>
      </c>
      <c r="P13" s="13">
        <f>COUNTIFS('Card Data'!$J:$J,P$2,'Card Data'!$A:$A,$A13)</f>
        <v>3</v>
      </c>
      <c r="Q13" s="13">
        <f>COUNTIFS('Card Data'!$J:$J,Q$2,'Card Data'!$A:$A,$A13)</f>
        <v>1</v>
      </c>
      <c r="R13" s="13">
        <f>COUNTIFS('Card Data'!$J:$J,R$2,'Card Data'!$A:$A,$A13)</f>
        <v>3</v>
      </c>
      <c r="S13" s="13">
        <f>COUNTIFS('Card Data'!$J:$J,S$2,'Card Data'!$A:$A,$A13)</f>
        <v>8</v>
      </c>
      <c r="T13" s="13">
        <f>COUNTIFS('Card Data'!$J:$J,T$2,'Card Data'!$A:$A,$A13)</f>
        <v>3</v>
      </c>
      <c r="U13" s="15"/>
      <c r="V13" s="13">
        <f>COUNTIFS('Card Data'!$K:$K,V$2,'Card Data'!$A:$A,$A13)</f>
        <v>3</v>
      </c>
      <c r="W13" s="13">
        <f>COUNTIFS('Card Data'!$K:$K,W$2,'Card Data'!$A:$A,$A13)</f>
        <v>2</v>
      </c>
      <c r="X13" s="13">
        <f>COUNTIFS('Card Data'!$K:$K,X$2,'Card Data'!$A:$A,$A13)</f>
        <v>2</v>
      </c>
      <c r="Y13" s="13">
        <f>COUNTIFS('Card Data'!$K:$K,Y$2,'Card Data'!$A:$A,$A13)</f>
        <v>2</v>
      </c>
      <c r="Z13" s="13">
        <f>COUNTIFS('Card Data'!$K:$K,Z$2,'Card Data'!$A:$A,$A13)</f>
        <v>2</v>
      </c>
      <c r="AA13" s="13">
        <f>COUNTIFS('Card Data'!$K:$K,AA$2,'Card Data'!$A:$A,$A13)</f>
        <v>1</v>
      </c>
    </row>
    <row r="14" spans="1:27">
      <c r="A14" s="39" t="s">
        <v>2937</v>
      </c>
      <c r="B14" s="39" t="s">
        <v>2938</v>
      </c>
      <c r="C14" s="138" t="s">
        <v>174</v>
      </c>
      <c r="D14" s="39"/>
      <c r="E14" s="39" t="s">
        <v>2939</v>
      </c>
      <c r="G14" s="13">
        <f>SUMIF('Card Data'!$A:$A,$A14,'Card Data'!$E:$E)</f>
        <v>162</v>
      </c>
      <c r="H14" s="13">
        <f>SUMIFS('Card Data'!$E:$E,'Card Data'!$A:$A,$A14,'Card Data'!$K:$K,"&lt;&gt;",'Card Data'!$J:$J,"&lt;&gt;Investigator")-SUMIFS('Card Data'!$E:$E,'Card Data'!$A:$A,$A14,'Card Data'!$K:$K,"&lt;&gt;",'Card Data'!$J:$J,"Mini")</f>
        <v>66</v>
      </c>
      <c r="I14" s="13">
        <f>SUMIFS('Card Data'!$E:$E,'Card Data'!$A:$A,$A14,'Card Data'!$K:$K,"",'Card Data'!$J:$J,"&lt;&gt;Campaign")+SUMIFS('Card Data'!$E:$E,'Card Data'!$A:$A,$A14,'Card Data'!$K:$K,"Mythos")-J14</f>
        <v>80</v>
      </c>
      <c r="J14" s="13">
        <f>SUMIFS('Card Data'!$E:$E,'Card Data'!$J:$J,J$2,'Card Data'!$A:$A,$A14,'Card Data'!$AD:$AD,"&lt;&gt;*Side Quest.*")</f>
        <v>4</v>
      </c>
      <c r="K14" s="13">
        <f>COUNTIFS('Card Data'!$J:$J,K$2,'Card Data'!$A:$A,$A14,'Card Data'!$AD:$AD,"&lt;&gt;*Side Quest.*")</f>
        <v>6</v>
      </c>
      <c r="L14" s="13">
        <f>COUNTIFS('Card Data'!$J:$J,L$2,'Card Data'!$A:$A,$A14,'Card Data'!$AD:$AD,"&lt;&gt;*Side Quest.*")</f>
        <v>2</v>
      </c>
      <c r="M14" s="15"/>
      <c r="N14" s="13">
        <f>COUNTIFS('Card Data'!$J:$J,N$2,'Card Data'!$A:$A,$A14)</f>
        <v>6</v>
      </c>
      <c r="O14" s="13">
        <f>COUNTIFS('Card Data'!$J:$J,O$2,'Card Data'!$A:$A,$A14)</f>
        <v>20</v>
      </c>
      <c r="P14" s="13">
        <f>COUNTIFS('Card Data'!$J:$J,P$2,'Card Data'!$A:$A,$A14)</f>
        <v>11</v>
      </c>
      <c r="Q14" s="13">
        <f>COUNTIFS('Card Data'!$J:$J,Q$2,'Card Data'!$A:$A,$A14)</f>
        <v>2</v>
      </c>
      <c r="R14" s="13">
        <f>COUNTIFS('Card Data'!$J:$J,R$2,'Card Data'!$A:$A,$A14)</f>
        <v>14</v>
      </c>
      <c r="S14" s="13">
        <f>COUNTIFS('Card Data'!$J:$J,S$2,'Card Data'!$A:$A,$A14)</f>
        <v>16</v>
      </c>
      <c r="T14" s="13">
        <f>COUNTIFS('Card Data'!$J:$J,T$2,'Card Data'!$A:$A,$A14)</f>
        <v>24</v>
      </c>
      <c r="U14" s="15"/>
      <c r="V14" s="13">
        <f>COUNTIFS('Card Data'!$K:$K,V$2,'Card Data'!$A:$A,$A14)</f>
        <v>6</v>
      </c>
      <c r="W14" s="13">
        <f>COUNTIFS('Card Data'!$K:$K,W$2,'Card Data'!$A:$A,$A14)</f>
        <v>6</v>
      </c>
      <c r="X14" s="13">
        <f>COUNTIFS('Card Data'!$K:$K,X$2,'Card Data'!$A:$A,$A14)</f>
        <v>6</v>
      </c>
      <c r="Y14" s="13">
        <f>COUNTIFS('Card Data'!$K:$K,Y$2,'Card Data'!$A:$A,$A14)</f>
        <v>6</v>
      </c>
      <c r="Z14" s="13">
        <f>COUNTIFS('Card Data'!$K:$K,Z$2,'Card Data'!$A:$A,$A14)</f>
        <v>6</v>
      </c>
      <c r="AA14" s="13">
        <f>COUNTIFS('Card Data'!$K:$K,AA$2,'Card Data'!$A:$A,$A14)</f>
        <v>23</v>
      </c>
    </row>
    <row r="15" spans="1:27">
      <c r="A15" s="4" t="s">
        <v>2940</v>
      </c>
      <c r="B15" s="4" t="s">
        <v>2941</v>
      </c>
      <c r="C15" s="6" t="s">
        <v>174</v>
      </c>
      <c r="E15" s="4" t="s">
        <v>2942</v>
      </c>
      <c r="G15" s="13">
        <f>SUMIF('Card Data'!$A:$A,$A15,'Card Data'!$E:$E)</f>
        <v>60</v>
      </c>
      <c r="H15" s="13">
        <f>SUMIFS('Card Data'!$E:$E,'Card Data'!$A:$A,$A15,'Card Data'!$K:$K,"&lt;&gt;",'Card Data'!$J:$J,"&lt;&gt;Investigator")-SUMIFS('Card Data'!$E:$E,'Card Data'!$A:$A,$A15,'Card Data'!$K:$K,"&lt;&gt;",'Card Data'!$J:$J,"Mini")</f>
        <v>31</v>
      </c>
      <c r="I15" s="13">
        <f>SUMIFS('Card Data'!$E:$E,'Card Data'!$A:$A,$A15,'Card Data'!$K:$K,"",'Card Data'!$J:$J,"&lt;&gt;Campaign")+SUMIFS('Card Data'!$E:$E,'Card Data'!$A:$A,$A15,'Card Data'!$K:$K,"Mythos")-J15</f>
        <v>26</v>
      </c>
      <c r="J15" s="13">
        <f>SUMIFS('Card Data'!$E:$E,'Card Data'!$J:$J,J$2,'Card Data'!$A:$A,$A15,'Card Data'!$AD:$AD,"&lt;&gt;*Side Quest.*")</f>
        <v>3</v>
      </c>
      <c r="K15" s="13">
        <f>COUNTIFS('Card Data'!$J:$J,K$2,'Card Data'!$A:$A,$A15,'Card Data'!$AD:$AD,"&lt;&gt;*Side Quest.*")</f>
        <v>3</v>
      </c>
      <c r="L15" s="13">
        <f>COUNTIFS('Card Data'!$J:$J,L$2,'Card Data'!$A:$A,$A15,'Card Data'!$AD:$AD,"&lt;&gt;*Side Quest.*")</f>
        <v>1</v>
      </c>
      <c r="M15" s="15"/>
      <c r="N15" s="13">
        <f>COUNTIFS('Card Data'!$J:$J,N$2,'Card Data'!$A:$A,$A15)</f>
        <v>0</v>
      </c>
      <c r="O15" s="13">
        <f>COUNTIFS('Card Data'!$J:$J,O$2,'Card Data'!$A:$A,$A15)</f>
        <v>11</v>
      </c>
      <c r="P15" s="13">
        <f>COUNTIFS('Card Data'!$J:$J,P$2,'Card Data'!$A:$A,$A15)</f>
        <v>2</v>
      </c>
      <c r="Q15" s="13">
        <f>COUNTIFS('Card Data'!$J:$J,Q$2,'Card Data'!$A:$A,$A15)</f>
        <v>4</v>
      </c>
      <c r="R15" s="13">
        <f>COUNTIFS('Card Data'!$J:$J,R$2,'Card Data'!$A:$A,$A15)</f>
        <v>2</v>
      </c>
      <c r="S15" s="13">
        <f>COUNTIFS('Card Data'!$J:$J,S$2,'Card Data'!$A:$A,$A15)</f>
        <v>13</v>
      </c>
      <c r="T15" s="13">
        <f>COUNTIFS('Card Data'!$J:$J,T$2,'Card Data'!$A:$A,$A15)</f>
        <v>2</v>
      </c>
      <c r="U15" s="15"/>
      <c r="V15" s="13">
        <f>COUNTIFS('Card Data'!$K:$K,V$2,'Card Data'!$A:$A,$A15)</f>
        <v>2</v>
      </c>
      <c r="W15" s="13">
        <f>COUNTIFS('Card Data'!$K:$K,W$2,'Card Data'!$A:$A,$A15)</f>
        <v>2</v>
      </c>
      <c r="X15" s="13">
        <f>COUNTIFS('Card Data'!$K:$K,X$2,'Card Data'!$A:$A,$A15)</f>
        <v>2</v>
      </c>
      <c r="Y15" s="13">
        <f>COUNTIFS('Card Data'!$K:$K,Y$2,'Card Data'!$A:$A,$A15)</f>
        <v>2</v>
      </c>
      <c r="Z15" s="13">
        <f>COUNTIFS('Card Data'!$K:$K,Z$2,'Card Data'!$A:$A,$A15)</f>
        <v>2</v>
      </c>
      <c r="AA15" s="13">
        <f>COUNTIFS('Card Data'!$K:$K,AA$2,'Card Data'!$A:$A,$A15)</f>
        <v>7</v>
      </c>
    </row>
    <row r="16" spans="1:27">
      <c r="A16" s="4" t="s">
        <v>3197</v>
      </c>
      <c r="B16" s="4" t="s">
        <v>3115</v>
      </c>
      <c r="C16" s="6" t="s">
        <v>174</v>
      </c>
      <c r="E16" s="4" t="s">
        <v>3240</v>
      </c>
      <c r="G16" s="13">
        <f>SUMIF('Card Data'!$A:$A,$A16,'Card Data'!$E:$E)</f>
        <v>60</v>
      </c>
      <c r="H16" s="13">
        <f>SUMIFS('Card Data'!$E:$E,'Card Data'!$A:$A,$A16,'Card Data'!$K:$K,"&lt;&gt;",'Card Data'!$J:$J,"&lt;&gt;Investigator")-SUMIFS('Card Data'!$E:$E,'Card Data'!$A:$A,$A16,'Card Data'!$K:$K,"&lt;&gt;",'Card Data'!$J:$J,"Mini")</f>
        <v>24</v>
      </c>
      <c r="I16" s="13">
        <f>SUMIFS('Card Data'!$E:$E,'Card Data'!$A:$A,$A16,'Card Data'!$K:$K,"",'Card Data'!$J:$J,"&lt;&gt;Campaign")+SUMIFS('Card Data'!$E:$E,'Card Data'!$A:$A,$A16,'Card Data'!$K:$K,"Mythos")-J16</f>
        <v>33</v>
      </c>
      <c r="J16" s="13">
        <f>SUMIFS('Card Data'!$E:$E,'Card Data'!$J:$J,J$2,'Card Data'!$A:$A,$A16,'Card Data'!$AD:$AD,"&lt;&gt;*Side Quest.*")</f>
        <v>3</v>
      </c>
      <c r="K16" s="13">
        <f>COUNTIFS('Card Data'!$J:$J,K$2,'Card Data'!$A:$A,$A16,'Card Data'!$AD:$AD,"&lt;&gt;*Side Quest.*")</f>
        <v>5</v>
      </c>
      <c r="L16" s="13">
        <f>COUNTIFS('Card Data'!$J:$J,L$2,'Card Data'!$A:$A,$A16,'Card Data'!$AD:$AD,"&lt;&gt;*Side Quest.*")</f>
        <v>1</v>
      </c>
      <c r="M16" s="15"/>
      <c r="N16" s="13">
        <f>COUNTIFS('Card Data'!$J:$J,N$2,'Card Data'!$A:$A,$A16)</f>
        <v>0</v>
      </c>
      <c r="O16" s="13">
        <f>COUNTIFS('Card Data'!$J:$J,O$2,'Card Data'!$A:$A,$A16)</f>
        <v>4</v>
      </c>
      <c r="P16" s="13">
        <f>COUNTIFS('Card Data'!$J:$J,P$2,'Card Data'!$A:$A,$A16)</f>
        <v>8</v>
      </c>
      <c r="Q16" s="13">
        <f>COUNTIFS('Card Data'!$J:$J,Q$2,'Card Data'!$A:$A,$A16)</f>
        <v>0</v>
      </c>
      <c r="R16" s="13">
        <f>COUNTIFS('Card Data'!$J:$J,R$2,'Card Data'!$A:$A,$A16)</f>
        <v>3</v>
      </c>
      <c r="S16" s="13">
        <f>COUNTIFS('Card Data'!$J:$J,S$2,'Card Data'!$A:$A,$A16)</f>
        <v>14</v>
      </c>
      <c r="T16" s="13">
        <f>COUNTIFS('Card Data'!$J:$J,T$2,'Card Data'!$A:$A,$A16)</f>
        <v>4</v>
      </c>
      <c r="U16" s="15"/>
      <c r="V16" s="13">
        <f>COUNTIFS('Card Data'!$K:$K,V$2,'Card Data'!$A:$A,$A16)</f>
        <v>2</v>
      </c>
      <c r="W16" s="13">
        <f>COUNTIFS('Card Data'!$K:$K,W$2,'Card Data'!$A:$A,$A16)</f>
        <v>2</v>
      </c>
      <c r="X16" s="13">
        <f>COUNTIFS('Card Data'!$K:$K,X$2,'Card Data'!$A:$A,$A16)</f>
        <v>2</v>
      </c>
      <c r="Y16" s="13">
        <f>COUNTIFS('Card Data'!$K:$K,Y$2,'Card Data'!$A:$A,$A16)</f>
        <v>2</v>
      </c>
      <c r="Z16" s="13">
        <f>COUNTIFS('Card Data'!$K:$K,Z$2,'Card Data'!$A:$A,$A16)</f>
        <v>3</v>
      </c>
      <c r="AA16" s="13">
        <f>COUNTIFS('Card Data'!$K:$K,AA$2,'Card Data'!$A:$A,$A16)</f>
        <v>1</v>
      </c>
    </row>
    <row r="17" spans="1:27">
      <c r="A17" s="4" t="s">
        <v>3336</v>
      </c>
      <c r="B17" s="4" t="s">
        <v>3263</v>
      </c>
      <c r="C17" s="6" t="s">
        <v>174</v>
      </c>
      <c r="E17" s="4" t="s">
        <v>3333</v>
      </c>
      <c r="G17" s="13">
        <f>SUMIF('Card Data'!$A:$A,$A17,'Card Data'!$E:$E)</f>
        <v>60</v>
      </c>
      <c r="H17" s="13">
        <f>SUMIFS('Card Data'!$E:$E,'Card Data'!$A:$A,$A17,'Card Data'!$K:$K,"&lt;&gt;",'Card Data'!$J:$J,"&lt;&gt;Investigator")-SUMIFS('Card Data'!$E:$E,'Card Data'!$A:$A,$A17,'Card Data'!$K:$K,"&lt;&gt;",'Card Data'!$J:$J,"Mini")</f>
        <v>60</v>
      </c>
      <c r="I17" s="13">
        <f>SUMIFS('Card Data'!$E:$E,'Card Data'!$A:$A,$A17,'Card Data'!$K:$K,"",'Card Data'!$J:$J,"&lt;&gt;Campaign")+SUMIFS('Card Data'!$E:$E,'Card Data'!$A:$A,$A17,'Card Data'!$K:$K,"Mythos")-J17</f>
        <v>31</v>
      </c>
      <c r="J17" s="13">
        <f>SUMIFS('Card Data'!$E:$E,'Card Data'!$J:$J,J$2,'Card Data'!$A:$A,$A17,'Card Data'!$AD:$AD,"&lt;&gt;*Side Quest.*")</f>
        <v>3</v>
      </c>
      <c r="K17" s="13">
        <f>COUNTIFS('Card Data'!$J:$J,K$2,'Card Data'!$A:$A,$A17,'Card Data'!$AD:$AD,"&lt;&gt;*Side Quest.*")</f>
        <v>4</v>
      </c>
      <c r="L17" s="13">
        <f>COUNTIFS('Card Data'!$J:$J,L$2,'Card Data'!$A:$A,$A17,'Card Data'!$AD:$AD,"&lt;&gt;*Side Quest.*")</f>
        <v>1</v>
      </c>
      <c r="M17" s="15"/>
      <c r="N17" s="13">
        <f>COUNTIFS('Card Data'!$J:$J,N$2,'Card Data'!$A:$A,$A17)</f>
        <v>0</v>
      </c>
      <c r="O17" s="13">
        <f>COUNTIFS('Card Data'!$J:$J,O$2,'Card Data'!$A:$A,$A17)</f>
        <v>5</v>
      </c>
      <c r="P17" s="13">
        <f>COUNTIFS('Card Data'!$J:$J,P$2,'Card Data'!$A:$A,$A17)</f>
        <v>6</v>
      </c>
      <c r="Q17" s="13">
        <f>COUNTIFS('Card Data'!$J:$J,Q$2,'Card Data'!$A:$A,$A17)</f>
        <v>0</v>
      </c>
      <c r="R17" s="13">
        <f>COUNTIFS('Card Data'!$J:$J,R$2,'Card Data'!$A:$A,$A17)</f>
        <v>2</v>
      </c>
      <c r="S17" s="13">
        <f>COUNTIFS('Card Data'!$J:$J,S$2,'Card Data'!$A:$A,$A17)</f>
        <v>13</v>
      </c>
      <c r="T17" s="13">
        <f>COUNTIFS('Card Data'!$J:$J,T$2,'Card Data'!$A:$A,$A17)</f>
        <v>5</v>
      </c>
      <c r="U17" s="15"/>
      <c r="V17" s="13">
        <f>COUNTIFS('Card Data'!$K:$K,V$2,'Card Data'!$A:$A,$A17)</f>
        <v>2</v>
      </c>
      <c r="W17" s="13">
        <f>COUNTIFS('Card Data'!$K:$K,W$2,'Card Data'!$A:$A,$A17)</f>
        <v>3</v>
      </c>
      <c r="X17" s="13">
        <f>COUNTIFS('Card Data'!$K:$K,X$2,'Card Data'!$A:$A,$A17)</f>
        <v>2</v>
      </c>
      <c r="Y17" s="13">
        <f>COUNTIFS('Card Data'!$K:$K,Y$2,'Card Data'!$A:$A,$A17)</f>
        <v>2</v>
      </c>
      <c r="Z17" s="13">
        <f>COUNTIFS('Card Data'!$K:$K,Z$2,'Card Data'!$A:$A,$A17)</f>
        <v>2</v>
      </c>
      <c r="AA17" s="13">
        <f>COUNTIFS('Card Data'!$K:$K,AA$2,'Card Data'!$A:$A,$A17)</f>
        <v>1</v>
      </c>
    </row>
    <row r="18" spans="1:27">
      <c r="A18" s="4" t="s">
        <v>3376</v>
      </c>
      <c r="B18" s="4" t="s">
        <v>3413</v>
      </c>
      <c r="C18" s="6" t="s">
        <v>174</v>
      </c>
      <c r="E18" s="4" t="s">
        <v>3495</v>
      </c>
      <c r="G18" s="13">
        <f>SUMIF('Card Data'!$A:$A,$A18,'Card Data'!$E:$E)</f>
        <v>60</v>
      </c>
      <c r="H18" s="13">
        <f>SUMIFS('Card Data'!$E:$E,'Card Data'!$A:$A,$A18,'Card Data'!$K:$K,"&lt;&gt;",'Card Data'!$J:$J,"&lt;&gt;Investigator")-SUMIFS('Card Data'!$E:$E,'Card Data'!$A:$A,$A18,'Card Data'!$K:$K,"&lt;&gt;",'Card Data'!$J:$J,"Mini")</f>
        <v>60</v>
      </c>
      <c r="I18" s="13">
        <f>SUMIFS('Card Data'!$E:$E,'Card Data'!$A:$A,$A18,'Card Data'!$K:$K,"",'Card Data'!$J:$J,"&lt;&gt;Campaign")+SUMIFS('Card Data'!$E:$E,'Card Data'!$A:$A,$A18,'Card Data'!$K:$K,"Mythos")-J18</f>
        <v>34</v>
      </c>
      <c r="J18" s="13">
        <f>SUMIFS('Card Data'!$E:$E,'Card Data'!$J:$J,J$2,'Card Data'!$A:$A,$A18,'Card Data'!$AD:$AD,"&lt;&gt;*Side Quest.*")</f>
        <v>2</v>
      </c>
      <c r="K18" s="13">
        <f>COUNTIFS('Card Data'!$J:$J,K$2,'Card Data'!$A:$A,$A18,'Card Data'!$AD:$AD,"&lt;&gt;*Side Quest.*")</f>
        <v>4</v>
      </c>
      <c r="L18" s="13">
        <f>COUNTIFS('Card Data'!$J:$J,L$2,'Card Data'!$A:$A,$A18,'Card Data'!$AD:$AD,"&lt;&gt;*Side Quest.*")</f>
        <v>1</v>
      </c>
      <c r="M18" s="15"/>
      <c r="N18" s="13">
        <f>COUNTIFS('Card Data'!$J:$J,N$2,'Card Data'!$A:$A,$A18)</f>
        <v>0</v>
      </c>
      <c r="O18" s="13">
        <f>COUNTIFS('Card Data'!$J:$J,O$2,'Card Data'!$A:$A,$A18)</f>
        <v>3</v>
      </c>
      <c r="P18" s="13">
        <f>COUNTIFS('Card Data'!$J:$J,P$2,'Card Data'!$A:$A,$A18)</f>
        <v>5</v>
      </c>
      <c r="Q18" s="13">
        <f>COUNTIFS('Card Data'!$J:$J,Q$2,'Card Data'!$A:$A,$A18)</f>
        <v>4</v>
      </c>
      <c r="R18" s="13">
        <f>COUNTIFS('Card Data'!$J:$J,R$2,'Card Data'!$A:$A,$A18)</f>
        <v>2</v>
      </c>
      <c r="S18" s="13">
        <f>COUNTIFS('Card Data'!$J:$J,S$2,'Card Data'!$A:$A,$A18)</f>
        <v>11</v>
      </c>
      <c r="T18" s="13">
        <f>COUNTIFS('Card Data'!$J:$J,T$2,'Card Data'!$A:$A,$A18)</f>
        <v>3</v>
      </c>
      <c r="U18" s="15"/>
      <c r="V18" s="13">
        <f>COUNTIFS('Card Data'!$K:$K,V$2,'Card Data'!$A:$A,$A18)</f>
        <v>3</v>
      </c>
      <c r="W18" s="13">
        <f>COUNTIFS('Card Data'!$K:$K,W$2,'Card Data'!$A:$A,$A18)</f>
        <v>2</v>
      </c>
      <c r="X18" s="13">
        <f>COUNTIFS('Card Data'!$K:$K,X$2,'Card Data'!$A:$A,$A18)</f>
        <v>2</v>
      </c>
      <c r="Y18" s="13">
        <f>COUNTIFS('Card Data'!$K:$K,Y$2,'Card Data'!$A:$A,$A18)</f>
        <v>2</v>
      </c>
      <c r="Z18" s="13">
        <f>COUNTIFS('Card Data'!$K:$K,Z$2,'Card Data'!$A:$A,$A18)</f>
        <v>2</v>
      </c>
      <c r="AA18" s="13">
        <f>COUNTIFS('Card Data'!$K:$K,AA$2,'Card Data'!$A:$A,$A18)</f>
        <v>1</v>
      </c>
    </row>
    <row r="19" spans="1:27">
      <c r="A19" s="4" t="s">
        <v>3497</v>
      </c>
      <c r="B19" s="4" t="s">
        <v>2787</v>
      </c>
      <c r="C19" s="6" t="s">
        <v>174</v>
      </c>
      <c r="E19" s="4" t="s">
        <v>3633</v>
      </c>
      <c r="G19" s="13">
        <f>SUMIF('Card Data'!$A:$A,$A19,'Card Data'!$E:$E)</f>
        <v>60</v>
      </c>
      <c r="H19" s="13">
        <f>SUMIFS('Card Data'!$E:$E,'Card Data'!$A:$A,$A19,'Card Data'!$K:$K,"&lt;&gt;",'Card Data'!$J:$J,"&lt;&gt;Investigator")-SUMIFS('Card Data'!$E:$E,'Card Data'!$A:$A,$A19,'Card Data'!$K:$K,"&lt;&gt;",'Card Data'!$J:$J,"Mini")</f>
        <v>60</v>
      </c>
      <c r="I19" s="13">
        <f>SUMIFS('Card Data'!$E:$E,'Card Data'!$A:$A,$A19,'Card Data'!$K:$K,"",'Card Data'!$J:$J,"&lt;&gt;Campaign")+SUMIFS('Card Data'!$E:$E,'Card Data'!$A:$A,$A19,'Card Data'!$K:$K,"Mythos")-J19</f>
        <v>30</v>
      </c>
      <c r="J19" s="13">
        <f>SUMIFS('Card Data'!$E:$E,'Card Data'!$J:$J,J$2,'Card Data'!$A:$A,$A19,'Card Data'!$AD:$AD,"&lt;&gt;*Side Quest.*")</f>
        <v>8</v>
      </c>
      <c r="K19" s="13">
        <f>COUNTIFS('Card Data'!$J:$J,K$2,'Card Data'!$A:$A,$A19,'Card Data'!$AD:$AD,"&lt;&gt;*Side Quest.*")</f>
        <v>2</v>
      </c>
      <c r="L19" s="13">
        <f>COUNTIFS('Card Data'!$J:$J,L$2,'Card Data'!$A:$A,$A19,'Card Data'!$AD:$AD,"&lt;&gt;*Side Quest.*")</f>
        <v>1</v>
      </c>
      <c r="M19" s="15"/>
      <c r="N19" s="13">
        <f>COUNTIFS('Card Data'!$J:$J,N$2,'Card Data'!$A:$A,$A19)</f>
        <v>0</v>
      </c>
      <c r="O19" s="13">
        <f>COUNTIFS('Card Data'!$J:$J,O$2,'Card Data'!$A:$A,$A19)</f>
        <v>5</v>
      </c>
      <c r="P19" s="13">
        <f>COUNTIFS('Card Data'!$J:$J,P$2,'Card Data'!$A:$A,$A19)</f>
        <v>5</v>
      </c>
      <c r="Q19" s="13">
        <f>COUNTIFS('Card Data'!$J:$J,Q$2,'Card Data'!$A:$A,$A19)</f>
        <v>1</v>
      </c>
      <c r="R19" s="13">
        <f>COUNTIFS('Card Data'!$J:$J,R$2,'Card Data'!$A:$A,$A19)</f>
        <v>2</v>
      </c>
      <c r="S19" s="13">
        <f>COUNTIFS('Card Data'!$J:$J,S$2,'Card Data'!$A:$A,$A19)</f>
        <v>17</v>
      </c>
      <c r="T19" s="13">
        <f>COUNTIFS('Card Data'!$J:$J,T$2,'Card Data'!$A:$A,$A19)</f>
        <v>2</v>
      </c>
      <c r="U19" s="15"/>
      <c r="V19" s="13">
        <f>COUNTIFS('Card Data'!$K:$K,V$2,'Card Data'!$A:$A,$A19)</f>
        <v>2</v>
      </c>
      <c r="W19" s="13">
        <f>COUNTIFS('Card Data'!$K:$K,W$2,'Card Data'!$A:$A,$A19)</f>
        <v>2</v>
      </c>
      <c r="X19" s="13">
        <f>COUNTIFS('Card Data'!$K:$K,X$2,'Card Data'!$A:$A,$A19)</f>
        <v>2</v>
      </c>
      <c r="Y19" s="13">
        <f>COUNTIFS('Card Data'!$K:$K,Y$2,'Card Data'!$A:$A,$A19)</f>
        <v>3</v>
      </c>
      <c r="Z19" s="13">
        <f>COUNTIFS('Card Data'!$K:$K,Z$2,'Card Data'!$A:$A,$A19)</f>
        <v>2</v>
      </c>
      <c r="AA19" s="13">
        <f>COUNTIFS('Card Data'!$K:$K,AA$2,'Card Data'!$A:$A,$A19)</f>
        <v>0</v>
      </c>
    </row>
    <row r="20" spans="1:27">
      <c r="A20" s="146" t="s">
        <v>3634</v>
      </c>
      <c r="B20" s="4" t="s">
        <v>3683</v>
      </c>
      <c r="C20" s="6" t="s">
        <v>174</v>
      </c>
      <c r="E20" s="4" t="s">
        <v>4191</v>
      </c>
      <c r="G20" s="13">
        <f>SUMIF('Card Data'!$A:$A,$A20,'Card Data'!$E:$E)</f>
        <v>60</v>
      </c>
      <c r="H20" s="13">
        <f>SUMIFS('Card Data'!$E:$E,'Card Data'!$A:$A,$A20,'Card Data'!$K:$K,"&lt;&gt;",'Card Data'!$J:$J,"&lt;&gt;Investigator")-SUMIFS('Card Data'!$E:$E,'Card Data'!$A:$A,$A20,'Card Data'!$K:$K,"&lt;&gt;",'Card Data'!$J:$J,"Mini")</f>
        <v>60</v>
      </c>
      <c r="I20" s="13">
        <f>SUMIFS('Card Data'!$E:$E,'Card Data'!$A:$A,$A20,'Card Data'!$K:$K,"",'Card Data'!$J:$J,"&lt;&gt;Campaign")+SUMIFS('Card Data'!$E:$E,'Card Data'!$A:$A,$A20,'Card Data'!$K:$K,"Mythos")-J20</f>
        <v>33</v>
      </c>
      <c r="J20" s="13">
        <f>SUMIFS('Card Data'!$E:$E,'Card Data'!$J:$J,J$2,'Card Data'!$A:$A,$A20,'Card Data'!$AD:$AD,"&lt;&gt;*Side Quest.*")</f>
        <v>3</v>
      </c>
      <c r="K20" s="13">
        <f>COUNTIFS('Card Data'!$J:$J,K$2,'Card Data'!$A:$A,$A20,'Card Data'!$AD:$AD,"&lt;&gt;*Side Quest.*")</f>
        <v>5</v>
      </c>
      <c r="L20" s="13">
        <f>COUNTIFS('Card Data'!$J:$J,L$2,'Card Data'!$A:$A,$A20,'Card Data'!$AD:$AD,"&lt;&gt;*Side Quest.*")</f>
        <v>1</v>
      </c>
      <c r="M20" s="15"/>
      <c r="N20" s="13">
        <f>COUNTIFS('Card Data'!$J:$J,N$2,'Card Data'!$A:$A,$A20)</f>
        <v>0</v>
      </c>
      <c r="O20" s="13">
        <f>COUNTIFS('Card Data'!$J:$J,O$2,'Card Data'!$A:$A,$A20)</f>
        <v>5</v>
      </c>
      <c r="P20" s="13">
        <f>COUNTIFS('Card Data'!$J:$J,P$2,'Card Data'!$A:$A,$A20)</f>
        <v>6</v>
      </c>
      <c r="Q20" s="13">
        <f>COUNTIFS('Card Data'!$J:$J,Q$2,'Card Data'!$A:$A,$A20)</f>
        <v>1</v>
      </c>
      <c r="R20" s="13">
        <f>COUNTIFS('Card Data'!$J:$J,R$2,'Card Data'!$A:$A,$A20)</f>
        <v>5</v>
      </c>
      <c r="S20" s="13">
        <f>COUNTIFS('Card Data'!$J:$J,S$2,'Card Data'!$A:$A,$A20)</f>
        <v>13</v>
      </c>
      <c r="T20" s="13">
        <f>COUNTIFS('Card Data'!$J:$J,T$2,'Card Data'!$A:$A,$A20)</f>
        <v>6</v>
      </c>
      <c r="U20" s="15"/>
      <c r="V20" s="13">
        <f>COUNTIFS('Card Data'!$K:$K,V$2,'Card Data'!$A:$A,$A20)</f>
        <v>2</v>
      </c>
      <c r="W20" s="13">
        <f>COUNTIFS('Card Data'!$K:$K,W$2,'Card Data'!$A:$A,$A20)</f>
        <v>2</v>
      </c>
      <c r="X20" s="13">
        <f>COUNTIFS('Card Data'!$K:$K,X$2,'Card Data'!$A:$A,$A20)</f>
        <v>3</v>
      </c>
      <c r="Y20" s="13">
        <f>COUNTIFS('Card Data'!$K:$K,Y$2,'Card Data'!$A:$A,$A20)</f>
        <v>2</v>
      </c>
      <c r="Z20" s="13">
        <f>COUNTIFS('Card Data'!$K:$K,Z$2,'Card Data'!$A:$A,$A20)</f>
        <v>2</v>
      </c>
      <c r="AA20" s="13">
        <f>COUNTIFS('Card Data'!$K:$K,AA$2,'Card Data'!$A:$A,$A20)</f>
        <v>1</v>
      </c>
    </row>
    <row r="21" spans="1:27">
      <c r="A21" s="149" t="s">
        <v>3819</v>
      </c>
      <c r="B21" s="39" t="s">
        <v>4076</v>
      </c>
      <c r="C21" s="138" t="s">
        <v>174</v>
      </c>
      <c r="D21" s="39"/>
      <c r="E21" s="39" t="s">
        <v>4077</v>
      </c>
      <c r="G21" s="13">
        <f>SUMIF('Card Data'!$A:$A,$A21,'Card Data'!$E:$E)</f>
        <v>161</v>
      </c>
      <c r="H21" s="13">
        <f>SUMIFS('Card Data'!$E:$E,'Card Data'!$A:$A,$A21,'Card Data'!$K:$K,"&lt;&gt;",'Card Data'!$J:$J,"&lt;&gt;Investigator")-SUMIFS('Card Data'!$E:$E,'Card Data'!$A:$A,$A21,'Card Data'!$K:$K,"&lt;&gt;",'Card Data'!$J:$J,"Mini")</f>
        <v>151</v>
      </c>
      <c r="I21" s="13">
        <f>SUMIFS('Card Data'!$E:$E,'Card Data'!$A:$A,$A21,'Card Data'!$K:$K,"",'Card Data'!$J:$J,"&lt;&gt;Campaign")+SUMIFS('Card Data'!$E:$E,'Card Data'!$A:$A,$A21,'Card Data'!$K:$K,"Mythos")-J21</f>
        <v>83</v>
      </c>
      <c r="J21" s="13">
        <f>SUMIFS('Card Data'!$E:$E,'Card Data'!$J:$J,J$2,'Card Data'!$A:$A,$A21,'Card Data'!$AD:$AD,"&lt;&gt;*Side Quest.*")</f>
        <v>4</v>
      </c>
      <c r="K21" s="13">
        <f>COUNTIFS('Card Data'!$J:$J,K$2,'Card Data'!$A:$A,$A21,'Card Data'!$AD:$AD,"&lt;&gt;*Side Quest.*")</f>
        <v>7</v>
      </c>
      <c r="L21" s="13">
        <f>COUNTIFS('Card Data'!$J:$J,L$2,'Card Data'!$A:$A,$A21,'Card Data'!$AD:$AD,"&lt;&gt;*Side Quest.*")</f>
        <v>2</v>
      </c>
      <c r="M21" s="15"/>
      <c r="N21" s="13">
        <f>COUNTIFS('Card Data'!$J:$J,N$2,'Card Data'!$A:$A,$A21)</f>
        <v>5</v>
      </c>
      <c r="O21" s="13">
        <f>COUNTIFS('Card Data'!$J:$J,O$2,'Card Data'!$A:$A,$A21)</f>
        <v>19</v>
      </c>
      <c r="P21" s="13">
        <f>COUNTIFS('Card Data'!$J:$J,P$2,'Card Data'!$A:$A,$A21)</f>
        <v>10</v>
      </c>
      <c r="Q21" s="13">
        <f>COUNTIFS('Card Data'!$J:$J,Q$2,'Card Data'!$A:$A,$A21)</f>
        <v>1</v>
      </c>
      <c r="R21" s="13">
        <f>COUNTIFS('Card Data'!$J:$J,R$2,'Card Data'!$A:$A,$A21)</f>
        <v>10</v>
      </c>
      <c r="S21" s="13">
        <f>COUNTIFS('Card Data'!$J:$J,S$2,'Card Data'!$A:$A,$A21)</f>
        <v>16</v>
      </c>
      <c r="T21" s="13">
        <f>COUNTIFS('Card Data'!$J:$J,T$2,'Card Data'!$A:$A,$A21)</f>
        <v>28</v>
      </c>
      <c r="U21" s="15"/>
      <c r="V21" s="13">
        <f>COUNTIFS('Card Data'!$K:$K,V$2,'Card Data'!$A:$A,$A21)</f>
        <v>6</v>
      </c>
      <c r="W21" s="13">
        <f>COUNTIFS('Card Data'!$K:$K,W$2,'Card Data'!$A:$A,$A21)</f>
        <v>6</v>
      </c>
      <c r="X21" s="13">
        <f>COUNTIFS('Card Data'!$K:$K,X$2,'Card Data'!$A:$A,$A21)</f>
        <v>6</v>
      </c>
      <c r="Y21" s="13">
        <f>COUNTIFS('Card Data'!$K:$K,Y$2,'Card Data'!$A:$A,$A21)</f>
        <v>6</v>
      </c>
      <c r="Z21" s="13">
        <f>COUNTIFS('Card Data'!$K:$K,Z$2,'Card Data'!$A:$A,$A21)</f>
        <v>6</v>
      </c>
      <c r="AA21" s="13">
        <f>COUNTIFS('Card Data'!$K:$K,AA$2,'Card Data'!$A:$A,$A21)</f>
        <v>20</v>
      </c>
    </row>
    <row r="22" spans="1:27">
      <c r="A22" s="152" t="s">
        <v>4078</v>
      </c>
      <c r="B22" s="4" t="s">
        <v>4106</v>
      </c>
      <c r="C22" s="6" t="s">
        <v>174</v>
      </c>
      <c r="E22" s="4" t="s">
        <v>4190</v>
      </c>
      <c r="G22" s="13">
        <f>SUMIF('Card Data'!$A:$A,$A22,'Card Data'!$E:$E)</f>
        <v>60</v>
      </c>
      <c r="H22" s="13">
        <f>SUMIFS('Card Data'!$E:$E,'Card Data'!$A:$A,$A22,'Card Data'!$K:$K,"&lt;&gt;",'Card Data'!$J:$J,"&lt;&gt;Investigator")-SUMIFS('Card Data'!$E:$E,'Card Data'!$A:$A,$A22,'Card Data'!$K:$K,"&lt;&gt;",'Card Data'!$J:$J,"Mini")</f>
        <v>60</v>
      </c>
      <c r="I22" s="13">
        <f>SUMIFS('Card Data'!$E:$E,'Card Data'!$A:$A,$A22,'Card Data'!$K:$K,"",'Card Data'!$J:$J,"&lt;&gt;Campaign")+SUMIFS('Card Data'!$E:$E,'Card Data'!$A:$A,$A22,'Card Data'!$K:$K,"Mythos")-J22</f>
        <v>35</v>
      </c>
      <c r="J22" s="13">
        <f>SUMIFS('Card Data'!$E:$E,'Card Data'!$J:$J,J$2,'Card Data'!$A:$A,$A22,'Card Data'!$AD:$AD,"&lt;&gt;*Side Quest.*")</f>
        <v>3</v>
      </c>
      <c r="K22" s="13">
        <f>COUNTIFS('Card Data'!$J:$J,K$2,'Card Data'!$A:$A,$A22,'Card Data'!$AD:$AD,"&lt;&gt;*Side Quest.*")</f>
        <v>24</v>
      </c>
      <c r="L22" s="13">
        <f>COUNTIFS('Card Data'!$J:$J,L$2,'Card Data'!$A:$A,$A22,'Card Data'!$AD:$AD,"&lt;&gt;*Side Quest.*")</f>
        <v>1</v>
      </c>
      <c r="M22" s="15"/>
      <c r="N22" s="13">
        <f>COUNTIFS('Card Data'!$J:$J,N$2,'Card Data'!$A:$A,$A22)</f>
        <v>0</v>
      </c>
      <c r="O22" s="13">
        <f>COUNTIFS('Card Data'!$J:$J,O$2,'Card Data'!$A:$A,$A22)</f>
        <v>6</v>
      </c>
      <c r="P22" s="13">
        <f>COUNTIFS('Card Data'!$J:$J,P$2,'Card Data'!$A:$A,$A22)</f>
        <v>5</v>
      </c>
      <c r="Q22" s="13">
        <f>COUNTIFS('Card Data'!$J:$J,Q$2,'Card Data'!$A:$A,$A22)</f>
        <v>1</v>
      </c>
      <c r="R22" s="13">
        <f>COUNTIFS('Card Data'!$J:$J,R$2,'Card Data'!$A:$A,$A22)</f>
        <v>0</v>
      </c>
      <c r="S22" s="13">
        <f>COUNTIFS('Card Data'!$J:$J,S$2,'Card Data'!$A:$A,$A22)</f>
        <v>3</v>
      </c>
      <c r="T22" s="13">
        <f>COUNTIFS('Card Data'!$J:$J,T$2,'Card Data'!$A:$A,$A22)</f>
        <v>3</v>
      </c>
      <c r="U22" s="15"/>
      <c r="V22" s="13">
        <f>COUNTIFS('Card Data'!$K:$K,V$2,'Card Data'!$A:$A,$A22)</f>
        <v>2</v>
      </c>
      <c r="W22" s="13">
        <f>COUNTIFS('Card Data'!$K:$K,W$2,'Card Data'!$A:$A,$A22)</f>
        <v>2</v>
      </c>
      <c r="X22" s="13">
        <f>COUNTIFS('Card Data'!$K:$K,X$2,'Card Data'!$A:$A,$A22)</f>
        <v>2</v>
      </c>
      <c r="Y22" s="13">
        <f>COUNTIFS('Card Data'!$K:$K,Y$2,'Card Data'!$A:$A,$A22)</f>
        <v>2</v>
      </c>
      <c r="Z22" s="13">
        <f>COUNTIFS('Card Data'!$K:$K,Z$2,'Card Data'!$A:$A,$A22)</f>
        <v>2</v>
      </c>
      <c r="AA22" s="13">
        <f>COUNTIFS('Card Data'!$K:$K,AA$2,'Card Data'!$A:$A,$A22)</f>
        <v>2</v>
      </c>
    </row>
    <row r="23" spans="1:27">
      <c r="A23" s="166" t="s">
        <v>4192</v>
      </c>
      <c r="B23" s="166" t="s">
        <v>4283</v>
      </c>
      <c r="C23" s="167" t="s">
        <v>174</v>
      </c>
      <c r="D23" s="166"/>
      <c r="E23" s="166" t="s">
        <v>4282</v>
      </c>
      <c r="G23" s="13">
        <f>SUMIF('Card Data'!$A:$A,$A23,'Card Data'!$E:$E)</f>
        <v>66</v>
      </c>
      <c r="H23" s="13">
        <f>SUMIFS('Card Data'!$E:$E,'Card Data'!$A:$A,$A23,'Card Data'!$K:$K,"&lt;&gt;",'Card Data'!$J:$J,"&lt;&gt;Investigator")-SUMIFS('Card Data'!$E:$E,'Card Data'!$A:$A,$A23,'Card Data'!$K:$K,"&lt;&gt;",'Card Data'!$J:$J,"Mini")</f>
        <v>66</v>
      </c>
      <c r="I23" s="13">
        <f>SUMIFS('Card Data'!$E:$E,'Card Data'!$A:$A,$A23,'Card Data'!$K:$K,"",'Card Data'!$J:$J,"&lt;&gt;Campaign")+SUMIFS('Card Data'!$E:$E,'Card Data'!$A:$A,$A23,'Card Data'!$K:$K,"Mythos")-J23</f>
        <v>45</v>
      </c>
      <c r="J23" s="13">
        <f>SUMIFS('Card Data'!$E:$E,'Card Data'!$J:$J,J$2,'Card Data'!$A:$A,$A23,'Card Data'!$AD:$AD,"&lt;&gt;*Side Quest.*")</f>
        <v>1</v>
      </c>
      <c r="K23" s="13">
        <f>COUNTIFS('Card Data'!$J:$J,K$2,'Card Data'!$A:$A,$A23,'Card Data'!$AD:$AD,"&lt;&gt;*Side Quest.*")</f>
        <v>1</v>
      </c>
      <c r="L23" s="13">
        <f>COUNTIFS('Card Data'!$J:$J,L$2,'Card Data'!$A:$A,$A23,'Card Data'!$AD:$AD,"&lt;&gt;*Side Quest.*")</f>
        <v>3</v>
      </c>
      <c r="M23" s="15"/>
      <c r="N23" s="13">
        <f>COUNTIFS('Card Data'!$J:$J,N$2,'Card Data'!$A:$A,$A23)</f>
        <v>0</v>
      </c>
      <c r="O23" s="13">
        <f>COUNTIFS('Card Data'!$J:$J,O$2,'Card Data'!$A:$A,$A23)</f>
        <v>6</v>
      </c>
      <c r="P23" s="13">
        <f>COUNTIFS('Card Data'!$J:$J,P$2,'Card Data'!$A:$A,$A23)</f>
        <v>4</v>
      </c>
      <c r="Q23" s="13">
        <f>COUNTIFS('Card Data'!$J:$J,Q$2,'Card Data'!$A:$A,$A23)</f>
        <v>0</v>
      </c>
      <c r="R23" s="13">
        <f>COUNTIFS('Card Data'!$J:$J,R$2,'Card Data'!$A:$A,$A23)</f>
        <v>9</v>
      </c>
      <c r="S23" s="13">
        <f>COUNTIFS('Card Data'!$J:$J,S$2,'Card Data'!$A:$A,$A23)</f>
        <v>17</v>
      </c>
      <c r="T23" s="13">
        <f>COUNTIFS('Card Data'!$J:$J,T$2,'Card Data'!$A:$A,$A23)</f>
        <v>5</v>
      </c>
      <c r="U23" s="15"/>
      <c r="V23" s="13">
        <f>COUNTIFS('Card Data'!$K:$K,V$2,'Card Data'!$A:$A,$A23)</f>
        <v>2</v>
      </c>
      <c r="W23" s="13">
        <f>COUNTIFS('Card Data'!$K:$K,W$2,'Card Data'!$A:$A,$A23)</f>
        <v>2</v>
      </c>
      <c r="X23" s="13">
        <f>COUNTIFS('Card Data'!$K:$K,X$2,'Card Data'!$A:$A,$A23)</f>
        <v>2</v>
      </c>
      <c r="Y23" s="13">
        <f>COUNTIFS('Card Data'!$K:$K,Y$2,'Card Data'!$A:$A,$A23)</f>
        <v>2</v>
      </c>
      <c r="Z23" s="13">
        <f>COUNTIFS('Card Data'!$K:$K,Z$2,'Card Data'!$A:$A,$A23)</f>
        <v>2</v>
      </c>
      <c r="AA23" s="13">
        <f>COUNTIFS('Card Data'!$K:$K,AA$2,'Card Data'!$A:$A,$A23)</f>
        <v>0</v>
      </c>
    </row>
    <row r="24" spans="1:27">
      <c r="A24" s="179" t="s">
        <v>4285</v>
      </c>
      <c r="B24" s="4" t="s">
        <v>4286</v>
      </c>
      <c r="C24" s="6" t="s">
        <v>174</v>
      </c>
      <c r="E24" s="4" t="s">
        <v>4287</v>
      </c>
      <c r="G24" s="13">
        <f>SUMIF('Card Data'!$A:$A,$A24,'Card Data'!$E:$E)</f>
        <v>60</v>
      </c>
      <c r="H24" s="13">
        <f>SUMIFS('Card Data'!$E:$E,'Card Data'!$A:$A,$A24,'Card Data'!$K:$K,"&lt;&gt;",'Card Data'!$J:$J,"&lt;&gt;Investigator")-SUMIFS('Card Data'!$E:$E,'Card Data'!$A:$A,$A24,'Card Data'!$K:$K,"&lt;&gt;",'Card Data'!$J:$J,"Mini")</f>
        <v>60</v>
      </c>
      <c r="I24" s="13">
        <f>SUMIFS('Card Data'!$E:$E,'Card Data'!$A:$A,$A24,'Card Data'!$K:$K,"",'Card Data'!$J:$J,"&lt;&gt;Campaign")+SUMIFS('Card Data'!$E:$E,'Card Data'!$A:$A,$A24,'Card Data'!$K:$K,"Mythos")-J24</f>
        <v>32</v>
      </c>
      <c r="J24" s="13">
        <f>SUMIFS('Card Data'!$E:$E,'Card Data'!$J:$J,J$2,'Card Data'!$A:$A,$A24,'Card Data'!$AD:$AD,"&lt;&gt;*Side Quest.*")</f>
        <v>3</v>
      </c>
      <c r="K24" s="13">
        <f>COUNTIFS('Card Data'!$J:$J,K$2,'Card Data'!$A:$A,$A24,'Card Data'!$AD:$AD,"&lt;&gt;*Side Quest.*")</f>
        <v>3</v>
      </c>
      <c r="L24" s="13">
        <f>COUNTIFS('Card Data'!$J:$J,L$2,'Card Data'!$A:$A,$A24,'Card Data'!$AD:$AD,"&lt;&gt;*Side Quest.*")</f>
        <v>1</v>
      </c>
      <c r="M24" s="15"/>
      <c r="N24" s="13">
        <f>COUNTIFS('Card Data'!$J:$J,N$2,'Card Data'!$A:$A,$A24)</f>
        <v>0</v>
      </c>
      <c r="O24" s="13">
        <f>COUNTIFS('Card Data'!$J:$J,O$2,'Card Data'!$A:$A,$A24)</f>
        <v>7</v>
      </c>
      <c r="P24" s="13">
        <f>COUNTIFS('Card Data'!$J:$J,P$2,'Card Data'!$A:$A,$A24)</f>
        <v>2</v>
      </c>
      <c r="Q24" s="13">
        <f>COUNTIFS('Card Data'!$J:$J,Q$2,'Card Data'!$A:$A,$A24)</f>
        <v>4</v>
      </c>
      <c r="R24" s="13">
        <f>COUNTIFS('Card Data'!$J:$J,R$2,'Card Data'!$A:$A,$A24)</f>
        <v>3</v>
      </c>
      <c r="S24" s="13">
        <f>COUNTIFS('Card Data'!$J:$J,S$2,'Card Data'!$A:$A,$A24)</f>
        <v>18</v>
      </c>
      <c r="T24" s="13">
        <f>COUNTIFS('Card Data'!$J:$J,T$2,'Card Data'!$A:$A,$A24)</f>
        <v>2</v>
      </c>
      <c r="U24" s="15"/>
      <c r="V24" s="13">
        <f>COUNTIFS('Card Data'!$K:$K,V$2,'Card Data'!$A:$A,$A24)</f>
        <v>3</v>
      </c>
      <c r="W24" s="13">
        <f>COUNTIFS('Card Data'!$K:$K,W$2,'Card Data'!$A:$A,$A24)</f>
        <v>3</v>
      </c>
      <c r="X24" s="13">
        <f>COUNTIFS('Card Data'!$K:$K,X$2,'Card Data'!$A:$A,$A24)</f>
        <v>2</v>
      </c>
      <c r="Y24" s="13">
        <f>COUNTIFS('Card Data'!$K:$K,Y$2,'Card Data'!$A:$A,$A24)</f>
        <v>2</v>
      </c>
      <c r="Z24" s="13">
        <f>COUNTIFS('Card Data'!$K:$K,Z$2,'Card Data'!$A:$A,$A24)</f>
        <v>2</v>
      </c>
      <c r="AA24" s="13">
        <f>COUNTIFS('Card Data'!$K:$K,AA$2,'Card Data'!$A:$A,$A24)</f>
        <v>1</v>
      </c>
    </row>
    <row r="25" spans="1:27">
      <c r="A25" s="180" t="s">
        <v>4696</v>
      </c>
      <c r="B25" s="4" t="s">
        <v>4698</v>
      </c>
      <c r="C25" s="6" t="s">
        <v>174</v>
      </c>
      <c r="E25" s="4" t="s">
        <v>4697</v>
      </c>
      <c r="G25" s="13">
        <f>SUMIF('Card Data'!$A:$A,$A25,'Card Data'!$E:$E)</f>
        <v>60</v>
      </c>
      <c r="H25" s="13">
        <f>SUMIFS('Card Data'!$E:$E,'Card Data'!$A:$A,$A25,'Card Data'!$K:$K,"&lt;&gt;",'Card Data'!$J:$J,"&lt;&gt;Investigator")-SUMIFS('Card Data'!$E:$E,'Card Data'!$A:$A,$A25,'Card Data'!$K:$K,"&lt;&gt;",'Card Data'!$J:$J,"Mini")</f>
        <v>60</v>
      </c>
      <c r="I25" s="13">
        <f>SUMIFS('Card Data'!$E:$E,'Card Data'!$A:$A,$A25,'Card Data'!$K:$K,"",'Card Data'!$J:$J,"&lt;&gt;Campaign")+SUMIFS('Card Data'!$E:$E,'Card Data'!$A:$A,$A25,'Card Data'!$K:$K,"Mythos")-J25</f>
        <v>30</v>
      </c>
      <c r="J25" s="13">
        <f>SUMIFS('Card Data'!$E:$E,'Card Data'!$J:$J,J$2,'Card Data'!$A:$A,$A25,'Card Data'!$AD:$AD,"&lt;&gt;*Side Quest.*")</f>
        <v>4</v>
      </c>
      <c r="K25" s="13">
        <f>COUNTIFS('Card Data'!$J:$J,K$2,'Card Data'!$A:$A,$A25,'Card Data'!$AD:$AD,"&lt;&gt;*Side Quest.*")</f>
        <v>4</v>
      </c>
      <c r="L25" s="13">
        <f>COUNTIFS('Card Data'!$J:$J,L$2,'Card Data'!$A:$A,$A25,'Card Data'!$AD:$AD,"&lt;&gt;*Side Quest.*")</f>
        <v>1</v>
      </c>
      <c r="M25" s="15"/>
      <c r="N25" s="13">
        <f>COUNTIFS('Card Data'!$J:$J,N$2,'Card Data'!$A:$A,$A25)</f>
        <v>0</v>
      </c>
      <c r="O25" s="13">
        <f>COUNTIFS('Card Data'!$J:$J,O$2,'Card Data'!$A:$A,$A25)</f>
        <v>5</v>
      </c>
      <c r="P25" s="13">
        <f>COUNTIFS('Card Data'!$J:$J,P$2,'Card Data'!$A:$A,$A25)</f>
        <v>5</v>
      </c>
      <c r="Q25" s="13">
        <f>COUNTIFS('Card Data'!$J:$J,Q$2,'Card Data'!$A:$A,$A25)</f>
        <v>3</v>
      </c>
      <c r="R25" s="13">
        <f>COUNTIFS('Card Data'!$J:$J,R$2,'Card Data'!$A:$A,$A25)</f>
        <v>2</v>
      </c>
      <c r="S25" s="13">
        <f>COUNTIFS('Card Data'!$J:$J,S$2,'Card Data'!$A:$A,$A25)</f>
        <v>9</v>
      </c>
      <c r="T25" s="13">
        <f>COUNTIFS('Card Data'!$J:$J,T$2,'Card Data'!$A:$A,$A25)</f>
        <v>4</v>
      </c>
      <c r="U25" s="15"/>
      <c r="V25" s="13">
        <f>COUNTIFS('Card Data'!$K:$K,V$2,'Card Data'!$A:$A,$A25)</f>
        <v>2</v>
      </c>
      <c r="W25" s="13">
        <f>COUNTIFS('Card Data'!$K:$K,W$2,'Card Data'!$A:$A,$A25)</f>
        <v>2</v>
      </c>
      <c r="X25" s="13">
        <f>COUNTIFS('Card Data'!$K:$K,X$2,'Card Data'!$A:$A,$A25)</f>
        <v>1</v>
      </c>
      <c r="Y25" s="13">
        <f>COUNTIFS('Card Data'!$K:$K,Y$2,'Card Data'!$A:$A,$A25)</f>
        <v>3</v>
      </c>
      <c r="Z25" s="13">
        <f>COUNTIFS('Card Data'!$K:$K,Z$2,'Card Data'!$A:$A,$A25)</f>
        <v>3</v>
      </c>
      <c r="AA25" s="13">
        <f>COUNTIFS('Card Data'!$K:$K,AA$2,'Card Data'!$A:$A,$A25)</f>
        <v>2</v>
      </c>
    </row>
    <row r="26" spans="1:27">
      <c r="A26" s="181" t="s">
        <v>4744</v>
      </c>
      <c r="B26" s="4" t="s">
        <v>4745</v>
      </c>
      <c r="C26" s="6" t="s">
        <v>174</v>
      </c>
      <c r="E26" s="4" t="s">
        <v>4746</v>
      </c>
      <c r="G26" s="13">
        <f>SUMIF('Card Data'!$A:$A,$A26,'Card Data'!$E:$E)</f>
        <v>60</v>
      </c>
      <c r="H26" s="13">
        <f>SUMIFS('Card Data'!$E:$E,'Card Data'!$A:$A,$A26,'Card Data'!$K:$K,"&lt;&gt;",'Card Data'!$J:$J,"&lt;&gt;Investigator")-SUMIFS('Card Data'!$E:$E,'Card Data'!$A:$A,$A26,'Card Data'!$K:$K,"&lt;&gt;",'Card Data'!$J:$J,"Mini")</f>
        <v>56</v>
      </c>
      <c r="I26" s="13">
        <f>SUMIFS('Card Data'!$E:$E,'Card Data'!$A:$A,$A26,'Card Data'!$K:$K,"",'Card Data'!$J:$J,"&lt;&gt;Campaign")+SUMIFS('Card Data'!$E:$E,'Card Data'!$A:$A,$A26,'Card Data'!$K:$K,"Mythos")-J26</f>
        <v>40</v>
      </c>
      <c r="J26" s="13">
        <f>SUMIFS('Card Data'!$E:$E,'Card Data'!$J:$J,J$2,'Card Data'!$A:$A,$A26,'Card Data'!$AD:$AD,"&lt;&gt;*Side Quest.*")</f>
        <v>3</v>
      </c>
      <c r="K26" s="13">
        <f>COUNTIFS('Card Data'!$J:$J,K$2,'Card Data'!$A:$A,$A26,'Card Data'!$AD:$AD,"&lt;&gt;*Side Quest.*")</f>
        <v>3</v>
      </c>
      <c r="L26" s="13">
        <f>COUNTIFS('Card Data'!$J:$J,L$2,'Card Data'!$A:$A,$A26,'Card Data'!$AD:$AD,"&lt;&gt;*Side Quest.*")</f>
        <v>1</v>
      </c>
      <c r="M26" s="15"/>
      <c r="N26" s="13">
        <f>COUNTIFS('Card Data'!$J:$J,N$2,'Card Data'!$A:$A,$A26)</f>
        <v>1</v>
      </c>
      <c r="O26" s="13">
        <f>COUNTIFS('Card Data'!$J:$J,O$2,'Card Data'!$A:$A,$A26)</f>
        <v>6</v>
      </c>
      <c r="P26" s="13">
        <f>COUNTIFS('Card Data'!$J:$J,P$2,'Card Data'!$A:$A,$A26)</f>
        <v>3</v>
      </c>
      <c r="Q26" s="13">
        <f>COUNTIFS('Card Data'!$J:$J,Q$2,'Card Data'!$A:$A,$A26)</f>
        <v>0</v>
      </c>
      <c r="R26" s="13">
        <f>COUNTIFS('Card Data'!$J:$J,R$2,'Card Data'!$A:$A,$A26)</f>
        <v>3</v>
      </c>
      <c r="S26" s="13">
        <f>COUNTIFS('Card Data'!$J:$J,S$2,'Card Data'!$A:$A,$A26)</f>
        <v>11</v>
      </c>
      <c r="T26" s="13">
        <f>COUNTIFS('Card Data'!$J:$J,T$2,'Card Data'!$A:$A,$A26)</f>
        <v>5</v>
      </c>
      <c r="U26" s="15"/>
      <c r="V26" s="13">
        <f>COUNTIFS('Card Data'!$K:$K,V$2,'Card Data'!$A:$A,$A26)</f>
        <v>1</v>
      </c>
      <c r="W26" s="13">
        <f>COUNTIFS('Card Data'!$K:$K,W$2,'Card Data'!$A:$A,$A26)</f>
        <v>2</v>
      </c>
      <c r="X26" s="13">
        <f>COUNTIFS('Card Data'!$K:$K,X$2,'Card Data'!$A:$A,$A26)</f>
        <v>2</v>
      </c>
      <c r="Y26" s="13">
        <f>COUNTIFS('Card Data'!$K:$K,Y$2,'Card Data'!$A:$A,$A26)</f>
        <v>2</v>
      </c>
      <c r="Z26" s="13">
        <f>COUNTIFS('Card Data'!$K:$K,Z$2,'Card Data'!$A:$A,$A26)</f>
        <v>1</v>
      </c>
      <c r="AA26" s="13">
        <f>COUNTIFS('Card Data'!$K:$K,AA$2,'Card Data'!$A:$A,$A26)</f>
        <v>1</v>
      </c>
    </row>
    <row r="27" spans="1:27">
      <c r="A27" s="186" t="s">
        <v>4951</v>
      </c>
      <c r="B27" s="4" t="s">
        <v>4952</v>
      </c>
      <c r="C27" s="6" t="s">
        <v>174</v>
      </c>
      <c r="E27" s="4" t="s">
        <v>4953</v>
      </c>
      <c r="G27" s="13">
        <f>SUMIF('Card Data'!$A:$A,$A27,'Card Data'!$E:$E)</f>
        <v>60</v>
      </c>
      <c r="H27" s="13">
        <f>SUMIFS('Card Data'!$E:$E,'Card Data'!$A:$A,$A27,'Card Data'!$K:$K,"&lt;&gt;",'Card Data'!$J:$J,"&lt;&gt;Investigator")-SUMIFS('Card Data'!$E:$E,'Card Data'!$A:$A,$A27,'Card Data'!$K:$K,"&lt;&gt;",'Card Data'!$J:$J,"Mini")</f>
        <v>60</v>
      </c>
      <c r="I27" s="13">
        <f>SUMIFS('Card Data'!$E:$E,'Card Data'!$A:$A,$A27,'Card Data'!$K:$K,"",'Card Data'!$J:$J,"&lt;&gt;Campaign")+SUMIFS('Card Data'!$E:$E,'Card Data'!$A:$A,$A27,'Card Data'!$K:$K,"Mythos")-J27</f>
        <v>28</v>
      </c>
      <c r="J27" s="13">
        <f>SUMIFS('Card Data'!$E:$E,'Card Data'!$J:$J,J$2,'Card Data'!$A:$A,$A27,'Card Data'!$AD:$AD,"&lt;&gt;*Side Quest.*")</f>
        <v>7</v>
      </c>
      <c r="K27" s="13">
        <f>COUNTIFS('Card Data'!$J:$J,K$2,'Card Data'!$A:$A,$A27,'Card Data'!$AD:$AD,"&lt;&gt;*Side Quest.*")</f>
        <v>1</v>
      </c>
      <c r="L27" s="13">
        <f>COUNTIFS('Card Data'!$J:$J,L$2,'Card Data'!$A:$A,$A27,'Card Data'!$AD:$AD,"&lt;&gt;*Side Quest.*")</f>
        <v>1</v>
      </c>
      <c r="M27" s="15"/>
      <c r="N27" s="13">
        <f>COUNTIFS('Card Data'!$J:$J,N$2,'Card Data'!$A:$A,$A27)</f>
        <v>0</v>
      </c>
      <c r="O27" s="13">
        <f>COUNTIFS('Card Data'!$J:$J,O$2,'Card Data'!$A:$A,$A27)</f>
        <v>10</v>
      </c>
      <c r="P27" s="13">
        <f>COUNTIFS('Card Data'!$J:$J,P$2,'Card Data'!$A:$A,$A27)</f>
        <v>3</v>
      </c>
      <c r="Q27" s="13">
        <f>COUNTIFS('Card Data'!$J:$J,Q$2,'Card Data'!$A:$A,$A27)</f>
        <v>0</v>
      </c>
      <c r="R27" s="13">
        <f>COUNTIFS('Card Data'!$J:$J,R$2,'Card Data'!$A:$A,$A27)</f>
        <v>3</v>
      </c>
      <c r="S27" s="13">
        <f>COUNTIFS('Card Data'!$J:$J,S$2,'Card Data'!$A:$A,$A27)</f>
        <v>10</v>
      </c>
      <c r="T27" s="13">
        <f>COUNTIFS('Card Data'!$J:$J,T$2,'Card Data'!$A:$A,$A27)</f>
        <v>4</v>
      </c>
      <c r="U27" s="15"/>
      <c r="V27" s="13">
        <f>COUNTIFS('Card Data'!$K:$K,V$2,'Card Data'!$A:$A,$A27)</f>
        <v>2</v>
      </c>
      <c r="W27" s="13">
        <f>COUNTIFS('Card Data'!$K:$K,W$2,'Card Data'!$A:$A,$A27)</f>
        <v>1</v>
      </c>
      <c r="X27" s="13">
        <f>COUNTIFS('Card Data'!$K:$K,X$2,'Card Data'!$A:$A,$A27)</f>
        <v>3</v>
      </c>
      <c r="Y27" s="13">
        <f>COUNTIFS('Card Data'!$K:$K,Y$2,'Card Data'!$A:$A,$A27)</f>
        <v>1</v>
      </c>
      <c r="Z27" s="13">
        <f>COUNTIFS('Card Data'!$K:$K,Z$2,'Card Data'!$A:$A,$A27)</f>
        <v>2</v>
      </c>
      <c r="AA27" s="13">
        <f>COUNTIFS('Card Data'!$K:$K,AA$2,'Card Data'!$A:$A,$A27)</f>
        <v>4</v>
      </c>
    </row>
  </sheetData>
  <mergeCells count="3">
    <mergeCell ref="G1:J1"/>
    <mergeCell ref="N1:T1"/>
    <mergeCell ref="V1:AA1"/>
  </mergeCells>
  <conditionalFormatting sqref="V2">
    <cfRule type="cellIs" dxfId="1426" priority="29" operator="equal">
      <formula>"Fellowship"</formula>
    </cfRule>
    <cfRule type="cellIs" dxfId="1425" priority="30" operator="equal">
      <formula>"Neutral"</formula>
    </cfRule>
    <cfRule type="cellIs" dxfId="1424" priority="31" operator="equal">
      <formula>"Baggins"</formula>
    </cfRule>
    <cfRule type="cellIs" dxfId="1423" priority="32" operator="equal">
      <formula>"Lore"</formula>
    </cfRule>
    <cfRule type="cellIs" dxfId="1422" priority="33" operator="equal">
      <formula>"Spirit"</formula>
    </cfRule>
    <cfRule type="cellIs" dxfId="1421" priority="34" operator="equal">
      <formula>"Tactics"</formula>
    </cfRule>
    <cfRule type="cellIs" dxfId="1420" priority="35" operator="equal">
      <formula>"Leadership"</formula>
    </cfRule>
  </conditionalFormatting>
  <conditionalFormatting sqref="W2">
    <cfRule type="cellIs" dxfId="1419" priority="22" operator="equal">
      <formula>"Fellowship"</formula>
    </cfRule>
    <cfRule type="cellIs" dxfId="1418" priority="23" operator="equal">
      <formula>"Neutral"</formula>
    </cfRule>
    <cfRule type="cellIs" dxfId="1417" priority="24" operator="equal">
      <formula>"Baggins"</formula>
    </cfRule>
    <cfRule type="cellIs" dxfId="1416" priority="25" operator="equal">
      <formula>"Lore"</formula>
    </cfRule>
    <cfRule type="cellIs" dxfId="1415" priority="26" operator="equal">
      <formula>"Spirit"</formula>
    </cfRule>
    <cfRule type="cellIs" dxfId="1414" priority="27" operator="equal">
      <formula>"Tactics"</formula>
    </cfRule>
    <cfRule type="cellIs" dxfId="1413" priority="28" operator="equal">
      <formula>"Leadership"</formula>
    </cfRule>
  </conditionalFormatting>
  <conditionalFormatting sqref="X2">
    <cfRule type="cellIs" dxfId="1412" priority="15" operator="equal">
      <formula>"Fellowship"</formula>
    </cfRule>
    <cfRule type="cellIs" dxfId="1411" priority="16" operator="equal">
      <formula>"Neutral"</formula>
    </cfRule>
    <cfRule type="cellIs" dxfId="1410" priority="17" operator="equal">
      <formula>"Baggins"</formula>
    </cfRule>
    <cfRule type="cellIs" dxfId="1409" priority="18" operator="equal">
      <formula>"Lore"</formula>
    </cfRule>
    <cfRule type="cellIs" dxfId="1408" priority="19" operator="equal">
      <formula>"Spirit"</formula>
    </cfRule>
    <cfRule type="cellIs" dxfId="1407" priority="20" operator="equal">
      <formula>"Tactics"</formula>
    </cfRule>
    <cfRule type="cellIs" dxfId="1406" priority="21" operator="equal">
      <formula>"Leadership"</formula>
    </cfRule>
  </conditionalFormatting>
  <conditionalFormatting sqref="Y2:Z2">
    <cfRule type="cellIs" dxfId="1405" priority="8" operator="equal">
      <formula>"Fellowship"</formula>
    </cfRule>
    <cfRule type="cellIs" dxfId="1404" priority="9" operator="equal">
      <formula>"Neutral"</formula>
    </cfRule>
    <cfRule type="cellIs" dxfId="1403" priority="10" operator="equal">
      <formula>"Baggins"</formula>
    </cfRule>
    <cfRule type="cellIs" dxfId="1402" priority="11" operator="equal">
      <formula>"Lore"</formula>
    </cfRule>
    <cfRule type="cellIs" dxfId="1401" priority="12" operator="equal">
      <formula>"Spirit"</formula>
    </cfRule>
    <cfRule type="cellIs" dxfId="1400" priority="13" operator="equal">
      <formula>"Tactics"</formula>
    </cfRule>
    <cfRule type="cellIs" dxfId="1399" priority="14" operator="equal">
      <formula>"Leadership"</formula>
    </cfRule>
  </conditionalFormatting>
  <conditionalFormatting sqref="AA2">
    <cfRule type="cellIs" dxfId="1398" priority="1" operator="equal">
      <formula>"Fellowship"</formula>
    </cfRule>
    <cfRule type="cellIs" dxfId="1397" priority="2" operator="equal">
      <formula>"Neutral"</formula>
    </cfRule>
    <cfRule type="cellIs" dxfId="1396" priority="3" operator="equal">
      <formula>"Baggins"</formula>
    </cfRule>
    <cfRule type="cellIs" dxfId="1395" priority="4" operator="equal">
      <formula>"Lore"</formula>
    </cfRule>
    <cfRule type="cellIs" dxfId="1394" priority="5" operator="equal">
      <formula>"Spirit"</formula>
    </cfRule>
    <cfRule type="cellIs" dxfId="1393" priority="6" operator="equal">
      <formula>"Tactics"</formula>
    </cfRule>
    <cfRule type="cellIs" dxfId="1392"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331"/>
  <sheetViews>
    <sheetView zoomScale="85" zoomScaleNormal="85" workbookViewId="0">
      <pane xSplit="7" ySplit="1" topLeftCell="BC1286" activePane="bottomRight" state="frozen"/>
      <selection activeCell="E1" sqref="E1"/>
      <selection pane="topRight" activeCell="F1" sqref="F1"/>
      <selection pane="bottomLeft" activeCell="E2" sqref="E2"/>
      <selection pane="bottomRight" activeCell="BG1311" sqref="BG1311"/>
    </sheetView>
  </sheetViews>
  <sheetFormatPr defaultColWidth="9.140625" defaultRowHeight="15" customHeight="1" outlineLevelCol="1"/>
  <cols>
    <col min="1" max="1" width="38" style="23" customWidth="1" outlineLevel="1"/>
    <col min="2" max="2" width="42.85546875" style="23" customWidth="1" outlineLevel="1"/>
    <col min="3" max="3" width="4.5703125" style="23" customWidth="1" outlineLevel="1"/>
    <col min="4" max="4" width="4" style="24" bestFit="1" customWidth="1"/>
    <col min="5" max="5" width="3.28515625" style="23" bestFit="1" customWidth="1"/>
    <col min="6" max="6" width="37.28515625" style="23" customWidth="1"/>
    <col min="7" max="7" width="30.140625" style="23" bestFit="1" customWidth="1"/>
    <col min="8" max="8" width="17" style="23" customWidth="1"/>
    <col min="9" max="9" width="3.140625" style="23" customWidth="1"/>
    <col min="10" max="10" width="10.42578125" style="23" bestFit="1" customWidth="1"/>
    <col min="11" max="11" width="9.5703125" style="23" customWidth="1"/>
    <col min="12" max="12" width="6.5703125" style="23" customWidth="1"/>
    <col min="13" max="13" width="13.85546875" style="23" customWidth="1"/>
    <col min="14" max="14" width="3.140625" style="62" customWidth="1"/>
    <col min="15" max="15" width="3.140625" style="63" customWidth="1"/>
    <col min="16" max="16" width="3.140625" style="64" customWidth="1"/>
    <col min="17" max="17" width="3.140625" style="65" customWidth="1"/>
    <col min="18" max="18" width="3.140625" style="66" customWidth="1"/>
    <col min="19" max="19" width="3.140625" style="113" customWidth="1"/>
    <col min="20" max="20" width="3.140625" style="68" customWidth="1"/>
    <col min="21" max="21" width="3.140625" style="63" customWidth="1"/>
    <col min="22" max="22" width="3.140625" style="69" customWidth="1"/>
    <col min="23" max="23" width="3.140625" style="70" customWidth="1"/>
    <col min="24" max="24" width="3.140625" style="71" customWidth="1"/>
    <col min="25" max="25" width="3.140625" style="66" customWidth="1"/>
    <col min="26" max="26" width="3.140625" style="68" customWidth="1"/>
    <col min="27" max="27" width="3.140625" style="72" customWidth="1"/>
    <col min="28" max="28" width="9.42578125" style="23" customWidth="1"/>
    <col min="29" max="29" width="8.7109375" style="23" customWidth="1"/>
    <col min="30" max="30" width="16.140625" style="23" customWidth="1"/>
    <col min="31" max="31" width="21.140625" style="24" customWidth="1"/>
    <col min="32" max="32" width="49.5703125" style="23" customWidth="1"/>
    <col min="33" max="33" width="6.42578125" style="23" customWidth="1"/>
    <col min="34" max="34" width="4.5703125" style="23" customWidth="1"/>
    <col min="35" max="35" width="30.140625" style="23" customWidth="1"/>
    <col min="36" max="36" width="17.7109375" style="23" customWidth="1"/>
    <col min="37" max="37" width="3.140625" style="23" customWidth="1"/>
    <col min="38" max="38" width="10.42578125" style="23" customWidth="1"/>
    <col min="39" max="39" width="9.5703125" style="23" customWidth="1"/>
    <col min="40" max="40" width="5.5703125" style="23" customWidth="1"/>
    <col min="41" max="41" width="8.140625" style="23" customWidth="1"/>
    <col min="42" max="42" width="3.140625" style="62" customWidth="1"/>
    <col min="43" max="43" width="3.140625" style="63" customWidth="1"/>
    <col min="44" max="44" width="3.140625" style="64" customWidth="1"/>
    <col min="45" max="45" width="3.140625" style="65" customWidth="1"/>
    <col min="46" max="46" width="3.140625" style="66" customWidth="1"/>
    <col min="47" max="47" width="3.140625" style="68" customWidth="1"/>
    <col min="48" max="48" width="3.140625" style="63" customWidth="1"/>
    <col min="49" max="49" width="3.140625" style="69" customWidth="1"/>
    <col min="50" max="50" width="3.140625" style="70" customWidth="1"/>
    <col min="51" max="51" width="3.140625" style="71" customWidth="1"/>
    <col min="52" max="52" width="3.140625" style="66" customWidth="1"/>
    <col min="53" max="53" width="3.140625" style="68" customWidth="1"/>
    <col min="54" max="54" width="3.140625" style="72" customWidth="1"/>
    <col min="55" max="55" width="12.7109375" style="23" customWidth="1"/>
    <col min="56" max="56" width="10" style="23" customWidth="1"/>
    <col min="57" max="57" width="11.42578125" style="23" customWidth="1"/>
    <col min="58" max="58" width="22.85546875" style="24" customWidth="1"/>
    <col min="59" max="59" width="49.5703125" style="23" customWidth="1"/>
    <col min="60" max="60" width="8.5703125" style="23" customWidth="1"/>
    <col min="61" max="61" width="7.5703125" style="23" customWidth="1"/>
    <col min="62" max="62" width="13.28515625" style="23" bestFit="1" customWidth="1"/>
    <col min="63" max="16384" width="9.140625" style="23"/>
  </cols>
  <sheetData>
    <row r="1" spans="1:62" s="44" customFormat="1" ht="15" customHeight="1">
      <c r="A1" s="46" t="s">
        <v>0</v>
      </c>
      <c r="B1" s="46" t="s">
        <v>1</v>
      </c>
      <c r="C1" s="44" t="s">
        <v>55</v>
      </c>
      <c r="D1" s="45" t="s">
        <v>56</v>
      </c>
      <c r="E1" s="44" t="s">
        <v>19</v>
      </c>
      <c r="F1" s="46" t="s">
        <v>18</v>
      </c>
      <c r="G1" s="46" t="s">
        <v>2</v>
      </c>
      <c r="H1" s="46" t="s">
        <v>226</v>
      </c>
      <c r="I1" s="44" t="s">
        <v>3</v>
      </c>
      <c r="J1" s="46" t="s">
        <v>4</v>
      </c>
      <c r="K1" s="46" t="s">
        <v>225</v>
      </c>
      <c r="L1" s="46" t="s">
        <v>229</v>
      </c>
      <c r="M1" s="46" t="s">
        <v>233</v>
      </c>
      <c r="N1" s="56" t="s">
        <v>8</v>
      </c>
      <c r="O1" s="57" t="s">
        <v>11</v>
      </c>
      <c r="P1" s="57" t="s">
        <v>231</v>
      </c>
      <c r="Q1" s="57" t="s">
        <v>179</v>
      </c>
      <c r="R1" s="58" t="s">
        <v>232</v>
      </c>
      <c r="S1" s="58" t="s">
        <v>1113</v>
      </c>
      <c r="T1" s="58" t="s">
        <v>14</v>
      </c>
      <c r="U1" s="57" t="s">
        <v>234</v>
      </c>
      <c r="V1" s="57" t="s">
        <v>147</v>
      </c>
      <c r="W1" s="57" t="s">
        <v>235</v>
      </c>
      <c r="X1" s="57" t="s">
        <v>236</v>
      </c>
      <c r="Y1" s="58" t="s">
        <v>643</v>
      </c>
      <c r="Z1" s="58" t="s">
        <v>237</v>
      </c>
      <c r="AA1" s="57" t="s">
        <v>20</v>
      </c>
      <c r="AB1" s="46" t="s">
        <v>230</v>
      </c>
      <c r="AC1" s="46" t="s">
        <v>642</v>
      </c>
      <c r="AD1" s="46" t="s">
        <v>6</v>
      </c>
      <c r="AE1" s="47" t="s">
        <v>7</v>
      </c>
      <c r="AF1" s="46" t="s">
        <v>15</v>
      </c>
      <c r="AG1" s="46" t="s">
        <v>238</v>
      </c>
      <c r="AH1" s="46" t="s">
        <v>21</v>
      </c>
      <c r="AI1" s="48" t="s">
        <v>22</v>
      </c>
      <c r="AJ1" s="48" t="s">
        <v>226</v>
      </c>
      <c r="AK1" s="49" t="s">
        <v>3</v>
      </c>
      <c r="AL1" s="48" t="s">
        <v>4</v>
      </c>
      <c r="AM1" s="48" t="s">
        <v>225</v>
      </c>
      <c r="AN1" s="48" t="s">
        <v>229</v>
      </c>
      <c r="AO1" s="48" t="s">
        <v>233</v>
      </c>
      <c r="AP1" s="59" t="s">
        <v>8</v>
      </c>
      <c r="AQ1" s="60" t="s">
        <v>11</v>
      </c>
      <c r="AR1" s="60" t="s">
        <v>231</v>
      </c>
      <c r="AS1" s="60" t="s">
        <v>179</v>
      </c>
      <c r="AT1" s="61" t="s">
        <v>232</v>
      </c>
      <c r="AU1" s="61" t="s">
        <v>14</v>
      </c>
      <c r="AV1" s="60" t="s">
        <v>234</v>
      </c>
      <c r="AW1" s="60" t="s">
        <v>147</v>
      </c>
      <c r="AX1" s="60" t="s">
        <v>235</v>
      </c>
      <c r="AY1" s="60" t="s">
        <v>236</v>
      </c>
      <c r="AZ1" s="61" t="s">
        <v>643</v>
      </c>
      <c r="BA1" s="61" t="s">
        <v>237</v>
      </c>
      <c r="BB1" s="60" t="s">
        <v>20</v>
      </c>
      <c r="BC1" s="48" t="s">
        <v>230</v>
      </c>
      <c r="BD1" s="48" t="s">
        <v>642</v>
      </c>
      <c r="BE1" s="48" t="s">
        <v>6</v>
      </c>
      <c r="BF1" s="50" t="s">
        <v>7</v>
      </c>
      <c r="BG1" s="48" t="s">
        <v>15</v>
      </c>
      <c r="BH1" s="48" t="s">
        <v>238</v>
      </c>
      <c r="BI1" s="48" t="s">
        <v>21</v>
      </c>
      <c r="BJ1" s="51" t="s">
        <v>644</v>
      </c>
    </row>
    <row r="2" spans="1:62" ht="15" customHeight="1">
      <c r="A2" s="26" t="s">
        <v>183</v>
      </c>
      <c r="B2" s="26" t="s">
        <v>494</v>
      </c>
      <c r="C2" s="26" t="s">
        <v>57</v>
      </c>
      <c r="D2" s="27">
        <v>1</v>
      </c>
      <c r="E2" s="26">
        <v>1</v>
      </c>
      <c r="F2" s="26"/>
      <c r="G2" s="26" t="s">
        <v>184</v>
      </c>
      <c r="H2" s="28" t="s">
        <v>227</v>
      </c>
      <c r="I2" s="23" t="s">
        <v>223</v>
      </c>
      <c r="J2" s="23" t="s">
        <v>203</v>
      </c>
      <c r="K2" s="23" t="s">
        <v>198</v>
      </c>
      <c r="O2" s="63">
        <v>3</v>
      </c>
      <c r="P2" s="64">
        <v>3</v>
      </c>
      <c r="Q2" s="65">
        <v>4</v>
      </c>
      <c r="R2" s="66">
        <v>2</v>
      </c>
      <c r="T2" s="68">
        <v>9</v>
      </c>
      <c r="U2" s="63">
        <v>5</v>
      </c>
      <c r="AB2" s="42"/>
      <c r="AD2" s="23" t="s">
        <v>228</v>
      </c>
      <c r="AF2" s="23" t="s">
        <v>239</v>
      </c>
      <c r="AI2" s="28" t="s">
        <v>184</v>
      </c>
      <c r="AJ2" s="28" t="s">
        <v>227</v>
      </c>
      <c r="AK2" s="23" t="s">
        <v>223</v>
      </c>
      <c r="AL2" s="23" t="s">
        <v>203</v>
      </c>
      <c r="AM2" s="23" t="s">
        <v>198</v>
      </c>
      <c r="AO2" s="24"/>
      <c r="BE2" s="24"/>
      <c r="BF2" s="23"/>
    </row>
    <row r="3" spans="1:62" ht="15" customHeight="1">
      <c r="A3" s="23" t="s">
        <v>183</v>
      </c>
      <c r="B3" s="23" t="s">
        <v>495</v>
      </c>
      <c r="C3" s="23" t="s">
        <v>57</v>
      </c>
      <c r="D3" s="24">
        <v>2</v>
      </c>
      <c r="E3" s="23">
        <v>1</v>
      </c>
      <c r="G3" s="23" t="s">
        <v>240</v>
      </c>
      <c r="H3" s="23" t="s">
        <v>241</v>
      </c>
      <c r="I3" s="23" t="s">
        <v>223</v>
      </c>
      <c r="J3" s="23" t="s">
        <v>203</v>
      </c>
      <c r="K3" s="23" t="s">
        <v>199</v>
      </c>
      <c r="O3" s="63">
        <v>3</v>
      </c>
      <c r="P3" s="64">
        <v>5</v>
      </c>
      <c r="Q3" s="65">
        <v>2</v>
      </c>
      <c r="R3" s="66">
        <v>2</v>
      </c>
      <c r="T3" s="68">
        <v>5</v>
      </c>
      <c r="U3" s="63">
        <v>9</v>
      </c>
      <c r="AB3" s="42"/>
      <c r="AD3" s="23" t="s">
        <v>242</v>
      </c>
      <c r="AF3" s="23" t="s">
        <v>243</v>
      </c>
      <c r="AI3" s="23" t="s">
        <v>240</v>
      </c>
      <c r="AJ3" s="23" t="s">
        <v>241</v>
      </c>
      <c r="AK3" s="23" t="s">
        <v>223</v>
      </c>
      <c r="AL3" s="23" t="s">
        <v>203</v>
      </c>
      <c r="AM3" s="23" t="s">
        <v>199</v>
      </c>
      <c r="AO3" s="24"/>
      <c r="BE3" s="24"/>
      <c r="BF3" s="23"/>
    </row>
    <row r="4" spans="1:62" ht="15" customHeight="1">
      <c r="A4" s="23" t="s">
        <v>183</v>
      </c>
      <c r="B4" s="23" t="s">
        <v>496</v>
      </c>
      <c r="C4" s="23" t="s">
        <v>57</v>
      </c>
      <c r="D4" s="24">
        <v>3</v>
      </c>
      <c r="E4" s="23">
        <v>1</v>
      </c>
      <c r="G4" s="23" t="s">
        <v>244</v>
      </c>
      <c r="H4" s="23" t="s">
        <v>245</v>
      </c>
      <c r="I4" s="23" t="s">
        <v>223</v>
      </c>
      <c r="J4" s="23" t="s">
        <v>203</v>
      </c>
      <c r="K4" s="23" t="s">
        <v>201</v>
      </c>
      <c r="O4" s="63">
        <v>2</v>
      </c>
      <c r="P4" s="64">
        <v>3</v>
      </c>
      <c r="Q4" s="65">
        <v>3</v>
      </c>
      <c r="R4" s="66">
        <v>4</v>
      </c>
      <c r="T4" s="68">
        <v>8</v>
      </c>
      <c r="U4" s="63">
        <v>6</v>
      </c>
      <c r="AB4" s="42"/>
      <c r="AD4" s="23" t="s">
        <v>246</v>
      </c>
      <c r="AF4" s="23" t="s">
        <v>247</v>
      </c>
      <c r="AI4" s="23" t="s">
        <v>244</v>
      </c>
      <c r="AJ4" s="23" t="s">
        <v>245</v>
      </c>
      <c r="AK4" s="23" t="s">
        <v>223</v>
      </c>
      <c r="AL4" s="23" t="s">
        <v>203</v>
      </c>
      <c r="AM4" s="23" t="s">
        <v>201</v>
      </c>
      <c r="AO4" s="24"/>
      <c r="BE4" s="24"/>
      <c r="BF4" s="23"/>
    </row>
    <row r="5" spans="1:62" ht="15" customHeight="1">
      <c r="A5" s="23" t="s">
        <v>183</v>
      </c>
      <c r="B5" s="23" t="s">
        <v>497</v>
      </c>
      <c r="C5" s="23" t="s">
        <v>57</v>
      </c>
      <c r="D5" s="24">
        <v>4</v>
      </c>
      <c r="E5" s="23">
        <v>1</v>
      </c>
      <c r="G5" s="23" t="s">
        <v>248</v>
      </c>
      <c r="H5" s="23" t="s">
        <v>249</v>
      </c>
      <c r="I5" s="23" t="s">
        <v>223</v>
      </c>
      <c r="J5" s="23" t="s">
        <v>203</v>
      </c>
      <c r="K5" s="23" t="s">
        <v>200</v>
      </c>
      <c r="O5" s="63">
        <v>5</v>
      </c>
      <c r="P5" s="64">
        <v>2</v>
      </c>
      <c r="Q5" s="65">
        <v>2</v>
      </c>
      <c r="R5" s="66">
        <v>3</v>
      </c>
      <c r="T5" s="68">
        <v>6</v>
      </c>
      <c r="U5" s="63">
        <v>8</v>
      </c>
      <c r="AB5" s="42"/>
      <c r="AD5" s="23" t="s">
        <v>250</v>
      </c>
      <c r="AF5" s="23" t="s">
        <v>251</v>
      </c>
      <c r="AI5" s="23" t="s">
        <v>248</v>
      </c>
      <c r="AJ5" s="23" t="s">
        <v>249</v>
      </c>
      <c r="AK5" s="23" t="s">
        <v>223</v>
      </c>
      <c r="AL5" s="23" t="s">
        <v>203</v>
      </c>
      <c r="AM5" s="23" t="s">
        <v>200</v>
      </c>
      <c r="AO5" s="24"/>
      <c r="BE5" s="24"/>
      <c r="BF5" s="23"/>
    </row>
    <row r="6" spans="1:62" ht="15" customHeight="1">
      <c r="A6" s="23" t="s">
        <v>183</v>
      </c>
      <c r="B6" s="23" t="s">
        <v>498</v>
      </c>
      <c r="C6" s="23" t="s">
        <v>57</v>
      </c>
      <c r="D6" s="23">
        <v>5</v>
      </c>
      <c r="E6" s="23">
        <v>1</v>
      </c>
      <c r="G6" s="23" t="s">
        <v>252</v>
      </c>
      <c r="H6" s="23" t="s">
        <v>253</v>
      </c>
      <c r="I6" s="23" t="s">
        <v>223</v>
      </c>
      <c r="J6" s="23" t="s">
        <v>203</v>
      </c>
      <c r="K6" s="23" t="s">
        <v>202</v>
      </c>
      <c r="N6" s="73"/>
      <c r="O6" s="63">
        <v>4</v>
      </c>
      <c r="P6" s="64">
        <v>3</v>
      </c>
      <c r="Q6" s="65">
        <v>1</v>
      </c>
      <c r="R6" s="66">
        <v>4</v>
      </c>
      <c r="T6" s="68">
        <v>7</v>
      </c>
      <c r="U6" s="63">
        <v>7</v>
      </c>
      <c r="AB6" s="42"/>
      <c r="AD6" s="23" t="s">
        <v>254</v>
      </c>
      <c r="AE6" s="23"/>
      <c r="AF6" s="23" t="s">
        <v>255</v>
      </c>
      <c r="AI6" s="23" t="s">
        <v>252</v>
      </c>
      <c r="AJ6" s="23" t="s">
        <v>253</v>
      </c>
      <c r="AK6" s="23" t="s">
        <v>223</v>
      </c>
      <c r="AL6" s="23" t="s">
        <v>203</v>
      </c>
      <c r="AM6" s="23" t="s">
        <v>202</v>
      </c>
      <c r="AO6" s="24"/>
      <c r="AP6" s="73"/>
      <c r="BE6" s="24"/>
      <c r="BF6" s="23"/>
    </row>
    <row r="7" spans="1:62" ht="15" customHeight="1">
      <c r="A7" s="23" t="s">
        <v>183</v>
      </c>
      <c r="B7" s="23" t="s">
        <v>499</v>
      </c>
      <c r="C7" s="23" t="s">
        <v>57</v>
      </c>
      <c r="D7" s="23">
        <v>6</v>
      </c>
      <c r="E7" s="23">
        <v>1</v>
      </c>
      <c r="G7" s="23" t="s">
        <v>256</v>
      </c>
      <c r="I7" s="23" t="s">
        <v>223</v>
      </c>
      <c r="J7" s="23" t="s">
        <v>257</v>
      </c>
      <c r="K7" s="23" t="s">
        <v>26</v>
      </c>
      <c r="N7" s="73">
        <v>3</v>
      </c>
      <c r="Q7" s="65">
        <v>1</v>
      </c>
      <c r="R7" s="66">
        <v>1</v>
      </c>
      <c r="S7" s="113">
        <v>1</v>
      </c>
      <c r="AB7" s="52" t="s">
        <v>1078</v>
      </c>
      <c r="AC7" s="23" t="s">
        <v>258</v>
      </c>
      <c r="AD7" s="23" t="s">
        <v>259</v>
      </c>
      <c r="AE7" s="23"/>
      <c r="AF7" s="23" t="s">
        <v>260</v>
      </c>
      <c r="AO7" s="24"/>
      <c r="AP7" s="73"/>
      <c r="BE7" s="24"/>
      <c r="BF7" s="23"/>
    </row>
    <row r="8" spans="1:62" ht="15" customHeight="1">
      <c r="A8" s="23" t="s">
        <v>183</v>
      </c>
      <c r="B8" s="23" t="s">
        <v>500</v>
      </c>
      <c r="C8" s="23" t="s">
        <v>57</v>
      </c>
      <c r="D8" s="23">
        <v>7</v>
      </c>
      <c r="E8" s="23">
        <v>1</v>
      </c>
      <c r="G8" s="23" t="s">
        <v>261</v>
      </c>
      <c r="J8" s="23" t="s">
        <v>28</v>
      </c>
      <c r="K8" s="23" t="s">
        <v>26</v>
      </c>
      <c r="M8" s="23" t="s">
        <v>648</v>
      </c>
      <c r="N8" s="73"/>
      <c r="AB8" s="42"/>
      <c r="AD8" s="23" t="s">
        <v>262</v>
      </c>
      <c r="AE8" s="23"/>
      <c r="AF8" s="23" t="s">
        <v>263</v>
      </c>
      <c r="AO8" s="24"/>
      <c r="AP8" s="73"/>
      <c r="BE8" s="24"/>
      <c r="BF8" s="23"/>
    </row>
    <row r="9" spans="1:62" ht="15" customHeight="1">
      <c r="A9" s="23" t="s">
        <v>183</v>
      </c>
      <c r="B9" s="23" t="s">
        <v>501</v>
      </c>
      <c r="C9" s="23" t="s">
        <v>57</v>
      </c>
      <c r="D9" s="23">
        <v>8</v>
      </c>
      <c r="E9" s="23">
        <v>1</v>
      </c>
      <c r="G9" s="23" t="s">
        <v>264</v>
      </c>
      <c r="I9" s="23" t="s">
        <v>223</v>
      </c>
      <c r="J9" s="23" t="s">
        <v>257</v>
      </c>
      <c r="K9" s="23" t="s">
        <v>26</v>
      </c>
      <c r="N9" s="73">
        <v>2</v>
      </c>
      <c r="O9" s="63">
        <v>1</v>
      </c>
      <c r="P9" s="64">
        <v>1</v>
      </c>
      <c r="S9" s="113">
        <v>1</v>
      </c>
      <c r="AB9" s="52" t="s">
        <v>1079</v>
      </c>
      <c r="AD9" s="23" t="s">
        <v>265</v>
      </c>
      <c r="AE9" s="23"/>
      <c r="AF9" s="23" t="s">
        <v>266</v>
      </c>
      <c r="AO9" s="24"/>
      <c r="AP9" s="73"/>
      <c r="BE9" s="24"/>
      <c r="BF9" s="23"/>
    </row>
    <row r="10" spans="1:62" ht="15" customHeight="1">
      <c r="A10" s="23" t="s">
        <v>183</v>
      </c>
      <c r="B10" s="23" t="s">
        <v>502</v>
      </c>
      <c r="C10" s="23" t="s">
        <v>57</v>
      </c>
      <c r="D10" s="23">
        <v>9</v>
      </c>
      <c r="E10" s="23">
        <v>1</v>
      </c>
      <c r="G10" s="23" t="s">
        <v>267</v>
      </c>
      <c r="H10" s="23" t="s">
        <v>268</v>
      </c>
      <c r="J10" s="23" t="s">
        <v>257</v>
      </c>
      <c r="K10" s="23" t="s">
        <v>26</v>
      </c>
      <c r="M10" s="23" t="s">
        <v>648</v>
      </c>
      <c r="N10" s="74" t="s">
        <v>38</v>
      </c>
      <c r="AB10" s="42"/>
      <c r="AC10" s="23" t="s">
        <v>258</v>
      </c>
      <c r="AD10" s="23" t="s">
        <v>269</v>
      </c>
      <c r="AE10" s="23"/>
      <c r="AF10" s="23" t="s">
        <v>270</v>
      </c>
      <c r="AO10" s="24"/>
      <c r="AP10" s="73"/>
      <c r="BE10" s="24"/>
      <c r="BF10" s="23"/>
    </row>
    <row r="11" spans="1:62" ht="15" customHeight="1">
      <c r="A11" s="23" t="s">
        <v>183</v>
      </c>
      <c r="B11" s="23" t="s">
        <v>649</v>
      </c>
      <c r="C11" s="23" t="s">
        <v>57</v>
      </c>
      <c r="D11" s="23">
        <v>10</v>
      </c>
      <c r="E11" s="23">
        <v>1</v>
      </c>
      <c r="G11" s="23" t="s">
        <v>645</v>
      </c>
      <c r="J11" s="23" t="s">
        <v>27</v>
      </c>
      <c r="K11" s="23" t="s">
        <v>26</v>
      </c>
      <c r="N11" s="73">
        <v>1</v>
      </c>
      <c r="S11" s="113">
        <v>2</v>
      </c>
      <c r="AB11" s="52" t="s">
        <v>1080</v>
      </c>
      <c r="AD11" s="23" t="s">
        <v>307</v>
      </c>
      <c r="AE11" s="23" t="s">
        <v>646</v>
      </c>
      <c r="AF11" s="23" t="s">
        <v>647</v>
      </c>
      <c r="AO11" s="24"/>
      <c r="AP11" s="73"/>
      <c r="BE11" s="24"/>
      <c r="BF11" s="23"/>
    </row>
    <row r="12" spans="1:62" ht="15" customHeight="1">
      <c r="A12" s="23" t="s">
        <v>183</v>
      </c>
      <c r="B12" s="23" t="s">
        <v>503</v>
      </c>
      <c r="C12" s="23" t="s">
        <v>57</v>
      </c>
      <c r="D12" s="23">
        <v>11</v>
      </c>
      <c r="E12" s="23">
        <v>1</v>
      </c>
      <c r="G12" s="23" t="s">
        <v>271</v>
      </c>
      <c r="J12" s="23" t="s">
        <v>28</v>
      </c>
      <c r="K12" s="23" t="s">
        <v>26</v>
      </c>
      <c r="M12" s="23" t="s">
        <v>648</v>
      </c>
      <c r="N12" s="73"/>
      <c r="AB12" s="42"/>
      <c r="AD12" s="23" t="s">
        <v>262</v>
      </c>
      <c r="AE12" s="23"/>
      <c r="AF12" s="23" t="s">
        <v>272</v>
      </c>
      <c r="AO12" s="24"/>
      <c r="AP12" s="73"/>
      <c r="BE12" s="24"/>
      <c r="BF12" s="23"/>
    </row>
    <row r="13" spans="1:62" ht="15" customHeight="1">
      <c r="A13" s="23" t="s">
        <v>183</v>
      </c>
      <c r="B13" s="23" t="s">
        <v>504</v>
      </c>
      <c r="C13" s="23" t="s">
        <v>57</v>
      </c>
      <c r="D13" s="23">
        <v>12</v>
      </c>
      <c r="E13" s="23">
        <v>1</v>
      </c>
      <c r="G13" s="23" t="s">
        <v>273</v>
      </c>
      <c r="H13" s="23" t="s">
        <v>274</v>
      </c>
      <c r="I13" s="23" t="s">
        <v>223</v>
      </c>
      <c r="J13" s="23" t="s">
        <v>257</v>
      </c>
      <c r="K13" s="23" t="s">
        <v>26</v>
      </c>
      <c r="N13" s="73">
        <v>3</v>
      </c>
      <c r="O13" s="63">
        <v>1</v>
      </c>
      <c r="Q13" s="65">
        <v>1</v>
      </c>
      <c r="S13" s="113">
        <v>1</v>
      </c>
      <c r="AB13" s="52" t="s">
        <v>1081</v>
      </c>
      <c r="AC13" s="23" t="s">
        <v>275</v>
      </c>
      <c r="AD13" s="23" t="s">
        <v>276</v>
      </c>
      <c r="AE13" s="23"/>
      <c r="AF13" s="23" t="s">
        <v>277</v>
      </c>
      <c r="AO13" s="24"/>
      <c r="AP13" s="73"/>
      <c r="BE13" s="24"/>
      <c r="BF13" s="23"/>
    </row>
    <row r="14" spans="1:62" ht="15" customHeight="1">
      <c r="A14" s="23" t="s">
        <v>183</v>
      </c>
      <c r="B14" s="23" t="s">
        <v>505</v>
      </c>
      <c r="C14" s="23" t="s">
        <v>57</v>
      </c>
      <c r="D14" s="23">
        <v>13</v>
      </c>
      <c r="E14" s="23">
        <v>1</v>
      </c>
      <c r="G14" s="23" t="s">
        <v>278</v>
      </c>
      <c r="J14" s="23" t="s">
        <v>27</v>
      </c>
      <c r="K14" s="23" t="s">
        <v>26</v>
      </c>
      <c r="M14" s="23" t="s">
        <v>648</v>
      </c>
      <c r="N14" s="73">
        <v>2</v>
      </c>
      <c r="AB14" s="42"/>
      <c r="AD14" s="23" t="s">
        <v>279</v>
      </c>
      <c r="AE14" s="23"/>
      <c r="AF14" s="23" t="s">
        <v>280</v>
      </c>
      <c r="AO14" s="24"/>
      <c r="AP14" s="73"/>
      <c r="BE14" s="24"/>
      <c r="BF14" s="23"/>
    </row>
    <row r="15" spans="1:62" ht="15" customHeight="1">
      <c r="A15" s="23" t="s">
        <v>183</v>
      </c>
      <c r="B15" s="23" t="s">
        <v>506</v>
      </c>
      <c r="C15" s="23" t="s">
        <v>57</v>
      </c>
      <c r="D15" s="23">
        <v>14</v>
      </c>
      <c r="E15" s="23">
        <v>1</v>
      </c>
      <c r="G15" s="23" t="s">
        <v>281</v>
      </c>
      <c r="I15" s="23" t="s">
        <v>223</v>
      </c>
      <c r="J15" s="23" t="s">
        <v>257</v>
      </c>
      <c r="K15" s="23" t="s">
        <v>26</v>
      </c>
      <c r="N15" s="73">
        <v>2</v>
      </c>
      <c r="S15" s="113">
        <v>2</v>
      </c>
      <c r="AB15" s="52" t="s">
        <v>1082</v>
      </c>
      <c r="AC15" s="23" t="s">
        <v>275</v>
      </c>
      <c r="AD15" s="23" t="s">
        <v>276</v>
      </c>
      <c r="AE15" s="23"/>
      <c r="AF15" s="23" t="s">
        <v>282</v>
      </c>
      <c r="AO15" s="24"/>
      <c r="AP15" s="73"/>
      <c r="BE15" s="24"/>
      <c r="BF15" s="23"/>
    </row>
    <row r="16" spans="1:62" ht="15" customHeight="1">
      <c r="A16" s="23" t="s">
        <v>183</v>
      </c>
      <c r="B16" s="23" t="s">
        <v>507</v>
      </c>
      <c r="C16" s="23" t="s">
        <v>57</v>
      </c>
      <c r="D16" s="23">
        <v>15</v>
      </c>
      <c r="E16" s="23">
        <v>1</v>
      </c>
      <c r="G16" s="23" t="s">
        <v>283</v>
      </c>
      <c r="J16" s="23" t="s">
        <v>28</v>
      </c>
      <c r="K16" s="23" t="s">
        <v>26</v>
      </c>
      <c r="M16" s="23" t="s">
        <v>648</v>
      </c>
      <c r="N16" s="73"/>
      <c r="AB16" s="42"/>
      <c r="AD16" s="23" t="s">
        <v>284</v>
      </c>
      <c r="AE16" s="23"/>
      <c r="AF16" s="23" t="s">
        <v>285</v>
      </c>
      <c r="AO16" s="24"/>
      <c r="AP16" s="73"/>
      <c r="BE16" s="24"/>
      <c r="BF16" s="23"/>
    </row>
    <row r="17" spans="1:58" ht="15" customHeight="1">
      <c r="A17" s="23" t="s">
        <v>183</v>
      </c>
      <c r="B17" s="23" t="s">
        <v>508</v>
      </c>
      <c r="C17" s="23" t="s">
        <v>57</v>
      </c>
      <c r="D17" s="23">
        <v>16</v>
      </c>
      <c r="E17" s="23">
        <v>1</v>
      </c>
      <c r="G17" s="23" t="s">
        <v>286</v>
      </c>
      <c r="J17" s="23" t="s">
        <v>257</v>
      </c>
      <c r="K17" s="23" t="s">
        <v>198</v>
      </c>
      <c r="N17" s="73">
        <v>4</v>
      </c>
      <c r="R17" s="66">
        <v>1</v>
      </c>
      <c r="AB17" s="52" t="s">
        <v>207</v>
      </c>
      <c r="AC17" s="23" t="s">
        <v>258</v>
      </c>
      <c r="AD17" s="23" t="s">
        <v>259</v>
      </c>
      <c r="AE17" s="23"/>
      <c r="AF17" s="23" t="s">
        <v>287</v>
      </c>
      <c r="AO17" s="24"/>
      <c r="AP17" s="73"/>
      <c r="BE17" s="24"/>
      <c r="BF17" s="23"/>
    </row>
    <row r="18" spans="1:58" ht="15" customHeight="1">
      <c r="A18" s="23" t="s">
        <v>183</v>
      </c>
      <c r="B18" s="23" t="s">
        <v>509</v>
      </c>
      <c r="C18" s="23" t="s">
        <v>57</v>
      </c>
      <c r="D18" s="23">
        <v>17</v>
      </c>
      <c r="E18" s="23">
        <v>1</v>
      </c>
      <c r="G18" s="23" t="s">
        <v>288</v>
      </c>
      <c r="J18" s="23" t="s">
        <v>257</v>
      </c>
      <c r="K18" s="23" t="s">
        <v>198</v>
      </c>
      <c r="N18" s="73">
        <v>2</v>
      </c>
      <c r="O18" s="63">
        <v>1</v>
      </c>
      <c r="Q18" s="65">
        <v>1</v>
      </c>
      <c r="AB18" s="52" t="s">
        <v>1083</v>
      </c>
      <c r="AD18" s="23" t="s">
        <v>289</v>
      </c>
      <c r="AE18" s="23"/>
      <c r="AF18" s="23" t="s">
        <v>290</v>
      </c>
      <c r="AO18" s="24"/>
      <c r="AP18" s="73"/>
      <c r="BE18" s="24"/>
      <c r="BF18" s="23"/>
    </row>
    <row r="19" spans="1:58" ht="15" customHeight="1">
      <c r="A19" s="23" t="s">
        <v>183</v>
      </c>
      <c r="B19" s="23" t="s">
        <v>510</v>
      </c>
      <c r="C19" s="23" t="s">
        <v>57</v>
      </c>
      <c r="D19" s="23">
        <v>18</v>
      </c>
      <c r="E19" s="23">
        <v>1</v>
      </c>
      <c r="G19" s="23" t="s">
        <v>291</v>
      </c>
      <c r="J19" s="23" t="s">
        <v>257</v>
      </c>
      <c r="K19" s="23" t="s">
        <v>198</v>
      </c>
      <c r="N19" s="73">
        <v>4</v>
      </c>
      <c r="Q19" s="65">
        <v>1</v>
      </c>
      <c r="T19" s="68">
        <v>2</v>
      </c>
      <c r="U19" s="63">
        <v>2</v>
      </c>
      <c r="AB19" s="52" t="s">
        <v>206</v>
      </c>
      <c r="AC19" s="23" t="s">
        <v>25</v>
      </c>
      <c r="AD19" s="23" t="s">
        <v>292</v>
      </c>
      <c r="AE19" s="23"/>
      <c r="AF19" s="23" t="s">
        <v>293</v>
      </c>
      <c r="AO19" s="24"/>
      <c r="AP19" s="73"/>
      <c r="BE19" s="24"/>
      <c r="BF19" s="23"/>
    </row>
    <row r="20" spans="1:58" ht="15" customHeight="1">
      <c r="A20" s="23" t="s">
        <v>183</v>
      </c>
      <c r="B20" s="23" t="s">
        <v>511</v>
      </c>
      <c r="C20" s="23" t="s">
        <v>57</v>
      </c>
      <c r="D20" s="23">
        <v>19</v>
      </c>
      <c r="E20" s="23">
        <v>1</v>
      </c>
      <c r="G20" s="23" t="s">
        <v>294</v>
      </c>
      <c r="J20" s="23" t="s">
        <v>257</v>
      </c>
      <c r="K20" s="23" t="s">
        <v>198</v>
      </c>
      <c r="N20" s="73">
        <v>2</v>
      </c>
      <c r="O20" s="63">
        <v>1</v>
      </c>
      <c r="AB20" s="52" t="s">
        <v>204</v>
      </c>
      <c r="AD20" s="23" t="s">
        <v>295</v>
      </c>
      <c r="AE20" s="23"/>
      <c r="AF20" s="23" t="s">
        <v>296</v>
      </c>
      <c r="AO20" s="24"/>
      <c r="AP20" s="73"/>
      <c r="BE20" s="24"/>
      <c r="BF20" s="23"/>
    </row>
    <row r="21" spans="1:58" ht="15" customHeight="1">
      <c r="A21" s="23" t="s">
        <v>183</v>
      </c>
      <c r="B21" s="23" t="s">
        <v>512</v>
      </c>
      <c r="C21" s="23" t="s">
        <v>57</v>
      </c>
      <c r="D21" s="23">
        <v>20</v>
      </c>
      <c r="E21" s="23">
        <v>1</v>
      </c>
      <c r="G21" s="23" t="s">
        <v>297</v>
      </c>
      <c r="J21" s="23" t="s">
        <v>257</v>
      </c>
      <c r="K21" s="23" t="s">
        <v>198</v>
      </c>
      <c r="N21" s="73">
        <v>3</v>
      </c>
      <c r="Q21" s="65">
        <v>1</v>
      </c>
      <c r="AB21" s="52" t="s">
        <v>206</v>
      </c>
      <c r="AC21" s="23" t="s">
        <v>258</v>
      </c>
      <c r="AD21" s="23" t="s">
        <v>298</v>
      </c>
      <c r="AE21" s="23"/>
      <c r="AF21" s="23" t="s">
        <v>299</v>
      </c>
      <c r="AO21" s="24"/>
      <c r="AP21" s="73"/>
      <c r="BE21" s="24"/>
      <c r="BF21" s="23"/>
    </row>
    <row r="22" spans="1:58" ht="15" customHeight="1">
      <c r="A22" s="23" t="s">
        <v>183</v>
      </c>
      <c r="B22" s="23" t="s">
        <v>513</v>
      </c>
      <c r="C22" s="23" t="s">
        <v>57</v>
      </c>
      <c r="D22" s="23">
        <v>21</v>
      </c>
      <c r="E22" s="23">
        <v>1</v>
      </c>
      <c r="G22" s="23" t="s">
        <v>300</v>
      </c>
      <c r="J22" s="23" t="s">
        <v>257</v>
      </c>
      <c r="K22" s="23" t="s">
        <v>198</v>
      </c>
      <c r="N22" s="73">
        <v>3</v>
      </c>
      <c r="Q22" s="65">
        <v>1</v>
      </c>
      <c r="T22" s="68">
        <v>3</v>
      </c>
      <c r="U22" s="63">
        <v>1</v>
      </c>
      <c r="AB22" s="52" t="s">
        <v>206</v>
      </c>
      <c r="AC22" s="23" t="s">
        <v>25</v>
      </c>
      <c r="AD22" s="23" t="s">
        <v>301</v>
      </c>
      <c r="AE22" s="23"/>
      <c r="AF22" s="23" t="s">
        <v>302</v>
      </c>
      <c r="AO22" s="24"/>
      <c r="AP22" s="73"/>
      <c r="BE22" s="24"/>
      <c r="BF22" s="23"/>
    </row>
    <row r="23" spans="1:58" ht="15" customHeight="1">
      <c r="A23" s="23" t="s">
        <v>183</v>
      </c>
      <c r="B23" s="23" t="s">
        <v>514</v>
      </c>
      <c r="C23" s="23" t="s">
        <v>57</v>
      </c>
      <c r="D23" s="23">
        <v>22</v>
      </c>
      <c r="E23" s="23">
        <v>1</v>
      </c>
      <c r="G23" s="23" t="s">
        <v>303</v>
      </c>
      <c r="J23" s="23" t="s">
        <v>27</v>
      </c>
      <c r="K23" s="23" t="s">
        <v>198</v>
      </c>
      <c r="N23" s="73">
        <v>1</v>
      </c>
      <c r="P23" s="64">
        <v>2</v>
      </c>
      <c r="AB23" s="52" t="s">
        <v>1084</v>
      </c>
      <c r="AD23" s="23" t="s">
        <v>304</v>
      </c>
      <c r="AE23" s="23"/>
      <c r="AF23" s="23" t="s">
        <v>305</v>
      </c>
      <c r="AO23" s="24"/>
      <c r="AP23" s="73"/>
      <c r="BE23" s="24"/>
      <c r="BF23" s="23"/>
    </row>
    <row r="24" spans="1:58" ht="15" customHeight="1">
      <c r="A24" s="23" t="s">
        <v>183</v>
      </c>
      <c r="B24" s="23" t="s">
        <v>515</v>
      </c>
      <c r="C24" s="23" t="s">
        <v>57</v>
      </c>
      <c r="D24" s="23">
        <v>23</v>
      </c>
      <c r="E24" s="23">
        <v>1</v>
      </c>
      <c r="G24" s="23" t="s">
        <v>306</v>
      </c>
      <c r="J24" s="23" t="s">
        <v>27</v>
      </c>
      <c r="K24" s="23" t="s">
        <v>198</v>
      </c>
      <c r="N24" s="73">
        <v>1</v>
      </c>
      <c r="O24" s="63">
        <v>1</v>
      </c>
      <c r="R24" s="66">
        <v>1</v>
      </c>
      <c r="AB24" s="52" t="s">
        <v>1085</v>
      </c>
      <c r="AD24" s="23" t="s">
        <v>307</v>
      </c>
      <c r="AE24" s="23"/>
      <c r="AF24" s="23" t="s">
        <v>308</v>
      </c>
      <c r="AO24" s="24"/>
      <c r="AP24" s="73"/>
      <c r="BE24" s="24"/>
      <c r="BF24" s="23"/>
    </row>
    <row r="25" spans="1:58" ht="15" customHeight="1">
      <c r="A25" s="23" t="s">
        <v>183</v>
      </c>
      <c r="B25" s="23" t="s">
        <v>516</v>
      </c>
      <c r="C25" s="23" t="s">
        <v>57</v>
      </c>
      <c r="D25" s="23">
        <v>24</v>
      </c>
      <c r="E25" s="23">
        <v>1</v>
      </c>
      <c r="G25" s="23" t="s">
        <v>309</v>
      </c>
      <c r="J25" s="23" t="s">
        <v>27</v>
      </c>
      <c r="K25" s="23" t="s">
        <v>198</v>
      </c>
      <c r="N25" s="73">
        <v>5</v>
      </c>
      <c r="O25" s="63">
        <v>1</v>
      </c>
      <c r="AB25" s="52" t="s">
        <v>204</v>
      </c>
      <c r="AD25" s="23" t="s">
        <v>307</v>
      </c>
      <c r="AE25" s="23"/>
      <c r="AF25" s="23" t="s">
        <v>310</v>
      </c>
      <c r="AO25" s="24"/>
      <c r="AP25" s="73"/>
      <c r="BE25" s="24"/>
      <c r="BF25" s="23"/>
    </row>
    <row r="26" spans="1:58" ht="15" customHeight="1">
      <c r="A26" s="23" t="s">
        <v>183</v>
      </c>
      <c r="B26" s="23" t="s">
        <v>517</v>
      </c>
      <c r="C26" s="23" t="s">
        <v>57</v>
      </c>
      <c r="D26" s="23">
        <v>25</v>
      </c>
      <c r="E26" s="23">
        <v>1</v>
      </c>
      <c r="G26" s="23" t="s">
        <v>311</v>
      </c>
      <c r="J26" s="23" t="s">
        <v>312</v>
      </c>
      <c r="K26" s="23" t="s">
        <v>198</v>
      </c>
      <c r="N26" s="73"/>
      <c r="Q26" s="65">
        <v>1</v>
      </c>
      <c r="AB26" s="52" t="s">
        <v>206</v>
      </c>
      <c r="AD26" s="23" t="s">
        <v>313</v>
      </c>
      <c r="AE26" s="23"/>
      <c r="AF26" s="23" t="s">
        <v>314</v>
      </c>
      <c r="AO26" s="24"/>
      <c r="AP26" s="73"/>
      <c r="BE26" s="24"/>
      <c r="BF26" s="23"/>
    </row>
    <row r="27" spans="1:58" ht="15" customHeight="1">
      <c r="A27" s="23" t="s">
        <v>183</v>
      </c>
      <c r="B27" s="23" t="s">
        <v>518</v>
      </c>
      <c r="C27" s="23" t="s">
        <v>57</v>
      </c>
      <c r="D27" s="23">
        <v>26</v>
      </c>
      <c r="E27" s="23">
        <v>1</v>
      </c>
      <c r="G27" s="23" t="s">
        <v>315</v>
      </c>
      <c r="J27" s="23" t="s">
        <v>27</v>
      </c>
      <c r="K27" s="23" t="s">
        <v>198</v>
      </c>
      <c r="L27" s="23">
        <v>1</v>
      </c>
      <c r="N27" s="73">
        <v>2</v>
      </c>
      <c r="P27" s="64">
        <v>1</v>
      </c>
      <c r="AB27" s="52" t="s">
        <v>205</v>
      </c>
      <c r="AD27" s="23" t="s">
        <v>316</v>
      </c>
      <c r="AE27" s="23"/>
      <c r="AF27" s="23" t="s">
        <v>317</v>
      </c>
      <c r="AO27" s="24"/>
      <c r="AP27" s="73"/>
      <c r="BE27" s="24"/>
      <c r="BF27" s="23"/>
    </row>
    <row r="28" spans="1:58" ht="15" customHeight="1">
      <c r="A28" s="23" t="s">
        <v>183</v>
      </c>
      <c r="B28" s="23" t="s">
        <v>519</v>
      </c>
      <c r="C28" s="23" t="s">
        <v>57</v>
      </c>
      <c r="D28" s="23">
        <v>27</v>
      </c>
      <c r="E28" s="23">
        <v>1</v>
      </c>
      <c r="G28" s="23" t="s">
        <v>318</v>
      </c>
      <c r="J28" s="23" t="s">
        <v>257</v>
      </c>
      <c r="K28" s="23" t="s">
        <v>198</v>
      </c>
      <c r="L28" s="23">
        <v>2</v>
      </c>
      <c r="N28" s="73">
        <v>3</v>
      </c>
      <c r="O28" s="63">
        <v>1</v>
      </c>
      <c r="S28" s="113">
        <v>1</v>
      </c>
      <c r="AB28" s="52" t="s">
        <v>1086</v>
      </c>
      <c r="AC28" s="23" t="s">
        <v>275</v>
      </c>
      <c r="AD28" s="23" t="s">
        <v>265</v>
      </c>
      <c r="AE28" s="23"/>
      <c r="AF28" s="23" t="s">
        <v>319</v>
      </c>
      <c r="AO28" s="24"/>
      <c r="AP28" s="73"/>
      <c r="BE28" s="24"/>
      <c r="BF28" s="23"/>
    </row>
    <row r="29" spans="1:58" ht="15" customHeight="1">
      <c r="A29" s="23" t="s">
        <v>183</v>
      </c>
      <c r="B29" s="23" t="s">
        <v>520</v>
      </c>
      <c r="C29" s="23" t="s">
        <v>57</v>
      </c>
      <c r="D29" s="23">
        <v>28</v>
      </c>
      <c r="E29" s="23">
        <v>1</v>
      </c>
      <c r="G29" s="23" t="s">
        <v>291</v>
      </c>
      <c r="J29" s="23" t="s">
        <v>257</v>
      </c>
      <c r="K29" s="23" t="s">
        <v>198</v>
      </c>
      <c r="L29" s="23">
        <v>2</v>
      </c>
      <c r="N29" s="73">
        <v>4</v>
      </c>
      <c r="Q29" s="65">
        <v>1</v>
      </c>
      <c r="R29" s="66">
        <v>1</v>
      </c>
      <c r="T29" s="68">
        <v>3</v>
      </c>
      <c r="U29" s="63">
        <v>2</v>
      </c>
      <c r="AB29" s="52" t="s">
        <v>1087</v>
      </c>
      <c r="AC29" s="23" t="s">
        <v>25</v>
      </c>
      <c r="AD29" s="23" t="s">
        <v>292</v>
      </c>
      <c r="AE29" s="23"/>
      <c r="AF29" s="23" t="s">
        <v>320</v>
      </c>
      <c r="AO29" s="24"/>
      <c r="AP29" s="73"/>
      <c r="BE29" s="24"/>
      <c r="BF29" s="23"/>
    </row>
    <row r="30" spans="1:58" ht="15" customHeight="1">
      <c r="A30" s="23" t="s">
        <v>183</v>
      </c>
      <c r="B30" s="23" t="s">
        <v>521</v>
      </c>
      <c r="C30" s="23" t="s">
        <v>57</v>
      </c>
      <c r="D30" s="23">
        <v>29</v>
      </c>
      <c r="E30" s="23">
        <v>1</v>
      </c>
      <c r="G30" s="23" t="s">
        <v>321</v>
      </c>
      <c r="J30" s="23" t="s">
        <v>257</v>
      </c>
      <c r="K30" s="23" t="s">
        <v>198</v>
      </c>
      <c r="L30" s="23">
        <v>4</v>
      </c>
      <c r="N30" s="73">
        <v>5</v>
      </c>
      <c r="Q30" s="65">
        <v>2</v>
      </c>
      <c r="AB30" s="52" t="s">
        <v>1088</v>
      </c>
      <c r="AC30" s="23" t="s">
        <v>322</v>
      </c>
      <c r="AD30" s="23" t="s">
        <v>259</v>
      </c>
      <c r="AE30" s="23"/>
      <c r="AF30" s="23" t="s">
        <v>323</v>
      </c>
      <c r="AO30" s="24"/>
      <c r="AP30" s="73"/>
      <c r="BE30" s="24"/>
      <c r="BF30" s="23"/>
    </row>
    <row r="31" spans="1:58" ht="15" customHeight="1">
      <c r="A31" s="23" t="s">
        <v>183</v>
      </c>
      <c r="B31" s="23" t="s">
        <v>522</v>
      </c>
      <c r="C31" s="23" t="s">
        <v>57</v>
      </c>
      <c r="D31" s="23">
        <v>30</v>
      </c>
      <c r="E31" s="23">
        <v>1</v>
      </c>
      <c r="G31" s="23" t="s">
        <v>324</v>
      </c>
      <c r="J31" s="23" t="s">
        <v>257</v>
      </c>
      <c r="K31" s="23" t="s">
        <v>199</v>
      </c>
      <c r="N31" s="73">
        <v>1</v>
      </c>
      <c r="P31" s="64">
        <v>1</v>
      </c>
      <c r="AB31" s="52" t="s">
        <v>205</v>
      </c>
      <c r="AC31" s="23" t="s">
        <v>258</v>
      </c>
      <c r="AD31" s="23" t="s">
        <v>325</v>
      </c>
      <c r="AE31" s="23"/>
      <c r="AF31" s="23" t="s">
        <v>326</v>
      </c>
      <c r="AO31" s="24"/>
      <c r="AP31" s="73"/>
      <c r="BE31" s="24"/>
      <c r="BF31" s="23"/>
    </row>
    <row r="32" spans="1:58" ht="15" customHeight="1">
      <c r="A32" s="23" t="s">
        <v>183</v>
      </c>
      <c r="B32" s="23" t="s">
        <v>523</v>
      </c>
      <c r="C32" s="23" t="s">
        <v>57</v>
      </c>
      <c r="D32" s="23">
        <v>31</v>
      </c>
      <c r="E32" s="23">
        <v>1</v>
      </c>
      <c r="G32" s="23" t="s">
        <v>327</v>
      </c>
      <c r="J32" s="23" t="s">
        <v>257</v>
      </c>
      <c r="K32" s="23" t="s">
        <v>199</v>
      </c>
      <c r="N32" s="73">
        <v>3</v>
      </c>
      <c r="O32" s="63">
        <v>1</v>
      </c>
      <c r="AB32" s="52" t="s">
        <v>204</v>
      </c>
      <c r="AC32" s="23" t="s">
        <v>258</v>
      </c>
      <c r="AD32" s="23" t="s">
        <v>269</v>
      </c>
      <c r="AE32" s="23"/>
      <c r="AF32" s="23" t="s">
        <v>328</v>
      </c>
      <c r="AO32" s="24"/>
      <c r="AP32" s="73"/>
      <c r="BE32" s="24"/>
      <c r="BF32" s="23"/>
    </row>
    <row r="33" spans="1:58" ht="15" customHeight="1">
      <c r="A33" s="23" t="s">
        <v>183</v>
      </c>
      <c r="B33" s="23" t="s">
        <v>524</v>
      </c>
      <c r="C33" s="23" t="s">
        <v>57</v>
      </c>
      <c r="D33" s="23">
        <v>32</v>
      </c>
      <c r="E33" s="23">
        <v>1</v>
      </c>
      <c r="G33" s="23" t="s">
        <v>329</v>
      </c>
      <c r="J33" s="23" t="s">
        <v>257</v>
      </c>
      <c r="K33" s="23" t="s">
        <v>199</v>
      </c>
      <c r="N33" s="73">
        <v>2</v>
      </c>
      <c r="R33" s="66">
        <v>1</v>
      </c>
      <c r="T33" s="68">
        <v>1</v>
      </c>
      <c r="U33" s="63">
        <v>1</v>
      </c>
      <c r="AB33" s="52" t="s">
        <v>207</v>
      </c>
      <c r="AC33" s="23" t="s">
        <v>25</v>
      </c>
      <c r="AD33" s="23" t="s">
        <v>330</v>
      </c>
      <c r="AE33" s="23"/>
      <c r="AF33" s="23" t="s">
        <v>331</v>
      </c>
      <c r="AO33" s="24"/>
      <c r="AP33" s="73"/>
      <c r="BE33" s="24"/>
      <c r="BF33" s="23"/>
    </row>
    <row r="34" spans="1:58" ht="15" customHeight="1">
      <c r="A34" s="23" t="s">
        <v>183</v>
      </c>
      <c r="B34" s="23" t="s">
        <v>525</v>
      </c>
      <c r="C34" s="23" t="s">
        <v>57</v>
      </c>
      <c r="D34" s="23">
        <v>33</v>
      </c>
      <c r="E34" s="23">
        <v>1</v>
      </c>
      <c r="G34" s="23" t="s">
        <v>332</v>
      </c>
      <c r="H34" s="23" t="s">
        <v>333</v>
      </c>
      <c r="I34" s="23" t="s">
        <v>223</v>
      </c>
      <c r="J34" s="23" t="s">
        <v>257</v>
      </c>
      <c r="K34" s="23" t="s">
        <v>199</v>
      </c>
      <c r="N34" s="73">
        <v>4</v>
      </c>
      <c r="P34" s="64">
        <v>1</v>
      </c>
      <c r="T34" s="68">
        <v>1</v>
      </c>
      <c r="U34" s="63">
        <v>2</v>
      </c>
      <c r="AB34" s="52" t="s">
        <v>205</v>
      </c>
      <c r="AC34" s="23" t="s">
        <v>25</v>
      </c>
      <c r="AD34" s="23" t="s">
        <v>330</v>
      </c>
      <c r="AE34" s="23"/>
      <c r="AF34" s="23" t="s">
        <v>334</v>
      </c>
      <c r="AO34" s="24"/>
      <c r="AP34" s="73"/>
      <c r="BE34" s="24"/>
      <c r="BF34" s="23"/>
    </row>
    <row r="35" spans="1:58" ht="15" customHeight="1">
      <c r="A35" s="23" t="s">
        <v>183</v>
      </c>
      <c r="B35" s="23" t="s">
        <v>526</v>
      </c>
      <c r="C35" s="23" t="s">
        <v>57</v>
      </c>
      <c r="D35" s="23">
        <v>34</v>
      </c>
      <c r="E35" s="23">
        <v>1</v>
      </c>
      <c r="G35" s="23" t="s">
        <v>335</v>
      </c>
      <c r="J35" s="23" t="s">
        <v>257</v>
      </c>
      <c r="K35" s="23" t="s">
        <v>199</v>
      </c>
      <c r="N35" s="73">
        <v>2</v>
      </c>
      <c r="P35" s="64">
        <v>1</v>
      </c>
      <c r="R35" s="66">
        <v>1</v>
      </c>
      <c r="AB35" s="52" t="s">
        <v>1089</v>
      </c>
      <c r="AD35" s="23" t="s">
        <v>289</v>
      </c>
      <c r="AE35" s="23"/>
      <c r="AF35" s="23" t="s">
        <v>336</v>
      </c>
      <c r="AO35" s="24"/>
      <c r="AP35" s="73"/>
      <c r="BE35" s="24"/>
      <c r="BF35" s="23"/>
    </row>
    <row r="36" spans="1:58" ht="15" customHeight="1">
      <c r="A36" s="23" t="s">
        <v>183</v>
      </c>
      <c r="B36" s="23" t="s">
        <v>527</v>
      </c>
      <c r="C36" s="23" t="s">
        <v>57</v>
      </c>
      <c r="D36" s="23">
        <v>35</v>
      </c>
      <c r="E36" s="23">
        <v>1</v>
      </c>
      <c r="G36" s="23" t="s">
        <v>337</v>
      </c>
      <c r="J36" s="23" t="s">
        <v>257</v>
      </c>
      <c r="K36" s="23" t="s">
        <v>199</v>
      </c>
      <c r="N36" s="73">
        <v>2</v>
      </c>
      <c r="Q36" s="65">
        <v>1</v>
      </c>
      <c r="AB36" s="52" t="s">
        <v>206</v>
      </c>
      <c r="AC36" s="23" t="s">
        <v>258</v>
      </c>
      <c r="AD36" s="23" t="s">
        <v>269</v>
      </c>
      <c r="AE36" s="23"/>
      <c r="AF36" s="23" t="s">
        <v>338</v>
      </c>
      <c r="AO36" s="24"/>
      <c r="AP36" s="73"/>
      <c r="BE36" s="24"/>
      <c r="BF36" s="23"/>
    </row>
    <row r="37" spans="1:58" ht="15" customHeight="1">
      <c r="A37" s="23" t="s">
        <v>183</v>
      </c>
      <c r="B37" s="30" t="s">
        <v>528</v>
      </c>
      <c r="C37" s="23" t="s">
        <v>57</v>
      </c>
      <c r="D37" s="23">
        <v>36</v>
      </c>
      <c r="E37" s="23">
        <v>1</v>
      </c>
      <c r="G37" s="23" t="s">
        <v>339</v>
      </c>
      <c r="J37" s="23" t="s">
        <v>27</v>
      </c>
      <c r="K37" s="23" t="s">
        <v>199</v>
      </c>
      <c r="N37" s="73">
        <v>1</v>
      </c>
      <c r="Q37" s="65">
        <v>1</v>
      </c>
      <c r="R37" s="66">
        <v>1</v>
      </c>
      <c r="AB37" s="52" t="s">
        <v>1087</v>
      </c>
      <c r="AD37" s="23" t="s">
        <v>340</v>
      </c>
      <c r="AE37" s="23"/>
      <c r="AF37" s="23" t="s">
        <v>341</v>
      </c>
      <c r="AO37" s="24"/>
      <c r="AP37" s="73"/>
      <c r="BE37" s="24"/>
      <c r="BF37" s="23"/>
    </row>
    <row r="38" spans="1:58" ht="15" customHeight="1">
      <c r="A38" s="23" t="s">
        <v>183</v>
      </c>
      <c r="B38" s="23" t="s">
        <v>529</v>
      </c>
      <c r="C38" s="23" t="s">
        <v>57</v>
      </c>
      <c r="D38" s="23">
        <v>37</v>
      </c>
      <c r="E38" s="23">
        <v>1</v>
      </c>
      <c r="G38" s="23" t="s">
        <v>342</v>
      </c>
      <c r="J38" s="23" t="s">
        <v>27</v>
      </c>
      <c r="K38" s="23" t="s">
        <v>199</v>
      </c>
      <c r="N38" s="73">
        <v>2</v>
      </c>
      <c r="O38" s="75"/>
      <c r="P38" s="76"/>
      <c r="Q38" s="77"/>
      <c r="U38" s="75"/>
      <c r="V38" s="78"/>
      <c r="W38" s="79"/>
      <c r="X38" s="80"/>
      <c r="AA38" s="81"/>
      <c r="AB38" s="52" t="s">
        <v>1084</v>
      </c>
      <c r="AD38" s="23" t="s">
        <v>340</v>
      </c>
      <c r="AE38" s="23" t="s">
        <v>657</v>
      </c>
      <c r="AF38" s="23" t="s">
        <v>922</v>
      </c>
      <c r="AO38" s="24"/>
      <c r="AP38" s="73"/>
      <c r="AQ38" s="75"/>
      <c r="AR38" s="76"/>
      <c r="AS38" s="77"/>
      <c r="AV38" s="75"/>
      <c r="AW38" s="83"/>
      <c r="AX38" s="84"/>
      <c r="AY38" s="80"/>
      <c r="BB38" s="81"/>
      <c r="BE38" s="24"/>
      <c r="BF38" s="23"/>
    </row>
    <row r="39" spans="1:58" ht="15" customHeight="1">
      <c r="A39" s="23" t="s">
        <v>183</v>
      </c>
      <c r="B39" s="23" t="s">
        <v>530</v>
      </c>
      <c r="C39" s="23" t="s">
        <v>57</v>
      </c>
      <c r="D39" s="23">
        <v>38</v>
      </c>
      <c r="E39" s="23">
        <v>1</v>
      </c>
      <c r="G39" s="23" t="s">
        <v>343</v>
      </c>
      <c r="J39" s="23" t="s">
        <v>27</v>
      </c>
      <c r="K39" s="23" t="s">
        <v>199</v>
      </c>
      <c r="N39" s="73">
        <v>0</v>
      </c>
      <c r="O39" s="75">
        <v>1</v>
      </c>
      <c r="P39" s="76">
        <v>1</v>
      </c>
      <c r="Q39" s="77"/>
      <c r="R39" s="66">
        <v>1</v>
      </c>
      <c r="U39" s="75"/>
      <c r="V39" s="78"/>
      <c r="W39" s="79"/>
      <c r="X39" s="80"/>
      <c r="AA39" s="81"/>
      <c r="AB39" s="52" t="s">
        <v>1090</v>
      </c>
      <c r="AD39" s="23" t="s">
        <v>344</v>
      </c>
      <c r="AE39" s="23"/>
      <c r="AF39" s="23" t="s">
        <v>345</v>
      </c>
      <c r="AO39" s="24"/>
      <c r="AP39" s="73"/>
      <c r="AQ39" s="75"/>
      <c r="AR39" s="76"/>
      <c r="AS39" s="77"/>
      <c r="AV39" s="75"/>
      <c r="AW39" s="83"/>
      <c r="AX39" s="84"/>
      <c r="AY39" s="80"/>
      <c r="BB39" s="81"/>
      <c r="BE39" s="24"/>
      <c r="BF39" s="23"/>
    </row>
    <row r="40" spans="1:58" ht="15" customHeight="1">
      <c r="A40" s="23" t="s">
        <v>183</v>
      </c>
      <c r="B40" s="23" t="s">
        <v>531</v>
      </c>
      <c r="C40" s="23" t="s">
        <v>57</v>
      </c>
      <c r="D40" s="23">
        <v>39</v>
      </c>
      <c r="E40" s="23">
        <v>1</v>
      </c>
      <c r="G40" s="23" t="s">
        <v>346</v>
      </c>
      <c r="J40" s="23" t="s">
        <v>312</v>
      </c>
      <c r="K40" s="23" t="s">
        <v>199</v>
      </c>
      <c r="N40" s="73"/>
      <c r="O40" s="75"/>
      <c r="P40" s="76">
        <v>1</v>
      </c>
      <c r="Q40" s="77"/>
      <c r="U40" s="75"/>
      <c r="V40" s="78"/>
      <c r="W40" s="79"/>
      <c r="X40" s="80"/>
      <c r="AA40" s="81"/>
      <c r="AB40" s="52" t="s">
        <v>205</v>
      </c>
      <c r="AD40" s="23" t="s">
        <v>313</v>
      </c>
      <c r="AE40" s="23"/>
      <c r="AF40" s="23" t="s">
        <v>347</v>
      </c>
      <c r="AO40" s="24"/>
      <c r="AP40" s="73"/>
      <c r="AQ40" s="75"/>
      <c r="AR40" s="76"/>
      <c r="AS40" s="77"/>
      <c r="AV40" s="75"/>
      <c r="AW40" s="83"/>
      <c r="AX40" s="84"/>
      <c r="AY40" s="80"/>
      <c r="BB40" s="81"/>
      <c r="BE40" s="24"/>
      <c r="BF40" s="23"/>
    </row>
    <row r="41" spans="1:58" ht="15" customHeight="1">
      <c r="A41" s="23" t="s">
        <v>183</v>
      </c>
      <c r="B41" s="23" t="s">
        <v>532</v>
      </c>
      <c r="C41" s="23" t="s">
        <v>57</v>
      </c>
      <c r="D41" s="23">
        <v>40</v>
      </c>
      <c r="E41" s="23">
        <v>1</v>
      </c>
      <c r="G41" s="23" t="s">
        <v>324</v>
      </c>
      <c r="J41" s="23" t="s">
        <v>257</v>
      </c>
      <c r="K41" s="23" t="s">
        <v>199</v>
      </c>
      <c r="L41" s="23">
        <v>1</v>
      </c>
      <c r="N41" s="73">
        <v>0</v>
      </c>
      <c r="O41" s="75"/>
      <c r="P41" s="76">
        <v>1</v>
      </c>
      <c r="Q41" s="77"/>
      <c r="U41" s="75"/>
      <c r="V41" s="78"/>
      <c r="W41" s="79"/>
      <c r="X41" s="80"/>
      <c r="AA41" s="81"/>
      <c r="AB41" s="52" t="s">
        <v>205</v>
      </c>
      <c r="AC41" s="23" t="s">
        <v>258</v>
      </c>
      <c r="AD41" s="23" t="s">
        <v>325</v>
      </c>
      <c r="AE41" s="23"/>
      <c r="AF41" s="23" t="s">
        <v>348</v>
      </c>
      <c r="AO41" s="24"/>
      <c r="AP41" s="73"/>
      <c r="AQ41" s="75"/>
      <c r="AR41" s="76"/>
      <c r="AS41" s="77"/>
      <c r="AV41" s="75"/>
      <c r="AW41" s="83"/>
      <c r="AX41" s="84"/>
      <c r="AY41" s="80"/>
      <c r="BB41" s="81"/>
      <c r="BE41" s="24"/>
      <c r="BF41" s="23"/>
    </row>
    <row r="42" spans="1:58" ht="15" customHeight="1">
      <c r="A42" s="23" t="s">
        <v>183</v>
      </c>
      <c r="B42" s="23" t="s">
        <v>650</v>
      </c>
      <c r="C42" s="23" t="s">
        <v>57</v>
      </c>
      <c r="D42" s="23">
        <v>41</v>
      </c>
      <c r="E42" s="23">
        <v>1</v>
      </c>
      <c r="G42" s="23" t="s">
        <v>651</v>
      </c>
      <c r="H42" s="23" t="s">
        <v>652</v>
      </c>
      <c r="I42" s="23" t="s">
        <v>223</v>
      </c>
      <c r="J42" s="23" t="s">
        <v>257</v>
      </c>
      <c r="K42" s="23" t="s">
        <v>199</v>
      </c>
      <c r="L42" s="23">
        <v>2</v>
      </c>
      <c r="N42" s="73">
        <v>3</v>
      </c>
      <c r="O42" s="75">
        <v>1</v>
      </c>
      <c r="P42" s="76">
        <v>1</v>
      </c>
      <c r="Q42" s="77">
        <v>1</v>
      </c>
      <c r="S42" s="113">
        <v>1</v>
      </c>
      <c r="U42" s="75"/>
      <c r="V42" s="78"/>
      <c r="W42" s="79"/>
      <c r="X42" s="80"/>
      <c r="AA42" s="81"/>
      <c r="AB42" s="52" t="s">
        <v>1079</v>
      </c>
      <c r="AC42" s="23" t="s">
        <v>653</v>
      </c>
      <c r="AD42" s="23" t="s">
        <v>276</v>
      </c>
      <c r="AE42" s="23"/>
      <c r="AF42" s="23" t="s">
        <v>654</v>
      </c>
      <c r="AO42" s="24"/>
      <c r="AP42" s="73"/>
      <c r="AQ42" s="75"/>
      <c r="AR42" s="76"/>
      <c r="AS42" s="77"/>
      <c r="AV42" s="75"/>
      <c r="AW42" s="83"/>
      <c r="AX42" s="84"/>
      <c r="AY42" s="80"/>
      <c r="BB42" s="81"/>
      <c r="BE42" s="24"/>
      <c r="BF42" s="23"/>
    </row>
    <row r="43" spans="1:58" ht="15" customHeight="1">
      <c r="A43" s="23" t="s">
        <v>183</v>
      </c>
      <c r="B43" s="23" t="s">
        <v>533</v>
      </c>
      <c r="C43" s="23" t="s">
        <v>57</v>
      </c>
      <c r="D43" s="23">
        <v>42</v>
      </c>
      <c r="E43" s="23">
        <v>1</v>
      </c>
      <c r="G43" s="23" t="s">
        <v>349</v>
      </c>
      <c r="J43" s="23" t="s">
        <v>257</v>
      </c>
      <c r="K43" s="23" t="s">
        <v>199</v>
      </c>
      <c r="L43" s="23">
        <v>2</v>
      </c>
      <c r="N43" s="73">
        <v>2</v>
      </c>
      <c r="O43" s="75"/>
      <c r="P43" s="76"/>
      <c r="Q43" s="77"/>
      <c r="S43" s="113">
        <v>1</v>
      </c>
      <c r="U43" s="75"/>
      <c r="V43" s="78"/>
      <c r="W43" s="79"/>
      <c r="X43" s="80"/>
      <c r="AA43" s="81"/>
      <c r="AB43" s="52" t="s">
        <v>208</v>
      </c>
      <c r="AC43" s="23" t="s">
        <v>258</v>
      </c>
      <c r="AD43" s="23" t="s">
        <v>269</v>
      </c>
      <c r="AE43" s="23"/>
      <c r="AF43" s="23" t="s">
        <v>350</v>
      </c>
      <c r="AO43" s="24"/>
      <c r="AP43" s="73"/>
      <c r="AQ43" s="75"/>
      <c r="AR43" s="76"/>
      <c r="AS43" s="77"/>
      <c r="AV43" s="75"/>
      <c r="AW43" s="83"/>
      <c r="AX43" s="84"/>
      <c r="AY43" s="80"/>
      <c r="BB43" s="81"/>
      <c r="BE43" s="24"/>
      <c r="BF43" s="23"/>
    </row>
    <row r="44" spans="1:58" ht="15" customHeight="1">
      <c r="A44" s="23" t="s">
        <v>183</v>
      </c>
      <c r="B44" s="23" t="s">
        <v>655</v>
      </c>
      <c r="C44" s="23" t="s">
        <v>57</v>
      </c>
      <c r="D44" s="23">
        <v>43</v>
      </c>
      <c r="E44" s="23">
        <v>1</v>
      </c>
      <c r="G44" s="23" t="s">
        <v>656</v>
      </c>
      <c r="J44" s="23" t="s">
        <v>27</v>
      </c>
      <c r="K44" s="23" t="s">
        <v>199</v>
      </c>
      <c r="L44" s="23">
        <v>4</v>
      </c>
      <c r="N44" s="73">
        <v>0</v>
      </c>
      <c r="O44" s="75"/>
      <c r="P44" s="76"/>
      <c r="Q44" s="77"/>
      <c r="U44" s="75"/>
      <c r="V44" s="78"/>
      <c r="W44" s="79"/>
      <c r="X44" s="80"/>
      <c r="AA44" s="81"/>
      <c r="AB44" s="42"/>
      <c r="AD44" s="23" t="s">
        <v>340</v>
      </c>
      <c r="AE44" s="23" t="s">
        <v>657</v>
      </c>
      <c r="AF44" s="23" t="s">
        <v>658</v>
      </c>
      <c r="AO44" s="24"/>
      <c r="AP44" s="73"/>
      <c r="AQ44" s="75"/>
      <c r="AR44" s="76"/>
      <c r="AS44" s="77"/>
      <c r="AV44" s="75"/>
      <c r="AW44" s="83"/>
      <c r="AX44" s="84"/>
      <c r="AY44" s="80"/>
      <c r="BB44" s="81"/>
      <c r="BE44" s="24"/>
      <c r="BF44" s="23"/>
    </row>
    <row r="45" spans="1:58" ht="15" customHeight="1">
      <c r="A45" s="23" t="s">
        <v>183</v>
      </c>
      <c r="B45" s="23" t="s">
        <v>534</v>
      </c>
      <c r="C45" s="23" t="s">
        <v>57</v>
      </c>
      <c r="D45" s="23">
        <v>44</v>
      </c>
      <c r="E45" s="23">
        <v>1</v>
      </c>
      <c r="G45" s="23" t="s">
        <v>351</v>
      </c>
      <c r="J45" s="23" t="s">
        <v>257</v>
      </c>
      <c r="K45" s="23" t="s">
        <v>201</v>
      </c>
      <c r="N45" s="73">
        <v>1</v>
      </c>
      <c r="O45" s="75"/>
      <c r="P45" s="76"/>
      <c r="Q45" s="77"/>
      <c r="R45" s="66">
        <v>1</v>
      </c>
      <c r="U45" s="75"/>
      <c r="V45" s="78"/>
      <c r="W45" s="79"/>
      <c r="X45" s="80"/>
      <c r="AA45" s="81"/>
      <c r="AB45" s="52" t="s">
        <v>207</v>
      </c>
      <c r="AC45" s="23" t="s">
        <v>258</v>
      </c>
      <c r="AD45" s="23" t="s">
        <v>352</v>
      </c>
      <c r="AE45" s="23"/>
      <c r="AF45" s="23" t="s">
        <v>353</v>
      </c>
      <c r="AO45" s="24"/>
      <c r="AP45" s="73"/>
      <c r="AQ45" s="75"/>
      <c r="AR45" s="76"/>
      <c r="AS45" s="77"/>
      <c r="AV45" s="75"/>
      <c r="AW45" s="83"/>
      <c r="AX45" s="84"/>
      <c r="AY45" s="80"/>
      <c r="BB45" s="81"/>
      <c r="BE45" s="24"/>
      <c r="BF45" s="23"/>
    </row>
    <row r="46" spans="1:58" ht="15" customHeight="1">
      <c r="A46" s="23" t="s">
        <v>183</v>
      </c>
      <c r="B46" s="23" t="s">
        <v>535</v>
      </c>
      <c r="C46" s="23" t="s">
        <v>57</v>
      </c>
      <c r="D46" s="23">
        <v>45</v>
      </c>
      <c r="E46" s="23">
        <v>1</v>
      </c>
      <c r="G46" s="23" t="s">
        <v>354</v>
      </c>
      <c r="J46" s="23" t="s">
        <v>257</v>
      </c>
      <c r="K46" s="23" t="s">
        <v>201</v>
      </c>
      <c r="N46" s="73">
        <v>1</v>
      </c>
      <c r="O46" s="75"/>
      <c r="P46" s="76">
        <v>1</v>
      </c>
      <c r="Q46" s="77"/>
      <c r="U46" s="75"/>
      <c r="V46" s="78"/>
      <c r="W46" s="79"/>
      <c r="X46" s="80"/>
      <c r="AA46" s="81"/>
      <c r="AB46" s="52" t="s">
        <v>205</v>
      </c>
      <c r="AD46" s="23" t="s">
        <v>355</v>
      </c>
      <c r="AE46" s="23"/>
      <c r="AF46" s="23" t="s">
        <v>356</v>
      </c>
      <c r="AO46" s="24"/>
      <c r="AP46" s="73"/>
      <c r="AQ46" s="75"/>
      <c r="AR46" s="76"/>
      <c r="AS46" s="77"/>
      <c r="AV46" s="75"/>
      <c r="AW46" s="83"/>
      <c r="AX46" s="84"/>
      <c r="AY46" s="80"/>
      <c r="BB46" s="81"/>
      <c r="BE46" s="24"/>
      <c r="BF46" s="23"/>
    </row>
    <row r="47" spans="1:58" ht="15" customHeight="1">
      <c r="A47" s="23" t="s">
        <v>183</v>
      </c>
      <c r="B47" s="23" t="s">
        <v>536</v>
      </c>
      <c r="C47" s="23" t="s">
        <v>57</v>
      </c>
      <c r="D47" s="23">
        <v>46</v>
      </c>
      <c r="E47" s="23">
        <v>1</v>
      </c>
      <c r="G47" s="23" t="s">
        <v>357</v>
      </c>
      <c r="J47" s="23" t="s">
        <v>257</v>
      </c>
      <c r="K47" s="23" t="s">
        <v>201</v>
      </c>
      <c r="N47" s="73">
        <v>2</v>
      </c>
      <c r="O47" s="75"/>
      <c r="P47" s="76"/>
      <c r="Q47" s="77"/>
      <c r="R47" s="66">
        <v>1</v>
      </c>
      <c r="U47" s="75"/>
      <c r="V47" s="78"/>
      <c r="W47" s="79"/>
      <c r="X47" s="80"/>
      <c r="AA47" s="81"/>
      <c r="AB47" s="52" t="s">
        <v>207</v>
      </c>
      <c r="AD47" s="23" t="s">
        <v>355</v>
      </c>
      <c r="AE47" s="23"/>
      <c r="AF47" s="23" t="s">
        <v>358</v>
      </c>
      <c r="AO47" s="24"/>
      <c r="AP47" s="73"/>
      <c r="AQ47" s="75"/>
      <c r="AR47" s="76"/>
      <c r="AS47" s="77"/>
      <c r="AV47" s="75"/>
      <c r="AW47" s="83"/>
      <c r="AX47" s="84"/>
      <c r="AY47" s="80"/>
      <c r="BB47" s="81"/>
      <c r="BE47" s="24"/>
      <c r="BF47" s="23"/>
    </row>
    <row r="48" spans="1:58" ht="15" customHeight="1">
      <c r="A48" s="23" t="s">
        <v>183</v>
      </c>
      <c r="B48" s="23" t="s">
        <v>537</v>
      </c>
      <c r="C48" s="23" t="s">
        <v>57</v>
      </c>
      <c r="D48" s="23">
        <v>47</v>
      </c>
      <c r="E48" s="23">
        <v>1</v>
      </c>
      <c r="G48" s="23" t="s">
        <v>359</v>
      </c>
      <c r="J48" s="23" t="s">
        <v>257</v>
      </c>
      <c r="K48" s="23" t="s">
        <v>201</v>
      </c>
      <c r="N48" s="73">
        <v>3</v>
      </c>
      <c r="O48" s="75"/>
      <c r="P48" s="76"/>
      <c r="Q48" s="77"/>
      <c r="U48" s="75"/>
      <c r="V48" s="78"/>
      <c r="W48" s="79"/>
      <c r="X48" s="80"/>
      <c r="AA48" s="81"/>
      <c r="AB48" s="52" t="s">
        <v>206</v>
      </c>
      <c r="AC48" s="23" t="s">
        <v>258</v>
      </c>
      <c r="AD48" s="23" t="s">
        <v>923</v>
      </c>
      <c r="AE48" s="23" t="s">
        <v>924</v>
      </c>
      <c r="AF48" s="23" t="s">
        <v>925</v>
      </c>
      <c r="AO48" s="24"/>
      <c r="AP48" s="73"/>
      <c r="AQ48" s="75"/>
      <c r="AR48" s="76"/>
      <c r="AS48" s="77"/>
      <c r="AV48" s="75"/>
      <c r="AW48" s="83"/>
      <c r="AX48" s="84"/>
      <c r="AY48" s="80"/>
      <c r="BB48" s="81"/>
      <c r="BE48" s="24"/>
      <c r="BF48" s="23"/>
    </row>
    <row r="49" spans="1:58" ht="15" customHeight="1">
      <c r="A49" s="23" t="s">
        <v>183</v>
      </c>
      <c r="B49" s="23" t="s">
        <v>538</v>
      </c>
      <c r="C49" s="23" t="s">
        <v>57</v>
      </c>
      <c r="D49" s="23">
        <v>48</v>
      </c>
      <c r="E49" s="23">
        <v>1</v>
      </c>
      <c r="G49" s="23" t="s">
        <v>360</v>
      </c>
      <c r="H49" s="23" t="s">
        <v>361</v>
      </c>
      <c r="I49" s="23" t="s">
        <v>223</v>
      </c>
      <c r="J49" s="23" t="s">
        <v>257</v>
      </c>
      <c r="K49" s="23" t="s">
        <v>201</v>
      </c>
      <c r="N49" s="73">
        <v>6</v>
      </c>
      <c r="O49" s="75"/>
      <c r="P49" s="76">
        <v>1</v>
      </c>
      <c r="Q49" s="77"/>
      <c r="T49" s="68">
        <v>2</v>
      </c>
      <c r="U49" s="75">
        <v>2</v>
      </c>
      <c r="V49" s="78"/>
      <c r="W49" s="79"/>
      <c r="X49" s="80"/>
      <c r="AA49" s="81"/>
      <c r="AB49" s="52" t="s">
        <v>205</v>
      </c>
      <c r="AC49" s="23" t="s">
        <v>25</v>
      </c>
      <c r="AD49" s="23" t="s">
        <v>362</v>
      </c>
      <c r="AE49" s="23"/>
      <c r="AF49" s="23" t="s">
        <v>363</v>
      </c>
      <c r="AO49" s="24"/>
      <c r="AP49" s="73"/>
      <c r="AQ49" s="75"/>
      <c r="AR49" s="76"/>
      <c r="AS49" s="77"/>
      <c r="AV49" s="75"/>
      <c r="AW49" s="83"/>
      <c r="AX49" s="84"/>
      <c r="AY49" s="80"/>
      <c r="BB49" s="81"/>
      <c r="BE49" s="24"/>
      <c r="BF49" s="23"/>
    </row>
    <row r="50" spans="1:58" ht="15" customHeight="1">
      <c r="A50" s="23" t="s">
        <v>183</v>
      </c>
      <c r="B50" s="23" t="s">
        <v>539</v>
      </c>
      <c r="C50" s="23" t="s">
        <v>57</v>
      </c>
      <c r="D50" s="23">
        <v>49</v>
      </c>
      <c r="E50" s="23">
        <v>1</v>
      </c>
      <c r="G50" s="23" t="s">
        <v>364</v>
      </c>
      <c r="J50" s="23" t="s">
        <v>257</v>
      </c>
      <c r="K50" s="23" t="s">
        <v>201</v>
      </c>
      <c r="N50" s="73">
        <v>2</v>
      </c>
      <c r="O50" s="75"/>
      <c r="P50" s="76"/>
      <c r="Q50" s="77">
        <v>1</v>
      </c>
      <c r="R50" s="66">
        <v>1</v>
      </c>
      <c r="U50" s="75"/>
      <c r="V50" s="78"/>
      <c r="W50" s="79"/>
      <c r="X50" s="80"/>
      <c r="AA50" s="81"/>
      <c r="AB50" s="52" t="s">
        <v>1087</v>
      </c>
      <c r="AD50" s="23" t="s">
        <v>289</v>
      </c>
      <c r="AE50" s="23"/>
      <c r="AF50" s="23" t="s">
        <v>365</v>
      </c>
      <c r="AO50" s="24"/>
      <c r="AP50" s="73"/>
      <c r="AQ50" s="75"/>
      <c r="AR50" s="76"/>
      <c r="AS50" s="77"/>
      <c r="AV50" s="75"/>
      <c r="AW50" s="83"/>
      <c r="AX50" s="84"/>
      <c r="AY50" s="80"/>
      <c r="BB50" s="81"/>
      <c r="BE50" s="24"/>
      <c r="BF50" s="23"/>
    </row>
    <row r="51" spans="1:58" ht="15" customHeight="1">
      <c r="A51" s="23" t="s">
        <v>183</v>
      </c>
      <c r="B51" s="23" t="s">
        <v>540</v>
      </c>
      <c r="C51" s="23" t="s">
        <v>57</v>
      </c>
      <c r="D51" s="23">
        <v>50</v>
      </c>
      <c r="E51" s="23">
        <v>1</v>
      </c>
      <c r="G51" s="23" t="s">
        <v>366</v>
      </c>
      <c r="J51" s="23" t="s">
        <v>27</v>
      </c>
      <c r="K51" s="23" t="s">
        <v>201</v>
      </c>
      <c r="N51" s="73">
        <v>2</v>
      </c>
      <c r="O51" s="75"/>
      <c r="P51" s="76"/>
      <c r="Q51" s="77"/>
      <c r="U51" s="75"/>
      <c r="V51" s="78"/>
      <c r="W51" s="79"/>
      <c r="X51" s="80"/>
      <c r="AA51" s="81"/>
      <c r="AB51" s="52" t="s">
        <v>1089</v>
      </c>
      <c r="AD51" s="23" t="s">
        <v>307</v>
      </c>
      <c r="AE51" s="23" t="s">
        <v>657</v>
      </c>
      <c r="AF51" s="23" t="s">
        <v>926</v>
      </c>
      <c r="AO51" s="24"/>
      <c r="AP51" s="73"/>
      <c r="AQ51" s="75"/>
      <c r="AR51" s="76"/>
      <c r="AS51" s="77"/>
      <c r="AV51" s="75"/>
      <c r="AW51" s="83"/>
      <c r="AX51" s="84"/>
      <c r="AY51" s="80"/>
      <c r="BB51" s="81"/>
      <c r="BE51" s="24"/>
      <c r="BF51" s="23"/>
    </row>
    <row r="52" spans="1:58" ht="15" customHeight="1">
      <c r="A52" s="23" t="s">
        <v>183</v>
      </c>
      <c r="B52" s="23" t="s">
        <v>541</v>
      </c>
      <c r="C52" s="23" t="s">
        <v>57</v>
      </c>
      <c r="D52" s="23">
        <v>51</v>
      </c>
      <c r="E52" s="23">
        <v>1</v>
      </c>
      <c r="G52" s="23" t="s">
        <v>367</v>
      </c>
      <c r="J52" s="23" t="s">
        <v>27</v>
      </c>
      <c r="K52" s="23" t="s">
        <v>201</v>
      </c>
      <c r="N52" s="73">
        <v>3</v>
      </c>
      <c r="O52" s="75"/>
      <c r="P52" s="76"/>
      <c r="Q52" s="77">
        <v>1</v>
      </c>
      <c r="R52" s="66">
        <v>1</v>
      </c>
      <c r="U52" s="75"/>
      <c r="V52" s="78"/>
      <c r="W52" s="79"/>
      <c r="X52" s="80"/>
      <c r="AA52" s="81"/>
      <c r="AB52" s="52" t="s">
        <v>1087</v>
      </c>
      <c r="AD52" s="23" t="s">
        <v>307</v>
      </c>
      <c r="AE52" s="23"/>
      <c r="AF52" s="23" t="s">
        <v>368</v>
      </c>
      <c r="AO52" s="24"/>
      <c r="AP52" s="73"/>
      <c r="AQ52" s="75"/>
      <c r="AR52" s="76"/>
      <c r="AS52" s="77"/>
      <c r="AV52" s="75"/>
      <c r="AW52" s="83"/>
      <c r="AX52" s="84"/>
      <c r="AY52" s="80"/>
      <c r="BB52" s="81"/>
      <c r="BE52" s="24"/>
      <c r="BF52" s="23"/>
    </row>
    <row r="53" spans="1:58" ht="15" customHeight="1">
      <c r="A53" s="23" t="s">
        <v>183</v>
      </c>
      <c r="B53" s="23" t="s">
        <v>542</v>
      </c>
      <c r="C53" s="23" t="s">
        <v>57</v>
      </c>
      <c r="D53" s="23">
        <v>52</v>
      </c>
      <c r="E53" s="23">
        <v>1</v>
      </c>
      <c r="G53" s="23" t="s">
        <v>369</v>
      </c>
      <c r="J53" s="23" t="s">
        <v>27</v>
      </c>
      <c r="K53" s="23" t="s">
        <v>201</v>
      </c>
      <c r="N53" s="73">
        <v>2</v>
      </c>
      <c r="O53" s="75"/>
      <c r="P53" s="76"/>
      <c r="Q53" s="77"/>
      <c r="U53" s="75"/>
      <c r="V53" s="78"/>
      <c r="W53" s="79"/>
      <c r="X53" s="80"/>
      <c r="AA53" s="81"/>
      <c r="AB53" s="52" t="s">
        <v>1091</v>
      </c>
      <c r="AD53" s="23" t="s">
        <v>307</v>
      </c>
      <c r="AE53" s="23"/>
      <c r="AF53" s="23" t="s">
        <v>927</v>
      </c>
      <c r="AO53" s="24"/>
      <c r="AP53" s="73"/>
      <c r="AQ53" s="75"/>
      <c r="AR53" s="76"/>
      <c r="AS53" s="77"/>
      <c r="AV53" s="75"/>
      <c r="AW53" s="83"/>
      <c r="AX53" s="84"/>
      <c r="AY53" s="80"/>
      <c r="BB53" s="81"/>
      <c r="BE53" s="24"/>
      <c r="BF53" s="23"/>
    </row>
    <row r="54" spans="1:58" ht="15" customHeight="1">
      <c r="A54" s="23" t="s">
        <v>183</v>
      </c>
      <c r="B54" s="23" t="s">
        <v>543</v>
      </c>
      <c r="C54" s="23" t="s">
        <v>57</v>
      </c>
      <c r="D54" s="23">
        <v>53</v>
      </c>
      <c r="E54" s="23">
        <v>1</v>
      </c>
      <c r="G54" s="23" t="s">
        <v>370</v>
      </c>
      <c r="J54" s="23" t="s">
        <v>312</v>
      </c>
      <c r="K54" s="23" t="s">
        <v>201</v>
      </c>
      <c r="N54" s="73"/>
      <c r="O54" s="75"/>
      <c r="P54" s="76"/>
      <c r="Q54" s="77"/>
      <c r="S54" s="113">
        <v>1</v>
      </c>
      <c r="U54" s="75"/>
      <c r="V54" s="78"/>
      <c r="W54" s="79"/>
      <c r="X54" s="80"/>
      <c r="AA54" s="81"/>
      <c r="AB54" s="52" t="s">
        <v>208</v>
      </c>
      <c r="AD54" s="23" t="s">
        <v>412</v>
      </c>
      <c r="AE54" s="23" t="s">
        <v>928</v>
      </c>
      <c r="AF54" s="23" t="s">
        <v>929</v>
      </c>
      <c r="AO54" s="24"/>
      <c r="AP54" s="73"/>
      <c r="AQ54" s="75"/>
      <c r="AR54" s="76"/>
      <c r="AS54" s="77"/>
      <c r="AV54" s="75"/>
      <c r="AW54" s="83"/>
      <c r="AX54" s="84"/>
      <c r="AY54" s="80"/>
      <c r="BB54" s="81"/>
      <c r="BE54" s="24"/>
      <c r="BF54" s="23"/>
    </row>
    <row r="55" spans="1:58" ht="15" customHeight="1">
      <c r="A55" s="23" t="s">
        <v>183</v>
      </c>
      <c r="B55" s="23" t="s">
        <v>544</v>
      </c>
      <c r="C55" s="23" t="s">
        <v>57</v>
      </c>
      <c r="D55" s="23">
        <v>54</v>
      </c>
      <c r="E55" s="23">
        <v>1</v>
      </c>
      <c r="G55" s="23" t="s">
        <v>360</v>
      </c>
      <c r="H55" s="23" t="s">
        <v>361</v>
      </c>
      <c r="I55" s="23" t="s">
        <v>223</v>
      </c>
      <c r="J55" s="23" t="s">
        <v>257</v>
      </c>
      <c r="K55" s="23" t="s">
        <v>201</v>
      </c>
      <c r="L55" s="23">
        <v>1</v>
      </c>
      <c r="N55" s="73">
        <v>5</v>
      </c>
      <c r="O55" s="75"/>
      <c r="P55" s="76">
        <v>1</v>
      </c>
      <c r="Q55" s="77"/>
      <c r="T55" s="68">
        <v>2</v>
      </c>
      <c r="U55" s="75">
        <v>2</v>
      </c>
      <c r="V55" s="78"/>
      <c r="W55" s="79"/>
      <c r="X55" s="80"/>
      <c r="AA55" s="81"/>
      <c r="AB55" s="52" t="s">
        <v>205</v>
      </c>
      <c r="AC55" s="23" t="s">
        <v>25</v>
      </c>
      <c r="AD55" s="23" t="s">
        <v>362</v>
      </c>
      <c r="AE55" s="23"/>
      <c r="AF55" s="23" t="s">
        <v>363</v>
      </c>
      <c r="AO55" s="24"/>
      <c r="AP55" s="73"/>
      <c r="AQ55" s="75"/>
      <c r="AR55" s="76"/>
      <c r="AS55" s="77"/>
      <c r="AV55" s="75"/>
      <c r="AW55" s="83"/>
      <c r="AX55" s="84"/>
      <c r="AY55" s="80"/>
      <c r="BB55" s="81"/>
      <c r="BE55" s="24"/>
      <c r="BF55" s="23"/>
    </row>
    <row r="56" spans="1:58" ht="15" customHeight="1">
      <c r="A56" s="23" t="s">
        <v>183</v>
      </c>
      <c r="B56" s="23" t="s">
        <v>659</v>
      </c>
      <c r="C56" s="23" t="s">
        <v>57</v>
      </c>
      <c r="D56" s="23">
        <v>55</v>
      </c>
      <c r="E56" s="23">
        <v>1</v>
      </c>
      <c r="G56" s="23" t="s">
        <v>1097</v>
      </c>
      <c r="J56" s="23" t="s">
        <v>257</v>
      </c>
      <c r="K56" s="23" t="s">
        <v>201</v>
      </c>
      <c r="L56" s="23">
        <v>1</v>
      </c>
      <c r="N56" s="73">
        <v>4</v>
      </c>
      <c r="O56" s="75">
        <v>1</v>
      </c>
      <c r="P56" s="76"/>
      <c r="Q56" s="77"/>
      <c r="R56" s="66">
        <v>1</v>
      </c>
      <c r="T56" s="68">
        <v>2</v>
      </c>
      <c r="U56" s="75">
        <v>2</v>
      </c>
      <c r="V56" s="78"/>
      <c r="W56" s="79"/>
      <c r="X56" s="80"/>
      <c r="AA56" s="81"/>
      <c r="AB56" s="52" t="s">
        <v>1085</v>
      </c>
      <c r="AC56" s="23" t="s">
        <v>25</v>
      </c>
      <c r="AD56" s="23" t="s">
        <v>362</v>
      </c>
      <c r="AE56" s="23" t="s">
        <v>661</v>
      </c>
      <c r="AF56" s="23" t="s">
        <v>662</v>
      </c>
      <c r="AO56" s="24"/>
      <c r="AP56" s="73"/>
      <c r="AQ56" s="75"/>
      <c r="AR56" s="76"/>
      <c r="AS56" s="77"/>
      <c r="AV56" s="75"/>
      <c r="AW56" s="83"/>
      <c r="AX56" s="84"/>
      <c r="AY56" s="80"/>
      <c r="BB56" s="81"/>
      <c r="BE56" s="24"/>
      <c r="BF56" s="23"/>
    </row>
    <row r="57" spans="1:58" ht="15" customHeight="1">
      <c r="A57" s="23" t="s">
        <v>183</v>
      </c>
      <c r="B57" s="23" t="s">
        <v>660</v>
      </c>
      <c r="C57" s="23" t="s">
        <v>57</v>
      </c>
      <c r="D57" s="23">
        <v>56</v>
      </c>
      <c r="E57" s="23">
        <v>1</v>
      </c>
      <c r="G57" s="23" t="s">
        <v>663</v>
      </c>
      <c r="J57" s="23" t="s">
        <v>27</v>
      </c>
      <c r="K57" s="23" t="s">
        <v>201</v>
      </c>
      <c r="L57" s="23">
        <v>3</v>
      </c>
      <c r="N57" s="73">
        <v>2</v>
      </c>
      <c r="O57" s="75"/>
      <c r="P57" s="76"/>
      <c r="Q57" s="77"/>
      <c r="U57" s="75"/>
      <c r="V57" s="78"/>
      <c r="W57" s="79"/>
      <c r="X57" s="80"/>
      <c r="AA57" s="81"/>
      <c r="AB57" s="42"/>
      <c r="AD57" s="23" t="s">
        <v>664</v>
      </c>
      <c r="AE57" s="23"/>
      <c r="AF57" s="23" t="s">
        <v>665</v>
      </c>
      <c r="AO57" s="24"/>
      <c r="AP57" s="73"/>
      <c r="AQ57" s="75"/>
      <c r="AR57" s="76"/>
      <c r="AS57" s="77"/>
      <c r="AV57" s="75"/>
      <c r="AW57" s="83"/>
      <c r="AX57" s="84"/>
      <c r="AY57" s="80"/>
      <c r="BB57" s="81"/>
      <c r="BE57" s="24"/>
      <c r="BF57" s="23"/>
    </row>
    <row r="58" spans="1:58" ht="15" customHeight="1">
      <c r="A58" s="23" t="s">
        <v>183</v>
      </c>
      <c r="B58" s="23" t="s">
        <v>545</v>
      </c>
      <c r="C58" s="23" t="s">
        <v>57</v>
      </c>
      <c r="D58" s="23">
        <v>57</v>
      </c>
      <c r="E58" s="23">
        <v>1</v>
      </c>
      <c r="G58" s="23" t="s">
        <v>371</v>
      </c>
      <c r="J58" s="23" t="s">
        <v>27</v>
      </c>
      <c r="K58" s="23" t="s">
        <v>201</v>
      </c>
      <c r="L58" s="23">
        <v>4</v>
      </c>
      <c r="N58" s="73">
        <v>3</v>
      </c>
      <c r="O58" s="75"/>
      <c r="P58" s="76"/>
      <c r="Q58" s="77"/>
      <c r="S58" s="113">
        <v>1</v>
      </c>
      <c r="U58" s="75"/>
      <c r="V58" s="78"/>
      <c r="W58" s="79"/>
      <c r="X58" s="80"/>
      <c r="AA58" s="81"/>
      <c r="AB58" s="52" t="s">
        <v>208</v>
      </c>
      <c r="AD58" s="23" t="s">
        <v>372</v>
      </c>
      <c r="AE58" s="23"/>
      <c r="AF58" s="23" t="s">
        <v>373</v>
      </c>
      <c r="AO58" s="24"/>
      <c r="AP58" s="73"/>
      <c r="AQ58" s="75"/>
      <c r="AR58" s="76"/>
      <c r="AS58" s="77"/>
      <c r="AV58" s="75"/>
      <c r="AW58" s="83"/>
      <c r="AX58" s="84"/>
      <c r="AY58" s="80"/>
      <c r="BB58" s="81"/>
      <c r="BE58" s="24"/>
      <c r="BF58" s="23"/>
    </row>
    <row r="59" spans="1:58" ht="15" customHeight="1">
      <c r="A59" s="23" t="s">
        <v>183</v>
      </c>
      <c r="B59" s="23" t="s">
        <v>546</v>
      </c>
      <c r="C59" s="23" t="s">
        <v>57</v>
      </c>
      <c r="D59" s="23">
        <v>58</v>
      </c>
      <c r="E59" s="23">
        <v>1</v>
      </c>
      <c r="G59" s="23" t="s">
        <v>666</v>
      </c>
      <c r="J59" s="23" t="s">
        <v>257</v>
      </c>
      <c r="K59" s="23" t="s">
        <v>200</v>
      </c>
      <c r="N59" s="73">
        <v>0</v>
      </c>
      <c r="O59" s="75"/>
      <c r="P59" s="76">
        <v>1</v>
      </c>
      <c r="Q59" s="77"/>
      <c r="U59" s="75"/>
      <c r="V59" s="78"/>
      <c r="W59" s="79"/>
      <c r="X59" s="80"/>
      <c r="AA59" s="81"/>
      <c r="AB59" s="52" t="s">
        <v>205</v>
      </c>
      <c r="AD59" s="23" t="s">
        <v>289</v>
      </c>
      <c r="AE59" s="23"/>
      <c r="AF59" s="23" t="s">
        <v>667</v>
      </c>
      <c r="AO59" s="24"/>
      <c r="AP59" s="73"/>
      <c r="AQ59" s="75"/>
      <c r="AR59" s="76"/>
      <c r="AS59" s="77"/>
      <c r="AV59" s="75"/>
      <c r="AW59" s="83"/>
      <c r="AX59" s="84"/>
      <c r="AY59" s="80"/>
      <c r="BB59" s="81"/>
      <c r="BE59" s="24"/>
      <c r="BF59" s="23"/>
    </row>
    <row r="60" spans="1:58" ht="15" customHeight="1">
      <c r="A60" s="23" t="s">
        <v>183</v>
      </c>
      <c r="B60" s="23" t="s">
        <v>547</v>
      </c>
      <c r="C60" s="23" t="s">
        <v>57</v>
      </c>
      <c r="D60" s="23">
        <v>59</v>
      </c>
      <c r="E60" s="23">
        <v>1</v>
      </c>
      <c r="G60" s="23" t="s">
        <v>374</v>
      </c>
      <c r="J60" s="23" t="s">
        <v>257</v>
      </c>
      <c r="K60" s="23" t="s">
        <v>200</v>
      </c>
      <c r="N60" s="73">
        <v>2</v>
      </c>
      <c r="O60" s="75">
        <v>1</v>
      </c>
      <c r="P60" s="76"/>
      <c r="Q60" s="77"/>
      <c r="T60" s="68" t="s">
        <v>38</v>
      </c>
      <c r="U60" s="75">
        <v>2</v>
      </c>
      <c r="V60" s="78"/>
      <c r="W60" s="79"/>
      <c r="X60" s="80"/>
      <c r="AA60" s="81"/>
      <c r="AB60" s="52" t="s">
        <v>204</v>
      </c>
      <c r="AC60" s="23" t="s">
        <v>275</v>
      </c>
      <c r="AD60" s="23" t="s">
        <v>375</v>
      </c>
      <c r="AE60" s="23"/>
      <c r="AF60" s="23" t="s">
        <v>376</v>
      </c>
      <c r="AO60" s="24"/>
      <c r="AP60" s="73"/>
      <c r="AQ60" s="75"/>
      <c r="AR60" s="76"/>
      <c r="AS60" s="77"/>
      <c r="AV60" s="75"/>
      <c r="AW60" s="83"/>
      <c r="AX60" s="84"/>
      <c r="AY60" s="80"/>
      <c r="BB60" s="81"/>
      <c r="BE60" s="24"/>
      <c r="BF60" s="23"/>
    </row>
    <row r="61" spans="1:58" ht="15" customHeight="1">
      <c r="A61" s="23" t="s">
        <v>183</v>
      </c>
      <c r="B61" s="23" t="s">
        <v>548</v>
      </c>
      <c r="C61" s="23" t="s">
        <v>57</v>
      </c>
      <c r="D61" s="23">
        <v>60</v>
      </c>
      <c r="E61" s="23">
        <v>1</v>
      </c>
      <c r="G61" s="23" t="s">
        <v>377</v>
      </c>
      <c r="J61" s="23" t="s">
        <v>257</v>
      </c>
      <c r="K61" s="23" t="s">
        <v>200</v>
      </c>
      <c r="N61" s="73">
        <v>3</v>
      </c>
      <c r="O61" s="75"/>
      <c r="P61" s="76"/>
      <c r="Q61" s="77">
        <v>1</v>
      </c>
      <c r="U61" s="75"/>
      <c r="V61" s="78"/>
      <c r="W61" s="79"/>
      <c r="X61" s="80"/>
      <c r="AA61" s="81"/>
      <c r="AB61" s="52" t="s">
        <v>206</v>
      </c>
      <c r="AC61" s="23" t="s">
        <v>378</v>
      </c>
      <c r="AD61" s="23" t="s">
        <v>279</v>
      </c>
      <c r="AE61" s="23"/>
      <c r="AF61" s="23" t="s">
        <v>379</v>
      </c>
      <c r="AO61" s="24"/>
      <c r="AP61" s="73"/>
      <c r="AQ61" s="75"/>
      <c r="AR61" s="76"/>
      <c r="AS61" s="77"/>
      <c r="AV61" s="75"/>
      <c r="AW61" s="83"/>
      <c r="AX61" s="84"/>
      <c r="AY61" s="80"/>
      <c r="BB61" s="81"/>
      <c r="BE61" s="24"/>
      <c r="BF61" s="23"/>
    </row>
    <row r="62" spans="1:58" ht="15" customHeight="1">
      <c r="A62" s="23" t="s">
        <v>183</v>
      </c>
      <c r="B62" s="23" t="s">
        <v>549</v>
      </c>
      <c r="C62" s="23" t="s">
        <v>57</v>
      </c>
      <c r="D62" s="23">
        <v>61</v>
      </c>
      <c r="E62" s="23">
        <v>1</v>
      </c>
      <c r="G62" s="23" t="s">
        <v>380</v>
      </c>
      <c r="J62" s="23" t="s">
        <v>257</v>
      </c>
      <c r="K62" s="23" t="s">
        <v>200</v>
      </c>
      <c r="N62" s="73">
        <v>1</v>
      </c>
      <c r="O62" s="75"/>
      <c r="P62" s="76">
        <v>1</v>
      </c>
      <c r="Q62" s="77"/>
      <c r="U62" s="75"/>
      <c r="V62" s="78"/>
      <c r="W62" s="79"/>
      <c r="X62" s="80"/>
      <c r="AA62" s="81"/>
      <c r="AB62" s="52" t="s">
        <v>205</v>
      </c>
      <c r="AC62" s="23" t="s">
        <v>378</v>
      </c>
      <c r="AD62" s="23" t="s">
        <v>279</v>
      </c>
      <c r="AE62" s="23"/>
      <c r="AF62" s="23" t="s">
        <v>381</v>
      </c>
      <c r="AO62" s="24"/>
      <c r="AP62" s="73"/>
      <c r="AQ62" s="75"/>
      <c r="AR62" s="76"/>
      <c r="AS62" s="77"/>
      <c r="AV62" s="75"/>
      <c r="AW62" s="83"/>
      <c r="AX62" s="84"/>
      <c r="AY62" s="80"/>
      <c r="BB62" s="81"/>
      <c r="BE62" s="24"/>
      <c r="BF62" s="23"/>
    </row>
    <row r="63" spans="1:58" ht="15" customHeight="1">
      <c r="A63" s="23" t="s">
        <v>183</v>
      </c>
      <c r="B63" s="23" t="s">
        <v>550</v>
      </c>
      <c r="C63" s="23" t="s">
        <v>57</v>
      </c>
      <c r="D63" s="23">
        <v>62</v>
      </c>
      <c r="E63" s="23">
        <v>1</v>
      </c>
      <c r="G63" s="23" t="s">
        <v>382</v>
      </c>
      <c r="J63" s="23" t="s">
        <v>257</v>
      </c>
      <c r="K63" s="23" t="s">
        <v>200</v>
      </c>
      <c r="N63" s="73">
        <v>2</v>
      </c>
      <c r="O63" s="75">
        <v>1</v>
      </c>
      <c r="P63" s="76">
        <v>1</v>
      </c>
      <c r="Q63" s="77"/>
      <c r="U63" s="75"/>
      <c r="V63" s="78"/>
      <c r="W63" s="79"/>
      <c r="X63" s="80"/>
      <c r="AA63" s="81"/>
      <c r="AB63" s="52" t="s">
        <v>1092</v>
      </c>
      <c r="AD63" s="23" t="s">
        <v>289</v>
      </c>
      <c r="AE63" s="23"/>
      <c r="AF63" s="23" t="s">
        <v>383</v>
      </c>
      <c r="AO63" s="24"/>
      <c r="AP63" s="73"/>
      <c r="AQ63" s="75"/>
      <c r="AR63" s="76"/>
      <c r="AS63" s="77"/>
      <c r="AV63" s="75"/>
      <c r="AW63" s="83"/>
      <c r="AX63" s="84"/>
      <c r="AY63" s="80"/>
      <c r="BB63" s="81"/>
      <c r="BE63" s="24"/>
      <c r="BF63" s="23"/>
    </row>
    <row r="64" spans="1:58" ht="15" customHeight="1">
      <c r="A64" s="23" t="s">
        <v>183</v>
      </c>
      <c r="B64" s="23" t="s">
        <v>668</v>
      </c>
      <c r="C64" s="23" t="s">
        <v>57</v>
      </c>
      <c r="D64" s="23">
        <v>63</v>
      </c>
      <c r="E64" s="23">
        <v>1</v>
      </c>
      <c r="G64" s="23" t="s">
        <v>669</v>
      </c>
      <c r="J64" s="23" t="s">
        <v>257</v>
      </c>
      <c r="K64" s="23" t="s">
        <v>200</v>
      </c>
      <c r="N64" s="73">
        <v>1</v>
      </c>
      <c r="O64" s="75">
        <v>1</v>
      </c>
      <c r="P64" s="76"/>
      <c r="Q64" s="77"/>
      <c r="T64" s="68">
        <v>1</v>
      </c>
      <c r="U64" s="75">
        <v>2</v>
      </c>
      <c r="V64" s="78"/>
      <c r="W64" s="79"/>
      <c r="X64" s="80"/>
      <c r="AA64" s="81"/>
      <c r="AB64" s="52" t="s">
        <v>204</v>
      </c>
      <c r="AC64" s="23" t="s">
        <v>25</v>
      </c>
      <c r="AD64" s="23" t="s">
        <v>670</v>
      </c>
      <c r="AE64" s="23"/>
      <c r="AF64" s="23" t="s">
        <v>671</v>
      </c>
      <c r="AO64" s="24"/>
      <c r="AP64" s="73"/>
      <c r="AQ64" s="75"/>
      <c r="AR64" s="76"/>
      <c r="AS64" s="77"/>
      <c r="AV64" s="75"/>
      <c r="AW64" s="83"/>
      <c r="AX64" s="84"/>
      <c r="AY64" s="80"/>
      <c r="BB64" s="81"/>
      <c r="BE64" s="24"/>
      <c r="BF64" s="23"/>
    </row>
    <row r="65" spans="1:58" ht="15" customHeight="1">
      <c r="A65" s="23" t="s">
        <v>183</v>
      </c>
      <c r="B65" s="23" t="s">
        <v>551</v>
      </c>
      <c r="C65" s="23" t="s">
        <v>57</v>
      </c>
      <c r="D65" s="23">
        <v>64</v>
      </c>
      <c r="E65" s="23">
        <v>1</v>
      </c>
      <c r="G65" s="23" t="s">
        <v>384</v>
      </c>
      <c r="J65" s="23" t="s">
        <v>27</v>
      </c>
      <c r="K65" s="23" t="s">
        <v>200</v>
      </c>
      <c r="N65" s="73">
        <v>0</v>
      </c>
      <c r="O65" s="75">
        <v>1</v>
      </c>
      <c r="P65" s="76">
        <v>1</v>
      </c>
      <c r="Q65" s="77"/>
      <c r="U65" s="75"/>
      <c r="V65" s="78"/>
      <c r="W65" s="79"/>
      <c r="X65" s="80"/>
      <c r="AA65" s="81"/>
      <c r="AB65" s="52" t="s">
        <v>1092</v>
      </c>
      <c r="AD65" s="23" t="s">
        <v>304</v>
      </c>
      <c r="AE65" s="23"/>
      <c r="AF65" s="23" t="s">
        <v>385</v>
      </c>
      <c r="AO65" s="24"/>
      <c r="AP65" s="73"/>
      <c r="AQ65" s="75"/>
      <c r="AR65" s="76"/>
      <c r="AS65" s="77"/>
      <c r="AV65" s="75"/>
      <c r="AW65" s="83"/>
      <c r="AX65" s="84"/>
      <c r="AY65" s="80"/>
      <c r="BB65" s="81"/>
      <c r="BE65" s="24"/>
      <c r="BF65" s="23"/>
    </row>
    <row r="66" spans="1:58" ht="15" customHeight="1">
      <c r="A66" s="23" t="s">
        <v>183</v>
      </c>
      <c r="B66" s="23" t="s">
        <v>672</v>
      </c>
      <c r="C66" s="23" t="s">
        <v>57</v>
      </c>
      <c r="D66" s="23">
        <v>65</v>
      </c>
      <c r="E66" s="23">
        <v>1</v>
      </c>
      <c r="G66" s="23" t="s">
        <v>673</v>
      </c>
      <c r="J66" s="23" t="s">
        <v>27</v>
      </c>
      <c r="K66" s="23" t="s">
        <v>200</v>
      </c>
      <c r="N66" s="73">
        <v>1</v>
      </c>
      <c r="O66" s="75"/>
      <c r="P66" s="76"/>
      <c r="Q66" s="77"/>
      <c r="S66" s="113">
        <v>1</v>
      </c>
      <c r="U66" s="75"/>
      <c r="V66" s="78"/>
      <c r="W66" s="79"/>
      <c r="X66" s="80"/>
      <c r="AA66" s="81"/>
      <c r="AB66" s="52" t="s">
        <v>208</v>
      </c>
      <c r="AD66" s="23" t="s">
        <v>674</v>
      </c>
      <c r="AE66" s="23"/>
      <c r="AF66" s="23" t="s">
        <v>675</v>
      </c>
      <c r="AO66" s="24"/>
      <c r="AP66" s="73"/>
      <c r="AQ66" s="75"/>
      <c r="AR66" s="76"/>
      <c r="AS66" s="77"/>
      <c r="AV66" s="75"/>
      <c r="AW66" s="83"/>
      <c r="AX66" s="84"/>
      <c r="AY66" s="80"/>
      <c r="BB66" s="81"/>
      <c r="BE66" s="24"/>
      <c r="BF66" s="23"/>
    </row>
    <row r="67" spans="1:58" ht="15" customHeight="1">
      <c r="A67" s="23" t="s">
        <v>183</v>
      </c>
      <c r="B67" s="23" t="s">
        <v>552</v>
      </c>
      <c r="C67" s="23" t="s">
        <v>57</v>
      </c>
      <c r="D67" s="23">
        <v>66</v>
      </c>
      <c r="E67" s="23">
        <v>1</v>
      </c>
      <c r="G67" s="23" t="s">
        <v>386</v>
      </c>
      <c r="J67" s="23" t="s">
        <v>27</v>
      </c>
      <c r="K67" s="23" t="s">
        <v>200</v>
      </c>
      <c r="N67" s="73">
        <v>2</v>
      </c>
      <c r="O67" s="75">
        <v>1</v>
      </c>
      <c r="P67" s="76"/>
      <c r="Q67" s="77"/>
      <c r="R67" s="66">
        <v>1</v>
      </c>
      <c r="U67" s="75"/>
      <c r="V67" s="78"/>
      <c r="W67" s="79"/>
      <c r="X67" s="80"/>
      <c r="AA67" s="81"/>
      <c r="AB67" s="52" t="s">
        <v>1085</v>
      </c>
      <c r="AD67" s="23" t="s">
        <v>387</v>
      </c>
      <c r="AE67" s="23"/>
      <c r="AF67" s="23" t="s">
        <v>388</v>
      </c>
      <c r="AO67" s="24"/>
      <c r="AP67" s="73"/>
      <c r="AQ67" s="75"/>
      <c r="AR67" s="76"/>
      <c r="AS67" s="77"/>
      <c r="AV67" s="75"/>
      <c r="AW67" s="83"/>
      <c r="AX67" s="84"/>
      <c r="AY67" s="80"/>
      <c r="BB67" s="81"/>
      <c r="BE67" s="24"/>
      <c r="BF67" s="23"/>
    </row>
    <row r="68" spans="1:58" ht="15" customHeight="1">
      <c r="A68" s="23" t="s">
        <v>183</v>
      </c>
      <c r="B68" s="23" t="s">
        <v>676</v>
      </c>
      <c r="C68" s="23" t="s">
        <v>57</v>
      </c>
      <c r="D68" s="23">
        <v>67</v>
      </c>
      <c r="E68" s="23">
        <v>1</v>
      </c>
      <c r="G68" s="23" t="s">
        <v>678</v>
      </c>
      <c r="J68" s="23" t="s">
        <v>312</v>
      </c>
      <c r="K68" s="23" t="s">
        <v>200</v>
      </c>
      <c r="N68" s="73"/>
      <c r="O68" s="75">
        <v>1</v>
      </c>
      <c r="P68" s="76"/>
      <c r="Q68" s="77"/>
      <c r="U68" s="75"/>
      <c r="V68" s="78"/>
      <c r="W68" s="79"/>
      <c r="X68" s="80"/>
      <c r="AA68" s="81"/>
      <c r="AB68" s="52" t="s">
        <v>204</v>
      </c>
      <c r="AD68" s="23" t="s">
        <v>412</v>
      </c>
      <c r="AE68" s="23"/>
      <c r="AF68" s="23" t="s">
        <v>679</v>
      </c>
      <c r="AO68" s="24"/>
      <c r="AP68" s="73"/>
      <c r="AQ68" s="75"/>
      <c r="AR68" s="76"/>
      <c r="AS68" s="77"/>
      <c r="AV68" s="75"/>
      <c r="AW68" s="83"/>
      <c r="AX68" s="84"/>
      <c r="AY68" s="80"/>
      <c r="BB68" s="81"/>
      <c r="BE68" s="24"/>
      <c r="BF68" s="23"/>
    </row>
    <row r="69" spans="1:58" ht="15" customHeight="1">
      <c r="A69" s="23" t="s">
        <v>183</v>
      </c>
      <c r="B69" s="23" t="s">
        <v>677</v>
      </c>
      <c r="C69" s="23" t="s">
        <v>57</v>
      </c>
      <c r="D69" s="23">
        <v>68</v>
      </c>
      <c r="E69" s="23">
        <v>1</v>
      </c>
      <c r="G69" s="23" t="s">
        <v>680</v>
      </c>
      <c r="J69" s="23" t="s">
        <v>27</v>
      </c>
      <c r="K69" s="23" t="s">
        <v>200</v>
      </c>
      <c r="L69" s="23">
        <v>1</v>
      </c>
      <c r="N69" s="73">
        <v>1</v>
      </c>
      <c r="O69" s="75">
        <v>1</v>
      </c>
      <c r="P69" s="76"/>
      <c r="Q69" s="77">
        <v>1</v>
      </c>
      <c r="U69" s="75"/>
      <c r="V69" s="78"/>
      <c r="W69" s="79"/>
      <c r="X69" s="80"/>
      <c r="AA69" s="81"/>
      <c r="AB69" s="52" t="s">
        <v>1083</v>
      </c>
      <c r="AD69" s="23" t="s">
        <v>279</v>
      </c>
      <c r="AE69" s="23" t="s">
        <v>681</v>
      </c>
      <c r="AF69" s="23" t="s">
        <v>682</v>
      </c>
      <c r="AO69" s="24"/>
      <c r="AP69" s="73"/>
      <c r="AQ69" s="75"/>
      <c r="AR69" s="76"/>
      <c r="AS69" s="77"/>
      <c r="AV69" s="75"/>
      <c r="AW69" s="83"/>
      <c r="AX69" s="84"/>
      <c r="AY69" s="80"/>
      <c r="BB69" s="81"/>
      <c r="BE69" s="24"/>
      <c r="BF69" s="23"/>
    </row>
    <row r="70" spans="1:58" ht="15" customHeight="1">
      <c r="A70" s="23" t="s">
        <v>183</v>
      </c>
      <c r="B70" s="23" t="s">
        <v>553</v>
      </c>
      <c r="C70" s="23" t="s">
        <v>57</v>
      </c>
      <c r="D70" s="23">
        <v>69</v>
      </c>
      <c r="E70" s="23">
        <v>1</v>
      </c>
      <c r="G70" s="23" t="s">
        <v>386</v>
      </c>
      <c r="J70" s="23" t="s">
        <v>27</v>
      </c>
      <c r="K70" s="23" t="s">
        <v>200</v>
      </c>
      <c r="L70" s="23">
        <v>2</v>
      </c>
      <c r="N70" s="73">
        <v>1</v>
      </c>
      <c r="O70" s="75">
        <v>1</v>
      </c>
      <c r="P70" s="76"/>
      <c r="Q70" s="77"/>
      <c r="R70" s="66">
        <v>1</v>
      </c>
      <c r="U70" s="75"/>
      <c r="V70" s="78"/>
      <c r="W70" s="79"/>
      <c r="X70" s="80"/>
      <c r="AA70" s="81"/>
      <c r="AB70" s="52" t="s">
        <v>1085</v>
      </c>
      <c r="AD70" s="23" t="s">
        <v>387</v>
      </c>
      <c r="AE70" s="23"/>
      <c r="AF70" s="23" t="s">
        <v>389</v>
      </c>
      <c r="AO70" s="24"/>
      <c r="AP70" s="73"/>
      <c r="AQ70" s="75"/>
      <c r="AR70" s="76"/>
      <c r="AS70" s="77"/>
      <c r="AV70" s="75"/>
      <c r="AW70" s="83"/>
      <c r="AX70" s="84"/>
      <c r="AY70" s="80"/>
      <c r="BB70" s="81"/>
      <c r="BE70" s="24"/>
      <c r="BF70" s="23"/>
    </row>
    <row r="71" spans="1:58" ht="15" customHeight="1">
      <c r="A71" s="23" t="s">
        <v>183</v>
      </c>
      <c r="B71" s="23" t="s">
        <v>683</v>
      </c>
      <c r="C71" s="23" t="s">
        <v>57</v>
      </c>
      <c r="D71" s="23">
        <v>70</v>
      </c>
      <c r="E71" s="23">
        <v>1</v>
      </c>
      <c r="G71" s="23" t="s">
        <v>684</v>
      </c>
      <c r="J71" s="23" t="s">
        <v>257</v>
      </c>
      <c r="K71" s="23" t="s">
        <v>200</v>
      </c>
      <c r="L71" s="23">
        <v>3</v>
      </c>
      <c r="N71" s="73">
        <v>4</v>
      </c>
      <c r="O71" s="75">
        <v>1</v>
      </c>
      <c r="P71" s="76">
        <v>1</v>
      </c>
      <c r="Q71" s="77"/>
      <c r="U71" s="75"/>
      <c r="V71" s="78"/>
      <c r="W71" s="79"/>
      <c r="X71" s="80"/>
      <c r="AA71" s="81"/>
      <c r="AB71" s="52" t="s">
        <v>1092</v>
      </c>
      <c r="AC71" s="23" t="s">
        <v>258</v>
      </c>
      <c r="AD71" s="23" t="s">
        <v>269</v>
      </c>
      <c r="AE71" s="23" t="s">
        <v>685</v>
      </c>
      <c r="AF71" s="23" t="s">
        <v>686</v>
      </c>
      <c r="AO71" s="24"/>
      <c r="AP71" s="73"/>
      <c r="AQ71" s="75"/>
      <c r="AR71" s="76"/>
      <c r="AS71" s="77"/>
      <c r="AV71" s="75"/>
      <c r="AW71" s="83"/>
      <c r="AX71" s="84"/>
      <c r="AY71" s="80"/>
      <c r="BB71" s="81"/>
      <c r="BE71" s="24"/>
      <c r="BF71" s="23"/>
    </row>
    <row r="72" spans="1:58" ht="15" customHeight="1">
      <c r="A72" s="23" t="s">
        <v>183</v>
      </c>
      <c r="B72" s="23" t="s">
        <v>554</v>
      </c>
      <c r="C72" s="23" t="s">
        <v>57</v>
      </c>
      <c r="D72" s="23">
        <v>71</v>
      </c>
      <c r="E72" s="23">
        <v>1</v>
      </c>
      <c r="G72" s="23" t="s">
        <v>390</v>
      </c>
      <c r="J72" s="23" t="s">
        <v>257</v>
      </c>
      <c r="K72" s="23" t="s">
        <v>200</v>
      </c>
      <c r="L72" s="23">
        <v>4</v>
      </c>
      <c r="N72" s="73">
        <v>2</v>
      </c>
      <c r="O72" s="75"/>
      <c r="P72" s="76"/>
      <c r="Q72" s="77"/>
      <c r="S72" s="113">
        <v>1</v>
      </c>
      <c r="U72" s="75"/>
      <c r="V72" s="78"/>
      <c r="W72" s="79"/>
      <c r="X72" s="80"/>
      <c r="AA72" s="81"/>
      <c r="AB72" s="52" t="s">
        <v>208</v>
      </c>
      <c r="AC72" s="23" t="s">
        <v>258</v>
      </c>
      <c r="AD72" s="23" t="s">
        <v>276</v>
      </c>
      <c r="AE72" s="23"/>
      <c r="AF72" s="23" t="s">
        <v>391</v>
      </c>
      <c r="AO72" s="24"/>
      <c r="AP72" s="73"/>
      <c r="AQ72" s="75"/>
      <c r="AR72" s="76"/>
      <c r="AS72" s="77"/>
      <c r="AV72" s="75"/>
      <c r="AW72" s="83"/>
      <c r="AX72" s="84"/>
      <c r="AY72" s="80"/>
      <c r="BB72" s="81"/>
      <c r="BE72" s="24"/>
      <c r="BF72" s="23"/>
    </row>
    <row r="73" spans="1:58" ht="15" customHeight="1">
      <c r="A73" s="23" t="s">
        <v>183</v>
      </c>
      <c r="B73" s="23" t="s">
        <v>555</v>
      </c>
      <c r="C73" s="23" t="s">
        <v>57</v>
      </c>
      <c r="D73" s="23">
        <v>72</v>
      </c>
      <c r="E73" s="23">
        <v>1</v>
      </c>
      <c r="G73" s="23" t="s">
        <v>392</v>
      </c>
      <c r="J73" s="23" t="s">
        <v>257</v>
      </c>
      <c r="K73" s="23" t="s">
        <v>202</v>
      </c>
      <c r="N73" s="73">
        <v>0</v>
      </c>
      <c r="O73" s="75"/>
      <c r="P73" s="76"/>
      <c r="Q73" s="77">
        <v>1</v>
      </c>
      <c r="T73" s="68">
        <v>2</v>
      </c>
      <c r="U73" s="75" t="s">
        <v>38</v>
      </c>
      <c r="V73" s="78"/>
      <c r="W73" s="79"/>
      <c r="X73" s="80"/>
      <c r="AA73" s="81"/>
      <c r="AB73" s="52" t="s">
        <v>206</v>
      </c>
      <c r="AC73" s="23" t="s">
        <v>393</v>
      </c>
      <c r="AD73" s="23" t="s">
        <v>394</v>
      </c>
      <c r="AE73" s="23"/>
      <c r="AO73" s="24"/>
      <c r="AP73" s="73"/>
      <c r="AQ73" s="75"/>
      <c r="AR73" s="76"/>
      <c r="AS73" s="77"/>
      <c r="AV73" s="75"/>
      <c r="AW73" s="83"/>
      <c r="AX73" s="84"/>
      <c r="AY73" s="80"/>
      <c r="BB73" s="81"/>
      <c r="BE73" s="24"/>
      <c r="BF73" s="23"/>
    </row>
    <row r="74" spans="1:58" ht="15" customHeight="1">
      <c r="A74" s="23" t="s">
        <v>183</v>
      </c>
      <c r="B74" s="23" t="s">
        <v>556</v>
      </c>
      <c r="C74" s="23" t="s">
        <v>57</v>
      </c>
      <c r="D74" s="23">
        <v>73</v>
      </c>
      <c r="E74" s="23">
        <v>1</v>
      </c>
      <c r="G74" s="23" t="s">
        <v>395</v>
      </c>
      <c r="J74" s="23" t="s">
        <v>257</v>
      </c>
      <c r="K74" s="23" t="s">
        <v>202</v>
      </c>
      <c r="N74" s="73">
        <v>1</v>
      </c>
      <c r="O74" s="75"/>
      <c r="P74" s="76">
        <v>1</v>
      </c>
      <c r="Q74" s="77"/>
      <c r="U74" s="75"/>
      <c r="V74" s="78"/>
      <c r="W74" s="79"/>
      <c r="X74" s="80"/>
      <c r="AA74" s="81"/>
      <c r="AB74" s="52" t="s">
        <v>205</v>
      </c>
      <c r="AD74" s="23" t="s">
        <v>289</v>
      </c>
      <c r="AE74" s="23"/>
      <c r="AF74" s="23" t="s">
        <v>396</v>
      </c>
      <c r="AO74" s="24"/>
      <c r="AP74" s="73"/>
      <c r="AQ74" s="75"/>
      <c r="AR74" s="76"/>
      <c r="AS74" s="77"/>
      <c r="AV74" s="75"/>
      <c r="AW74" s="83"/>
      <c r="AX74" s="84"/>
      <c r="AY74" s="80"/>
      <c r="BB74" s="81"/>
      <c r="BE74" s="24"/>
      <c r="BF74" s="23"/>
    </row>
    <row r="75" spans="1:58" ht="15" customHeight="1">
      <c r="A75" s="23" t="s">
        <v>183</v>
      </c>
      <c r="B75" s="23" t="s">
        <v>557</v>
      </c>
      <c r="C75" s="23" t="s">
        <v>57</v>
      </c>
      <c r="D75" s="23">
        <v>74</v>
      </c>
      <c r="E75" s="23">
        <v>1</v>
      </c>
      <c r="G75" s="23" t="s">
        <v>397</v>
      </c>
      <c r="J75" s="23" t="s">
        <v>257</v>
      </c>
      <c r="K75" s="23" t="s">
        <v>202</v>
      </c>
      <c r="N75" s="73">
        <v>2</v>
      </c>
      <c r="O75" s="75"/>
      <c r="P75" s="76"/>
      <c r="Q75" s="77">
        <v>1</v>
      </c>
      <c r="U75" s="75"/>
      <c r="V75" s="78"/>
      <c r="W75" s="79"/>
      <c r="X75" s="80"/>
      <c r="AA75" s="81"/>
      <c r="AB75" s="52" t="s">
        <v>206</v>
      </c>
      <c r="AC75" s="23" t="s">
        <v>322</v>
      </c>
      <c r="AD75" s="23" t="s">
        <v>298</v>
      </c>
      <c r="AE75" s="23"/>
      <c r="AF75" s="23" t="s">
        <v>398</v>
      </c>
      <c r="AO75" s="24"/>
      <c r="AP75" s="73"/>
      <c r="AQ75" s="75"/>
      <c r="AR75" s="76"/>
      <c r="AS75" s="77"/>
      <c r="AV75" s="75"/>
      <c r="AW75" s="83"/>
      <c r="AX75" s="84"/>
      <c r="AY75" s="80"/>
      <c r="BB75" s="81"/>
      <c r="BE75" s="24"/>
      <c r="BF75" s="23"/>
    </row>
    <row r="76" spans="1:58" ht="15" customHeight="1">
      <c r="A76" s="23" t="s">
        <v>183</v>
      </c>
      <c r="B76" s="23" t="s">
        <v>558</v>
      </c>
      <c r="C76" s="23" t="s">
        <v>57</v>
      </c>
      <c r="D76" s="23">
        <v>75</v>
      </c>
      <c r="E76" s="23">
        <v>1</v>
      </c>
      <c r="G76" s="23" t="s">
        <v>399</v>
      </c>
      <c r="J76" s="23" t="s">
        <v>257</v>
      </c>
      <c r="K76" s="23" t="s">
        <v>202</v>
      </c>
      <c r="N76" s="73">
        <v>1</v>
      </c>
      <c r="O76" s="75"/>
      <c r="P76" s="76"/>
      <c r="Q76" s="77"/>
      <c r="S76" s="113">
        <v>1</v>
      </c>
      <c r="U76" s="75"/>
      <c r="V76" s="78"/>
      <c r="W76" s="79"/>
      <c r="X76" s="80"/>
      <c r="AA76" s="81"/>
      <c r="AB76" s="52" t="s">
        <v>208</v>
      </c>
      <c r="AC76" s="23" t="s">
        <v>275</v>
      </c>
      <c r="AD76" s="23" t="s">
        <v>375</v>
      </c>
      <c r="AE76" s="23"/>
      <c r="AF76" s="23" t="s">
        <v>400</v>
      </c>
      <c r="AO76" s="24"/>
      <c r="AP76" s="73"/>
      <c r="AQ76" s="75"/>
      <c r="AR76" s="76"/>
      <c r="AS76" s="77"/>
      <c r="AV76" s="75"/>
      <c r="AW76" s="83"/>
      <c r="AX76" s="84"/>
      <c r="AY76" s="80"/>
      <c r="BB76" s="81"/>
      <c r="BE76" s="24"/>
      <c r="BF76" s="23"/>
    </row>
    <row r="77" spans="1:58" ht="15" customHeight="1">
      <c r="A77" s="23" t="s">
        <v>183</v>
      </c>
      <c r="B77" s="23" t="s">
        <v>559</v>
      </c>
      <c r="C77" s="23" t="s">
        <v>57</v>
      </c>
      <c r="D77" s="23">
        <v>76</v>
      </c>
      <c r="E77" s="23">
        <v>1</v>
      </c>
      <c r="G77" s="23" t="s">
        <v>401</v>
      </c>
      <c r="J77" s="23" t="s">
        <v>257</v>
      </c>
      <c r="K77" s="23" t="s">
        <v>202</v>
      </c>
      <c r="N77" s="73">
        <v>1</v>
      </c>
      <c r="O77" s="75"/>
      <c r="P77" s="76"/>
      <c r="Q77" s="77"/>
      <c r="R77" s="66">
        <v>1</v>
      </c>
      <c r="T77" s="68">
        <v>1</v>
      </c>
      <c r="U77" s="75" t="s">
        <v>38</v>
      </c>
      <c r="V77" s="78"/>
      <c r="W77" s="79"/>
      <c r="X77" s="80"/>
      <c r="AA77" s="81"/>
      <c r="AB77" s="52" t="s">
        <v>207</v>
      </c>
      <c r="AC77" s="23" t="s">
        <v>25</v>
      </c>
      <c r="AD77" s="23" t="s">
        <v>301</v>
      </c>
      <c r="AE77" s="23"/>
      <c r="AF77" s="23" t="s">
        <v>402</v>
      </c>
      <c r="AO77" s="24"/>
      <c r="AP77" s="73"/>
      <c r="AQ77" s="75"/>
      <c r="AR77" s="76"/>
      <c r="AS77" s="77"/>
      <c r="AV77" s="75"/>
      <c r="AW77" s="83"/>
      <c r="AX77" s="84"/>
      <c r="AY77" s="80"/>
      <c r="BB77" s="81"/>
      <c r="BE77" s="24"/>
      <c r="BF77" s="23"/>
    </row>
    <row r="78" spans="1:58" ht="15" customHeight="1">
      <c r="A78" s="23" t="s">
        <v>183</v>
      </c>
      <c r="B78" s="23" t="s">
        <v>560</v>
      </c>
      <c r="C78" s="23" t="s">
        <v>57</v>
      </c>
      <c r="D78" s="23">
        <v>77</v>
      </c>
      <c r="E78" s="23">
        <v>1</v>
      </c>
      <c r="G78" s="23" t="s">
        <v>403</v>
      </c>
      <c r="J78" s="23" t="s">
        <v>257</v>
      </c>
      <c r="K78" s="23" t="s">
        <v>202</v>
      </c>
      <c r="N78" s="73">
        <v>2</v>
      </c>
      <c r="O78" s="75">
        <v>1</v>
      </c>
      <c r="P78" s="76"/>
      <c r="Q78" s="77"/>
      <c r="R78" s="66">
        <v>1</v>
      </c>
      <c r="U78" s="75"/>
      <c r="V78" s="78"/>
      <c r="W78" s="79"/>
      <c r="X78" s="80"/>
      <c r="AA78" s="81"/>
      <c r="AB78" s="52" t="s">
        <v>1085</v>
      </c>
      <c r="AD78" s="23" t="s">
        <v>289</v>
      </c>
      <c r="AE78" s="23"/>
      <c r="AF78" s="23" t="s">
        <v>404</v>
      </c>
      <c r="AO78" s="24"/>
      <c r="AP78" s="73"/>
      <c r="AQ78" s="75"/>
      <c r="AR78" s="76"/>
      <c r="AS78" s="77"/>
      <c r="AV78" s="75"/>
      <c r="AW78" s="83"/>
      <c r="AX78" s="84"/>
      <c r="AY78" s="80"/>
      <c r="BB78" s="81"/>
      <c r="BE78" s="24"/>
      <c r="BF78" s="23"/>
    </row>
    <row r="79" spans="1:58" ht="15" customHeight="1">
      <c r="A79" s="23" t="s">
        <v>183</v>
      </c>
      <c r="B79" s="23" t="s">
        <v>561</v>
      </c>
      <c r="C79" s="23" t="s">
        <v>57</v>
      </c>
      <c r="D79" s="23">
        <v>78</v>
      </c>
      <c r="E79" s="23">
        <v>1</v>
      </c>
      <c r="G79" s="23" t="s">
        <v>405</v>
      </c>
      <c r="J79" s="23" t="s">
        <v>27</v>
      </c>
      <c r="K79" s="23" t="s">
        <v>202</v>
      </c>
      <c r="N79" s="73">
        <v>5</v>
      </c>
      <c r="O79" s="75">
        <v>1</v>
      </c>
      <c r="P79" s="76"/>
      <c r="Q79" s="77"/>
      <c r="S79" s="113">
        <v>1</v>
      </c>
      <c r="U79" s="75"/>
      <c r="V79" s="78"/>
      <c r="W79" s="79"/>
      <c r="X79" s="80"/>
      <c r="AA79" s="81"/>
      <c r="AB79" s="52" t="s">
        <v>1086</v>
      </c>
      <c r="AD79" s="23" t="s">
        <v>307</v>
      </c>
      <c r="AE79" s="23"/>
      <c r="AF79" s="23" t="s">
        <v>406</v>
      </c>
      <c r="AO79" s="24"/>
      <c r="AP79" s="73"/>
      <c r="AQ79" s="75"/>
      <c r="AR79" s="76"/>
      <c r="AS79" s="77"/>
      <c r="AV79" s="75"/>
      <c r="AW79" s="83"/>
      <c r="AX79" s="84"/>
      <c r="AY79" s="80"/>
      <c r="BB79" s="81"/>
      <c r="BE79" s="24"/>
      <c r="BF79" s="23"/>
    </row>
    <row r="80" spans="1:58" ht="15" customHeight="1">
      <c r="A80" s="23" t="s">
        <v>183</v>
      </c>
      <c r="B80" s="23" t="s">
        <v>562</v>
      </c>
      <c r="C80" s="23" t="s">
        <v>57</v>
      </c>
      <c r="D80" s="23">
        <v>79</v>
      </c>
      <c r="E80" s="23">
        <v>1</v>
      </c>
      <c r="G80" s="23" t="s">
        <v>407</v>
      </c>
      <c r="J80" s="23" t="s">
        <v>27</v>
      </c>
      <c r="K80" s="23" t="s">
        <v>202</v>
      </c>
      <c r="N80" s="73">
        <v>2</v>
      </c>
      <c r="O80" s="75"/>
      <c r="P80" s="76">
        <v>2</v>
      </c>
      <c r="Q80" s="77"/>
      <c r="U80" s="75"/>
      <c r="V80" s="78"/>
      <c r="W80" s="79"/>
      <c r="X80" s="80"/>
      <c r="AA80" s="81"/>
      <c r="AB80" s="52" t="s">
        <v>1084</v>
      </c>
      <c r="AD80" s="23" t="s">
        <v>372</v>
      </c>
      <c r="AE80" s="23"/>
      <c r="AF80" s="23" t="s">
        <v>408</v>
      </c>
      <c r="AO80" s="24"/>
      <c r="AP80" s="73"/>
      <c r="AQ80" s="75"/>
      <c r="AR80" s="76"/>
      <c r="AS80" s="77"/>
      <c r="AV80" s="75"/>
      <c r="AW80" s="83"/>
      <c r="AX80" s="84"/>
      <c r="AY80" s="80"/>
      <c r="BB80" s="81"/>
      <c r="BE80" s="24"/>
      <c r="BF80" s="23"/>
    </row>
    <row r="81" spans="1:58" ht="15" customHeight="1">
      <c r="A81" s="23" t="s">
        <v>183</v>
      </c>
      <c r="B81" s="23" t="s">
        <v>563</v>
      </c>
      <c r="C81" s="23" t="s">
        <v>57</v>
      </c>
      <c r="D81" s="23">
        <v>80</v>
      </c>
      <c r="E81" s="23">
        <v>1</v>
      </c>
      <c r="G81" s="23" t="s">
        <v>409</v>
      </c>
      <c r="J81" s="23" t="s">
        <v>27</v>
      </c>
      <c r="K81" s="23" t="s">
        <v>202</v>
      </c>
      <c r="N81" s="73">
        <v>1</v>
      </c>
      <c r="O81" s="75"/>
      <c r="P81" s="76"/>
      <c r="Q81" s="77"/>
      <c r="U81" s="75"/>
      <c r="V81" s="78"/>
      <c r="W81" s="79"/>
      <c r="X81" s="80"/>
      <c r="AA81" s="81"/>
      <c r="AB81" s="42"/>
      <c r="AD81" s="23" t="s">
        <v>372</v>
      </c>
      <c r="AE81" s="23"/>
      <c r="AF81" s="23" t="s">
        <v>410</v>
      </c>
      <c r="AO81" s="24"/>
      <c r="AP81" s="73"/>
      <c r="AQ81" s="75"/>
      <c r="AR81" s="76"/>
      <c r="AS81" s="77"/>
      <c r="AV81" s="75"/>
      <c r="AW81" s="83"/>
      <c r="AX81" s="84"/>
      <c r="AY81" s="80"/>
      <c r="BB81" s="81"/>
      <c r="BE81" s="24"/>
      <c r="BF81" s="23"/>
    </row>
    <row r="82" spans="1:58" ht="15" customHeight="1">
      <c r="A82" s="23" t="s">
        <v>183</v>
      </c>
      <c r="B82" s="23" t="s">
        <v>564</v>
      </c>
      <c r="C82" s="23" t="s">
        <v>57</v>
      </c>
      <c r="D82" s="23">
        <v>81</v>
      </c>
      <c r="E82" s="23">
        <v>1</v>
      </c>
      <c r="G82" s="23" t="s">
        <v>411</v>
      </c>
      <c r="J82" s="23" t="s">
        <v>312</v>
      </c>
      <c r="K82" s="23" t="s">
        <v>202</v>
      </c>
      <c r="N82" s="73"/>
      <c r="O82" s="75"/>
      <c r="P82" s="76"/>
      <c r="Q82" s="77"/>
      <c r="R82" s="66">
        <v>1</v>
      </c>
      <c r="U82" s="75"/>
      <c r="V82" s="78"/>
      <c r="W82" s="79"/>
      <c r="X82" s="80"/>
      <c r="AA82" s="81"/>
      <c r="AB82" s="52" t="s">
        <v>207</v>
      </c>
      <c r="AD82" s="23" t="s">
        <v>412</v>
      </c>
      <c r="AE82" s="23"/>
      <c r="AF82" s="23" t="s">
        <v>413</v>
      </c>
      <c r="AO82" s="24"/>
      <c r="AP82" s="73"/>
      <c r="AQ82" s="75"/>
      <c r="AR82" s="76"/>
      <c r="AS82" s="77"/>
      <c r="AV82" s="75"/>
      <c r="AW82" s="83"/>
      <c r="AX82" s="84"/>
      <c r="AY82" s="80"/>
      <c r="BB82" s="81"/>
      <c r="BE82" s="24"/>
      <c r="BF82" s="23"/>
    </row>
    <row r="83" spans="1:58" ht="15" customHeight="1">
      <c r="A83" s="23" t="s">
        <v>183</v>
      </c>
      <c r="B83" s="23" t="s">
        <v>687</v>
      </c>
      <c r="C83" s="23" t="s">
        <v>57</v>
      </c>
      <c r="D83" s="23">
        <v>82</v>
      </c>
      <c r="E83" s="23">
        <v>1</v>
      </c>
      <c r="G83" s="23" t="s">
        <v>688</v>
      </c>
      <c r="H83" s="23" t="s">
        <v>689</v>
      </c>
      <c r="I83" s="23" t="s">
        <v>223</v>
      </c>
      <c r="J83" s="23" t="s">
        <v>257</v>
      </c>
      <c r="K83" s="23" t="s">
        <v>202</v>
      </c>
      <c r="L83" s="23">
        <v>1</v>
      </c>
      <c r="N83" s="73">
        <v>5</v>
      </c>
      <c r="O83" s="75">
        <v>1</v>
      </c>
      <c r="P83" s="76"/>
      <c r="Q83" s="77"/>
      <c r="T83" s="68">
        <v>1</v>
      </c>
      <c r="U83" s="75">
        <v>4</v>
      </c>
      <c r="V83" s="78"/>
      <c r="W83" s="79"/>
      <c r="X83" s="80"/>
      <c r="AA83" s="81"/>
      <c r="AB83" s="52" t="s">
        <v>204</v>
      </c>
      <c r="AC83" s="23" t="s">
        <v>25</v>
      </c>
      <c r="AD83" s="23" t="s">
        <v>458</v>
      </c>
      <c r="AE83" s="23"/>
      <c r="AF83" s="23" t="s">
        <v>690</v>
      </c>
      <c r="AO83" s="24"/>
      <c r="AP83" s="73"/>
      <c r="AQ83" s="75"/>
      <c r="AR83" s="76"/>
      <c r="AS83" s="77"/>
      <c r="AV83" s="75"/>
      <c r="AW83" s="83"/>
      <c r="AX83" s="84"/>
      <c r="AY83" s="80"/>
      <c r="BB83" s="81"/>
      <c r="BE83" s="24"/>
      <c r="BF83" s="23"/>
    </row>
    <row r="84" spans="1:58" ht="15" customHeight="1">
      <c r="A84" s="23" t="s">
        <v>183</v>
      </c>
      <c r="B84" s="23" t="s">
        <v>565</v>
      </c>
      <c r="C84" s="23" t="s">
        <v>57</v>
      </c>
      <c r="D84" s="23">
        <v>83</v>
      </c>
      <c r="E84" s="23">
        <v>1</v>
      </c>
      <c r="G84" s="23" t="s">
        <v>414</v>
      </c>
      <c r="J84" s="23" t="s">
        <v>27</v>
      </c>
      <c r="K84" s="23" t="s">
        <v>202</v>
      </c>
      <c r="L84" s="23">
        <v>2</v>
      </c>
      <c r="N84" s="73">
        <v>2</v>
      </c>
      <c r="O84" s="75"/>
      <c r="P84" s="76"/>
      <c r="Q84" s="77">
        <v>1</v>
      </c>
      <c r="R84" s="66">
        <v>1</v>
      </c>
      <c r="U84" s="75"/>
      <c r="V84" s="78"/>
      <c r="W84" s="79"/>
      <c r="X84" s="80"/>
      <c r="AA84" s="81"/>
      <c r="AB84" s="52" t="s">
        <v>1087</v>
      </c>
      <c r="AD84" s="23" t="s">
        <v>372</v>
      </c>
      <c r="AE84" s="23"/>
      <c r="AF84" s="23" t="s">
        <v>415</v>
      </c>
      <c r="AO84" s="24"/>
      <c r="AP84" s="73"/>
      <c r="AQ84" s="75"/>
      <c r="AR84" s="76"/>
      <c r="AS84" s="77"/>
      <c r="AV84" s="75"/>
      <c r="AW84" s="83"/>
      <c r="AX84" s="84"/>
      <c r="AY84" s="80"/>
      <c r="BB84" s="81"/>
      <c r="BE84" s="24"/>
      <c r="BF84" s="23"/>
    </row>
    <row r="85" spans="1:58" ht="15" customHeight="1">
      <c r="A85" s="23" t="s">
        <v>183</v>
      </c>
      <c r="B85" s="23" t="s">
        <v>566</v>
      </c>
      <c r="C85" s="23" t="s">
        <v>57</v>
      </c>
      <c r="D85" s="23">
        <v>84</v>
      </c>
      <c r="E85" s="23">
        <v>1</v>
      </c>
      <c r="G85" s="23" t="s">
        <v>409</v>
      </c>
      <c r="J85" s="23" t="s">
        <v>27</v>
      </c>
      <c r="K85" s="23" t="s">
        <v>202</v>
      </c>
      <c r="L85" s="23">
        <v>2</v>
      </c>
      <c r="N85" s="73">
        <v>1</v>
      </c>
      <c r="O85" s="75"/>
      <c r="P85" s="76"/>
      <c r="Q85" s="77"/>
      <c r="U85" s="75"/>
      <c r="V85" s="78"/>
      <c r="W85" s="79"/>
      <c r="X85" s="80"/>
      <c r="AA85" s="81"/>
      <c r="AB85" s="42"/>
      <c r="AD85" s="23" t="s">
        <v>372</v>
      </c>
      <c r="AE85" s="23"/>
      <c r="AF85" s="23" t="s">
        <v>416</v>
      </c>
      <c r="AO85" s="24"/>
      <c r="AP85" s="73"/>
      <c r="AQ85" s="75"/>
      <c r="AR85" s="76"/>
      <c r="AS85" s="77"/>
      <c r="AV85" s="75"/>
      <c r="AW85" s="83"/>
      <c r="AX85" s="84"/>
      <c r="AY85" s="80"/>
      <c r="BB85" s="81"/>
      <c r="BE85" s="24"/>
      <c r="BF85" s="23"/>
    </row>
    <row r="86" spans="1:58" ht="15" customHeight="1">
      <c r="A86" s="23" t="s">
        <v>183</v>
      </c>
      <c r="B86" s="23" t="s">
        <v>567</v>
      </c>
      <c r="C86" s="23" t="s">
        <v>57</v>
      </c>
      <c r="D86" s="23">
        <v>85</v>
      </c>
      <c r="E86" s="23">
        <v>1</v>
      </c>
      <c r="G86" s="23" t="s">
        <v>417</v>
      </c>
      <c r="J86" s="23" t="s">
        <v>27</v>
      </c>
      <c r="K86" s="23" t="s">
        <v>202</v>
      </c>
      <c r="L86" s="23">
        <v>3</v>
      </c>
      <c r="N86" s="73">
        <v>2</v>
      </c>
      <c r="O86" s="75"/>
      <c r="P86" s="76"/>
      <c r="Q86" s="77">
        <v>1</v>
      </c>
      <c r="S86" s="113">
        <v>1</v>
      </c>
      <c r="U86" s="75"/>
      <c r="V86" s="78"/>
      <c r="W86" s="79"/>
      <c r="X86" s="80"/>
      <c r="AA86" s="81"/>
      <c r="AB86" s="52" t="s">
        <v>1093</v>
      </c>
      <c r="AD86" s="23" t="s">
        <v>1805</v>
      </c>
      <c r="AE86" s="23"/>
      <c r="AF86" s="23" t="s">
        <v>418</v>
      </c>
      <c r="AO86" s="24"/>
      <c r="AP86" s="73"/>
      <c r="AQ86" s="75"/>
      <c r="AR86" s="76"/>
      <c r="AS86" s="77"/>
      <c r="AV86" s="75"/>
      <c r="AW86" s="83"/>
      <c r="AX86" s="84"/>
      <c r="AY86" s="80"/>
      <c r="BB86" s="81"/>
      <c r="BE86" s="24"/>
      <c r="BF86" s="23"/>
    </row>
    <row r="87" spans="1:58" ht="15" customHeight="1">
      <c r="A87" s="23" t="s">
        <v>183</v>
      </c>
      <c r="B87" s="23" t="s">
        <v>568</v>
      </c>
      <c r="C87" s="23" t="s">
        <v>57</v>
      </c>
      <c r="D87" s="23">
        <v>86</v>
      </c>
      <c r="E87" s="23">
        <v>4</v>
      </c>
      <c r="G87" s="23" t="s">
        <v>419</v>
      </c>
      <c r="J87" s="23" t="s">
        <v>257</v>
      </c>
      <c r="K87" s="23" t="s">
        <v>26</v>
      </c>
      <c r="N87" s="73">
        <v>1</v>
      </c>
      <c r="O87" s="75"/>
      <c r="P87" s="76"/>
      <c r="Q87" s="77">
        <v>1</v>
      </c>
      <c r="U87" s="75"/>
      <c r="V87" s="78"/>
      <c r="W87" s="79"/>
      <c r="X87" s="80"/>
      <c r="AA87" s="81"/>
      <c r="AB87" s="52" t="s">
        <v>206</v>
      </c>
      <c r="AC87" s="23" t="s">
        <v>258</v>
      </c>
      <c r="AD87" s="23" t="s">
        <v>298</v>
      </c>
      <c r="AE87" s="23"/>
      <c r="AF87" s="23" t="s">
        <v>420</v>
      </c>
      <c r="AO87" s="24"/>
      <c r="AP87" s="73"/>
      <c r="AQ87" s="75"/>
      <c r="AR87" s="76"/>
      <c r="AS87" s="77"/>
      <c r="AV87" s="75"/>
      <c r="AW87" s="83"/>
      <c r="AX87" s="84"/>
      <c r="AY87" s="80"/>
      <c r="BB87" s="81"/>
      <c r="BE87" s="24"/>
      <c r="BF87" s="23"/>
    </row>
    <row r="88" spans="1:58" ht="15" customHeight="1">
      <c r="A88" s="23" t="s">
        <v>183</v>
      </c>
      <c r="B88" s="23" t="s">
        <v>569</v>
      </c>
      <c r="C88" s="23" t="s">
        <v>57</v>
      </c>
      <c r="D88" s="23">
        <v>87</v>
      </c>
      <c r="E88" s="23">
        <v>4</v>
      </c>
      <c r="G88" s="23" t="s">
        <v>421</v>
      </c>
      <c r="J88" s="23" t="s">
        <v>257</v>
      </c>
      <c r="K88" s="23" t="s">
        <v>26</v>
      </c>
      <c r="N88" s="73">
        <v>2</v>
      </c>
      <c r="O88" s="75"/>
      <c r="P88" s="76">
        <v>1</v>
      </c>
      <c r="Q88" s="77"/>
      <c r="U88" s="75"/>
      <c r="V88" s="78"/>
      <c r="W88" s="79"/>
      <c r="X88" s="80"/>
      <c r="AA88" s="81"/>
      <c r="AB88" s="52" t="s">
        <v>205</v>
      </c>
      <c r="AC88" s="23" t="s">
        <v>258</v>
      </c>
      <c r="AD88" s="23" t="s">
        <v>325</v>
      </c>
      <c r="AE88" s="23"/>
      <c r="AF88" s="23" t="s">
        <v>422</v>
      </c>
      <c r="AO88" s="24"/>
      <c r="AP88" s="73"/>
      <c r="AQ88" s="75"/>
      <c r="AR88" s="76"/>
      <c r="AS88" s="77"/>
      <c r="AV88" s="75"/>
      <c r="AW88" s="83"/>
      <c r="AX88" s="84"/>
      <c r="AY88" s="80"/>
      <c r="BB88" s="81"/>
      <c r="BE88" s="24"/>
      <c r="BF88" s="23"/>
    </row>
    <row r="89" spans="1:58" ht="15" customHeight="1">
      <c r="A89" s="23" t="s">
        <v>183</v>
      </c>
      <c r="B89" s="23" t="s">
        <v>570</v>
      </c>
      <c r="C89" s="23" t="s">
        <v>57</v>
      </c>
      <c r="D89" s="23">
        <v>88</v>
      </c>
      <c r="E89" s="23">
        <v>4</v>
      </c>
      <c r="G89" s="23" t="s">
        <v>423</v>
      </c>
      <c r="J89" s="23" t="s">
        <v>27</v>
      </c>
      <c r="K89" s="23" t="s">
        <v>26</v>
      </c>
      <c r="N89" s="73">
        <v>0</v>
      </c>
      <c r="O89" s="75"/>
      <c r="P89" s="76"/>
      <c r="Q89" s="77"/>
      <c r="U89" s="75"/>
      <c r="V89" s="78"/>
      <c r="W89" s="79"/>
      <c r="X89" s="80"/>
      <c r="AA89" s="81"/>
      <c r="AB89" s="42"/>
      <c r="AD89" s="23" t="s">
        <v>316</v>
      </c>
      <c r="AE89" s="23"/>
      <c r="AF89" s="23" t="s">
        <v>424</v>
      </c>
      <c r="AO89" s="24"/>
      <c r="AP89" s="73"/>
      <c r="AQ89" s="75"/>
      <c r="AR89" s="76"/>
      <c r="AS89" s="77"/>
      <c r="AV89" s="75"/>
      <c r="AW89" s="83"/>
      <c r="AX89" s="84"/>
      <c r="AY89" s="80"/>
      <c r="BB89" s="81"/>
      <c r="BE89" s="24"/>
      <c r="BF89" s="23"/>
    </row>
    <row r="90" spans="1:58" ht="15" customHeight="1">
      <c r="A90" s="23" t="s">
        <v>183</v>
      </c>
      <c r="B90" s="23" t="s">
        <v>571</v>
      </c>
      <c r="C90" s="23" t="s">
        <v>57</v>
      </c>
      <c r="D90" s="23">
        <v>89</v>
      </c>
      <c r="E90" s="23">
        <v>2</v>
      </c>
      <c r="G90" s="23" t="s">
        <v>425</v>
      </c>
      <c r="J90" s="23" t="s">
        <v>312</v>
      </c>
      <c r="K90" s="23" t="s">
        <v>26</v>
      </c>
      <c r="N90" s="73"/>
      <c r="O90" s="75">
        <v>2</v>
      </c>
      <c r="P90" s="76"/>
      <c r="Q90" s="77"/>
      <c r="U90" s="75"/>
      <c r="V90" s="78"/>
      <c r="W90" s="79"/>
      <c r="X90" s="80"/>
      <c r="AA90" s="81"/>
      <c r="AB90" s="52" t="s">
        <v>1094</v>
      </c>
      <c r="AD90" s="23" t="s">
        <v>412</v>
      </c>
      <c r="AE90" s="23"/>
      <c r="AF90" s="23" t="s">
        <v>426</v>
      </c>
      <c r="AO90" s="24"/>
      <c r="AP90" s="73"/>
      <c r="AQ90" s="75"/>
      <c r="AR90" s="76"/>
      <c r="AS90" s="77"/>
      <c r="AV90" s="75"/>
      <c r="AW90" s="83"/>
      <c r="AX90" s="84"/>
      <c r="AY90" s="80"/>
      <c r="BB90" s="81"/>
      <c r="BE90" s="24"/>
      <c r="BF90" s="23"/>
    </row>
    <row r="91" spans="1:58" ht="15" customHeight="1">
      <c r="A91" s="23" t="s">
        <v>183</v>
      </c>
      <c r="B91" s="23" t="s">
        <v>572</v>
      </c>
      <c r="C91" s="23" t="s">
        <v>57</v>
      </c>
      <c r="D91" s="23">
        <v>90</v>
      </c>
      <c r="E91" s="23">
        <v>2</v>
      </c>
      <c r="G91" s="23" t="s">
        <v>427</v>
      </c>
      <c r="J91" s="23" t="s">
        <v>312</v>
      </c>
      <c r="K91" s="23" t="s">
        <v>26</v>
      </c>
      <c r="N91" s="73"/>
      <c r="O91" s="75"/>
      <c r="P91" s="76">
        <v>2</v>
      </c>
      <c r="Q91" s="77"/>
      <c r="U91" s="75"/>
      <c r="V91" s="78"/>
      <c r="W91" s="79"/>
      <c r="X91" s="80"/>
      <c r="AA91" s="81"/>
      <c r="AB91" s="52" t="s">
        <v>1084</v>
      </c>
      <c r="AD91" s="23" t="s">
        <v>313</v>
      </c>
      <c r="AE91" s="23"/>
      <c r="AF91" s="23" t="s">
        <v>426</v>
      </c>
      <c r="AO91" s="24"/>
      <c r="AP91" s="73"/>
      <c r="AQ91" s="75"/>
      <c r="AR91" s="76"/>
      <c r="AS91" s="77"/>
      <c r="AV91" s="75"/>
      <c r="AW91" s="83"/>
      <c r="AX91" s="84"/>
      <c r="AY91" s="80"/>
      <c r="BB91" s="81"/>
      <c r="BE91" s="24"/>
      <c r="BF91" s="23"/>
    </row>
    <row r="92" spans="1:58" ht="15" customHeight="1">
      <c r="A92" s="23" t="s">
        <v>183</v>
      </c>
      <c r="B92" s="23" t="s">
        <v>573</v>
      </c>
      <c r="C92" s="23" t="s">
        <v>57</v>
      </c>
      <c r="D92" s="23">
        <v>91</v>
      </c>
      <c r="E92" s="23">
        <v>2</v>
      </c>
      <c r="G92" s="23" t="s">
        <v>428</v>
      </c>
      <c r="J92" s="23" t="s">
        <v>312</v>
      </c>
      <c r="K92" s="23" t="s">
        <v>26</v>
      </c>
      <c r="N92" s="73"/>
      <c r="O92" s="75"/>
      <c r="P92" s="76"/>
      <c r="Q92" s="77">
        <v>2</v>
      </c>
      <c r="U92" s="75"/>
      <c r="V92" s="78"/>
      <c r="W92" s="79"/>
      <c r="X92" s="80"/>
      <c r="AA92" s="81"/>
      <c r="AB92" s="52" t="s">
        <v>1088</v>
      </c>
      <c r="AD92" s="23" t="s">
        <v>313</v>
      </c>
      <c r="AE92" s="23"/>
      <c r="AF92" s="23" t="s">
        <v>426</v>
      </c>
      <c r="AO92" s="24"/>
      <c r="AP92" s="73"/>
      <c r="AQ92" s="75"/>
      <c r="AR92" s="76"/>
      <c r="AS92" s="77"/>
      <c r="AV92" s="75"/>
      <c r="AW92" s="83"/>
      <c r="AX92" s="84"/>
      <c r="AY92" s="80"/>
      <c r="BB92" s="81"/>
      <c r="BE92" s="24"/>
      <c r="BF92" s="23"/>
    </row>
    <row r="93" spans="1:58" ht="15" customHeight="1">
      <c r="A93" s="23" t="s">
        <v>183</v>
      </c>
      <c r="B93" s="23" t="s">
        <v>574</v>
      </c>
      <c r="C93" s="23" t="s">
        <v>57</v>
      </c>
      <c r="D93" s="23">
        <v>92</v>
      </c>
      <c r="E93" s="23">
        <v>2</v>
      </c>
      <c r="G93" s="23" t="s">
        <v>429</v>
      </c>
      <c r="J93" s="23" t="s">
        <v>312</v>
      </c>
      <c r="K93" s="23" t="s">
        <v>26</v>
      </c>
      <c r="N93" s="73"/>
      <c r="O93" s="75"/>
      <c r="P93" s="76"/>
      <c r="Q93" s="77"/>
      <c r="R93" s="66">
        <v>2</v>
      </c>
      <c r="U93" s="75"/>
      <c r="V93" s="78"/>
      <c r="W93" s="79"/>
      <c r="X93" s="80"/>
      <c r="AA93" s="81"/>
      <c r="AB93" s="52" t="s">
        <v>1095</v>
      </c>
      <c r="AD93" s="23" t="s">
        <v>412</v>
      </c>
      <c r="AE93" s="23"/>
      <c r="AF93" s="23" t="s">
        <v>426</v>
      </c>
      <c r="AO93" s="24"/>
      <c r="AP93" s="73"/>
      <c r="AQ93" s="75"/>
      <c r="AR93" s="76"/>
      <c r="AS93" s="77"/>
      <c r="AV93" s="75"/>
      <c r="AW93" s="83"/>
      <c r="AX93" s="84"/>
      <c r="AY93" s="80"/>
      <c r="BB93" s="81"/>
      <c r="BE93" s="24"/>
      <c r="BF93" s="23"/>
    </row>
    <row r="94" spans="1:58" ht="15" customHeight="1">
      <c r="A94" s="23" t="s">
        <v>183</v>
      </c>
      <c r="B94" s="23" t="s">
        <v>575</v>
      </c>
      <c r="C94" s="23" t="s">
        <v>57</v>
      </c>
      <c r="D94" s="23">
        <v>93</v>
      </c>
      <c r="E94" s="23">
        <v>2</v>
      </c>
      <c r="G94" s="23" t="s">
        <v>430</v>
      </c>
      <c r="J94" s="23" t="s">
        <v>312</v>
      </c>
      <c r="K94" s="23" t="s">
        <v>26</v>
      </c>
      <c r="N94" s="73"/>
      <c r="O94" s="75"/>
      <c r="P94" s="76"/>
      <c r="Q94" s="77"/>
      <c r="S94" s="113">
        <v>2</v>
      </c>
      <c r="U94" s="75"/>
      <c r="V94" s="78"/>
      <c r="W94" s="79"/>
      <c r="X94" s="80"/>
      <c r="AA94" s="81"/>
      <c r="AB94" s="52" t="s">
        <v>1082</v>
      </c>
      <c r="AD94" s="23" t="s">
        <v>412</v>
      </c>
      <c r="AE94" s="23"/>
      <c r="AF94" s="23" t="s">
        <v>431</v>
      </c>
      <c r="AO94" s="24"/>
      <c r="AP94" s="73"/>
      <c r="AQ94" s="75"/>
      <c r="AR94" s="76"/>
      <c r="AS94" s="77"/>
      <c r="AV94" s="75"/>
      <c r="AW94" s="83"/>
      <c r="AX94" s="84"/>
      <c r="AY94" s="80"/>
      <c r="BB94" s="81"/>
      <c r="BE94" s="24"/>
      <c r="BF94" s="23"/>
    </row>
    <row r="95" spans="1:58" ht="15" customHeight="1">
      <c r="A95" s="23" t="s">
        <v>183</v>
      </c>
      <c r="B95" s="23" t="s">
        <v>576</v>
      </c>
      <c r="C95" s="23" t="s">
        <v>57</v>
      </c>
      <c r="D95" s="23">
        <v>94</v>
      </c>
      <c r="E95" s="23">
        <v>2</v>
      </c>
      <c r="G95" s="23" t="s">
        <v>432</v>
      </c>
      <c r="J95" s="23" t="s">
        <v>257</v>
      </c>
      <c r="K95" s="23" t="s">
        <v>26</v>
      </c>
      <c r="L95" s="23">
        <v>3</v>
      </c>
      <c r="N95" s="73">
        <v>2</v>
      </c>
      <c r="O95" s="75"/>
      <c r="P95" s="76"/>
      <c r="Q95" s="77">
        <v>1</v>
      </c>
      <c r="S95" s="113">
        <v>1</v>
      </c>
      <c r="T95" s="68">
        <v>4</v>
      </c>
      <c r="U95" s="75" t="s">
        <v>38</v>
      </c>
      <c r="V95" s="78"/>
      <c r="W95" s="79"/>
      <c r="X95" s="80"/>
      <c r="AA95" s="81"/>
      <c r="AB95" s="52" t="s">
        <v>1093</v>
      </c>
      <c r="AC95" s="23" t="s">
        <v>393</v>
      </c>
      <c r="AD95" s="23" t="s">
        <v>394</v>
      </c>
      <c r="AE95" s="23"/>
      <c r="AO95" s="24"/>
      <c r="AP95" s="73"/>
      <c r="AQ95" s="75"/>
      <c r="AR95" s="76"/>
      <c r="AS95" s="77"/>
      <c r="AV95" s="75"/>
      <c r="AW95" s="83"/>
      <c r="AX95" s="84"/>
      <c r="AY95" s="80"/>
      <c r="BB95" s="81"/>
      <c r="BE95" s="24"/>
      <c r="BF95" s="23"/>
    </row>
    <row r="96" spans="1:58" ht="15" customHeight="1">
      <c r="A96" s="23" t="s">
        <v>183</v>
      </c>
      <c r="B96" s="23" t="s">
        <v>577</v>
      </c>
      <c r="C96" s="23" t="s">
        <v>57</v>
      </c>
      <c r="D96" s="23">
        <v>95</v>
      </c>
      <c r="E96" s="23">
        <v>2</v>
      </c>
      <c r="G96" s="23" t="s">
        <v>433</v>
      </c>
      <c r="J96" s="23" t="s">
        <v>257</v>
      </c>
      <c r="K96" s="23" t="s">
        <v>26</v>
      </c>
      <c r="L96" s="23">
        <v>3</v>
      </c>
      <c r="N96" s="73">
        <v>2</v>
      </c>
      <c r="O96" s="75">
        <v>1</v>
      </c>
      <c r="P96" s="76"/>
      <c r="Q96" s="77"/>
      <c r="S96" s="113">
        <v>1</v>
      </c>
      <c r="T96" s="68" t="s">
        <v>38</v>
      </c>
      <c r="U96" s="75">
        <v>4</v>
      </c>
      <c r="V96" s="78"/>
      <c r="W96" s="79"/>
      <c r="X96" s="80"/>
      <c r="AA96" s="81"/>
      <c r="AB96" s="52" t="s">
        <v>1086</v>
      </c>
      <c r="AC96" s="23" t="s">
        <v>275</v>
      </c>
      <c r="AD96" s="23" t="s">
        <v>276</v>
      </c>
      <c r="AE96" s="23"/>
      <c r="AO96" s="24"/>
      <c r="AP96" s="73"/>
      <c r="AQ96" s="75"/>
      <c r="AR96" s="76"/>
      <c r="AS96" s="77"/>
      <c r="AV96" s="75"/>
      <c r="AW96" s="83"/>
      <c r="AX96" s="84"/>
      <c r="AY96" s="80"/>
      <c r="BB96" s="81"/>
      <c r="BE96" s="24"/>
      <c r="BF96" s="23"/>
    </row>
    <row r="97" spans="1:59" ht="15" customHeight="1">
      <c r="A97" s="23" t="s">
        <v>183</v>
      </c>
      <c r="B97" s="23" t="s">
        <v>578</v>
      </c>
      <c r="C97" s="23" t="s">
        <v>57</v>
      </c>
      <c r="D97" s="23">
        <v>96</v>
      </c>
      <c r="E97" s="23">
        <v>2</v>
      </c>
      <c r="G97" s="23" t="s">
        <v>434</v>
      </c>
      <c r="J97" s="23" t="s">
        <v>28</v>
      </c>
      <c r="K97" s="23" t="s">
        <v>26</v>
      </c>
      <c r="M97" s="23" t="s">
        <v>691</v>
      </c>
      <c r="N97" s="73"/>
      <c r="O97" s="75"/>
      <c r="P97" s="76"/>
      <c r="Q97" s="77"/>
      <c r="U97" s="75"/>
      <c r="V97" s="78"/>
      <c r="W97" s="79"/>
      <c r="X97" s="80"/>
      <c r="AA97" s="81"/>
      <c r="AB97" s="42"/>
      <c r="AD97" s="23" t="s">
        <v>284</v>
      </c>
      <c r="AE97" s="23"/>
      <c r="AF97" s="23" t="s">
        <v>435</v>
      </c>
      <c r="AO97" s="24"/>
      <c r="AP97" s="73"/>
      <c r="AQ97" s="75"/>
      <c r="AR97" s="76"/>
      <c r="AS97" s="77"/>
      <c r="AV97" s="75"/>
      <c r="AW97" s="83"/>
      <c r="AX97" s="84"/>
      <c r="AY97" s="80"/>
      <c r="BB97" s="81"/>
      <c r="BE97" s="24"/>
      <c r="BF97" s="23"/>
    </row>
    <row r="98" spans="1:59" ht="15" customHeight="1">
      <c r="A98" s="23" t="s">
        <v>183</v>
      </c>
      <c r="B98" s="23" t="s">
        <v>579</v>
      </c>
      <c r="C98" s="23" t="s">
        <v>57</v>
      </c>
      <c r="D98" s="23">
        <v>97</v>
      </c>
      <c r="E98" s="23">
        <v>2</v>
      </c>
      <c r="G98" s="23" t="s">
        <v>436</v>
      </c>
      <c r="J98" s="23" t="s">
        <v>28</v>
      </c>
      <c r="K98" s="23" t="s">
        <v>26</v>
      </c>
      <c r="M98" s="23" t="s">
        <v>691</v>
      </c>
      <c r="N98" s="73"/>
      <c r="O98" s="75"/>
      <c r="P98" s="76"/>
      <c r="Q98" s="77"/>
      <c r="U98" s="75"/>
      <c r="V98" s="78"/>
      <c r="W98" s="79"/>
      <c r="X98" s="80"/>
      <c r="AA98" s="81"/>
      <c r="AB98" s="42"/>
      <c r="AD98" s="23" t="s">
        <v>284</v>
      </c>
      <c r="AE98" s="23"/>
      <c r="AF98" s="23" t="s">
        <v>437</v>
      </c>
      <c r="AO98" s="24"/>
      <c r="AP98" s="73"/>
      <c r="AQ98" s="75"/>
      <c r="AR98" s="76"/>
      <c r="AS98" s="77"/>
      <c r="AV98" s="75"/>
      <c r="AW98" s="83"/>
      <c r="AX98" s="84"/>
      <c r="AY98" s="80"/>
      <c r="BB98" s="81"/>
      <c r="BE98" s="24"/>
      <c r="BF98" s="23"/>
    </row>
    <row r="99" spans="1:59" ht="15" customHeight="1">
      <c r="A99" s="23" t="s">
        <v>183</v>
      </c>
      <c r="B99" s="23" t="s">
        <v>580</v>
      </c>
      <c r="C99" s="23" t="s">
        <v>57</v>
      </c>
      <c r="D99" s="23">
        <v>98</v>
      </c>
      <c r="E99" s="23">
        <v>1</v>
      </c>
      <c r="G99" s="23" t="s">
        <v>438</v>
      </c>
      <c r="J99" s="23" t="s">
        <v>28</v>
      </c>
      <c r="K99" s="23" t="s">
        <v>26</v>
      </c>
      <c r="M99" s="23" t="s">
        <v>691</v>
      </c>
      <c r="N99" s="73"/>
      <c r="O99" s="75"/>
      <c r="P99" s="76"/>
      <c r="Q99" s="77"/>
      <c r="U99" s="75"/>
      <c r="V99" s="78"/>
      <c r="W99" s="79"/>
      <c r="X99" s="80"/>
      <c r="AA99" s="81"/>
      <c r="AB99" s="42"/>
      <c r="AD99" s="23" t="s">
        <v>439</v>
      </c>
      <c r="AE99" s="23"/>
      <c r="AF99" s="23" t="s">
        <v>440</v>
      </c>
      <c r="AO99" s="24"/>
      <c r="AP99" s="73"/>
      <c r="AQ99" s="75"/>
      <c r="AR99" s="76"/>
      <c r="AS99" s="77"/>
      <c r="AV99" s="75"/>
      <c r="AW99" s="83"/>
      <c r="AX99" s="84"/>
      <c r="AY99" s="80"/>
      <c r="BB99" s="81"/>
      <c r="BE99" s="24"/>
      <c r="BF99" s="23"/>
    </row>
    <row r="100" spans="1:59" ht="15" customHeight="1">
      <c r="A100" s="23" t="s">
        <v>183</v>
      </c>
      <c r="B100" s="23" t="s">
        <v>581</v>
      </c>
      <c r="C100" s="23" t="s">
        <v>57</v>
      </c>
      <c r="D100" s="23">
        <v>99</v>
      </c>
      <c r="E100" s="23">
        <v>1</v>
      </c>
      <c r="G100" s="23" t="s">
        <v>696</v>
      </c>
      <c r="J100" s="23" t="s">
        <v>28</v>
      </c>
      <c r="K100" s="23" t="s">
        <v>26</v>
      </c>
      <c r="M100" s="23" t="s">
        <v>691</v>
      </c>
      <c r="N100" s="73"/>
      <c r="O100" s="75"/>
      <c r="P100" s="76"/>
      <c r="Q100" s="77"/>
      <c r="U100" s="75"/>
      <c r="V100" s="78"/>
      <c r="W100" s="79"/>
      <c r="X100" s="80"/>
      <c r="AA100" s="81"/>
      <c r="AB100" s="42"/>
      <c r="AD100" s="23" t="s">
        <v>284</v>
      </c>
      <c r="AE100" s="23"/>
      <c r="AF100" s="23" t="s">
        <v>697</v>
      </c>
      <c r="AO100" s="24"/>
      <c r="AP100" s="73"/>
      <c r="AQ100" s="75"/>
      <c r="AR100" s="76"/>
      <c r="AS100" s="77"/>
      <c r="AV100" s="75"/>
      <c r="AW100" s="83"/>
      <c r="AX100" s="84"/>
      <c r="AY100" s="80"/>
      <c r="BB100" s="81"/>
      <c r="BE100" s="24"/>
      <c r="BF100" s="23"/>
    </row>
    <row r="101" spans="1:59" ht="15" customHeight="1">
      <c r="A101" s="23" t="s">
        <v>183</v>
      </c>
      <c r="B101" s="23" t="s">
        <v>692</v>
      </c>
      <c r="C101" s="23" t="s">
        <v>57</v>
      </c>
      <c r="D101" s="23">
        <v>100</v>
      </c>
      <c r="E101" s="23">
        <v>1</v>
      </c>
      <c r="G101" s="23" t="s">
        <v>441</v>
      </c>
      <c r="J101" s="23" t="s">
        <v>28</v>
      </c>
      <c r="K101" s="23" t="s">
        <v>26</v>
      </c>
      <c r="M101" s="23" t="s">
        <v>691</v>
      </c>
      <c r="N101" s="73"/>
      <c r="O101" s="75"/>
      <c r="P101" s="76"/>
      <c r="Q101" s="77"/>
      <c r="U101" s="75"/>
      <c r="V101" s="78"/>
      <c r="W101" s="79"/>
      <c r="X101" s="80"/>
      <c r="AA101" s="81"/>
      <c r="AB101" s="42"/>
      <c r="AD101" s="23" t="s">
        <v>284</v>
      </c>
      <c r="AE101" s="23"/>
      <c r="AF101" s="23" t="s">
        <v>698</v>
      </c>
      <c r="AO101" s="24"/>
      <c r="AP101" s="73"/>
      <c r="AQ101" s="75"/>
      <c r="AR101" s="76"/>
      <c r="AS101" s="77"/>
      <c r="AV101" s="75"/>
      <c r="AW101" s="83"/>
      <c r="AX101" s="84"/>
      <c r="AY101" s="80"/>
      <c r="BB101" s="81"/>
      <c r="BE101" s="24"/>
      <c r="BF101" s="23"/>
    </row>
    <row r="102" spans="1:59" ht="15" customHeight="1">
      <c r="A102" s="23" t="s">
        <v>183</v>
      </c>
      <c r="B102" s="23" t="s">
        <v>693</v>
      </c>
      <c r="C102" s="23" t="s">
        <v>57</v>
      </c>
      <c r="D102" s="23">
        <v>101</v>
      </c>
      <c r="E102" s="23">
        <v>1</v>
      </c>
      <c r="G102" s="23" t="s">
        <v>699</v>
      </c>
      <c r="J102" s="23" t="s">
        <v>29</v>
      </c>
      <c r="K102" s="23" t="s">
        <v>26</v>
      </c>
      <c r="M102" s="23" t="s">
        <v>691</v>
      </c>
      <c r="N102" s="73"/>
      <c r="O102" s="75"/>
      <c r="P102" s="76"/>
      <c r="Q102" s="77">
        <v>4</v>
      </c>
      <c r="R102" s="66">
        <v>3</v>
      </c>
      <c r="T102" s="68">
        <v>3</v>
      </c>
      <c r="U102" s="75"/>
      <c r="V102" s="78">
        <v>1</v>
      </c>
      <c r="W102" s="79"/>
      <c r="X102" s="80"/>
      <c r="AA102" s="81"/>
      <c r="AB102" s="42"/>
      <c r="AD102" s="23" t="s">
        <v>700</v>
      </c>
      <c r="AE102" s="23" t="s">
        <v>701</v>
      </c>
      <c r="AF102" s="23" t="s">
        <v>702</v>
      </c>
      <c r="AO102" s="24"/>
      <c r="AP102" s="73"/>
      <c r="AQ102" s="75"/>
      <c r="AR102" s="76"/>
      <c r="AS102" s="77"/>
      <c r="AV102" s="75"/>
      <c r="AW102" s="83"/>
      <c r="AX102" s="84"/>
      <c r="AY102" s="80"/>
      <c r="BB102" s="81"/>
      <c r="BE102" s="24"/>
      <c r="BF102" s="23"/>
    </row>
    <row r="103" spans="1:59" ht="15" customHeight="1">
      <c r="A103" s="23" t="s">
        <v>183</v>
      </c>
      <c r="B103" s="23" t="s">
        <v>694</v>
      </c>
      <c r="C103" s="23" t="s">
        <v>57</v>
      </c>
      <c r="D103" s="23">
        <v>102</v>
      </c>
      <c r="E103" s="23">
        <v>1</v>
      </c>
      <c r="G103" s="23" t="s">
        <v>703</v>
      </c>
      <c r="J103" s="23" t="s">
        <v>29</v>
      </c>
      <c r="K103" s="23" t="s">
        <v>26</v>
      </c>
      <c r="M103" s="23" t="s">
        <v>691</v>
      </c>
      <c r="N103" s="73"/>
      <c r="O103" s="75"/>
      <c r="P103" s="76"/>
      <c r="Q103" s="77">
        <v>2</v>
      </c>
      <c r="R103" s="66">
        <v>3</v>
      </c>
      <c r="T103" s="68">
        <v>3</v>
      </c>
      <c r="U103" s="75"/>
      <c r="V103" s="78">
        <v>1</v>
      </c>
      <c r="W103" s="79"/>
      <c r="X103" s="80"/>
      <c r="AA103" s="81"/>
      <c r="AB103" s="42"/>
      <c r="AD103" s="23" t="s">
        <v>704</v>
      </c>
      <c r="AE103" s="23" t="s">
        <v>701</v>
      </c>
      <c r="AF103" s="23" t="s">
        <v>705</v>
      </c>
      <c r="AO103" s="24"/>
      <c r="AP103" s="73"/>
      <c r="AQ103" s="75"/>
      <c r="AR103" s="76"/>
      <c r="AS103" s="77"/>
      <c r="AV103" s="75"/>
      <c r="AW103" s="83"/>
      <c r="AX103" s="84"/>
      <c r="AY103" s="80"/>
      <c r="BB103" s="81"/>
      <c r="BE103" s="24"/>
      <c r="BF103" s="23"/>
    </row>
    <row r="104" spans="1:59" ht="15" customHeight="1">
      <c r="A104" s="23" t="s">
        <v>183</v>
      </c>
      <c r="B104" s="23" t="s">
        <v>695</v>
      </c>
      <c r="C104" s="23" t="s">
        <v>57</v>
      </c>
      <c r="D104" s="23">
        <v>103</v>
      </c>
      <c r="E104" s="23">
        <v>1</v>
      </c>
      <c r="G104" s="23" t="s">
        <v>706</v>
      </c>
      <c r="J104" s="23" t="s">
        <v>29</v>
      </c>
      <c r="K104" s="23" t="s">
        <v>26</v>
      </c>
      <c r="M104" s="23" t="s">
        <v>691</v>
      </c>
      <c r="N104" s="73"/>
      <c r="O104" s="75"/>
      <c r="P104" s="76"/>
      <c r="Q104" s="77">
        <v>3</v>
      </c>
      <c r="R104" s="66">
        <v>2</v>
      </c>
      <c r="T104" s="68">
        <v>2</v>
      </c>
      <c r="U104" s="75"/>
      <c r="V104" s="78">
        <v>1</v>
      </c>
      <c r="W104" s="79"/>
      <c r="X104" s="80"/>
      <c r="AA104" s="81"/>
      <c r="AB104" s="42"/>
      <c r="AD104" s="23" t="s">
        <v>707</v>
      </c>
      <c r="AE104" s="23" t="s">
        <v>701</v>
      </c>
      <c r="AF104" s="23" t="s">
        <v>708</v>
      </c>
      <c r="AO104" s="24"/>
      <c r="AP104" s="73"/>
      <c r="AQ104" s="75"/>
      <c r="AR104" s="76"/>
      <c r="AS104" s="77"/>
      <c r="AV104" s="75"/>
      <c r="AW104" s="83"/>
      <c r="AX104" s="84"/>
      <c r="AY104" s="80"/>
      <c r="BB104" s="81"/>
      <c r="BE104" s="24"/>
      <c r="BF104" s="23"/>
    </row>
    <row r="105" spans="1:59" ht="15" customHeight="1">
      <c r="A105" s="23" t="s">
        <v>183</v>
      </c>
      <c r="B105" s="23" t="s">
        <v>582</v>
      </c>
      <c r="C105" s="23" t="s">
        <v>57</v>
      </c>
      <c r="D105" s="31">
        <v>104</v>
      </c>
      <c r="E105" s="28">
        <v>1</v>
      </c>
      <c r="F105" s="28" t="s">
        <v>442</v>
      </c>
      <c r="G105" s="28" t="s">
        <v>442</v>
      </c>
      <c r="H105" s="23" t="s">
        <v>709</v>
      </c>
      <c r="J105" s="23" t="s">
        <v>618</v>
      </c>
      <c r="AB105" s="42"/>
      <c r="AF105" s="23" t="s">
        <v>930</v>
      </c>
      <c r="AI105" s="26" t="s">
        <v>442</v>
      </c>
      <c r="AJ105" s="28" t="s">
        <v>710</v>
      </c>
      <c r="AL105" s="23" t="s">
        <v>618</v>
      </c>
      <c r="AO105" s="24"/>
      <c r="AP105" s="73"/>
      <c r="AQ105" s="75"/>
      <c r="AR105" s="76"/>
      <c r="AS105" s="77"/>
      <c r="AV105" s="75"/>
      <c r="AW105" s="83"/>
      <c r="AX105" s="84"/>
      <c r="AY105" s="80"/>
      <c r="BB105" s="81"/>
      <c r="BE105" s="24"/>
      <c r="BF105" s="23"/>
      <c r="BG105" s="23" t="s">
        <v>931</v>
      </c>
    </row>
    <row r="106" spans="1:59" ht="15" customHeight="1">
      <c r="A106" s="23" t="s">
        <v>183</v>
      </c>
      <c r="B106" s="23" t="s">
        <v>583</v>
      </c>
      <c r="C106" s="23" t="s">
        <v>57</v>
      </c>
      <c r="D106" s="24">
        <v>105</v>
      </c>
      <c r="E106" s="23">
        <v>1</v>
      </c>
      <c r="F106" s="28" t="s">
        <v>442</v>
      </c>
      <c r="G106" s="23" t="s">
        <v>443</v>
      </c>
      <c r="J106" s="23" t="s">
        <v>619</v>
      </c>
      <c r="L106" s="23">
        <v>1</v>
      </c>
      <c r="Z106" s="68">
        <v>3</v>
      </c>
      <c r="AB106" s="42"/>
      <c r="AI106" s="23" t="s">
        <v>711</v>
      </c>
      <c r="AL106" s="23" t="s">
        <v>619</v>
      </c>
      <c r="AN106" s="23">
        <v>1</v>
      </c>
      <c r="AO106" s="24"/>
      <c r="AP106" s="73"/>
      <c r="AQ106" s="75"/>
      <c r="AR106" s="76"/>
      <c r="AS106" s="77"/>
      <c r="AV106" s="75"/>
      <c r="AW106" s="83"/>
      <c r="AX106" s="84"/>
      <c r="AY106" s="80"/>
      <c r="BB106" s="81"/>
      <c r="BE106" s="24"/>
      <c r="BF106" s="23"/>
      <c r="BG106" s="23" t="s">
        <v>712</v>
      </c>
    </row>
    <row r="107" spans="1:59" ht="15" customHeight="1">
      <c r="A107" s="23" t="s">
        <v>183</v>
      </c>
      <c r="B107" s="23" t="s">
        <v>584</v>
      </c>
      <c r="C107" s="23" t="s">
        <v>57</v>
      </c>
      <c r="D107" s="24">
        <v>106</v>
      </c>
      <c r="E107" s="23">
        <v>1</v>
      </c>
      <c r="F107" s="28" t="s">
        <v>442</v>
      </c>
      <c r="G107" s="23" t="s">
        <v>444</v>
      </c>
      <c r="J107" s="23" t="s">
        <v>619</v>
      </c>
      <c r="L107" s="23">
        <v>2</v>
      </c>
      <c r="Z107" s="68">
        <v>7</v>
      </c>
      <c r="AB107" s="42"/>
      <c r="AI107" s="23" t="s">
        <v>713</v>
      </c>
      <c r="AL107" s="23" t="s">
        <v>619</v>
      </c>
      <c r="AN107" s="23">
        <v>2</v>
      </c>
      <c r="AO107" s="24"/>
      <c r="AP107" s="73"/>
      <c r="AQ107" s="75"/>
      <c r="AR107" s="76"/>
      <c r="AS107" s="77"/>
      <c r="AV107" s="75"/>
      <c r="AW107" s="83"/>
      <c r="AX107" s="84"/>
      <c r="AY107" s="80"/>
      <c r="BB107" s="81"/>
      <c r="BE107" s="24"/>
      <c r="BF107" s="23"/>
      <c r="BG107" s="23" t="s">
        <v>714</v>
      </c>
    </row>
    <row r="108" spans="1:59" ht="15" customHeight="1">
      <c r="A108" s="23" t="s">
        <v>183</v>
      </c>
      <c r="B108" s="23" t="s">
        <v>585</v>
      </c>
      <c r="C108" s="23" t="s">
        <v>57</v>
      </c>
      <c r="D108" s="24">
        <v>107</v>
      </c>
      <c r="E108" s="23">
        <v>1</v>
      </c>
      <c r="F108" s="28" t="s">
        <v>442</v>
      </c>
      <c r="G108" s="23" t="s">
        <v>445</v>
      </c>
      <c r="J108" s="23" t="s">
        <v>619</v>
      </c>
      <c r="L108" s="23">
        <v>3</v>
      </c>
      <c r="Z108" s="68">
        <v>10</v>
      </c>
      <c r="AB108" s="42"/>
      <c r="AF108" s="23" t="s">
        <v>620</v>
      </c>
      <c r="AI108" s="23" t="s">
        <v>715</v>
      </c>
      <c r="AL108" s="23" t="s">
        <v>619</v>
      </c>
      <c r="AN108" s="23">
        <v>3</v>
      </c>
      <c r="AO108" s="24"/>
      <c r="AP108" s="73"/>
      <c r="AQ108" s="75"/>
      <c r="AR108" s="76"/>
      <c r="AS108" s="77"/>
      <c r="AV108" s="75"/>
      <c r="AW108" s="83"/>
      <c r="AX108" s="84"/>
      <c r="AY108" s="80"/>
      <c r="BB108" s="81"/>
      <c r="BE108" s="24"/>
      <c r="BF108" s="23"/>
      <c r="BG108" s="23" t="s">
        <v>716</v>
      </c>
    </row>
    <row r="109" spans="1:59" ht="15" customHeight="1">
      <c r="A109" s="23" t="s">
        <v>183</v>
      </c>
      <c r="B109" s="23" t="s">
        <v>586</v>
      </c>
      <c r="C109" s="23" t="s">
        <v>57</v>
      </c>
      <c r="D109" s="23">
        <v>108</v>
      </c>
      <c r="E109" s="23">
        <v>1</v>
      </c>
      <c r="F109" s="28" t="s">
        <v>442</v>
      </c>
      <c r="G109" s="23" t="s">
        <v>446</v>
      </c>
      <c r="J109" s="23" t="s">
        <v>621</v>
      </c>
      <c r="L109" s="23">
        <v>1</v>
      </c>
      <c r="N109" s="73"/>
      <c r="S109" s="113">
        <v>1</v>
      </c>
      <c r="Y109" s="66" t="s">
        <v>1111</v>
      </c>
      <c r="AB109" s="42"/>
      <c r="AE109" s="23"/>
      <c r="AI109" s="23" t="s">
        <v>717</v>
      </c>
      <c r="AL109" s="23" t="s">
        <v>621</v>
      </c>
      <c r="AN109" s="23">
        <v>1</v>
      </c>
      <c r="AO109" s="24"/>
      <c r="AP109" s="73"/>
      <c r="AQ109" s="75"/>
      <c r="AR109" s="76"/>
      <c r="AS109" s="77"/>
      <c r="AV109" s="75"/>
      <c r="AW109" s="83"/>
      <c r="AX109" s="84"/>
      <c r="AY109" s="80"/>
      <c r="BB109" s="81"/>
      <c r="BE109" s="24"/>
      <c r="BF109" s="23"/>
      <c r="BG109" s="23" t="s">
        <v>718</v>
      </c>
    </row>
    <row r="110" spans="1:59" ht="15" customHeight="1">
      <c r="A110" s="23" t="s">
        <v>183</v>
      </c>
      <c r="B110" s="23" t="s">
        <v>587</v>
      </c>
      <c r="C110" s="23" t="s">
        <v>57</v>
      </c>
      <c r="D110" s="23">
        <v>109</v>
      </c>
      <c r="E110" s="23">
        <v>1</v>
      </c>
      <c r="F110" s="28" t="s">
        <v>442</v>
      </c>
      <c r="G110" s="23" t="s">
        <v>447</v>
      </c>
      <c r="J110" s="23" t="s">
        <v>621</v>
      </c>
      <c r="L110" s="23">
        <v>2</v>
      </c>
      <c r="N110" s="73"/>
      <c r="Y110" s="66" t="s">
        <v>1112</v>
      </c>
      <c r="AB110" s="42"/>
      <c r="AE110" s="23"/>
      <c r="AF110" s="23" t="s">
        <v>622</v>
      </c>
      <c r="AI110" s="23" t="s">
        <v>719</v>
      </c>
      <c r="AL110" s="23" t="s">
        <v>621</v>
      </c>
      <c r="AN110" s="23">
        <v>2</v>
      </c>
      <c r="AO110" s="24"/>
      <c r="AP110" s="73"/>
      <c r="AQ110" s="75"/>
      <c r="AR110" s="76"/>
      <c r="AS110" s="77"/>
      <c r="AV110" s="75"/>
      <c r="AW110" s="83"/>
      <c r="AX110" s="84"/>
      <c r="AY110" s="80"/>
      <c r="BB110" s="81"/>
      <c r="BE110" s="24"/>
      <c r="BF110" s="23"/>
      <c r="BG110" s="23" t="s">
        <v>720</v>
      </c>
    </row>
    <row r="111" spans="1:59" ht="15" customHeight="1">
      <c r="A111" s="23" t="s">
        <v>183</v>
      </c>
      <c r="B111" s="23" t="s">
        <v>588</v>
      </c>
      <c r="C111" s="23" t="s">
        <v>57</v>
      </c>
      <c r="D111" s="23">
        <v>110</v>
      </c>
      <c r="E111" s="23">
        <v>1</v>
      </c>
      <c r="F111" s="28" t="s">
        <v>442</v>
      </c>
      <c r="G111" s="23" t="s">
        <v>448</v>
      </c>
      <c r="J111" s="23" t="s">
        <v>621</v>
      </c>
      <c r="L111" s="23">
        <v>3</v>
      </c>
      <c r="N111" s="73"/>
      <c r="S111" s="113">
        <v>1</v>
      </c>
      <c r="Y111" s="82" t="s">
        <v>38</v>
      </c>
      <c r="AB111" s="42"/>
      <c r="AE111" s="23"/>
      <c r="AF111" s="23" t="s">
        <v>623</v>
      </c>
      <c r="AI111" s="23" t="s">
        <v>721</v>
      </c>
      <c r="AL111" s="23" t="s">
        <v>621</v>
      </c>
      <c r="AN111" s="23">
        <v>3</v>
      </c>
      <c r="AO111" s="24"/>
      <c r="AP111" s="73"/>
      <c r="AQ111" s="75"/>
      <c r="AR111" s="76"/>
      <c r="AS111" s="77"/>
      <c r="AV111" s="75"/>
      <c r="AW111" s="83"/>
      <c r="AX111" s="84"/>
      <c r="AY111" s="80"/>
      <c r="BB111" s="81"/>
      <c r="BE111" s="24"/>
      <c r="BF111" s="23"/>
      <c r="BG111" s="23" t="s">
        <v>722</v>
      </c>
    </row>
    <row r="112" spans="1:59" ht="15" customHeight="1">
      <c r="A112" s="23" t="s">
        <v>183</v>
      </c>
      <c r="B112" s="23" t="s">
        <v>589</v>
      </c>
      <c r="C112" s="23" t="s">
        <v>57</v>
      </c>
      <c r="D112" s="23">
        <v>111</v>
      </c>
      <c r="E112" s="23">
        <v>1</v>
      </c>
      <c r="F112" s="28" t="s">
        <v>442</v>
      </c>
      <c r="G112" s="23" t="s">
        <v>449</v>
      </c>
      <c r="J112" s="23" t="s">
        <v>31</v>
      </c>
      <c r="N112" s="73"/>
      <c r="AB112" s="42"/>
      <c r="AE112" s="23"/>
      <c r="AI112" s="23" t="s">
        <v>449</v>
      </c>
      <c r="AL112" s="23" t="s">
        <v>31</v>
      </c>
      <c r="AP112" s="73"/>
      <c r="AY112" s="71">
        <v>2</v>
      </c>
      <c r="AZ112" s="66" t="s">
        <v>1111</v>
      </c>
      <c r="BF112" s="23"/>
    </row>
    <row r="113" spans="1:59" ht="15" customHeight="1">
      <c r="A113" s="23" t="s">
        <v>183</v>
      </c>
      <c r="B113" s="23" t="s">
        <v>590</v>
      </c>
      <c r="C113" s="23" t="s">
        <v>57</v>
      </c>
      <c r="D113" s="23">
        <v>112</v>
      </c>
      <c r="E113" s="23">
        <v>1</v>
      </c>
      <c r="F113" s="28" t="s">
        <v>442</v>
      </c>
      <c r="G113" s="23" t="s">
        <v>450</v>
      </c>
      <c r="J113" s="23" t="s">
        <v>31</v>
      </c>
      <c r="N113" s="73"/>
      <c r="S113" s="113">
        <v>1</v>
      </c>
      <c r="AB113" s="42"/>
      <c r="AE113" s="23"/>
      <c r="AI113" s="23" t="s">
        <v>450</v>
      </c>
      <c r="AL113" s="23" t="s">
        <v>31</v>
      </c>
      <c r="AP113" s="73"/>
      <c r="AY113" s="71">
        <v>1</v>
      </c>
      <c r="AZ113" s="66">
        <v>0</v>
      </c>
      <c r="BF113" s="23"/>
    </row>
    <row r="114" spans="1:59" ht="15" customHeight="1">
      <c r="A114" s="23" t="s">
        <v>183</v>
      </c>
      <c r="B114" s="23" t="s">
        <v>591</v>
      </c>
      <c r="C114" s="23" t="s">
        <v>57</v>
      </c>
      <c r="D114" s="23">
        <v>113</v>
      </c>
      <c r="E114" s="23">
        <v>1</v>
      </c>
      <c r="F114" s="28" t="s">
        <v>442</v>
      </c>
      <c r="G114" s="23" t="s">
        <v>451</v>
      </c>
      <c r="J114" s="23" t="s">
        <v>31</v>
      </c>
      <c r="N114" s="73"/>
      <c r="AB114" s="42"/>
      <c r="AE114" s="23"/>
      <c r="AI114" s="23" t="s">
        <v>451</v>
      </c>
      <c r="AL114" s="23" t="s">
        <v>31</v>
      </c>
      <c r="AP114" s="73"/>
      <c r="AY114" s="71">
        <v>1</v>
      </c>
      <c r="AZ114" s="66" t="s">
        <v>1111</v>
      </c>
      <c r="BB114" s="72">
        <v>1</v>
      </c>
      <c r="BF114" s="23"/>
      <c r="BG114" s="23" t="s">
        <v>624</v>
      </c>
    </row>
    <row r="115" spans="1:59" ht="15" customHeight="1">
      <c r="A115" s="23" t="s">
        <v>183</v>
      </c>
      <c r="B115" s="23" t="s">
        <v>592</v>
      </c>
      <c r="C115" s="23" t="s">
        <v>57</v>
      </c>
      <c r="D115" s="23">
        <v>114</v>
      </c>
      <c r="E115" s="23">
        <v>1</v>
      </c>
      <c r="F115" s="28" t="s">
        <v>442</v>
      </c>
      <c r="G115" s="23" t="s">
        <v>452</v>
      </c>
      <c r="J115" s="23" t="s">
        <v>31</v>
      </c>
      <c r="N115" s="73"/>
      <c r="S115" s="113">
        <v>1</v>
      </c>
      <c r="AB115" s="42"/>
      <c r="AE115" s="23"/>
      <c r="AI115" s="23" t="s">
        <v>452</v>
      </c>
      <c r="AL115" s="23" t="s">
        <v>31</v>
      </c>
      <c r="AP115" s="73"/>
      <c r="AY115" s="71">
        <v>4</v>
      </c>
      <c r="AZ115" s="66" t="s">
        <v>1111</v>
      </c>
      <c r="BB115" s="72">
        <v>1</v>
      </c>
      <c r="BF115" s="23"/>
      <c r="BG115" s="23" t="s">
        <v>625</v>
      </c>
    </row>
    <row r="116" spans="1:59" ht="15" customHeight="1">
      <c r="A116" s="23" t="s">
        <v>183</v>
      </c>
      <c r="B116" s="23" t="s">
        <v>593</v>
      </c>
      <c r="C116" s="23" t="s">
        <v>57</v>
      </c>
      <c r="D116" s="23">
        <v>115</v>
      </c>
      <c r="E116" s="23">
        <v>1</v>
      </c>
      <c r="F116" s="28" t="s">
        <v>442</v>
      </c>
      <c r="G116" s="23" t="s">
        <v>453</v>
      </c>
      <c r="J116" s="23" t="s">
        <v>31</v>
      </c>
      <c r="N116" s="73"/>
      <c r="AB116" s="42"/>
      <c r="AE116" s="23"/>
      <c r="AI116" s="23" t="s">
        <v>453</v>
      </c>
      <c r="AL116" s="23" t="s">
        <v>31</v>
      </c>
      <c r="AP116" s="73"/>
      <c r="AY116" s="71">
        <v>2</v>
      </c>
      <c r="AZ116" s="66">
        <v>0</v>
      </c>
      <c r="BF116" s="23"/>
      <c r="BG116" s="23" t="s">
        <v>626</v>
      </c>
    </row>
    <row r="117" spans="1:59" ht="15" customHeight="1">
      <c r="A117" s="23" t="s">
        <v>183</v>
      </c>
      <c r="B117" s="23" t="s">
        <v>594</v>
      </c>
      <c r="C117" s="23" t="s">
        <v>57</v>
      </c>
      <c r="D117" s="23">
        <v>116</v>
      </c>
      <c r="E117" s="23">
        <v>1</v>
      </c>
      <c r="F117" s="28" t="s">
        <v>442</v>
      </c>
      <c r="G117" s="23" t="s">
        <v>454</v>
      </c>
      <c r="J117" s="23" t="s">
        <v>29</v>
      </c>
      <c r="N117" s="73"/>
      <c r="Q117" s="65">
        <v>4</v>
      </c>
      <c r="R117" s="66">
        <v>4</v>
      </c>
      <c r="S117" s="113">
        <v>1</v>
      </c>
      <c r="T117" s="68" t="s">
        <v>1077</v>
      </c>
      <c r="V117" s="69">
        <v>2</v>
      </c>
      <c r="W117" s="70">
        <v>2</v>
      </c>
      <c r="AA117" s="72">
        <v>2</v>
      </c>
      <c r="AB117" s="42"/>
      <c r="AD117" s="23" t="s">
        <v>455</v>
      </c>
      <c r="AE117" s="23"/>
      <c r="AF117" s="23" t="s">
        <v>627</v>
      </c>
      <c r="AO117" s="24"/>
      <c r="AP117" s="73"/>
      <c r="AQ117" s="75"/>
      <c r="AR117" s="76"/>
      <c r="AS117" s="77"/>
      <c r="AV117" s="75"/>
      <c r="AW117" s="83"/>
      <c r="AX117" s="84"/>
      <c r="AY117" s="80"/>
      <c r="BB117" s="81"/>
      <c r="BE117" s="24"/>
      <c r="BF117" s="23"/>
    </row>
    <row r="118" spans="1:59" ht="15" customHeight="1">
      <c r="A118" s="23" t="s">
        <v>183</v>
      </c>
      <c r="B118" s="23" t="s">
        <v>595</v>
      </c>
      <c r="C118" s="23" t="s">
        <v>57</v>
      </c>
      <c r="D118" s="23">
        <v>117</v>
      </c>
      <c r="E118" s="23">
        <v>1</v>
      </c>
      <c r="F118" s="28" t="s">
        <v>442</v>
      </c>
      <c r="G118" s="23" t="s">
        <v>456</v>
      </c>
      <c r="H118" s="23" t="s">
        <v>457</v>
      </c>
      <c r="I118" s="23" t="s">
        <v>223</v>
      </c>
      <c r="J118" s="23" t="s">
        <v>257</v>
      </c>
      <c r="N118" s="73"/>
      <c r="S118" s="113">
        <v>1</v>
      </c>
      <c r="T118" s="68">
        <v>3</v>
      </c>
      <c r="U118" s="63">
        <v>3</v>
      </c>
      <c r="AB118" s="42"/>
      <c r="AC118" s="23" t="s">
        <v>25</v>
      </c>
      <c r="AD118" s="23" t="s">
        <v>458</v>
      </c>
      <c r="AE118" s="23"/>
      <c r="AF118" s="23" t="s">
        <v>628</v>
      </c>
      <c r="AO118" s="24"/>
      <c r="AP118" s="73"/>
      <c r="AQ118" s="75"/>
      <c r="AR118" s="76"/>
      <c r="AS118" s="77"/>
      <c r="AV118" s="75"/>
      <c r="AW118" s="83"/>
      <c r="AX118" s="84"/>
      <c r="AY118" s="80"/>
      <c r="BB118" s="81"/>
      <c r="BE118" s="24"/>
      <c r="BF118" s="23"/>
    </row>
    <row r="119" spans="1:59" ht="15" customHeight="1">
      <c r="A119" s="23" t="s">
        <v>183</v>
      </c>
      <c r="B119" s="23" t="s">
        <v>596</v>
      </c>
      <c r="C119" s="23" t="s">
        <v>57</v>
      </c>
      <c r="D119" s="23">
        <v>118</v>
      </c>
      <c r="E119" s="23">
        <v>1</v>
      </c>
      <c r="F119" s="28" t="s">
        <v>442</v>
      </c>
      <c r="G119" s="23" t="s">
        <v>459</v>
      </c>
      <c r="J119" s="23" t="s">
        <v>29</v>
      </c>
      <c r="N119" s="73"/>
      <c r="Q119" s="65">
        <v>4</v>
      </c>
      <c r="R119" s="66">
        <v>1</v>
      </c>
      <c r="T119" s="68">
        <v>4</v>
      </c>
      <c r="V119" s="69">
        <v>1</v>
      </c>
      <c r="W119" s="70">
        <v>2</v>
      </c>
      <c r="AA119" s="72">
        <v>1</v>
      </c>
      <c r="AB119" s="42"/>
      <c r="AD119" s="23" t="s">
        <v>460</v>
      </c>
      <c r="AE119" s="23"/>
      <c r="AF119" s="23" t="s">
        <v>629</v>
      </c>
      <c r="AO119" s="24"/>
      <c r="AP119" s="73"/>
      <c r="AQ119" s="75"/>
      <c r="AR119" s="76"/>
      <c r="AS119" s="77"/>
      <c r="AV119" s="75"/>
      <c r="AW119" s="83"/>
      <c r="AX119" s="84"/>
      <c r="AY119" s="80"/>
      <c r="BB119" s="81"/>
      <c r="BE119" s="24"/>
      <c r="BF119" s="23"/>
    </row>
    <row r="120" spans="1:59" ht="15" customHeight="1">
      <c r="A120" s="23" t="s">
        <v>183</v>
      </c>
      <c r="B120" s="23" t="s">
        <v>597</v>
      </c>
      <c r="C120" s="23" t="s">
        <v>57</v>
      </c>
      <c r="D120" s="23">
        <v>119</v>
      </c>
      <c r="E120" s="23">
        <v>1</v>
      </c>
      <c r="F120" s="28" t="s">
        <v>442</v>
      </c>
      <c r="G120" s="23" t="s">
        <v>461</v>
      </c>
      <c r="J120" s="23" t="s">
        <v>29</v>
      </c>
      <c r="N120" s="73"/>
      <c r="Q120" s="65">
        <v>3</v>
      </c>
      <c r="R120" s="66">
        <v>4</v>
      </c>
      <c r="S120" s="113">
        <v>1</v>
      </c>
      <c r="T120" s="68">
        <v>4</v>
      </c>
      <c r="V120" s="69">
        <v>2</v>
      </c>
      <c r="W120" s="70">
        <v>1</v>
      </c>
      <c r="AA120" s="72">
        <v>1</v>
      </c>
      <c r="AB120" s="42"/>
      <c r="AD120" s="23" t="s">
        <v>460</v>
      </c>
      <c r="AE120" s="23"/>
      <c r="AF120" s="23" t="s">
        <v>630</v>
      </c>
      <c r="AO120" s="24"/>
      <c r="AP120" s="73"/>
      <c r="AQ120" s="75"/>
      <c r="AR120" s="76"/>
      <c r="AS120" s="77"/>
      <c r="AV120" s="75"/>
      <c r="AW120" s="83"/>
      <c r="AX120" s="84"/>
      <c r="AY120" s="80"/>
      <c r="BB120" s="81"/>
      <c r="BE120" s="24"/>
      <c r="BF120" s="23"/>
    </row>
    <row r="121" spans="1:59" ht="15" customHeight="1">
      <c r="A121" s="23" t="s">
        <v>183</v>
      </c>
      <c r="B121" s="23" t="s">
        <v>902</v>
      </c>
      <c r="C121" s="23" t="s">
        <v>57</v>
      </c>
      <c r="D121" s="23">
        <v>120</v>
      </c>
      <c r="E121" s="23">
        <v>1</v>
      </c>
      <c r="F121" s="23" t="s">
        <v>723</v>
      </c>
      <c r="G121" s="23" t="s">
        <v>723</v>
      </c>
      <c r="H121" s="23" t="s">
        <v>709</v>
      </c>
      <c r="J121" s="23" t="s">
        <v>618</v>
      </c>
      <c r="N121" s="73"/>
      <c r="AB121" s="42"/>
      <c r="AE121" s="23"/>
      <c r="AF121" s="23" t="s">
        <v>724</v>
      </c>
      <c r="AI121" s="23" t="s">
        <v>723</v>
      </c>
      <c r="AJ121" s="23" t="s">
        <v>710</v>
      </c>
      <c r="AL121" s="23" t="s">
        <v>618</v>
      </c>
      <c r="AO121" s="24"/>
      <c r="AP121" s="73"/>
      <c r="AQ121" s="75"/>
      <c r="AR121" s="76"/>
      <c r="AS121" s="77"/>
      <c r="AV121" s="75"/>
      <c r="AW121" s="83"/>
      <c r="AX121" s="84"/>
      <c r="AY121" s="80"/>
      <c r="BB121" s="81"/>
      <c r="BE121" s="24"/>
      <c r="BF121" s="23"/>
      <c r="BG121" s="23" t="s">
        <v>725</v>
      </c>
    </row>
    <row r="122" spans="1:59" ht="15" customHeight="1">
      <c r="A122" s="23" t="s">
        <v>183</v>
      </c>
      <c r="B122" s="23" t="s">
        <v>903</v>
      </c>
      <c r="C122" s="23" t="s">
        <v>57</v>
      </c>
      <c r="D122" s="23">
        <v>121</v>
      </c>
      <c r="E122" s="23">
        <v>1</v>
      </c>
      <c r="F122" s="23" t="s">
        <v>723</v>
      </c>
      <c r="G122" s="23" t="s">
        <v>726</v>
      </c>
      <c r="J122" s="23" t="s">
        <v>619</v>
      </c>
      <c r="L122" s="23">
        <v>1</v>
      </c>
      <c r="N122" s="73"/>
      <c r="Z122" s="68">
        <v>6</v>
      </c>
      <c r="AB122" s="42"/>
      <c r="AE122" s="23"/>
      <c r="AF122" s="23" t="s">
        <v>727</v>
      </c>
      <c r="AI122" s="23" t="s">
        <v>728</v>
      </c>
      <c r="AJ122" s="23" t="s">
        <v>729</v>
      </c>
      <c r="AK122" s="23" t="s">
        <v>223</v>
      </c>
      <c r="AL122" s="23" t="s">
        <v>29</v>
      </c>
      <c r="AO122" s="24"/>
      <c r="AP122" s="73"/>
      <c r="AQ122" s="75"/>
      <c r="AR122" s="76"/>
      <c r="AS122" s="77">
        <v>4</v>
      </c>
      <c r="AT122" s="66">
        <v>2</v>
      </c>
      <c r="AU122" s="68">
        <v>4</v>
      </c>
      <c r="AV122" s="75"/>
      <c r="AW122" s="83">
        <v>2</v>
      </c>
      <c r="AX122" s="84">
        <v>1</v>
      </c>
      <c r="AY122" s="80"/>
      <c r="BB122" s="81">
        <v>2</v>
      </c>
      <c r="BE122" s="24"/>
      <c r="BF122" s="23" t="s">
        <v>730</v>
      </c>
      <c r="BG122" s="23" t="s">
        <v>731</v>
      </c>
    </row>
    <row r="123" spans="1:59" ht="15" customHeight="1">
      <c r="A123" s="23" t="s">
        <v>183</v>
      </c>
      <c r="B123" s="23" t="s">
        <v>1096</v>
      </c>
      <c r="C123" s="23" t="s">
        <v>57</v>
      </c>
      <c r="D123" s="23">
        <v>121</v>
      </c>
      <c r="E123" s="23">
        <v>1</v>
      </c>
      <c r="F123" s="23" t="s">
        <v>723</v>
      </c>
      <c r="G123" s="23" t="s">
        <v>728</v>
      </c>
      <c r="H123" s="23" t="s">
        <v>729</v>
      </c>
      <c r="I123" s="23" t="s">
        <v>223</v>
      </c>
      <c r="J123" s="23" t="s">
        <v>29</v>
      </c>
      <c r="M123" s="24"/>
      <c r="N123" s="73"/>
      <c r="O123" s="75"/>
      <c r="P123" s="76"/>
      <c r="Q123" s="77">
        <v>4</v>
      </c>
      <c r="R123" s="66">
        <v>2</v>
      </c>
      <c r="T123" s="68">
        <v>4</v>
      </c>
      <c r="U123" s="75"/>
      <c r="V123" s="83">
        <v>2</v>
      </c>
      <c r="W123" s="84">
        <v>1</v>
      </c>
      <c r="X123" s="80"/>
      <c r="AA123" s="81">
        <v>2</v>
      </c>
      <c r="AD123" s="24"/>
      <c r="AE123" s="23" t="s">
        <v>730</v>
      </c>
      <c r="AF123" s="23" t="s">
        <v>731</v>
      </c>
      <c r="AO123" s="24"/>
      <c r="AP123" s="73"/>
      <c r="AQ123" s="75"/>
      <c r="AR123" s="76"/>
      <c r="AS123" s="77"/>
      <c r="AV123" s="75"/>
      <c r="AW123" s="83"/>
      <c r="AX123" s="84"/>
      <c r="AY123" s="80"/>
      <c r="BB123" s="81"/>
      <c r="BE123" s="24"/>
      <c r="BF123" s="23"/>
    </row>
    <row r="124" spans="1:59" ht="15" customHeight="1">
      <c r="A124" s="23" t="s">
        <v>183</v>
      </c>
      <c r="B124" s="23" t="s">
        <v>904</v>
      </c>
      <c r="C124" s="23" t="s">
        <v>57</v>
      </c>
      <c r="D124" s="23">
        <v>122</v>
      </c>
      <c r="E124" s="23">
        <v>1</v>
      </c>
      <c r="F124" s="23" t="s">
        <v>723</v>
      </c>
      <c r="G124" s="23" t="s">
        <v>732</v>
      </c>
      <c r="J124" s="23" t="s">
        <v>619</v>
      </c>
      <c r="L124" s="23">
        <v>2</v>
      </c>
      <c r="N124" s="73"/>
      <c r="Z124" s="68">
        <v>8</v>
      </c>
      <c r="AB124" s="42"/>
      <c r="AE124" s="23"/>
      <c r="AF124" s="23" t="s">
        <v>727</v>
      </c>
      <c r="AI124" s="23" t="s">
        <v>733</v>
      </c>
      <c r="AL124" s="23" t="s">
        <v>619</v>
      </c>
      <c r="AN124" s="23">
        <v>2</v>
      </c>
      <c r="AO124" s="24"/>
      <c r="AP124" s="73"/>
      <c r="AQ124" s="75"/>
      <c r="AR124" s="76"/>
      <c r="AS124" s="77"/>
      <c r="AV124" s="75"/>
      <c r="AW124" s="83"/>
      <c r="AX124" s="84"/>
      <c r="AY124" s="80"/>
      <c r="BB124" s="81"/>
      <c r="BE124" s="24"/>
      <c r="BF124" s="23"/>
      <c r="BG124" s="23" t="s">
        <v>734</v>
      </c>
    </row>
    <row r="125" spans="1:59" ht="15" customHeight="1">
      <c r="A125" s="23" t="s">
        <v>183</v>
      </c>
      <c r="B125" s="23" t="s">
        <v>905</v>
      </c>
      <c r="C125" s="23" t="s">
        <v>57</v>
      </c>
      <c r="D125" s="23">
        <v>123</v>
      </c>
      <c r="E125" s="23">
        <v>1</v>
      </c>
      <c r="F125" s="23" t="s">
        <v>723</v>
      </c>
      <c r="G125" s="23" t="s">
        <v>735</v>
      </c>
      <c r="J125" s="23" t="s">
        <v>621</v>
      </c>
      <c r="L125" s="23">
        <v>1</v>
      </c>
      <c r="N125" s="73"/>
      <c r="Y125" s="82" t="s">
        <v>38</v>
      </c>
      <c r="AB125" s="42"/>
      <c r="AE125" s="23"/>
      <c r="AF125" s="23" t="s">
        <v>736</v>
      </c>
      <c r="AI125" s="23" t="s">
        <v>737</v>
      </c>
      <c r="AL125" s="23" t="s">
        <v>621</v>
      </c>
      <c r="AN125" s="23">
        <v>1</v>
      </c>
      <c r="AO125" s="24"/>
      <c r="AP125" s="73"/>
      <c r="AQ125" s="75"/>
      <c r="AR125" s="76"/>
      <c r="AS125" s="77"/>
      <c r="AV125" s="75"/>
      <c r="AW125" s="83"/>
      <c r="AX125" s="84"/>
      <c r="AY125" s="80"/>
      <c r="BB125" s="81"/>
      <c r="BE125" s="24"/>
      <c r="BF125" s="23"/>
      <c r="BG125" s="23" t="s">
        <v>738</v>
      </c>
    </row>
    <row r="126" spans="1:59" ht="15" customHeight="1">
      <c r="A126" s="23" t="s">
        <v>183</v>
      </c>
      <c r="B126" s="23" t="s">
        <v>906</v>
      </c>
      <c r="C126" s="23" t="s">
        <v>57</v>
      </c>
      <c r="D126" s="23">
        <v>124</v>
      </c>
      <c r="E126" s="23">
        <v>1</v>
      </c>
      <c r="F126" s="23" t="s">
        <v>723</v>
      </c>
      <c r="G126" s="23" t="s">
        <v>739</v>
      </c>
      <c r="J126" s="23" t="s">
        <v>31</v>
      </c>
      <c r="N126" s="73"/>
      <c r="AB126" s="42"/>
      <c r="AD126" s="23" t="s">
        <v>463</v>
      </c>
      <c r="AE126" s="23"/>
      <c r="AI126" s="23" t="s">
        <v>739</v>
      </c>
      <c r="AL126" s="23" t="s">
        <v>31</v>
      </c>
      <c r="AO126" s="24"/>
      <c r="AP126" s="73"/>
      <c r="AQ126" s="75"/>
      <c r="AR126" s="76"/>
      <c r="AS126" s="77"/>
      <c r="AV126" s="75"/>
      <c r="AW126" s="83"/>
      <c r="AX126" s="84"/>
      <c r="AY126" s="80">
        <v>2</v>
      </c>
      <c r="AZ126" s="66" t="s">
        <v>1073</v>
      </c>
      <c r="BB126" s="81"/>
      <c r="BE126" s="24" t="s">
        <v>463</v>
      </c>
      <c r="BF126" s="23"/>
      <c r="BG126" s="23" t="s">
        <v>740</v>
      </c>
    </row>
    <row r="127" spans="1:59" ht="15" customHeight="1">
      <c r="A127" s="23" t="s">
        <v>183</v>
      </c>
      <c r="B127" s="23" t="s">
        <v>907</v>
      </c>
      <c r="C127" s="23" t="s">
        <v>57</v>
      </c>
      <c r="D127" s="23">
        <v>125</v>
      </c>
      <c r="E127" s="23">
        <v>1</v>
      </c>
      <c r="F127" s="23" t="s">
        <v>723</v>
      </c>
      <c r="G127" s="23" t="s">
        <v>741</v>
      </c>
      <c r="J127" s="23" t="s">
        <v>31</v>
      </c>
      <c r="N127" s="73"/>
      <c r="AB127" s="42"/>
      <c r="AD127" s="23" t="s">
        <v>742</v>
      </c>
      <c r="AE127" s="23"/>
      <c r="AI127" s="23" t="s">
        <v>741</v>
      </c>
      <c r="AL127" s="23" t="s">
        <v>31</v>
      </c>
      <c r="AO127" s="24"/>
      <c r="AP127" s="73"/>
      <c r="AQ127" s="75"/>
      <c r="AR127" s="76"/>
      <c r="AS127" s="77"/>
      <c r="AV127" s="75"/>
      <c r="AW127" s="83"/>
      <c r="AX127" s="84"/>
      <c r="AY127" s="80">
        <v>1</v>
      </c>
      <c r="AZ127" s="66" t="s">
        <v>1073</v>
      </c>
      <c r="BB127" s="81"/>
      <c r="BE127" s="24" t="s">
        <v>742</v>
      </c>
      <c r="BF127" s="23"/>
    </row>
    <row r="128" spans="1:59" ht="15" customHeight="1">
      <c r="A128" s="23" t="s">
        <v>183</v>
      </c>
      <c r="B128" s="23" t="s">
        <v>908</v>
      </c>
      <c r="C128" s="23" t="s">
        <v>57</v>
      </c>
      <c r="D128" s="23">
        <v>126</v>
      </c>
      <c r="E128" s="23">
        <v>1</v>
      </c>
      <c r="F128" s="23" t="s">
        <v>723</v>
      </c>
      <c r="G128" s="23" t="s">
        <v>743</v>
      </c>
      <c r="J128" s="23" t="s">
        <v>31</v>
      </c>
      <c r="N128" s="73"/>
      <c r="AB128" s="42"/>
      <c r="AD128" s="23" t="s">
        <v>463</v>
      </c>
      <c r="AE128" s="23"/>
      <c r="AI128" s="23" t="s">
        <v>743</v>
      </c>
      <c r="AJ128" s="23" t="s">
        <v>744</v>
      </c>
      <c r="AL128" s="23" t="s">
        <v>31</v>
      </c>
      <c r="AO128" s="24"/>
      <c r="AP128" s="73"/>
      <c r="AQ128" s="75"/>
      <c r="AR128" s="76"/>
      <c r="AS128" s="77"/>
      <c r="AV128" s="75"/>
      <c r="AW128" s="83"/>
      <c r="AX128" s="84"/>
      <c r="AY128" s="80">
        <v>3</v>
      </c>
      <c r="AZ128" s="66" t="s">
        <v>1073</v>
      </c>
      <c r="BB128" s="81"/>
      <c r="BE128" s="24" t="s">
        <v>463</v>
      </c>
      <c r="BF128" s="23"/>
      <c r="BG128" s="23" t="s">
        <v>745</v>
      </c>
    </row>
    <row r="129" spans="1:59" ht="15" customHeight="1">
      <c r="A129" s="23" t="s">
        <v>183</v>
      </c>
      <c r="B129" s="23" t="s">
        <v>909</v>
      </c>
      <c r="C129" s="23" t="s">
        <v>57</v>
      </c>
      <c r="D129" s="23">
        <v>127</v>
      </c>
      <c r="E129" s="23">
        <v>1</v>
      </c>
      <c r="F129" s="23" t="s">
        <v>723</v>
      </c>
      <c r="G129" s="23" t="s">
        <v>743</v>
      </c>
      <c r="J129" s="23" t="s">
        <v>31</v>
      </c>
      <c r="N129" s="73"/>
      <c r="AB129" s="42"/>
      <c r="AD129" s="23" t="s">
        <v>463</v>
      </c>
      <c r="AE129" s="23"/>
      <c r="AI129" s="23" t="s">
        <v>743</v>
      </c>
      <c r="AJ129" s="23" t="s">
        <v>746</v>
      </c>
      <c r="AL129" s="23" t="s">
        <v>31</v>
      </c>
      <c r="AO129" s="24"/>
      <c r="AP129" s="73"/>
      <c r="AQ129" s="75"/>
      <c r="AR129" s="76"/>
      <c r="AS129" s="77"/>
      <c r="AV129" s="75"/>
      <c r="AW129" s="83"/>
      <c r="AX129" s="84"/>
      <c r="AY129" s="80">
        <v>2</v>
      </c>
      <c r="AZ129" s="66" t="s">
        <v>1073</v>
      </c>
      <c r="BB129" s="81"/>
      <c r="BE129" s="24" t="s">
        <v>463</v>
      </c>
      <c r="BF129" s="23"/>
      <c r="BG129" s="23" t="s">
        <v>747</v>
      </c>
    </row>
    <row r="130" spans="1:59" ht="15" customHeight="1">
      <c r="A130" s="23" t="s">
        <v>183</v>
      </c>
      <c r="B130" s="23" t="s">
        <v>598</v>
      </c>
      <c r="C130" s="23" t="s">
        <v>57</v>
      </c>
      <c r="D130" s="23">
        <v>128</v>
      </c>
      <c r="E130" s="23">
        <v>1</v>
      </c>
      <c r="F130" s="23" t="s">
        <v>723</v>
      </c>
      <c r="G130" s="23" t="s">
        <v>462</v>
      </c>
      <c r="J130" s="23" t="s">
        <v>31</v>
      </c>
      <c r="N130" s="73"/>
      <c r="AB130" s="42"/>
      <c r="AD130" s="23" t="s">
        <v>463</v>
      </c>
      <c r="AE130" s="23"/>
      <c r="AI130" s="23" t="s">
        <v>462</v>
      </c>
      <c r="AL130" s="23" t="s">
        <v>31</v>
      </c>
      <c r="AP130" s="73"/>
      <c r="AY130" s="71">
        <v>2</v>
      </c>
      <c r="AZ130" s="66" t="s">
        <v>1073</v>
      </c>
      <c r="BE130" s="23" t="s">
        <v>463</v>
      </c>
      <c r="BF130" s="23"/>
      <c r="BG130" s="23" t="s">
        <v>631</v>
      </c>
    </row>
    <row r="131" spans="1:59" ht="15" customHeight="1">
      <c r="A131" s="23" t="s">
        <v>183</v>
      </c>
      <c r="B131" s="23" t="s">
        <v>599</v>
      </c>
      <c r="C131" s="23" t="s">
        <v>57</v>
      </c>
      <c r="D131" s="23">
        <v>129</v>
      </c>
      <c r="E131" s="23">
        <v>1</v>
      </c>
      <c r="F131" s="23" t="s">
        <v>723</v>
      </c>
      <c r="G131" s="23" t="s">
        <v>464</v>
      </c>
      <c r="J131" s="23" t="s">
        <v>31</v>
      </c>
      <c r="N131" s="73"/>
      <c r="AB131" s="42"/>
      <c r="AD131" s="23" t="s">
        <v>463</v>
      </c>
      <c r="AE131" s="23"/>
      <c r="AI131" s="23" t="s">
        <v>464</v>
      </c>
      <c r="AL131" s="23" t="s">
        <v>31</v>
      </c>
      <c r="AP131" s="73"/>
      <c r="AY131" s="71">
        <v>4</v>
      </c>
      <c r="AZ131" s="66" t="s">
        <v>1111</v>
      </c>
      <c r="BB131" s="72">
        <v>1</v>
      </c>
      <c r="BE131" s="23" t="s">
        <v>463</v>
      </c>
      <c r="BF131" s="23"/>
      <c r="BG131" s="23" t="s">
        <v>748</v>
      </c>
    </row>
    <row r="132" spans="1:59" ht="15" customHeight="1">
      <c r="A132" s="23" t="s">
        <v>183</v>
      </c>
      <c r="B132" s="23" t="s">
        <v>892</v>
      </c>
      <c r="C132" s="23" t="s">
        <v>57</v>
      </c>
      <c r="D132" s="23">
        <v>130</v>
      </c>
      <c r="E132" s="23">
        <v>1</v>
      </c>
      <c r="F132" s="23" t="s">
        <v>723</v>
      </c>
      <c r="G132" s="23" t="s">
        <v>749</v>
      </c>
      <c r="J132" s="23" t="s">
        <v>31</v>
      </c>
      <c r="N132" s="73"/>
      <c r="AB132" s="42"/>
      <c r="AD132" s="23" t="s">
        <v>463</v>
      </c>
      <c r="AE132" s="23"/>
      <c r="AI132" s="23" t="s">
        <v>749</v>
      </c>
      <c r="AJ132" s="23" t="s">
        <v>750</v>
      </c>
      <c r="AL132" s="23" t="s">
        <v>31</v>
      </c>
      <c r="AO132" s="24"/>
      <c r="AP132" s="73"/>
      <c r="AQ132" s="75"/>
      <c r="AR132" s="76"/>
      <c r="AS132" s="77"/>
      <c r="AV132" s="75"/>
      <c r="AW132" s="83"/>
      <c r="AX132" s="84"/>
      <c r="AY132" s="80">
        <v>3</v>
      </c>
      <c r="AZ132" s="66" t="s">
        <v>1073</v>
      </c>
      <c r="BB132" s="81"/>
      <c r="BE132" s="24" t="s">
        <v>463</v>
      </c>
      <c r="BF132" s="23"/>
      <c r="BG132" s="23" t="s">
        <v>751</v>
      </c>
    </row>
    <row r="133" spans="1:59" ht="15" customHeight="1">
      <c r="A133" s="23" t="s">
        <v>183</v>
      </c>
      <c r="B133" s="23" t="s">
        <v>893</v>
      </c>
      <c r="C133" s="23" t="s">
        <v>57</v>
      </c>
      <c r="D133" s="23">
        <v>131</v>
      </c>
      <c r="E133" s="23">
        <v>1</v>
      </c>
      <c r="F133" s="23" t="s">
        <v>723</v>
      </c>
      <c r="G133" s="23" t="s">
        <v>749</v>
      </c>
      <c r="J133" s="23" t="s">
        <v>31</v>
      </c>
      <c r="N133" s="73"/>
      <c r="AB133" s="42"/>
      <c r="AD133" s="23" t="s">
        <v>463</v>
      </c>
      <c r="AE133" s="23"/>
      <c r="AI133" s="23" t="s">
        <v>749</v>
      </c>
      <c r="AJ133" s="23" t="s">
        <v>752</v>
      </c>
      <c r="AL133" s="23" t="s">
        <v>31</v>
      </c>
      <c r="AO133" s="24"/>
      <c r="AP133" s="73"/>
      <c r="AQ133" s="75"/>
      <c r="AR133" s="76"/>
      <c r="AS133" s="77"/>
      <c r="AV133" s="75"/>
      <c r="AW133" s="83"/>
      <c r="AX133" s="84"/>
      <c r="AY133" s="80">
        <v>3</v>
      </c>
      <c r="AZ133" s="66" t="s">
        <v>1111</v>
      </c>
      <c r="BB133" s="81"/>
      <c r="BE133" s="24" t="s">
        <v>463</v>
      </c>
      <c r="BF133" s="23"/>
      <c r="BG133" s="23" t="s">
        <v>753</v>
      </c>
    </row>
    <row r="134" spans="1:59" ht="15" customHeight="1">
      <c r="A134" s="23" t="s">
        <v>183</v>
      </c>
      <c r="B134" s="23" t="s">
        <v>894</v>
      </c>
      <c r="C134" s="23" t="s">
        <v>57</v>
      </c>
      <c r="D134" s="23">
        <v>132</v>
      </c>
      <c r="E134" s="23">
        <v>1</v>
      </c>
      <c r="F134" s="23" t="s">
        <v>723</v>
      </c>
      <c r="G134" s="23" t="s">
        <v>754</v>
      </c>
      <c r="J134" s="23" t="s">
        <v>31</v>
      </c>
      <c r="N134" s="73"/>
      <c r="AB134" s="42"/>
      <c r="AD134" s="23" t="s">
        <v>463</v>
      </c>
      <c r="AE134" s="23"/>
      <c r="AI134" s="23" t="s">
        <v>754</v>
      </c>
      <c r="AL134" s="23" t="s">
        <v>31</v>
      </c>
      <c r="AO134" s="24"/>
      <c r="AP134" s="73"/>
      <c r="AQ134" s="75"/>
      <c r="AR134" s="76"/>
      <c r="AS134" s="77"/>
      <c r="AV134" s="75"/>
      <c r="AW134" s="83"/>
      <c r="AX134" s="84"/>
      <c r="AY134" s="80">
        <v>2</v>
      </c>
      <c r="AZ134" s="66" t="s">
        <v>1073</v>
      </c>
      <c r="BB134" s="81"/>
      <c r="BE134" s="24" t="s">
        <v>463</v>
      </c>
      <c r="BF134" s="23"/>
      <c r="BG134" s="23" t="s">
        <v>755</v>
      </c>
    </row>
    <row r="135" spans="1:59" ht="15" customHeight="1">
      <c r="A135" s="23" t="s">
        <v>183</v>
      </c>
      <c r="B135" s="23" t="s">
        <v>895</v>
      </c>
      <c r="C135" s="23" t="s">
        <v>57</v>
      </c>
      <c r="D135" s="23">
        <v>133</v>
      </c>
      <c r="E135" s="23">
        <v>1</v>
      </c>
      <c r="F135" s="23" t="s">
        <v>723</v>
      </c>
      <c r="G135" s="23" t="s">
        <v>756</v>
      </c>
      <c r="J135" s="23" t="s">
        <v>31</v>
      </c>
      <c r="N135" s="73"/>
      <c r="AB135" s="42"/>
      <c r="AD135" s="23" t="s">
        <v>463</v>
      </c>
      <c r="AE135" s="23"/>
      <c r="AI135" s="23" t="s">
        <v>756</v>
      </c>
      <c r="AL135" s="23" t="s">
        <v>31</v>
      </c>
      <c r="AO135" s="24"/>
      <c r="AP135" s="73"/>
      <c r="AQ135" s="75"/>
      <c r="AR135" s="76"/>
      <c r="AS135" s="77"/>
      <c r="AV135" s="75"/>
      <c r="AW135" s="83"/>
      <c r="AX135" s="84"/>
      <c r="AY135" s="80">
        <v>1</v>
      </c>
      <c r="AZ135" s="66" t="s">
        <v>1111</v>
      </c>
      <c r="BB135" s="81">
        <v>1</v>
      </c>
      <c r="BE135" s="24" t="s">
        <v>463</v>
      </c>
      <c r="BF135" s="23"/>
      <c r="BG135" s="23" t="s">
        <v>757</v>
      </c>
    </row>
    <row r="136" spans="1:59" ht="15" customHeight="1">
      <c r="A136" s="23" t="s">
        <v>183</v>
      </c>
      <c r="B136" s="23" t="s">
        <v>896</v>
      </c>
      <c r="C136" s="23" t="s">
        <v>57</v>
      </c>
      <c r="D136" s="23">
        <v>134</v>
      </c>
      <c r="E136" s="23">
        <v>1</v>
      </c>
      <c r="F136" s="23" t="s">
        <v>723</v>
      </c>
      <c r="G136" s="23" t="s">
        <v>758</v>
      </c>
      <c r="J136" s="23" t="s">
        <v>31</v>
      </c>
      <c r="N136" s="73"/>
      <c r="AB136" s="42"/>
      <c r="AD136" s="23" t="s">
        <v>463</v>
      </c>
      <c r="AE136" s="23"/>
      <c r="AI136" s="23" t="s">
        <v>758</v>
      </c>
      <c r="AL136" s="23" t="s">
        <v>31</v>
      </c>
      <c r="AO136" s="24"/>
      <c r="AP136" s="73"/>
      <c r="AQ136" s="75"/>
      <c r="AR136" s="76"/>
      <c r="AS136" s="77"/>
      <c r="AV136" s="75"/>
      <c r="AW136" s="83"/>
      <c r="AX136" s="84"/>
      <c r="AY136" s="80">
        <v>3</v>
      </c>
      <c r="AZ136" s="66" t="s">
        <v>1111</v>
      </c>
      <c r="BB136" s="81">
        <v>1</v>
      </c>
      <c r="BE136" s="24" t="s">
        <v>463</v>
      </c>
      <c r="BF136" s="23"/>
      <c r="BG136" s="23" t="s">
        <v>759</v>
      </c>
    </row>
    <row r="137" spans="1:59" ht="15" customHeight="1">
      <c r="A137" s="23" t="s">
        <v>183</v>
      </c>
      <c r="B137" s="23" t="s">
        <v>897</v>
      </c>
      <c r="C137" s="23" t="s">
        <v>57</v>
      </c>
      <c r="D137" s="23">
        <v>135</v>
      </c>
      <c r="E137" s="23">
        <v>3</v>
      </c>
      <c r="F137" s="23" t="s">
        <v>723</v>
      </c>
      <c r="G137" s="23" t="s">
        <v>760</v>
      </c>
      <c r="J137" s="23" t="s">
        <v>28</v>
      </c>
      <c r="N137" s="73"/>
      <c r="AB137" s="42"/>
      <c r="AD137" s="23" t="s">
        <v>439</v>
      </c>
      <c r="AE137" s="23" t="s">
        <v>761</v>
      </c>
      <c r="AF137" s="23" t="s">
        <v>762</v>
      </c>
      <c r="AO137" s="24"/>
      <c r="AP137" s="73"/>
      <c r="AQ137" s="75"/>
      <c r="AR137" s="76"/>
      <c r="AS137" s="77"/>
      <c r="AV137" s="75"/>
      <c r="AW137" s="83"/>
      <c r="AX137" s="84"/>
      <c r="AY137" s="80"/>
      <c r="BB137" s="81"/>
      <c r="BE137" s="24"/>
      <c r="BF137" s="23"/>
    </row>
    <row r="138" spans="1:59" ht="15" customHeight="1">
      <c r="A138" s="23" t="s">
        <v>183</v>
      </c>
      <c r="B138" s="23" t="s">
        <v>898</v>
      </c>
      <c r="C138" s="23" t="s">
        <v>57</v>
      </c>
      <c r="D138" s="23">
        <v>136</v>
      </c>
      <c r="E138" s="23">
        <v>2</v>
      </c>
      <c r="F138" s="23" t="s">
        <v>723</v>
      </c>
      <c r="G138" s="23" t="s">
        <v>763</v>
      </c>
      <c r="J138" s="23" t="s">
        <v>28</v>
      </c>
      <c r="N138" s="73"/>
      <c r="AB138" s="42"/>
      <c r="AE138" s="23"/>
      <c r="AF138" s="23" t="s">
        <v>764</v>
      </c>
      <c r="AO138" s="24"/>
      <c r="AP138" s="73"/>
      <c r="AQ138" s="75"/>
      <c r="AR138" s="76"/>
      <c r="AS138" s="77"/>
      <c r="AV138" s="75"/>
      <c r="AW138" s="83"/>
      <c r="AX138" s="84"/>
      <c r="AY138" s="80"/>
      <c r="BB138" s="81"/>
      <c r="BE138" s="24"/>
      <c r="BF138" s="23"/>
    </row>
    <row r="139" spans="1:59" ht="15" customHeight="1">
      <c r="A139" s="23" t="s">
        <v>183</v>
      </c>
      <c r="B139" s="23" t="s">
        <v>899</v>
      </c>
      <c r="C139" s="23" t="s">
        <v>57</v>
      </c>
      <c r="D139" s="23">
        <v>137</v>
      </c>
      <c r="E139" s="23">
        <v>1</v>
      </c>
      <c r="F139" s="23" t="s">
        <v>910</v>
      </c>
      <c r="G139" s="23" t="s">
        <v>765</v>
      </c>
      <c r="H139" s="23" t="s">
        <v>766</v>
      </c>
      <c r="I139" s="23" t="s">
        <v>223</v>
      </c>
      <c r="J139" s="23" t="s">
        <v>29</v>
      </c>
      <c r="N139" s="73"/>
      <c r="Q139" s="65">
        <v>4</v>
      </c>
      <c r="R139" s="66">
        <v>2</v>
      </c>
      <c r="T139" s="68">
        <v>4</v>
      </c>
      <c r="V139" s="69">
        <v>2</v>
      </c>
      <c r="W139" s="70">
        <v>0</v>
      </c>
      <c r="AA139" s="72">
        <v>1</v>
      </c>
      <c r="AB139" s="42"/>
      <c r="AD139" s="23" t="s">
        <v>467</v>
      </c>
      <c r="AE139" s="23" t="s">
        <v>767</v>
      </c>
      <c r="AF139" s="23" t="s">
        <v>768</v>
      </c>
      <c r="AO139" s="24"/>
      <c r="AP139" s="73"/>
      <c r="AQ139" s="75"/>
      <c r="AR139" s="76"/>
      <c r="AS139" s="77"/>
      <c r="AV139" s="75"/>
      <c r="AW139" s="83"/>
      <c r="AX139" s="84"/>
      <c r="AY139" s="80"/>
      <c r="BB139" s="81"/>
      <c r="BE139" s="24"/>
      <c r="BF139" s="23"/>
    </row>
    <row r="140" spans="1:59" ht="15" customHeight="1">
      <c r="A140" s="23" t="s">
        <v>183</v>
      </c>
      <c r="B140" s="23" t="s">
        <v>900</v>
      </c>
      <c r="C140" s="23" t="s">
        <v>57</v>
      </c>
      <c r="D140" s="23">
        <v>138</v>
      </c>
      <c r="E140" s="23">
        <v>1</v>
      </c>
      <c r="F140" s="23" t="s">
        <v>910</v>
      </c>
      <c r="G140" s="23" t="s">
        <v>769</v>
      </c>
      <c r="H140" s="23" t="s">
        <v>770</v>
      </c>
      <c r="I140" s="23" t="s">
        <v>223</v>
      </c>
      <c r="J140" s="23" t="s">
        <v>29</v>
      </c>
      <c r="N140" s="73"/>
      <c r="Q140" s="65">
        <v>3</v>
      </c>
      <c r="R140" s="66">
        <v>4</v>
      </c>
      <c r="T140" s="68">
        <v>4</v>
      </c>
      <c r="V140" s="69">
        <v>1</v>
      </c>
      <c r="W140" s="70">
        <v>1</v>
      </c>
      <c r="AA140" s="72">
        <v>1</v>
      </c>
      <c r="AB140" s="42"/>
      <c r="AD140" s="23" t="s">
        <v>467</v>
      </c>
      <c r="AE140" s="23" t="s">
        <v>771</v>
      </c>
      <c r="AF140" s="23" t="s">
        <v>772</v>
      </c>
      <c r="AO140" s="24"/>
      <c r="AP140" s="73"/>
      <c r="AQ140" s="75"/>
      <c r="AR140" s="76"/>
      <c r="AS140" s="77"/>
      <c r="AV140" s="75"/>
      <c r="AW140" s="83"/>
      <c r="AX140" s="84"/>
      <c r="AY140" s="80"/>
      <c r="BB140" s="81"/>
      <c r="BE140" s="24"/>
      <c r="BF140" s="23"/>
    </row>
    <row r="141" spans="1:59" ht="15" customHeight="1">
      <c r="A141" s="23" t="s">
        <v>183</v>
      </c>
      <c r="B141" s="23" t="s">
        <v>901</v>
      </c>
      <c r="C141" s="23" t="s">
        <v>57</v>
      </c>
      <c r="D141" s="23">
        <v>139</v>
      </c>
      <c r="E141" s="23">
        <v>1</v>
      </c>
      <c r="F141" s="23" t="s">
        <v>910</v>
      </c>
      <c r="G141" s="23" t="s">
        <v>773</v>
      </c>
      <c r="H141" s="23" t="s">
        <v>774</v>
      </c>
      <c r="I141" s="23" t="s">
        <v>223</v>
      </c>
      <c r="J141" s="23" t="s">
        <v>29</v>
      </c>
      <c r="N141" s="73"/>
      <c r="Q141" s="65">
        <v>2</v>
      </c>
      <c r="R141" s="66">
        <v>3</v>
      </c>
      <c r="T141" s="68">
        <v>3</v>
      </c>
      <c r="V141" s="69">
        <v>1</v>
      </c>
      <c r="W141" s="70">
        <v>0</v>
      </c>
      <c r="AA141" s="72">
        <v>1</v>
      </c>
      <c r="AB141" s="42"/>
      <c r="AD141" s="23" t="s">
        <v>775</v>
      </c>
      <c r="AE141" s="23" t="s">
        <v>776</v>
      </c>
      <c r="AF141" s="23" t="s">
        <v>777</v>
      </c>
      <c r="AO141" s="24"/>
      <c r="AP141" s="73"/>
      <c r="AQ141" s="75"/>
      <c r="AR141" s="76"/>
      <c r="AS141" s="77"/>
      <c r="AV141" s="75"/>
      <c r="AW141" s="83"/>
      <c r="AX141" s="84"/>
      <c r="AY141" s="80"/>
      <c r="BB141" s="81"/>
      <c r="BE141" s="24"/>
      <c r="BF141" s="23"/>
    </row>
    <row r="142" spans="1:59" ht="15" customHeight="1">
      <c r="A142" s="23" t="s">
        <v>183</v>
      </c>
      <c r="B142" s="23" t="s">
        <v>600</v>
      </c>
      <c r="C142" s="23" t="s">
        <v>57</v>
      </c>
      <c r="D142" s="23">
        <v>140</v>
      </c>
      <c r="E142" s="23">
        <v>1</v>
      </c>
      <c r="F142" s="23" t="s">
        <v>910</v>
      </c>
      <c r="G142" s="23" t="s">
        <v>465</v>
      </c>
      <c r="H142" s="23" t="s">
        <v>466</v>
      </c>
      <c r="I142" s="23" t="s">
        <v>223</v>
      </c>
      <c r="J142" s="23" t="s">
        <v>29</v>
      </c>
      <c r="N142" s="73"/>
      <c r="Q142" s="65">
        <v>3</v>
      </c>
      <c r="R142" s="66">
        <v>3</v>
      </c>
      <c r="T142" s="68">
        <v>3</v>
      </c>
      <c r="V142" s="69">
        <v>1</v>
      </c>
      <c r="W142" s="70">
        <v>0</v>
      </c>
      <c r="AA142" s="72">
        <v>1</v>
      </c>
      <c r="AB142" s="42"/>
      <c r="AD142" s="23" t="s">
        <v>467</v>
      </c>
      <c r="AE142" s="23" t="s">
        <v>778</v>
      </c>
      <c r="AF142" s="23" t="s">
        <v>779</v>
      </c>
      <c r="AO142" s="24"/>
      <c r="AP142" s="73"/>
      <c r="AQ142" s="75"/>
      <c r="AR142" s="76"/>
      <c r="AS142" s="77"/>
      <c r="AV142" s="75"/>
      <c r="AW142" s="83"/>
      <c r="AX142" s="84"/>
      <c r="AY142" s="80"/>
      <c r="BB142" s="81"/>
      <c r="BE142" s="24"/>
      <c r="BF142" s="23"/>
    </row>
    <row r="143" spans="1:59" ht="15" customHeight="1">
      <c r="A143" s="23" t="s">
        <v>183</v>
      </c>
      <c r="B143" s="23" t="s">
        <v>601</v>
      </c>
      <c r="C143" s="23" t="s">
        <v>57</v>
      </c>
      <c r="D143" s="23">
        <v>141</v>
      </c>
      <c r="E143" s="23">
        <v>1</v>
      </c>
      <c r="F143" s="23" t="s">
        <v>910</v>
      </c>
      <c r="G143" s="23" t="s">
        <v>468</v>
      </c>
      <c r="H143" s="23" t="s">
        <v>469</v>
      </c>
      <c r="I143" s="23" t="s">
        <v>223</v>
      </c>
      <c r="J143" s="23" t="s">
        <v>29</v>
      </c>
      <c r="N143" s="73"/>
      <c r="Q143" s="65">
        <v>2</v>
      </c>
      <c r="R143" s="66">
        <v>5</v>
      </c>
      <c r="T143" s="68">
        <v>4</v>
      </c>
      <c r="V143" s="69">
        <v>1</v>
      </c>
      <c r="W143" s="70">
        <v>0</v>
      </c>
      <c r="AA143" s="72">
        <v>1</v>
      </c>
      <c r="AB143" s="42"/>
      <c r="AD143" s="23" t="s">
        <v>467</v>
      </c>
      <c r="AE143" s="23" t="s">
        <v>780</v>
      </c>
      <c r="AF143" s="23" t="s">
        <v>781</v>
      </c>
      <c r="AO143" s="24"/>
      <c r="AP143" s="73"/>
      <c r="AQ143" s="75"/>
      <c r="AR143" s="76"/>
      <c r="AS143" s="77"/>
      <c r="AV143" s="75"/>
      <c r="AW143" s="83"/>
      <c r="AX143" s="84"/>
      <c r="AY143" s="80"/>
      <c r="BB143" s="81"/>
      <c r="BE143" s="24"/>
      <c r="BF143" s="23"/>
    </row>
    <row r="144" spans="1:59" ht="15" customHeight="1">
      <c r="A144" s="23" t="s">
        <v>183</v>
      </c>
      <c r="B144" s="23" t="s">
        <v>889</v>
      </c>
      <c r="C144" s="23" t="s">
        <v>57</v>
      </c>
      <c r="D144" s="23">
        <v>142</v>
      </c>
      <c r="E144" s="23">
        <v>1</v>
      </c>
      <c r="F144" s="23" t="s">
        <v>782</v>
      </c>
      <c r="G144" s="23" t="s">
        <v>782</v>
      </c>
      <c r="H144" s="23" t="s">
        <v>709</v>
      </c>
      <c r="J144" s="23" t="s">
        <v>618</v>
      </c>
      <c r="N144" s="73"/>
      <c r="AB144" s="42"/>
      <c r="AE144" s="23"/>
      <c r="AF144" s="23" t="s">
        <v>783</v>
      </c>
      <c r="AI144" s="23" t="s">
        <v>782</v>
      </c>
      <c r="AJ144" s="23" t="s">
        <v>710</v>
      </c>
      <c r="AL144" s="23" t="s">
        <v>618</v>
      </c>
      <c r="AO144" s="24"/>
      <c r="AP144" s="73"/>
      <c r="AQ144" s="75"/>
      <c r="AR144" s="76"/>
      <c r="AS144" s="77"/>
      <c r="AV144" s="75"/>
      <c r="AW144" s="83"/>
      <c r="AX144" s="84"/>
      <c r="AY144" s="80"/>
      <c r="BB144" s="81"/>
      <c r="BE144" s="24"/>
      <c r="BF144" s="23"/>
      <c r="BG144" s="23" t="s">
        <v>784</v>
      </c>
    </row>
    <row r="145" spans="1:59" ht="15" customHeight="1">
      <c r="A145" s="23" t="s">
        <v>183</v>
      </c>
      <c r="B145" s="23" t="s">
        <v>890</v>
      </c>
      <c r="C145" s="23" t="s">
        <v>57</v>
      </c>
      <c r="D145" s="23">
        <v>143</v>
      </c>
      <c r="E145" s="23">
        <v>1</v>
      </c>
      <c r="F145" s="23" t="s">
        <v>782</v>
      </c>
      <c r="G145" s="23" t="s">
        <v>785</v>
      </c>
      <c r="J145" s="23" t="s">
        <v>619</v>
      </c>
      <c r="L145" s="23">
        <v>1</v>
      </c>
      <c r="N145" s="73"/>
      <c r="Z145" s="68">
        <v>3</v>
      </c>
      <c r="AB145" s="42"/>
      <c r="AE145" s="23"/>
      <c r="AI145" s="23" t="s">
        <v>786</v>
      </c>
      <c r="AL145" s="23" t="s">
        <v>619</v>
      </c>
      <c r="AN145" s="23">
        <v>1</v>
      </c>
      <c r="AO145" s="24"/>
      <c r="AP145" s="73"/>
      <c r="AQ145" s="75"/>
      <c r="AR145" s="76"/>
      <c r="AS145" s="77"/>
      <c r="AV145" s="75"/>
      <c r="AW145" s="83"/>
      <c r="AX145" s="84"/>
      <c r="AY145" s="80"/>
      <c r="BB145" s="81"/>
      <c r="BE145" s="24"/>
      <c r="BF145" s="23"/>
      <c r="BG145" s="23" t="s">
        <v>787</v>
      </c>
    </row>
    <row r="146" spans="1:59" ht="15" customHeight="1">
      <c r="A146" s="23" t="s">
        <v>183</v>
      </c>
      <c r="B146" s="23" t="s">
        <v>891</v>
      </c>
      <c r="C146" s="23" t="s">
        <v>57</v>
      </c>
      <c r="D146" s="23">
        <v>144</v>
      </c>
      <c r="E146" s="23">
        <v>1</v>
      </c>
      <c r="F146" s="23" t="s">
        <v>782</v>
      </c>
      <c r="G146" s="23" t="s">
        <v>788</v>
      </c>
      <c r="J146" s="23" t="s">
        <v>619</v>
      </c>
      <c r="L146" s="23">
        <v>2</v>
      </c>
      <c r="N146" s="73"/>
      <c r="Z146" s="68">
        <v>5</v>
      </c>
      <c r="AB146" s="42"/>
      <c r="AE146" s="23"/>
      <c r="AF146" s="23" t="s">
        <v>789</v>
      </c>
      <c r="AI146" s="23" t="s">
        <v>790</v>
      </c>
      <c r="AL146" s="23" t="s">
        <v>619</v>
      </c>
      <c r="AN146" s="23">
        <v>2</v>
      </c>
      <c r="AO146" s="24"/>
      <c r="AP146" s="73"/>
      <c r="AQ146" s="75"/>
      <c r="AR146" s="76"/>
      <c r="AS146" s="77"/>
      <c r="AV146" s="75"/>
      <c r="AW146" s="83"/>
      <c r="AX146" s="84"/>
      <c r="AY146" s="80"/>
      <c r="BB146" s="81"/>
      <c r="BE146" s="24"/>
      <c r="BF146" s="23"/>
      <c r="BG146" s="23" t="s">
        <v>791</v>
      </c>
    </row>
    <row r="147" spans="1:59" ht="15" customHeight="1">
      <c r="A147" s="23" t="s">
        <v>183</v>
      </c>
      <c r="B147" s="23" t="s">
        <v>602</v>
      </c>
      <c r="C147" s="23" t="s">
        <v>57</v>
      </c>
      <c r="D147" s="23">
        <v>145</v>
      </c>
      <c r="E147" s="23">
        <v>1</v>
      </c>
      <c r="F147" s="23" t="s">
        <v>782</v>
      </c>
      <c r="G147" s="23" t="s">
        <v>470</v>
      </c>
      <c r="J147" s="23" t="s">
        <v>619</v>
      </c>
      <c r="L147" s="23">
        <v>3</v>
      </c>
      <c r="N147" s="73"/>
      <c r="Z147" s="68">
        <v>5</v>
      </c>
      <c r="AB147" s="42"/>
      <c r="AE147" s="23"/>
      <c r="AF147" s="23" t="s">
        <v>792</v>
      </c>
      <c r="AI147" s="23" t="s">
        <v>782</v>
      </c>
      <c r="AL147" s="23" t="s">
        <v>619</v>
      </c>
      <c r="AN147" s="23">
        <v>3</v>
      </c>
      <c r="AO147" s="24"/>
      <c r="AP147" s="73"/>
      <c r="AQ147" s="75"/>
      <c r="AR147" s="76"/>
      <c r="AS147" s="77"/>
      <c r="AV147" s="75"/>
      <c r="AW147" s="83"/>
      <c r="AX147" s="84"/>
      <c r="AY147" s="80"/>
      <c r="BB147" s="81"/>
      <c r="BE147" s="24"/>
      <c r="BF147" s="23"/>
      <c r="BG147" s="23" t="s">
        <v>793</v>
      </c>
    </row>
    <row r="148" spans="1:59" ht="15" customHeight="1">
      <c r="A148" s="23" t="s">
        <v>183</v>
      </c>
      <c r="B148" s="23" t="s">
        <v>886</v>
      </c>
      <c r="C148" s="23" t="s">
        <v>57</v>
      </c>
      <c r="D148" s="23">
        <v>146</v>
      </c>
      <c r="E148" s="23">
        <v>1</v>
      </c>
      <c r="F148" s="23" t="s">
        <v>782</v>
      </c>
      <c r="G148" s="23" t="s">
        <v>794</v>
      </c>
      <c r="J148" s="23" t="s">
        <v>621</v>
      </c>
      <c r="L148" s="23">
        <v>1</v>
      </c>
      <c r="N148" s="73"/>
      <c r="Y148" s="66" t="s">
        <v>1112</v>
      </c>
      <c r="AB148" s="42"/>
      <c r="AE148" s="23"/>
      <c r="AI148" s="23" t="s">
        <v>795</v>
      </c>
      <c r="AL148" s="23" t="s">
        <v>621</v>
      </c>
      <c r="AN148" s="23">
        <v>1</v>
      </c>
      <c r="AO148" s="24"/>
      <c r="AP148" s="73"/>
      <c r="AQ148" s="75"/>
      <c r="AR148" s="76"/>
      <c r="AS148" s="77"/>
      <c r="AV148" s="75"/>
      <c r="AW148" s="83"/>
      <c r="AX148" s="84"/>
      <c r="AY148" s="80"/>
      <c r="BB148" s="81"/>
      <c r="BE148" s="24"/>
      <c r="BF148" s="23"/>
      <c r="BG148" s="23" t="s">
        <v>796</v>
      </c>
    </row>
    <row r="149" spans="1:59" ht="15" customHeight="1">
      <c r="A149" s="23" t="s">
        <v>183</v>
      </c>
      <c r="B149" s="23" t="s">
        <v>887</v>
      </c>
      <c r="C149" s="23" t="s">
        <v>57</v>
      </c>
      <c r="D149" s="23">
        <v>147</v>
      </c>
      <c r="E149" s="23">
        <v>1</v>
      </c>
      <c r="F149" s="23" t="s">
        <v>782</v>
      </c>
      <c r="G149" s="23" t="s">
        <v>797</v>
      </c>
      <c r="J149" s="23" t="s">
        <v>621</v>
      </c>
      <c r="L149" s="23">
        <v>2</v>
      </c>
      <c r="N149" s="73"/>
      <c r="Y149" s="82" t="s">
        <v>38</v>
      </c>
      <c r="AB149" s="42"/>
      <c r="AE149" s="23"/>
      <c r="AF149" s="23" t="s">
        <v>798</v>
      </c>
      <c r="AI149" s="23" t="s">
        <v>799</v>
      </c>
      <c r="AL149" s="23" t="s">
        <v>621</v>
      </c>
      <c r="AN149" s="23">
        <v>2</v>
      </c>
      <c r="AO149" s="24"/>
      <c r="AP149" s="73"/>
      <c r="AQ149" s="75"/>
      <c r="AR149" s="76"/>
      <c r="AS149" s="77"/>
      <c r="AV149" s="75"/>
      <c r="AW149" s="83"/>
      <c r="AX149" s="84"/>
      <c r="AY149" s="80"/>
      <c r="BB149" s="81"/>
      <c r="BE149" s="24"/>
      <c r="BF149" s="23"/>
      <c r="BG149" s="23" t="s">
        <v>800</v>
      </c>
    </row>
    <row r="150" spans="1:59" ht="15" customHeight="1">
      <c r="A150" s="23" t="s">
        <v>183</v>
      </c>
      <c r="B150" s="23" t="s">
        <v>888</v>
      </c>
      <c r="C150" s="23" t="s">
        <v>57</v>
      </c>
      <c r="D150" s="23">
        <v>148</v>
      </c>
      <c r="E150" s="23">
        <v>1</v>
      </c>
      <c r="F150" s="23" t="s">
        <v>782</v>
      </c>
      <c r="G150" s="23" t="s">
        <v>801</v>
      </c>
      <c r="J150" s="23" t="s">
        <v>621</v>
      </c>
      <c r="L150" s="23">
        <v>3</v>
      </c>
      <c r="N150" s="73"/>
      <c r="Y150" s="82" t="s">
        <v>38</v>
      </c>
      <c r="AB150" s="42"/>
      <c r="AE150" s="23"/>
      <c r="AF150" s="23" t="s">
        <v>802</v>
      </c>
      <c r="AI150" s="23" t="s">
        <v>803</v>
      </c>
      <c r="AL150" s="23" t="s">
        <v>621</v>
      </c>
      <c r="AN150" s="23">
        <v>3</v>
      </c>
      <c r="AO150" s="24"/>
      <c r="AP150" s="73"/>
      <c r="AQ150" s="75"/>
      <c r="AR150" s="76"/>
      <c r="AS150" s="77"/>
      <c r="AV150" s="75"/>
      <c r="AW150" s="83"/>
      <c r="AX150" s="84"/>
      <c r="AY150" s="80"/>
      <c r="BB150" s="81"/>
      <c r="BE150" s="24"/>
      <c r="BF150" s="23"/>
      <c r="BG150" s="23" t="s">
        <v>738</v>
      </c>
    </row>
    <row r="151" spans="1:59" ht="15" customHeight="1">
      <c r="A151" s="23" t="s">
        <v>183</v>
      </c>
      <c r="B151" s="23" t="s">
        <v>603</v>
      </c>
      <c r="C151" s="23" t="s">
        <v>57</v>
      </c>
      <c r="D151" s="23">
        <v>149</v>
      </c>
      <c r="E151" s="23">
        <v>1</v>
      </c>
      <c r="F151" s="23" t="s">
        <v>782</v>
      </c>
      <c r="G151" s="23" t="s">
        <v>471</v>
      </c>
      <c r="J151" s="23" t="s">
        <v>31</v>
      </c>
      <c r="N151" s="73"/>
      <c r="AB151" s="42"/>
      <c r="AD151" s="23" t="s">
        <v>472</v>
      </c>
      <c r="AE151" s="23"/>
      <c r="AI151" s="23" t="s">
        <v>471</v>
      </c>
      <c r="AL151" s="23" t="s">
        <v>31</v>
      </c>
      <c r="AP151" s="73"/>
      <c r="AY151" s="71">
        <v>2</v>
      </c>
      <c r="AZ151" s="66">
        <v>0</v>
      </c>
      <c r="BE151" s="23" t="s">
        <v>472</v>
      </c>
      <c r="BF151" s="23"/>
      <c r="BG151" s="23" t="s">
        <v>804</v>
      </c>
    </row>
    <row r="152" spans="1:59" ht="15" customHeight="1">
      <c r="A152" s="23" t="s">
        <v>183</v>
      </c>
      <c r="B152" s="23" t="s">
        <v>878</v>
      </c>
      <c r="C152" s="23" t="s">
        <v>57</v>
      </c>
      <c r="D152" s="23">
        <v>150</v>
      </c>
      <c r="E152" s="23">
        <v>1</v>
      </c>
      <c r="F152" s="23" t="s">
        <v>782</v>
      </c>
      <c r="G152" s="23" t="s">
        <v>805</v>
      </c>
      <c r="J152" s="23" t="s">
        <v>31</v>
      </c>
      <c r="N152" s="73"/>
      <c r="AB152" s="42"/>
      <c r="AD152" s="23" t="s">
        <v>472</v>
      </c>
      <c r="AE152" s="23"/>
      <c r="AI152" s="23" t="s">
        <v>805</v>
      </c>
      <c r="AJ152" s="23" t="s">
        <v>806</v>
      </c>
      <c r="AL152" s="23" t="s">
        <v>31</v>
      </c>
      <c r="AP152" s="73"/>
      <c r="AY152" s="71">
        <v>4</v>
      </c>
      <c r="AZ152" s="66" t="s">
        <v>1073</v>
      </c>
      <c r="BE152" s="23" t="s">
        <v>472</v>
      </c>
      <c r="BF152" s="23"/>
      <c r="BG152" s="23" t="s">
        <v>807</v>
      </c>
    </row>
    <row r="153" spans="1:59" ht="15" customHeight="1">
      <c r="A153" s="23" t="s">
        <v>183</v>
      </c>
      <c r="B153" s="23" t="s">
        <v>879</v>
      </c>
      <c r="C153" s="23" t="s">
        <v>57</v>
      </c>
      <c r="D153" s="23">
        <v>151</v>
      </c>
      <c r="E153" s="23">
        <v>1</v>
      </c>
      <c r="F153" s="23" t="s">
        <v>782</v>
      </c>
      <c r="G153" s="23" t="s">
        <v>805</v>
      </c>
      <c r="J153" s="23" t="s">
        <v>31</v>
      </c>
      <c r="N153" s="73"/>
      <c r="AB153" s="42"/>
      <c r="AD153" s="23" t="s">
        <v>472</v>
      </c>
      <c r="AE153" s="23"/>
      <c r="AI153" s="23" t="s">
        <v>805</v>
      </c>
      <c r="AJ153" s="23" t="s">
        <v>808</v>
      </c>
      <c r="AL153" s="23" t="s">
        <v>31</v>
      </c>
      <c r="AP153" s="73"/>
      <c r="AY153" s="71">
        <v>3</v>
      </c>
      <c r="AZ153" s="66" t="s">
        <v>1073</v>
      </c>
      <c r="BE153" s="23" t="s">
        <v>472</v>
      </c>
      <c r="BF153" s="23"/>
      <c r="BG153" s="23" t="s">
        <v>809</v>
      </c>
    </row>
    <row r="154" spans="1:59" ht="15" customHeight="1">
      <c r="A154" s="23" t="s">
        <v>183</v>
      </c>
      <c r="B154" s="23" t="s">
        <v>880</v>
      </c>
      <c r="C154" s="23" t="s">
        <v>57</v>
      </c>
      <c r="D154" s="23">
        <v>152</v>
      </c>
      <c r="E154" s="23">
        <v>1</v>
      </c>
      <c r="F154" s="23" t="s">
        <v>782</v>
      </c>
      <c r="G154" s="23" t="s">
        <v>805</v>
      </c>
      <c r="J154" s="23" t="s">
        <v>31</v>
      </c>
      <c r="N154" s="73"/>
      <c r="AB154" s="42"/>
      <c r="AD154" s="23" t="s">
        <v>472</v>
      </c>
      <c r="AE154" s="23"/>
      <c r="AI154" s="23" t="s">
        <v>805</v>
      </c>
      <c r="AJ154" s="23" t="s">
        <v>810</v>
      </c>
      <c r="AL154" s="23" t="s">
        <v>31</v>
      </c>
      <c r="AP154" s="73"/>
      <c r="AY154" s="71">
        <v>2</v>
      </c>
      <c r="AZ154" s="66" t="s">
        <v>1073</v>
      </c>
      <c r="BE154" s="23" t="s">
        <v>472</v>
      </c>
      <c r="BF154" s="23"/>
      <c r="BG154" s="23" t="s">
        <v>811</v>
      </c>
    </row>
    <row r="155" spans="1:59" ht="15" customHeight="1">
      <c r="A155" s="23" t="s">
        <v>183</v>
      </c>
      <c r="B155" s="23" t="s">
        <v>881</v>
      </c>
      <c r="C155" s="23" t="s">
        <v>57</v>
      </c>
      <c r="D155" s="23">
        <v>153</v>
      </c>
      <c r="E155" s="23">
        <v>1</v>
      </c>
      <c r="F155" s="23" t="s">
        <v>782</v>
      </c>
      <c r="G155" s="23" t="s">
        <v>805</v>
      </c>
      <c r="J155" s="23" t="s">
        <v>31</v>
      </c>
      <c r="N155" s="73"/>
      <c r="AB155" s="42"/>
      <c r="AD155" s="23" t="s">
        <v>472</v>
      </c>
      <c r="AE155" s="23"/>
      <c r="AI155" s="23" t="s">
        <v>805</v>
      </c>
      <c r="AJ155" s="23" t="s">
        <v>812</v>
      </c>
      <c r="AL155" s="23" t="s">
        <v>31</v>
      </c>
      <c r="AP155" s="73"/>
      <c r="AY155" s="71">
        <v>2</v>
      </c>
      <c r="AZ155" s="66" t="s">
        <v>1073</v>
      </c>
      <c r="BE155" s="23" t="s">
        <v>472</v>
      </c>
      <c r="BF155" s="23"/>
      <c r="BG155" s="23" t="s">
        <v>813</v>
      </c>
    </row>
    <row r="156" spans="1:59" ht="15" customHeight="1">
      <c r="A156" s="23" t="s">
        <v>183</v>
      </c>
      <c r="B156" s="23" t="s">
        <v>882</v>
      </c>
      <c r="C156" s="23" t="s">
        <v>57</v>
      </c>
      <c r="D156" s="23">
        <v>154</v>
      </c>
      <c r="E156" s="23">
        <v>1</v>
      </c>
      <c r="F156" s="23" t="s">
        <v>782</v>
      </c>
      <c r="G156" s="23" t="s">
        <v>805</v>
      </c>
      <c r="J156" s="23" t="s">
        <v>31</v>
      </c>
      <c r="N156" s="73"/>
      <c r="AB156" s="42"/>
      <c r="AD156" s="23" t="s">
        <v>472</v>
      </c>
      <c r="AE156" s="23"/>
      <c r="AI156" s="23" t="s">
        <v>805</v>
      </c>
      <c r="AJ156" s="23" t="s">
        <v>814</v>
      </c>
      <c r="AL156" s="23" t="s">
        <v>31</v>
      </c>
      <c r="AP156" s="73"/>
      <c r="AY156" s="71">
        <v>2</v>
      </c>
      <c r="AZ156" s="66" t="s">
        <v>1073</v>
      </c>
      <c r="BE156" s="23" t="s">
        <v>472</v>
      </c>
      <c r="BF156" s="23"/>
      <c r="BG156" s="23" t="s">
        <v>815</v>
      </c>
    </row>
    <row r="157" spans="1:59" ht="15" customHeight="1">
      <c r="A157" s="23" t="s">
        <v>183</v>
      </c>
      <c r="B157" s="23" t="s">
        <v>883</v>
      </c>
      <c r="C157" s="23" t="s">
        <v>57</v>
      </c>
      <c r="D157" s="23">
        <v>155</v>
      </c>
      <c r="E157" s="23">
        <v>1</v>
      </c>
      <c r="F157" s="23" t="s">
        <v>782</v>
      </c>
      <c r="G157" s="23" t="s">
        <v>805</v>
      </c>
      <c r="J157" s="23" t="s">
        <v>31</v>
      </c>
      <c r="N157" s="73"/>
      <c r="AB157" s="42"/>
      <c r="AD157" s="23" t="s">
        <v>472</v>
      </c>
      <c r="AE157" s="23"/>
      <c r="AI157" s="23" t="s">
        <v>805</v>
      </c>
      <c r="AJ157" s="23" t="s">
        <v>816</v>
      </c>
      <c r="AL157" s="23" t="s">
        <v>31</v>
      </c>
      <c r="AP157" s="73"/>
      <c r="AY157" s="71">
        <v>1</v>
      </c>
      <c r="AZ157" s="66">
        <v>0</v>
      </c>
      <c r="BE157" s="23" t="s">
        <v>472</v>
      </c>
      <c r="BF157" s="23"/>
      <c r="BG157" s="23" t="s">
        <v>817</v>
      </c>
    </row>
    <row r="158" spans="1:59" ht="15" customHeight="1">
      <c r="A158" s="23" t="s">
        <v>183</v>
      </c>
      <c r="B158" s="23" t="s">
        <v>884</v>
      </c>
      <c r="C158" s="23" t="s">
        <v>57</v>
      </c>
      <c r="D158" s="23">
        <v>156</v>
      </c>
      <c r="E158" s="23">
        <v>1</v>
      </c>
      <c r="F158" s="23" t="s">
        <v>782</v>
      </c>
      <c r="G158" s="23" t="s">
        <v>818</v>
      </c>
      <c r="J158" s="23" t="s">
        <v>31</v>
      </c>
      <c r="N158" s="73"/>
      <c r="AB158" s="42"/>
      <c r="AD158" s="23" t="s">
        <v>819</v>
      </c>
      <c r="AE158" s="23"/>
      <c r="AI158" s="23" t="s">
        <v>818</v>
      </c>
      <c r="AL158" s="23" t="s">
        <v>31</v>
      </c>
      <c r="AP158" s="73"/>
      <c r="AY158" s="71">
        <v>3</v>
      </c>
      <c r="AZ158" s="66" t="s">
        <v>1111</v>
      </c>
      <c r="BE158" s="23" t="s">
        <v>819</v>
      </c>
      <c r="BF158" s="23"/>
      <c r="BG158" s="23" t="s">
        <v>820</v>
      </c>
    </row>
    <row r="159" spans="1:59" ht="15" customHeight="1">
      <c r="A159" s="23" t="s">
        <v>183</v>
      </c>
      <c r="B159" s="23" t="s">
        <v>885</v>
      </c>
      <c r="C159" s="23" t="s">
        <v>57</v>
      </c>
      <c r="D159" s="23">
        <v>157</v>
      </c>
      <c r="E159" s="23">
        <v>1</v>
      </c>
      <c r="F159" s="23" t="s">
        <v>782</v>
      </c>
      <c r="G159" s="23" t="s">
        <v>821</v>
      </c>
      <c r="H159" s="23" t="s">
        <v>782</v>
      </c>
      <c r="J159" s="23" t="s">
        <v>29</v>
      </c>
      <c r="N159" s="73"/>
      <c r="Q159" s="65">
        <v>5</v>
      </c>
      <c r="R159" s="66">
        <v>6</v>
      </c>
      <c r="T159" s="68">
        <v>6</v>
      </c>
      <c r="V159" s="69">
        <v>3</v>
      </c>
      <c r="W159" s="70">
        <v>3</v>
      </c>
      <c r="AB159" s="42"/>
      <c r="AD159" s="23" t="s">
        <v>822</v>
      </c>
      <c r="AE159" s="23" t="s">
        <v>823</v>
      </c>
      <c r="AF159" s="23" t="s">
        <v>824</v>
      </c>
      <c r="AP159" s="73"/>
      <c r="BF159" s="23"/>
    </row>
    <row r="160" spans="1:59" ht="15" customHeight="1">
      <c r="A160" s="23" t="s">
        <v>183</v>
      </c>
      <c r="B160" s="23" t="s">
        <v>604</v>
      </c>
      <c r="C160" s="23" t="s">
        <v>57</v>
      </c>
      <c r="D160" s="23">
        <v>158</v>
      </c>
      <c r="E160" s="23">
        <v>2</v>
      </c>
      <c r="F160" s="23" t="s">
        <v>782</v>
      </c>
      <c r="G160" s="23" t="s">
        <v>473</v>
      </c>
      <c r="J160" s="23" t="s">
        <v>28</v>
      </c>
      <c r="N160" s="73"/>
      <c r="AB160" s="42"/>
      <c r="AD160" s="23" t="s">
        <v>439</v>
      </c>
      <c r="AE160" s="23"/>
      <c r="AF160" s="23" t="s">
        <v>632</v>
      </c>
      <c r="AO160" s="24"/>
      <c r="AP160" s="73"/>
      <c r="AQ160" s="75"/>
      <c r="AR160" s="76"/>
      <c r="AS160" s="77"/>
      <c r="AV160" s="75"/>
      <c r="AW160" s="83"/>
      <c r="AX160" s="84"/>
      <c r="AY160" s="80"/>
      <c r="BB160" s="81"/>
      <c r="BE160" s="24"/>
      <c r="BF160" s="23"/>
    </row>
    <row r="161" spans="1:58" ht="15" customHeight="1">
      <c r="A161" s="23" t="s">
        <v>183</v>
      </c>
      <c r="B161" s="23" t="s">
        <v>605</v>
      </c>
      <c r="C161" s="23" t="s">
        <v>57</v>
      </c>
      <c r="D161" s="23">
        <v>159</v>
      </c>
      <c r="E161" s="23">
        <v>3</v>
      </c>
      <c r="F161" s="23" t="s">
        <v>911</v>
      </c>
      <c r="G161" s="23" t="s">
        <v>474</v>
      </c>
      <c r="J161" s="23" t="s">
        <v>29</v>
      </c>
      <c r="N161" s="73"/>
      <c r="Q161" s="65">
        <v>1</v>
      </c>
      <c r="R161" s="66">
        <v>3</v>
      </c>
      <c r="T161" s="68">
        <v>1</v>
      </c>
      <c r="V161" s="69">
        <v>1</v>
      </c>
      <c r="W161" s="70">
        <v>0</v>
      </c>
      <c r="AB161" s="42"/>
      <c r="AD161" s="23" t="s">
        <v>30</v>
      </c>
      <c r="AE161" s="23"/>
      <c r="AF161" s="23" t="s">
        <v>475</v>
      </c>
      <c r="AO161" s="24"/>
      <c r="AP161" s="73"/>
      <c r="AQ161" s="75"/>
      <c r="AR161" s="76"/>
      <c r="AS161" s="77"/>
      <c r="AV161" s="75"/>
      <c r="AW161" s="83"/>
      <c r="AX161" s="84"/>
      <c r="AY161" s="80"/>
      <c r="BB161" s="81"/>
      <c r="BE161" s="24"/>
      <c r="BF161" s="23"/>
    </row>
    <row r="162" spans="1:58" ht="15" customHeight="1">
      <c r="A162" s="23" t="s">
        <v>183</v>
      </c>
      <c r="B162" s="23" t="s">
        <v>606</v>
      </c>
      <c r="C162" s="23" t="s">
        <v>57</v>
      </c>
      <c r="D162" s="23">
        <v>160</v>
      </c>
      <c r="E162" s="23">
        <v>3</v>
      </c>
      <c r="F162" s="23" t="s">
        <v>912</v>
      </c>
      <c r="G162" s="23" t="s">
        <v>476</v>
      </c>
      <c r="J162" s="23" t="s">
        <v>29</v>
      </c>
      <c r="N162" s="73"/>
      <c r="Q162" s="65">
        <v>2</v>
      </c>
      <c r="R162" s="66">
        <v>2</v>
      </c>
      <c r="T162" s="68">
        <v>2</v>
      </c>
      <c r="V162" s="69">
        <v>1</v>
      </c>
      <c r="W162" s="70">
        <v>1</v>
      </c>
      <c r="AB162" s="42"/>
      <c r="AD162" s="23" t="s">
        <v>460</v>
      </c>
      <c r="AE162" s="23"/>
      <c r="AO162" s="24"/>
      <c r="AP162" s="73"/>
      <c r="AQ162" s="75"/>
      <c r="AR162" s="76"/>
      <c r="AS162" s="77"/>
      <c r="AV162" s="75"/>
      <c r="AW162" s="83"/>
      <c r="AX162" s="84"/>
      <c r="AY162" s="80"/>
      <c r="BB162" s="81"/>
      <c r="BE162" s="24"/>
      <c r="BF162" s="23"/>
    </row>
    <row r="163" spans="1:58" ht="15" customHeight="1">
      <c r="A163" s="23" t="s">
        <v>183</v>
      </c>
      <c r="B163" s="23" t="s">
        <v>607</v>
      </c>
      <c r="C163" s="23" t="s">
        <v>57</v>
      </c>
      <c r="D163" s="23">
        <v>161</v>
      </c>
      <c r="E163" s="23">
        <v>1</v>
      </c>
      <c r="F163" s="23" t="s">
        <v>912</v>
      </c>
      <c r="G163" s="23" t="s">
        <v>477</v>
      </c>
      <c r="J163" s="23" t="s">
        <v>29</v>
      </c>
      <c r="N163" s="73"/>
      <c r="Q163" s="65">
        <v>3</v>
      </c>
      <c r="R163" s="66">
        <v>3</v>
      </c>
      <c r="T163" s="68">
        <v>3</v>
      </c>
      <c r="V163" s="69">
        <v>1</v>
      </c>
      <c r="W163" s="70">
        <v>1</v>
      </c>
      <c r="AB163" s="42"/>
      <c r="AD163" s="23" t="s">
        <v>460</v>
      </c>
      <c r="AE163" s="23"/>
      <c r="AF163" s="23" t="s">
        <v>633</v>
      </c>
      <c r="AO163" s="24"/>
      <c r="AP163" s="73"/>
      <c r="AQ163" s="75"/>
      <c r="AR163" s="76"/>
      <c r="AS163" s="77"/>
      <c r="AV163" s="75"/>
      <c r="AW163" s="83"/>
      <c r="AX163" s="84"/>
      <c r="AY163" s="80"/>
      <c r="BB163" s="81"/>
      <c r="BE163" s="24"/>
      <c r="BF163" s="23"/>
    </row>
    <row r="164" spans="1:58" ht="15" customHeight="1">
      <c r="A164" s="23" t="s">
        <v>183</v>
      </c>
      <c r="B164" s="23" t="s">
        <v>608</v>
      </c>
      <c r="C164" s="23" t="s">
        <v>57</v>
      </c>
      <c r="D164" s="23">
        <v>162</v>
      </c>
      <c r="E164" s="23">
        <v>3</v>
      </c>
      <c r="F164" s="23" t="s">
        <v>912</v>
      </c>
      <c r="G164" s="23" t="s">
        <v>478</v>
      </c>
      <c r="J164" s="23" t="s">
        <v>28</v>
      </c>
      <c r="N164" s="73"/>
      <c r="AB164" s="42"/>
      <c r="AD164" s="23" t="s">
        <v>479</v>
      </c>
      <c r="AE164" s="23"/>
      <c r="AF164" s="23" t="s">
        <v>634</v>
      </c>
      <c r="AO164" s="24"/>
      <c r="AP164" s="73"/>
      <c r="AQ164" s="75"/>
      <c r="AR164" s="76"/>
      <c r="AS164" s="77"/>
      <c r="AV164" s="75"/>
      <c r="AW164" s="83"/>
      <c r="AX164" s="84"/>
      <c r="AY164" s="80"/>
      <c r="BB164" s="81"/>
      <c r="BE164" s="24"/>
      <c r="BF164" s="23"/>
    </row>
    <row r="165" spans="1:58" ht="15" customHeight="1">
      <c r="A165" s="23" t="s">
        <v>183</v>
      </c>
      <c r="B165" s="23" t="s">
        <v>609</v>
      </c>
      <c r="C165" s="23" t="s">
        <v>57</v>
      </c>
      <c r="D165" s="23">
        <v>163</v>
      </c>
      <c r="E165" s="23">
        <v>3</v>
      </c>
      <c r="F165" s="23" t="s">
        <v>913</v>
      </c>
      <c r="G165" s="23" t="s">
        <v>480</v>
      </c>
      <c r="J165" s="23" t="s">
        <v>28</v>
      </c>
      <c r="N165" s="73"/>
      <c r="AB165" s="42"/>
      <c r="AD165" s="23" t="s">
        <v>481</v>
      </c>
      <c r="AE165" s="23"/>
      <c r="AF165" s="23" t="s">
        <v>635</v>
      </c>
      <c r="AO165" s="24"/>
      <c r="AP165" s="73"/>
      <c r="AQ165" s="75"/>
      <c r="AR165" s="76"/>
      <c r="AS165" s="77"/>
      <c r="AV165" s="75"/>
      <c r="AW165" s="83"/>
      <c r="AX165" s="84"/>
      <c r="AY165" s="80"/>
      <c r="BB165" s="81"/>
      <c r="BE165" s="24"/>
      <c r="BF165" s="23"/>
    </row>
    <row r="166" spans="1:58" ht="15" customHeight="1">
      <c r="A166" s="23" t="s">
        <v>183</v>
      </c>
      <c r="B166" s="23" t="s">
        <v>610</v>
      </c>
      <c r="C166" s="23" t="s">
        <v>57</v>
      </c>
      <c r="D166" s="23">
        <v>164</v>
      </c>
      <c r="E166" s="23">
        <v>2</v>
      </c>
      <c r="F166" s="23" t="s">
        <v>913</v>
      </c>
      <c r="G166" s="23" t="s">
        <v>482</v>
      </c>
      <c r="J166" s="23" t="s">
        <v>28</v>
      </c>
      <c r="N166" s="73"/>
      <c r="AB166" s="42"/>
      <c r="AD166" s="23" t="s">
        <v>481</v>
      </c>
      <c r="AE166" s="23"/>
      <c r="AF166" s="23" t="s">
        <v>636</v>
      </c>
      <c r="AO166" s="24"/>
      <c r="AP166" s="73"/>
      <c r="AQ166" s="75"/>
      <c r="AR166" s="76"/>
      <c r="AS166" s="77"/>
      <c r="AV166" s="75"/>
      <c r="AW166" s="83"/>
      <c r="AX166" s="84"/>
      <c r="AY166" s="80"/>
      <c r="BB166" s="81"/>
      <c r="BE166" s="24"/>
      <c r="BF166" s="23"/>
    </row>
    <row r="167" spans="1:58" ht="15" customHeight="1">
      <c r="A167" s="23" t="s">
        <v>183</v>
      </c>
      <c r="B167" s="23" t="s">
        <v>611</v>
      </c>
      <c r="C167" s="23" t="s">
        <v>57</v>
      </c>
      <c r="D167" s="23">
        <v>165</v>
      </c>
      <c r="E167" s="23">
        <v>2</v>
      </c>
      <c r="F167" s="23" t="s">
        <v>913</v>
      </c>
      <c r="G167" s="23" t="s">
        <v>483</v>
      </c>
      <c r="J167" s="23" t="s">
        <v>28</v>
      </c>
      <c r="N167" s="73"/>
      <c r="AB167" s="42"/>
      <c r="AD167" s="23" t="s">
        <v>481</v>
      </c>
      <c r="AE167" s="23"/>
      <c r="AF167" s="23" t="s">
        <v>637</v>
      </c>
      <c r="AO167" s="24"/>
      <c r="AP167" s="73"/>
      <c r="AQ167" s="75"/>
      <c r="AR167" s="76"/>
      <c r="AS167" s="77"/>
      <c r="AV167" s="75"/>
      <c r="AW167" s="83"/>
      <c r="AX167" s="84"/>
      <c r="AY167" s="80"/>
      <c r="BB167" s="81"/>
      <c r="BE167" s="24"/>
      <c r="BF167" s="23"/>
    </row>
    <row r="168" spans="1:58" ht="15" customHeight="1">
      <c r="A168" s="23" t="s">
        <v>183</v>
      </c>
      <c r="B168" s="23" t="s">
        <v>616</v>
      </c>
      <c r="C168" s="23" t="s">
        <v>57</v>
      </c>
      <c r="D168" s="23">
        <v>166</v>
      </c>
      <c r="E168" s="23">
        <v>3</v>
      </c>
      <c r="F168" s="23" t="s">
        <v>491</v>
      </c>
      <c r="G168" s="23" t="s">
        <v>491</v>
      </c>
      <c r="J168" s="23" t="s">
        <v>28</v>
      </c>
      <c r="N168" s="73"/>
      <c r="AB168" s="42"/>
      <c r="AD168" s="23" t="s">
        <v>492</v>
      </c>
      <c r="AE168" s="23"/>
      <c r="AF168" s="23" t="s">
        <v>640</v>
      </c>
      <c r="AO168" s="24"/>
      <c r="AP168" s="73"/>
      <c r="AQ168" s="75"/>
      <c r="AR168" s="76"/>
      <c r="AS168" s="77"/>
      <c r="AV168" s="75"/>
      <c r="AW168" s="83"/>
      <c r="AX168" s="84"/>
      <c r="AY168" s="80"/>
      <c r="BB168" s="81"/>
      <c r="BE168" s="24"/>
      <c r="BF168" s="23"/>
    </row>
    <row r="169" spans="1:58" ht="15" customHeight="1">
      <c r="A169" s="23" t="s">
        <v>183</v>
      </c>
      <c r="B169" s="23" t="s">
        <v>876</v>
      </c>
      <c r="C169" s="23" t="s">
        <v>57</v>
      </c>
      <c r="D169" s="23">
        <v>167</v>
      </c>
      <c r="E169" s="23">
        <v>2</v>
      </c>
      <c r="F169" s="23" t="s">
        <v>914</v>
      </c>
      <c r="G169" s="23" t="s">
        <v>825</v>
      </c>
      <c r="J169" s="23" t="s">
        <v>28</v>
      </c>
      <c r="N169" s="73"/>
      <c r="AB169" s="42"/>
      <c r="AD169" s="23" t="s">
        <v>479</v>
      </c>
      <c r="AE169" s="23"/>
      <c r="AF169" s="23" t="s">
        <v>826</v>
      </c>
      <c r="AO169" s="24"/>
      <c r="AP169" s="73"/>
      <c r="AQ169" s="75"/>
      <c r="AR169" s="76"/>
      <c r="AS169" s="77"/>
      <c r="AV169" s="75"/>
      <c r="AW169" s="83"/>
      <c r="AX169" s="84"/>
      <c r="AY169" s="80"/>
      <c r="BB169" s="81"/>
      <c r="BE169" s="24"/>
      <c r="BF169" s="23"/>
    </row>
    <row r="170" spans="1:58" ht="15" customHeight="1">
      <c r="A170" s="23" t="s">
        <v>183</v>
      </c>
      <c r="B170" s="23" t="s">
        <v>617</v>
      </c>
      <c r="C170" s="23" t="s">
        <v>57</v>
      </c>
      <c r="D170" s="23">
        <v>168</v>
      </c>
      <c r="E170" s="23">
        <v>2</v>
      </c>
      <c r="F170" s="23" t="s">
        <v>914</v>
      </c>
      <c r="G170" s="23" t="s">
        <v>493</v>
      </c>
      <c r="J170" s="23" t="s">
        <v>28</v>
      </c>
      <c r="N170" s="73"/>
      <c r="O170" s="75"/>
      <c r="P170" s="76"/>
      <c r="Q170" s="77"/>
      <c r="U170" s="75"/>
      <c r="V170" s="78"/>
      <c r="W170" s="79"/>
      <c r="X170" s="80"/>
      <c r="AA170" s="81"/>
      <c r="AB170" s="42"/>
      <c r="AD170" s="23" t="s">
        <v>479</v>
      </c>
      <c r="AE170" s="23"/>
      <c r="AF170" s="23" t="s">
        <v>641</v>
      </c>
      <c r="AO170" s="24"/>
      <c r="AP170" s="73"/>
      <c r="AQ170" s="75"/>
      <c r="AR170" s="76"/>
      <c r="AS170" s="77"/>
      <c r="AV170" s="75"/>
      <c r="AW170" s="83"/>
      <c r="AX170" s="84"/>
      <c r="AY170" s="80"/>
      <c r="BB170" s="81"/>
      <c r="BE170" s="24"/>
      <c r="BF170" s="23"/>
    </row>
    <row r="171" spans="1:58" ht="15" customHeight="1">
      <c r="A171" s="23" t="s">
        <v>183</v>
      </c>
      <c r="B171" s="23" t="s">
        <v>612</v>
      </c>
      <c r="C171" s="23" t="s">
        <v>57</v>
      </c>
      <c r="D171" s="23">
        <v>169</v>
      </c>
      <c r="E171" s="23">
        <v>3</v>
      </c>
      <c r="F171" s="23" t="s">
        <v>915</v>
      </c>
      <c r="G171" s="23" t="s">
        <v>484</v>
      </c>
      <c r="J171" s="23" t="s">
        <v>29</v>
      </c>
      <c r="N171" s="73"/>
      <c r="Q171" s="65">
        <v>3</v>
      </c>
      <c r="R171" s="66">
        <v>2</v>
      </c>
      <c r="T171" s="68">
        <v>1</v>
      </c>
      <c r="V171" s="69">
        <v>1</v>
      </c>
      <c r="W171" s="70">
        <v>0</v>
      </c>
      <c r="AB171" s="42"/>
      <c r="AD171" s="23" t="s">
        <v>467</v>
      </c>
      <c r="AE171" s="23"/>
      <c r="AF171" s="23" t="s">
        <v>638</v>
      </c>
      <c r="AO171" s="24"/>
      <c r="AP171" s="73"/>
      <c r="AQ171" s="75"/>
      <c r="AR171" s="76"/>
      <c r="AS171" s="77"/>
      <c r="AV171" s="75"/>
      <c r="AW171" s="83"/>
      <c r="AX171" s="84"/>
      <c r="AY171" s="80"/>
      <c r="BB171" s="81"/>
      <c r="BE171" s="24"/>
      <c r="BF171" s="23"/>
    </row>
    <row r="172" spans="1:58" ht="15" customHeight="1">
      <c r="A172" s="23" t="s">
        <v>183</v>
      </c>
      <c r="B172" s="23" t="s">
        <v>877</v>
      </c>
      <c r="C172" s="23" t="s">
        <v>57</v>
      </c>
      <c r="D172" s="23">
        <v>170</v>
      </c>
      <c r="E172" s="23">
        <v>1</v>
      </c>
      <c r="F172" s="23" t="s">
        <v>915</v>
      </c>
      <c r="G172" s="23" t="s">
        <v>827</v>
      </c>
      <c r="J172" s="23" t="s">
        <v>29</v>
      </c>
      <c r="N172" s="73"/>
      <c r="Q172" s="65">
        <v>4</v>
      </c>
      <c r="R172" s="66">
        <v>2</v>
      </c>
      <c r="T172" s="68">
        <v>2</v>
      </c>
      <c r="V172" s="69">
        <v>1</v>
      </c>
      <c r="W172" s="70">
        <v>0</v>
      </c>
      <c r="AB172" s="42"/>
      <c r="AD172" s="23" t="s">
        <v>467</v>
      </c>
      <c r="AE172" s="23" t="s">
        <v>828</v>
      </c>
      <c r="AF172" s="23" t="s">
        <v>829</v>
      </c>
      <c r="AO172" s="24"/>
      <c r="AP172" s="73"/>
      <c r="AQ172" s="75"/>
      <c r="AR172" s="76"/>
      <c r="AS172" s="77"/>
      <c r="AV172" s="75"/>
      <c r="AW172" s="83"/>
      <c r="AX172" s="84"/>
      <c r="AY172" s="80"/>
      <c r="BB172" s="81"/>
      <c r="BE172" s="24"/>
      <c r="BF172" s="23"/>
    </row>
    <row r="173" spans="1:58" ht="15" customHeight="1">
      <c r="A173" s="23" t="s">
        <v>183</v>
      </c>
      <c r="B173" s="23" t="s">
        <v>613</v>
      </c>
      <c r="C173" s="23" t="s">
        <v>57</v>
      </c>
      <c r="D173" s="23">
        <v>171</v>
      </c>
      <c r="E173" s="23">
        <v>2</v>
      </c>
      <c r="F173" s="23" t="s">
        <v>915</v>
      </c>
      <c r="G173" s="23" t="s">
        <v>485</v>
      </c>
      <c r="J173" s="23" t="s">
        <v>28</v>
      </c>
      <c r="N173" s="73"/>
      <c r="AB173" s="42"/>
      <c r="AD173" s="23" t="s">
        <v>486</v>
      </c>
      <c r="AE173" s="23"/>
      <c r="AF173" s="23" t="s">
        <v>639</v>
      </c>
      <c r="AO173" s="24"/>
      <c r="AP173" s="73"/>
      <c r="AQ173" s="75"/>
      <c r="AR173" s="76"/>
      <c r="AS173" s="77"/>
      <c r="AV173" s="75"/>
      <c r="AW173" s="83"/>
      <c r="AX173" s="84"/>
      <c r="AY173" s="80"/>
      <c r="BB173" s="81"/>
      <c r="BE173" s="24"/>
      <c r="BF173" s="23"/>
    </row>
    <row r="174" spans="1:58" ht="15" customHeight="1">
      <c r="A174" s="23" t="s">
        <v>183</v>
      </c>
      <c r="B174" s="23" t="s">
        <v>614</v>
      </c>
      <c r="C174" s="23" t="s">
        <v>57</v>
      </c>
      <c r="D174" s="23">
        <v>172</v>
      </c>
      <c r="E174" s="23">
        <v>2</v>
      </c>
      <c r="F174" s="23" t="s">
        <v>916</v>
      </c>
      <c r="G174" s="23" t="s">
        <v>487</v>
      </c>
      <c r="J174" s="23" t="s">
        <v>29</v>
      </c>
      <c r="N174" s="73"/>
      <c r="Q174" s="65">
        <v>3</v>
      </c>
      <c r="R174" s="66">
        <v>1</v>
      </c>
      <c r="T174" s="68">
        <v>4</v>
      </c>
      <c r="V174" s="69">
        <v>1</v>
      </c>
      <c r="W174" s="70">
        <v>1</v>
      </c>
      <c r="AB174" s="42"/>
      <c r="AD174" s="23" t="s">
        <v>488</v>
      </c>
      <c r="AE174" s="23" t="s">
        <v>475</v>
      </c>
      <c r="AF174" s="23" t="s">
        <v>830</v>
      </c>
      <c r="AO174" s="24"/>
      <c r="AP174" s="73"/>
      <c r="AQ174" s="75"/>
      <c r="AR174" s="76"/>
      <c r="AS174" s="77"/>
      <c r="AV174" s="75"/>
      <c r="AW174" s="83"/>
      <c r="AX174" s="84"/>
      <c r="AY174" s="80"/>
      <c r="BB174" s="81"/>
      <c r="BE174" s="24"/>
      <c r="BF174" s="23"/>
    </row>
    <row r="175" spans="1:58" ht="15" customHeight="1">
      <c r="A175" s="23" t="s">
        <v>183</v>
      </c>
      <c r="B175" s="23" t="s">
        <v>872</v>
      </c>
      <c r="C175" s="23" t="s">
        <v>57</v>
      </c>
      <c r="D175" s="23">
        <v>173</v>
      </c>
      <c r="E175" s="23">
        <v>2</v>
      </c>
      <c r="F175" s="23" t="s">
        <v>916</v>
      </c>
      <c r="G175" s="23" t="s">
        <v>831</v>
      </c>
      <c r="J175" s="23" t="s">
        <v>28</v>
      </c>
      <c r="N175" s="73"/>
      <c r="AB175" s="42"/>
      <c r="AE175" s="23"/>
      <c r="AF175" s="23" t="s">
        <v>832</v>
      </c>
      <c r="AO175" s="24"/>
      <c r="AP175" s="73"/>
      <c r="AQ175" s="75"/>
      <c r="AR175" s="76"/>
      <c r="AS175" s="77"/>
      <c r="AV175" s="75"/>
      <c r="AW175" s="83"/>
      <c r="AX175" s="84"/>
      <c r="AY175" s="80"/>
      <c r="BB175" s="81"/>
      <c r="BE175" s="24"/>
      <c r="BF175" s="23"/>
    </row>
    <row r="176" spans="1:58" ht="15" customHeight="1">
      <c r="A176" s="23" t="s">
        <v>183</v>
      </c>
      <c r="B176" s="23" t="s">
        <v>873</v>
      </c>
      <c r="C176" s="23" t="s">
        <v>57</v>
      </c>
      <c r="D176" s="23">
        <v>174</v>
      </c>
      <c r="E176" s="23">
        <v>2</v>
      </c>
      <c r="F176" s="23" t="s">
        <v>917</v>
      </c>
      <c r="G176" s="23" t="s">
        <v>833</v>
      </c>
      <c r="J176" s="23" t="s">
        <v>28</v>
      </c>
      <c r="N176" s="73"/>
      <c r="AB176" s="42"/>
      <c r="AD176" s="23" t="s">
        <v>834</v>
      </c>
      <c r="AE176" s="23"/>
      <c r="AF176" s="23" t="s">
        <v>835</v>
      </c>
      <c r="AO176" s="24"/>
      <c r="AP176" s="73"/>
      <c r="AQ176" s="75"/>
      <c r="AR176" s="76"/>
      <c r="AS176" s="77"/>
      <c r="AV176" s="75"/>
      <c r="AW176" s="83"/>
      <c r="AX176" s="84"/>
      <c r="AY176" s="80"/>
      <c r="BB176" s="81"/>
      <c r="BE176" s="24"/>
      <c r="BF176" s="23"/>
    </row>
    <row r="177" spans="1:59" ht="15" customHeight="1">
      <c r="A177" s="23" t="s">
        <v>183</v>
      </c>
      <c r="B177" s="23" t="s">
        <v>874</v>
      </c>
      <c r="C177" s="23" t="s">
        <v>57</v>
      </c>
      <c r="D177" s="23">
        <v>175</v>
      </c>
      <c r="E177" s="23">
        <v>2</v>
      </c>
      <c r="F177" s="23" t="s">
        <v>918</v>
      </c>
      <c r="G177" s="23" t="s">
        <v>839</v>
      </c>
      <c r="J177" s="23" t="s">
        <v>29</v>
      </c>
      <c r="N177" s="73"/>
      <c r="Q177" s="65">
        <v>3</v>
      </c>
      <c r="R177" s="66">
        <v>3</v>
      </c>
      <c r="T177" s="68">
        <v>4</v>
      </c>
      <c r="V177" s="69">
        <v>1</v>
      </c>
      <c r="W177" s="70">
        <v>2</v>
      </c>
      <c r="AA177" s="72">
        <v>1</v>
      </c>
      <c r="AB177" s="42"/>
      <c r="AD177" s="23" t="s">
        <v>836</v>
      </c>
      <c r="AE177" s="23" t="s">
        <v>837</v>
      </c>
      <c r="AF177" s="23" t="s">
        <v>838</v>
      </c>
      <c r="AO177" s="24"/>
      <c r="AP177" s="73"/>
      <c r="AQ177" s="75"/>
      <c r="AR177" s="76"/>
      <c r="AS177" s="77"/>
      <c r="AV177" s="75"/>
      <c r="AW177" s="83"/>
      <c r="AX177" s="84"/>
      <c r="AY177" s="80"/>
      <c r="BB177" s="81"/>
      <c r="BE177" s="24"/>
      <c r="BF177" s="23"/>
    </row>
    <row r="178" spans="1:59" ht="15" customHeight="1">
      <c r="A178" s="23" t="s">
        <v>183</v>
      </c>
      <c r="B178" s="23" t="s">
        <v>875</v>
      </c>
      <c r="C178" s="23" t="s">
        <v>57</v>
      </c>
      <c r="D178" s="23">
        <v>176</v>
      </c>
      <c r="E178" s="23">
        <v>2</v>
      </c>
      <c r="F178" s="23" t="s">
        <v>918</v>
      </c>
      <c r="G178" s="23" t="s">
        <v>840</v>
      </c>
      <c r="J178" s="23" t="s">
        <v>28</v>
      </c>
      <c r="N178" s="73"/>
      <c r="AB178" s="42"/>
      <c r="AD178" s="23" t="s">
        <v>492</v>
      </c>
      <c r="AE178" s="23"/>
      <c r="AF178" s="23" t="s">
        <v>841</v>
      </c>
      <c r="AO178" s="24"/>
      <c r="AP178" s="73"/>
      <c r="AQ178" s="75"/>
      <c r="AR178" s="76"/>
      <c r="AS178" s="77"/>
      <c r="AV178" s="75"/>
      <c r="AW178" s="83"/>
      <c r="AX178" s="84"/>
      <c r="AY178" s="80"/>
      <c r="BB178" s="81"/>
      <c r="BE178" s="24"/>
      <c r="BF178" s="23"/>
    </row>
    <row r="179" spans="1:59" ht="15" customHeight="1">
      <c r="A179" s="23" t="s">
        <v>183</v>
      </c>
      <c r="B179" s="23" t="s">
        <v>615</v>
      </c>
      <c r="C179" s="23" t="s">
        <v>57</v>
      </c>
      <c r="D179" s="23">
        <v>177</v>
      </c>
      <c r="E179" s="23">
        <v>2</v>
      </c>
      <c r="F179" s="23" t="s">
        <v>919</v>
      </c>
      <c r="G179" s="23" t="s">
        <v>489</v>
      </c>
      <c r="J179" s="23" t="s">
        <v>29</v>
      </c>
      <c r="N179" s="73"/>
      <c r="Q179" s="65">
        <v>4</v>
      </c>
      <c r="R179" s="66">
        <v>3</v>
      </c>
      <c r="T179" s="68">
        <v>4</v>
      </c>
      <c r="V179" s="69">
        <v>1</v>
      </c>
      <c r="W179" s="70">
        <v>1</v>
      </c>
      <c r="AA179" s="72">
        <v>1</v>
      </c>
      <c r="AB179" s="42"/>
      <c r="AD179" s="23" t="s">
        <v>490</v>
      </c>
      <c r="AE179" s="23" t="s">
        <v>842</v>
      </c>
      <c r="AF179" s="23" t="s">
        <v>843</v>
      </c>
      <c r="AO179" s="24"/>
      <c r="AP179" s="73"/>
      <c r="AQ179" s="75"/>
      <c r="AR179" s="76"/>
      <c r="AS179" s="77"/>
      <c r="AV179" s="75"/>
      <c r="AW179" s="83"/>
      <c r="AX179" s="84"/>
      <c r="AY179" s="80"/>
      <c r="BB179" s="81"/>
      <c r="BE179" s="24"/>
      <c r="BF179" s="23"/>
    </row>
    <row r="180" spans="1:59" ht="15" customHeight="1">
      <c r="A180" s="23" t="s">
        <v>183</v>
      </c>
      <c r="B180" s="23" t="s">
        <v>862</v>
      </c>
      <c r="C180" s="23" t="s">
        <v>57</v>
      </c>
      <c r="D180" s="23">
        <v>178</v>
      </c>
      <c r="E180" s="23">
        <v>2</v>
      </c>
      <c r="F180" s="23" t="s">
        <v>919</v>
      </c>
      <c r="G180" s="23" t="s">
        <v>844</v>
      </c>
      <c r="J180" s="23" t="s">
        <v>28</v>
      </c>
      <c r="N180" s="73"/>
      <c r="AB180" s="42"/>
      <c r="AD180" s="23" t="s">
        <v>845</v>
      </c>
      <c r="AE180" s="23" t="s">
        <v>761</v>
      </c>
      <c r="AF180" s="23" t="s">
        <v>846</v>
      </c>
      <c r="AO180" s="24"/>
      <c r="AP180" s="73"/>
      <c r="AQ180" s="75"/>
      <c r="AR180" s="76"/>
      <c r="AS180" s="77"/>
      <c r="AV180" s="75"/>
      <c r="AW180" s="83"/>
      <c r="AX180" s="84"/>
      <c r="AY180" s="80"/>
      <c r="BB180" s="81"/>
      <c r="BE180" s="24"/>
      <c r="BF180" s="23"/>
    </row>
    <row r="181" spans="1:59" ht="15" customHeight="1">
      <c r="A181" s="23" t="s">
        <v>183</v>
      </c>
      <c r="B181" s="23" t="s">
        <v>863</v>
      </c>
      <c r="C181" s="23" t="s">
        <v>57</v>
      </c>
      <c r="D181" s="23">
        <v>179</v>
      </c>
      <c r="E181" s="23">
        <v>2</v>
      </c>
      <c r="F181" s="23" t="s">
        <v>920</v>
      </c>
      <c r="G181" s="23" t="s">
        <v>847</v>
      </c>
      <c r="J181" s="23" t="s">
        <v>29</v>
      </c>
      <c r="N181" s="73"/>
      <c r="O181" s="75"/>
      <c r="P181" s="76"/>
      <c r="Q181" s="77">
        <v>4</v>
      </c>
      <c r="R181" s="66">
        <v>2</v>
      </c>
      <c r="T181" s="68">
        <v>5</v>
      </c>
      <c r="U181" s="75"/>
      <c r="V181" s="83">
        <v>2</v>
      </c>
      <c r="W181" s="84">
        <v>1</v>
      </c>
      <c r="X181" s="80"/>
      <c r="AA181" s="81">
        <v>1</v>
      </c>
      <c r="AB181" s="42"/>
      <c r="AD181" s="23" t="s">
        <v>848</v>
      </c>
      <c r="AE181" s="23" t="s">
        <v>849</v>
      </c>
      <c r="AF181" s="23" t="s">
        <v>850</v>
      </c>
      <c r="AO181" s="24"/>
      <c r="AP181" s="73"/>
      <c r="AQ181" s="75"/>
      <c r="AR181" s="76"/>
      <c r="AS181" s="77"/>
      <c r="AV181" s="75"/>
      <c r="AW181" s="83"/>
      <c r="AX181" s="84"/>
      <c r="AY181" s="80"/>
      <c r="BB181" s="81"/>
      <c r="BE181" s="24"/>
      <c r="BF181" s="23"/>
    </row>
    <row r="182" spans="1:59" ht="15" customHeight="1">
      <c r="A182" s="23" t="s">
        <v>183</v>
      </c>
      <c r="B182" s="23" t="s">
        <v>864</v>
      </c>
      <c r="C182" s="23" t="s">
        <v>57</v>
      </c>
      <c r="D182" s="23">
        <v>180</v>
      </c>
      <c r="E182" s="23">
        <v>2</v>
      </c>
      <c r="F182" s="23" t="s">
        <v>920</v>
      </c>
      <c r="G182" s="23" t="s">
        <v>851</v>
      </c>
      <c r="J182" s="23" t="s">
        <v>29</v>
      </c>
      <c r="N182" s="73"/>
      <c r="O182" s="75"/>
      <c r="P182" s="76"/>
      <c r="Q182" s="77">
        <v>3</v>
      </c>
      <c r="R182" s="66">
        <v>2</v>
      </c>
      <c r="T182" s="68">
        <v>3</v>
      </c>
      <c r="U182" s="75"/>
      <c r="V182" s="83">
        <v>1</v>
      </c>
      <c r="W182" s="84">
        <v>0</v>
      </c>
      <c r="X182" s="80"/>
      <c r="AA182" s="81"/>
      <c r="AB182" s="42"/>
      <c r="AD182" s="23" t="s">
        <v>852</v>
      </c>
      <c r="AE182" s="23" t="s">
        <v>853</v>
      </c>
      <c r="AF182" s="23" t="s">
        <v>854</v>
      </c>
      <c r="AO182" s="24"/>
      <c r="AP182" s="73"/>
      <c r="AQ182" s="75"/>
      <c r="AR182" s="76"/>
      <c r="AS182" s="77"/>
      <c r="AV182" s="75"/>
      <c r="AW182" s="83"/>
      <c r="AX182" s="84"/>
      <c r="AY182" s="80"/>
      <c r="BB182" s="81"/>
      <c r="BE182" s="24"/>
      <c r="BF182" s="23"/>
    </row>
    <row r="183" spans="1:59" ht="15" customHeight="1">
      <c r="A183" s="23" t="s">
        <v>183</v>
      </c>
      <c r="B183" s="23" t="s">
        <v>865</v>
      </c>
      <c r="C183" s="23" t="s">
        <v>57</v>
      </c>
      <c r="D183" s="23">
        <v>181</v>
      </c>
      <c r="E183" s="23">
        <v>2</v>
      </c>
      <c r="F183" s="23" t="s">
        <v>921</v>
      </c>
      <c r="G183" s="23" t="s">
        <v>855</v>
      </c>
      <c r="J183" s="23" t="s">
        <v>29</v>
      </c>
      <c r="N183" s="73"/>
      <c r="O183" s="75"/>
      <c r="P183" s="76"/>
      <c r="Q183" s="77">
        <v>3</v>
      </c>
      <c r="R183" s="66">
        <v>3</v>
      </c>
      <c r="T183" s="68">
        <v>3</v>
      </c>
      <c r="U183" s="75"/>
      <c r="V183" s="83">
        <v>1</v>
      </c>
      <c r="W183" s="84">
        <v>1</v>
      </c>
      <c r="X183" s="80"/>
      <c r="AA183" s="81"/>
      <c r="AB183" s="42"/>
      <c r="AD183" s="23" t="s">
        <v>856</v>
      </c>
      <c r="AE183" s="23" t="s">
        <v>857</v>
      </c>
      <c r="AF183" s="23" t="s">
        <v>858</v>
      </c>
      <c r="AO183" s="24"/>
      <c r="AP183" s="73"/>
      <c r="AQ183" s="75"/>
      <c r="AR183" s="76"/>
      <c r="AS183" s="77"/>
      <c r="AV183" s="75"/>
      <c r="AW183" s="83"/>
      <c r="AX183" s="84"/>
      <c r="AY183" s="80"/>
      <c r="BB183" s="81"/>
      <c r="BE183" s="24"/>
      <c r="BF183" s="23"/>
    </row>
    <row r="184" spans="1:59" ht="15" customHeight="1">
      <c r="A184" s="23" t="s">
        <v>183</v>
      </c>
      <c r="B184" s="23" t="s">
        <v>866</v>
      </c>
      <c r="C184" s="23" t="s">
        <v>57</v>
      </c>
      <c r="D184" s="23">
        <v>182</v>
      </c>
      <c r="E184" s="23">
        <v>2</v>
      </c>
      <c r="F184" s="23" t="s">
        <v>921</v>
      </c>
      <c r="G184" s="23" t="s">
        <v>859</v>
      </c>
      <c r="J184" s="23" t="s">
        <v>28</v>
      </c>
      <c r="N184" s="73"/>
      <c r="O184" s="75"/>
      <c r="P184" s="76"/>
      <c r="Q184" s="77"/>
      <c r="U184" s="75"/>
      <c r="V184" s="83"/>
      <c r="W184" s="84"/>
      <c r="X184" s="80"/>
      <c r="AA184" s="81"/>
      <c r="AB184" s="42"/>
      <c r="AD184" s="23" t="s">
        <v>492</v>
      </c>
      <c r="AE184" s="23"/>
      <c r="AF184" s="23" t="s">
        <v>860</v>
      </c>
      <c r="AP184" s="73"/>
      <c r="AQ184" s="75"/>
      <c r="AR184" s="76"/>
      <c r="AS184" s="77"/>
      <c r="AV184" s="75"/>
      <c r="AW184" s="83"/>
      <c r="AX184" s="84"/>
      <c r="AY184" s="80"/>
      <c r="BB184" s="81"/>
    </row>
    <row r="185" spans="1:59" ht="15" customHeight="1">
      <c r="A185" s="28" t="s">
        <v>183</v>
      </c>
      <c r="B185" s="28" t="s">
        <v>867</v>
      </c>
      <c r="C185" s="28" t="s">
        <v>57</v>
      </c>
      <c r="D185" s="31">
        <v>995</v>
      </c>
      <c r="E185" s="28">
        <v>1</v>
      </c>
      <c r="F185" s="28"/>
      <c r="G185" s="28" t="s">
        <v>184</v>
      </c>
      <c r="J185" s="23" t="s">
        <v>861</v>
      </c>
      <c r="K185" s="23" t="s">
        <v>198</v>
      </c>
      <c r="N185" s="73"/>
      <c r="O185" s="75"/>
      <c r="P185" s="76"/>
      <c r="Q185" s="77"/>
      <c r="U185" s="75"/>
      <c r="V185" s="83"/>
      <c r="W185" s="84"/>
      <c r="X185" s="80"/>
      <c r="AA185" s="81"/>
      <c r="AB185" s="42"/>
      <c r="AE185" s="23"/>
      <c r="AI185" s="28" t="s">
        <v>184</v>
      </c>
      <c r="AL185" s="23" t="s">
        <v>861</v>
      </c>
      <c r="AP185" s="73"/>
      <c r="AQ185" s="75"/>
      <c r="AR185" s="76"/>
      <c r="AS185" s="77"/>
      <c r="AV185" s="75"/>
      <c r="AW185" s="83"/>
      <c r="AX185" s="84"/>
      <c r="AY185" s="80"/>
      <c r="BB185" s="81"/>
    </row>
    <row r="186" spans="1:59" ht="15" customHeight="1">
      <c r="A186" s="23" t="s">
        <v>183</v>
      </c>
      <c r="B186" s="23" t="s">
        <v>868</v>
      </c>
      <c r="C186" s="23" t="s">
        <v>57</v>
      </c>
      <c r="D186" s="24">
        <v>996</v>
      </c>
      <c r="E186" s="23">
        <v>1</v>
      </c>
      <c r="G186" s="23" t="s">
        <v>240</v>
      </c>
      <c r="J186" s="23" t="s">
        <v>861</v>
      </c>
      <c r="K186" s="23" t="s">
        <v>199</v>
      </c>
      <c r="N186" s="73"/>
      <c r="O186" s="75"/>
      <c r="P186" s="76"/>
      <c r="Q186" s="77"/>
      <c r="U186" s="75"/>
      <c r="V186" s="83"/>
      <c r="W186" s="84"/>
      <c r="X186" s="80"/>
      <c r="AA186" s="81"/>
      <c r="AB186" s="42"/>
      <c r="AE186" s="23"/>
      <c r="AI186" s="23" t="s">
        <v>240</v>
      </c>
      <c r="AL186" s="23" t="s">
        <v>861</v>
      </c>
      <c r="AP186" s="73"/>
      <c r="AQ186" s="75"/>
      <c r="AR186" s="76"/>
      <c r="AS186" s="77"/>
      <c r="AV186" s="75"/>
      <c r="AW186" s="83"/>
      <c r="AX186" s="84"/>
      <c r="AY186" s="80"/>
      <c r="BB186" s="81"/>
    </row>
    <row r="187" spans="1:59" ht="15" customHeight="1">
      <c r="A187" s="23" t="s">
        <v>183</v>
      </c>
      <c r="B187" s="23" t="s">
        <v>869</v>
      </c>
      <c r="C187" s="23" t="s">
        <v>57</v>
      </c>
      <c r="D187" s="24">
        <v>997</v>
      </c>
      <c r="E187" s="23">
        <v>1</v>
      </c>
      <c r="G187" s="23" t="s">
        <v>244</v>
      </c>
      <c r="J187" s="23" t="s">
        <v>861</v>
      </c>
      <c r="K187" s="23" t="s">
        <v>201</v>
      </c>
      <c r="N187" s="73"/>
      <c r="O187" s="75"/>
      <c r="P187" s="76"/>
      <c r="Q187" s="77"/>
      <c r="U187" s="75"/>
      <c r="V187" s="83"/>
      <c r="W187" s="84"/>
      <c r="X187" s="80"/>
      <c r="AA187" s="81"/>
      <c r="AB187" s="42"/>
      <c r="AE187" s="23"/>
      <c r="AI187" s="23" t="s">
        <v>244</v>
      </c>
      <c r="AL187" s="23" t="s">
        <v>861</v>
      </c>
      <c r="AP187" s="73"/>
      <c r="AQ187" s="75"/>
      <c r="AR187" s="76"/>
      <c r="AS187" s="77"/>
      <c r="AV187" s="75"/>
      <c r="AW187" s="83"/>
      <c r="AX187" s="84"/>
      <c r="AY187" s="80"/>
      <c r="BB187" s="81"/>
    </row>
    <row r="188" spans="1:59" ht="15" customHeight="1">
      <c r="A188" s="23" t="s">
        <v>183</v>
      </c>
      <c r="B188" s="23" t="s">
        <v>870</v>
      </c>
      <c r="C188" s="23" t="s">
        <v>57</v>
      </c>
      <c r="D188" s="24">
        <v>998</v>
      </c>
      <c r="E188" s="23">
        <v>1</v>
      </c>
      <c r="G188" s="23" t="s">
        <v>248</v>
      </c>
      <c r="J188" s="23" t="s">
        <v>861</v>
      </c>
      <c r="K188" s="23" t="s">
        <v>200</v>
      </c>
      <c r="N188" s="73"/>
      <c r="O188" s="75"/>
      <c r="P188" s="76"/>
      <c r="Q188" s="77"/>
      <c r="U188" s="75"/>
      <c r="V188" s="83"/>
      <c r="W188" s="84"/>
      <c r="X188" s="80"/>
      <c r="AA188" s="81"/>
      <c r="AB188" s="42"/>
      <c r="AE188" s="23"/>
      <c r="AI188" s="23" t="s">
        <v>248</v>
      </c>
      <c r="AL188" s="23" t="s">
        <v>861</v>
      </c>
      <c r="AP188" s="73"/>
      <c r="AQ188" s="75"/>
      <c r="AR188" s="76"/>
      <c r="AS188" s="77"/>
      <c r="AV188" s="75"/>
      <c r="AW188" s="83"/>
      <c r="AX188" s="84"/>
      <c r="AY188" s="80"/>
      <c r="BB188" s="81"/>
    </row>
    <row r="189" spans="1:59" s="32" customFormat="1" ht="15" customHeight="1">
      <c r="A189" s="32" t="s">
        <v>183</v>
      </c>
      <c r="B189" s="32" t="s">
        <v>871</v>
      </c>
      <c r="C189" s="32" t="s">
        <v>57</v>
      </c>
      <c r="D189" s="32">
        <v>999</v>
      </c>
      <c r="E189" s="32">
        <v>1</v>
      </c>
      <c r="G189" s="32" t="s">
        <v>252</v>
      </c>
      <c r="J189" s="32" t="s">
        <v>861</v>
      </c>
      <c r="K189" s="32" t="s">
        <v>202</v>
      </c>
      <c r="N189" s="85"/>
      <c r="O189" s="86"/>
      <c r="P189" s="87"/>
      <c r="Q189" s="88"/>
      <c r="R189" s="89"/>
      <c r="S189" s="113"/>
      <c r="T189" s="90"/>
      <c r="U189" s="86"/>
      <c r="V189" s="91"/>
      <c r="W189" s="92"/>
      <c r="X189" s="93"/>
      <c r="Y189" s="89"/>
      <c r="Z189" s="90"/>
      <c r="AA189" s="94"/>
      <c r="AI189" s="32" t="s">
        <v>252</v>
      </c>
      <c r="AL189" s="32" t="s">
        <v>861</v>
      </c>
      <c r="AP189" s="85"/>
      <c r="AQ189" s="86"/>
      <c r="AR189" s="87"/>
      <c r="AS189" s="88"/>
      <c r="AT189" s="89"/>
      <c r="AU189" s="90"/>
      <c r="AV189" s="86"/>
      <c r="AW189" s="91"/>
      <c r="AX189" s="92"/>
      <c r="AY189" s="93"/>
      <c r="AZ189" s="89"/>
      <c r="BA189" s="90"/>
      <c r="BB189" s="94"/>
      <c r="BF189" s="25"/>
    </row>
    <row r="190" spans="1:59" ht="15" customHeight="1">
      <c r="A190" s="23" t="s">
        <v>933</v>
      </c>
      <c r="B190" s="23" t="s">
        <v>935</v>
      </c>
      <c r="C190" s="23" t="s">
        <v>971</v>
      </c>
      <c r="D190" s="23">
        <v>1</v>
      </c>
      <c r="E190" s="23">
        <v>1</v>
      </c>
      <c r="F190" s="23" t="s">
        <v>1058</v>
      </c>
      <c r="G190" s="23" t="s">
        <v>934</v>
      </c>
      <c r="H190" s="23" t="s">
        <v>709</v>
      </c>
      <c r="J190" s="23" t="s">
        <v>618</v>
      </c>
      <c r="N190" s="73"/>
      <c r="O190" s="95"/>
      <c r="P190" s="96"/>
      <c r="Q190" s="97"/>
      <c r="R190" s="98"/>
      <c r="T190" s="99"/>
      <c r="U190" s="95"/>
      <c r="V190" s="100"/>
      <c r="W190" s="101"/>
      <c r="X190" s="102"/>
      <c r="Y190" s="98"/>
      <c r="Z190" s="99"/>
      <c r="AA190" s="103"/>
      <c r="AE190" s="23"/>
      <c r="AF190" s="23" t="s">
        <v>972</v>
      </c>
      <c r="AI190" s="23" t="s">
        <v>934</v>
      </c>
      <c r="AJ190" s="23" t="s">
        <v>710</v>
      </c>
      <c r="AL190" s="23" t="s">
        <v>618</v>
      </c>
      <c r="AP190" s="73"/>
      <c r="AQ190" s="95"/>
      <c r="AR190" s="96"/>
      <c r="AS190" s="97"/>
      <c r="AT190" s="98"/>
      <c r="AU190" s="99"/>
      <c r="AV190" s="95"/>
      <c r="AW190" s="100"/>
      <c r="AX190" s="101"/>
      <c r="AY190" s="102"/>
      <c r="AZ190" s="98"/>
      <c r="BA190" s="99"/>
      <c r="BB190" s="103"/>
      <c r="BG190" s="23" t="s">
        <v>973</v>
      </c>
    </row>
    <row r="191" spans="1:59" ht="15" customHeight="1">
      <c r="A191" s="23" t="s">
        <v>933</v>
      </c>
      <c r="B191" s="23" t="s">
        <v>936</v>
      </c>
      <c r="C191" s="23" t="s">
        <v>971</v>
      </c>
      <c r="D191" s="23">
        <v>2</v>
      </c>
      <c r="E191" s="23">
        <v>1</v>
      </c>
      <c r="F191" s="23" t="s">
        <v>1058</v>
      </c>
      <c r="G191" s="23" t="s">
        <v>974</v>
      </c>
      <c r="J191" s="23" t="s">
        <v>619</v>
      </c>
      <c r="L191" s="23">
        <v>1</v>
      </c>
      <c r="N191" s="73"/>
      <c r="O191" s="75"/>
      <c r="P191" s="76"/>
      <c r="Q191" s="77"/>
      <c r="U191" s="75"/>
      <c r="V191" s="83"/>
      <c r="W191" s="84"/>
      <c r="X191" s="80"/>
      <c r="Z191" s="68">
        <v>5</v>
      </c>
      <c r="AA191" s="81"/>
      <c r="AE191" s="23"/>
      <c r="AI191" s="23" t="s">
        <v>975</v>
      </c>
      <c r="AL191" s="23" t="s">
        <v>619</v>
      </c>
      <c r="AN191" s="23">
        <v>1</v>
      </c>
      <c r="AP191" s="73"/>
      <c r="AQ191" s="75"/>
      <c r="AR191" s="76"/>
      <c r="AS191" s="77"/>
      <c r="AV191" s="75"/>
      <c r="AW191" s="83"/>
      <c r="AX191" s="84"/>
      <c r="AY191" s="80"/>
      <c r="BB191" s="81"/>
      <c r="BG191" s="23" t="s">
        <v>976</v>
      </c>
    </row>
    <row r="192" spans="1:59" ht="15" customHeight="1">
      <c r="A192" s="23" t="s">
        <v>933</v>
      </c>
      <c r="B192" s="23" t="s">
        <v>937</v>
      </c>
      <c r="C192" s="23" t="s">
        <v>971</v>
      </c>
      <c r="D192" s="23">
        <v>3</v>
      </c>
      <c r="E192" s="23">
        <v>1</v>
      </c>
      <c r="F192" s="23" t="s">
        <v>1058</v>
      </c>
      <c r="G192" s="23" t="s">
        <v>977</v>
      </c>
      <c r="J192" s="23" t="s">
        <v>619</v>
      </c>
      <c r="L192" s="23">
        <v>2</v>
      </c>
      <c r="N192" s="73"/>
      <c r="O192" s="75"/>
      <c r="P192" s="76"/>
      <c r="Q192" s="77"/>
      <c r="U192" s="75"/>
      <c r="V192" s="83"/>
      <c r="W192" s="84"/>
      <c r="X192" s="80"/>
      <c r="Z192" s="68">
        <v>6</v>
      </c>
      <c r="AA192" s="81"/>
      <c r="AE192" s="23"/>
      <c r="AI192" s="23" t="s">
        <v>978</v>
      </c>
      <c r="AL192" s="23" t="s">
        <v>619</v>
      </c>
      <c r="AN192" s="23">
        <v>2</v>
      </c>
      <c r="AP192" s="73"/>
      <c r="AQ192" s="75"/>
      <c r="AR192" s="76"/>
      <c r="AS192" s="77"/>
      <c r="AV192" s="75"/>
      <c r="AW192" s="83"/>
      <c r="AX192" s="84"/>
      <c r="AY192" s="80"/>
      <c r="BB192" s="81"/>
      <c r="BG192" s="23" t="s">
        <v>979</v>
      </c>
    </row>
    <row r="193" spans="1:59" ht="15" customHeight="1">
      <c r="A193" s="23" t="s">
        <v>933</v>
      </c>
      <c r="B193" s="23" t="s">
        <v>938</v>
      </c>
      <c r="C193" s="23" t="s">
        <v>971</v>
      </c>
      <c r="D193" s="23">
        <v>4</v>
      </c>
      <c r="E193" s="23">
        <v>1</v>
      </c>
      <c r="F193" s="23" t="s">
        <v>1058</v>
      </c>
      <c r="G193" s="23" t="s">
        <v>980</v>
      </c>
      <c r="J193" s="23" t="s">
        <v>619</v>
      </c>
      <c r="L193" s="23">
        <v>3</v>
      </c>
      <c r="N193" s="73"/>
      <c r="O193" s="75"/>
      <c r="P193" s="76"/>
      <c r="Q193" s="77"/>
      <c r="U193" s="75"/>
      <c r="V193" s="83"/>
      <c r="W193" s="84"/>
      <c r="X193" s="80"/>
      <c r="Z193" s="68">
        <v>8</v>
      </c>
      <c r="AA193" s="81"/>
      <c r="AE193" s="23"/>
      <c r="AF193" s="23" t="s">
        <v>984</v>
      </c>
      <c r="AI193" s="23" t="s">
        <v>981</v>
      </c>
      <c r="AL193" s="23" t="s">
        <v>619</v>
      </c>
      <c r="AN193" s="23">
        <v>3</v>
      </c>
      <c r="AP193" s="73"/>
      <c r="AQ193" s="75"/>
      <c r="AR193" s="76"/>
      <c r="AS193" s="77"/>
      <c r="AV193" s="75"/>
      <c r="AW193" s="83"/>
      <c r="AX193" s="84"/>
      <c r="AY193" s="80"/>
      <c r="BB193" s="81"/>
      <c r="BG193" s="23" t="s">
        <v>983</v>
      </c>
    </row>
    <row r="194" spans="1:59" ht="15" customHeight="1">
      <c r="A194" s="23" t="s">
        <v>933</v>
      </c>
      <c r="B194" s="23" t="s">
        <v>939</v>
      </c>
      <c r="C194" s="23" t="s">
        <v>971</v>
      </c>
      <c r="D194" s="23">
        <v>5</v>
      </c>
      <c r="E194" s="23">
        <v>1</v>
      </c>
      <c r="F194" s="23" t="s">
        <v>1058</v>
      </c>
      <c r="G194" s="23" t="s">
        <v>982</v>
      </c>
      <c r="J194" s="23" t="s">
        <v>621</v>
      </c>
      <c r="L194" s="23">
        <v>1</v>
      </c>
      <c r="N194" s="73"/>
      <c r="O194" s="75"/>
      <c r="P194" s="76"/>
      <c r="Q194" s="77"/>
      <c r="U194" s="75"/>
      <c r="V194" s="78"/>
      <c r="W194" s="79"/>
      <c r="X194" s="80"/>
      <c r="Y194" s="66" t="s">
        <v>1071</v>
      </c>
      <c r="AA194" s="81"/>
      <c r="AE194" s="23"/>
      <c r="AF194" s="23" t="s">
        <v>985</v>
      </c>
      <c r="AI194" s="23" t="s">
        <v>1075</v>
      </c>
      <c r="AL194" s="23" t="s">
        <v>621</v>
      </c>
      <c r="AN194" s="23">
        <v>1</v>
      </c>
      <c r="AP194" s="73"/>
      <c r="AQ194" s="75"/>
      <c r="AR194" s="76"/>
      <c r="AS194" s="77"/>
      <c r="AV194" s="75"/>
      <c r="AW194" s="83"/>
      <c r="AX194" s="84"/>
      <c r="AY194" s="80"/>
      <c r="BB194" s="81"/>
      <c r="BG194" s="23" t="s">
        <v>986</v>
      </c>
    </row>
    <row r="195" spans="1:59" ht="15" customHeight="1">
      <c r="A195" s="23" t="s">
        <v>933</v>
      </c>
      <c r="B195" s="23" t="s">
        <v>940</v>
      </c>
      <c r="C195" s="23" t="s">
        <v>971</v>
      </c>
      <c r="D195" s="23">
        <v>6</v>
      </c>
      <c r="E195" s="23">
        <v>1</v>
      </c>
      <c r="F195" s="23" t="s">
        <v>1058</v>
      </c>
      <c r="G195" s="23" t="s">
        <v>987</v>
      </c>
      <c r="J195" s="23" t="s">
        <v>621</v>
      </c>
      <c r="L195" s="23">
        <v>2</v>
      </c>
      <c r="N195" s="73"/>
      <c r="O195" s="75"/>
      <c r="P195" s="76"/>
      <c r="Q195" s="77"/>
      <c r="U195" s="75"/>
      <c r="V195" s="78"/>
      <c r="W195" s="79"/>
      <c r="X195" s="80"/>
      <c r="Y195" s="66" t="s">
        <v>38</v>
      </c>
      <c r="AA195" s="81"/>
      <c r="AE195" s="23"/>
      <c r="AF195" s="23" t="s">
        <v>988</v>
      </c>
      <c r="AI195" s="42" t="s">
        <v>1076</v>
      </c>
      <c r="AL195" s="23" t="s">
        <v>621</v>
      </c>
      <c r="AN195" s="23">
        <v>2</v>
      </c>
      <c r="AP195" s="73"/>
      <c r="AQ195" s="75"/>
      <c r="AR195" s="76"/>
      <c r="AS195" s="77"/>
      <c r="AV195" s="75"/>
      <c r="AW195" s="83"/>
      <c r="AX195" s="84"/>
      <c r="AY195" s="80"/>
      <c r="BB195" s="81"/>
      <c r="BG195" s="23" t="s">
        <v>1072</v>
      </c>
    </row>
    <row r="196" spans="1:59" ht="15" customHeight="1">
      <c r="A196" s="23" t="s">
        <v>933</v>
      </c>
      <c r="B196" s="23" t="s">
        <v>941</v>
      </c>
      <c r="C196" s="23" t="s">
        <v>971</v>
      </c>
      <c r="D196" s="23">
        <v>7</v>
      </c>
      <c r="E196" s="23">
        <v>1</v>
      </c>
      <c r="F196" s="23" t="s">
        <v>1058</v>
      </c>
      <c r="G196" s="43" t="s">
        <v>989</v>
      </c>
      <c r="J196" s="23" t="s">
        <v>31</v>
      </c>
      <c r="N196" s="73"/>
      <c r="O196" s="75"/>
      <c r="P196" s="76"/>
      <c r="Q196" s="77"/>
      <c r="U196" s="75"/>
      <c r="V196" s="78"/>
      <c r="W196" s="79"/>
      <c r="X196" s="80"/>
      <c r="AA196" s="81"/>
      <c r="AD196" s="43" t="s">
        <v>990</v>
      </c>
      <c r="AE196" s="23"/>
      <c r="AI196" s="43" t="s">
        <v>989</v>
      </c>
      <c r="AL196" s="23" t="s">
        <v>31</v>
      </c>
      <c r="AP196" s="73"/>
      <c r="AQ196" s="75"/>
      <c r="AR196" s="76"/>
      <c r="AS196" s="77"/>
      <c r="AV196" s="75"/>
      <c r="AW196" s="83"/>
      <c r="AX196" s="84"/>
      <c r="AY196" s="80">
        <v>1</v>
      </c>
      <c r="AZ196" s="66">
        <v>0</v>
      </c>
      <c r="BB196" s="81"/>
      <c r="BE196" s="43" t="s">
        <v>990</v>
      </c>
      <c r="BG196" s="23" t="s">
        <v>991</v>
      </c>
    </row>
    <row r="197" spans="1:59" ht="15" customHeight="1">
      <c r="A197" s="23" t="s">
        <v>933</v>
      </c>
      <c r="B197" s="23" t="s">
        <v>942</v>
      </c>
      <c r="C197" s="23" t="s">
        <v>971</v>
      </c>
      <c r="D197" s="23">
        <v>8</v>
      </c>
      <c r="E197" s="23">
        <v>1</v>
      </c>
      <c r="F197" s="23" t="s">
        <v>1058</v>
      </c>
      <c r="G197" s="43" t="s">
        <v>992</v>
      </c>
      <c r="J197" s="23" t="s">
        <v>31</v>
      </c>
      <c r="N197" s="73"/>
      <c r="O197" s="75"/>
      <c r="P197" s="76"/>
      <c r="Q197" s="77"/>
      <c r="U197" s="75"/>
      <c r="V197" s="78"/>
      <c r="W197" s="79"/>
      <c r="X197" s="80"/>
      <c r="AA197" s="81"/>
      <c r="AD197" s="43" t="s">
        <v>992</v>
      </c>
      <c r="AE197" s="23"/>
      <c r="AI197" s="43" t="s">
        <v>992</v>
      </c>
      <c r="AJ197" s="43" t="s">
        <v>993</v>
      </c>
      <c r="AL197" s="23" t="s">
        <v>31</v>
      </c>
      <c r="AP197" s="73"/>
      <c r="AQ197" s="75"/>
      <c r="AR197" s="76"/>
      <c r="AS197" s="77"/>
      <c r="AV197" s="75"/>
      <c r="AW197" s="83"/>
      <c r="AX197" s="84"/>
      <c r="AY197" s="80">
        <v>1</v>
      </c>
      <c r="AZ197" s="66">
        <v>0</v>
      </c>
      <c r="BB197" s="81"/>
      <c r="BE197" s="43" t="s">
        <v>992</v>
      </c>
      <c r="BG197" s="23" t="s">
        <v>995</v>
      </c>
    </row>
    <row r="198" spans="1:59" ht="15" customHeight="1">
      <c r="A198" s="23" t="s">
        <v>933</v>
      </c>
      <c r="B198" s="23" t="s">
        <v>943</v>
      </c>
      <c r="C198" s="23" t="s">
        <v>971</v>
      </c>
      <c r="D198" s="23">
        <v>9</v>
      </c>
      <c r="E198" s="23">
        <v>1</v>
      </c>
      <c r="F198" s="23" t="s">
        <v>1058</v>
      </c>
      <c r="G198" s="43" t="s">
        <v>992</v>
      </c>
      <c r="J198" s="23" t="s">
        <v>31</v>
      </c>
      <c r="N198" s="73"/>
      <c r="O198" s="75"/>
      <c r="P198" s="76"/>
      <c r="Q198" s="77"/>
      <c r="U198" s="75"/>
      <c r="V198" s="78"/>
      <c r="W198" s="79"/>
      <c r="X198" s="80"/>
      <c r="AA198" s="81"/>
      <c r="AD198" s="43" t="s">
        <v>992</v>
      </c>
      <c r="AE198" s="23"/>
      <c r="AI198" s="43" t="s">
        <v>992</v>
      </c>
      <c r="AJ198" s="43" t="s">
        <v>994</v>
      </c>
      <c r="AL198" s="23" t="s">
        <v>31</v>
      </c>
      <c r="AP198" s="73"/>
      <c r="AQ198" s="75"/>
      <c r="AR198" s="76"/>
      <c r="AS198" s="77"/>
      <c r="AV198" s="75"/>
      <c r="AW198" s="83"/>
      <c r="AX198" s="84"/>
      <c r="AY198" s="80">
        <v>3</v>
      </c>
      <c r="AZ198" s="66" t="s">
        <v>1073</v>
      </c>
      <c r="BB198" s="81"/>
      <c r="BE198" s="43" t="s">
        <v>992</v>
      </c>
      <c r="BG198" s="23" t="s">
        <v>996</v>
      </c>
    </row>
    <row r="199" spans="1:59" ht="15" customHeight="1">
      <c r="A199" s="23" t="s">
        <v>933</v>
      </c>
      <c r="B199" s="23" t="s">
        <v>944</v>
      </c>
      <c r="C199" s="23" t="s">
        <v>971</v>
      </c>
      <c r="D199" s="23">
        <v>10</v>
      </c>
      <c r="E199" s="23">
        <v>1</v>
      </c>
      <c r="F199" s="23" t="s">
        <v>1058</v>
      </c>
      <c r="G199" s="23" t="s">
        <v>997</v>
      </c>
      <c r="J199" s="23" t="s">
        <v>31</v>
      </c>
      <c r="N199" s="73"/>
      <c r="O199" s="75"/>
      <c r="P199" s="76"/>
      <c r="Q199" s="77"/>
      <c r="U199" s="75"/>
      <c r="V199" s="78"/>
      <c r="W199" s="79"/>
      <c r="X199" s="80"/>
      <c r="AA199" s="81"/>
      <c r="AD199" s="43" t="s">
        <v>998</v>
      </c>
      <c r="AE199" s="23"/>
      <c r="AI199" s="23" t="s">
        <v>997</v>
      </c>
      <c r="AL199" s="23" t="s">
        <v>31</v>
      </c>
      <c r="AP199" s="73"/>
      <c r="AQ199" s="75"/>
      <c r="AR199" s="76"/>
      <c r="AS199" s="77"/>
      <c r="AV199" s="75"/>
      <c r="AW199" s="83"/>
      <c r="AX199" s="84"/>
      <c r="AY199" s="80">
        <v>1</v>
      </c>
      <c r="AZ199" s="66">
        <v>0</v>
      </c>
      <c r="BB199" s="81"/>
      <c r="BE199" s="43" t="s">
        <v>998</v>
      </c>
      <c r="BG199" s="23" t="s">
        <v>999</v>
      </c>
    </row>
    <row r="200" spans="1:59" ht="15" customHeight="1">
      <c r="A200" s="23" t="s">
        <v>933</v>
      </c>
      <c r="B200" s="23" t="s">
        <v>945</v>
      </c>
      <c r="C200" s="23" t="s">
        <v>971</v>
      </c>
      <c r="D200" s="23">
        <v>11</v>
      </c>
      <c r="E200" s="23">
        <v>1</v>
      </c>
      <c r="F200" s="23" t="s">
        <v>1058</v>
      </c>
      <c r="G200" s="23" t="s">
        <v>1000</v>
      </c>
      <c r="J200" s="23" t="s">
        <v>31</v>
      </c>
      <c r="N200" s="73"/>
      <c r="O200" s="75"/>
      <c r="P200" s="76"/>
      <c r="Q200" s="77"/>
      <c r="U200" s="75"/>
      <c r="V200" s="78"/>
      <c r="W200" s="79"/>
      <c r="X200" s="80"/>
      <c r="AA200" s="81"/>
      <c r="AD200" s="23" t="s">
        <v>1000</v>
      </c>
      <c r="AE200" s="23"/>
      <c r="AI200" s="23" t="s">
        <v>1000</v>
      </c>
      <c r="AJ200" s="23" t="s">
        <v>1001</v>
      </c>
      <c r="AL200" s="23" t="s">
        <v>31</v>
      </c>
      <c r="AP200" s="73"/>
      <c r="AQ200" s="75"/>
      <c r="AR200" s="76"/>
      <c r="AS200" s="77"/>
      <c r="AV200" s="75"/>
      <c r="AW200" s="83"/>
      <c r="AX200" s="84"/>
      <c r="AY200" s="80">
        <v>3</v>
      </c>
      <c r="AZ200" s="66" t="s">
        <v>1073</v>
      </c>
      <c r="BB200" s="81">
        <v>1</v>
      </c>
      <c r="BE200" s="23" t="s">
        <v>1000</v>
      </c>
      <c r="BG200" s="23" t="s">
        <v>1002</v>
      </c>
    </row>
    <row r="201" spans="1:59" ht="15" customHeight="1">
      <c r="A201" s="23" t="s">
        <v>933</v>
      </c>
      <c r="B201" s="23" t="s">
        <v>946</v>
      </c>
      <c r="C201" s="23" t="s">
        <v>971</v>
      </c>
      <c r="D201" s="23">
        <v>12</v>
      </c>
      <c r="E201" s="23">
        <v>1</v>
      </c>
      <c r="F201" s="23" t="s">
        <v>1058</v>
      </c>
      <c r="G201" s="23" t="s">
        <v>1000</v>
      </c>
      <c r="J201" s="23" t="s">
        <v>31</v>
      </c>
      <c r="N201" s="73"/>
      <c r="O201" s="75"/>
      <c r="P201" s="76"/>
      <c r="Q201" s="77"/>
      <c r="U201" s="75"/>
      <c r="V201" s="78"/>
      <c r="W201" s="79"/>
      <c r="X201" s="80"/>
      <c r="AA201" s="81"/>
      <c r="AD201" s="23" t="s">
        <v>1000</v>
      </c>
      <c r="AE201" s="23"/>
      <c r="AI201" s="23" t="s">
        <v>1000</v>
      </c>
      <c r="AJ201" s="23" t="s">
        <v>1003</v>
      </c>
      <c r="AL201" s="23" t="s">
        <v>31</v>
      </c>
      <c r="AP201" s="73"/>
      <c r="AQ201" s="75"/>
      <c r="AR201" s="76"/>
      <c r="AS201" s="77"/>
      <c r="AV201" s="75"/>
      <c r="AW201" s="83"/>
      <c r="AX201" s="84"/>
      <c r="AY201" s="80">
        <v>4</v>
      </c>
      <c r="AZ201" s="66">
        <v>0</v>
      </c>
      <c r="BB201" s="81"/>
      <c r="BE201" s="23" t="s">
        <v>1000</v>
      </c>
      <c r="BG201" s="23" t="s">
        <v>1004</v>
      </c>
    </row>
    <row r="202" spans="1:59" ht="15" customHeight="1">
      <c r="A202" s="23" t="s">
        <v>933</v>
      </c>
      <c r="B202" s="23" t="s">
        <v>947</v>
      </c>
      <c r="C202" s="23" t="s">
        <v>971</v>
      </c>
      <c r="D202" s="23">
        <v>13</v>
      </c>
      <c r="E202" s="23">
        <v>1</v>
      </c>
      <c r="F202" s="23" t="s">
        <v>1058</v>
      </c>
      <c r="G202" s="43" t="s">
        <v>1005</v>
      </c>
      <c r="J202" s="23" t="s">
        <v>31</v>
      </c>
      <c r="N202" s="73"/>
      <c r="O202" s="75"/>
      <c r="P202" s="76"/>
      <c r="Q202" s="77"/>
      <c r="U202" s="75"/>
      <c r="V202" s="78"/>
      <c r="W202" s="79"/>
      <c r="X202" s="80"/>
      <c r="AA202" s="81"/>
      <c r="AD202" s="43" t="s">
        <v>1006</v>
      </c>
      <c r="AE202" s="23"/>
      <c r="AI202" s="43" t="s">
        <v>1005</v>
      </c>
      <c r="AL202" s="23" t="s">
        <v>31</v>
      </c>
      <c r="AP202" s="73"/>
      <c r="AQ202" s="75"/>
      <c r="AR202" s="76"/>
      <c r="AS202" s="77"/>
      <c r="AV202" s="75"/>
      <c r="AW202" s="83"/>
      <c r="AX202" s="84"/>
      <c r="AY202" s="80">
        <v>2</v>
      </c>
      <c r="AZ202" s="66">
        <v>0</v>
      </c>
      <c r="BB202" s="81"/>
      <c r="BE202" s="43" t="s">
        <v>1006</v>
      </c>
      <c r="BG202" s="23" t="s">
        <v>1007</v>
      </c>
    </row>
    <row r="203" spans="1:59" ht="15" customHeight="1">
      <c r="A203" s="23" t="s">
        <v>933</v>
      </c>
      <c r="B203" s="23" t="s">
        <v>948</v>
      </c>
      <c r="C203" s="23" t="s">
        <v>971</v>
      </c>
      <c r="D203" s="23">
        <v>14</v>
      </c>
      <c r="E203" s="23">
        <v>1</v>
      </c>
      <c r="F203" s="23" t="s">
        <v>1058</v>
      </c>
      <c r="G203" s="43" t="s">
        <v>1008</v>
      </c>
      <c r="J203" s="23" t="s">
        <v>31</v>
      </c>
      <c r="N203" s="73"/>
      <c r="O203" s="75"/>
      <c r="P203" s="76"/>
      <c r="Q203" s="77"/>
      <c r="U203" s="75"/>
      <c r="V203" s="78"/>
      <c r="W203" s="79"/>
      <c r="X203" s="80"/>
      <c r="AA203" s="81"/>
      <c r="AD203" s="43" t="s">
        <v>1009</v>
      </c>
      <c r="AE203" s="23"/>
      <c r="AI203" s="43" t="s">
        <v>1008</v>
      </c>
      <c r="AJ203" s="23" t="s">
        <v>1010</v>
      </c>
      <c r="AL203" s="23" t="s">
        <v>31</v>
      </c>
      <c r="AP203" s="73"/>
      <c r="AQ203" s="75"/>
      <c r="AR203" s="76"/>
      <c r="AS203" s="77"/>
      <c r="AV203" s="75"/>
      <c r="AW203" s="83"/>
      <c r="AX203" s="84"/>
      <c r="AY203" s="80">
        <v>3</v>
      </c>
      <c r="AZ203" s="66">
        <v>0</v>
      </c>
      <c r="BB203" s="81"/>
      <c r="BE203" s="43" t="s">
        <v>1009</v>
      </c>
      <c r="BG203" s="23" t="s">
        <v>1011</v>
      </c>
    </row>
    <row r="204" spans="1:59" ht="15" customHeight="1">
      <c r="A204" s="23" t="s">
        <v>933</v>
      </c>
      <c r="B204" s="23" t="s">
        <v>949</v>
      </c>
      <c r="C204" s="23" t="s">
        <v>971</v>
      </c>
      <c r="D204" s="23">
        <v>15</v>
      </c>
      <c r="E204" s="23">
        <v>1</v>
      </c>
      <c r="F204" s="23" t="s">
        <v>1058</v>
      </c>
      <c r="G204" s="43" t="s">
        <v>1008</v>
      </c>
      <c r="J204" s="23" t="s">
        <v>31</v>
      </c>
      <c r="N204" s="73"/>
      <c r="O204" s="75"/>
      <c r="P204" s="76"/>
      <c r="Q204" s="77"/>
      <c r="U204" s="75"/>
      <c r="V204" s="78"/>
      <c r="W204" s="79"/>
      <c r="X204" s="80"/>
      <c r="AA204" s="81"/>
      <c r="AD204" s="43" t="s">
        <v>1009</v>
      </c>
      <c r="AE204" s="23"/>
      <c r="AI204" s="43" t="s">
        <v>1008</v>
      </c>
      <c r="AJ204" s="23" t="s">
        <v>1012</v>
      </c>
      <c r="AL204" s="23" t="s">
        <v>31</v>
      </c>
      <c r="AP204" s="73"/>
      <c r="AQ204" s="75"/>
      <c r="AR204" s="76"/>
      <c r="AS204" s="77"/>
      <c r="AV204" s="75"/>
      <c r="AW204" s="83"/>
      <c r="AX204" s="84"/>
      <c r="AY204" s="80">
        <v>3</v>
      </c>
      <c r="AZ204" s="66" t="s">
        <v>1073</v>
      </c>
      <c r="BB204" s="81">
        <v>1</v>
      </c>
      <c r="BE204" s="43" t="s">
        <v>1009</v>
      </c>
      <c r="BG204" s="23" t="s">
        <v>1013</v>
      </c>
    </row>
    <row r="205" spans="1:59" ht="15" customHeight="1">
      <c r="A205" s="23" t="s">
        <v>933</v>
      </c>
      <c r="B205" s="23" t="s">
        <v>950</v>
      </c>
      <c r="C205" s="23" t="s">
        <v>971</v>
      </c>
      <c r="D205" s="23">
        <v>16</v>
      </c>
      <c r="E205" s="23">
        <v>1</v>
      </c>
      <c r="F205" s="23" t="s">
        <v>1058</v>
      </c>
      <c r="G205" s="23" t="s">
        <v>1014</v>
      </c>
      <c r="J205" s="23" t="s">
        <v>31</v>
      </c>
      <c r="N205" s="73"/>
      <c r="O205" s="75"/>
      <c r="P205" s="76"/>
      <c r="Q205" s="77"/>
      <c r="U205" s="75"/>
      <c r="V205" s="78"/>
      <c r="W205" s="79"/>
      <c r="X205" s="80"/>
      <c r="AA205" s="81"/>
      <c r="AD205" s="23" t="s">
        <v>1015</v>
      </c>
      <c r="AE205" s="23"/>
      <c r="AI205" s="23" t="s">
        <v>1014</v>
      </c>
      <c r="AL205" s="23" t="s">
        <v>31</v>
      </c>
      <c r="AP205" s="73"/>
      <c r="AQ205" s="75"/>
      <c r="AR205" s="76"/>
      <c r="AS205" s="77"/>
      <c r="AV205" s="75"/>
      <c r="AW205" s="83"/>
      <c r="AX205" s="84"/>
      <c r="AY205" s="80">
        <v>2</v>
      </c>
      <c r="AZ205" s="66">
        <v>0</v>
      </c>
      <c r="BB205" s="81"/>
      <c r="BE205" s="23" t="s">
        <v>1015</v>
      </c>
      <c r="BG205" s="23" t="s">
        <v>1016</v>
      </c>
    </row>
    <row r="206" spans="1:59" ht="15" customHeight="1">
      <c r="A206" s="23" t="s">
        <v>933</v>
      </c>
      <c r="B206" s="23" t="s">
        <v>951</v>
      </c>
      <c r="C206" s="23" t="s">
        <v>971</v>
      </c>
      <c r="D206" s="23">
        <v>17</v>
      </c>
      <c r="E206" s="23">
        <v>1</v>
      </c>
      <c r="F206" s="23" t="s">
        <v>1058</v>
      </c>
      <c r="G206" s="23" t="s">
        <v>1017</v>
      </c>
      <c r="J206" s="23" t="s">
        <v>31</v>
      </c>
      <c r="N206" s="73"/>
      <c r="O206" s="75"/>
      <c r="P206" s="76"/>
      <c r="Q206" s="77"/>
      <c r="U206" s="75"/>
      <c r="V206" s="78"/>
      <c r="W206" s="79"/>
      <c r="X206" s="80"/>
      <c r="AA206" s="81"/>
      <c r="AD206" s="23" t="s">
        <v>1019</v>
      </c>
      <c r="AE206" s="23"/>
      <c r="AI206" s="23" t="s">
        <v>1017</v>
      </c>
      <c r="AJ206" s="23" t="s">
        <v>1018</v>
      </c>
      <c r="AL206" s="23" t="s">
        <v>31</v>
      </c>
      <c r="AP206" s="73"/>
      <c r="AQ206" s="75"/>
      <c r="AR206" s="76"/>
      <c r="AS206" s="77"/>
      <c r="AV206" s="75"/>
      <c r="AW206" s="83"/>
      <c r="AX206" s="84"/>
      <c r="AY206" s="80">
        <v>2</v>
      </c>
      <c r="AZ206" s="66" t="s">
        <v>1073</v>
      </c>
      <c r="BB206" s="81">
        <v>1</v>
      </c>
      <c r="BE206" s="23" t="s">
        <v>1019</v>
      </c>
      <c r="BG206" s="23" t="s">
        <v>1020</v>
      </c>
    </row>
    <row r="207" spans="1:59" ht="15" customHeight="1">
      <c r="A207" s="23" t="s">
        <v>933</v>
      </c>
      <c r="B207" s="23" t="s">
        <v>952</v>
      </c>
      <c r="C207" s="23" t="s">
        <v>971</v>
      </c>
      <c r="D207" s="23">
        <v>18</v>
      </c>
      <c r="E207" s="23">
        <v>1</v>
      </c>
      <c r="F207" s="23" t="s">
        <v>1058</v>
      </c>
      <c r="G207" s="23" t="s">
        <v>1017</v>
      </c>
      <c r="J207" s="23" t="s">
        <v>31</v>
      </c>
      <c r="N207" s="73"/>
      <c r="O207" s="75"/>
      <c r="P207" s="76"/>
      <c r="Q207" s="77"/>
      <c r="U207" s="75"/>
      <c r="V207" s="78"/>
      <c r="W207" s="79"/>
      <c r="X207" s="80"/>
      <c r="AA207" s="81"/>
      <c r="AD207" s="23" t="s">
        <v>1019</v>
      </c>
      <c r="AE207" s="23"/>
      <c r="AI207" s="23" t="s">
        <v>1017</v>
      </c>
      <c r="AJ207" s="23" t="s">
        <v>1021</v>
      </c>
      <c r="AL207" s="23" t="s">
        <v>31</v>
      </c>
      <c r="AP207" s="73"/>
      <c r="AQ207" s="75"/>
      <c r="AR207" s="76"/>
      <c r="AS207" s="77"/>
      <c r="AV207" s="75"/>
      <c r="AW207" s="83"/>
      <c r="AX207" s="84"/>
      <c r="AY207" s="80">
        <v>4</v>
      </c>
      <c r="AZ207" s="66">
        <v>0</v>
      </c>
      <c r="BB207" s="81">
        <v>1</v>
      </c>
      <c r="BE207" s="23" t="s">
        <v>1019</v>
      </c>
      <c r="BG207" s="23" t="s">
        <v>1060</v>
      </c>
    </row>
    <row r="208" spans="1:59" ht="15" customHeight="1">
      <c r="A208" s="23" t="s">
        <v>933</v>
      </c>
      <c r="B208" s="23" t="s">
        <v>953</v>
      </c>
      <c r="C208" s="23" t="s">
        <v>971</v>
      </c>
      <c r="D208" s="23">
        <v>19</v>
      </c>
      <c r="E208" s="23">
        <v>1</v>
      </c>
      <c r="F208" s="23" t="s">
        <v>1058</v>
      </c>
      <c r="G208" s="23" t="s">
        <v>1022</v>
      </c>
      <c r="I208" s="23" t="s">
        <v>223</v>
      </c>
      <c r="J208" s="23" t="s">
        <v>257</v>
      </c>
      <c r="N208" s="73">
        <v>4</v>
      </c>
      <c r="O208" s="75"/>
      <c r="P208" s="76"/>
      <c r="Q208" s="77"/>
      <c r="U208" s="75">
        <v>4</v>
      </c>
      <c r="V208" s="78">
        <v>2</v>
      </c>
      <c r="W208" s="79"/>
      <c r="X208" s="80"/>
      <c r="AA208" s="81"/>
      <c r="AB208" s="23" t="s">
        <v>1061</v>
      </c>
      <c r="AC208" s="23" t="s">
        <v>25</v>
      </c>
      <c r="AD208" s="23" t="s">
        <v>1023</v>
      </c>
      <c r="AE208" s="23"/>
      <c r="AF208" s="23" t="s">
        <v>1059</v>
      </c>
      <c r="AJ208" s="23" t="s">
        <v>1074</v>
      </c>
      <c r="AP208" s="73"/>
      <c r="AQ208" s="75"/>
      <c r="AR208" s="76"/>
      <c r="AS208" s="77"/>
      <c r="AV208" s="75"/>
      <c r="AW208" s="83"/>
      <c r="AX208" s="84"/>
      <c r="AY208" s="80"/>
      <c r="BB208" s="81"/>
    </row>
    <row r="209" spans="1:54" ht="15" customHeight="1">
      <c r="A209" s="23" t="s">
        <v>933</v>
      </c>
      <c r="B209" s="23" t="s">
        <v>954</v>
      </c>
      <c r="C209" s="23" t="s">
        <v>971</v>
      </c>
      <c r="D209" s="23">
        <v>20</v>
      </c>
      <c r="E209" s="23">
        <v>1</v>
      </c>
      <c r="F209" s="23" t="s">
        <v>1058</v>
      </c>
      <c r="G209" s="23" t="s">
        <v>1024</v>
      </c>
      <c r="J209" s="23" t="s">
        <v>257</v>
      </c>
      <c r="N209" s="73"/>
      <c r="O209" s="75"/>
      <c r="P209" s="76"/>
      <c r="Q209" s="77"/>
      <c r="U209" s="75"/>
      <c r="V209" s="78"/>
      <c r="W209" s="79"/>
      <c r="X209" s="80"/>
      <c r="AA209" s="81"/>
      <c r="AD209" s="23" t="s">
        <v>1025</v>
      </c>
      <c r="AE209" s="23"/>
      <c r="AF209" s="23" t="s">
        <v>1062</v>
      </c>
      <c r="AP209" s="73"/>
      <c r="AQ209" s="75"/>
      <c r="AR209" s="76"/>
      <c r="AS209" s="77"/>
      <c r="AV209" s="75"/>
      <c r="AW209" s="83"/>
      <c r="AX209" s="84"/>
      <c r="AY209" s="80"/>
      <c r="BB209" s="81"/>
    </row>
    <row r="210" spans="1:54" ht="15" customHeight="1">
      <c r="A210" s="23" t="s">
        <v>933</v>
      </c>
      <c r="B210" s="23" t="s">
        <v>955</v>
      </c>
      <c r="C210" s="23" t="s">
        <v>971</v>
      </c>
      <c r="D210" s="23">
        <v>21</v>
      </c>
      <c r="E210" s="23">
        <v>1</v>
      </c>
      <c r="F210" s="23" t="s">
        <v>1058</v>
      </c>
      <c r="G210" s="23" t="s">
        <v>1026</v>
      </c>
      <c r="J210" s="23" t="s">
        <v>257</v>
      </c>
      <c r="N210" s="73"/>
      <c r="O210" s="75"/>
      <c r="P210" s="76"/>
      <c r="Q210" s="77"/>
      <c r="U210" s="75"/>
      <c r="V210" s="78"/>
      <c r="W210" s="79"/>
      <c r="X210" s="80"/>
      <c r="AA210" s="81"/>
      <c r="AD210" s="23" t="s">
        <v>1025</v>
      </c>
      <c r="AE210" s="23"/>
      <c r="AF210" s="23" t="s">
        <v>1063</v>
      </c>
      <c r="AP210" s="73"/>
      <c r="AQ210" s="75"/>
      <c r="AR210" s="76"/>
      <c r="AS210" s="77"/>
      <c r="AV210" s="75"/>
      <c r="AW210" s="83"/>
      <c r="AX210" s="84"/>
      <c r="AY210" s="80"/>
      <c r="BB210" s="81"/>
    </row>
    <row r="211" spans="1:54" ht="15" customHeight="1">
      <c r="A211" s="23" t="s">
        <v>933</v>
      </c>
      <c r="B211" s="23" t="s">
        <v>956</v>
      </c>
      <c r="C211" s="23" t="s">
        <v>971</v>
      </c>
      <c r="D211" s="23">
        <v>22</v>
      </c>
      <c r="E211" s="23">
        <v>2</v>
      </c>
      <c r="F211" s="23" t="s">
        <v>1058</v>
      </c>
      <c r="G211" s="23" t="s">
        <v>1027</v>
      </c>
      <c r="J211" s="23" t="s">
        <v>29</v>
      </c>
      <c r="N211" s="73"/>
      <c r="O211" s="75"/>
      <c r="P211" s="76"/>
      <c r="Q211" s="77">
        <v>2</v>
      </c>
      <c r="R211" s="66">
        <v>2</v>
      </c>
      <c r="T211" s="68">
        <v>2</v>
      </c>
      <c r="U211" s="75"/>
      <c r="V211" s="78">
        <v>1</v>
      </c>
      <c r="W211" s="79">
        <v>1</v>
      </c>
      <c r="X211" s="80"/>
      <c r="AA211" s="81"/>
      <c r="AD211" s="23" t="s">
        <v>30</v>
      </c>
      <c r="AE211" s="23" t="s">
        <v>1064</v>
      </c>
      <c r="AF211" s="23" t="s">
        <v>1050</v>
      </c>
      <c r="AP211" s="73"/>
      <c r="AQ211" s="75"/>
      <c r="AR211" s="76"/>
      <c r="AS211" s="77"/>
      <c r="AV211" s="75"/>
      <c r="AW211" s="83"/>
      <c r="AX211" s="84"/>
      <c r="AY211" s="80"/>
      <c r="BB211" s="81"/>
    </row>
    <row r="212" spans="1:54" ht="15" customHeight="1">
      <c r="A212" s="23" t="s">
        <v>933</v>
      </c>
      <c r="B212" s="23" t="s">
        <v>957</v>
      </c>
      <c r="C212" s="23" t="s">
        <v>971</v>
      </c>
      <c r="D212" s="23">
        <v>23</v>
      </c>
      <c r="E212" s="23">
        <v>3</v>
      </c>
      <c r="F212" s="23" t="s">
        <v>1058</v>
      </c>
      <c r="G212" s="23" t="s">
        <v>1028</v>
      </c>
      <c r="J212" s="23" t="s">
        <v>29</v>
      </c>
      <c r="N212" s="73"/>
      <c r="O212" s="75"/>
      <c r="P212" s="76"/>
      <c r="Q212" s="77">
        <v>4</v>
      </c>
      <c r="R212" s="66">
        <v>0</v>
      </c>
      <c r="T212" s="68">
        <v>1</v>
      </c>
      <c r="U212" s="75"/>
      <c r="V212" s="78">
        <v>1</v>
      </c>
      <c r="W212" s="79"/>
      <c r="X212" s="80"/>
      <c r="AA212" s="81"/>
      <c r="AD212" s="23" t="s">
        <v>30</v>
      </c>
      <c r="AE212" s="23" t="s">
        <v>1046</v>
      </c>
      <c r="AF212" s="23" t="s">
        <v>1051</v>
      </c>
      <c r="AP212" s="73"/>
      <c r="AQ212" s="75"/>
      <c r="AR212" s="76"/>
      <c r="AS212" s="77"/>
      <c r="AV212" s="75"/>
      <c r="AW212" s="83"/>
      <c r="AX212" s="84"/>
      <c r="AY212" s="80"/>
      <c r="BB212" s="81"/>
    </row>
    <row r="213" spans="1:54" ht="15" customHeight="1">
      <c r="A213" s="23" t="s">
        <v>933</v>
      </c>
      <c r="B213" s="23" t="s">
        <v>958</v>
      </c>
      <c r="C213" s="23" t="s">
        <v>971</v>
      </c>
      <c r="D213" s="23">
        <v>24</v>
      </c>
      <c r="E213" s="23">
        <v>3</v>
      </c>
      <c r="F213" s="23" t="s">
        <v>1058</v>
      </c>
      <c r="G213" s="23" t="s">
        <v>1029</v>
      </c>
      <c r="J213" s="23" t="s">
        <v>28</v>
      </c>
      <c r="N213" s="73"/>
      <c r="O213" s="75"/>
      <c r="P213" s="76"/>
      <c r="Q213" s="77"/>
      <c r="U213" s="75"/>
      <c r="V213" s="78"/>
      <c r="W213" s="79"/>
      <c r="X213" s="80"/>
      <c r="AA213" s="81"/>
      <c r="AD213" s="23" t="s">
        <v>479</v>
      </c>
      <c r="AE213" s="23"/>
      <c r="AF213" s="23" t="s">
        <v>1066</v>
      </c>
      <c r="AP213" s="73"/>
      <c r="AQ213" s="75"/>
      <c r="AR213" s="76"/>
      <c r="AS213" s="77"/>
      <c r="AV213" s="75"/>
      <c r="AW213" s="83"/>
      <c r="AX213" s="84"/>
      <c r="AY213" s="80"/>
      <c r="BB213" s="81"/>
    </row>
    <row r="214" spans="1:54" ht="15" customHeight="1">
      <c r="A214" s="23" t="s">
        <v>933</v>
      </c>
      <c r="B214" s="23" t="s">
        <v>959</v>
      </c>
      <c r="C214" s="23" t="s">
        <v>971</v>
      </c>
      <c r="D214" s="23">
        <v>25</v>
      </c>
      <c r="E214" s="23">
        <v>3</v>
      </c>
      <c r="F214" s="23" t="s">
        <v>1058</v>
      </c>
      <c r="G214" s="23" t="s">
        <v>1030</v>
      </c>
      <c r="J214" s="23" t="s">
        <v>28</v>
      </c>
      <c r="N214" s="73"/>
      <c r="O214" s="75"/>
      <c r="P214" s="76"/>
      <c r="Q214" s="77"/>
      <c r="U214" s="75"/>
      <c r="V214" s="78"/>
      <c r="W214" s="79"/>
      <c r="X214" s="80"/>
      <c r="AA214" s="81"/>
      <c r="AD214" s="23" t="s">
        <v>479</v>
      </c>
      <c r="AE214" s="23"/>
      <c r="AF214" s="23" t="s">
        <v>1068</v>
      </c>
      <c r="AP214" s="73"/>
      <c r="AQ214" s="75"/>
      <c r="AR214" s="76"/>
      <c r="AS214" s="77"/>
      <c r="AV214" s="75"/>
      <c r="AW214" s="83"/>
      <c r="AX214" s="84"/>
      <c r="AY214" s="80"/>
      <c r="BB214" s="81"/>
    </row>
    <row r="215" spans="1:54" ht="15" customHeight="1">
      <c r="A215" s="23" t="s">
        <v>933</v>
      </c>
      <c r="B215" s="23" t="s">
        <v>960</v>
      </c>
      <c r="C215" s="23" t="s">
        <v>971</v>
      </c>
      <c r="D215" s="23">
        <v>26</v>
      </c>
      <c r="E215" s="23">
        <v>4</v>
      </c>
      <c r="F215" s="23" t="s">
        <v>1058</v>
      </c>
      <c r="G215" s="23" t="s">
        <v>1031</v>
      </c>
      <c r="J215" s="23" t="s">
        <v>28</v>
      </c>
      <c r="N215" s="73"/>
      <c r="O215" s="75"/>
      <c r="P215" s="76"/>
      <c r="Q215" s="77"/>
      <c r="U215" s="75"/>
      <c r="V215" s="78"/>
      <c r="W215" s="79"/>
      <c r="X215" s="80"/>
      <c r="AA215" s="81"/>
      <c r="AD215" s="23" t="s">
        <v>479</v>
      </c>
      <c r="AE215" s="23"/>
      <c r="AF215" s="23" t="s">
        <v>1065</v>
      </c>
      <c r="AP215" s="73"/>
      <c r="AQ215" s="75"/>
      <c r="AR215" s="76"/>
      <c r="AS215" s="77"/>
      <c r="AV215" s="75"/>
      <c r="AW215" s="83"/>
      <c r="AX215" s="84"/>
      <c r="AY215" s="80"/>
      <c r="BB215" s="81"/>
    </row>
    <row r="216" spans="1:54" ht="15" customHeight="1">
      <c r="A216" s="23" t="s">
        <v>933</v>
      </c>
      <c r="B216" s="23" t="s">
        <v>961</v>
      </c>
      <c r="C216" s="23" t="s">
        <v>971</v>
      </c>
      <c r="D216" s="23">
        <v>27</v>
      </c>
      <c r="E216" s="23">
        <v>3</v>
      </c>
      <c r="F216" s="23" t="s">
        <v>1058</v>
      </c>
      <c r="G216" s="23" t="s">
        <v>1032</v>
      </c>
      <c r="J216" s="23" t="s">
        <v>28</v>
      </c>
      <c r="N216" s="73"/>
      <c r="O216" s="75"/>
      <c r="P216" s="76"/>
      <c r="Q216" s="77"/>
      <c r="U216" s="75"/>
      <c r="V216" s="78"/>
      <c r="W216" s="79"/>
      <c r="X216" s="80"/>
      <c r="AA216" s="81"/>
      <c r="AD216" s="23" t="s">
        <v>481</v>
      </c>
      <c r="AE216" s="23"/>
      <c r="AF216" s="23" t="s">
        <v>1067</v>
      </c>
      <c r="AP216" s="73"/>
      <c r="AQ216" s="75"/>
      <c r="AR216" s="76"/>
      <c r="AS216" s="77"/>
      <c r="AV216" s="75"/>
      <c r="AW216" s="83"/>
      <c r="AX216" s="84"/>
      <c r="AY216" s="80"/>
      <c r="BB216" s="81"/>
    </row>
    <row r="217" spans="1:54" ht="15" customHeight="1">
      <c r="A217" s="23" t="s">
        <v>933</v>
      </c>
      <c r="B217" s="23" t="s">
        <v>962</v>
      </c>
      <c r="C217" s="23" t="s">
        <v>971</v>
      </c>
      <c r="D217" s="23">
        <v>28</v>
      </c>
      <c r="E217" s="23">
        <v>1</v>
      </c>
      <c r="F217" s="23" t="s">
        <v>934</v>
      </c>
      <c r="G217" s="23" t="s">
        <v>1033</v>
      </c>
      <c r="I217" s="23" t="s">
        <v>223</v>
      </c>
      <c r="J217" s="23" t="s">
        <v>29</v>
      </c>
      <c r="N217" s="73"/>
      <c r="O217" s="75"/>
      <c r="P217" s="76"/>
      <c r="Q217" s="77">
        <v>3</v>
      </c>
      <c r="R217" s="66">
        <v>3</v>
      </c>
      <c r="T217" s="68" t="s">
        <v>1077</v>
      </c>
      <c r="U217" s="75">
        <v>2</v>
      </c>
      <c r="V217" s="78">
        <v>2</v>
      </c>
      <c r="W217" s="79"/>
      <c r="X217" s="80"/>
      <c r="AA217" s="81"/>
      <c r="AD217" s="23" t="s">
        <v>1034</v>
      </c>
      <c r="AE217" s="23" t="s">
        <v>1035</v>
      </c>
      <c r="AF217" s="23" t="s">
        <v>1070</v>
      </c>
      <c r="AP217" s="73"/>
      <c r="AQ217" s="75"/>
      <c r="AR217" s="76"/>
      <c r="AS217" s="77"/>
      <c r="AV217" s="75"/>
      <c r="AW217" s="83"/>
      <c r="AX217" s="84"/>
      <c r="AY217" s="80"/>
      <c r="BB217" s="81"/>
    </row>
    <row r="218" spans="1:54" ht="15" customHeight="1">
      <c r="A218" s="23" t="s">
        <v>933</v>
      </c>
      <c r="B218" s="23" t="s">
        <v>963</v>
      </c>
      <c r="C218" s="23" t="s">
        <v>971</v>
      </c>
      <c r="D218" s="23">
        <v>29</v>
      </c>
      <c r="E218" s="23">
        <v>1</v>
      </c>
      <c r="F218" s="23" t="s">
        <v>934</v>
      </c>
      <c r="G218" s="23" t="s">
        <v>934</v>
      </c>
      <c r="J218" s="23" t="s">
        <v>28</v>
      </c>
      <c r="M218" s="23" t="s">
        <v>648</v>
      </c>
      <c r="N218" s="73"/>
      <c r="O218" s="75"/>
      <c r="P218" s="76"/>
      <c r="Q218" s="77"/>
      <c r="U218" s="75"/>
      <c r="V218" s="78"/>
      <c r="W218" s="79"/>
      <c r="X218" s="80"/>
      <c r="AA218" s="81"/>
      <c r="AD218" s="23" t="s">
        <v>439</v>
      </c>
      <c r="AE218" s="23"/>
      <c r="AF218" s="23" t="s">
        <v>1036</v>
      </c>
      <c r="AP218" s="73"/>
      <c r="AQ218" s="75"/>
      <c r="AR218" s="76"/>
      <c r="AS218" s="77"/>
      <c r="AV218" s="75"/>
      <c r="AW218" s="83"/>
      <c r="AX218" s="84"/>
      <c r="AY218" s="80"/>
      <c r="BB218" s="81"/>
    </row>
    <row r="219" spans="1:54" ht="15" customHeight="1">
      <c r="A219" s="23" t="s">
        <v>933</v>
      </c>
      <c r="B219" s="23" t="s">
        <v>964</v>
      </c>
      <c r="C219" s="23" t="s">
        <v>971</v>
      </c>
      <c r="D219" s="23">
        <v>30</v>
      </c>
      <c r="E219" s="23">
        <v>1</v>
      </c>
      <c r="F219" s="23" t="s">
        <v>934</v>
      </c>
      <c r="G219" s="23" t="s">
        <v>1037</v>
      </c>
      <c r="J219" s="23" t="s">
        <v>257</v>
      </c>
      <c r="N219" s="73">
        <v>0</v>
      </c>
      <c r="O219" s="75"/>
      <c r="P219" s="76"/>
      <c r="Q219" s="77"/>
      <c r="U219" s="75"/>
      <c r="V219" s="78"/>
      <c r="W219" s="79"/>
      <c r="X219" s="80"/>
      <c r="AA219" s="81"/>
      <c r="AD219" s="23" t="s">
        <v>289</v>
      </c>
      <c r="AE219" s="23" t="s">
        <v>1038</v>
      </c>
      <c r="AF219" s="23" t="s">
        <v>1069</v>
      </c>
      <c r="AP219" s="73"/>
      <c r="AQ219" s="75"/>
      <c r="AR219" s="76"/>
      <c r="AS219" s="77"/>
      <c r="AV219" s="75"/>
      <c r="AW219" s="83"/>
      <c r="AX219" s="84"/>
      <c r="AY219" s="80"/>
      <c r="BB219" s="81"/>
    </row>
    <row r="220" spans="1:54" ht="15" customHeight="1">
      <c r="A220" s="23" t="s">
        <v>933</v>
      </c>
      <c r="B220" s="23" t="s">
        <v>965</v>
      </c>
      <c r="C220" s="23" t="s">
        <v>971</v>
      </c>
      <c r="D220" s="23">
        <v>31</v>
      </c>
      <c r="E220" s="23">
        <v>2</v>
      </c>
      <c r="F220" s="23" t="s">
        <v>934</v>
      </c>
      <c r="G220" s="23" t="s">
        <v>1039</v>
      </c>
      <c r="J220" s="23" t="s">
        <v>29</v>
      </c>
      <c r="N220" s="73"/>
      <c r="O220" s="75"/>
      <c r="P220" s="76"/>
      <c r="Q220" s="77">
        <v>2</v>
      </c>
      <c r="R220" s="66">
        <v>3</v>
      </c>
      <c r="T220" s="68">
        <v>3</v>
      </c>
      <c r="U220" s="75">
        <v>1</v>
      </c>
      <c r="V220" s="78">
        <v>1</v>
      </c>
      <c r="W220" s="79"/>
      <c r="X220" s="80"/>
      <c r="AA220" s="81"/>
      <c r="AD220" s="23" t="s">
        <v>1040</v>
      </c>
      <c r="AE220" s="23" t="s">
        <v>1048</v>
      </c>
      <c r="AF220" s="23" t="s">
        <v>1047</v>
      </c>
      <c r="AP220" s="73"/>
      <c r="AQ220" s="75"/>
      <c r="AR220" s="76"/>
      <c r="AS220" s="77"/>
      <c r="AV220" s="75"/>
      <c r="AW220" s="83"/>
      <c r="AX220" s="84"/>
      <c r="AY220" s="80"/>
      <c r="BB220" s="81"/>
    </row>
    <row r="221" spans="1:54" ht="15" customHeight="1">
      <c r="A221" s="23" t="s">
        <v>933</v>
      </c>
      <c r="B221" s="23" t="s">
        <v>966</v>
      </c>
      <c r="C221" s="23" t="s">
        <v>971</v>
      </c>
      <c r="D221" s="23">
        <v>32</v>
      </c>
      <c r="E221" s="23">
        <v>2</v>
      </c>
      <c r="F221" s="23" t="s">
        <v>934</v>
      </c>
      <c r="G221" s="23" t="s">
        <v>1041</v>
      </c>
      <c r="J221" s="23" t="s">
        <v>29</v>
      </c>
      <c r="N221" s="73"/>
      <c r="O221" s="75"/>
      <c r="P221" s="76"/>
      <c r="Q221" s="77">
        <v>3</v>
      </c>
      <c r="R221" s="66">
        <v>3</v>
      </c>
      <c r="T221" s="68">
        <v>4</v>
      </c>
      <c r="U221" s="75">
        <v>1</v>
      </c>
      <c r="V221" s="78">
        <v>2</v>
      </c>
      <c r="W221" s="79"/>
      <c r="X221" s="80"/>
      <c r="AA221" s="81"/>
      <c r="AD221" s="23" t="s">
        <v>1042</v>
      </c>
      <c r="AE221" s="23" t="s">
        <v>1049</v>
      </c>
      <c r="AP221" s="73"/>
      <c r="AQ221" s="75"/>
      <c r="AR221" s="76"/>
      <c r="AS221" s="77"/>
      <c r="AV221" s="75"/>
      <c r="AW221" s="83"/>
      <c r="AX221" s="84"/>
      <c r="AY221" s="80"/>
      <c r="BB221" s="81"/>
    </row>
    <row r="222" spans="1:54" ht="15" customHeight="1">
      <c r="A222" s="23" t="s">
        <v>933</v>
      </c>
      <c r="B222" s="23" t="s">
        <v>967</v>
      </c>
      <c r="C222" s="23" t="s">
        <v>971</v>
      </c>
      <c r="D222" s="23">
        <v>33</v>
      </c>
      <c r="E222" s="23">
        <v>1</v>
      </c>
      <c r="F222" s="23" t="s">
        <v>934</v>
      </c>
      <c r="G222" s="23" t="s">
        <v>1043</v>
      </c>
      <c r="J222" s="23" t="s">
        <v>29</v>
      </c>
      <c r="N222" s="73"/>
      <c r="O222" s="75"/>
      <c r="P222" s="76"/>
      <c r="Q222" s="77">
        <v>4</v>
      </c>
      <c r="R222" s="66">
        <v>2</v>
      </c>
      <c r="T222" s="68">
        <v>5</v>
      </c>
      <c r="U222" s="75">
        <v>2</v>
      </c>
      <c r="V222" s="78">
        <v>2</v>
      </c>
      <c r="W222" s="79"/>
      <c r="X222" s="80"/>
      <c r="AA222" s="81">
        <v>1</v>
      </c>
      <c r="AD222" s="23" t="s">
        <v>1044</v>
      </c>
      <c r="AE222" s="23" t="s">
        <v>1046</v>
      </c>
      <c r="AF222" s="23" t="s">
        <v>1045</v>
      </c>
      <c r="AP222" s="73"/>
      <c r="AQ222" s="75"/>
      <c r="AR222" s="76"/>
      <c r="AS222" s="77"/>
      <c r="AV222" s="75"/>
      <c r="AW222" s="83"/>
      <c r="AX222" s="84"/>
      <c r="AY222" s="80"/>
      <c r="BB222" s="81"/>
    </row>
    <row r="223" spans="1:54" ht="15" customHeight="1">
      <c r="A223" s="23" t="s">
        <v>933</v>
      </c>
      <c r="B223" s="23" t="s">
        <v>968</v>
      </c>
      <c r="C223" s="23" t="s">
        <v>971</v>
      </c>
      <c r="D223" s="23">
        <v>34</v>
      </c>
      <c r="E223" s="23">
        <v>5</v>
      </c>
      <c r="F223" s="23" t="s">
        <v>934</v>
      </c>
      <c r="G223" s="23" t="s">
        <v>1052</v>
      </c>
      <c r="J223" s="23" t="s">
        <v>28</v>
      </c>
      <c r="N223" s="73"/>
      <c r="O223" s="75"/>
      <c r="P223" s="76"/>
      <c r="Q223" s="77"/>
      <c r="U223" s="75"/>
      <c r="V223" s="78"/>
      <c r="W223" s="79"/>
      <c r="X223" s="80"/>
      <c r="AA223" s="81"/>
      <c r="AE223" s="23" t="s">
        <v>34</v>
      </c>
      <c r="AF223" s="23" t="s">
        <v>1053</v>
      </c>
      <c r="AP223" s="73"/>
      <c r="AQ223" s="75"/>
      <c r="AR223" s="76"/>
      <c r="AS223" s="77"/>
      <c r="AV223" s="75"/>
      <c r="AW223" s="83"/>
      <c r="AX223" s="84"/>
      <c r="AY223" s="80"/>
      <c r="BB223" s="81"/>
    </row>
    <row r="224" spans="1:54" ht="15" customHeight="1">
      <c r="A224" s="23" t="s">
        <v>933</v>
      </c>
      <c r="B224" s="23" t="s">
        <v>969</v>
      </c>
      <c r="C224" s="23" t="s">
        <v>971</v>
      </c>
      <c r="D224" s="23">
        <v>35</v>
      </c>
      <c r="E224" s="23">
        <v>2</v>
      </c>
      <c r="F224" s="23" t="s">
        <v>934</v>
      </c>
      <c r="G224" s="23" t="s">
        <v>1054</v>
      </c>
      <c r="J224" s="23" t="s">
        <v>28</v>
      </c>
      <c r="N224" s="73"/>
      <c r="O224" s="75"/>
      <c r="P224" s="76"/>
      <c r="Q224" s="77"/>
      <c r="U224" s="75"/>
      <c r="V224" s="78"/>
      <c r="W224" s="79"/>
      <c r="X224" s="80"/>
      <c r="AA224" s="81"/>
      <c r="AE224" s="23"/>
      <c r="AF224" s="23" t="s">
        <v>1055</v>
      </c>
      <c r="AP224" s="73"/>
      <c r="AQ224" s="75"/>
      <c r="AR224" s="76"/>
      <c r="AS224" s="77"/>
      <c r="AV224" s="75"/>
      <c r="AW224" s="83"/>
      <c r="AX224" s="84"/>
      <c r="AY224" s="80"/>
      <c r="BB224" s="81"/>
    </row>
    <row r="225" spans="1:60" ht="15" customHeight="1">
      <c r="A225" s="23" t="s">
        <v>933</v>
      </c>
      <c r="B225" s="30" t="s">
        <v>970</v>
      </c>
      <c r="C225" s="23" t="s">
        <v>971</v>
      </c>
      <c r="D225" s="23">
        <v>36</v>
      </c>
      <c r="E225" s="23">
        <v>3</v>
      </c>
      <c r="F225" s="23" t="s">
        <v>934</v>
      </c>
      <c r="G225" s="23" t="s">
        <v>1056</v>
      </c>
      <c r="J225" s="23" t="s">
        <v>28</v>
      </c>
      <c r="N225" s="73"/>
      <c r="O225" s="75"/>
      <c r="P225" s="76"/>
      <c r="Q225" s="77"/>
      <c r="U225" s="75"/>
      <c r="V225" s="78"/>
      <c r="W225" s="79"/>
      <c r="X225" s="80"/>
      <c r="AA225" s="81"/>
      <c r="AE225" s="23"/>
      <c r="AF225" s="23" t="s">
        <v>1057</v>
      </c>
      <c r="AP225" s="73"/>
      <c r="AQ225" s="75"/>
      <c r="AR225" s="76"/>
      <c r="AS225" s="77"/>
      <c r="AV225" s="75"/>
      <c r="AW225" s="83"/>
      <c r="AX225" s="84"/>
      <c r="AY225" s="80"/>
      <c r="BB225" s="81"/>
    </row>
    <row r="226" spans="1:60" ht="15" customHeight="1">
      <c r="A226" s="23" t="s">
        <v>933</v>
      </c>
      <c r="B226" s="23" t="s">
        <v>1107</v>
      </c>
      <c r="C226" s="23" t="s">
        <v>971</v>
      </c>
      <c r="D226" s="23">
        <v>37</v>
      </c>
      <c r="E226" s="23">
        <v>1</v>
      </c>
      <c r="F226" s="23" t="s">
        <v>934</v>
      </c>
      <c r="G226" s="23" t="s">
        <v>1098</v>
      </c>
      <c r="J226" s="23" t="s">
        <v>1102</v>
      </c>
      <c r="N226" s="73"/>
      <c r="O226" s="75"/>
      <c r="P226" s="76"/>
      <c r="Q226" s="77"/>
      <c r="U226" s="75"/>
      <c r="V226" s="78"/>
      <c r="W226" s="79"/>
      <c r="X226" s="80"/>
      <c r="AA226" s="81"/>
      <c r="AE226" s="23"/>
      <c r="AI226" s="23" t="s">
        <v>1103</v>
      </c>
      <c r="AL226" s="33" t="s">
        <v>1102</v>
      </c>
      <c r="AP226" s="73"/>
      <c r="AQ226" s="75"/>
      <c r="AR226" s="76"/>
      <c r="AS226" s="77"/>
      <c r="AV226" s="75"/>
      <c r="AW226" s="83"/>
      <c r="AX226" s="84"/>
      <c r="AY226" s="80"/>
      <c r="BB226" s="81"/>
    </row>
    <row r="227" spans="1:60" ht="15" customHeight="1">
      <c r="A227" s="23" t="s">
        <v>933</v>
      </c>
      <c r="B227" s="23" t="s">
        <v>1108</v>
      </c>
      <c r="C227" s="23" t="s">
        <v>971</v>
      </c>
      <c r="D227" s="23">
        <v>38</v>
      </c>
      <c r="E227" s="23">
        <v>1</v>
      </c>
      <c r="F227" s="23" t="s">
        <v>934</v>
      </c>
      <c r="G227" s="23" t="s">
        <v>1099</v>
      </c>
      <c r="J227" s="23" t="s">
        <v>1102</v>
      </c>
      <c r="N227" s="73"/>
      <c r="O227" s="75"/>
      <c r="P227" s="76"/>
      <c r="Q227" s="77"/>
      <c r="U227" s="75"/>
      <c r="V227" s="78"/>
      <c r="W227" s="79"/>
      <c r="X227" s="80"/>
      <c r="AA227" s="81"/>
      <c r="AE227" s="23"/>
      <c r="AI227" s="23" t="s">
        <v>1104</v>
      </c>
      <c r="AL227" s="33" t="s">
        <v>1102</v>
      </c>
      <c r="AP227" s="73"/>
      <c r="AQ227" s="75"/>
      <c r="AR227" s="76"/>
      <c r="AS227" s="77"/>
      <c r="AV227" s="75"/>
      <c r="AW227" s="83"/>
      <c r="AX227" s="84"/>
      <c r="AY227" s="80"/>
      <c r="BB227" s="81"/>
    </row>
    <row r="228" spans="1:60" ht="15" customHeight="1">
      <c r="A228" s="23" t="s">
        <v>933</v>
      </c>
      <c r="B228" s="23" t="s">
        <v>1109</v>
      </c>
      <c r="C228" s="23" t="s">
        <v>971</v>
      </c>
      <c r="D228" s="23">
        <v>39</v>
      </c>
      <c r="E228" s="23">
        <v>1</v>
      </c>
      <c r="F228" s="23" t="s">
        <v>934</v>
      </c>
      <c r="G228" s="23" t="s">
        <v>1100</v>
      </c>
      <c r="J228" s="23" t="s">
        <v>1102</v>
      </c>
      <c r="N228" s="73"/>
      <c r="O228" s="75"/>
      <c r="P228" s="76"/>
      <c r="Q228" s="77"/>
      <c r="U228" s="75"/>
      <c r="V228" s="78"/>
      <c r="W228" s="79"/>
      <c r="X228" s="80"/>
      <c r="AA228" s="81"/>
      <c r="AE228" s="23"/>
      <c r="AI228" s="23" t="s">
        <v>1105</v>
      </c>
      <c r="AL228" s="33" t="s">
        <v>1102</v>
      </c>
      <c r="AP228" s="73"/>
      <c r="AQ228" s="75"/>
      <c r="AR228" s="76"/>
      <c r="AS228" s="77"/>
      <c r="AV228" s="75"/>
      <c r="AW228" s="83"/>
      <c r="AX228" s="84"/>
      <c r="AY228" s="80"/>
      <c r="BB228" s="81"/>
    </row>
    <row r="229" spans="1:60" ht="15" customHeight="1">
      <c r="A229" s="23" t="s">
        <v>933</v>
      </c>
      <c r="B229" s="23" t="s">
        <v>1110</v>
      </c>
      <c r="C229" s="23" t="s">
        <v>971</v>
      </c>
      <c r="D229" s="23">
        <v>40</v>
      </c>
      <c r="E229" s="23">
        <v>1</v>
      </c>
      <c r="F229" s="23" t="s">
        <v>934</v>
      </c>
      <c r="G229" s="23" t="s">
        <v>1101</v>
      </c>
      <c r="J229" s="23" t="s">
        <v>1102</v>
      </c>
      <c r="N229" s="73"/>
      <c r="O229" s="75"/>
      <c r="P229" s="76"/>
      <c r="Q229" s="77"/>
      <c r="U229" s="75"/>
      <c r="V229" s="78"/>
      <c r="W229" s="79"/>
      <c r="X229" s="80"/>
      <c r="AA229" s="81"/>
      <c r="AE229" s="23"/>
      <c r="AI229" s="23" t="s">
        <v>1106</v>
      </c>
      <c r="AL229" s="33" t="s">
        <v>1102</v>
      </c>
      <c r="AP229" s="73"/>
      <c r="AQ229" s="75"/>
      <c r="AR229" s="76"/>
      <c r="AS229" s="77"/>
      <c r="AV229" s="75"/>
      <c r="AW229" s="83"/>
      <c r="AX229" s="84"/>
      <c r="AY229" s="80"/>
      <c r="BB229" s="81"/>
    </row>
    <row r="230" spans="1:60" ht="15" customHeight="1">
      <c r="A230" s="23" t="s">
        <v>1125</v>
      </c>
      <c r="B230" s="23" t="s">
        <v>1127</v>
      </c>
      <c r="C230" s="23" t="s">
        <v>1130</v>
      </c>
      <c r="D230" s="23">
        <v>1</v>
      </c>
      <c r="E230" s="23">
        <v>1</v>
      </c>
      <c r="F230" s="23" t="s">
        <v>1126</v>
      </c>
      <c r="G230" s="23" t="s">
        <v>1114</v>
      </c>
      <c r="H230" s="23" t="s">
        <v>1115</v>
      </c>
      <c r="I230" s="23" t="s">
        <v>223</v>
      </c>
      <c r="J230" s="23" t="s">
        <v>203</v>
      </c>
      <c r="K230" s="23" t="s">
        <v>200</v>
      </c>
      <c r="N230" s="73"/>
      <c r="O230" s="75">
        <v>4</v>
      </c>
      <c r="P230" s="76">
        <v>4</v>
      </c>
      <c r="Q230" s="77">
        <v>1</v>
      </c>
      <c r="R230" s="66">
        <v>3</v>
      </c>
      <c r="T230" s="68">
        <v>6</v>
      </c>
      <c r="U230" s="75">
        <v>8</v>
      </c>
      <c r="V230" s="78"/>
      <c r="W230" s="79"/>
      <c r="X230" s="80"/>
      <c r="AA230" s="81"/>
      <c r="AD230" s="23" t="s">
        <v>1116</v>
      </c>
      <c r="AE230" s="23"/>
      <c r="AF230" s="23" t="s">
        <v>1117</v>
      </c>
      <c r="AI230" s="23" t="s">
        <v>1114</v>
      </c>
      <c r="AJ230" s="23" t="s">
        <v>1115</v>
      </c>
      <c r="AK230" s="23" t="s">
        <v>223</v>
      </c>
      <c r="AL230" s="23" t="s">
        <v>203</v>
      </c>
      <c r="AM230" s="23" t="s">
        <v>1251</v>
      </c>
      <c r="AP230" s="73"/>
      <c r="AQ230" s="75"/>
      <c r="AR230" s="76"/>
      <c r="AS230" s="77"/>
      <c r="AV230" s="75"/>
      <c r="AW230" s="83"/>
      <c r="AX230" s="84"/>
      <c r="AY230" s="80"/>
      <c r="BB230" s="81"/>
    </row>
    <row r="231" spans="1:60" ht="15" customHeight="1">
      <c r="A231" s="23" t="s">
        <v>1125</v>
      </c>
      <c r="B231" s="23" t="s">
        <v>1128</v>
      </c>
      <c r="C231" s="23" t="s">
        <v>1130</v>
      </c>
      <c r="D231" s="23">
        <v>2</v>
      </c>
      <c r="E231" s="23">
        <v>1</v>
      </c>
      <c r="F231" s="23" t="s">
        <v>1126</v>
      </c>
      <c r="G231" s="23" t="s">
        <v>1118</v>
      </c>
      <c r="J231" s="23" t="s">
        <v>27</v>
      </c>
      <c r="K231" s="23" t="s">
        <v>26</v>
      </c>
      <c r="N231" s="73">
        <v>3</v>
      </c>
      <c r="O231" s="75"/>
      <c r="P231" s="76"/>
      <c r="Q231" s="77"/>
      <c r="S231" s="113">
        <v>2</v>
      </c>
      <c r="U231" s="75"/>
      <c r="V231" s="78"/>
      <c r="W231" s="79"/>
      <c r="X231" s="80"/>
      <c r="AA231" s="81"/>
      <c r="AB231" s="23" t="s">
        <v>1082</v>
      </c>
      <c r="AD231" s="23" t="s">
        <v>1119</v>
      </c>
      <c r="AE231" s="23"/>
      <c r="AF231" s="23" t="s">
        <v>1120</v>
      </c>
      <c r="AP231" s="73"/>
      <c r="AQ231" s="75"/>
      <c r="AR231" s="76"/>
      <c r="AS231" s="77"/>
      <c r="AV231" s="75"/>
      <c r="AW231" s="83"/>
      <c r="AX231" s="84"/>
      <c r="AY231" s="80"/>
      <c r="BB231" s="81"/>
    </row>
    <row r="232" spans="1:60" ht="15" customHeight="1">
      <c r="A232" s="23" t="s">
        <v>1125</v>
      </c>
      <c r="B232" s="23" t="s">
        <v>1129</v>
      </c>
      <c r="C232" s="23" t="s">
        <v>1130</v>
      </c>
      <c r="D232" s="23">
        <v>3</v>
      </c>
      <c r="E232" s="23">
        <v>1</v>
      </c>
      <c r="F232" s="23" t="s">
        <v>1126</v>
      </c>
      <c r="G232" s="23" t="s">
        <v>1121</v>
      </c>
      <c r="H232" s="23" t="s">
        <v>1122</v>
      </c>
      <c r="I232" s="23" t="s">
        <v>223</v>
      </c>
      <c r="J232" s="23" t="s">
        <v>257</v>
      </c>
      <c r="K232" s="23" t="s">
        <v>26</v>
      </c>
      <c r="M232" s="23" t="s">
        <v>648</v>
      </c>
      <c r="N232" s="73"/>
      <c r="O232" s="75"/>
      <c r="P232" s="76"/>
      <c r="Q232" s="77"/>
      <c r="U232" s="75"/>
      <c r="V232" s="78"/>
      <c r="W232" s="79"/>
      <c r="X232" s="80"/>
      <c r="AA232" s="81"/>
      <c r="AC232" s="23" t="s">
        <v>25</v>
      </c>
      <c r="AD232" s="23" t="s">
        <v>1123</v>
      </c>
      <c r="AE232" s="23"/>
      <c r="AF232" s="23" t="s">
        <v>1124</v>
      </c>
      <c r="AP232" s="73"/>
      <c r="AQ232" s="75"/>
      <c r="AR232" s="76"/>
      <c r="AS232" s="77"/>
      <c r="AV232" s="75"/>
      <c r="AW232" s="83"/>
      <c r="AX232" s="84"/>
      <c r="AY232" s="80"/>
      <c r="BB232" s="81"/>
    </row>
    <row r="233" spans="1:60" ht="15" customHeight="1">
      <c r="A233" s="23" t="s">
        <v>1125</v>
      </c>
      <c r="B233" s="30" t="s">
        <v>1713</v>
      </c>
      <c r="C233" s="23" t="s">
        <v>1130</v>
      </c>
      <c r="D233" s="24">
        <v>999</v>
      </c>
      <c r="E233" s="23">
        <v>1</v>
      </c>
      <c r="G233" s="23" t="s">
        <v>1114</v>
      </c>
      <c r="J233" s="23" t="s">
        <v>861</v>
      </c>
      <c r="K233" s="23" t="s">
        <v>200</v>
      </c>
      <c r="N233" s="73"/>
      <c r="O233" s="75"/>
      <c r="P233" s="76"/>
      <c r="Q233" s="77"/>
      <c r="U233" s="75"/>
      <c r="V233" s="83"/>
      <c r="W233" s="84"/>
      <c r="X233" s="80"/>
      <c r="AA233" s="81"/>
      <c r="AB233" s="42"/>
      <c r="AE233" s="23"/>
      <c r="AI233" s="23" t="s">
        <v>1114</v>
      </c>
      <c r="AL233" s="23" t="s">
        <v>861</v>
      </c>
      <c r="AP233" s="73"/>
      <c r="AQ233" s="75"/>
      <c r="AR233" s="76"/>
      <c r="AS233" s="77"/>
      <c r="AV233" s="75"/>
      <c r="AW233" s="83"/>
      <c r="AX233" s="84"/>
      <c r="AY233" s="80"/>
      <c r="BB233" s="81"/>
    </row>
    <row r="234" spans="1:60" ht="15" customHeight="1">
      <c r="A234" s="23" t="s">
        <v>1199</v>
      </c>
      <c r="B234" s="30" t="s">
        <v>1201</v>
      </c>
      <c r="C234" s="23" t="s">
        <v>1198</v>
      </c>
      <c r="D234" s="23">
        <v>1</v>
      </c>
      <c r="E234" s="23">
        <v>1</v>
      </c>
      <c r="F234" s="23" t="s">
        <v>1131</v>
      </c>
      <c r="G234" s="23" t="s">
        <v>1131</v>
      </c>
      <c r="J234" s="23" t="s">
        <v>618</v>
      </c>
      <c r="N234" s="73"/>
      <c r="O234" s="75"/>
      <c r="P234" s="76"/>
      <c r="Q234" s="77"/>
      <c r="U234" s="75"/>
      <c r="V234" s="78"/>
      <c r="W234" s="79"/>
      <c r="X234" s="80"/>
      <c r="AA234" s="81"/>
      <c r="AE234" s="23"/>
      <c r="AF234" s="23" t="s">
        <v>1264</v>
      </c>
      <c r="AI234" s="23" t="s">
        <v>1131</v>
      </c>
      <c r="AL234" s="23" t="s">
        <v>618</v>
      </c>
      <c r="AP234" s="73"/>
      <c r="AQ234" s="75"/>
      <c r="AR234" s="76"/>
      <c r="AS234" s="77"/>
      <c r="AV234" s="75"/>
      <c r="AW234" s="83"/>
      <c r="AX234" s="84"/>
      <c r="AY234" s="80"/>
      <c r="BB234" s="81"/>
      <c r="BG234" s="23" t="s">
        <v>1265</v>
      </c>
    </row>
    <row r="235" spans="1:60" ht="15" customHeight="1">
      <c r="A235" s="23" t="s">
        <v>1199</v>
      </c>
      <c r="B235" s="23" t="s">
        <v>1202</v>
      </c>
      <c r="C235" s="23" t="s">
        <v>1198</v>
      </c>
      <c r="D235" s="23">
        <v>2</v>
      </c>
      <c r="E235" s="23">
        <v>1</v>
      </c>
      <c r="F235" s="23" t="s">
        <v>1131</v>
      </c>
      <c r="G235" s="23" t="s">
        <v>1132</v>
      </c>
      <c r="J235" s="23" t="s">
        <v>619</v>
      </c>
      <c r="L235" s="23">
        <v>1</v>
      </c>
      <c r="N235" s="73"/>
      <c r="O235" s="75"/>
      <c r="P235" s="76"/>
      <c r="Q235" s="77"/>
      <c r="U235" s="75"/>
      <c r="V235" s="78"/>
      <c r="W235" s="79"/>
      <c r="X235" s="80"/>
      <c r="Z235" s="68">
        <v>8</v>
      </c>
      <c r="AA235" s="81"/>
      <c r="AE235" s="23"/>
      <c r="AI235" s="23" t="s">
        <v>1133</v>
      </c>
      <c r="AJ235" s="23" t="s">
        <v>1134</v>
      </c>
      <c r="AK235" s="23" t="s">
        <v>223</v>
      </c>
      <c r="AL235" s="23" t="s">
        <v>29</v>
      </c>
      <c r="AP235" s="73"/>
      <c r="AQ235" s="75"/>
      <c r="AR235" s="76"/>
      <c r="AS235" s="77">
        <v>4</v>
      </c>
      <c r="AT235" s="66">
        <v>3</v>
      </c>
      <c r="AU235" s="68">
        <v>5</v>
      </c>
      <c r="AV235" s="75"/>
      <c r="AW235" s="83">
        <v>2</v>
      </c>
      <c r="AX235" s="84">
        <v>2</v>
      </c>
      <c r="AY235" s="80"/>
      <c r="BB235" s="81">
        <v>2</v>
      </c>
      <c r="BE235" s="23" t="s">
        <v>1135</v>
      </c>
      <c r="BF235" s="24" t="s">
        <v>1298</v>
      </c>
      <c r="BG235" s="23" t="s">
        <v>1300</v>
      </c>
      <c r="BH235" s="23" t="s">
        <v>1299</v>
      </c>
    </row>
    <row r="236" spans="1:60" ht="15" customHeight="1">
      <c r="A236" s="23" t="s">
        <v>1199</v>
      </c>
      <c r="B236" s="23" t="s">
        <v>1203</v>
      </c>
      <c r="C236" s="23" t="s">
        <v>1198</v>
      </c>
      <c r="D236" s="23">
        <v>2</v>
      </c>
      <c r="E236" s="23">
        <v>1</v>
      </c>
      <c r="F236" s="23" t="s">
        <v>1131</v>
      </c>
      <c r="G236" s="23" t="s">
        <v>1133</v>
      </c>
      <c r="H236" s="23" t="s">
        <v>1134</v>
      </c>
      <c r="I236" s="23" t="s">
        <v>223</v>
      </c>
      <c r="J236" s="23" t="s">
        <v>29</v>
      </c>
      <c r="N236" s="73"/>
      <c r="O236" s="75"/>
      <c r="P236" s="76"/>
      <c r="Q236" s="77">
        <v>4</v>
      </c>
      <c r="R236" s="66">
        <v>3</v>
      </c>
      <c r="T236" s="68">
        <v>5</v>
      </c>
      <c r="U236" s="75"/>
      <c r="V236" s="78">
        <v>2</v>
      </c>
      <c r="W236" s="79">
        <v>2</v>
      </c>
      <c r="X236" s="80"/>
      <c r="AA236" s="81">
        <v>2</v>
      </c>
      <c r="AD236" s="23" t="s">
        <v>1135</v>
      </c>
      <c r="AE236" s="23" t="s">
        <v>1298</v>
      </c>
      <c r="AF236" s="23" t="s">
        <v>1300</v>
      </c>
      <c r="AP236" s="73"/>
      <c r="AQ236" s="75"/>
      <c r="AR236" s="76"/>
      <c r="AS236" s="77"/>
      <c r="AV236" s="75"/>
      <c r="AW236" s="83"/>
      <c r="AX236" s="84"/>
      <c r="AY236" s="80"/>
      <c r="BB236" s="81"/>
    </row>
    <row r="237" spans="1:60" ht="15" customHeight="1">
      <c r="A237" s="23" t="s">
        <v>1199</v>
      </c>
      <c r="B237" s="23" t="s">
        <v>1204</v>
      </c>
      <c r="C237" s="23" t="s">
        <v>1198</v>
      </c>
      <c r="D237" s="23">
        <v>3</v>
      </c>
      <c r="E237" s="23">
        <v>1</v>
      </c>
      <c r="F237" s="23" t="s">
        <v>1131</v>
      </c>
      <c r="G237" s="23" t="s">
        <v>1136</v>
      </c>
      <c r="J237" s="23" t="s">
        <v>619</v>
      </c>
      <c r="L237" s="23">
        <v>2</v>
      </c>
      <c r="N237" s="73"/>
      <c r="O237" s="75"/>
      <c r="P237" s="76"/>
      <c r="Q237" s="77"/>
      <c r="U237" s="75"/>
      <c r="V237" s="78"/>
      <c r="W237" s="79"/>
      <c r="X237" s="80"/>
      <c r="Z237" s="68">
        <v>3</v>
      </c>
      <c r="AA237" s="81"/>
      <c r="AE237" s="23"/>
      <c r="AI237" s="23" t="s">
        <v>1136</v>
      </c>
      <c r="AL237" s="23" t="s">
        <v>619</v>
      </c>
      <c r="AN237" s="23">
        <v>2</v>
      </c>
      <c r="AP237" s="73"/>
      <c r="AQ237" s="75"/>
      <c r="AR237" s="76"/>
      <c r="AS237" s="77"/>
      <c r="AV237" s="75"/>
      <c r="AW237" s="83"/>
      <c r="AX237" s="84"/>
      <c r="AY237" s="80"/>
      <c r="BB237" s="81"/>
      <c r="BG237" s="23" t="s">
        <v>1252</v>
      </c>
    </row>
    <row r="238" spans="1:60" ht="15" customHeight="1">
      <c r="A238" s="23" t="s">
        <v>1199</v>
      </c>
      <c r="B238" s="23" t="s">
        <v>1205</v>
      </c>
      <c r="C238" s="23" t="s">
        <v>1198</v>
      </c>
      <c r="D238" s="23">
        <v>4</v>
      </c>
      <c r="E238" s="23">
        <v>1</v>
      </c>
      <c r="F238" s="23" t="s">
        <v>1131</v>
      </c>
      <c r="G238" s="23" t="s">
        <v>1137</v>
      </c>
      <c r="J238" s="23" t="s">
        <v>619</v>
      </c>
      <c r="L238" s="23">
        <v>3</v>
      </c>
      <c r="N238" s="73"/>
      <c r="O238" s="75"/>
      <c r="P238" s="76"/>
      <c r="Q238" s="77"/>
      <c r="U238" s="75"/>
      <c r="V238" s="78"/>
      <c r="W238" s="79"/>
      <c r="X238" s="80"/>
      <c r="Z238" s="68">
        <v>3</v>
      </c>
      <c r="AA238" s="81"/>
      <c r="AE238" s="23"/>
      <c r="AF238" s="23" t="s">
        <v>1266</v>
      </c>
      <c r="AI238" s="23" t="s">
        <v>1137</v>
      </c>
      <c r="AL238" s="23" t="s">
        <v>619</v>
      </c>
      <c r="AN238" s="23">
        <v>3</v>
      </c>
      <c r="AP238" s="73"/>
      <c r="AQ238" s="75"/>
      <c r="AR238" s="76"/>
      <c r="AS238" s="77"/>
      <c r="AV238" s="75"/>
      <c r="AW238" s="83"/>
      <c r="AX238" s="84"/>
      <c r="AY238" s="80"/>
      <c r="BB238" s="81"/>
      <c r="BG238" s="23" t="s">
        <v>1253</v>
      </c>
    </row>
    <row r="239" spans="1:60" ht="15" customHeight="1">
      <c r="A239" s="23" t="s">
        <v>1199</v>
      </c>
      <c r="B239" s="23" t="s">
        <v>1206</v>
      </c>
      <c r="C239" s="23" t="s">
        <v>1198</v>
      </c>
      <c r="D239" s="23">
        <v>5</v>
      </c>
      <c r="E239" s="23">
        <v>1</v>
      </c>
      <c r="F239" s="23" t="s">
        <v>1131</v>
      </c>
      <c r="G239" s="23" t="s">
        <v>1138</v>
      </c>
      <c r="J239" s="23" t="s">
        <v>621</v>
      </c>
      <c r="L239" s="23">
        <v>1</v>
      </c>
      <c r="N239" s="73"/>
      <c r="O239" s="75"/>
      <c r="P239" s="76"/>
      <c r="Q239" s="77"/>
      <c r="U239" s="75"/>
      <c r="V239" s="78"/>
      <c r="W239" s="79"/>
      <c r="X239" s="80"/>
      <c r="Y239" s="66">
        <v>0</v>
      </c>
      <c r="AA239" s="81"/>
      <c r="AE239" s="23"/>
      <c r="AF239" s="23" t="s">
        <v>1301</v>
      </c>
      <c r="AI239" s="23" t="s">
        <v>1138</v>
      </c>
      <c r="AL239" s="23" t="s">
        <v>621</v>
      </c>
      <c r="AN239" s="23">
        <v>1</v>
      </c>
      <c r="AP239" s="73"/>
      <c r="AQ239" s="75"/>
      <c r="AR239" s="76"/>
      <c r="AS239" s="77"/>
      <c r="AV239" s="75"/>
      <c r="AW239" s="83"/>
      <c r="AX239" s="84"/>
      <c r="AY239" s="80"/>
      <c r="BB239" s="81"/>
      <c r="BG239" s="23" t="s">
        <v>1254</v>
      </c>
    </row>
    <row r="240" spans="1:60" ht="15" customHeight="1">
      <c r="A240" s="23" t="s">
        <v>1199</v>
      </c>
      <c r="B240" s="23" t="s">
        <v>1207</v>
      </c>
      <c r="C240" s="23" t="s">
        <v>1198</v>
      </c>
      <c r="D240" s="23">
        <v>6</v>
      </c>
      <c r="E240" s="23">
        <v>1</v>
      </c>
      <c r="F240" s="23" t="s">
        <v>1131</v>
      </c>
      <c r="G240" s="23" t="s">
        <v>1139</v>
      </c>
      <c r="J240" s="23" t="s">
        <v>621</v>
      </c>
      <c r="L240" s="23">
        <v>2</v>
      </c>
      <c r="N240" s="73"/>
      <c r="O240" s="75"/>
      <c r="P240" s="76"/>
      <c r="Q240" s="77"/>
      <c r="U240" s="75"/>
      <c r="V240" s="78"/>
      <c r="W240" s="79"/>
      <c r="X240" s="80"/>
      <c r="Y240" s="66">
        <v>0</v>
      </c>
      <c r="AA240" s="81"/>
      <c r="AE240" s="23"/>
      <c r="AF240" s="23" t="s">
        <v>1267</v>
      </c>
      <c r="AI240" s="23" t="s">
        <v>1140</v>
      </c>
      <c r="AL240" s="23" t="s">
        <v>31</v>
      </c>
      <c r="AP240" s="73"/>
      <c r="AQ240" s="75"/>
      <c r="AR240" s="76"/>
      <c r="AS240" s="77"/>
      <c r="AV240" s="75"/>
      <c r="AW240" s="83"/>
      <c r="AX240" s="84"/>
      <c r="AY240" s="80">
        <v>5</v>
      </c>
      <c r="AZ240" s="66">
        <v>0</v>
      </c>
      <c r="BB240" s="81"/>
      <c r="BE240" s="23" t="s">
        <v>1141</v>
      </c>
      <c r="BG240" s="23" t="s">
        <v>1268</v>
      </c>
    </row>
    <row r="241" spans="1:59" ht="15" customHeight="1">
      <c r="A241" s="23" t="s">
        <v>1199</v>
      </c>
      <c r="B241" s="23" t="s">
        <v>1208</v>
      </c>
      <c r="C241" s="23" t="s">
        <v>1198</v>
      </c>
      <c r="D241" s="23">
        <v>6</v>
      </c>
      <c r="E241" s="23">
        <v>1</v>
      </c>
      <c r="F241" s="23" t="s">
        <v>1131</v>
      </c>
      <c r="G241" s="23" t="s">
        <v>1140</v>
      </c>
      <c r="J241" s="23" t="s">
        <v>31</v>
      </c>
      <c r="N241" s="73"/>
      <c r="O241" s="75"/>
      <c r="P241" s="76"/>
      <c r="Q241" s="77"/>
      <c r="U241" s="75"/>
      <c r="V241" s="78"/>
      <c r="W241" s="79"/>
      <c r="X241" s="80">
        <v>5</v>
      </c>
      <c r="Y241" s="66">
        <v>0</v>
      </c>
      <c r="AA241" s="81"/>
      <c r="AD241" s="23" t="s">
        <v>1141</v>
      </c>
      <c r="AE241" s="23"/>
      <c r="AF241" s="23" t="s">
        <v>1268</v>
      </c>
      <c r="AP241" s="73"/>
      <c r="AQ241" s="75"/>
      <c r="AR241" s="76"/>
      <c r="AS241" s="77"/>
      <c r="AV241" s="75"/>
      <c r="AW241" s="83"/>
      <c r="AX241" s="84"/>
      <c r="AY241" s="80"/>
      <c r="BB241" s="81"/>
    </row>
    <row r="242" spans="1:59" ht="15" customHeight="1">
      <c r="A242" s="23" t="s">
        <v>1199</v>
      </c>
      <c r="B242" s="23" t="s">
        <v>1209</v>
      </c>
      <c r="C242" s="23" t="s">
        <v>1198</v>
      </c>
      <c r="D242" s="23">
        <v>7</v>
      </c>
      <c r="E242" s="23">
        <v>1</v>
      </c>
      <c r="F242" s="23" t="s">
        <v>1131</v>
      </c>
      <c r="G242" s="23" t="s">
        <v>1142</v>
      </c>
      <c r="J242" s="23" t="s">
        <v>621</v>
      </c>
      <c r="L242" s="23">
        <v>3</v>
      </c>
      <c r="N242" s="73"/>
      <c r="O242" s="75"/>
      <c r="P242" s="76"/>
      <c r="Q242" s="77"/>
      <c r="U242" s="75"/>
      <c r="V242" s="78"/>
      <c r="W242" s="79"/>
      <c r="X242" s="80"/>
      <c r="Y242" s="66">
        <v>0</v>
      </c>
      <c r="AA242" s="81"/>
      <c r="AE242" s="23"/>
      <c r="AF242" s="23" t="s">
        <v>1302</v>
      </c>
      <c r="AI242" s="23" t="s">
        <v>1142</v>
      </c>
      <c r="AL242" s="23" t="s">
        <v>621</v>
      </c>
      <c r="AN242" s="23">
        <v>3</v>
      </c>
      <c r="AP242" s="73"/>
      <c r="AQ242" s="75"/>
      <c r="AR242" s="76"/>
      <c r="AS242" s="77"/>
      <c r="AV242" s="75"/>
      <c r="AW242" s="83"/>
      <c r="AX242" s="84"/>
      <c r="AY242" s="80"/>
      <c r="BB242" s="81"/>
    </row>
    <row r="243" spans="1:59" ht="15" customHeight="1">
      <c r="A243" s="23" t="s">
        <v>1199</v>
      </c>
      <c r="B243" s="23" t="s">
        <v>1210</v>
      </c>
      <c r="C243" s="23" t="s">
        <v>1198</v>
      </c>
      <c r="D243" s="23">
        <v>8</v>
      </c>
      <c r="E243" s="23">
        <v>1</v>
      </c>
      <c r="F243" s="23" t="s">
        <v>1131</v>
      </c>
      <c r="G243" s="23" t="s">
        <v>1143</v>
      </c>
      <c r="J243" s="23" t="s">
        <v>31</v>
      </c>
      <c r="N243" s="73"/>
      <c r="O243" s="75"/>
      <c r="P243" s="76"/>
      <c r="Q243" s="77"/>
      <c r="U243" s="75"/>
      <c r="V243" s="78"/>
      <c r="W243" s="79"/>
      <c r="X243" s="80"/>
      <c r="AA243" s="81"/>
      <c r="AD243" s="23" t="s">
        <v>1144</v>
      </c>
      <c r="AE243" s="23"/>
      <c r="AF243" s="23" t="s">
        <v>1255</v>
      </c>
      <c r="AI243" s="23" t="s">
        <v>1143</v>
      </c>
      <c r="AL243" s="23" t="s">
        <v>31</v>
      </c>
      <c r="AP243" s="73"/>
      <c r="AQ243" s="75"/>
      <c r="AR243" s="76"/>
      <c r="AS243" s="77"/>
      <c r="AV243" s="75"/>
      <c r="AW243" s="83"/>
      <c r="AX243" s="84"/>
      <c r="AY243" s="80">
        <v>3</v>
      </c>
      <c r="AZ243" s="66">
        <v>0</v>
      </c>
      <c r="BB243" s="81"/>
      <c r="BE243" s="23" t="s">
        <v>1144</v>
      </c>
      <c r="BG243" s="23" t="s">
        <v>1269</v>
      </c>
    </row>
    <row r="244" spans="1:59" ht="15" customHeight="1">
      <c r="A244" s="23" t="s">
        <v>1199</v>
      </c>
      <c r="B244" s="23" t="s">
        <v>1211</v>
      </c>
      <c r="C244" s="23" t="s">
        <v>1198</v>
      </c>
      <c r="D244" s="23">
        <v>9</v>
      </c>
      <c r="E244" s="23">
        <v>1</v>
      </c>
      <c r="F244" s="23" t="s">
        <v>1131</v>
      </c>
      <c r="G244" s="23" t="s">
        <v>1145</v>
      </c>
      <c r="J244" s="23" t="s">
        <v>31</v>
      </c>
      <c r="N244" s="73"/>
      <c r="O244" s="75"/>
      <c r="P244" s="76"/>
      <c r="Q244" s="77"/>
      <c r="U244" s="75"/>
      <c r="V244" s="78"/>
      <c r="W244" s="79"/>
      <c r="X244" s="80"/>
      <c r="AA244" s="81"/>
      <c r="AD244" s="23" t="s">
        <v>1144</v>
      </c>
      <c r="AE244" s="23"/>
      <c r="AF244" s="23" t="s">
        <v>1256</v>
      </c>
      <c r="AI244" s="23" t="s">
        <v>1145</v>
      </c>
      <c r="AL244" s="23" t="s">
        <v>31</v>
      </c>
      <c r="AP244" s="73"/>
      <c r="AQ244" s="75"/>
      <c r="AR244" s="76"/>
      <c r="AS244" s="77"/>
      <c r="AV244" s="75"/>
      <c r="AW244" s="83"/>
      <c r="AX244" s="84"/>
      <c r="AY244" s="80">
        <v>2</v>
      </c>
      <c r="AZ244" s="66">
        <v>1</v>
      </c>
      <c r="BB244" s="81"/>
      <c r="BE244" s="23" t="s">
        <v>1144</v>
      </c>
      <c r="BG244" s="23" t="s">
        <v>1270</v>
      </c>
    </row>
    <row r="245" spans="1:59" ht="15" customHeight="1">
      <c r="A245" s="23" t="s">
        <v>1199</v>
      </c>
      <c r="B245" s="23" t="s">
        <v>1212</v>
      </c>
      <c r="C245" s="23" t="s">
        <v>1198</v>
      </c>
      <c r="D245" s="23">
        <v>10</v>
      </c>
      <c r="E245" s="23">
        <v>1</v>
      </c>
      <c r="F245" s="23" t="s">
        <v>1131</v>
      </c>
      <c r="G245" s="23" t="s">
        <v>1146</v>
      </c>
      <c r="J245" s="23" t="s">
        <v>31</v>
      </c>
      <c r="N245" s="73"/>
      <c r="O245" s="75"/>
      <c r="P245" s="76"/>
      <c r="Q245" s="77"/>
      <c r="U245" s="75"/>
      <c r="V245" s="78"/>
      <c r="W245" s="79"/>
      <c r="X245" s="80"/>
      <c r="AA245" s="81"/>
      <c r="AD245" s="23" t="s">
        <v>1144</v>
      </c>
      <c r="AE245" s="23"/>
      <c r="AF245" s="23" t="s">
        <v>1257</v>
      </c>
      <c r="AI245" s="23" t="s">
        <v>1146</v>
      </c>
      <c r="AL245" s="23" t="s">
        <v>31</v>
      </c>
      <c r="AP245" s="73"/>
      <c r="AQ245" s="75"/>
      <c r="AR245" s="76"/>
      <c r="AS245" s="77"/>
      <c r="AV245" s="75"/>
      <c r="AW245" s="83"/>
      <c r="AX245" s="84"/>
      <c r="AY245" s="80">
        <v>2</v>
      </c>
      <c r="AZ245" s="66">
        <v>2</v>
      </c>
      <c r="BB245" s="81"/>
      <c r="BE245" s="23" t="s">
        <v>1144</v>
      </c>
      <c r="BG245" s="23" t="s">
        <v>1271</v>
      </c>
    </row>
    <row r="246" spans="1:59" ht="15" customHeight="1">
      <c r="A246" s="23" t="s">
        <v>1199</v>
      </c>
      <c r="B246" s="23" t="s">
        <v>1213</v>
      </c>
      <c r="C246" s="23" t="s">
        <v>1198</v>
      </c>
      <c r="D246" s="23">
        <v>11</v>
      </c>
      <c r="E246" s="23">
        <v>1</v>
      </c>
      <c r="F246" s="23" t="s">
        <v>1131</v>
      </c>
      <c r="G246" s="23" t="s">
        <v>1147</v>
      </c>
      <c r="J246" s="23" t="s">
        <v>31</v>
      </c>
      <c r="N246" s="73"/>
      <c r="O246" s="75"/>
      <c r="P246" s="76"/>
      <c r="Q246" s="77"/>
      <c r="U246" s="75"/>
      <c r="V246" s="78"/>
      <c r="W246" s="79"/>
      <c r="X246" s="80"/>
      <c r="AA246" s="81"/>
      <c r="AD246" s="23" t="s">
        <v>1148</v>
      </c>
      <c r="AE246" s="23"/>
      <c r="AF246" s="23" t="s">
        <v>1258</v>
      </c>
      <c r="AI246" s="23" t="s">
        <v>1147</v>
      </c>
      <c r="AL246" s="23" t="s">
        <v>31</v>
      </c>
      <c r="AP246" s="73"/>
      <c r="AQ246" s="75"/>
      <c r="AR246" s="76"/>
      <c r="AS246" s="77"/>
      <c r="AV246" s="75"/>
      <c r="AW246" s="83"/>
      <c r="AX246" s="84"/>
      <c r="AY246" s="80">
        <v>2</v>
      </c>
      <c r="AZ246" s="66">
        <v>1</v>
      </c>
      <c r="BB246" s="81"/>
      <c r="BE246" s="23" t="s">
        <v>1148</v>
      </c>
      <c r="BG246" s="23" t="s">
        <v>1272</v>
      </c>
    </row>
    <row r="247" spans="1:59" ht="15" customHeight="1">
      <c r="A247" s="23" t="s">
        <v>1199</v>
      </c>
      <c r="B247" s="23" t="s">
        <v>1214</v>
      </c>
      <c r="C247" s="23" t="s">
        <v>1198</v>
      </c>
      <c r="D247" s="23">
        <v>12</v>
      </c>
      <c r="E247" s="23">
        <v>1</v>
      </c>
      <c r="F247" s="23" t="s">
        <v>1131</v>
      </c>
      <c r="G247" s="23" t="s">
        <v>1149</v>
      </c>
      <c r="J247" s="23" t="s">
        <v>31</v>
      </c>
      <c r="N247" s="73"/>
      <c r="O247" s="75"/>
      <c r="P247" s="76"/>
      <c r="Q247" s="77"/>
      <c r="U247" s="75"/>
      <c r="V247" s="78"/>
      <c r="W247" s="79"/>
      <c r="X247" s="80"/>
      <c r="AA247" s="81"/>
      <c r="AD247" s="23" t="s">
        <v>1144</v>
      </c>
      <c r="AE247" s="23"/>
      <c r="AF247" s="23" t="s">
        <v>1259</v>
      </c>
      <c r="AI247" s="23" t="s">
        <v>1149</v>
      </c>
      <c r="AL247" s="23" t="s">
        <v>31</v>
      </c>
      <c r="AP247" s="73"/>
      <c r="AQ247" s="75"/>
      <c r="AR247" s="76"/>
      <c r="AS247" s="77"/>
      <c r="AV247" s="75"/>
      <c r="AW247" s="83"/>
      <c r="AX247" s="84"/>
      <c r="AY247" s="80">
        <v>3</v>
      </c>
      <c r="AZ247" s="66">
        <v>1</v>
      </c>
      <c r="BB247" s="81"/>
      <c r="BE247" s="23" t="s">
        <v>1144</v>
      </c>
      <c r="BG247" s="23" t="s">
        <v>1273</v>
      </c>
    </row>
    <row r="248" spans="1:59" ht="15" customHeight="1">
      <c r="A248" s="23" t="s">
        <v>1199</v>
      </c>
      <c r="B248" s="23" t="s">
        <v>1215</v>
      </c>
      <c r="C248" s="23" t="s">
        <v>1198</v>
      </c>
      <c r="D248" s="23">
        <v>13</v>
      </c>
      <c r="E248" s="23">
        <v>1</v>
      </c>
      <c r="F248" s="23" t="s">
        <v>1131</v>
      </c>
      <c r="G248" s="23" t="s">
        <v>1150</v>
      </c>
      <c r="J248" s="23" t="s">
        <v>31</v>
      </c>
      <c r="N248" s="73"/>
      <c r="O248" s="75"/>
      <c r="P248" s="76"/>
      <c r="Q248" s="77"/>
      <c r="U248" s="75"/>
      <c r="V248" s="78"/>
      <c r="W248" s="79"/>
      <c r="X248" s="80"/>
      <c r="AA248" s="81"/>
      <c r="AD248" s="23" t="s">
        <v>1148</v>
      </c>
      <c r="AE248" s="23"/>
      <c r="AF248" s="23" t="s">
        <v>1260</v>
      </c>
      <c r="AI248" s="23" t="s">
        <v>1150</v>
      </c>
      <c r="AL248" s="23" t="s">
        <v>31</v>
      </c>
      <c r="AP248" s="73"/>
      <c r="AQ248" s="75"/>
      <c r="AR248" s="76"/>
      <c r="AS248" s="77"/>
      <c r="AV248" s="75"/>
      <c r="AW248" s="83"/>
      <c r="AX248" s="84"/>
      <c r="AY248" s="80">
        <v>1</v>
      </c>
      <c r="AZ248" s="66">
        <v>2</v>
      </c>
      <c r="BB248" s="81"/>
      <c r="BE248" s="23" t="s">
        <v>1148</v>
      </c>
      <c r="BG248" s="23" t="s">
        <v>1274</v>
      </c>
    </row>
    <row r="249" spans="1:59" ht="15" customHeight="1">
      <c r="A249" s="23" t="s">
        <v>1199</v>
      </c>
      <c r="B249" s="23" t="s">
        <v>1216</v>
      </c>
      <c r="C249" s="23" t="s">
        <v>1198</v>
      </c>
      <c r="D249" s="23">
        <v>14</v>
      </c>
      <c r="E249" s="23">
        <v>1</v>
      </c>
      <c r="F249" s="23" t="s">
        <v>1131</v>
      </c>
      <c r="G249" s="23" t="s">
        <v>1151</v>
      </c>
      <c r="J249" s="23" t="s">
        <v>31</v>
      </c>
      <c r="N249" s="73"/>
      <c r="O249" s="75"/>
      <c r="P249" s="76"/>
      <c r="Q249" s="77"/>
      <c r="U249" s="75"/>
      <c r="V249" s="78"/>
      <c r="W249" s="79"/>
      <c r="X249" s="80"/>
      <c r="AA249" s="81"/>
      <c r="AD249" s="23" t="s">
        <v>1144</v>
      </c>
      <c r="AE249" s="23"/>
      <c r="AF249" s="23" t="s">
        <v>1261</v>
      </c>
      <c r="AI249" s="23" t="s">
        <v>1151</v>
      </c>
      <c r="AL249" s="23" t="s">
        <v>31</v>
      </c>
      <c r="AP249" s="73"/>
      <c r="AQ249" s="75"/>
      <c r="AR249" s="76"/>
      <c r="AS249" s="77"/>
      <c r="AV249" s="75"/>
      <c r="AW249" s="83"/>
      <c r="AX249" s="84"/>
      <c r="AY249" s="80">
        <v>4</v>
      </c>
      <c r="AZ249" s="66">
        <v>1</v>
      </c>
      <c r="BB249" s="81"/>
      <c r="BE249" s="23" t="s">
        <v>1144</v>
      </c>
      <c r="BG249" s="23" t="s">
        <v>1275</v>
      </c>
    </row>
    <row r="250" spans="1:59" ht="15" customHeight="1">
      <c r="A250" s="23" t="s">
        <v>1199</v>
      </c>
      <c r="B250" s="23" t="s">
        <v>1217</v>
      </c>
      <c r="C250" s="23" t="s">
        <v>1198</v>
      </c>
      <c r="D250" s="23">
        <v>15</v>
      </c>
      <c r="E250" s="23">
        <v>1</v>
      </c>
      <c r="F250" s="23" t="s">
        <v>1131</v>
      </c>
      <c r="G250" s="23" t="s">
        <v>1152</v>
      </c>
      <c r="J250" s="23" t="s">
        <v>31</v>
      </c>
      <c r="N250" s="73"/>
      <c r="O250" s="75"/>
      <c r="P250" s="76"/>
      <c r="Q250" s="77"/>
      <c r="U250" s="75"/>
      <c r="V250" s="78"/>
      <c r="W250" s="79"/>
      <c r="X250" s="80"/>
      <c r="AA250" s="81"/>
      <c r="AD250" s="23" t="s">
        <v>1148</v>
      </c>
      <c r="AE250" s="23"/>
      <c r="AF250" s="23" t="s">
        <v>1262</v>
      </c>
      <c r="AI250" s="23" t="s">
        <v>1152</v>
      </c>
      <c r="AL250" s="23" t="s">
        <v>31</v>
      </c>
      <c r="AP250" s="73"/>
      <c r="AQ250" s="75"/>
      <c r="AR250" s="76"/>
      <c r="AS250" s="77"/>
      <c r="AV250" s="75"/>
      <c r="AW250" s="83"/>
      <c r="AX250" s="84"/>
      <c r="AY250" s="80">
        <v>2</v>
      </c>
      <c r="AZ250" s="66">
        <v>1</v>
      </c>
      <c r="BB250" s="81"/>
      <c r="BE250" s="23" t="s">
        <v>1148</v>
      </c>
      <c r="BG250" s="23" t="s">
        <v>1276</v>
      </c>
    </row>
    <row r="251" spans="1:59" ht="15" customHeight="1">
      <c r="A251" s="23" t="s">
        <v>1199</v>
      </c>
      <c r="B251" s="23" t="s">
        <v>1218</v>
      </c>
      <c r="C251" s="23" t="s">
        <v>1198</v>
      </c>
      <c r="D251" s="23">
        <v>16</v>
      </c>
      <c r="E251" s="23">
        <v>1</v>
      </c>
      <c r="F251" s="23" t="s">
        <v>1131</v>
      </c>
      <c r="G251" s="23" t="s">
        <v>1153</v>
      </c>
      <c r="J251" s="23" t="s">
        <v>31</v>
      </c>
      <c r="N251" s="73"/>
      <c r="O251" s="75"/>
      <c r="P251" s="76"/>
      <c r="Q251" s="77"/>
      <c r="U251" s="75"/>
      <c r="V251" s="78"/>
      <c r="W251" s="79"/>
      <c r="X251" s="80"/>
      <c r="AA251" s="81"/>
      <c r="AD251" s="23" t="s">
        <v>1144</v>
      </c>
      <c r="AE251" s="23"/>
      <c r="AF251" s="23" t="s">
        <v>1263</v>
      </c>
      <c r="AI251" s="23" t="s">
        <v>1153</v>
      </c>
      <c r="AL251" s="23" t="s">
        <v>31</v>
      </c>
      <c r="AP251" s="73"/>
      <c r="AQ251" s="75"/>
      <c r="AR251" s="76"/>
      <c r="AS251" s="77"/>
      <c r="AV251" s="75"/>
      <c r="AW251" s="83"/>
      <c r="AX251" s="84"/>
      <c r="AY251" s="80">
        <v>3</v>
      </c>
      <c r="AZ251" s="66">
        <v>2</v>
      </c>
      <c r="BB251" s="81"/>
      <c r="BE251" s="23" t="s">
        <v>1144</v>
      </c>
      <c r="BG251" s="23" t="s">
        <v>1277</v>
      </c>
    </row>
    <row r="252" spans="1:59" ht="15" customHeight="1">
      <c r="A252" s="23" t="s">
        <v>1199</v>
      </c>
      <c r="B252" s="23" t="s">
        <v>1219</v>
      </c>
      <c r="C252" s="23" t="s">
        <v>1198</v>
      </c>
      <c r="D252" s="23">
        <v>17</v>
      </c>
      <c r="E252" s="23">
        <v>1</v>
      </c>
      <c r="F252" s="23" t="s">
        <v>1131</v>
      </c>
      <c r="G252" s="23" t="s">
        <v>1154</v>
      </c>
      <c r="H252" s="23" t="s">
        <v>1155</v>
      </c>
      <c r="I252" s="23" t="s">
        <v>223</v>
      </c>
      <c r="J252" s="23" t="s">
        <v>29</v>
      </c>
      <c r="N252" s="73"/>
      <c r="O252" s="75"/>
      <c r="P252" s="76"/>
      <c r="Q252" s="77">
        <v>4</v>
      </c>
      <c r="R252" s="66">
        <v>3</v>
      </c>
      <c r="T252" s="68">
        <v>4</v>
      </c>
      <c r="U252" s="75"/>
      <c r="V252" s="78">
        <v>2</v>
      </c>
      <c r="W252" s="79">
        <v>0</v>
      </c>
      <c r="X252" s="80"/>
      <c r="AA252" s="81">
        <v>1</v>
      </c>
      <c r="AD252" s="23" t="s">
        <v>1156</v>
      </c>
      <c r="AE252" s="23"/>
      <c r="AF252" s="23" t="s">
        <v>1157</v>
      </c>
      <c r="AI252" s="23" t="s">
        <v>1158</v>
      </c>
      <c r="AL252" s="23" t="s">
        <v>257</v>
      </c>
      <c r="AM252" s="23" t="s">
        <v>26</v>
      </c>
      <c r="AP252" s="73"/>
      <c r="AQ252" s="75"/>
      <c r="AR252" s="76"/>
      <c r="AS252" s="77"/>
      <c r="AV252" s="75"/>
      <c r="AW252" s="83"/>
      <c r="AX252" s="84"/>
      <c r="AY252" s="80"/>
      <c r="BB252" s="81"/>
      <c r="BE252" s="23" t="s">
        <v>1159</v>
      </c>
      <c r="BG252" s="23" t="s">
        <v>1278</v>
      </c>
    </row>
    <row r="253" spans="1:59" ht="15" customHeight="1">
      <c r="A253" s="23" t="s">
        <v>1199</v>
      </c>
      <c r="B253" s="23" t="s">
        <v>1220</v>
      </c>
      <c r="C253" s="23" t="s">
        <v>1198</v>
      </c>
      <c r="D253" s="23">
        <v>18</v>
      </c>
      <c r="E253" s="23">
        <v>1</v>
      </c>
      <c r="F253" s="23" t="s">
        <v>1131</v>
      </c>
      <c r="G253" s="23" t="s">
        <v>1160</v>
      </c>
      <c r="H253" s="23" t="s">
        <v>1161</v>
      </c>
      <c r="I253" s="23" t="s">
        <v>223</v>
      </c>
      <c r="J253" s="23" t="s">
        <v>29</v>
      </c>
      <c r="N253" s="73"/>
      <c r="O253" s="75"/>
      <c r="P253" s="76"/>
      <c r="Q253" s="77">
        <v>3</v>
      </c>
      <c r="R253" s="66">
        <v>4</v>
      </c>
      <c r="T253" s="68">
        <v>4</v>
      </c>
      <c r="U253" s="75"/>
      <c r="V253" s="78">
        <v>1</v>
      </c>
      <c r="W253" s="79">
        <v>1</v>
      </c>
      <c r="X253" s="80"/>
      <c r="AA253" s="81">
        <v>1</v>
      </c>
      <c r="AD253" s="23" t="s">
        <v>1162</v>
      </c>
      <c r="AE253" s="23"/>
      <c r="AF253" s="23" t="s">
        <v>1279</v>
      </c>
      <c r="AI253" s="23" t="s">
        <v>1158</v>
      </c>
      <c r="AL253" s="23" t="s">
        <v>257</v>
      </c>
      <c r="AM253" s="23" t="s">
        <v>26</v>
      </c>
      <c r="AP253" s="73"/>
      <c r="AQ253" s="75"/>
      <c r="AR253" s="76"/>
      <c r="AS253" s="77"/>
      <c r="AV253" s="75"/>
      <c r="AW253" s="83"/>
      <c r="AX253" s="84"/>
      <c r="AY253" s="80"/>
      <c r="BB253" s="81"/>
      <c r="BE253" s="23" t="s">
        <v>1159</v>
      </c>
      <c r="BG253" s="23" t="s">
        <v>1278</v>
      </c>
    </row>
    <row r="254" spans="1:59" ht="15" customHeight="1">
      <c r="A254" s="23" t="s">
        <v>1199</v>
      </c>
      <c r="B254" s="23" t="s">
        <v>1221</v>
      </c>
      <c r="C254" s="23" t="s">
        <v>1198</v>
      </c>
      <c r="D254" s="23">
        <v>19</v>
      </c>
      <c r="E254" s="23">
        <v>1</v>
      </c>
      <c r="F254" s="23" t="s">
        <v>1131</v>
      </c>
      <c r="G254" s="23" t="s">
        <v>1163</v>
      </c>
      <c r="H254" s="23" t="s">
        <v>1164</v>
      </c>
      <c r="I254" s="23" t="s">
        <v>223</v>
      </c>
      <c r="J254" s="23" t="s">
        <v>29</v>
      </c>
      <c r="N254" s="73"/>
      <c r="O254" s="75"/>
      <c r="P254" s="76"/>
      <c r="Q254" s="77">
        <v>-2</v>
      </c>
      <c r="R254" s="66">
        <v>-2</v>
      </c>
      <c r="T254" s="68">
        <v>3</v>
      </c>
      <c r="U254" s="75"/>
      <c r="V254" s="78">
        <v>0</v>
      </c>
      <c r="W254" s="79">
        <v>2</v>
      </c>
      <c r="X254" s="80"/>
      <c r="AA254" s="81">
        <v>1</v>
      </c>
      <c r="AD254" s="23" t="s">
        <v>1165</v>
      </c>
      <c r="AE254" s="23"/>
      <c r="AF254" s="23" t="s">
        <v>1280</v>
      </c>
      <c r="AI254" s="23" t="s">
        <v>1158</v>
      </c>
      <c r="AL254" s="23" t="s">
        <v>257</v>
      </c>
      <c r="AM254" s="23" t="s">
        <v>26</v>
      </c>
      <c r="AP254" s="73"/>
      <c r="AQ254" s="75"/>
      <c r="AR254" s="76"/>
      <c r="AS254" s="77"/>
      <c r="AV254" s="75"/>
      <c r="AW254" s="83"/>
      <c r="AX254" s="84"/>
      <c r="AY254" s="80"/>
      <c r="BB254" s="81"/>
      <c r="BE254" s="23" t="s">
        <v>1159</v>
      </c>
      <c r="BG254" s="23" t="s">
        <v>1278</v>
      </c>
    </row>
    <row r="255" spans="1:59" ht="15" customHeight="1">
      <c r="A255" s="23" t="s">
        <v>1199</v>
      </c>
      <c r="B255" s="30" t="s">
        <v>1222</v>
      </c>
      <c r="C255" s="23" t="s">
        <v>1198</v>
      </c>
      <c r="D255" s="23">
        <v>20</v>
      </c>
      <c r="E255" s="23">
        <v>1</v>
      </c>
      <c r="F255" s="23" t="s">
        <v>1131</v>
      </c>
      <c r="G255" s="23" t="s">
        <v>1166</v>
      </c>
      <c r="H255" s="23" t="s">
        <v>1167</v>
      </c>
      <c r="I255" s="23" t="s">
        <v>223</v>
      </c>
      <c r="J255" s="23" t="s">
        <v>29</v>
      </c>
      <c r="N255" s="73"/>
      <c r="O255" s="75"/>
      <c r="P255" s="76"/>
      <c r="Q255" s="77">
        <v>3</v>
      </c>
      <c r="R255" s="66">
        <v>3</v>
      </c>
      <c r="T255" s="68">
        <v>5</v>
      </c>
      <c r="U255" s="75"/>
      <c r="V255" s="78">
        <v>1</v>
      </c>
      <c r="W255" s="79">
        <v>1</v>
      </c>
      <c r="X255" s="80"/>
      <c r="AA255" s="81">
        <v>1</v>
      </c>
      <c r="AD255" s="23" t="s">
        <v>1135</v>
      </c>
      <c r="AE255" s="23"/>
      <c r="AF255" s="23" t="s">
        <v>1168</v>
      </c>
      <c r="AI255" s="23" t="s">
        <v>1158</v>
      </c>
      <c r="AL255" s="23" t="s">
        <v>257</v>
      </c>
      <c r="AM255" s="23" t="s">
        <v>26</v>
      </c>
      <c r="AP255" s="73"/>
      <c r="AQ255" s="75"/>
      <c r="AR255" s="76"/>
      <c r="AS255" s="77"/>
      <c r="AV255" s="75"/>
      <c r="AW255" s="83"/>
      <c r="AX255" s="84"/>
      <c r="AY255" s="80"/>
      <c r="BB255" s="81"/>
      <c r="BE255" s="23" t="s">
        <v>1159</v>
      </c>
      <c r="BG255" s="23" t="s">
        <v>1278</v>
      </c>
    </row>
    <row r="256" spans="1:59" ht="15" customHeight="1">
      <c r="A256" s="23" t="s">
        <v>1199</v>
      </c>
      <c r="B256" s="23" t="s">
        <v>1223</v>
      </c>
      <c r="C256" s="23" t="s">
        <v>1198</v>
      </c>
      <c r="D256" s="23">
        <v>21</v>
      </c>
      <c r="E256" s="23">
        <v>3</v>
      </c>
      <c r="F256" s="23" t="s">
        <v>1131</v>
      </c>
      <c r="G256" s="23" t="s">
        <v>1169</v>
      </c>
      <c r="J256" s="23" t="s">
        <v>257</v>
      </c>
      <c r="K256" s="23" t="s">
        <v>26</v>
      </c>
      <c r="N256" s="73"/>
      <c r="O256" s="75"/>
      <c r="P256" s="76"/>
      <c r="Q256" s="77"/>
      <c r="T256" s="68">
        <v>2</v>
      </c>
      <c r="U256" s="75">
        <v>2</v>
      </c>
      <c r="V256" s="78"/>
      <c r="W256" s="79"/>
      <c r="X256" s="80"/>
      <c r="AA256" s="81"/>
      <c r="AD256" s="23" t="s">
        <v>1170</v>
      </c>
      <c r="AE256" s="23"/>
      <c r="AF256" s="23" t="s">
        <v>1281</v>
      </c>
      <c r="AI256" s="23" t="s">
        <v>1158</v>
      </c>
      <c r="AL256" s="23" t="s">
        <v>257</v>
      </c>
      <c r="AM256" s="23" t="s">
        <v>26</v>
      </c>
      <c r="AP256" s="73"/>
      <c r="AQ256" s="75"/>
      <c r="AR256" s="76"/>
      <c r="AS256" s="77"/>
      <c r="AV256" s="75"/>
      <c r="AW256" s="83"/>
      <c r="AX256" s="84"/>
      <c r="AY256" s="80"/>
      <c r="BB256" s="81"/>
      <c r="BE256" s="23" t="s">
        <v>1159</v>
      </c>
      <c r="BG256" s="23" t="s">
        <v>1278</v>
      </c>
    </row>
    <row r="257" spans="1:54" ht="15" customHeight="1">
      <c r="A257" s="23" t="s">
        <v>1199</v>
      </c>
      <c r="B257" s="23" t="s">
        <v>1224</v>
      </c>
      <c r="C257" s="23" t="s">
        <v>1198</v>
      </c>
      <c r="D257" s="23">
        <v>22</v>
      </c>
      <c r="E257" s="23">
        <v>1</v>
      </c>
      <c r="F257" s="23" t="s">
        <v>1131</v>
      </c>
      <c r="G257" s="23" t="s">
        <v>1171</v>
      </c>
      <c r="H257" s="23" t="s">
        <v>1172</v>
      </c>
      <c r="I257" s="23" t="s">
        <v>223</v>
      </c>
      <c r="J257" s="23" t="s">
        <v>257</v>
      </c>
      <c r="K257" s="23" t="s">
        <v>26</v>
      </c>
      <c r="N257" s="73">
        <v>4</v>
      </c>
      <c r="O257" s="75">
        <v>1</v>
      </c>
      <c r="P257" s="76">
        <v>1</v>
      </c>
      <c r="Q257" s="77"/>
      <c r="S257" s="113">
        <v>1</v>
      </c>
      <c r="T257" s="68">
        <v>2</v>
      </c>
      <c r="U257" s="75">
        <v>2</v>
      </c>
      <c r="V257" s="78"/>
      <c r="W257" s="79"/>
      <c r="X257" s="80"/>
      <c r="AA257" s="81"/>
      <c r="AB257" s="23" t="s">
        <v>1079</v>
      </c>
      <c r="AC257" s="23" t="s">
        <v>25</v>
      </c>
      <c r="AD257" s="23" t="s">
        <v>1173</v>
      </c>
      <c r="AE257" s="23"/>
      <c r="AF257" s="23" t="s">
        <v>1282</v>
      </c>
      <c r="AP257" s="73"/>
      <c r="AQ257" s="75"/>
      <c r="AR257" s="76"/>
      <c r="AS257" s="77"/>
      <c r="AV257" s="75"/>
      <c r="AW257" s="83"/>
      <c r="AX257" s="84"/>
      <c r="AY257" s="80"/>
      <c r="BB257" s="81"/>
    </row>
    <row r="258" spans="1:54" ht="15" customHeight="1">
      <c r="A258" s="23" t="s">
        <v>1199</v>
      </c>
      <c r="B258" s="23" t="s">
        <v>1225</v>
      </c>
      <c r="C258" s="23" t="s">
        <v>1198</v>
      </c>
      <c r="D258" s="23">
        <v>23</v>
      </c>
      <c r="E258" s="23">
        <v>1</v>
      </c>
      <c r="F258" s="23" t="s">
        <v>1131</v>
      </c>
      <c r="G258" s="23" t="s">
        <v>1174</v>
      </c>
      <c r="J258" s="23" t="s">
        <v>257</v>
      </c>
      <c r="K258" s="23" t="s">
        <v>26</v>
      </c>
      <c r="N258" s="73">
        <v>1</v>
      </c>
      <c r="O258" s="75"/>
      <c r="P258" s="76"/>
      <c r="Q258" s="77">
        <v>1</v>
      </c>
      <c r="S258" s="113">
        <v>1</v>
      </c>
      <c r="U258" s="75"/>
      <c r="V258" s="78"/>
      <c r="W258" s="79"/>
      <c r="X258" s="80"/>
      <c r="AA258" s="81"/>
      <c r="AB258" s="23" t="s">
        <v>1093</v>
      </c>
      <c r="AD258" s="23" t="s">
        <v>1175</v>
      </c>
      <c r="AE258" s="23"/>
      <c r="AF258" s="23" t="s">
        <v>1283</v>
      </c>
      <c r="AP258" s="73"/>
      <c r="AQ258" s="75"/>
      <c r="AR258" s="76"/>
      <c r="AS258" s="77"/>
      <c r="AV258" s="75"/>
      <c r="AW258" s="83"/>
      <c r="AX258" s="84"/>
      <c r="AY258" s="80"/>
      <c r="BB258" s="81"/>
    </row>
    <row r="259" spans="1:54" ht="15" customHeight="1">
      <c r="A259" s="23" t="s">
        <v>1199</v>
      </c>
      <c r="B259" s="23" t="s">
        <v>1226</v>
      </c>
      <c r="C259" s="23" t="s">
        <v>1198</v>
      </c>
      <c r="D259" s="23">
        <v>24</v>
      </c>
      <c r="E259" s="23">
        <v>1</v>
      </c>
      <c r="F259" s="23" t="s">
        <v>1131</v>
      </c>
      <c r="G259" s="23" t="s">
        <v>1176</v>
      </c>
      <c r="J259" s="23" t="s">
        <v>257</v>
      </c>
      <c r="K259" s="23" t="s">
        <v>26</v>
      </c>
      <c r="N259" s="73">
        <v>1</v>
      </c>
      <c r="O259" s="75">
        <v>1</v>
      </c>
      <c r="P259" s="76"/>
      <c r="Q259" s="77"/>
      <c r="S259" s="113">
        <v>1</v>
      </c>
      <c r="U259" s="75"/>
      <c r="V259" s="78"/>
      <c r="W259" s="79"/>
      <c r="X259" s="80"/>
      <c r="AA259" s="81"/>
      <c r="AB259" s="23" t="s">
        <v>1086</v>
      </c>
      <c r="AD259" s="23" t="s">
        <v>1175</v>
      </c>
      <c r="AE259" s="23"/>
      <c r="AF259" s="23" t="s">
        <v>1284</v>
      </c>
      <c r="AP259" s="73"/>
      <c r="AQ259" s="75"/>
      <c r="AR259" s="76"/>
      <c r="AS259" s="77"/>
      <c r="AV259" s="75"/>
      <c r="AW259" s="83"/>
      <c r="AX259" s="84"/>
      <c r="AY259" s="80"/>
      <c r="BB259" s="81"/>
    </row>
    <row r="260" spans="1:54" ht="15" customHeight="1">
      <c r="A260" s="23" t="s">
        <v>1199</v>
      </c>
      <c r="B260" s="23" t="s">
        <v>1227</v>
      </c>
      <c r="C260" s="23" t="s">
        <v>1198</v>
      </c>
      <c r="D260" s="23">
        <v>25</v>
      </c>
      <c r="E260" s="23">
        <v>1</v>
      </c>
      <c r="F260" s="23" t="s">
        <v>1131</v>
      </c>
      <c r="G260" s="23" t="s">
        <v>1177</v>
      </c>
      <c r="J260" s="23" t="s">
        <v>257</v>
      </c>
      <c r="K260" s="23" t="s">
        <v>26</v>
      </c>
      <c r="N260" s="73">
        <v>1</v>
      </c>
      <c r="O260" s="75"/>
      <c r="P260" s="76">
        <v>1</v>
      </c>
      <c r="Q260" s="77"/>
      <c r="S260" s="113">
        <v>1</v>
      </c>
      <c r="U260" s="75"/>
      <c r="V260" s="78"/>
      <c r="W260" s="79"/>
      <c r="X260" s="80"/>
      <c r="AA260" s="81"/>
      <c r="AB260" s="23" t="s">
        <v>1178</v>
      </c>
      <c r="AD260" s="23" t="s">
        <v>1175</v>
      </c>
      <c r="AE260" s="23"/>
      <c r="AF260" s="23" t="s">
        <v>1285</v>
      </c>
      <c r="AP260" s="73"/>
      <c r="AQ260" s="75"/>
      <c r="AR260" s="76"/>
      <c r="AS260" s="77"/>
      <c r="AV260" s="75"/>
      <c r="AW260" s="83"/>
      <c r="AX260" s="84"/>
      <c r="AY260" s="80"/>
      <c r="BB260" s="81"/>
    </row>
    <row r="261" spans="1:54" ht="15" customHeight="1">
      <c r="A261" s="23" t="s">
        <v>1199</v>
      </c>
      <c r="B261" s="23" t="s">
        <v>1228</v>
      </c>
      <c r="C261" s="23" t="s">
        <v>1198</v>
      </c>
      <c r="D261" s="23">
        <v>24</v>
      </c>
      <c r="E261" s="23">
        <v>1</v>
      </c>
      <c r="F261" s="23" t="s">
        <v>1131</v>
      </c>
      <c r="G261" s="23" t="s">
        <v>1179</v>
      </c>
      <c r="J261" s="23" t="s">
        <v>257</v>
      </c>
      <c r="K261" s="23" t="s">
        <v>26</v>
      </c>
      <c r="N261" s="73">
        <v>1</v>
      </c>
      <c r="O261" s="75"/>
      <c r="P261" s="76"/>
      <c r="Q261" s="77"/>
      <c r="R261" s="66">
        <v>1</v>
      </c>
      <c r="S261" s="113">
        <v>1</v>
      </c>
      <c r="U261" s="75"/>
      <c r="V261" s="78"/>
      <c r="W261" s="79"/>
      <c r="X261" s="80"/>
      <c r="AA261" s="81"/>
      <c r="AB261" s="23" t="s">
        <v>1180</v>
      </c>
      <c r="AD261" s="23" t="s">
        <v>1175</v>
      </c>
      <c r="AE261" s="23"/>
      <c r="AF261" s="23" t="s">
        <v>1286</v>
      </c>
      <c r="AP261" s="73"/>
      <c r="AQ261" s="75"/>
      <c r="AR261" s="76"/>
      <c r="AS261" s="77"/>
      <c r="AV261" s="75"/>
      <c r="AW261" s="83"/>
      <c r="AX261" s="84"/>
      <c r="AY261" s="80"/>
      <c r="BB261" s="81"/>
    </row>
    <row r="262" spans="1:54" ht="15" customHeight="1">
      <c r="A262" s="23" t="s">
        <v>1199</v>
      </c>
      <c r="B262" s="23" t="s">
        <v>1229</v>
      </c>
      <c r="C262" s="23" t="s">
        <v>1198</v>
      </c>
      <c r="D262" s="23">
        <v>27</v>
      </c>
      <c r="E262" s="23">
        <v>1</v>
      </c>
      <c r="F262" s="23" t="s">
        <v>1131</v>
      </c>
      <c r="G262" s="23" t="s">
        <v>1181</v>
      </c>
      <c r="H262" s="23" t="s">
        <v>1182</v>
      </c>
      <c r="I262" s="23" t="s">
        <v>223</v>
      </c>
      <c r="J262" s="23" t="s">
        <v>29</v>
      </c>
      <c r="N262" s="73"/>
      <c r="O262" s="75"/>
      <c r="P262" s="76"/>
      <c r="Q262" s="77">
        <v>4</v>
      </c>
      <c r="T262" s="68">
        <v>8</v>
      </c>
      <c r="U262" s="75"/>
      <c r="V262" s="78">
        <v>2</v>
      </c>
      <c r="W262" s="79">
        <v>2</v>
      </c>
      <c r="X262" s="80"/>
      <c r="AA262" s="81"/>
      <c r="AD262" s="23" t="s">
        <v>1183</v>
      </c>
      <c r="AE262" s="23"/>
      <c r="AF262" s="23" t="s">
        <v>1287</v>
      </c>
      <c r="AP262" s="73"/>
      <c r="AQ262" s="75"/>
      <c r="AR262" s="76"/>
      <c r="AS262" s="77"/>
      <c r="AV262" s="75"/>
      <c r="AW262" s="83"/>
      <c r="AX262" s="84"/>
      <c r="AY262" s="80"/>
      <c r="BB262" s="81"/>
    </row>
    <row r="263" spans="1:54" ht="15" customHeight="1">
      <c r="A263" s="23" t="s">
        <v>1199</v>
      </c>
      <c r="B263" s="23" t="s">
        <v>1230</v>
      </c>
      <c r="C263" s="23" t="s">
        <v>1198</v>
      </c>
      <c r="D263" s="23">
        <v>28</v>
      </c>
      <c r="E263" s="23">
        <v>2</v>
      </c>
      <c r="F263" s="23" t="s">
        <v>1131</v>
      </c>
      <c r="G263" s="23" t="s">
        <v>1184</v>
      </c>
      <c r="J263" s="23" t="s">
        <v>29</v>
      </c>
      <c r="N263" s="73"/>
      <c r="O263" s="75"/>
      <c r="P263" s="76"/>
      <c r="Q263" s="77">
        <v>4</v>
      </c>
      <c r="R263" s="66">
        <v>2</v>
      </c>
      <c r="T263" s="68">
        <v>4</v>
      </c>
      <c r="U263" s="75"/>
      <c r="V263" s="78">
        <v>1</v>
      </c>
      <c r="W263" s="79">
        <v>1</v>
      </c>
      <c r="X263" s="80"/>
      <c r="AA263" s="81"/>
      <c r="AD263" s="23" t="s">
        <v>1185</v>
      </c>
      <c r="AE263" s="23"/>
      <c r="AF263" s="23" t="s">
        <v>1288</v>
      </c>
      <c r="AP263" s="73"/>
      <c r="AQ263" s="75"/>
      <c r="AR263" s="76"/>
      <c r="AS263" s="77"/>
      <c r="AV263" s="75"/>
      <c r="AW263" s="83"/>
      <c r="AX263" s="84"/>
      <c r="AY263" s="80"/>
      <c r="BB263" s="81"/>
    </row>
    <row r="264" spans="1:54" ht="15" customHeight="1">
      <c r="A264" s="23" t="s">
        <v>1199</v>
      </c>
      <c r="B264" s="23" t="s">
        <v>1231</v>
      </c>
      <c r="C264" s="23" t="s">
        <v>1198</v>
      </c>
      <c r="D264" s="23">
        <v>29</v>
      </c>
      <c r="E264" s="23">
        <v>3</v>
      </c>
      <c r="F264" s="23" t="s">
        <v>1131</v>
      </c>
      <c r="G264" s="23" t="s">
        <v>1186</v>
      </c>
      <c r="J264" s="23" t="s">
        <v>29</v>
      </c>
      <c r="N264" s="73"/>
      <c r="O264" s="75"/>
      <c r="P264" s="76"/>
      <c r="Q264" s="77">
        <v>3</v>
      </c>
      <c r="R264" s="66">
        <v>3</v>
      </c>
      <c r="T264" s="68">
        <v>3</v>
      </c>
      <c r="U264" s="75"/>
      <c r="V264" s="78">
        <v>2</v>
      </c>
      <c r="W264" s="79">
        <v>0</v>
      </c>
      <c r="X264" s="80"/>
      <c r="AA264" s="81"/>
      <c r="AD264" s="23" t="s">
        <v>467</v>
      </c>
      <c r="AE264" s="23"/>
      <c r="AF264" s="23" t="s">
        <v>1289</v>
      </c>
      <c r="AP264" s="73"/>
      <c r="AQ264" s="75"/>
      <c r="AR264" s="76"/>
      <c r="AS264" s="77"/>
      <c r="AV264" s="75"/>
      <c r="AW264" s="83"/>
      <c r="AX264" s="84"/>
      <c r="AY264" s="80"/>
      <c r="BB264" s="81"/>
    </row>
    <row r="265" spans="1:54" ht="15" customHeight="1">
      <c r="A265" s="23" t="s">
        <v>1199</v>
      </c>
      <c r="B265" s="30" t="s">
        <v>1232</v>
      </c>
      <c r="C265" s="23" t="s">
        <v>1198</v>
      </c>
      <c r="D265" s="23">
        <v>30</v>
      </c>
      <c r="E265" s="23">
        <v>3</v>
      </c>
      <c r="F265" s="23" t="s">
        <v>1131</v>
      </c>
      <c r="G265" s="23" t="s">
        <v>1187</v>
      </c>
      <c r="J265" s="23" t="s">
        <v>29</v>
      </c>
      <c r="N265" s="73"/>
      <c r="O265" s="75"/>
      <c r="P265" s="76"/>
      <c r="Q265" s="77">
        <v>2</v>
      </c>
      <c r="R265" s="66">
        <v>4</v>
      </c>
      <c r="T265" s="68">
        <v>2</v>
      </c>
      <c r="U265" s="75"/>
      <c r="V265" s="78">
        <v>1</v>
      </c>
      <c r="W265" s="79">
        <v>0</v>
      </c>
      <c r="X265" s="80"/>
      <c r="AA265" s="81"/>
      <c r="AD265" s="23" t="s">
        <v>1188</v>
      </c>
      <c r="AE265" s="23"/>
      <c r="AF265" s="23" t="s">
        <v>1290</v>
      </c>
      <c r="AP265" s="73"/>
      <c r="AQ265" s="75"/>
      <c r="AR265" s="76"/>
      <c r="AS265" s="77"/>
      <c r="AV265" s="75"/>
      <c r="AW265" s="83"/>
      <c r="AX265" s="84"/>
      <c r="AY265" s="80"/>
      <c r="BB265" s="81"/>
    </row>
    <row r="266" spans="1:54" ht="15" customHeight="1">
      <c r="A266" s="23" t="s">
        <v>1199</v>
      </c>
      <c r="B266" s="23" t="s">
        <v>1233</v>
      </c>
      <c r="C266" s="23" t="s">
        <v>1198</v>
      </c>
      <c r="D266" s="23">
        <v>31</v>
      </c>
      <c r="E266" s="23">
        <v>3</v>
      </c>
      <c r="F266" s="23" t="s">
        <v>1131</v>
      </c>
      <c r="G266" s="23" t="s">
        <v>1189</v>
      </c>
      <c r="J266" s="23" t="s">
        <v>28</v>
      </c>
      <c r="N266" s="73"/>
      <c r="O266" s="75"/>
      <c r="P266" s="76"/>
      <c r="Q266" s="77"/>
      <c r="U266" s="75"/>
      <c r="V266" s="78"/>
      <c r="W266" s="79"/>
      <c r="X266" s="80"/>
      <c r="AA266" s="81"/>
      <c r="AD266" s="23" t="s">
        <v>479</v>
      </c>
      <c r="AE266" s="23"/>
      <c r="AF266" s="23" t="s">
        <v>1291</v>
      </c>
      <c r="AP266" s="73"/>
      <c r="AQ266" s="75"/>
      <c r="AR266" s="76"/>
      <c r="AS266" s="77"/>
      <c r="AV266" s="75"/>
      <c r="AW266" s="83"/>
      <c r="AX266" s="84"/>
      <c r="AY266" s="80"/>
      <c r="BB266" s="81"/>
    </row>
    <row r="267" spans="1:54" ht="15" customHeight="1">
      <c r="A267" s="23" t="s">
        <v>1199</v>
      </c>
      <c r="B267" s="23" t="s">
        <v>1234</v>
      </c>
      <c r="C267" s="23" t="s">
        <v>1198</v>
      </c>
      <c r="D267" s="23">
        <v>32</v>
      </c>
      <c r="E267" s="23">
        <v>3</v>
      </c>
      <c r="F267" s="23" t="s">
        <v>1131</v>
      </c>
      <c r="G267" s="23" t="s">
        <v>1190</v>
      </c>
      <c r="J267" s="23" t="s">
        <v>28</v>
      </c>
      <c r="N267" s="73"/>
      <c r="O267" s="75"/>
      <c r="P267" s="76"/>
      <c r="Q267" s="77"/>
      <c r="U267" s="75"/>
      <c r="V267" s="78"/>
      <c r="W267" s="79"/>
      <c r="X267" s="80"/>
      <c r="AA267" s="81"/>
      <c r="AD267" s="23" t="s">
        <v>1191</v>
      </c>
      <c r="AE267" s="23"/>
      <c r="AF267" s="23" t="s">
        <v>1292</v>
      </c>
      <c r="AP267" s="73"/>
      <c r="AQ267" s="75"/>
      <c r="AR267" s="76"/>
      <c r="AS267" s="77"/>
      <c r="AV267" s="75"/>
      <c r="AW267" s="83"/>
      <c r="AX267" s="84"/>
      <c r="AY267" s="80"/>
      <c r="BB267" s="81"/>
    </row>
    <row r="268" spans="1:54" ht="15" customHeight="1">
      <c r="A268" s="23" t="s">
        <v>1199</v>
      </c>
      <c r="B268" s="23" t="s">
        <v>1235</v>
      </c>
      <c r="C268" s="23" t="s">
        <v>1198</v>
      </c>
      <c r="D268" s="23">
        <v>33</v>
      </c>
      <c r="E268" s="23">
        <v>4</v>
      </c>
      <c r="F268" s="23" t="s">
        <v>1131</v>
      </c>
      <c r="G268" s="23" t="s">
        <v>1192</v>
      </c>
      <c r="J268" s="23" t="s">
        <v>28</v>
      </c>
      <c r="N268" s="73"/>
      <c r="O268" s="75"/>
      <c r="P268" s="76"/>
      <c r="Q268" s="77"/>
      <c r="U268" s="75"/>
      <c r="V268" s="78"/>
      <c r="W268" s="79"/>
      <c r="X268" s="80"/>
      <c r="AA268" s="81"/>
      <c r="AD268" s="23" t="s">
        <v>481</v>
      </c>
      <c r="AE268" s="23"/>
      <c r="AF268" s="23" t="s">
        <v>1293</v>
      </c>
      <c r="AP268" s="73"/>
      <c r="AQ268" s="75"/>
      <c r="AR268" s="76"/>
      <c r="AS268" s="77"/>
      <c r="AV268" s="75"/>
      <c r="AW268" s="83"/>
      <c r="AX268" s="84"/>
      <c r="AY268" s="80"/>
      <c r="BB268" s="81"/>
    </row>
    <row r="269" spans="1:54" ht="15" customHeight="1">
      <c r="A269" s="23" t="s">
        <v>1199</v>
      </c>
      <c r="B269" s="23" t="s">
        <v>1236</v>
      </c>
      <c r="C269" s="23" t="s">
        <v>1198</v>
      </c>
      <c r="D269" s="23">
        <v>34</v>
      </c>
      <c r="E269" s="23">
        <v>2</v>
      </c>
      <c r="F269" s="23" t="s">
        <v>1131</v>
      </c>
      <c r="G269" s="23" t="s">
        <v>1193</v>
      </c>
      <c r="J269" s="23" t="s">
        <v>28</v>
      </c>
      <c r="N269" s="73"/>
      <c r="O269" s="75"/>
      <c r="P269" s="76"/>
      <c r="Q269" s="77"/>
      <c r="U269" s="75"/>
      <c r="V269" s="78"/>
      <c r="W269" s="79"/>
      <c r="X269" s="80"/>
      <c r="AA269" s="81"/>
      <c r="AD269" s="23" t="s">
        <v>479</v>
      </c>
      <c r="AE269" s="23"/>
      <c r="AF269" s="23" t="s">
        <v>1294</v>
      </c>
      <c r="AP269" s="73"/>
      <c r="AQ269" s="75"/>
      <c r="AR269" s="76"/>
      <c r="AS269" s="77"/>
      <c r="AV269" s="75"/>
      <c r="AW269" s="83"/>
      <c r="AX269" s="84"/>
      <c r="AY269" s="80"/>
      <c r="BB269" s="81"/>
    </row>
    <row r="270" spans="1:54" ht="15" customHeight="1">
      <c r="A270" s="23" t="s">
        <v>1199</v>
      </c>
      <c r="B270" s="23" t="s">
        <v>1237</v>
      </c>
      <c r="C270" s="23" t="s">
        <v>1198</v>
      </c>
      <c r="D270" s="23">
        <v>35</v>
      </c>
      <c r="E270" s="23">
        <v>2</v>
      </c>
      <c r="F270" s="23" t="s">
        <v>1131</v>
      </c>
      <c r="G270" s="23" t="s">
        <v>1194</v>
      </c>
      <c r="J270" s="23" t="s">
        <v>28</v>
      </c>
      <c r="N270" s="73"/>
      <c r="O270" s="75"/>
      <c r="P270" s="76"/>
      <c r="Q270" s="77"/>
      <c r="U270" s="75"/>
      <c r="V270" s="78"/>
      <c r="W270" s="79"/>
      <c r="X270" s="80"/>
      <c r="AA270" s="81"/>
      <c r="AD270" s="23" t="s">
        <v>486</v>
      </c>
      <c r="AE270" s="23"/>
      <c r="AF270" s="23" t="s">
        <v>1295</v>
      </c>
      <c r="AP270" s="73"/>
      <c r="AQ270" s="75"/>
      <c r="AR270" s="76"/>
      <c r="AS270" s="77"/>
      <c r="AV270" s="75"/>
      <c r="AW270" s="83"/>
      <c r="AX270" s="84"/>
      <c r="AY270" s="80"/>
      <c r="BB270" s="81"/>
    </row>
    <row r="271" spans="1:54" ht="15" customHeight="1">
      <c r="A271" s="23" t="s">
        <v>1199</v>
      </c>
      <c r="B271" s="23" t="s">
        <v>1238</v>
      </c>
      <c r="C271" s="23" t="s">
        <v>1198</v>
      </c>
      <c r="D271" s="23">
        <v>36</v>
      </c>
      <c r="E271" s="23">
        <v>2</v>
      </c>
      <c r="F271" s="23" t="s">
        <v>1131</v>
      </c>
      <c r="G271" s="23" t="s">
        <v>1195</v>
      </c>
      <c r="J271" s="23" t="s">
        <v>28</v>
      </c>
      <c r="N271" s="73"/>
      <c r="O271" s="75"/>
      <c r="P271" s="76"/>
      <c r="Q271" s="77"/>
      <c r="U271" s="75"/>
      <c r="V271" s="78"/>
      <c r="W271" s="79"/>
      <c r="X271" s="80"/>
      <c r="AA271" s="81"/>
      <c r="AD271" s="23" t="s">
        <v>1196</v>
      </c>
      <c r="AE271" s="23"/>
      <c r="AF271" s="23" t="s">
        <v>1296</v>
      </c>
      <c r="AP271" s="73"/>
      <c r="AQ271" s="75"/>
      <c r="AR271" s="76"/>
      <c r="AS271" s="77"/>
      <c r="AV271" s="75"/>
      <c r="AW271" s="83"/>
      <c r="AX271" s="84"/>
      <c r="AY271" s="80"/>
      <c r="BB271" s="81"/>
    </row>
    <row r="272" spans="1:54" ht="15" customHeight="1">
      <c r="A272" s="23" t="s">
        <v>1199</v>
      </c>
      <c r="B272" s="23" t="s">
        <v>1239</v>
      </c>
      <c r="C272" s="23" t="s">
        <v>1198</v>
      </c>
      <c r="D272" s="23">
        <v>37</v>
      </c>
      <c r="E272" s="23">
        <v>2</v>
      </c>
      <c r="F272" s="23" t="s">
        <v>1131</v>
      </c>
      <c r="G272" s="23" t="s">
        <v>1197</v>
      </c>
      <c r="J272" s="23" t="s">
        <v>28</v>
      </c>
      <c r="N272" s="73"/>
      <c r="O272" s="75"/>
      <c r="P272" s="76"/>
      <c r="Q272" s="77"/>
      <c r="U272" s="75"/>
      <c r="V272" s="78"/>
      <c r="W272" s="79"/>
      <c r="X272" s="80"/>
      <c r="AA272" s="81"/>
      <c r="AD272" s="23" t="s">
        <v>479</v>
      </c>
      <c r="AE272" s="23"/>
      <c r="AF272" s="23" t="s">
        <v>1297</v>
      </c>
      <c r="AP272" s="73"/>
      <c r="AQ272" s="75"/>
      <c r="AR272" s="76"/>
      <c r="AS272" s="77"/>
      <c r="AV272" s="75"/>
      <c r="AW272" s="83"/>
      <c r="AX272" s="84"/>
      <c r="AY272" s="80"/>
      <c r="BB272" s="81"/>
    </row>
    <row r="273" spans="1:59" ht="15" customHeight="1">
      <c r="A273" s="23" t="s">
        <v>1199</v>
      </c>
      <c r="B273" s="23" t="s">
        <v>1240</v>
      </c>
      <c r="C273" s="23" t="s">
        <v>1198</v>
      </c>
      <c r="D273" s="23">
        <v>38</v>
      </c>
      <c r="E273" s="23">
        <v>1</v>
      </c>
      <c r="F273" s="23" t="s">
        <v>1131</v>
      </c>
      <c r="G273" s="23" t="s">
        <v>1098</v>
      </c>
      <c r="J273" s="23" t="s">
        <v>1102</v>
      </c>
      <c r="N273" s="73"/>
      <c r="O273" s="75"/>
      <c r="P273" s="76"/>
      <c r="Q273" s="77"/>
      <c r="U273" s="75"/>
      <c r="V273" s="78"/>
      <c r="W273" s="79"/>
      <c r="X273" s="80"/>
      <c r="AA273" s="81"/>
      <c r="AE273" s="23"/>
      <c r="AI273" s="23" t="s">
        <v>1103</v>
      </c>
      <c r="AL273" s="23" t="s">
        <v>1102</v>
      </c>
      <c r="AP273" s="73"/>
      <c r="AQ273" s="75"/>
      <c r="AR273" s="76"/>
      <c r="AS273" s="77"/>
      <c r="AV273" s="75"/>
      <c r="AW273" s="83"/>
      <c r="AX273" s="84"/>
      <c r="AY273" s="80"/>
      <c r="BB273" s="81"/>
    </row>
    <row r="274" spans="1:59" ht="15" customHeight="1">
      <c r="A274" s="23" t="s">
        <v>1199</v>
      </c>
      <c r="B274" s="23" t="s">
        <v>1245</v>
      </c>
      <c r="C274" s="23" t="s">
        <v>1198</v>
      </c>
      <c r="D274" s="23">
        <v>39</v>
      </c>
      <c r="E274" s="23">
        <v>1</v>
      </c>
      <c r="F274" s="23" t="s">
        <v>1131</v>
      </c>
      <c r="G274" s="23" t="s">
        <v>1099</v>
      </c>
      <c r="J274" s="23" t="s">
        <v>1102</v>
      </c>
      <c r="N274" s="73"/>
      <c r="O274" s="75"/>
      <c r="P274" s="76"/>
      <c r="Q274" s="77"/>
      <c r="U274" s="75"/>
      <c r="V274" s="78"/>
      <c r="W274" s="79"/>
      <c r="X274" s="80"/>
      <c r="AA274" s="81"/>
      <c r="AE274" s="23"/>
      <c r="AI274" s="23" t="s">
        <v>1104</v>
      </c>
      <c r="AL274" s="23" t="s">
        <v>1102</v>
      </c>
      <c r="AP274" s="73"/>
      <c r="AQ274" s="75"/>
      <c r="AR274" s="76"/>
      <c r="AS274" s="77"/>
      <c r="AV274" s="75"/>
      <c r="AW274" s="83"/>
      <c r="AX274" s="84"/>
      <c r="AY274" s="80"/>
      <c r="BB274" s="81"/>
    </row>
    <row r="275" spans="1:59" ht="15" customHeight="1">
      <c r="A275" s="23" t="s">
        <v>1199</v>
      </c>
      <c r="B275" s="23" t="s">
        <v>1246</v>
      </c>
      <c r="C275" s="23" t="s">
        <v>1198</v>
      </c>
      <c r="D275" s="23">
        <v>40</v>
      </c>
      <c r="E275" s="23">
        <v>1</v>
      </c>
      <c r="F275" s="23" t="s">
        <v>1131</v>
      </c>
      <c r="G275" s="23" t="s">
        <v>1100</v>
      </c>
      <c r="J275" s="23" t="s">
        <v>1102</v>
      </c>
      <c r="N275" s="73"/>
      <c r="O275" s="75"/>
      <c r="P275" s="76"/>
      <c r="Q275" s="77"/>
      <c r="U275" s="75"/>
      <c r="V275" s="78"/>
      <c r="W275" s="79"/>
      <c r="X275" s="80"/>
      <c r="AA275" s="81"/>
      <c r="AE275" s="23"/>
      <c r="AI275" s="23" t="s">
        <v>1105</v>
      </c>
      <c r="AL275" s="23" t="s">
        <v>1102</v>
      </c>
      <c r="AP275" s="73"/>
      <c r="AQ275" s="75"/>
      <c r="AR275" s="76"/>
      <c r="AS275" s="77"/>
      <c r="AV275" s="75"/>
      <c r="AW275" s="83"/>
      <c r="AX275" s="84"/>
      <c r="AY275" s="80"/>
      <c r="BB275" s="81"/>
    </row>
    <row r="276" spans="1:59" ht="15" customHeight="1">
      <c r="A276" s="23" t="s">
        <v>1199</v>
      </c>
      <c r="B276" s="23" t="s">
        <v>1247</v>
      </c>
      <c r="C276" s="23" t="s">
        <v>1198</v>
      </c>
      <c r="D276" s="23">
        <v>41</v>
      </c>
      <c r="E276" s="23">
        <v>1</v>
      </c>
      <c r="F276" s="23" t="s">
        <v>1131</v>
      </c>
      <c r="G276" s="23" t="s">
        <v>1101</v>
      </c>
      <c r="J276" s="23" t="s">
        <v>1102</v>
      </c>
      <c r="N276" s="73"/>
      <c r="O276" s="75"/>
      <c r="P276" s="76"/>
      <c r="Q276" s="77"/>
      <c r="U276" s="75"/>
      <c r="V276" s="78"/>
      <c r="W276" s="79"/>
      <c r="X276" s="80"/>
      <c r="AA276" s="81"/>
      <c r="AE276" s="23"/>
      <c r="AI276" s="23" t="s">
        <v>1106</v>
      </c>
      <c r="AL276" s="23" t="s">
        <v>1102</v>
      </c>
      <c r="AP276" s="73"/>
      <c r="AQ276" s="75"/>
      <c r="AR276" s="76"/>
      <c r="AS276" s="77"/>
      <c r="AV276" s="75"/>
      <c r="AW276" s="83"/>
      <c r="AX276" s="84"/>
      <c r="AY276" s="80"/>
      <c r="BB276" s="81"/>
    </row>
    <row r="277" spans="1:59" ht="15" customHeight="1">
      <c r="A277" s="23" t="s">
        <v>1199</v>
      </c>
      <c r="B277" s="23" t="s">
        <v>1248</v>
      </c>
      <c r="C277" s="23" t="s">
        <v>1198</v>
      </c>
      <c r="D277" s="23">
        <v>42</v>
      </c>
      <c r="E277" s="23">
        <v>1</v>
      </c>
      <c r="F277" s="23" t="s">
        <v>1131</v>
      </c>
      <c r="G277" s="23" t="s">
        <v>1241</v>
      </c>
      <c r="J277" s="23" t="s">
        <v>1102</v>
      </c>
      <c r="N277" s="73"/>
      <c r="O277" s="75"/>
      <c r="P277" s="76"/>
      <c r="Q277" s="77"/>
      <c r="U277" s="75"/>
      <c r="V277" s="78"/>
      <c r="W277" s="79"/>
      <c r="X277" s="80"/>
      <c r="AA277" s="81"/>
      <c r="AE277" s="23"/>
      <c r="AI277" s="23" t="s">
        <v>1243</v>
      </c>
      <c r="AL277" s="23" t="s">
        <v>1102</v>
      </c>
      <c r="AP277" s="73"/>
      <c r="AQ277" s="75"/>
      <c r="AR277" s="76"/>
      <c r="AS277" s="77"/>
      <c r="AV277" s="75"/>
      <c r="AW277" s="83"/>
      <c r="AX277" s="84"/>
      <c r="AY277" s="80"/>
      <c r="BB277" s="81"/>
    </row>
    <row r="278" spans="1:59" ht="15" customHeight="1">
      <c r="A278" s="23" t="s">
        <v>1199</v>
      </c>
      <c r="B278" s="23" t="s">
        <v>1249</v>
      </c>
      <c r="C278" s="23" t="s">
        <v>1198</v>
      </c>
      <c r="D278" s="23">
        <v>43</v>
      </c>
      <c r="E278" s="23">
        <v>1</v>
      </c>
      <c r="F278" s="23" t="s">
        <v>1131</v>
      </c>
      <c r="G278" s="23" t="s">
        <v>1242</v>
      </c>
      <c r="J278" s="23" t="s">
        <v>1102</v>
      </c>
      <c r="N278" s="73"/>
      <c r="O278" s="75"/>
      <c r="P278" s="76"/>
      <c r="Q278" s="77"/>
      <c r="U278" s="75"/>
      <c r="V278" s="78"/>
      <c r="W278" s="79"/>
      <c r="X278" s="80"/>
      <c r="AA278" s="81"/>
      <c r="AE278" s="23"/>
      <c r="AI278" s="23" t="s">
        <v>1244</v>
      </c>
      <c r="AL278" s="23" t="s">
        <v>1102</v>
      </c>
      <c r="AP278" s="73"/>
      <c r="AQ278" s="75"/>
      <c r="AR278" s="76"/>
      <c r="AS278" s="77"/>
      <c r="AV278" s="75"/>
      <c r="AW278" s="83"/>
      <c r="AX278" s="84"/>
      <c r="AY278" s="80"/>
      <c r="BB278" s="81"/>
    </row>
    <row r="279" spans="1:59" ht="15" customHeight="1">
      <c r="A279" s="40" t="s">
        <v>1303</v>
      </c>
      <c r="B279" s="40" t="s">
        <v>1306</v>
      </c>
      <c r="C279" s="40" t="s">
        <v>1307</v>
      </c>
      <c r="D279" s="40">
        <v>1</v>
      </c>
      <c r="E279" s="40">
        <v>1</v>
      </c>
      <c r="F279" s="40"/>
      <c r="G279" s="40" t="s">
        <v>1308</v>
      </c>
      <c r="H279" s="23" t="s">
        <v>1309</v>
      </c>
      <c r="I279" s="23" t="s">
        <v>223</v>
      </c>
      <c r="J279" s="23" t="s">
        <v>203</v>
      </c>
      <c r="K279" s="23" t="s">
        <v>198</v>
      </c>
      <c r="N279" s="73"/>
      <c r="O279" s="75">
        <v>4</v>
      </c>
      <c r="P279" s="76">
        <v>2</v>
      </c>
      <c r="Q279" s="77">
        <v>4</v>
      </c>
      <c r="R279" s="66">
        <v>2</v>
      </c>
      <c r="T279" s="68">
        <v>9</v>
      </c>
      <c r="U279" s="75">
        <v>6</v>
      </c>
      <c r="V279" s="78"/>
      <c r="W279" s="79"/>
      <c r="X279" s="80"/>
      <c r="AA279" s="81"/>
      <c r="AD279" s="23" t="s">
        <v>1310</v>
      </c>
      <c r="AE279" s="23"/>
      <c r="AF279" s="23" t="s">
        <v>1311</v>
      </c>
      <c r="AI279" s="23" t="s">
        <v>1308</v>
      </c>
      <c r="AJ279" s="23" t="s">
        <v>1309</v>
      </c>
      <c r="AK279" s="23" t="s">
        <v>223</v>
      </c>
      <c r="AL279" s="23" t="s">
        <v>1250</v>
      </c>
      <c r="AM279" s="23" t="s">
        <v>1312</v>
      </c>
      <c r="AP279" s="73"/>
      <c r="AQ279" s="75"/>
      <c r="AR279" s="76"/>
      <c r="AS279" s="77"/>
      <c r="AV279" s="75"/>
      <c r="AW279" s="83"/>
      <c r="AX279" s="84"/>
      <c r="AY279" s="80"/>
      <c r="BB279" s="81"/>
      <c r="BE279" s="23" t="s">
        <v>1310</v>
      </c>
      <c r="BG279" s="23" t="s">
        <v>1313</v>
      </c>
    </row>
    <row r="280" spans="1:59" ht="15" customHeight="1">
      <c r="A280" s="23" t="s">
        <v>1303</v>
      </c>
      <c r="B280" s="23" t="s">
        <v>1314</v>
      </c>
      <c r="C280" s="23" t="s">
        <v>1307</v>
      </c>
      <c r="D280" s="23">
        <v>2</v>
      </c>
      <c r="E280" s="23">
        <v>1</v>
      </c>
      <c r="G280" s="23" t="s">
        <v>1315</v>
      </c>
      <c r="H280" s="23" t="s">
        <v>1316</v>
      </c>
      <c r="I280" s="23" t="s">
        <v>223</v>
      </c>
      <c r="J280" s="23" t="s">
        <v>203</v>
      </c>
      <c r="K280" s="23" t="s">
        <v>199</v>
      </c>
      <c r="N280" s="73"/>
      <c r="O280" s="75">
        <v>3</v>
      </c>
      <c r="P280" s="76">
        <v>4</v>
      </c>
      <c r="Q280" s="77">
        <v>2</v>
      </c>
      <c r="R280" s="66">
        <v>3</v>
      </c>
      <c r="T280" s="68">
        <v>6</v>
      </c>
      <c r="U280" s="75">
        <v>9</v>
      </c>
      <c r="V280" s="78"/>
      <c r="W280" s="79"/>
      <c r="X280" s="80"/>
      <c r="AA280" s="81"/>
      <c r="AD280" s="23" t="s">
        <v>1317</v>
      </c>
      <c r="AE280" s="23"/>
      <c r="AF280" s="23" t="s">
        <v>1318</v>
      </c>
      <c r="AI280" s="23" t="s">
        <v>1315</v>
      </c>
      <c r="AJ280" s="23" t="s">
        <v>1316</v>
      </c>
      <c r="AK280" s="23" t="s">
        <v>223</v>
      </c>
      <c r="AL280" s="23" t="s">
        <v>1250</v>
      </c>
      <c r="AM280" s="23" t="s">
        <v>1319</v>
      </c>
      <c r="AP280" s="73"/>
      <c r="AQ280" s="75"/>
      <c r="AR280" s="76"/>
      <c r="AS280" s="77"/>
      <c r="AV280" s="75"/>
      <c r="AW280" s="83"/>
      <c r="AX280" s="84"/>
      <c r="AY280" s="80"/>
      <c r="BB280" s="81"/>
      <c r="BE280" s="23" t="s">
        <v>1317</v>
      </c>
      <c r="BG280" s="23" t="s">
        <v>1320</v>
      </c>
    </row>
    <row r="281" spans="1:59" ht="15" customHeight="1">
      <c r="A281" s="23" t="s">
        <v>1303</v>
      </c>
      <c r="B281" s="23" t="s">
        <v>1321</v>
      </c>
      <c r="C281" s="23" t="s">
        <v>1307</v>
      </c>
      <c r="D281" s="23">
        <v>3</v>
      </c>
      <c r="E281" s="23">
        <v>1</v>
      </c>
      <c r="G281" s="23" t="s">
        <v>1322</v>
      </c>
      <c r="H281" s="23" t="s">
        <v>1323</v>
      </c>
      <c r="I281" s="23" t="s">
        <v>223</v>
      </c>
      <c r="J281" s="23" t="s">
        <v>203</v>
      </c>
      <c r="K281" s="23" t="s">
        <v>201</v>
      </c>
      <c r="N281" s="73"/>
      <c r="O281" s="75">
        <v>3</v>
      </c>
      <c r="P281" s="76">
        <v>3</v>
      </c>
      <c r="Q281" s="77">
        <v>3</v>
      </c>
      <c r="R281" s="66">
        <v>3</v>
      </c>
      <c r="T281" s="68">
        <v>8</v>
      </c>
      <c r="U281" s="75">
        <v>7</v>
      </c>
      <c r="V281" s="78"/>
      <c r="W281" s="79"/>
      <c r="X281" s="80"/>
      <c r="AA281" s="81"/>
      <c r="AD281" s="23" t="s">
        <v>254</v>
      </c>
      <c r="AE281" s="23"/>
      <c r="AF281" s="23" t="s">
        <v>1324</v>
      </c>
      <c r="AI281" s="23" t="s">
        <v>1322</v>
      </c>
      <c r="AJ281" s="23" t="s">
        <v>1323</v>
      </c>
      <c r="AK281" s="23" t="s">
        <v>223</v>
      </c>
      <c r="AL281" s="23" t="s">
        <v>1250</v>
      </c>
      <c r="AM281" s="23" t="s">
        <v>1325</v>
      </c>
      <c r="AP281" s="73"/>
      <c r="AQ281" s="75"/>
      <c r="AR281" s="76"/>
      <c r="AS281" s="77"/>
      <c r="AV281" s="75"/>
      <c r="AW281" s="83"/>
      <c r="AX281" s="84"/>
      <c r="AY281" s="80"/>
      <c r="BB281" s="81"/>
      <c r="BE281" s="23" t="s">
        <v>254</v>
      </c>
      <c r="BG281" s="23" t="s">
        <v>1326</v>
      </c>
    </row>
    <row r="282" spans="1:59" ht="15" customHeight="1">
      <c r="A282" s="23" t="s">
        <v>1303</v>
      </c>
      <c r="B282" s="23" t="s">
        <v>1327</v>
      </c>
      <c r="C282" s="23" t="s">
        <v>1307</v>
      </c>
      <c r="D282" s="23">
        <v>4</v>
      </c>
      <c r="E282" s="23">
        <v>1</v>
      </c>
      <c r="G282" s="23" t="s">
        <v>1328</v>
      </c>
      <c r="H282" s="23" t="s">
        <v>1329</v>
      </c>
      <c r="I282" s="23" t="s">
        <v>223</v>
      </c>
      <c r="J282" s="23" t="s">
        <v>203</v>
      </c>
      <c r="K282" s="23" t="s">
        <v>200</v>
      </c>
      <c r="N282" s="73"/>
      <c r="O282" s="75">
        <v>4</v>
      </c>
      <c r="P282" s="76">
        <v>3</v>
      </c>
      <c r="Q282" s="77">
        <v>3</v>
      </c>
      <c r="R282" s="66">
        <v>2</v>
      </c>
      <c r="T282" s="68">
        <v>7</v>
      </c>
      <c r="U282" s="75">
        <v>8</v>
      </c>
      <c r="V282" s="78"/>
      <c r="W282" s="79"/>
      <c r="X282" s="80"/>
      <c r="AA282" s="81"/>
      <c r="AD282" s="23" t="s">
        <v>1330</v>
      </c>
      <c r="AE282" s="23"/>
      <c r="AF282" s="23" t="s">
        <v>1331</v>
      </c>
      <c r="AI282" s="23" t="s">
        <v>1328</v>
      </c>
      <c r="AJ282" s="23" t="s">
        <v>1329</v>
      </c>
      <c r="AK282" s="23" t="s">
        <v>223</v>
      </c>
      <c r="AL282" s="23" t="s">
        <v>1250</v>
      </c>
      <c r="AM282" s="23" t="s">
        <v>1251</v>
      </c>
      <c r="AP282" s="73"/>
      <c r="AQ282" s="75"/>
      <c r="AR282" s="76"/>
      <c r="AS282" s="77"/>
      <c r="AV282" s="75"/>
      <c r="AW282" s="83"/>
      <c r="AX282" s="84"/>
      <c r="AY282" s="80"/>
      <c r="BB282" s="81"/>
      <c r="BE282" s="23" t="s">
        <v>1330</v>
      </c>
      <c r="BG282" s="23" t="s">
        <v>1332</v>
      </c>
    </row>
    <row r="283" spans="1:59" ht="15" customHeight="1">
      <c r="A283" s="23" t="s">
        <v>1303</v>
      </c>
      <c r="B283" s="23" t="s">
        <v>1333</v>
      </c>
      <c r="C283" s="23" t="s">
        <v>1307</v>
      </c>
      <c r="D283" s="23">
        <v>5</v>
      </c>
      <c r="E283" s="23">
        <v>1</v>
      </c>
      <c r="G283" s="23" t="s">
        <v>1334</v>
      </c>
      <c r="H283" s="23" t="s">
        <v>1335</v>
      </c>
      <c r="I283" s="23" t="s">
        <v>223</v>
      </c>
      <c r="J283" s="23" t="s">
        <v>203</v>
      </c>
      <c r="K283" s="23" t="s">
        <v>202</v>
      </c>
      <c r="N283" s="73"/>
      <c r="O283" s="75">
        <v>4</v>
      </c>
      <c r="P283" s="76">
        <v>2</v>
      </c>
      <c r="Q283" s="77">
        <v>2</v>
      </c>
      <c r="R283" s="66">
        <v>3</v>
      </c>
      <c r="T283" s="68">
        <v>6</v>
      </c>
      <c r="U283" s="75">
        <v>5</v>
      </c>
      <c r="V283" s="78"/>
      <c r="W283" s="79"/>
      <c r="X283" s="80"/>
      <c r="AA283" s="81"/>
      <c r="AD283" s="23" t="s">
        <v>254</v>
      </c>
      <c r="AE283" s="23"/>
      <c r="AF283" s="23" t="s">
        <v>1336</v>
      </c>
      <c r="AI283" s="23" t="s">
        <v>1334</v>
      </c>
      <c r="AJ283" s="23" t="s">
        <v>1335</v>
      </c>
      <c r="AK283" s="23" t="s">
        <v>223</v>
      </c>
      <c r="AL283" s="23" t="s">
        <v>1250</v>
      </c>
      <c r="AM283" s="23" t="s">
        <v>1337</v>
      </c>
      <c r="AP283" s="73"/>
      <c r="AQ283" s="75"/>
      <c r="AR283" s="76"/>
      <c r="AS283" s="77"/>
      <c r="AV283" s="75"/>
      <c r="AW283" s="83"/>
      <c r="AX283" s="84"/>
      <c r="AY283" s="80"/>
      <c r="BB283" s="81"/>
      <c r="BE283" s="23" t="s">
        <v>254</v>
      </c>
      <c r="BG283" s="23" t="s">
        <v>1338</v>
      </c>
    </row>
    <row r="284" spans="1:59" ht="15" customHeight="1">
      <c r="A284" s="23" t="s">
        <v>1303</v>
      </c>
      <c r="B284" s="23" t="s">
        <v>1339</v>
      </c>
      <c r="C284" s="23" t="s">
        <v>1307</v>
      </c>
      <c r="D284" s="23">
        <v>6</v>
      </c>
      <c r="E284" s="23">
        <v>1</v>
      </c>
      <c r="G284" s="23" t="s">
        <v>1340</v>
      </c>
      <c r="H284" s="23" t="s">
        <v>1341</v>
      </c>
      <c r="I284" s="23" t="s">
        <v>223</v>
      </c>
      <c r="J284" s="23" t="s">
        <v>257</v>
      </c>
      <c r="K284" s="23" t="s">
        <v>26</v>
      </c>
      <c r="N284" s="73">
        <v>1</v>
      </c>
      <c r="O284" s="75"/>
      <c r="P284" s="76"/>
      <c r="Q284" s="77">
        <v>2</v>
      </c>
      <c r="S284" s="113">
        <v>1</v>
      </c>
      <c r="U284" s="75"/>
      <c r="V284" s="78"/>
      <c r="W284" s="79"/>
      <c r="X284" s="80"/>
      <c r="AA284" s="81"/>
      <c r="AB284" s="23" t="s">
        <v>1342</v>
      </c>
      <c r="AC284" s="23" t="s">
        <v>275</v>
      </c>
      <c r="AD284" s="23" t="s">
        <v>375</v>
      </c>
      <c r="AE284" s="23"/>
      <c r="AF284" s="23" t="s">
        <v>1343</v>
      </c>
      <c r="AP284" s="73"/>
      <c r="AQ284" s="75"/>
      <c r="AR284" s="76"/>
      <c r="AS284" s="77"/>
      <c r="AV284" s="75"/>
      <c r="AW284" s="83"/>
      <c r="AX284" s="84"/>
      <c r="AY284" s="80"/>
      <c r="BB284" s="81"/>
    </row>
    <row r="285" spans="1:59" ht="15" customHeight="1">
      <c r="A285" s="23" t="s">
        <v>1303</v>
      </c>
      <c r="B285" s="23" t="s">
        <v>1344</v>
      </c>
      <c r="C285" s="23" t="s">
        <v>1307</v>
      </c>
      <c r="D285" s="23">
        <v>7</v>
      </c>
      <c r="E285" s="23">
        <v>1</v>
      </c>
      <c r="G285" s="23" t="s">
        <v>1345</v>
      </c>
      <c r="J285" s="23" t="s">
        <v>28</v>
      </c>
      <c r="K285" s="23" t="s">
        <v>26</v>
      </c>
      <c r="M285" s="23" t="s">
        <v>648</v>
      </c>
      <c r="N285" s="73"/>
      <c r="O285" s="75"/>
      <c r="P285" s="76"/>
      <c r="Q285" s="77"/>
      <c r="U285" s="75"/>
      <c r="V285" s="78"/>
      <c r="W285" s="79"/>
      <c r="X285" s="80"/>
      <c r="AA285" s="81"/>
      <c r="AD285" s="23" t="s">
        <v>262</v>
      </c>
      <c r="AE285" s="23"/>
      <c r="AF285" s="23" t="s">
        <v>1346</v>
      </c>
      <c r="AP285" s="73"/>
      <c r="AQ285" s="75"/>
      <c r="AR285" s="76"/>
      <c r="AS285" s="77"/>
      <c r="AV285" s="75"/>
      <c r="AW285" s="83"/>
      <c r="AX285" s="84"/>
      <c r="AY285" s="80"/>
      <c r="BB285" s="81"/>
    </row>
    <row r="286" spans="1:59" ht="15" customHeight="1">
      <c r="A286" s="23" t="s">
        <v>1303</v>
      </c>
      <c r="B286" s="23" t="s">
        <v>1347</v>
      </c>
      <c r="C286" s="23" t="s">
        <v>1307</v>
      </c>
      <c r="D286" s="23">
        <v>8</v>
      </c>
      <c r="E286" s="23">
        <v>1</v>
      </c>
      <c r="G286" s="23" t="s">
        <v>1348</v>
      </c>
      <c r="J286" s="23" t="s">
        <v>27</v>
      </c>
      <c r="K286" s="23" t="s">
        <v>26</v>
      </c>
      <c r="N286" s="73">
        <v>1</v>
      </c>
      <c r="O286" s="75"/>
      <c r="P286" s="76">
        <v>2</v>
      </c>
      <c r="Q286" s="77"/>
      <c r="S286" s="113">
        <v>1</v>
      </c>
      <c r="U286" s="75"/>
      <c r="V286" s="78"/>
      <c r="W286" s="79"/>
      <c r="X286" s="80"/>
      <c r="AA286" s="81"/>
      <c r="AB286" s="23" t="s">
        <v>1349</v>
      </c>
      <c r="AD286" s="23" t="s">
        <v>340</v>
      </c>
      <c r="AE286" s="23"/>
      <c r="AF286" s="23" t="s">
        <v>1350</v>
      </c>
      <c r="AP286" s="73"/>
      <c r="AQ286" s="75"/>
      <c r="AR286" s="76"/>
      <c r="AS286" s="77"/>
      <c r="AV286" s="75"/>
      <c r="AW286" s="83"/>
      <c r="AX286" s="84"/>
      <c r="AY286" s="80"/>
      <c r="BB286" s="81"/>
    </row>
    <row r="287" spans="1:59" ht="15" customHeight="1">
      <c r="A287" s="23" t="s">
        <v>1303</v>
      </c>
      <c r="B287" s="23" t="s">
        <v>1351</v>
      </c>
      <c r="C287" s="23" t="s">
        <v>1307</v>
      </c>
      <c r="D287" s="23">
        <v>9</v>
      </c>
      <c r="E287" s="23">
        <v>1</v>
      </c>
      <c r="G287" s="23" t="s">
        <v>1352</v>
      </c>
      <c r="J287" s="23" t="s">
        <v>28</v>
      </c>
      <c r="K287" s="23" t="s">
        <v>26</v>
      </c>
      <c r="M287" s="23" t="s">
        <v>648</v>
      </c>
      <c r="N287" s="73"/>
      <c r="O287" s="75"/>
      <c r="P287" s="76"/>
      <c r="Q287" s="77"/>
      <c r="U287" s="75"/>
      <c r="V287" s="78"/>
      <c r="W287" s="79"/>
      <c r="X287" s="80"/>
      <c r="AA287" s="81"/>
      <c r="AD287" s="23" t="s">
        <v>439</v>
      </c>
      <c r="AE287" s="23"/>
      <c r="AF287" s="23" t="s">
        <v>1353</v>
      </c>
      <c r="AP287" s="73"/>
      <c r="AQ287" s="75"/>
      <c r="AR287" s="76"/>
      <c r="AS287" s="77"/>
      <c r="AV287" s="75"/>
      <c r="AW287" s="83"/>
      <c r="AX287" s="84"/>
      <c r="AY287" s="80"/>
      <c r="BB287" s="81"/>
    </row>
    <row r="288" spans="1:59" ht="15" customHeight="1">
      <c r="A288" s="23" t="s">
        <v>1303</v>
      </c>
      <c r="B288" s="23" t="s">
        <v>1354</v>
      </c>
      <c r="C288" s="23" t="s">
        <v>1307</v>
      </c>
      <c r="D288" s="23">
        <v>10</v>
      </c>
      <c r="E288" s="23">
        <v>1</v>
      </c>
      <c r="G288" s="23" t="s">
        <v>1355</v>
      </c>
      <c r="H288" s="23" t="s">
        <v>1356</v>
      </c>
      <c r="I288" s="23" t="s">
        <v>223</v>
      </c>
      <c r="J288" s="23" t="s">
        <v>257</v>
      </c>
      <c r="K288" s="23" t="s">
        <v>26</v>
      </c>
      <c r="N288" s="73"/>
      <c r="O288" s="75"/>
      <c r="P288" s="76"/>
      <c r="Q288" s="77"/>
      <c r="R288" s="66">
        <v>2</v>
      </c>
      <c r="S288" s="113">
        <v>1</v>
      </c>
      <c r="U288" s="75"/>
      <c r="V288" s="78"/>
      <c r="W288" s="79"/>
      <c r="X288" s="80"/>
      <c r="AA288" s="81"/>
      <c r="AB288" s="23" t="s">
        <v>1357</v>
      </c>
      <c r="AC288" s="23" t="s">
        <v>322</v>
      </c>
      <c r="AD288" s="23" t="s">
        <v>259</v>
      </c>
      <c r="AE288" s="23"/>
      <c r="AF288" s="23" t="s">
        <v>1358</v>
      </c>
      <c r="AP288" s="73"/>
      <c r="AQ288" s="75"/>
      <c r="AR288" s="76"/>
      <c r="AS288" s="77"/>
      <c r="AV288" s="75"/>
      <c r="AW288" s="83"/>
      <c r="AX288" s="84"/>
      <c r="AY288" s="80"/>
      <c r="BB288" s="81"/>
    </row>
    <row r="289" spans="1:54" ht="15" customHeight="1">
      <c r="A289" s="23" t="s">
        <v>1303</v>
      </c>
      <c r="B289" s="23" t="s">
        <v>1359</v>
      </c>
      <c r="C289" s="23" t="s">
        <v>1307</v>
      </c>
      <c r="D289" s="23">
        <v>11</v>
      </c>
      <c r="E289" s="23">
        <v>1</v>
      </c>
      <c r="G289" s="23" t="s">
        <v>1360</v>
      </c>
      <c r="J289" s="23" t="s">
        <v>28</v>
      </c>
      <c r="K289" s="23" t="s">
        <v>26</v>
      </c>
      <c r="M289" s="23" t="s">
        <v>648</v>
      </c>
      <c r="N289" s="73"/>
      <c r="O289" s="75"/>
      <c r="P289" s="76"/>
      <c r="Q289" s="77"/>
      <c r="U289" s="75"/>
      <c r="V289" s="78"/>
      <c r="W289" s="79"/>
      <c r="X289" s="80"/>
      <c r="AA289" s="81"/>
      <c r="AD289" s="23" t="s">
        <v>262</v>
      </c>
      <c r="AE289" s="23"/>
      <c r="AF289" s="23" t="s">
        <v>1361</v>
      </c>
      <c r="AP289" s="73"/>
      <c r="AQ289" s="75"/>
      <c r="AR289" s="76"/>
      <c r="AS289" s="77"/>
      <c r="AV289" s="75"/>
      <c r="AW289" s="83"/>
      <c r="AX289" s="84"/>
      <c r="AY289" s="80"/>
      <c r="BB289" s="81"/>
    </row>
    <row r="290" spans="1:54" ht="15" customHeight="1">
      <c r="A290" s="23" t="s">
        <v>1303</v>
      </c>
      <c r="B290" s="23" t="s">
        <v>1362</v>
      </c>
      <c r="C290" s="23" t="s">
        <v>1307</v>
      </c>
      <c r="D290" s="23">
        <v>12</v>
      </c>
      <c r="E290" s="23">
        <v>1</v>
      </c>
      <c r="G290" s="23" t="s">
        <v>1363</v>
      </c>
      <c r="H290" s="23" t="s">
        <v>1364</v>
      </c>
      <c r="I290" s="23" t="s">
        <v>223</v>
      </c>
      <c r="J290" s="23" t="s">
        <v>257</v>
      </c>
      <c r="K290" s="23" t="s">
        <v>26</v>
      </c>
      <c r="N290" s="73">
        <v>2</v>
      </c>
      <c r="O290" s="75">
        <v>2</v>
      </c>
      <c r="P290" s="76"/>
      <c r="Q290" s="77"/>
      <c r="S290" s="113">
        <v>1</v>
      </c>
      <c r="U290" s="75"/>
      <c r="V290" s="78"/>
      <c r="W290" s="79"/>
      <c r="X290" s="80"/>
      <c r="AA290" s="81"/>
      <c r="AB290" s="23" t="s">
        <v>1365</v>
      </c>
      <c r="AC290" s="23" t="s">
        <v>258</v>
      </c>
      <c r="AD290" s="23" t="s">
        <v>1366</v>
      </c>
      <c r="AE290" s="23"/>
      <c r="AF290" s="23" t="s">
        <v>1367</v>
      </c>
      <c r="AP290" s="73"/>
      <c r="AQ290" s="75"/>
      <c r="AR290" s="76"/>
      <c r="AS290" s="77"/>
      <c r="AV290" s="75"/>
      <c r="AW290" s="83"/>
      <c r="AX290" s="84"/>
      <c r="AY290" s="80"/>
      <c r="BB290" s="81"/>
    </row>
    <row r="291" spans="1:54" ht="15" customHeight="1">
      <c r="A291" s="23" t="s">
        <v>1303</v>
      </c>
      <c r="B291" s="23" t="s">
        <v>1368</v>
      </c>
      <c r="C291" s="23" t="s">
        <v>1307</v>
      </c>
      <c r="D291" s="23">
        <v>13</v>
      </c>
      <c r="E291" s="23">
        <v>1</v>
      </c>
      <c r="G291" s="23" t="s">
        <v>1369</v>
      </c>
      <c r="J291" s="23" t="s">
        <v>28</v>
      </c>
      <c r="K291" s="23" t="s">
        <v>26</v>
      </c>
      <c r="M291" s="23" t="s">
        <v>648</v>
      </c>
      <c r="N291" s="73"/>
      <c r="O291" s="75"/>
      <c r="P291" s="76"/>
      <c r="Q291" s="77"/>
      <c r="U291" s="75"/>
      <c r="V291" s="78"/>
      <c r="W291" s="79"/>
      <c r="X291" s="80"/>
      <c r="AA291" s="81"/>
      <c r="AD291" s="23" t="s">
        <v>1370</v>
      </c>
      <c r="AE291" s="23"/>
      <c r="AF291" s="23" t="s">
        <v>1371</v>
      </c>
      <c r="AP291" s="73"/>
      <c r="AQ291" s="75"/>
      <c r="AR291" s="76"/>
      <c r="AS291" s="77"/>
      <c r="AV291" s="75"/>
      <c r="AW291" s="83"/>
      <c r="AX291" s="84"/>
      <c r="AY291" s="80"/>
      <c r="BB291" s="81"/>
    </row>
    <row r="292" spans="1:54" ht="15" customHeight="1">
      <c r="A292" s="23" t="s">
        <v>1303</v>
      </c>
      <c r="B292" s="23" t="s">
        <v>1372</v>
      </c>
      <c r="C292" s="23" t="s">
        <v>1307</v>
      </c>
      <c r="D292" s="23">
        <v>14</v>
      </c>
      <c r="E292" s="23">
        <v>1</v>
      </c>
      <c r="G292" s="23" t="s">
        <v>1373</v>
      </c>
      <c r="H292" s="23" t="s">
        <v>1374</v>
      </c>
      <c r="I292" s="23" t="s">
        <v>223</v>
      </c>
      <c r="J292" s="23" t="s">
        <v>257</v>
      </c>
      <c r="K292" s="23" t="s">
        <v>26</v>
      </c>
      <c r="N292" s="73">
        <v>2</v>
      </c>
      <c r="O292" s="75"/>
      <c r="P292" s="76"/>
      <c r="Q292" s="77"/>
      <c r="T292" s="68">
        <v>2</v>
      </c>
      <c r="U292" s="75">
        <v>3</v>
      </c>
      <c r="V292" s="78"/>
      <c r="W292" s="79"/>
      <c r="X292" s="80"/>
      <c r="AA292" s="81"/>
      <c r="AD292" s="23" t="s">
        <v>301</v>
      </c>
      <c r="AE292" s="23"/>
      <c r="AF292" s="23" t="s">
        <v>1375</v>
      </c>
      <c r="AP292" s="73"/>
      <c r="AQ292" s="75"/>
      <c r="AR292" s="76"/>
      <c r="AS292" s="77"/>
      <c r="AV292" s="75"/>
      <c r="AW292" s="83"/>
      <c r="AX292" s="84"/>
      <c r="AY292" s="80"/>
      <c r="BB292" s="81"/>
    </row>
    <row r="293" spans="1:54" ht="15" customHeight="1">
      <c r="A293" s="23" t="s">
        <v>1303</v>
      </c>
      <c r="B293" s="23" t="s">
        <v>1376</v>
      </c>
      <c r="C293" s="23" t="s">
        <v>1307</v>
      </c>
      <c r="D293" s="23">
        <v>15</v>
      </c>
      <c r="E293" s="23">
        <v>1</v>
      </c>
      <c r="G293" s="23" t="s">
        <v>1377</v>
      </c>
      <c r="J293" s="23" t="s">
        <v>28</v>
      </c>
      <c r="K293" s="23" t="s">
        <v>26</v>
      </c>
      <c r="M293" s="23" t="s">
        <v>648</v>
      </c>
      <c r="N293" s="73"/>
      <c r="O293" s="75"/>
      <c r="P293" s="76"/>
      <c r="Q293" s="77"/>
      <c r="U293" s="75"/>
      <c r="V293" s="78"/>
      <c r="W293" s="79"/>
      <c r="X293" s="80"/>
      <c r="AA293" s="81"/>
      <c r="AD293" s="23" t="s">
        <v>284</v>
      </c>
      <c r="AE293" s="23"/>
      <c r="AF293" s="23" t="s">
        <v>1378</v>
      </c>
      <c r="AP293" s="73"/>
      <c r="AQ293" s="75"/>
      <c r="AR293" s="76"/>
      <c r="AS293" s="77"/>
      <c r="AV293" s="75"/>
      <c r="AW293" s="83"/>
      <c r="AX293" s="84"/>
      <c r="AY293" s="80"/>
      <c r="BB293" s="81"/>
    </row>
    <row r="294" spans="1:54" ht="15" customHeight="1">
      <c r="A294" s="23" t="s">
        <v>1303</v>
      </c>
      <c r="B294" s="23" t="s">
        <v>1379</v>
      </c>
      <c r="C294" s="23" t="s">
        <v>1307</v>
      </c>
      <c r="D294" s="23">
        <v>16</v>
      </c>
      <c r="E294" s="23">
        <v>2</v>
      </c>
      <c r="G294" s="23" t="s">
        <v>1380</v>
      </c>
      <c r="J294" s="23" t="s">
        <v>257</v>
      </c>
      <c r="K294" s="23" t="s">
        <v>198</v>
      </c>
      <c r="L294" s="23">
        <v>0</v>
      </c>
      <c r="N294" s="73">
        <v>1</v>
      </c>
      <c r="O294" s="75"/>
      <c r="P294" s="76"/>
      <c r="Q294" s="77">
        <v>1</v>
      </c>
      <c r="U294" s="75"/>
      <c r="V294" s="78"/>
      <c r="W294" s="79"/>
      <c r="X294" s="80"/>
      <c r="AA294" s="81"/>
      <c r="AB294" s="23" t="s">
        <v>206</v>
      </c>
      <c r="AC294" s="23" t="s">
        <v>258</v>
      </c>
      <c r="AD294" s="23" t="s">
        <v>298</v>
      </c>
      <c r="AE294" s="23"/>
      <c r="AF294" s="23" t="s">
        <v>1381</v>
      </c>
      <c r="AP294" s="73"/>
      <c r="AQ294" s="75"/>
      <c r="AR294" s="76"/>
      <c r="AS294" s="77"/>
      <c r="AV294" s="75"/>
      <c r="AW294" s="83"/>
      <c r="AX294" s="84"/>
      <c r="AY294" s="80"/>
      <c r="BB294" s="81"/>
    </row>
    <row r="295" spans="1:54" ht="15" customHeight="1">
      <c r="A295" s="23" t="s">
        <v>1303</v>
      </c>
      <c r="B295" s="23" t="s">
        <v>1382</v>
      </c>
      <c r="C295" s="23" t="s">
        <v>1307</v>
      </c>
      <c r="D295" s="23">
        <v>17</v>
      </c>
      <c r="E295" s="23">
        <v>2</v>
      </c>
      <c r="G295" s="23" t="s">
        <v>1383</v>
      </c>
      <c r="J295" s="23" t="s">
        <v>27</v>
      </c>
      <c r="K295" s="23" t="s">
        <v>198</v>
      </c>
      <c r="L295" s="23">
        <v>0</v>
      </c>
      <c r="N295" s="73">
        <v>1</v>
      </c>
      <c r="O295" s="75">
        <v>1</v>
      </c>
      <c r="P295" s="76"/>
      <c r="Q295" s="77">
        <v>1</v>
      </c>
      <c r="U295" s="75"/>
      <c r="V295" s="78"/>
      <c r="W295" s="79"/>
      <c r="X295" s="80"/>
      <c r="AA295" s="81"/>
      <c r="AB295" s="23" t="s">
        <v>1083</v>
      </c>
      <c r="AD295" s="23" t="s">
        <v>307</v>
      </c>
      <c r="AE295" s="23"/>
      <c r="AF295" s="23" t="s">
        <v>1384</v>
      </c>
      <c r="AP295" s="73"/>
      <c r="AQ295" s="75"/>
      <c r="AR295" s="76"/>
      <c r="AS295" s="77"/>
      <c r="AV295" s="75"/>
      <c r="AW295" s="83"/>
      <c r="AX295" s="84"/>
      <c r="AY295" s="80"/>
      <c r="BB295" s="81"/>
    </row>
    <row r="296" spans="1:54" ht="15" customHeight="1">
      <c r="A296" s="23" t="s">
        <v>1303</v>
      </c>
      <c r="B296" s="23" t="s">
        <v>1385</v>
      </c>
      <c r="C296" s="23" t="s">
        <v>1307</v>
      </c>
      <c r="D296" s="23">
        <v>18</v>
      </c>
      <c r="E296" s="23">
        <v>2</v>
      </c>
      <c r="G296" s="23" t="s">
        <v>1386</v>
      </c>
      <c r="J296" s="23" t="s">
        <v>27</v>
      </c>
      <c r="K296" s="23" t="s">
        <v>198</v>
      </c>
      <c r="L296" s="23">
        <v>0</v>
      </c>
      <c r="N296" s="73">
        <v>0</v>
      </c>
      <c r="O296" s="75"/>
      <c r="P296" s="76"/>
      <c r="Q296" s="77"/>
      <c r="S296" s="113">
        <v>1</v>
      </c>
      <c r="U296" s="75"/>
      <c r="V296" s="78"/>
      <c r="W296" s="79"/>
      <c r="X296" s="80"/>
      <c r="AA296" s="81"/>
      <c r="AB296" s="23" t="s">
        <v>208</v>
      </c>
      <c r="AD296" s="23" t="s">
        <v>307</v>
      </c>
      <c r="AE296" s="23"/>
      <c r="AF296" s="23" t="s">
        <v>1387</v>
      </c>
      <c r="AP296" s="73"/>
      <c r="AQ296" s="75"/>
      <c r="AR296" s="76"/>
      <c r="AS296" s="77"/>
      <c r="AV296" s="75"/>
      <c r="AW296" s="83"/>
      <c r="AX296" s="84"/>
      <c r="AY296" s="80"/>
      <c r="BB296" s="81"/>
    </row>
    <row r="297" spans="1:54" ht="15" customHeight="1">
      <c r="A297" s="23" t="s">
        <v>1303</v>
      </c>
      <c r="B297" s="23" t="s">
        <v>1388</v>
      </c>
      <c r="C297" s="23" t="s">
        <v>1307</v>
      </c>
      <c r="D297" s="23">
        <v>19</v>
      </c>
      <c r="E297" s="23">
        <v>2</v>
      </c>
      <c r="G297" s="23" t="s">
        <v>1383</v>
      </c>
      <c r="J297" s="23" t="s">
        <v>27</v>
      </c>
      <c r="K297" s="23" t="s">
        <v>198</v>
      </c>
      <c r="L297" s="23">
        <v>2</v>
      </c>
      <c r="N297" s="73">
        <v>1</v>
      </c>
      <c r="O297" s="75">
        <v>1</v>
      </c>
      <c r="P297" s="76"/>
      <c r="Q297" s="77">
        <v>1</v>
      </c>
      <c r="R297" s="66">
        <v>1</v>
      </c>
      <c r="U297" s="75"/>
      <c r="V297" s="78"/>
      <c r="W297" s="79"/>
      <c r="X297" s="80"/>
      <c r="AA297" s="81"/>
      <c r="AB297" s="23" t="s">
        <v>1389</v>
      </c>
      <c r="AD297" s="23" t="s">
        <v>307</v>
      </c>
      <c r="AE297" s="23"/>
      <c r="AF297" s="23" t="s">
        <v>1390</v>
      </c>
      <c r="AP297" s="73"/>
      <c r="AQ297" s="75"/>
      <c r="AR297" s="76"/>
      <c r="AS297" s="77"/>
      <c r="AV297" s="75"/>
      <c r="AW297" s="83"/>
      <c r="AX297" s="84"/>
      <c r="AY297" s="80"/>
      <c r="BB297" s="81"/>
    </row>
    <row r="298" spans="1:54" ht="15" customHeight="1">
      <c r="A298" s="23" t="s">
        <v>1303</v>
      </c>
      <c r="B298" s="23" t="s">
        <v>1391</v>
      </c>
      <c r="C298" s="23" t="s">
        <v>1307</v>
      </c>
      <c r="D298" s="23">
        <v>20</v>
      </c>
      <c r="E298" s="23">
        <v>2</v>
      </c>
      <c r="G298" s="23" t="s">
        <v>1392</v>
      </c>
      <c r="J298" s="23" t="s">
        <v>257</v>
      </c>
      <c r="K298" s="23" t="s">
        <v>199</v>
      </c>
      <c r="L298" s="23">
        <v>0</v>
      </c>
      <c r="N298" s="73">
        <v>2</v>
      </c>
      <c r="O298" s="75"/>
      <c r="P298" s="76">
        <v>1</v>
      </c>
      <c r="Q298" s="77"/>
      <c r="T298" s="68">
        <v>1</v>
      </c>
      <c r="U298" s="75">
        <v>2</v>
      </c>
      <c r="V298" s="78"/>
      <c r="W298" s="79"/>
      <c r="X298" s="80"/>
      <c r="AA298" s="81"/>
      <c r="AB298" s="23" t="s">
        <v>205</v>
      </c>
      <c r="AC298" s="23" t="s">
        <v>25</v>
      </c>
      <c r="AD298" s="23" t="s">
        <v>1393</v>
      </c>
      <c r="AE298" s="23"/>
      <c r="AF298" s="23" t="s">
        <v>1394</v>
      </c>
      <c r="AP298" s="73"/>
      <c r="AQ298" s="75"/>
      <c r="AR298" s="76"/>
      <c r="AS298" s="77"/>
      <c r="AV298" s="75"/>
      <c r="AW298" s="83"/>
      <c r="AX298" s="84"/>
      <c r="AY298" s="80"/>
      <c r="BB298" s="81"/>
    </row>
    <row r="299" spans="1:54" ht="15" customHeight="1">
      <c r="A299" s="23" t="s">
        <v>1303</v>
      </c>
      <c r="B299" s="23" t="s">
        <v>1395</v>
      </c>
      <c r="C299" s="23" t="s">
        <v>1307</v>
      </c>
      <c r="D299" s="23">
        <v>21</v>
      </c>
      <c r="E299" s="23">
        <v>2</v>
      </c>
      <c r="G299" s="23" t="s">
        <v>1396</v>
      </c>
      <c r="H299" s="23" t="s">
        <v>1397</v>
      </c>
      <c r="J299" s="23" t="s">
        <v>257</v>
      </c>
      <c r="K299" s="23" t="s">
        <v>199</v>
      </c>
      <c r="L299" s="23">
        <v>0</v>
      </c>
      <c r="N299" s="73">
        <v>1</v>
      </c>
      <c r="O299" s="75"/>
      <c r="P299" s="76"/>
      <c r="Q299" s="77"/>
      <c r="S299" s="113">
        <v>1</v>
      </c>
      <c r="U299" s="75"/>
      <c r="V299" s="78"/>
      <c r="W299" s="79"/>
      <c r="X299" s="80"/>
      <c r="AA299" s="81"/>
      <c r="AB299" s="23" t="s">
        <v>208</v>
      </c>
      <c r="AD299" s="23" t="s">
        <v>1398</v>
      </c>
      <c r="AE299" s="23"/>
      <c r="AF299" s="23" t="s">
        <v>1399</v>
      </c>
      <c r="AP299" s="73"/>
      <c r="AQ299" s="75"/>
      <c r="AR299" s="76"/>
      <c r="AS299" s="77"/>
      <c r="AV299" s="75"/>
      <c r="AW299" s="83"/>
      <c r="AX299" s="84"/>
      <c r="AY299" s="80"/>
      <c r="BB299" s="81"/>
    </row>
    <row r="300" spans="1:54" ht="15" customHeight="1">
      <c r="A300" s="23" t="s">
        <v>1303</v>
      </c>
      <c r="B300" s="23" t="s">
        <v>1400</v>
      </c>
      <c r="C300" s="23" t="s">
        <v>1307</v>
      </c>
      <c r="D300" s="23">
        <v>22</v>
      </c>
      <c r="E300" s="23">
        <v>2</v>
      </c>
      <c r="G300" s="23" t="s">
        <v>1401</v>
      </c>
      <c r="J300" s="23" t="s">
        <v>27</v>
      </c>
      <c r="K300" s="23" t="s">
        <v>199</v>
      </c>
      <c r="L300" s="23">
        <v>0</v>
      </c>
      <c r="N300" s="73">
        <v>0</v>
      </c>
      <c r="O300" s="75">
        <v>1</v>
      </c>
      <c r="P300" s="76"/>
      <c r="Q300" s="77"/>
      <c r="R300" s="66">
        <v>1</v>
      </c>
      <c r="U300" s="75"/>
      <c r="V300" s="78"/>
      <c r="W300" s="79"/>
      <c r="X300" s="80"/>
      <c r="AA300" s="81"/>
      <c r="AB300" s="23" t="s">
        <v>1085</v>
      </c>
      <c r="AD300" s="23" t="s">
        <v>344</v>
      </c>
      <c r="AE300" s="23"/>
      <c r="AF300" s="23" t="s">
        <v>1402</v>
      </c>
      <c r="AP300" s="73"/>
      <c r="AQ300" s="75"/>
      <c r="AR300" s="76"/>
      <c r="AS300" s="77"/>
      <c r="AV300" s="75"/>
      <c r="AW300" s="83"/>
      <c r="AX300" s="84"/>
      <c r="AY300" s="80"/>
      <c r="BB300" s="81"/>
    </row>
    <row r="301" spans="1:54" ht="15" customHeight="1">
      <c r="A301" s="23" t="s">
        <v>1303</v>
      </c>
      <c r="B301" s="23" t="s">
        <v>1403</v>
      </c>
      <c r="C301" s="23" t="s">
        <v>1307</v>
      </c>
      <c r="D301" s="23">
        <v>23</v>
      </c>
      <c r="E301" s="23">
        <v>2</v>
      </c>
      <c r="G301" s="23" t="s">
        <v>1404</v>
      </c>
      <c r="J301" s="23" t="s">
        <v>27</v>
      </c>
      <c r="K301" s="23" t="s">
        <v>199</v>
      </c>
      <c r="L301" s="23">
        <v>0</v>
      </c>
      <c r="N301" s="73">
        <v>1</v>
      </c>
      <c r="O301" s="75"/>
      <c r="P301" s="76">
        <v>1</v>
      </c>
      <c r="Q301" s="77"/>
      <c r="R301" s="66">
        <v>1</v>
      </c>
      <c r="U301" s="75"/>
      <c r="V301" s="78"/>
      <c r="W301" s="79"/>
      <c r="X301" s="80"/>
      <c r="AA301" s="81"/>
      <c r="AB301" s="23" t="s">
        <v>1089</v>
      </c>
      <c r="AD301" s="23" t="s">
        <v>340</v>
      </c>
      <c r="AE301" s="23"/>
      <c r="AF301" s="23" t="s">
        <v>1405</v>
      </c>
      <c r="AP301" s="73"/>
      <c r="AQ301" s="75"/>
      <c r="AR301" s="76"/>
      <c r="AS301" s="77"/>
      <c r="AV301" s="75"/>
      <c r="AW301" s="83"/>
      <c r="AX301" s="84"/>
      <c r="AY301" s="80"/>
      <c r="BB301" s="81"/>
    </row>
    <row r="302" spans="1:54" ht="15" customHeight="1">
      <c r="A302" s="23" t="s">
        <v>1303</v>
      </c>
      <c r="B302" s="23" t="s">
        <v>1406</v>
      </c>
      <c r="C302" s="23" t="s">
        <v>1307</v>
      </c>
      <c r="D302" s="23">
        <v>24</v>
      </c>
      <c r="E302" s="23">
        <v>2</v>
      </c>
      <c r="G302" s="23" t="s">
        <v>1407</v>
      </c>
      <c r="J302" s="23" t="s">
        <v>257</v>
      </c>
      <c r="K302" s="23" t="s">
        <v>201</v>
      </c>
      <c r="L302" s="23">
        <v>0</v>
      </c>
      <c r="N302" s="73">
        <v>1</v>
      </c>
      <c r="O302" s="75">
        <v>1</v>
      </c>
      <c r="P302" s="76"/>
      <c r="Q302" s="77"/>
      <c r="U302" s="75"/>
      <c r="V302" s="78"/>
      <c r="W302" s="79"/>
      <c r="X302" s="80"/>
      <c r="AA302" s="81"/>
      <c r="AB302" s="23" t="s">
        <v>204</v>
      </c>
      <c r="AD302" s="23" t="s">
        <v>1408</v>
      </c>
      <c r="AE302" s="23"/>
      <c r="AF302" s="23" t="s">
        <v>1409</v>
      </c>
      <c r="AP302" s="73"/>
      <c r="AQ302" s="75"/>
      <c r="AR302" s="76"/>
      <c r="AS302" s="77"/>
      <c r="AV302" s="75"/>
      <c r="AW302" s="83"/>
      <c r="AX302" s="84"/>
      <c r="AY302" s="80"/>
      <c r="BB302" s="81"/>
    </row>
    <row r="303" spans="1:54" ht="15" customHeight="1">
      <c r="A303" s="23" t="s">
        <v>1303</v>
      </c>
      <c r="B303" s="23" t="s">
        <v>1410</v>
      </c>
      <c r="C303" s="23" t="s">
        <v>1307</v>
      </c>
      <c r="D303" s="23">
        <v>25</v>
      </c>
      <c r="E303" s="23">
        <v>2</v>
      </c>
      <c r="G303" s="23" t="s">
        <v>1411</v>
      </c>
      <c r="J303" s="23" t="s">
        <v>27</v>
      </c>
      <c r="K303" s="23" t="s">
        <v>201</v>
      </c>
      <c r="L303" s="23">
        <v>0</v>
      </c>
      <c r="N303" s="73">
        <v>1</v>
      </c>
      <c r="O303" s="75"/>
      <c r="P303" s="76">
        <v>1</v>
      </c>
      <c r="Q303" s="77"/>
      <c r="R303" s="66">
        <v>1</v>
      </c>
      <c r="U303" s="75"/>
      <c r="V303" s="78"/>
      <c r="W303" s="79"/>
      <c r="X303" s="80"/>
      <c r="AA303" s="81"/>
      <c r="AB303" s="23" t="s">
        <v>1089</v>
      </c>
      <c r="AD303" s="23" t="s">
        <v>1412</v>
      </c>
      <c r="AE303" s="23"/>
      <c r="AF303" s="23" t="s">
        <v>1413</v>
      </c>
      <c r="AP303" s="73"/>
      <c r="AQ303" s="75"/>
      <c r="AR303" s="76"/>
      <c r="AS303" s="77"/>
      <c r="AV303" s="75"/>
      <c r="AW303" s="83"/>
      <c r="AX303" s="84"/>
      <c r="AY303" s="80"/>
      <c r="BB303" s="81"/>
    </row>
    <row r="304" spans="1:54" ht="15" customHeight="1">
      <c r="A304" s="23" t="s">
        <v>1303</v>
      </c>
      <c r="B304" s="23" t="s">
        <v>1414</v>
      </c>
      <c r="C304" s="23" t="s">
        <v>1307</v>
      </c>
      <c r="D304" s="23">
        <v>26</v>
      </c>
      <c r="E304" s="23">
        <v>2</v>
      </c>
      <c r="G304" s="23" t="s">
        <v>1415</v>
      </c>
      <c r="J304" s="23" t="s">
        <v>312</v>
      </c>
      <c r="K304" s="23" t="s">
        <v>201</v>
      </c>
      <c r="L304" s="23">
        <v>0</v>
      </c>
      <c r="N304" s="73"/>
      <c r="O304" s="75"/>
      <c r="P304" s="76"/>
      <c r="Q304" s="77"/>
      <c r="S304" s="113">
        <v>1</v>
      </c>
      <c r="U304" s="75"/>
      <c r="V304" s="78"/>
      <c r="W304" s="79"/>
      <c r="X304" s="80"/>
      <c r="AA304" s="81"/>
      <c r="AB304" s="23" t="s">
        <v>208</v>
      </c>
      <c r="AD304" s="23" t="s">
        <v>372</v>
      </c>
      <c r="AE304" s="23"/>
      <c r="AF304" s="23" t="s">
        <v>1416</v>
      </c>
      <c r="AP304" s="73"/>
      <c r="AQ304" s="75"/>
      <c r="AR304" s="76"/>
      <c r="AS304" s="77"/>
      <c r="AV304" s="75"/>
      <c r="AW304" s="83"/>
      <c r="AX304" s="84"/>
      <c r="AY304" s="80"/>
      <c r="BB304" s="81"/>
    </row>
    <row r="305" spans="1:59" ht="15" customHeight="1">
      <c r="A305" s="23" t="s">
        <v>1303</v>
      </c>
      <c r="B305" s="23" t="s">
        <v>1417</v>
      </c>
      <c r="C305" s="23" t="s">
        <v>1307</v>
      </c>
      <c r="D305" s="23">
        <v>27</v>
      </c>
      <c r="E305" s="23">
        <v>2</v>
      </c>
      <c r="G305" s="23" t="s">
        <v>1418</v>
      </c>
      <c r="J305" s="23" t="s">
        <v>257</v>
      </c>
      <c r="K305" s="23" t="s">
        <v>201</v>
      </c>
      <c r="L305" s="23">
        <v>1</v>
      </c>
      <c r="N305" s="73">
        <v>1</v>
      </c>
      <c r="O305" s="75"/>
      <c r="P305" s="76"/>
      <c r="Q305" s="77">
        <v>1</v>
      </c>
      <c r="T305" s="68">
        <v>3</v>
      </c>
      <c r="U305" s="75">
        <v>1</v>
      </c>
      <c r="V305" s="78"/>
      <c r="W305" s="79"/>
      <c r="X305" s="80"/>
      <c r="AA305" s="81"/>
      <c r="AB305" s="23" t="s">
        <v>206</v>
      </c>
      <c r="AD305" s="23" t="s">
        <v>362</v>
      </c>
      <c r="AE305" s="23"/>
      <c r="AF305" s="23" t="s">
        <v>1419</v>
      </c>
      <c r="AP305" s="73"/>
      <c r="AQ305" s="75"/>
      <c r="AR305" s="76"/>
      <c r="AS305" s="77"/>
      <c r="AV305" s="75"/>
      <c r="AW305" s="83"/>
      <c r="AX305" s="84"/>
      <c r="AY305" s="80"/>
      <c r="BB305" s="81"/>
    </row>
    <row r="306" spans="1:59" ht="15" customHeight="1">
      <c r="A306" s="23" t="s">
        <v>1303</v>
      </c>
      <c r="B306" s="23" t="s">
        <v>1420</v>
      </c>
      <c r="C306" s="23" t="s">
        <v>1307</v>
      </c>
      <c r="D306" s="23">
        <v>28</v>
      </c>
      <c r="E306" s="23">
        <v>2</v>
      </c>
      <c r="G306" s="23" t="s">
        <v>1421</v>
      </c>
      <c r="J306" s="23" t="s">
        <v>257</v>
      </c>
      <c r="K306" s="23" t="s">
        <v>200</v>
      </c>
      <c r="L306" s="23">
        <v>0</v>
      </c>
      <c r="N306" s="73">
        <v>4</v>
      </c>
      <c r="O306" s="75"/>
      <c r="P306" s="76">
        <v>1</v>
      </c>
      <c r="Q306" s="77"/>
      <c r="U306" s="75"/>
      <c r="V306" s="78"/>
      <c r="W306" s="79"/>
      <c r="X306" s="80"/>
      <c r="AA306" s="81"/>
      <c r="AB306" s="23" t="s">
        <v>205</v>
      </c>
      <c r="AC306" s="23" t="s">
        <v>378</v>
      </c>
      <c r="AD306" s="23" t="s">
        <v>279</v>
      </c>
      <c r="AE306" s="23"/>
      <c r="AF306" s="23" t="s">
        <v>1422</v>
      </c>
      <c r="AP306" s="73"/>
      <c r="AQ306" s="75"/>
      <c r="AR306" s="76"/>
      <c r="AS306" s="77"/>
      <c r="AV306" s="75"/>
      <c r="AW306" s="83"/>
      <c r="AX306" s="84"/>
      <c r="AY306" s="80"/>
      <c r="BB306" s="81"/>
    </row>
    <row r="307" spans="1:59" ht="15" customHeight="1">
      <c r="A307" s="23" t="s">
        <v>1303</v>
      </c>
      <c r="B307" s="23" t="s">
        <v>1423</v>
      </c>
      <c r="C307" s="23" t="s">
        <v>1307</v>
      </c>
      <c r="D307" s="23">
        <v>29</v>
      </c>
      <c r="E307" s="23">
        <v>2</v>
      </c>
      <c r="G307" s="23" t="s">
        <v>1424</v>
      </c>
      <c r="J307" s="23" t="s">
        <v>257</v>
      </c>
      <c r="K307" s="23" t="s">
        <v>200</v>
      </c>
      <c r="L307" s="23">
        <v>0</v>
      </c>
      <c r="N307" s="73">
        <v>1</v>
      </c>
      <c r="O307" s="75">
        <v>1</v>
      </c>
      <c r="P307" s="76"/>
      <c r="Q307" s="77"/>
      <c r="U307" s="75"/>
      <c r="V307" s="78"/>
      <c r="W307" s="79"/>
      <c r="X307" s="80"/>
      <c r="AA307" s="81"/>
      <c r="AB307" s="23" t="s">
        <v>204</v>
      </c>
      <c r="AC307" s="23" t="s">
        <v>258</v>
      </c>
      <c r="AD307" s="23" t="s">
        <v>265</v>
      </c>
      <c r="AE307" s="23"/>
      <c r="AF307" s="23" t="s">
        <v>1425</v>
      </c>
      <c r="AP307" s="73"/>
      <c r="AQ307" s="75"/>
      <c r="AR307" s="76"/>
      <c r="AS307" s="77"/>
      <c r="AV307" s="75"/>
      <c r="AW307" s="83"/>
      <c r="AX307" s="84"/>
      <c r="AY307" s="80"/>
      <c r="BB307" s="81"/>
    </row>
    <row r="308" spans="1:59" ht="15" customHeight="1">
      <c r="A308" s="23" t="s">
        <v>1303</v>
      </c>
      <c r="B308" s="23" t="s">
        <v>1426</v>
      </c>
      <c r="C308" s="23" t="s">
        <v>1307</v>
      </c>
      <c r="D308" s="23">
        <v>30</v>
      </c>
      <c r="E308" s="23">
        <v>2</v>
      </c>
      <c r="G308" s="23" t="s">
        <v>1427</v>
      </c>
      <c r="J308" s="23" t="s">
        <v>257</v>
      </c>
      <c r="K308" s="23" t="s">
        <v>200</v>
      </c>
      <c r="L308" s="23">
        <v>0</v>
      </c>
      <c r="N308" s="73">
        <v>2</v>
      </c>
      <c r="O308" s="75">
        <v>1</v>
      </c>
      <c r="P308" s="76"/>
      <c r="Q308" s="77"/>
      <c r="U308" s="75"/>
      <c r="V308" s="78"/>
      <c r="W308" s="79"/>
      <c r="X308" s="80"/>
      <c r="AA308" s="81"/>
      <c r="AB308" s="23" t="s">
        <v>204</v>
      </c>
      <c r="AC308" s="23" t="s">
        <v>378</v>
      </c>
      <c r="AD308" s="23" t="s">
        <v>279</v>
      </c>
      <c r="AE308" s="23"/>
      <c r="AF308" s="23" t="s">
        <v>1428</v>
      </c>
      <c r="AP308" s="73"/>
      <c r="AQ308" s="75"/>
      <c r="AR308" s="76"/>
      <c r="AS308" s="77"/>
      <c r="AV308" s="75"/>
      <c r="AW308" s="83"/>
      <c r="AX308" s="84"/>
      <c r="AY308" s="80"/>
      <c r="BB308" s="81"/>
    </row>
    <row r="309" spans="1:59" ht="15" customHeight="1">
      <c r="A309" s="23" t="s">
        <v>1303</v>
      </c>
      <c r="B309" s="23" t="s">
        <v>1429</v>
      </c>
      <c r="C309" s="23" t="s">
        <v>1307</v>
      </c>
      <c r="D309" s="23">
        <v>31</v>
      </c>
      <c r="E309" s="23">
        <v>2</v>
      </c>
      <c r="G309" s="23" t="s">
        <v>1430</v>
      </c>
      <c r="J309" s="23" t="s">
        <v>27</v>
      </c>
      <c r="K309" s="23" t="s">
        <v>200</v>
      </c>
      <c r="L309" s="23">
        <v>2</v>
      </c>
      <c r="N309" s="73">
        <v>3</v>
      </c>
      <c r="O309" s="75">
        <v>1</v>
      </c>
      <c r="P309" s="76">
        <v>1</v>
      </c>
      <c r="Q309" s="77"/>
      <c r="U309" s="75"/>
      <c r="V309" s="78"/>
      <c r="W309" s="79"/>
      <c r="X309" s="80"/>
      <c r="AA309" s="81"/>
      <c r="AB309" s="23" t="s">
        <v>1092</v>
      </c>
      <c r="AD309" s="23" t="s">
        <v>279</v>
      </c>
      <c r="AE309" s="23"/>
      <c r="AF309" s="23" t="s">
        <v>1431</v>
      </c>
      <c r="AP309" s="73"/>
      <c r="AQ309" s="75"/>
      <c r="AR309" s="76"/>
      <c r="AS309" s="77"/>
      <c r="AV309" s="75"/>
      <c r="AW309" s="83"/>
      <c r="AX309" s="84"/>
      <c r="AY309" s="80"/>
      <c r="BB309" s="81"/>
    </row>
    <row r="310" spans="1:59" ht="15" customHeight="1">
      <c r="A310" s="23" t="s">
        <v>1303</v>
      </c>
      <c r="B310" s="23" t="s">
        <v>1432</v>
      </c>
      <c r="C310" s="23" t="s">
        <v>1307</v>
      </c>
      <c r="D310" s="23">
        <v>32</v>
      </c>
      <c r="E310" s="23">
        <v>2</v>
      </c>
      <c r="G310" s="23" t="s">
        <v>1433</v>
      </c>
      <c r="J310" s="23" t="s">
        <v>257</v>
      </c>
      <c r="K310" s="23" t="s">
        <v>202</v>
      </c>
      <c r="L310" s="23">
        <v>0</v>
      </c>
      <c r="N310" s="73">
        <v>1</v>
      </c>
      <c r="O310" s="75"/>
      <c r="P310" s="76"/>
      <c r="Q310" s="77">
        <v>1</v>
      </c>
      <c r="U310" s="75"/>
      <c r="V310" s="78"/>
      <c r="W310" s="79"/>
      <c r="X310" s="80"/>
      <c r="AA310" s="81"/>
      <c r="AB310" s="23" t="s">
        <v>206</v>
      </c>
      <c r="AC310" s="23" t="s">
        <v>258</v>
      </c>
      <c r="AD310" s="23" t="s">
        <v>298</v>
      </c>
      <c r="AE310" s="23"/>
      <c r="AF310" s="23" t="s">
        <v>1434</v>
      </c>
      <c r="AP310" s="73"/>
      <c r="AQ310" s="75"/>
      <c r="AR310" s="76"/>
      <c r="AS310" s="77"/>
      <c r="AV310" s="75"/>
      <c r="AW310" s="83"/>
      <c r="AX310" s="84"/>
      <c r="AY310" s="80"/>
      <c r="BB310" s="81"/>
    </row>
    <row r="311" spans="1:59" ht="15" customHeight="1">
      <c r="A311" s="23" t="s">
        <v>1303</v>
      </c>
      <c r="B311" s="23" t="s">
        <v>1435</v>
      </c>
      <c r="C311" s="23" t="s">
        <v>1307</v>
      </c>
      <c r="D311" s="23">
        <v>33</v>
      </c>
      <c r="E311" s="23">
        <v>2</v>
      </c>
      <c r="G311" s="23" t="s">
        <v>1436</v>
      </c>
      <c r="H311" s="23" t="s">
        <v>1437</v>
      </c>
      <c r="I311" s="23" t="s">
        <v>223</v>
      </c>
      <c r="J311" s="23" t="s">
        <v>257</v>
      </c>
      <c r="K311" s="23" t="s">
        <v>202</v>
      </c>
      <c r="L311" s="23">
        <v>0</v>
      </c>
      <c r="N311" s="73">
        <v>3</v>
      </c>
      <c r="O311" s="75">
        <v>1</v>
      </c>
      <c r="P311" s="76"/>
      <c r="Q311" s="77"/>
      <c r="T311" s="68">
        <v>1</v>
      </c>
      <c r="U311" s="75">
        <v>2</v>
      </c>
      <c r="V311" s="78"/>
      <c r="W311" s="79"/>
      <c r="X311" s="80"/>
      <c r="AA311" s="81"/>
      <c r="AB311" s="23" t="s">
        <v>204</v>
      </c>
      <c r="AC311" s="23" t="s">
        <v>25</v>
      </c>
      <c r="AD311" s="23" t="s">
        <v>330</v>
      </c>
      <c r="AE311" s="23"/>
      <c r="AF311" s="23" t="s">
        <v>1438</v>
      </c>
      <c r="AP311" s="73"/>
      <c r="AQ311" s="75"/>
      <c r="AR311" s="76"/>
      <c r="AS311" s="77"/>
      <c r="AV311" s="75"/>
      <c r="AW311" s="83"/>
      <c r="AX311" s="84"/>
      <c r="AY311" s="80"/>
      <c r="BB311" s="81"/>
    </row>
    <row r="312" spans="1:59" ht="15" customHeight="1">
      <c r="A312" s="23" t="s">
        <v>1303</v>
      </c>
      <c r="B312" s="23" t="s">
        <v>1439</v>
      </c>
      <c r="C312" s="23" t="s">
        <v>1307</v>
      </c>
      <c r="D312" s="23">
        <v>34</v>
      </c>
      <c r="E312" s="23">
        <v>2</v>
      </c>
      <c r="G312" s="23" t="s">
        <v>1440</v>
      </c>
      <c r="J312" s="23" t="s">
        <v>27</v>
      </c>
      <c r="K312" s="23" t="s">
        <v>202</v>
      </c>
      <c r="L312" s="23">
        <v>0</v>
      </c>
      <c r="N312" s="73">
        <v>1</v>
      </c>
      <c r="O312" s="75"/>
      <c r="P312" s="76">
        <v>1</v>
      </c>
      <c r="Q312" s="77"/>
      <c r="R312" s="66">
        <v>1</v>
      </c>
      <c r="U312" s="75"/>
      <c r="V312" s="78"/>
      <c r="W312" s="79"/>
      <c r="X312" s="80"/>
      <c r="AA312" s="81"/>
      <c r="AB312" s="23" t="s">
        <v>1089</v>
      </c>
      <c r="AD312" s="23" t="s">
        <v>1412</v>
      </c>
      <c r="AE312" s="23"/>
      <c r="AF312" s="23" t="s">
        <v>1441</v>
      </c>
      <c r="AP312" s="73"/>
      <c r="AQ312" s="75"/>
      <c r="AR312" s="76"/>
      <c r="AS312" s="77"/>
      <c r="AV312" s="75"/>
      <c r="AW312" s="83"/>
      <c r="AX312" s="84"/>
      <c r="AY312" s="80"/>
      <c r="BB312" s="81"/>
    </row>
    <row r="313" spans="1:59" ht="15" customHeight="1">
      <c r="A313" s="23" t="s">
        <v>1303</v>
      </c>
      <c r="B313" s="23" t="s">
        <v>1442</v>
      </c>
      <c r="C313" s="23" t="s">
        <v>1307</v>
      </c>
      <c r="D313" s="23">
        <v>35</v>
      </c>
      <c r="E313" s="23">
        <v>2</v>
      </c>
      <c r="G313" s="23" t="s">
        <v>1436</v>
      </c>
      <c r="H313" s="23" t="s">
        <v>1437</v>
      </c>
      <c r="I313" s="23" t="s">
        <v>223</v>
      </c>
      <c r="J313" s="23" t="s">
        <v>257</v>
      </c>
      <c r="K313" s="23" t="s">
        <v>202</v>
      </c>
      <c r="L313" s="23">
        <v>2</v>
      </c>
      <c r="N313" s="73">
        <v>3</v>
      </c>
      <c r="O313" s="75">
        <v>1</v>
      </c>
      <c r="P313" s="76"/>
      <c r="Q313" s="77"/>
      <c r="T313" s="68">
        <v>1</v>
      </c>
      <c r="U313" s="75">
        <v>3</v>
      </c>
      <c r="V313" s="78"/>
      <c r="W313" s="79"/>
      <c r="X313" s="80"/>
      <c r="AA313" s="81"/>
      <c r="AB313" s="23" t="s">
        <v>204</v>
      </c>
      <c r="AC313" s="23" t="s">
        <v>25</v>
      </c>
      <c r="AD313" s="23" t="s">
        <v>330</v>
      </c>
      <c r="AE313" s="23"/>
      <c r="AF313" s="23" t="s">
        <v>1443</v>
      </c>
      <c r="AP313" s="73"/>
      <c r="AQ313" s="75"/>
      <c r="AR313" s="76"/>
      <c r="AS313" s="77"/>
      <c r="AV313" s="75"/>
      <c r="AW313" s="83"/>
      <c r="AX313" s="84"/>
      <c r="AY313" s="80"/>
      <c r="BB313" s="81"/>
    </row>
    <row r="314" spans="1:59" ht="15" customHeight="1">
      <c r="A314" s="23" t="s">
        <v>1303</v>
      </c>
      <c r="B314" s="23" t="s">
        <v>1444</v>
      </c>
      <c r="C314" s="23" t="s">
        <v>1307</v>
      </c>
      <c r="D314" s="23">
        <v>36</v>
      </c>
      <c r="E314" s="23">
        <v>2</v>
      </c>
      <c r="G314" s="23" t="s">
        <v>1445</v>
      </c>
      <c r="J314" s="23" t="s">
        <v>257</v>
      </c>
      <c r="K314" s="23" t="s">
        <v>26</v>
      </c>
      <c r="L314" s="23">
        <v>0</v>
      </c>
      <c r="N314" s="73">
        <v>2</v>
      </c>
      <c r="O314" s="75"/>
      <c r="P314" s="76"/>
      <c r="Q314" s="77">
        <v>1</v>
      </c>
      <c r="U314" s="75"/>
      <c r="V314" s="78"/>
      <c r="W314" s="79"/>
      <c r="X314" s="80"/>
      <c r="AA314" s="81"/>
      <c r="AB314" s="23" t="s">
        <v>206</v>
      </c>
      <c r="AC314" s="23" t="s">
        <v>258</v>
      </c>
      <c r="AD314" s="23" t="s">
        <v>298</v>
      </c>
      <c r="AE314" s="23"/>
      <c r="AF314" s="23" t="s">
        <v>1446</v>
      </c>
      <c r="AP314" s="73"/>
      <c r="AQ314" s="75"/>
      <c r="AR314" s="76"/>
      <c r="AS314" s="77"/>
      <c r="AV314" s="75"/>
      <c r="AW314" s="83"/>
      <c r="AX314" s="84"/>
      <c r="AY314" s="80"/>
      <c r="BB314" s="81"/>
    </row>
    <row r="315" spans="1:59" ht="15" customHeight="1">
      <c r="A315" s="23" t="s">
        <v>1303</v>
      </c>
      <c r="B315" s="23" t="s">
        <v>1447</v>
      </c>
      <c r="C315" s="23" t="s">
        <v>1307</v>
      </c>
      <c r="D315" s="23">
        <v>37</v>
      </c>
      <c r="E315" s="23">
        <v>2</v>
      </c>
      <c r="G315" s="23" t="s">
        <v>1448</v>
      </c>
      <c r="J315" s="23" t="s">
        <v>28</v>
      </c>
      <c r="K315" s="23" t="s">
        <v>26</v>
      </c>
      <c r="M315" s="23" t="s">
        <v>691</v>
      </c>
      <c r="N315" s="73"/>
      <c r="O315" s="75"/>
      <c r="P315" s="76"/>
      <c r="Q315" s="77"/>
      <c r="U315" s="75"/>
      <c r="V315" s="78"/>
      <c r="W315" s="79"/>
      <c r="X315" s="80"/>
      <c r="AA315" s="81"/>
      <c r="AD315" s="23" t="s">
        <v>1449</v>
      </c>
      <c r="AE315" s="24" t="s">
        <v>1978</v>
      </c>
      <c r="AF315" s="23" t="s">
        <v>2115</v>
      </c>
      <c r="AP315" s="73"/>
      <c r="AQ315" s="75"/>
      <c r="AR315" s="76"/>
      <c r="AS315" s="77"/>
      <c r="AV315" s="75"/>
      <c r="AW315" s="83"/>
      <c r="AX315" s="84"/>
      <c r="AY315" s="80"/>
      <c r="BB315" s="81"/>
    </row>
    <row r="316" spans="1:59" ht="15" customHeight="1">
      <c r="A316" s="23" t="s">
        <v>1303</v>
      </c>
      <c r="B316" s="23" t="s">
        <v>1450</v>
      </c>
      <c r="C316" s="23" t="s">
        <v>1307</v>
      </c>
      <c r="D316" s="23">
        <v>38</v>
      </c>
      <c r="E316" s="23">
        <v>2</v>
      </c>
      <c r="G316" s="23" t="s">
        <v>1451</v>
      </c>
      <c r="J316" s="23" t="s">
        <v>28</v>
      </c>
      <c r="K316" s="23" t="s">
        <v>26</v>
      </c>
      <c r="M316" s="23" t="s">
        <v>691</v>
      </c>
      <c r="N316" s="73"/>
      <c r="O316" s="75"/>
      <c r="P316" s="76"/>
      <c r="Q316" s="77"/>
      <c r="U316" s="75"/>
      <c r="V316" s="78"/>
      <c r="W316" s="79"/>
      <c r="X316" s="80"/>
      <c r="AA316" s="81"/>
      <c r="AD316" s="23" t="s">
        <v>1452</v>
      </c>
      <c r="AE316" s="23"/>
      <c r="AF316" s="23" t="s">
        <v>1453</v>
      </c>
      <c r="AP316" s="73"/>
      <c r="AQ316" s="75"/>
      <c r="AR316" s="76"/>
      <c r="AS316" s="77"/>
      <c r="AV316" s="75"/>
      <c r="AW316" s="83"/>
      <c r="AX316" s="84"/>
      <c r="AY316" s="80"/>
      <c r="BB316" s="81"/>
    </row>
    <row r="317" spans="1:59" ht="15" customHeight="1">
      <c r="A317" s="23" t="s">
        <v>1303</v>
      </c>
      <c r="B317" s="23" t="s">
        <v>1454</v>
      </c>
      <c r="C317" s="23" t="s">
        <v>1307</v>
      </c>
      <c r="D317" s="23">
        <v>39</v>
      </c>
      <c r="E317" s="23">
        <v>2</v>
      </c>
      <c r="G317" s="23" t="s">
        <v>1455</v>
      </c>
      <c r="J317" s="23" t="s">
        <v>28</v>
      </c>
      <c r="K317" s="23" t="s">
        <v>26</v>
      </c>
      <c r="M317" s="23" t="s">
        <v>691</v>
      </c>
      <c r="N317" s="73"/>
      <c r="O317" s="75"/>
      <c r="P317" s="76"/>
      <c r="Q317" s="77"/>
      <c r="U317" s="75"/>
      <c r="V317" s="78"/>
      <c r="W317" s="79"/>
      <c r="X317" s="80"/>
      <c r="AA317" s="81"/>
      <c r="AD317" s="23" t="s">
        <v>284</v>
      </c>
      <c r="AE317" s="23"/>
      <c r="AF317" s="23" t="s">
        <v>1456</v>
      </c>
      <c r="AP317" s="73"/>
      <c r="AQ317" s="75"/>
      <c r="AR317" s="76"/>
      <c r="AS317" s="77"/>
      <c r="AV317" s="75"/>
      <c r="AW317" s="83"/>
      <c r="AX317" s="84"/>
      <c r="AY317" s="80"/>
      <c r="BB317" s="81"/>
    </row>
    <row r="318" spans="1:59" ht="15" customHeight="1">
      <c r="A318" s="23" t="s">
        <v>1303</v>
      </c>
      <c r="B318" s="23" t="s">
        <v>1457</v>
      </c>
      <c r="C318" s="23" t="s">
        <v>1307</v>
      </c>
      <c r="D318" s="23">
        <v>40</v>
      </c>
      <c r="E318" s="23">
        <v>1</v>
      </c>
      <c r="F318" s="23" t="s">
        <v>1458</v>
      </c>
      <c r="G318" s="23" t="s">
        <v>1459</v>
      </c>
      <c r="H318" s="23" t="s">
        <v>1460</v>
      </c>
      <c r="I318" s="23" t="s">
        <v>223</v>
      </c>
      <c r="J318" s="23" t="s">
        <v>257</v>
      </c>
      <c r="K318" s="23" t="s">
        <v>26</v>
      </c>
      <c r="N318" s="73">
        <v>2</v>
      </c>
      <c r="O318" s="75"/>
      <c r="P318" s="76"/>
      <c r="Q318" s="77"/>
      <c r="S318" s="113">
        <v>2</v>
      </c>
      <c r="T318" s="68">
        <v>2</v>
      </c>
      <c r="U318" s="75">
        <v>2</v>
      </c>
      <c r="V318" s="78"/>
      <c r="W318" s="79"/>
      <c r="X318" s="80"/>
      <c r="AA318" s="81"/>
      <c r="AB318" s="23" t="s">
        <v>1082</v>
      </c>
      <c r="AC318" s="23" t="s">
        <v>25</v>
      </c>
      <c r="AD318" s="23" t="s">
        <v>330</v>
      </c>
      <c r="AE318" s="23"/>
      <c r="AF318" s="23" t="s">
        <v>1461</v>
      </c>
      <c r="AP318" s="73"/>
      <c r="AQ318" s="75"/>
      <c r="AR318" s="76"/>
      <c r="AS318" s="77"/>
      <c r="AV318" s="75"/>
      <c r="AW318" s="83"/>
      <c r="AX318" s="84"/>
      <c r="AY318" s="80"/>
      <c r="BB318" s="81"/>
    </row>
    <row r="319" spans="1:59" ht="15" customHeight="1">
      <c r="A319" s="23" t="s">
        <v>1303</v>
      </c>
      <c r="B319" s="23" t="s">
        <v>1462</v>
      </c>
      <c r="C319" s="23" t="s">
        <v>1307</v>
      </c>
      <c r="D319" s="23">
        <v>41</v>
      </c>
      <c r="E319" s="23">
        <v>1</v>
      </c>
      <c r="F319" s="23" t="s">
        <v>1463</v>
      </c>
      <c r="G319" s="23" t="s">
        <v>1463</v>
      </c>
      <c r="J319" s="23" t="s">
        <v>618</v>
      </c>
      <c r="N319" s="73"/>
      <c r="O319" s="75"/>
      <c r="P319" s="76"/>
      <c r="Q319" s="77"/>
      <c r="U319" s="75"/>
      <c r="V319" s="78"/>
      <c r="W319" s="79"/>
      <c r="X319" s="80"/>
      <c r="AA319" s="81"/>
      <c r="AE319" s="23"/>
      <c r="AF319" s="23" t="s">
        <v>1464</v>
      </c>
      <c r="AI319" s="23" t="s">
        <v>1463</v>
      </c>
      <c r="AL319" s="23" t="s">
        <v>618</v>
      </c>
      <c r="AP319" s="73"/>
      <c r="AQ319" s="75"/>
      <c r="AR319" s="76"/>
      <c r="AS319" s="77"/>
      <c r="AV319" s="75"/>
      <c r="AW319" s="83"/>
      <c r="AX319" s="84"/>
      <c r="AY319" s="80"/>
      <c r="BB319" s="81"/>
      <c r="BG319" s="23" t="s">
        <v>1465</v>
      </c>
    </row>
    <row r="320" spans="1:59" ht="15" customHeight="1">
      <c r="A320" s="23" t="s">
        <v>1303</v>
      </c>
      <c r="B320" s="23" t="s">
        <v>1466</v>
      </c>
      <c r="C320" s="23" t="s">
        <v>1307</v>
      </c>
      <c r="D320" s="23">
        <v>42</v>
      </c>
      <c r="E320" s="23">
        <v>1</v>
      </c>
      <c r="F320" s="23" t="s">
        <v>1463</v>
      </c>
      <c r="G320" s="23" t="s">
        <v>1467</v>
      </c>
      <c r="J320" s="23" t="s">
        <v>619</v>
      </c>
      <c r="L320" s="23">
        <v>1</v>
      </c>
      <c r="N320" s="73"/>
      <c r="O320" s="75"/>
      <c r="P320" s="76"/>
      <c r="Q320" s="77"/>
      <c r="U320" s="75"/>
      <c r="V320" s="78"/>
      <c r="W320" s="79"/>
      <c r="X320" s="80"/>
      <c r="Z320" s="68">
        <v>7</v>
      </c>
      <c r="AA320" s="81"/>
      <c r="AE320" s="23"/>
      <c r="AI320" s="23" t="s">
        <v>1467</v>
      </c>
      <c r="AL320" s="23" t="s">
        <v>619</v>
      </c>
      <c r="AN320" s="23">
        <v>1</v>
      </c>
      <c r="AP320" s="73"/>
      <c r="AQ320" s="75"/>
      <c r="AR320" s="76"/>
      <c r="AS320" s="77"/>
      <c r="AV320" s="75"/>
      <c r="AW320" s="83"/>
      <c r="AX320" s="84"/>
      <c r="AY320" s="80"/>
      <c r="BB320" s="81"/>
      <c r="BG320" s="23" t="s">
        <v>1468</v>
      </c>
    </row>
    <row r="321" spans="1:59" ht="15" customHeight="1">
      <c r="A321" s="23" t="s">
        <v>1303</v>
      </c>
      <c r="B321" s="23" t="s">
        <v>1469</v>
      </c>
      <c r="C321" s="23" t="s">
        <v>1307</v>
      </c>
      <c r="D321" s="23">
        <v>43</v>
      </c>
      <c r="E321" s="23">
        <v>1</v>
      </c>
      <c r="F321" s="23" t="s">
        <v>1463</v>
      </c>
      <c r="G321" s="23" t="s">
        <v>1470</v>
      </c>
      <c r="J321" s="23" t="s">
        <v>619</v>
      </c>
      <c r="L321" s="23">
        <v>2</v>
      </c>
      <c r="N321" s="73"/>
      <c r="O321" s="75"/>
      <c r="P321" s="76"/>
      <c r="Q321" s="77"/>
      <c r="U321" s="75"/>
      <c r="V321" s="78"/>
      <c r="W321" s="79"/>
      <c r="X321" s="80"/>
      <c r="Z321" s="68">
        <v>3</v>
      </c>
      <c r="AA321" s="81"/>
      <c r="AE321" s="23"/>
      <c r="AF321" s="23" t="s">
        <v>1471</v>
      </c>
      <c r="AI321" s="23" t="s">
        <v>1470</v>
      </c>
      <c r="AL321" s="23" t="s">
        <v>619</v>
      </c>
      <c r="AN321" s="23">
        <v>2</v>
      </c>
      <c r="AP321" s="73"/>
      <c r="AQ321" s="75"/>
      <c r="AR321" s="76"/>
      <c r="AS321" s="77"/>
      <c r="AV321" s="75"/>
      <c r="AW321" s="83"/>
      <c r="AX321" s="84"/>
      <c r="AY321" s="80"/>
      <c r="BB321" s="81"/>
      <c r="BG321" s="23" t="s">
        <v>1472</v>
      </c>
    </row>
    <row r="322" spans="1:59" ht="15" customHeight="1">
      <c r="A322" s="23" t="s">
        <v>1303</v>
      </c>
      <c r="B322" s="23" t="s">
        <v>1473</v>
      </c>
      <c r="C322" s="23" t="s">
        <v>1307</v>
      </c>
      <c r="D322" s="23">
        <v>44</v>
      </c>
      <c r="E322" s="23">
        <v>1</v>
      </c>
      <c r="F322" s="23" t="s">
        <v>1463</v>
      </c>
      <c r="G322" s="23" t="s">
        <v>1474</v>
      </c>
      <c r="J322" s="23" t="s">
        <v>619</v>
      </c>
      <c r="L322" s="23">
        <v>3</v>
      </c>
      <c r="N322" s="73"/>
      <c r="O322" s="75"/>
      <c r="P322" s="76"/>
      <c r="Q322" s="77"/>
      <c r="U322" s="75"/>
      <c r="V322" s="78"/>
      <c r="W322" s="79"/>
      <c r="X322" s="80"/>
      <c r="Z322" s="68">
        <v>2</v>
      </c>
      <c r="AA322" s="81"/>
      <c r="AE322" s="23"/>
      <c r="AF322" s="23" t="s">
        <v>1475</v>
      </c>
      <c r="AI322" s="23" t="s">
        <v>1474</v>
      </c>
      <c r="AL322" s="23" t="s">
        <v>619</v>
      </c>
      <c r="AN322" s="23">
        <v>3</v>
      </c>
      <c r="AP322" s="73"/>
      <c r="AQ322" s="75"/>
      <c r="AR322" s="76"/>
      <c r="AS322" s="77"/>
      <c r="AV322" s="75"/>
      <c r="AW322" s="83"/>
      <c r="AX322" s="84"/>
      <c r="AY322" s="80"/>
      <c r="BB322" s="81"/>
      <c r="BG322" s="23" t="s">
        <v>1476</v>
      </c>
    </row>
    <row r="323" spans="1:59" ht="15" customHeight="1">
      <c r="A323" s="23" t="s">
        <v>1303</v>
      </c>
      <c r="B323" s="23" t="s">
        <v>1477</v>
      </c>
      <c r="C323" s="23" t="s">
        <v>1307</v>
      </c>
      <c r="D323" s="23">
        <v>45</v>
      </c>
      <c r="E323" s="23">
        <v>1</v>
      </c>
      <c r="F323" s="23" t="s">
        <v>1463</v>
      </c>
      <c r="G323" s="23" t="s">
        <v>1478</v>
      </c>
      <c r="J323" s="23" t="s">
        <v>621</v>
      </c>
      <c r="L323" s="23">
        <v>1</v>
      </c>
      <c r="N323" s="73"/>
      <c r="O323" s="75"/>
      <c r="P323" s="76"/>
      <c r="Q323" s="77"/>
      <c r="U323" s="75"/>
      <c r="V323" s="78"/>
      <c r="W323" s="79"/>
      <c r="X323" s="80"/>
      <c r="Y323" s="66" t="s">
        <v>1696</v>
      </c>
      <c r="AA323" s="81"/>
      <c r="AE323" s="23"/>
      <c r="AI323" s="23" t="s">
        <v>1478</v>
      </c>
      <c r="AL323" s="23" t="s">
        <v>621</v>
      </c>
      <c r="AN323" s="23">
        <v>1</v>
      </c>
      <c r="AP323" s="73"/>
      <c r="AQ323" s="75"/>
      <c r="AR323" s="76"/>
      <c r="AS323" s="77"/>
      <c r="AV323" s="75"/>
      <c r="AW323" s="83"/>
      <c r="AX323" s="84"/>
      <c r="AY323" s="80"/>
      <c r="BB323" s="81"/>
      <c r="BG323" s="23" t="s">
        <v>1479</v>
      </c>
    </row>
    <row r="324" spans="1:59" ht="15" customHeight="1">
      <c r="A324" s="23" t="s">
        <v>1303</v>
      </c>
      <c r="B324" s="23" t="s">
        <v>1480</v>
      </c>
      <c r="C324" s="23" t="s">
        <v>1307</v>
      </c>
      <c r="D324" s="23">
        <v>46</v>
      </c>
      <c r="E324" s="23">
        <v>1</v>
      </c>
      <c r="F324" s="23" t="s">
        <v>1463</v>
      </c>
      <c r="G324" s="23" t="s">
        <v>1481</v>
      </c>
      <c r="J324" s="23" t="s">
        <v>621</v>
      </c>
      <c r="L324" s="23">
        <v>2</v>
      </c>
      <c r="N324" s="73"/>
      <c r="O324" s="75"/>
      <c r="P324" s="76"/>
      <c r="Q324" s="77"/>
      <c r="U324" s="75"/>
      <c r="V324" s="78"/>
      <c r="W324" s="79"/>
      <c r="X324" s="80"/>
      <c r="Y324" s="66">
        <v>0</v>
      </c>
      <c r="AA324" s="81"/>
      <c r="AE324" s="23"/>
      <c r="AF324" s="23" t="s">
        <v>1482</v>
      </c>
      <c r="AI324" s="23" t="s">
        <v>1481</v>
      </c>
      <c r="AL324" s="23" t="s">
        <v>621</v>
      </c>
      <c r="AN324" s="23">
        <v>2</v>
      </c>
      <c r="AP324" s="73"/>
      <c r="AQ324" s="75"/>
      <c r="AR324" s="76"/>
      <c r="AS324" s="77"/>
      <c r="AV324" s="75"/>
      <c r="AW324" s="83"/>
      <c r="AX324" s="84"/>
      <c r="AY324" s="80"/>
      <c r="BB324" s="81"/>
      <c r="BG324" s="23" t="s">
        <v>1483</v>
      </c>
    </row>
    <row r="325" spans="1:59" ht="15" customHeight="1">
      <c r="A325" s="23" t="s">
        <v>1303</v>
      </c>
      <c r="B325" s="23" t="s">
        <v>1484</v>
      </c>
      <c r="C325" s="23" t="s">
        <v>1307</v>
      </c>
      <c r="D325" s="23">
        <v>47</v>
      </c>
      <c r="E325" s="23">
        <v>1</v>
      </c>
      <c r="F325" s="23" t="s">
        <v>1463</v>
      </c>
      <c r="G325" s="23" t="s">
        <v>1485</v>
      </c>
      <c r="J325" s="23" t="s">
        <v>621</v>
      </c>
      <c r="L325" s="23">
        <v>3</v>
      </c>
      <c r="N325" s="73"/>
      <c r="O325" s="75"/>
      <c r="P325" s="76"/>
      <c r="Q325" s="77"/>
      <c r="U325" s="75"/>
      <c r="V325" s="78"/>
      <c r="W325" s="79"/>
      <c r="X325" s="80"/>
      <c r="Y325" s="66">
        <v>0</v>
      </c>
      <c r="AA325" s="81"/>
      <c r="AE325" s="23"/>
      <c r="AF325" s="23" t="s">
        <v>1486</v>
      </c>
      <c r="AI325" s="23" t="s">
        <v>1485</v>
      </c>
      <c r="AL325" s="23" t="s">
        <v>621</v>
      </c>
      <c r="AN325" s="23">
        <v>3</v>
      </c>
      <c r="AP325" s="73"/>
      <c r="AQ325" s="75"/>
      <c r="AR325" s="76"/>
      <c r="AS325" s="77"/>
      <c r="AV325" s="75"/>
      <c r="AW325" s="83"/>
      <c r="AX325" s="84"/>
      <c r="AY325" s="80"/>
      <c r="BB325" s="81"/>
      <c r="BG325" s="23" t="s">
        <v>1487</v>
      </c>
    </row>
    <row r="326" spans="1:59" ht="15" customHeight="1">
      <c r="A326" s="23" t="s">
        <v>1303</v>
      </c>
      <c r="B326" s="23" t="s">
        <v>1488</v>
      </c>
      <c r="C326" s="23" t="s">
        <v>1307</v>
      </c>
      <c r="D326" s="23">
        <v>48</v>
      </c>
      <c r="E326" s="23">
        <v>1</v>
      </c>
      <c r="F326" s="23" t="s">
        <v>1463</v>
      </c>
      <c r="G326" s="23" t="s">
        <v>1489</v>
      </c>
      <c r="J326" s="23" t="s">
        <v>31</v>
      </c>
      <c r="N326" s="73"/>
      <c r="O326" s="75"/>
      <c r="P326" s="76"/>
      <c r="Q326" s="77"/>
      <c r="U326" s="75"/>
      <c r="V326" s="78"/>
      <c r="W326" s="79"/>
      <c r="X326" s="80"/>
      <c r="AA326" s="81"/>
      <c r="AD326" s="23" t="s">
        <v>242</v>
      </c>
      <c r="AE326" s="23"/>
      <c r="AI326" s="23" t="s">
        <v>1489</v>
      </c>
      <c r="AL326" s="23" t="s">
        <v>31</v>
      </c>
      <c r="AP326" s="73"/>
      <c r="AQ326" s="75"/>
      <c r="AR326" s="76"/>
      <c r="AS326" s="77"/>
      <c r="AV326" s="75"/>
      <c r="AW326" s="83"/>
      <c r="AX326" s="84"/>
      <c r="AY326" s="80">
        <v>3</v>
      </c>
      <c r="AZ326" s="66">
        <v>0</v>
      </c>
      <c r="BB326" s="81"/>
      <c r="BE326" s="23" t="s">
        <v>242</v>
      </c>
      <c r="BG326" s="23" t="s">
        <v>1490</v>
      </c>
    </row>
    <row r="327" spans="1:59" ht="15" customHeight="1">
      <c r="A327" s="23" t="s">
        <v>1303</v>
      </c>
      <c r="B327" s="23" t="s">
        <v>1491</v>
      </c>
      <c r="C327" s="23" t="s">
        <v>1307</v>
      </c>
      <c r="D327" s="23">
        <v>49</v>
      </c>
      <c r="E327" s="23">
        <v>1</v>
      </c>
      <c r="F327" s="23" t="s">
        <v>1463</v>
      </c>
      <c r="G327" s="23" t="s">
        <v>1492</v>
      </c>
      <c r="J327" s="23" t="s">
        <v>31</v>
      </c>
      <c r="N327" s="73"/>
      <c r="O327" s="75"/>
      <c r="P327" s="76"/>
      <c r="Q327" s="77"/>
      <c r="U327" s="75"/>
      <c r="V327" s="78"/>
      <c r="W327" s="79"/>
      <c r="X327" s="80"/>
      <c r="AA327" s="81"/>
      <c r="AD327" s="23" t="s">
        <v>242</v>
      </c>
      <c r="AE327" s="23"/>
      <c r="AI327" s="23" t="s">
        <v>1492</v>
      </c>
      <c r="AL327" s="23" t="s">
        <v>31</v>
      </c>
      <c r="AP327" s="73"/>
      <c r="AQ327" s="75"/>
      <c r="AR327" s="76"/>
      <c r="AS327" s="77"/>
      <c r="AV327" s="75"/>
      <c r="AW327" s="83"/>
      <c r="AX327" s="84"/>
      <c r="AY327" s="80">
        <v>3</v>
      </c>
      <c r="AZ327" s="66" t="s">
        <v>1697</v>
      </c>
      <c r="BB327" s="81"/>
      <c r="BE327" s="23" t="s">
        <v>242</v>
      </c>
      <c r="BG327" s="23" t="s">
        <v>1493</v>
      </c>
    </row>
    <row r="328" spans="1:59" ht="15" customHeight="1">
      <c r="A328" s="23" t="s">
        <v>1303</v>
      </c>
      <c r="B328" s="23" t="s">
        <v>1494</v>
      </c>
      <c r="C328" s="23" t="s">
        <v>1307</v>
      </c>
      <c r="D328" s="23">
        <v>50</v>
      </c>
      <c r="E328" s="23">
        <v>1</v>
      </c>
      <c r="F328" s="23" t="s">
        <v>1463</v>
      </c>
      <c r="G328" s="23" t="s">
        <v>1495</v>
      </c>
      <c r="J328" s="23" t="s">
        <v>31</v>
      </c>
      <c r="N328" s="73"/>
      <c r="O328" s="75"/>
      <c r="P328" s="76"/>
      <c r="Q328" s="77"/>
      <c r="U328" s="75"/>
      <c r="V328" s="78"/>
      <c r="W328" s="79"/>
      <c r="X328" s="80"/>
      <c r="AA328" s="81"/>
      <c r="AD328" s="23" t="s">
        <v>242</v>
      </c>
      <c r="AE328" s="23"/>
      <c r="AI328" s="23" t="s">
        <v>1495</v>
      </c>
      <c r="AL328" s="23" t="s">
        <v>31</v>
      </c>
      <c r="AP328" s="73"/>
      <c r="AQ328" s="75"/>
      <c r="AR328" s="76"/>
      <c r="AS328" s="77"/>
      <c r="AV328" s="75"/>
      <c r="AW328" s="83"/>
      <c r="AX328" s="84"/>
      <c r="AY328" s="80">
        <v>3</v>
      </c>
      <c r="AZ328" s="66" t="s">
        <v>1071</v>
      </c>
      <c r="BB328" s="81">
        <v>1</v>
      </c>
      <c r="BE328" s="23" t="s">
        <v>242</v>
      </c>
      <c r="BG328" s="23" t="s">
        <v>1496</v>
      </c>
    </row>
    <row r="329" spans="1:59" ht="15" customHeight="1">
      <c r="A329" s="23" t="s">
        <v>1303</v>
      </c>
      <c r="B329" s="23" t="s">
        <v>1497</v>
      </c>
      <c r="C329" s="23" t="s">
        <v>1307</v>
      </c>
      <c r="D329" s="23">
        <v>51</v>
      </c>
      <c r="E329" s="23">
        <v>1</v>
      </c>
      <c r="F329" s="23" t="s">
        <v>1463</v>
      </c>
      <c r="G329" s="23" t="s">
        <v>1498</v>
      </c>
      <c r="J329" s="23" t="s">
        <v>31</v>
      </c>
      <c r="N329" s="73"/>
      <c r="O329" s="75"/>
      <c r="P329" s="76"/>
      <c r="Q329" s="77"/>
      <c r="U329" s="75"/>
      <c r="V329" s="78"/>
      <c r="W329" s="79"/>
      <c r="X329" s="80"/>
      <c r="AA329" s="81"/>
      <c r="AD329" s="23" t="s">
        <v>242</v>
      </c>
      <c r="AE329" s="23"/>
      <c r="AI329" s="23" t="s">
        <v>1498</v>
      </c>
      <c r="AL329" s="23" t="s">
        <v>31</v>
      </c>
      <c r="AP329" s="73"/>
      <c r="AQ329" s="75"/>
      <c r="AR329" s="76"/>
      <c r="AS329" s="77"/>
      <c r="AV329" s="75"/>
      <c r="AW329" s="83"/>
      <c r="AX329" s="84"/>
      <c r="AY329" s="80">
        <v>1</v>
      </c>
      <c r="AZ329" s="66">
        <v>2</v>
      </c>
      <c r="BB329" s="81"/>
      <c r="BE329" s="23" t="s">
        <v>242</v>
      </c>
      <c r="BG329" s="23" t="s">
        <v>1499</v>
      </c>
    </row>
    <row r="330" spans="1:59" ht="15" customHeight="1">
      <c r="A330" s="23" t="s">
        <v>1303</v>
      </c>
      <c r="B330" s="23" t="s">
        <v>1500</v>
      </c>
      <c r="C330" s="23" t="s">
        <v>1307</v>
      </c>
      <c r="D330" s="23">
        <v>52</v>
      </c>
      <c r="E330" s="23">
        <v>1</v>
      </c>
      <c r="F330" s="23" t="s">
        <v>1463</v>
      </c>
      <c r="G330" s="23" t="s">
        <v>1501</v>
      </c>
      <c r="J330" s="23" t="s">
        <v>31</v>
      </c>
      <c r="N330" s="73"/>
      <c r="O330" s="75"/>
      <c r="P330" s="76"/>
      <c r="Q330" s="77"/>
      <c r="U330" s="75"/>
      <c r="V330" s="78"/>
      <c r="W330" s="79"/>
      <c r="X330" s="80"/>
      <c r="AA330" s="81"/>
      <c r="AD330" s="23" t="s">
        <v>242</v>
      </c>
      <c r="AE330" s="23"/>
      <c r="AF330" s="23" t="s">
        <v>1502</v>
      </c>
      <c r="AI330" s="23" t="s">
        <v>1501</v>
      </c>
      <c r="AL330" s="23" t="s">
        <v>31</v>
      </c>
      <c r="AP330" s="73"/>
      <c r="AQ330" s="75"/>
      <c r="AR330" s="76"/>
      <c r="AS330" s="77"/>
      <c r="AV330" s="75"/>
      <c r="AW330" s="83"/>
      <c r="AX330" s="84"/>
      <c r="AY330" s="80">
        <v>1</v>
      </c>
      <c r="AZ330" s="66" t="s">
        <v>1696</v>
      </c>
      <c r="BB330" s="81">
        <v>1</v>
      </c>
      <c r="BE330" s="23" t="s">
        <v>242</v>
      </c>
      <c r="BG330" s="23" t="s">
        <v>1503</v>
      </c>
    </row>
    <row r="331" spans="1:59" ht="15" customHeight="1">
      <c r="A331" s="23" t="s">
        <v>1303</v>
      </c>
      <c r="B331" s="23" t="s">
        <v>1504</v>
      </c>
      <c r="C331" s="23" t="s">
        <v>1307</v>
      </c>
      <c r="D331" s="23">
        <v>53</v>
      </c>
      <c r="E331" s="23">
        <v>1</v>
      </c>
      <c r="F331" s="23" t="s">
        <v>1463</v>
      </c>
      <c r="G331" s="23" t="s">
        <v>1700</v>
      </c>
      <c r="J331" s="23" t="s">
        <v>31</v>
      </c>
      <c r="N331" s="73"/>
      <c r="O331" s="75"/>
      <c r="P331" s="76"/>
      <c r="Q331" s="77"/>
      <c r="U331" s="75"/>
      <c r="V331" s="78"/>
      <c r="W331" s="79"/>
      <c r="X331" s="80"/>
      <c r="AA331" s="81"/>
      <c r="AD331" s="23" t="s">
        <v>242</v>
      </c>
      <c r="AE331" s="23"/>
      <c r="AI331" s="23" t="s">
        <v>1700</v>
      </c>
      <c r="AL331" s="23" t="s">
        <v>31</v>
      </c>
      <c r="AP331" s="73"/>
      <c r="AQ331" s="75"/>
      <c r="AR331" s="76"/>
      <c r="AS331" s="77"/>
      <c r="AV331" s="75"/>
      <c r="AW331" s="83"/>
      <c r="AX331" s="84"/>
      <c r="AY331" s="80">
        <v>4</v>
      </c>
      <c r="AZ331" s="66" t="s">
        <v>1071</v>
      </c>
      <c r="BB331" s="81"/>
      <c r="BE331" s="23" t="s">
        <v>242</v>
      </c>
      <c r="BG331" s="23" t="s">
        <v>1505</v>
      </c>
    </row>
    <row r="332" spans="1:59" ht="15" customHeight="1">
      <c r="A332" s="23" t="s">
        <v>1303</v>
      </c>
      <c r="B332" s="23" t="s">
        <v>1506</v>
      </c>
      <c r="C332" s="23" t="s">
        <v>1307</v>
      </c>
      <c r="D332" s="23">
        <v>54</v>
      </c>
      <c r="E332" s="23">
        <v>1</v>
      </c>
      <c r="F332" s="23" t="s">
        <v>1463</v>
      </c>
      <c r="G332" s="23" t="s">
        <v>1507</v>
      </c>
      <c r="J332" s="23" t="s">
        <v>31</v>
      </c>
      <c r="N332" s="73"/>
      <c r="O332" s="75"/>
      <c r="P332" s="76"/>
      <c r="Q332" s="77"/>
      <c r="U332" s="75"/>
      <c r="V332" s="78"/>
      <c r="W332" s="79"/>
      <c r="X332" s="80"/>
      <c r="AA332" s="81"/>
      <c r="AD332" s="23" t="s">
        <v>242</v>
      </c>
      <c r="AE332" s="23"/>
      <c r="AF332" s="23" t="s">
        <v>1508</v>
      </c>
      <c r="AI332" s="23" t="s">
        <v>1507</v>
      </c>
      <c r="AJ332" s="23" t="s">
        <v>1509</v>
      </c>
      <c r="AL332" s="23" t="s">
        <v>31</v>
      </c>
      <c r="AP332" s="73"/>
      <c r="AQ332" s="75"/>
      <c r="AR332" s="76"/>
      <c r="AS332" s="77"/>
      <c r="AV332" s="75"/>
      <c r="AW332" s="83"/>
      <c r="AX332" s="84"/>
      <c r="AY332" s="80">
        <v>2</v>
      </c>
      <c r="AZ332" s="66" t="s">
        <v>1697</v>
      </c>
      <c r="BB332" s="81">
        <v>1</v>
      </c>
      <c r="BE332" s="23" t="s">
        <v>242</v>
      </c>
      <c r="BG332" s="23" t="s">
        <v>1510</v>
      </c>
    </row>
    <row r="333" spans="1:59" ht="15" customHeight="1">
      <c r="A333" s="23" t="s">
        <v>1303</v>
      </c>
      <c r="B333" s="23" t="s">
        <v>1511</v>
      </c>
      <c r="C333" s="23" t="s">
        <v>1307</v>
      </c>
      <c r="D333" s="23">
        <v>55</v>
      </c>
      <c r="E333" s="23">
        <v>1</v>
      </c>
      <c r="F333" s="23" t="s">
        <v>1463</v>
      </c>
      <c r="G333" s="23" t="s">
        <v>1507</v>
      </c>
      <c r="J333" s="23" t="s">
        <v>31</v>
      </c>
      <c r="N333" s="73"/>
      <c r="O333" s="75"/>
      <c r="P333" s="76"/>
      <c r="Q333" s="77"/>
      <c r="U333" s="75"/>
      <c r="V333" s="78"/>
      <c r="W333" s="79"/>
      <c r="X333" s="80"/>
      <c r="AA333" s="81"/>
      <c r="AD333" s="23" t="s">
        <v>242</v>
      </c>
      <c r="AE333" s="23"/>
      <c r="AF333" s="23" t="s">
        <v>1508</v>
      </c>
      <c r="AI333" s="23" t="s">
        <v>1507</v>
      </c>
      <c r="AJ333" s="23" t="s">
        <v>1512</v>
      </c>
      <c r="AL333" s="23" t="s">
        <v>31</v>
      </c>
      <c r="AP333" s="73"/>
      <c r="AQ333" s="75"/>
      <c r="AR333" s="76"/>
      <c r="AS333" s="77"/>
      <c r="AV333" s="75"/>
      <c r="AW333" s="83"/>
      <c r="AX333" s="84"/>
      <c r="AY333" s="80">
        <v>2</v>
      </c>
      <c r="AZ333" s="66">
        <v>0</v>
      </c>
      <c r="BB333" s="81"/>
      <c r="BE333" s="23" t="s">
        <v>242</v>
      </c>
    </row>
    <row r="334" spans="1:59" ht="15" customHeight="1">
      <c r="A334" s="23" t="s">
        <v>1303</v>
      </c>
      <c r="B334" s="23" t="s">
        <v>1513</v>
      </c>
      <c r="C334" s="23" t="s">
        <v>1307</v>
      </c>
      <c r="D334" s="23">
        <v>56</v>
      </c>
      <c r="E334" s="23">
        <v>1</v>
      </c>
      <c r="F334" s="23" t="s">
        <v>1463</v>
      </c>
      <c r="G334" s="23" t="s">
        <v>1514</v>
      </c>
      <c r="J334" s="23" t="s">
        <v>31</v>
      </c>
      <c r="N334" s="73"/>
      <c r="O334" s="75"/>
      <c r="P334" s="76"/>
      <c r="Q334" s="77"/>
      <c r="U334" s="75"/>
      <c r="V334" s="78"/>
      <c r="W334" s="79"/>
      <c r="X334" s="80"/>
      <c r="AA334" s="81"/>
      <c r="AD334" s="23" t="s">
        <v>242</v>
      </c>
      <c r="AE334" s="23"/>
      <c r="AI334" s="23" t="s">
        <v>1514</v>
      </c>
      <c r="AL334" s="23" t="s">
        <v>31</v>
      </c>
      <c r="AP334" s="73"/>
      <c r="AQ334" s="75"/>
      <c r="AR334" s="76"/>
      <c r="AS334" s="77"/>
      <c r="AV334" s="75"/>
      <c r="AW334" s="83"/>
      <c r="AX334" s="84"/>
      <c r="AY334" s="80">
        <v>2</v>
      </c>
      <c r="AZ334" s="66" t="s">
        <v>1071</v>
      </c>
      <c r="BB334" s="81"/>
      <c r="BE334" s="23" t="s">
        <v>242</v>
      </c>
      <c r="BG334" s="23" t="s">
        <v>1515</v>
      </c>
    </row>
    <row r="335" spans="1:59" ht="15" customHeight="1">
      <c r="A335" s="23" t="s">
        <v>1303</v>
      </c>
      <c r="B335" s="23" t="s">
        <v>1516</v>
      </c>
      <c r="C335" s="23" t="s">
        <v>1307</v>
      </c>
      <c r="D335" s="23">
        <v>57</v>
      </c>
      <c r="E335" s="23">
        <v>1</v>
      </c>
      <c r="F335" s="23" t="s">
        <v>1463</v>
      </c>
      <c r="G335" s="23" t="s">
        <v>1517</v>
      </c>
      <c r="J335" s="23" t="s">
        <v>31</v>
      </c>
      <c r="N335" s="73"/>
      <c r="O335" s="75"/>
      <c r="P335" s="76"/>
      <c r="Q335" s="77"/>
      <c r="U335" s="75"/>
      <c r="V335" s="78"/>
      <c r="W335" s="79"/>
      <c r="X335" s="80"/>
      <c r="AA335" s="81"/>
      <c r="AD335" s="23" t="s">
        <v>242</v>
      </c>
      <c r="AE335" s="23"/>
      <c r="AF335" s="23" t="s">
        <v>1518</v>
      </c>
      <c r="AI335" s="23" t="s">
        <v>1517</v>
      </c>
      <c r="AL335" s="23" t="s">
        <v>31</v>
      </c>
      <c r="AP335" s="73"/>
      <c r="AQ335" s="75"/>
      <c r="AR335" s="76"/>
      <c r="AS335" s="77"/>
      <c r="AV335" s="75"/>
      <c r="AW335" s="83"/>
      <c r="AX335" s="84"/>
      <c r="AY335" s="80">
        <v>5</v>
      </c>
      <c r="AZ335" s="66">
        <v>0</v>
      </c>
      <c r="BB335" s="81"/>
      <c r="BE335" s="23" t="s">
        <v>242</v>
      </c>
      <c r="BG335" s="23" t="s">
        <v>1519</v>
      </c>
    </row>
    <row r="336" spans="1:59" ht="15" customHeight="1">
      <c r="A336" s="23" t="s">
        <v>1303</v>
      </c>
      <c r="B336" s="23" t="s">
        <v>1520</v>
      </c>
      <c r="C336" s="23" t="s">
        <v>1307</v>
      </c>
      <c r="D336" s="23">
        <v>58</v>
      </c>
      <c r="E336" s="23">
        <v>1</v>
      </c>
      <c r="F336" s="23" t="s">
        <v>1463</v>
      </c>
      <c r="G336" s="23" t="s">
        <v>1521</v>
      </c>
      <c r="H336" s="23" t="s">
        <v>1522</v>
      </c>
      <c r="I336" s="23" t="s">
        <v>223</v>
      </c>
      <c r="J336" s="23" t="s">
        <v>29</v>
      </c>
      <c r="N336" s="73"/>
      <c r="O336" s="75"/>
      <c r="P336" s="76"/>
      <c r="Q336" s="77">
        <v>4</v>
      </c>
      <c r="R336" s="66">
        <v>2</v>
      </c>
      <c r="T336" s="68">
        <v>7</v>
      </c>
      <c r="U336" s="75"/>
      <c r="V336" s="78">
        <v>2</v>
      </c>
      <c r="W336" s="79">
        <v>2</v>
      </c>
      <c r="X336" s="80"/>
      <c r="AA336" s="81">
        <v>2</v>
      </c>
      <c r="AD336" s="23" t="s">
        <v>1523</v>
      </c>
      <c r="AE336" s="23"/>
      <c r="AF336" s="23" t="s">
        <v>1524</v>
      </c>
      <c r="AP336" s="73"/>
      <c r="AQ336" s="75"/>
      <c r="AR336" s="76"/>
      <c r="AS336" s="77"/>
      <c r="AV336" s="75"/>
      <c r="AW336" s="83"/>
      <c r="AX336" s="84"/>
      <c r="AY336" s="80"/>
      <c r="BB336" s="81"/>
    </row>
    <row r="337" spans="1:62" ht="15" customHeight="1">
      <c r="A337" s="23" t="s">
        <v>1303</v>
      </c>
      <c r="B337" s="23" t="s">
        <v>1525</v>
      </c>
      <c r="C337" s="23" t="s">
        <v>1307</v>
      </c>
      <c r="D337" s="23">
        <v>59</v>
      </c>
      <c r="E337" s="23">
        <v>1</v>
      </c>
      <c r="F337" s="23" t="s">
        <v>1463</v>
      </c>
      <c r="G337" s="23" t="s">
        <v>1526</v>
      </c>
      <c r="J337" s="23" t="s">
        <v>257</v>
      </c>
      <c r="K337" s="23" t="s">
        <v>26</v>
      </c>
      <c r="N337" s="73"/>
      <c r="O337" s="75"/>
      <c r="P337" s="76"/>
      <c r="Q337" s="77"/>
      <c r="U337" s="75"/>
      <c r="V337" s="78"/>
      <c r="W337" s="79"/>
      <c r="X337" s="80"/>
      <c r="AA337" s="81"/>
      <c r="AD337" s="23" t="s">
        <v>1398</v>
      </c>
      <c r="AE337" s="23"/>
      <c r="AF337" s="23" t="s">
        <v>1527</v>
      </c>
      <c r="AP337" s="73"/>
      <c r="AQ337" s="75"/>
      <c r="AR337" s="76"/>
      <c r="AS337" s="77"/>
      <c r="AV337" s="75"/>
      <c r="AW337" s="83"/>
      <c r="AX337" s="84"/>
      <c r="AY337" s="80"/>
      <c r="BB337" s="81"/>
      <c r="BJ337" s="23" t="s">
        <v>1982</v>
      </c>
    </row>
    <row r="338" spans="1:62" ht="15" customHeight="1">
      <c r="A338" s="23" t="s">
        <v>1303</v>
      </c>
      <c r="B338" s="23" t="s">
        <v>1528</v>
      </c>
      <c r="C338" s="23" t="s">
        <v>1307</v>
      </c>
      <c r="D338" s="23">
        <v>60</v>
      </c>
      <c r="E338" s="23">
        <v>1</v>
      </c>
      <c r="F338" s="23" t="s">
        <v>1463</v>
      </c>
      <c r="G338" s="23" t="s">
        <v>1529</v>
      </c>
      <c r="H338" s="23" t="s">
        <v>1530</v>
      </c>
      <c r="I338" s="23" t="s">
        <v>223</v>
      </c>
      <c r="J338" s="23" t="s">
        <v>257</v>
      </c>
      <c r="K338" s="23" t="s">
        <v>26</v>
      </c>
      <c r="N338" s="73"/>
      <c r="O338" s="75"/>
      <c r="P338" s="76"/>
      <c r="Q338" s="77"/>
      <c r="T338" s="68">
        <v>2</v>
      </c>
      <c r="U338" s="75">
        <v>2</v>
      </c>
      <c r="V338" s="78"/>
      <c r="W338" s="79"/>
      <c r="X338" s="80"/>
      <c r="AA338" s="81"/>
      <c r="AD338" s="23" t="s">
        <v>330</v>
      </c>
      <c r="AE338" s="23"/>
      <c r="AF338" s="23" t="s">
        <v>1531</v>
      </c>
      <c r="AP338" s="73"/>
      <c r="AQ338" s="75"/>
      <c r="AR338" s="76"/>
      <c r="AS338" s="77"/>
      <c r="AV338" s="75"/>
      <c r="AW338" s="83"/>
      <c r="AX338" s="84"/>
      <c r="AY338" s="80"/>
      <c r="BB338" s="81"/>
      <c r="BJ338" s="23" t="s">
        <v>1982</v>
      </c>
    </row>
    <row r="339" spans="1:62" ht="15" customHeight="1">
      <c r="A339" s="23" t="s">
        <v>1303</v>
      </c>
      <c r="B339" s="23" t="s">
        <v>1532</v>
      </c>
      <c r="C339" s="23" t="s">
        <v>1307</v>
      </c>
      <c r="D339" s="23">
        <v>61</v>
      </c>
      <c r="E339" s="23">
        <v>1</v>
      </c>
      <c r="F339" s="23" t="s">
        <v>1463</v>
      </c>
      <c r="G339" s="23" t="s">
        <v>1533</v>
      </c>
      <c r="H339" s="23" t="s">
        <v>1534</v>
      </c>
      <c r="I339" s="23" t="s">
        <v>223</v>
      </c>
      <c r="J339" s="23" t="s">
        <v>257</v>
      </c>
      <c r="K339" s="23" t="s">
        <v>26</v>
      </c>
      <c r="N339" s="73">
        <v>3</v>
      </c>
      <c r="O339" s="75"/>
      <c r="P339" s="76">
        <v>1</v>
      </c>
      <c r="Q339" s="77"/>
      <c r="S339" s="113">
        <v>1</v>
      </c>
      <c r="T339" s="68">
        <v>2</v>
      </c>
      <c r="U339" s="75">
        <v>3</v>
      </c>
      <c r="V339" s="78"/>
      <c r="W339" s="79"/>
      <c r="X339" s="80"/>
      <c r="AA339" s="81"/>
      <c r="AB339" s="23" t="s">
        <v>1178</v>
      </c>
      <c r="AC339" s="23" t="s">
        <v>25</v>
      </c>
      <c r="AD339" s="23" t="s">
        <v>330</v>
      </c>
      <c r="AE339" s="23"/>
      <c r="AF339" s="23" t="s">
        <v>1535</v>
      </c>
      <c r="AP339" s="73"/>
      <c r="AQ339" s="75"/>
      <c r="AR339" s="76"/>
      <c r="AS339" s="77"/>
      <c r="AV339" s="75"/>
      <c r="AW339" s="83"/>
      <c r="AX339" s="84"/>
      <c r="AY339" s="80"/>
      <c r="BB339" s="81"/>
    </row>
    <row r="340" spans="1:62" ht="15" customHeight="1">
      <c r="A340" s="23" t="s">
        <v>1303</v>
      </c>
      <c r="B340" s="23" t="s">
        <v>1536</v>
      </c>
      <c r="C340" s="23" t="s">
        <v>1307</v>
      </c>
      <c r="D340" s="23">
        <v>62</v>
      </c>
      <c r="E340" s="23">
        <v>1</v>
      </c>
      <c r="F340" s="23" t="s">
        <v>1537</v>
      </c>
      <c r="G340" s="23" t="s">
        <v>1537</v>
      </c>
      <c r="J340" s="23" t="s">
        <v>618</v>
      </c>
      <c r="N340" s="73"/>
      <c r="O340" s="75"/>
      <c r="P340" s="76"/>
      <c r="Q340" s="77"/>
      <c r="U340" s="75"/>
      <c r="V340" s="78"/>
      <c r="W340" s="79"/>
      <c r="X340" s="80"/>
      <c r="AA340" s="81"/>
      <c r="AE340" s="23"/>
      <c r="AF340" s="23" t="s">
        <v>1538</v>
      </c>
      <c r="AI340" s="23" t="s">
        <v>1537</v>
      </c>
      <c r="AL340" s="23" t="s">
        <v>618</v>
      </c>
      <c r="AP340" s="73"/>
      <c r="AQ340" s="75"/>
      <c r="AR340" s="76"/>
      <c r="AS340" s="77"/>
      <c r="AV340" s="75"/>
      <c r="AW340" s="83"/>
      <c r="AX340" s="84"/>
      <c r="AY340" s="80"/>
      <c r="BB340" s="81"/>
      <c r="BG340" s="23" t="s">
        <v>1539</v>
      </c>
    </row>
    <row r="341" spans="1:62" ht="15" customHeight="1">
      <c r="A341" s="23" t="s">
        <v>1303</v>
      </c>
      <c r="B341" s="23" t="s">
        <v>1540</v>
      </c>
      <c r="C341" s="23" t="s">
        <v>1307</v>
      </c>
      <c r="D341" s="23">
        <v>63</v>
      </c>
      <c r="E341" s="23">
        <v>1</v>
      </c>
      <c r="F341" s="23" t="s">
        <v>1537</v>
      </c>
      <c r="G341" s="23" t="s">
        <v>1541</v>
      </c>
      <c r="J341" s="23" t="s">
        <v>619</v>
      </c>
      <c r="L341" s="23">
        <v>1</v>
      </c>
      <c r="N341" s="73"/>
      <c r="O341" s="75"/>
      <c r="P341" s="76"/>
      <c r="Q341" s="77"/>
      <c r="U341" s="75"/>
      <c r="V341" s="78"/>
      <c r="W341" s="79"/>
      <c r="X341" s="80"/>
      <c r="Z341" s="68">
        <v>4</v>
      </c>
      <c r="AA341" s="81"/>
      <c r="AE341" s="23"/>
      <c r="AF341" s="23" t="s">
        <v>1542</v>
      </c>
      <c r="AI341" s="23" t="s">
        <v>1701</v>
      </c>
      <c r="AL341" s="23" t="s">
        <v>619</v>
      </c>
      <c r="AN341" s="23">
        <v>1</v>
      </c>
      <c r="AP341" s="73"/>
      <c r="AQ341" s="75"/>
      <c r="AR341" s="76"/>
      <c r="AS341" s="77"/>
      <c r="AV341" s="75"/>
      <c r="AW341" s="83"/>
      <c r="AX341" s="84"/>
      <c r="AY341" s="80"/>
      <c r="BB341" s="81"/>
      <c r="BG341" s="23" t="s">
        <v>1543</v>
      </c>
    </row>
    <row r="342" spans="1:62" ht="15" customHeight="1">
      <c r="A342" s="23" t="s">
        <v>1303</v>
      </c>
      <c r="B342" s="23" t="s">
        <v>1544</v>
      </c>
      <c r="C342" s="23" t="s">
        <v>1307</v>
      </c>
      <c r="D342" s="23">
        <v>64</v>
      </c>
      <c r="E342" s="23">
        <v>1</v>
      </c>
      <c r="F342" s="23" t="s">
        <v>1537</v>
      </c>
      <c r="G342" s="23" t="s">
        <v>1545</v>
      </c>
      <c r="J342" s="23" t="s">
        <v>619</v>
      </c>
      <c r="L342" s="23">
        <v>2</v>
      </c>
      <c r="N342" s="73"/>
      <c r="O342" s="75"/>
      <c r="P342" s="76"/>
      <c r="Q342" s="77"/>
      <c r="U342" s="75"/>
      <c r="V342" s="78"/>
      <c r="W342" s="79"/>
      <c r="X342" s="80"/>
      <c r="Z342" s="68">
        <v>3</v>
      </c>
      <c r="AA342" s="81"/>
      <c r="AE342" s="23"/>
      <c r="AI342" s="23" t="s">
        <v>1702</v>
      </c>
      <c r="AL342" s="23" t="s">
        <v>619</v>
      </c>
      <c r="AN342" s="23">
        <v>2</v>
      </c>
      <c r="AP342" s="73"/>
      <c r="AQ342" s="75"/>
      <c r="AR342" s="76"/>
      <c r="AS342" s="77"/>
      <c r="AV342" s="75"/>
      <c r="AW342" s="83"/>
      <c r="AX342" s="84"/>
      <c r="AY342" s="80"/>
      <c r="BB342" s="81"/>
      <c r="BG342" s="23" t="s">
        <v>1546</v>
      </c>
    </row>
    <row r="343" spans="1:62" ht="15" customHeight="1">
      <c r="A343" s="23" t="s">
        <v>1303</v>
      </c>
      <c r="B343" s="23" t="s">
        <v>1547</v>
      </c>
      <c r="C343" s="23" t="s">
        <v>1307</v>
      </c>
      <c r="D343" s="23">
        <v>65</v>
      </c>
      <c r="E343" s="23">
        <v>1</v>
      </c>
      <c r="F343" s="23" t="s">
        <v>1537</v>
      </c>
      <c r="G343" s="23" t="s">
        <v>1548</v>
      </c>
      <c r="J343" s="23" t="s">
        <v>619</v>
      </c>
      <c r="L343" s="23">
        <v>3</v>
      </c>
      <c r="N343" s="73"/>
      <c r="O343" s="75"/>
      <c r="P343" s="76"/>
      <c r="Q343" s="77"/>
      <c r="U343" s="75"/>
      <c r="V343" s="78"/>
      <c r="W343" s="79"/>
      <c r="X343" s="80"/>
      <c r="Z343" s="68">
        <v>7</v>
      </c>
      <c r="AA343" s="81"/>
      <c r="AE343" s="23"/>
      <c r="AF343" s="23" t="s">
        <v>1549</v>
      </c>
      <c r="AI343" s="23" t="s">
        <v>1703</v>
      </c>
      <c r="AL343" s="23" t="s">
        <v>619</v>
      </c>
      <c r="AN343" s="23">
        <v>3</v>
      </c>
      <c r="AP343" s="73"/>
      <c r="AQ343" s="75"/>
      <c r="AR343" s="76"/>
      <c r="AS343" s="77"/>
      <c r="AV343" s="75"/>
      <c r="AW343" s="83"/>
      <c r="AX343" s="84"/>
      <c r="AY343" s="80"/>
      <c r="BB343" s="81"/>
      <c r="BG343" s="23" t="s">
        <v>1550</v>
      </c>
    </row>
    <row r="344" spans="1:62" ht="15" customHeight="1">
      <c r="A344" s="23" t="s">
        <v>1303</v>
      </c>
      <c r="B344" s="23" t="s">
        <v>1551</v>
      </c>
      <c r="C344" s="23" t="s">
        <v>1307</v>
      </c>
      <c r="D344" s="23">
        <v>66</v>
      </c>
      <c r="E344" s="23">
        <v>1</v>
      </c>
      <c r="F344" s="23" t="s">
        <v>1537</v>
      </c>
      <c r="G344" s="23" t="s">
        <v>1552</v>
      </c>
      <c r="J344" s="23" t="s">
        <v>621</v>
      </c>
      <c r="L344" s="23">
        <v>1</v>
      </c>
      <c r="N344" s="73"/>
      <c r="O344" s="75"/>
      <c r="P344" s="76"/>
      <c r="Q344" s="77"/>
      <c r="U344" s="75"/>
      <c r="V344" s="78"/>
      <c r="W344" s="79"/>
      <c r="X344" s="80"/>
      <c r="Y344" s="66" t="s">
        <v>1698</v>
      </c>
      <c r="AA344" s="81"/>
      <c r="AE344" s="23"/>
      <c r="AF344" s="23" t="s">
        <v>1553</v>
      </c>
      <c r="AI344" s="23" t="s">
        <v>1704</v>
      </c>
      <c r="AL344" s="23" t="s">
        <v>621</v>
      </c>
      <c r="AN344" s="23">
        <v>1</v>
      </c>
      <c r="AP344" s="73"/>
      <c r="AQ344" s="75"/>
      <c r="AR344" s="76"/>
      <c r="AS344" s="77"/>
      <c r="AV344" s="75"/>
      <c r="AW344" s="83"/>
      <c r="AX344" s="84"/>
      <c r="AY344" s="80"/>
      <c r="BB344" s="81"/>
      <c r="BG344" s="23" t="s">
        <v>1554</v>
      </c>
    </row>
    <row r="345" spans="1:62" ht="15" customHeight="1">
      <c r="A345" s="23" t="s">
        <v>1303</v>
      </c>
      <c r="B345" s="23" t="s">
        <v>1555</v>
      </c>
      <c r="C345" s="23" t="s">
        <v>1307</v>
      </c>
      <c r="D345" s="23">
        <v>67</v>
      </c>
      <c r="E345" s="23">
        <v>1</v>
      </c>
      <c r="F345" s="23" t="s">
        <v>1537</v>
      </c>
      <c r="G345" s="23" t="s">
        <v>1556</v>
      </c>
      <c r="J345" s="23" t="s">
        <v>621</v>
      </c>
      <c r="L345" s="23">
        <v>2</v>
      </c>
      <c r="N345" s="73"/>
      <c r="O345" s="75"/>
      <c r="P345" s="76"/>
      <c r="Q345" s="77"/>
      <c r="U345" s="75"/>
      <c r="V345" s="78"/>
      <c r="W345" s="79"/>
      <c r="X345" s="80"/>
      <c r="Y345" s="66" t="s">
        <v>1697</v>
      </c>
      <c r="AA345" s="81"/>
      <c r="AE345" s="23"/>
      <c r="AF345" s="23" t="s">
        <v>1557</v>
      </c>
      <c r="AI345" s="23" t="s">
        <v>1705</v>
      </c>
      <c r="AL345" s="23" t="s">
        <v>621</v>
      </c>
      <c r="AN345" s="23">
        <v>2</v>
      </c>
      <c r="AP345" s="73"/>
      <c r="AQ345" s="75"/>
      <c r="AR345" s="76"/>
      <c r="AS345" s="77"/>
      <c r="AV345" s="75"/>
      <c r="AW345" s="83"/>
      <c r="AX345" s="84"/>
      <c r="AY345" s="80"/>
      <c r="BB345" s="81"/>
      <c r="BG345" s="23" t="s">
        <v>1558</v>
      </c>
    </row>
    <row r="346" spans="1:62" ht="15" customHeight="1">
      <c r="A346" s="23" t="s">
        <v>1303</v>
      </c>
      <c r="B346" s="23" t="s">
        <v>1559</v>
      </c>
      <c r="C346" s="23" t="s">
        <v>1307</v>
      </c>
      <c r="D346" s="23">
        <v>68</v>
      </c>
      <c r="E346" s="23">
        <v>1</v>
      </c>
      <c r="F346" s="23" t="s">
        <v>1537</v>
      </c>
      <c r="G346" s="23" t="s">
        <v>1560</v>
      </c>
      <c r="J346" s="23" t="s">
        <v>621</v>
      </c>
      <c r="L346" s="23">
        <v>3</v>
      </c>
      <c r="N346" s="73"/>
      <c r="O346" s="75"/>
      <c r="P346" s="76"/>
      <c r="Q346" s="77"/>
      <c r="U346" s="75"/>
      <c r="V346" s="78"/>
      <c r="W346" s="79"/>
      <c r="X346" s="80"/>
      <c r="Y346" s="66">
        <v>0</v>
      </c>
      <c r="AA346" s="81"/>
      <c r="AE346" s="23"/>
      <c r="AF346" s="23" t="s">
        <v>1561</v>
      </c>
      <c r="AI346" s="23" t="s">
        <v>1706</v>
      </c>
      <c r="AL346" s="23" t="s">
        <v>621</v>
      </c>
      <c r="AN346" s="23">
        <v>3</v>
      </c>
      <c r="AP346" s="73"/>
      <c r="AQ346" s="75"/>
      <c r="AR346" s="76"/>
      <c r="AS346" s="77"/>
      <c r="AV346" s="75"/>
      <c r="AW346" s="83"/>
      <c r="AX346" s="84"/>
      <c r="AY346" s="80"/>
      <c r="BB346" s="81"/>
      <c r="BG346" s="23" t="s">
        <v>1562</v>
      </c>
    </row>
    <row r="347" spans="1:62" ht="15" customHeight="1">
      <c r="A347" s="23" t="s">
        <v>1303</v>
      </c>
      <c r="B347" s="23" t="s">
        <v>1563</v>
      </c>
      <c r="C347" s="23" t="s">
        <v>1307</v>
      </c>
      <c r="D347" s="23">
        <v>69</v>
      </c>
      <c r="E347" s="23">
        <v>1</v>
      </c>
      <c r="F347" s="23" t="s">
        <v>1537</v>
      </c>
      <c r="G347" s="23" t="s">
        <v>1564</v>
      </c>
      <c r="J347" s="23" t="s">
        <v>621</v>
      </c>
      <c r="L347" s="23">
        <v>3</v>
      </c>
      <c r="N347" s="73"/>
      <c r="O347" s="75"/>
      <c r="P347" s="76"/>
      <c r="Q347" s="77"/>
      <c r="U347" s="75"/>
      <c r="V347" s="78"/>
      <c r="W347" s="79"/>
      <c r="X347" s="80"/>
      <c r="Y347" s="66">
        <v>0</v>
      </c>
      <c r="AA347" s="81"/>
      <c r="AE347" s="23"/>
      <c r="AF347" s="23" t="s">
        <v>1565</v>
      </c>
      <c r="AI347" s="23" t="s">
        <v>1707</v>
      </c>
      <c r="AL347" s="23" t="s">
        <v>621</v>
      </c>
      <c r="AN347" s="23">
        <v>3</v>
      </c>
      <c r="AP347" s="73"/>
      <c r="AQ347" s="75"/>
      <c r="AR347" s="76"/>
      <c r="AS347" s="77"/>
      <c r="AV347" s="75"/>
      <c r="AW347" s="83"/>
      <c r="AX347" s="84"/>
      <c r="AY347" s="80"/>
      <c r="BB347" s="81"/>
      <c r="BG347" s="23" t="s">
        <v>1566</v>
      </c>
    </row>
    <row r="348" spans="1:62" ht="15" customHeight="1">
      <c r="A348" s="23" t="s">
        <v>1303</v>
      </c>
      <c r="B348" s="23" t="s">
        <v>1567</v>
      </c>
      <c r="C348" s="23" t="s">
        <v>1307</v>
      </c>
      <c r="D348" s="24">
        <v>70</v>
      </c>
      <c r="E348" s="23">
        <v>1</v>
      </c>
      <c r="F348" s="23" t="s">
        <v>1537</v>
      </c>
      <c r="G348" s="23" t="s">
        <v>1568</v>
      </c>
      <c r="J348" s="23" t="s">
        <v>31</v>
      </c>
      <c r="AD348" s="23" t="s">
        <v>463</v>
      </c>
      <c r="AI348" s="23" t="s">
        <v>1568</v>
      </c>
      <c r="AL348" s="23" t="s">
        <v>31</v>
      </c>
      <c r="AP348" s="73"/>
      <c r="AQ348" s="75"/>
      <c r="AR348" s="76"/>
      <c r="AS348" s="77"/>
      <c r="AV348" s="75"/>
      <c r="AW348" s="83"/>
      <c r="AX348" s="84"/>
      <c r="AY348" s="80">
        <v>2</v>
      </c>
      <c r="AZ348" s="66" t="s">
        <v>1071</v>
      </c>
      <c r="BB348" s="81"/>
      <c r="BE348" s="23" t="s">
        <v>463</v>
      </c>
      <c r="BG348" s="23" t="s">
        <v>1569</v>
      </c>
    </row>
    <row r="349" spans="1:62" ht="15" customHeight="1">
      <c r="A349" s="23" t="s">
        <v>1303</v>
      </c>
      <c r="B349" s="23" t="s">
        <v>1570</v>
      </c>
      <c r="C349" s="23" t="s">
        <v>1307</v>
      </c>
      <c r="D349" s="24">
        <v>71</v>
      </c>
      <c r="E349" s="23">
        <v>1</v>
      </c>
      <c r="F349" s="23" t="s">
        <v>1537</v>
      </c>
      <c r="G349" s="23" t="s">
        <v>1571</v>
      </c>
      <c r="J349" s="23" t="s">
        <v>31</v>
      </c>
      <c r="AD349" s="23" t="s">
        <v>1572</v>
      </c>
      <c r="AI349" s="23" t="s">
        <v>1571</v>
      </c>
      <c r="AL349" s="23" t="s">
        <v>31</v>
      </c>
      <c r="AP349" s="73"/>
      <c r="AQ349" s="75"/>
      <c r="AR349" s="76"/>
      <c r="AS349" s="77"/>
      <c r="AV349" s="75"/>
      <c r="AW349" s="83"/>
      <c r="AX349" s="84"/>
      <c r="AY349" s="80">
        <v>2</v>
      </c>
      <c r="AZ349" s="66">
        <v>0</v>
      </c>
      <c r="BB349" s="81"/>
      <c r="BE349" s="23" t="s">
        <v>1572</v>
      </c>
      <c r="BG349" s="23" t="s">
        <v>1573</v>
      </c>
    </row>
    <row r="350" spans="1:62" ht="15" customHeight="1">
      <c r="A350" s="23" t="s">
        <v>1303</v>
      </c>
      <c r="B350" s="23" t="s">
        <v>1574</v>
      </c>
      <c r="C350" s="23" t="s">
        <v>1307</v>
      </c>
      <c r="D350" s="24">
        <v>72</v>
      </c>
      <c r="E350" s="23">
        <v>1</v>
      </c>
      <c r="F350" s="23" t="s">
        <v>1537</v>
      </c>
      <c r="G350" s="23" t="s">
        <v>1575</v>
      </c>
      <c r="J350" s="23" t="s">
        <v>31</v>
      </c>
      <c r="AD350" s="23" t="s">
        <v>1572</v>
      </c>
      <c r="AI350" s="23" t="s">
        <v>1575</v>
      </c>
      <c r="AL350" s="23" t="s">
        <v>31</v>
      </c>
      <c r="AP350" s="73"/>
      <c r="AQ350" s="75"/>
      <c r="AR350" s="76"/>
      <c r="AS350" s="77"/>
      <c r="AV350" s="75"/>
      <c r="AW350" s="83"/>
      <c r="AX350" s="84"/>
      <c r="AY350" s="80">
        <v>3</v>
      </c>
      <c r="AZ350" s="66">
        <v>0</v>
      </c>
      <c r="BB350" s="81"/>
      <c r="BE350" s="23" t="s">
        <v>1572</v>
      </c>
      <c r="BG350" s="23" t="s">
        <v>1576</v>
      </c>
    </row>
    <row r="351" spans="1:62" ht="15" customHeight="1">
      <c r="A351" s="23" t="s">
        <v>1303</v>
      </c>
      <c r="B351" s="23" t="s">
        <v>1577</v>
      </c>
      <c r="C351" s="23" t="s">
        <v>1307</v>
      </c>
      <c r="D351" s="24">
        <v>73</v>
      </c>
      <c r="E351" s="23">
        <v>1</v>
      </c>
      <c r="F351" s="23" t="s">
        <v>1537</v>
      </c>
      <c r="G351" s="23" t="s">
        <v>1578</v>
      </c>
      <c r="J351" s="23" t="s">
        <v>31</v>
      </c>
      <c r="AD351" s="23" t="s">
        <v>1572</v>
      </c>
      <c r="AI351" s="23" t="s">
        <v>1578</v>
      </c>
      <c r="AL351" s="23" t="s">
        <v>31</v>
      </c>
      <c r="AP351" s="73"/>
      <c r="AQ351" s="75"/>
      <c r="AR351" s="76"/>
      <c r="AS351" s="77"/>
      <c r="AV351" s="75"/>
      <c r="AW351" s="83"/>
      <c r="AX351" s="84"/>
      <c r="AY351" s="80">
        <v>3</v>
      </c>
      <c r="AZ351" s="66">
        <v>0</v>
      </c>
      <c r="BB351" s="81"/>
      <c r="BE351" s="23" t="s">
        <v>1572</v>
      </c>
      <c r="BG351" s="23" t="s">
        <v>1579</v>
      </c>
    </row>
    <row r="352" spans="1:62" ht="15" customHeight="1">
      <c r="A352" s="23" t="s">
        <v>1303</v>
      </c>
      <c r="B352" s="23" t="s">
        <v>1580</v>
      </c>
      <c r="C352" s="23" t="s">
        <v>1307</v>
      </c>
      <c r="D352" s="24">
        <v>74</v>
      </c>
      <c r="E352" s="23">
        <v>1</v>
      </c>
      <c r="F352" s="23" t="s">
        <v>1537</v>
      </c>
      <c r="G352" s="23" t="s">
        <v>1581</v>
      </c>
      <c r="J352" s="23" t="s">
        <v>31</v>
      </c>
      <c r="AD352" s="23" t="s">
        <v>1572</v>
      </c>
      <c r="AI352" s="23" t="s">
        <v>1581</v>
      </c>
      <c r="AL352" s="23" t="s">
        <v>31</v>
      </c>
      <c r="AP352" s="73"/>
      <c r="AQ352" s="75"/>
      <c r="AR352" s="76"/>
      <c r="AS352" s="77"/>
      <c r="AV352" s="75"/>
      <c r="AW352" s="83"/>
      <c r="AX352" s="84"/>
      <c r="AY352" s="80">
        <v>4</v>
      </c>
      <c r="AZ352" s="66">
        <v>0</v>
      </c>
      <c r="BB352" s="81"/>
      <c r="BE352" s="23" t="s">
        <v>1572</v>
      </c>
      <c r="BG352" s="23" t="s">
        <v>1582</v>
      </c>
    </row>
    <row r="353" spans="1:62" ht="15" customHeight="1">
      <c r="A353" s="23" t="s">
        <v>1303</v>
      </c>
      <c r="B353" s="23" t="s">
        <v>1583</v>
      </c>
      <c r="C353" s="23" t="s">
        <v>1307</v>
      </c>
      <c r="D353" s="24">
        <v>75</v>
      </c>
      <c r="E353" s="23">
        <v>1</v>
      </c>
      <c r="F353" s="23" t="s">
        <v>1537</v>
      </c>
      <c r="G353" s="23" t="s">
        <v>1699</v>
      </c>
      <c r="J353" s="23" t="s">
        <v>31</v>
      </c>
      <c r="AD353" s="23" t="s">
        <v>1572</v>
      </c>
      <c r="AI353" s="23" t="s">
        <v>1584</v>
      </c>
      <c r="AL353" s="23" t="s">
        <v>31</v>
      </c>
      <c r="AP353" s="73"/>
      <c r="AQ353" s="75"/>
      <c r="AR353" s="76"/>
      <c r="AS353" s="77"/>
      <c r="AV353" s="75"/>
      <c r="AW353" s="83"/>
      <c r="AX353" s="84"/>
      <c r="AY353" s="80">
        <v>2</v>
      </c>
      <c r="AZ353" s="66" t="s">
        <v>1071</v>
      </c>
      <c r="BB353" s="81">
        <v>1</v>
      </c>
      <c r="BE353" s="23" t="s">
        <v>1572</v>
      </c>
      <c r="BG353" s="23" t="s">
        <v>1585</v>
      </c>
    </row>
    <row r="354" spans="1:62" ht="15" customHeight="1">
      <c r="A354" s="23" t="s">
        <v>1303</v>
      </c>
      <c r="B354" s="23" t="s">
        <v>1586</v>
      </c>
      <c r="C354" s="23" t="s">
        <v>1307</v>
      </c>
      <c r="D354" s="24">
        <v>76</v>
      </c>
      <c r="E354" s="23">
        <v>1</v>
      </c>
      <c r="F354" s="23" t="s">
        <v>1537</v>
      </c>
      <c r="G354" s="23" t="s">
        <v>1699</v>
      </c>
      <c r="J354" s="23" t="s">
        <v>31</v>
      </c>
      <c r="AD354" s="23" t="s">
        <v>1572</v>
      </c>
      <c r="AI354" s="23" t="s">
        <v>1587</v>
      </c>
      <c r="AL354" s="23" t="s">
        <v>31</v>
      </c>
      <c r="AP354" s="73"/>
      <c r="AQ354" s="75"/>
      <c r="AR354" s="76"/>
      <c r="AS354" s="77"/>
      <c r="AV354" s="75"/>
      <c r="AW354" s="83"/>
      <c r="AX354" s="84"/>
      <c r="AY354" s="80">
        <v>3</v>
      </c>
      <c r="AZ354" s="66" t="s">
        <v>1071</v>
      </c>
      <c r="BB354" s="81">
        <v>1</v>
      </c>
      <c r="BE354" s="23" t="s">
        <v>1572</v>
      </c>
      <c r="BG354" s="23" t="s">
        <v>1588</v>
      </c>
    </row>
    <row r="355" spans="1:62" ht="15" customHeight="1">
      <c r="A355" s="23" t="s">
        <v>1303</v>
      </c>
      <c r="B355" s="23" t="s">
        <v>1589</v>
      </c>
      <c r="C355" s="23" t="s">
        <v>1307</v>
      </c>
      <c r="D355" s="24">
        <v>77</v>
      </c>
      <c r="E355" s="23">
        <v>1</v>
      </c>
      <c r="F355" s="23" t="s">
        <v>1537</v>
      </c>
      <c r="G355" s="23" t="s">
        <v>1699</v>
      </c>
      <c r="J355" s="23" t="s">
        <v>31</v>
      </c>
      <c r="AD355" s="23" t="s">
        <v>1572</v>
      </c>
      <c r="AI355" s="23" t="s">
        <v>1590</v>
      </c>
      <c r="AL355" s="23" t="s">
        <v>31</v>
      </c>
      <c r="AP355" s="73"/>
      <c r="AQ355" s="75"/>
      <c r="AR355" s="76"/>
      <c r="AS355" s="77"/>
      <c r="AV355" s="75"/>
      <c r="AW355" s="83"/>
      <c r="AX355" s="84"/>
      <c r="AY355" s="80">
        <v>1</v>
      </c>
      <c r="AZ355" s="66" t="s">
        <v>1071</v>
      </c>
      <c r="BB355" s="81">
        <v>1</v>
      </c>
      <c r="BE355" s="23" t="s">
        <v>1572</v>
      </c>
      <c r="BG355" s="23" t="s">
        <v>1591</v>
      </c>
    </row>
    <row r="356" spans="1:62" ht="15" customHeight="1">
      <c r="A356" s="23" t="s">
        <v>1303</v>
      </c>
      <c r="B356" s="23" t="s">
        <v>1592</v>
      </c>
      <c r="C356" s="23" t="s">
        <v>1307</v>
      </c>
      <c r="D356" s="24">
        <v>78</v>
      </c>
      <c r="E356" s="23">
        <v>1</v>
      </c>
      <c r="F356" s="23" t="s">
        <v>1537</v>
      </c>
      <c r="G356" s="23" t="s">
        <v>1593</v>
      </c>
      <c r="J356" s="23" t="s">
        <v>29</v>
      </c>
      <c r="Q356" s="65">
        <v>3</v>
      </c>
      <c r="R356" s="66">
        <v>3</v>
      </c>
      <c r="T356" s="68">
        <v>4</v>
      </c>
      <c r="V356" s="69">
        <v>2</v>
      </c>
      <c r="W356" s="70">
        <v>0</v>
      </c>
      <c r="AA356" s="72">
        <v>1</v>
      </c>
      <c r="AD356" s="23" t="s">
        <v>1594</v>
      </c>
      <c r="AF356" s="23" t="s">
        <v>1595</v>
      </c>
      <c r="AP356" s="73"/>
      <c r="AQ356" s="75"/>
      <c r="AR356" s="76"/>
      <c r="AS356" s="77"/>
      <c r="AV356" s="75"/>
      <c r="AW356" s="83"/>
      <c r="AX356" s="84"/>
      <c r="AY356" s="80"/>
      <c r="BB356" s="81"/>
    </row>
    <row r="357" spans="1:62" ht="15" customHeight="1">
      <c r="A357" s="23" t="s">
        <v>1303</v>
      </c>
      <c r="B357" s="23" t="s">
        <v>1596</v>
      </c>
      <c r="C357" s="23" t="s">
        <v>1307</v>
      </c>
      <c r="D357" s="24">
        <v>79</v>
      </c>
      <c r="E357" s="23">
        <v>1</v>
      </c>
      <c r="F357" s="23" t="s">
        <v>1537</v>
      </c>
      <c r="G357" s="23" t="s">
        <v>1597</v>
      </c>
      <c r="H357" s="23" t="s">
        <v>1598</v>
      </c>
      <c r="I357" s="23" t="s">
        <v>223</v>
      </c>
      <c r="J357" s="23" t="s">
        <v>257</v>
      </c>
      <c r="K357" s="23" t="s">
        <v>26</v>
      </c>
      <c r="T357" s="68">
        <v>3</v>
      </c>
      <c r="U357" s="63">
        <v>2</v>
      </c>
      <c r="AD357" s="23" t="s">
        <v>1599</v>
      </c>
      <c r="AF357" s="23" t="s">
        <v>1600</v>
      </c>
      <c r="AP357" s="73"/>
      <c r="AQ357" s="75"/>
      <c r="AR357" s="76"/>
      <c r="AS357" s="77"/>
      <c r="AV357" s="75"/>
      <c r="AW357" s="83"/>
      <c r="AX357" s="84"/>
      <c r="AY357" s="80"/>
      <c r="BB357" s="81"/>
      <c r="BJ357" s="23" t="s">
        <v>1982</v>
      </c>
    </row>
    <row r="358" spans="1:62" ht="15" customHeight="1">
      <c r="A358" s="23" t="s">
        <v>1303</v>
      </c>
      <c r="B358" s="23" t="s">
        <v>1601</v>
      </c>
      <c r="C358" s="23" t="s">
        <v>1307</v>
      </c>
      <c r="D358" s="24">
        <v>80</v>
      </c>
      <c r="E358" s="23">
        <v>1</v>
      </c>
      <c r="F358" s="23" t="s">
        <v>1537</v>
      </c>
      <c r="G358" s="23" t="s">
        <v>1602</v>
      </c>
      <c r="H358" s="23" t="s">
        <v>1603</v>
      </c>
      <c r="I358" s="23" t="s">
        <v>223</v>
      </c>
      <c r="J358" s="23" t="s">
        <v>257</v>
      </c>
      <c r="K358" s="23" t="s">
        <v>26</v>
      </c>
      <c r="N358" s="62">
        <v>3</v>
      </c>
      <c r="Q358" s="65">
        <v>1</v>
      </c>
      <c r="S358" s="113">
        <v>1</v>
      </c>
      <c r="T358" s="68">
        <v>4</v>
      </c>
      <c r="U358" s="63">
        <v>1</v>
      </c>
      <c r="AB358" s="23" t="s">
        <v>1093</v>
      </c>
      <c r="AC358" s="23" t="s">
        <v>25</v>
      </c>
      <c r="AD358" s="23" t="s">
        <v>330</v>
      </c>
      <c r="AF358" s="23" t="s">
        <v>1604</v>
      </c>
      <c r="AP358" s="73"/>
      <c r="AQ358" s="75"/>
      <c r="AR358" s="76"/>
      <c r="AS358" s="77"/>
      <c r="AV358" s="75"/>
      <c r="AW358" s="83"/>
      <c r="AX358" s="84"/>
      <c r="AY358" s="80"/>
      <c r="BB358" s="81"/>
    </row>
    <row r="359" spans="1:62" ht="15" customHeight="1">
      <c r="A359" s="23" t="s">
        <v>1303</v>
      </c>
      <c r="B359" s="23" t="s">
        <v>1605</v>
      </c>
      <c r="C359" s="23" t="s">
        <v>1307</v>
      </c>
      <c r="D359" s="24">
        <v>81</v>
      </c>
      <c r="E359" s="23">
        <v>2</v>
      </c>
      <c r="F359" s="23" t="s">
        <v>1537</v>
      </c>
      <c r="G359" s="23" t="s">
        <v>1606</v>
      </c>
      <c r="J359" s="23" t="s">
        <v>28</v>
      </c>
      <c r="AD359" s="23" t="s">
        <v>1607</v>
      </c>
      <c r="AF359" s="23" t="s">
        <v>1608</v>
      </c>
      <c r="AP359" s="73"/>
      <c r="AQ359" s="75"/>
      <c r="AR359" s="76"/>
      <c r="AS359" s="77"/>
      <c r="AV359" s="75"/>
      <c r="AW359" s="83"/>
      <c r="AX359" s="84"/>
      <c r="AY359" s="80"/>
      <c r="BB359" s="81"/>
    </row>
    <row r="360" spans="1:62" ht="15" customHeight="1">
      <c r="A360" s="23" t="s">
        <v>1303</v>
      </c>
      <c r="B360" s="23" t="s">
        <v>1609</v>
      </c>
      <c r="C360" s="23" t="s">
        <v>1307</v>
      </c>
      <c r="D360" s="24">
        <v>82</v>
      </c>
      <c r="E360" s="23">
        <v>2</v>
      </c>
      <c r="F360" s="23" t="s">
        <v>1537</v>
      </c>
      <c r="G360" s="23" t="s">
        <v>1610</v>
      </c>
      <c r="J360" s="23" t="s">
        <v>28</v>
      </c>
      <c r="AF360" s="23" t="s">
        <v>1611</v>
      </c>
      <c r="AP360" s="73"/>
      <c r="AQ360" s="75"/>
      <c r="AR360" s="76"/>
      <c r="AS360" s="77"/>
      <c r="AV360" s="75"/>
      <c r="AW360" s="83"/>
      <c r="AX360" s="84"/>
      <c r="AY360" s="80"/>
      <c r="BB360" s="81"/>
    </row>
    <row r="361" spans="1:62" ht="15" customHeight="1">
      <c r="A361" s="23" t="s">
        <v>1303</v>
      </c>
      <c r="B361" s="23" t="s">
        <v>1612</v>
      </c>
      <c r="C361" s="23" t="s">
        <v>1307</v>
      </c>
      <c r="D361" s="24">
        <v>83</v>
      </c>
      <c r="E361" s="23">
        <v>3</v>
      </c>
      <c r="F361" s="23" t="s">
        <v>1613</v>
      </c>
      <c r="G361" s="23" t="s">
        <v>1614</v>
      </c>
      <c r="J361" s="23" t="s">
        <v>28</v>
      </c>
      <c r="AD361" s="23" t="s">
        <v>486</v>
      </c>
      <c r="AF361" s="23" t="s">
        <v>1615</v>
      </c>
      <c r="AP361" s="73"/>
      <c r="AQ361" s="75"/>
      <c r="AR361" s="76"/>
      <c r="AS361" s="77"/>
      <c r="AV361" s="75"/>
      <c r="AW361" s="83"/>
      <c r="AX361" s="84"/>
      <c r="AY361" s="80"/>
      <c r="BB361" s="81"/>
    </row>
    <row r="362" spans="1:62" ht="15" customHeight="1">
      <c r="A362" s="23" t="s">
        <v>1303</v>
      </c>
      <c r="B362" s="23" t="s">
        <v>1616</v>
      </c>
      <c r="C362" s="23" t="s">
        <v>1307</v>
      </c>
      <c r="D362" s="24">
        <v>84</v>
      </c>
      <c r="E362" s="23">
        <v>3</v>
      </c>
      <c r="F362" s="23" t="s">
        <v>1613</v>
      </c>
      <c r="G362" s="23" t="s">
        <v>1617</v>
      </c>
      <c r="J362" s="23" t="s">
        <v>28</v>
      </c>
      <c r="AD362" s="23" t="s">
        <v>486</v>
      </c>
      <c r="AF362" s="23" t="s">
        <v>1618</v>
      </c>
      <c r="AP362" s="73"/>
      <c r="AQ362" s="75"/>
      <c r="AR362" s="76"/>
      <c r="AS362" s="77"/>
      <c r="AV362" s="75"/>
      <c r="AW362" s="83"/>
      <c r="AX362" s="84"/>
      <c r="AY362" s="80"/>
      <c r="BB362" s="81"/>
    </row>
    <row r="363" spans="1:62" ht="15" customHeight="1">
      <c r="A363" s="23" t="s">
        <v>1303</v>
      </c>
      <c r="B363" s="23" t="s">
        <v>1619</v>
      </c>
      <c r="C363" s="23" t="s">
        <v>1307</v>
      </c>
      <c r="D363" s="24">
        <v>85</v>
      </c>
      <c r="E363" s="23">
        <v>2</v>
      </c>
      <c r="F363" s="23" t="s">
        <v>1620</v>
      </c>
      <c r="G363" s="23" t="s">
        <v>1621</v>
      </c>
      <c r="J363" s="23" t="s">
        <v>28</v>
      </c>
      <c r="AD363" s="23" t="s">
        <v>1622</v>
      </c>
      <c r="AF363" s="23" t="s">
        <v>1623</v>
      </c>
      <c r="AP363" s="73"/>
      <c r="AQ363" s="75"/>
      <c r="AR363" s="76"/>
      <c r="AS363" s="77"/>
      <c r="AV363" s="75"/>
      <c r="AW363" s="83"/>
      <c r="AX363" s="84"/>
      <c r="AY363" s="80"/>
      <c r="BB363" s="81"/>
    </row>
    <row r="364" spans="1:62" ht="15" customHeight="1">
      <c r="A364" s="23" t="s">
        <v>1303</v>
      </c>
      <c r="B364" s="23" t="s">
        <v>1624</v>
      </c>
      <c r="C364" s="23" t="s">
        <v>1307</v>
      </c>
      <c r="D364" s="24">
        <v>86</v>
      </c>
      <c r="E364" s="23">
        <v>3</v>
      </c>
      <c r="F364" s="23" t="s">
        <v>1620</v>
      </c>
      <c r="G364" s="23" t="s">
        <v>1625</v>
      </c>
      <c r="J364" s="23" t="s">
        <v>29</v>
      </c>
      <c r="Q364" s="65">
        <v>2</v>
      </c>
      <c r="R364" s="66">
        <v>2</v>
      </c>
      <c r="T364" s="68">
        <v>2</v>
      </c>
      <c r="V364" s="69">
        <v>1</v>
      </c>
      <c r="W364" s="70">
        <v>1</v>
      </c>
      <c r="AD364" s="23" t="s">
        <v>1626</v>
      </c>
      <c r="AF364" s="23" t="s">
        <v>1627</v>
      </c>
      <c r="AP364" s="73"/>
      <c r="AQ364" s="75"/>
      <c r="AR364" s="76"/>
      <c r="AS364" s="77"/>
      <c r="AV364" s="75"/>
      <c r="AW364" s="83"/>
      <c r="AX364" s="84"/>
      <c r="AY364" s="80"/>
      <c r="BB364" s="81"/>
    </row>
    <row r="365" spans="1:62" ht="15" customHeight="1">
      <c r="A365" s="23" t="s">
        <v>1303</v>
      </c>
      <c r="B365" s="23" t="s">
        <v>1628</v>
      </c>
      <c r="C365" s="23" t="s">
        <v>1307</v>
      </c>
      <c r="D365" s="24">
        <v>87</v>
      </c>
      <c r="E365" s="23">
        <v>1</v>
      </c>
      <c r="F365" s="23" t="s">
        <v>1620</v>
      </c>
      <c r="G365" s="23" t="s">
        <v>1629</v>
      </c>
      <c r="J365" s="23" t="s">
        <v>29</v>
      </c>
      <c r="Q365" s="65">
        <v>4</v>
      </c>
      <c r="R365" s="66">
        <v>3</v>
      </c>
      <c r="T365" s="68">
        <v>3</v>
      </c>
      <c r="V365" s="69">
        <v>1</v>
      </c>
      <c r="W365" s="70">
        <v>2</v>
      </c>
      <c r="AA365" s="72">
        <v>1</v>
      </c>
      <c r="AD365" s="23" t="s">
        <v>1630</v>
      </c>
      <c r="AF365" s="23" t="s">
        <v>1631</v>
      </c>
      <c r="AP365" s="73"/>
      <c r="AQ365" s="75"/>
      <c r="AR365" s="76"/>
      <c r="AS365" s="77"/>
      <c r="AV365" s="75"/>
      <c r="AW365" s="83"/>
      <c r="AX365" s="84"/>
      <c r="AY365" s="80"/>
      <c r="BB365" s="81"/>
    </row>
    <row r="366" spans="1:62" ht="15" customHeight="1">
      <c r="A366" s="23" t="s">
        <v>1303</v>
      </c>
      <c r="B366" s="23" t="s">
        <v>1632</v>
      </c>
      <c r="C366" s="23" t="s">
        <v>1307</v>
      </c>
      <c r="D366" s="24">
        <v>88</v>
      </c>
      <c r="E366" s="23">
        <v>2</v>
      </c>
      <c r="F366" s="23" t="s">
        <v>1633</v>
      </c>
      <c r="G366" s="23" t="s">
        <v>1634</v>
      </c>
      <c r="J366" s="23" t="s">
        <v>28</v>
      </c>
      <c r="AD366" s="23" t="s">
        <v>481</v>
      </c>
      <c r="AF366" s="23" t="s">
        <v>1635</v>
      </c>
      <c r="AP366" s="73"/>
      <c r="AQ366" s="75"/>
      <c r="AR366" s="76"/>
      <c r="AS366" s="77"/>
      <c r="AV366" s="75"/>
      <c r="AW366" s="83"/>
      <c r="AX366" s="84"/>
      <c r="AY366" s="80"/>
      <c r="BB366" s="81"/>
    </row>
    <row r="367" spans="1:62" ht="15" customHeight="1">
      <c r="A367" s="23" t="s">
        <v>1303</v>
      </c>
      <c r="B367" s="23" t="s">
        <v>1636</v>
      </c>
      <c r="C367" s="23" t="s">
        <v>1307</v>
      </c>
      <c r="D367" s="24">
        <v>89</v>
      </c>
      <c r="E367" s="23">
        <v>2</v>
      </c>
      <c r="F367" s="23" t="s">
        <v>1633</v>
      </c>
      <c r="G367" s="23" t="s">
        <v>1637</v>
      </c>
      <c r="J367" s="23" t="s">
        <v>28</v>
      </c>
      <c r="AD367" s="23" t="s">
        <v>481</v>
      </c>
      <c r="AF367" s="23" t="s">
        <v>1638</v>
      </c>
      <c r="AP367" s="73"/>
      <c r="AQ367" s="75"/>
      <c r="AR367" s="76"/>
      <c r="AS367" s="77"/>
      <c r="AV367" s="75"/>
      <c r="AW367" s="83"/>
      <c r="AX367" s="84"/>
      <c r="AY367" s="80"/>
      <c r="BB367" s="81"/>
    </row>
    <row r="368" spans="1:62" ht="15" customHeight="1">
      <c r="A368" s="23" t="s">
        <v>1303</v>
      </c>
      <c r="B368" s="23" t="s">
        <v>1639</v>
      </c>
      <c r="C368" s="23" t="s">
        <v>1307</v>
      </c>
      <c r="D368" s="24">
        <v>90</v>
      </c>
      <c r="E368" s="23">
        <v>3</v>
      </c>
      <c r="F368" s="23" t="s">
        <v>1640</v>
      </c>
      <c r="G368" s="23" t="s">
        <v>1641</v>
      </c>
      <c r="J368" s="23" t="s">
        <v>29</v>
      </c>
      <c r="Q368" s="65">
        <v>2</v>
      </c>
      <c r="R368" s="66">
        <v>4</v>
      </c>
      <c r="T368" s="68">
        <v>1</v>
      </c>
      <c r="V368" s="69">
        <v>0</v>
      </c>
      <c r="W368" s="70">
        <v>1</v>
      </c>
      <c r="AD368" s="23" t="s">
        <v>30</v>
      </c>
      <c r="AF368" s="23" t="s">
        <v>1642</v>
      </c>
      <c r="AP368" s="73"/>
      <c r="AQ368" s="75"/>
      <c r="AR368" s="76"/>
      <c r="AS368" s="77"/>
      <c r="AV368" s="75"/>
      <c r="AW368" s="83"/>
      <c r="AX368" s="84"/>
      <c r="AY368" s="80"/>
      <c r="BB368" s="81"/>
    </row>
    <row r="369" spans="1:54" ht="15" customHeight="1">
      <c r="A369" s="23" t="s">
        <v>1303</v>
      </c>
      <c r="B369" s="23" t="s">
        <v>1643</v>
      </c>
      <c r="C369" s="23" t="s">
        <v>1307</v>
      </c>
      <c r="D369" s="24">
        <v>91</v>
      </c>
      <c r="E369" s="23">
        <v>2</v>
      </c>
      <c r="F369" s="23" t="s">
        <v>1640</v>
      </c>
      <c r="G369" s="23" t="s">
        <v>1644</v>
      </c>
      <c r="J369" s="23" t="s">
        <v>28</v>
      </c>
      <c r="AD369" s="23" t="s">
        <v>492</v>
      </c>
      <c r="AF369" s="23" t="s">
        <v>1645</v>
      </c>
      <c r="AP369" s="73"/>
      <c r="AQ369" s="75"/>
      <c r="AR369" s="76"/>
      <c r="AS369" s="77"/>
      <c r="AV369" s="75"/>
      <c r="AW369" s="83"/>
      <c r="AX369" s="84"/>
      <c r="AY369" s="80"/>
      <c r="BB369" s="81"/>
    </row>
    <row r="370" spans="1:54" ht="15" customHeight="1">
      <c r="A370" s="23" t="s">
        <v>1303</v>
      </c>
      <c r="B370" s="23" t="s">
        <v>1646</v>
      </c>
      <c r="C370" s="23" t="s">
        <v>1307</v>
      </c>
      <c r="D370" s="24">
        <v>92</v>
      </c>
      <c r="E370" s="23">
        <v>3</v>
      </c>
      <c r="F370" s="23" t="s">
        <v>1647</v>
      </c>
      <c r="G370" s="23" t="s">
        <v>1648</v>
      </c>
      <c r="J370" s="23" t="s">
        <v>28</v>
      </c>
      <c r="AD370" s="23" t="s">
        <v>492</v>
      </c>
      <c r="AF370" s="23" t="s">
        <v>1649</v>
      </c>
      <c r="AP370" s="73"/>
      <c r="AQ370" s="75"/>
      <c r="AR370" s="76"/>
      <c r="AS370" s="77"/>
      <c r="AV370" s="75"/>
      <c r="AW370" s="83"/>
      <c r="AX370" s="84"/>
      <c r="AY370" s="80"/>
      <c r="BB370" s="81"/>
    </row>
    <row r="371" spans="1:54" ht="15" customHeight="1">
      <c r="A371" s="23" t="s">
        <v>1303</v>
      </c>
      <c r="B371" s="23" t="s">
        <v>1650</v>
      </c>
      <c r="C371" s="23" t="s">
        <v>1307</v>
      </c>
      <c r="D371" s="24">
        <v>93</v>
      </c>
      <c r="E371" s="23">
        <v>3</v>
      </c>
      <c r="F371" s="23" t="s">
        <v>1647</v>
      </c>
      <c r="G371" s="23" t="s">
        <v>1651</v>
      </c>
      <c r="J371" s="23" t="s">
        <v>28</v>
      </c>
      <c r="AD371" s="23" t="s">
        <v>492</v>
      </c>
      <c r="AF371" s="23" t="s">
        <v>1652</v>
      </c>
      <c r="AP371" s="73"/>
      <c r="AQ371" s="75"/>
      <c r="AR371" s="76"/>
      <c r="AS371" s="77"/>
      <c r="AV371" s="75"/>
      <c r="AW371" s="83"/>
      <c r="AX371" s="84"/>
      <c r="AY371" s="80"/>
      <c r="BB371" s="81"/>
    </row>
    <row r="372" spans="1:54" ht="15" customHeight="1">
      <c r="A372" s="23" t="s">
        <v>1303</v>
      </c>
      <c r="B372" s="23" t="s">
        <v>1653</v>
      </c>
      <c r="C372" s="23" t="s">
        <v>1307</v>
      </c>
      <c r="D372" s="24">
        <v>94</v>
      </c>
      <c r="E372" s="23">
        <v>2</v>
      </c>
      <c r="F372" s="23" t="s">
        <v>1654</v>
      </c>
      <c r="G372" s="23" t="s">
        <v>1655</v>
      </c>
      <c r="J372" s="23" t="s">
        <v>29</v>
      </c>
      <c r="Q372" s="65">
        <v>5</v>
      </c>
      <c r="R372" s="66">
        <v>3</v>
      </c>
      <c r="T372" s="68">
        <v>4</v>
      </c>
      <c r="V372" s="69">
        <v>1</v>
      </c>
      <c r="W372" s="70">
        <v>1</v>
      </c>
      <c r="AD372" s="23" t="s">
        <v>1656</v>
      </c>
      <c r="AF372" s="23" t="s">
        <v>1657</v>
      </c>
      <c r="AP372" s="73"/>
      <c r="AQ372" s="75"/>
      <c r="AR372" s="76"/>
      <c r="AS372" s="77"/>
      <c r="AV372" s="75"/>
      <c r="AW372" s="83"/>
      <c r="AX372" s="84"/>
      <c r="AY372" s="80"/>
      <c r="BB372" s="81"/>
    </row>
    <row r="373" spans="1:54" ht="15" customHeight="1">
      <c r="A373" s="23" t="s">
        <v>1303</v>
      </c>
      <c r="B373" s="23" t="s">
        <v>1658</v>
      </c>
      <c r="C373" s="23" t="s">
        <v>1307</v>
      </c>
      <c r="D373" s="24">
        <v>95</v>
      </c>
      <c r="E373" s="23">
        <v>2</v>
      </c>
      <c r="F373" s="23" t="s">
        <v>1654</v>
      </c>
      <c r="G373" s="23" t="s">
        <v>1659</v>
      </c>
      <c r="J373" s="23" t="s">
        <v>29</v>
      </c>
      <c r="Q373" s="65">
        <v>4</v>
      </c>
      <c r="R373" s="66">
        <v>4</v>
      </c>
      <c r="T373" s="68">
        <v>3</v>
      </c>
      <c r="V373" s="69">
        <v>1</v>
      </c>
      <c r="W373" s="70">
        <v>1</v>
      </c>
      <c r="AD373" s="23" t="s">
        <v>1656</v>
      </c>
      <c r="AF373" s="23" t="s">
        <v>1660</v>
      </c>
      <c r="AP373" s="73"/>
      <c r="AQ373" s="75"/>
      <c r="AR373" s="76"/>
      <c r="AS373" s="77"/>
      <c r="AV373" s="75"/>
      <c r="AW373" s="83"/>
      <c r="AX373" s="84"/>
      <c r="AY373" s="80"/>
      <c r="BB373" s="81"/>
    </row>
    <row r="374" spans="1:54" ht="15" customHeight="1">
      <c r="A374" s="23" t="s">
        <v>1303</v>
      </c>
      <c r="B374" s="23" t="s">
        <v>1661</v>
      </c>
      <c r="C374" s="23" t="s">
        <v>1307</v>
      </c>
      <c r="D374" s="24">
        <v>96</v>
      </c>
      <c r="E374" s="23">
        <v>2</v>
      </c>
      <c r="F374" s="23" t="s">
        <v>1654</v>
      </c>
      <c r="G374" s="23" t="s">
        <v>1662</v>
      </c>
      <c r="J374" s="23" t="s">
        <v>28</v>
      </c>
      <c r="AD374" s="23" t="s">
        <v>1663</v>
      </c>
      <c r="AF374" s="23" t="s">
        <v>1664</v>
      </c>
      <c r="AP374" s="73"/>
      <c r="AQ374" s="75"/>
      <c r="AR374" s="76"/>
      <c r="AS374" s="77"/>
      <c r="AV374" s="75"/>
      <c r="AW374" s="83"/>
      <c r="AX374" s="84"/>
      <c r="AY374" s="80"/>
      <c r="BB374" s="81"/>
    </row>
    <row r="375" spans="1:54" ht="15" customHeight="1">
      <c r="A375" s="23" t="s">
        <v>1303</v>
      </c>
      <c r="B375" s="23" t="s">
        <v>1665</v>
      </c>
      <c r="C375" s="23" t="s">
        <v>1307</v>
      </c>
      <c r="D375" s="24">
        <v>97</v>
      </c>
      <c r="E375" s="23">
        <v>2</v>
      </c>
      <c r="F375" s="23" t="s">
        <v>1666</v>
      </c>
      <c r="G375" s="23" t="s">
        <v>1667</v>
      </c>
      <c r="J375" s="23" t="s">
        <v>29</v>
      </c>
      <c r="Q375" s="65">
        <v>4</v>
      </c>
      <c r="R375" s="66">
        <v>2</v>
      </c>
      <c r="T375" s="68">
        <v>2</v>
      </c>
      <c r="V375" s="69">
        <v>2</v>
      </c>
      <c r="W375" s="70">
        <v>0</v>
      </c>
      <c r="AD375" s="23" t="s">
        <v>1668</v>
      </c>
      <c r="AF375" s="23" t="s">
        <v>1669</v>
      </c>
      <c r="AP375" s="73"/>
      <c r="AQ375" s="75"/>
      <c r="AR375" s="76"/>
      <c r="AS375" s="77"/>
      <c r="AV375" s="75"/>
      <c r="AW375" s="83"/>
      <c r="AX375" s="84"/>
      <c r="AY375" s="80"/>
      <c r="BB375" s="81"/>
    </row>
    <row r="376" spans="1:54" ht="15" customHeight="1">
      <c r="A376" s="23" t="s">
        <v>1303</v>
      </c>
      <c r="B376" s="23" t="s">
        <v>1670</v>
      </c>
      <c r="C376" s="23" t="s">
        <v>1307</v>
      </c>
      <c r="D376" s="24">
        <v>98</v>
      </c>
      <c r="E376" s="23">
        <v>2</v>
      </c>
      <c r="F376" s="23" t="s">
        <v>1666</v>
      </c>
      <c r="G376" s="23" t="s">
        <v>1671</v>
      </c>
      <c r="J376" s="23" t="s">
        <v>29</v>
      </c>
      <c r="Q376" s="65">
        <v>2</v>
      </c>
      <c r="R376" s="66">
        <v>2</v>
      </c>
      <c r="T376" s="68">
        <v>2</v>
      </c>
      <c r="V376" s="69">
        <v>1</v>
      </c>
      <c r="W376" s="70">
        <v>0</v>
      </c>
      <c r="AD376" s="23" t="s">
        <v>1668</v>
      </c>
      <c r="AF376" s="23" t="s">
        <v>1672</v>
      </c>
      <c r="AP376" s="73"/>
      <c r="AQ376" s="75"/>
      <c r="AR376" s="76"/>
      <c r="AS376" s="77"/>
      <c r="AV376" s="75"/>
      <c r="AW376" s="83"/>
      <c r="AX376" s="84"/>
      <c r="AY376" s="80"/>
      <c r="BB376" s="81"/>
    </row>
    <row r="377" spans="1:54" ht="15" customHeight="1">
      <c r="A377" s="23" t="s">
        <v>1303</v>
      </c>
      <c r="B377" s="23" t="s">
        <v>1673</v>
      </c>
      <c r="C377" s="23" t="s">
        <v>1307</v>
      </c>
      <c r="D377" s="24">
        <v>99</v>
      </c>
      <c r="E377" s="23">
        <v>2</v>
      </c>
      <c r="F377" s="23" t="s">
        <v>1666</v>
      </c>
      <c r="G377" s="23" t="s">
        <v>1674</v>
      </c>
      <c r="J377" s="23" t="s">
        <v>28</v>
      </c>
      <c r="AD377" s="23" t="s">
        <v>307</v>
      </c>
      <c r="AF377" s="23" t="s">
        <v>1675</v>
      </c>
      <c r="AP377" s="73"/>
      <c r="AQ377" s="75"/>
      <c r="AR377" s="76"/>
      <c r="AS377" s="77"/>
      <c r="AV377" s="75"/>
      <c r="AW377" s="83"/>
      <c r="AX377" s="84"/>
      <c r="AY377" s="80"/>
      <c r="BB377" s="81"/>
    </row>
    <row r="378" spans="1:54" ht="15" customHeight="1">
      <c r="A378" s="23" t="s">
        <v>1303</v>
      </c>
      <c r="B378" s="23" t="s">
        <v>1676</v>
      </c>
      <c r="C378" s="23" t="s">
        <v>1307</v>
      </c>
      <c r="D378" s="24">
        <v>100</v>
      </c>
      <c r="E378" s="23">
        <v>2</v>
      </c>
      <c r="F378" s="23" t="s">
        <v>1677</v>
      </c>
      <c r="G378" s="23" t="s">
        <v>1678</v>
      </c>
      <c r="J378" s="23" t="s">
        <v>28</v>
      </c>
      <c r="AD378" s="23" t="s">
        <v>486</v>
      </c>
      <c r="AF378" s="23" t="s">
        <v>1679</v>
      </c>
      <c r="AP378" s="73"/>
      <c r="AQ378" s="75"/>
      <c r="AR378" s="76"/>
      <c r="AS378" s="77"/>
      <c r="AV378" s="75"/>
      <c r="AW378" s="83"/>
      <c r="AX378" s="84"/>
      <c r="AY378" s="80"/>
      <c r="BB378" s="81"/>
    </row>
    <row r="379" spans="1:54" ht="15" customHeight="1">
      <c r="A379" s="23" t="s">
        <v>1303</v>
      </c>
      <c r="B379" s="23" t="s">
        <v>1680</v>
      </c>
      <c r="C379" s="23" t="s">
        <v>1307</v>
      </c>
      <c r="D379" s="24">
        <v>101</v>
      </c>
      <c r="E379" s="23">
        <v>2</v>
      </c>
      <c r="F379" s="23" t="s">
        <v>1677</v>
      </c>
      <c r="G379" s="23" t="s">
        <v>1681</v>
      </c>
      <c r="J379" s="23" t="s">
        <v>28</v>
      </c>
      <c r="AD379" s="23" t="s">
        <v>1682</v>
      </c>
      <c r="AF379" s="23" t="s">
        <v>1683</v>
      </c>
      <c r="AP379" s="73"/>
      <c r="AQ379" s="75"/>
      <c r="AR379" s="76"/>
      <c r="AS379" s="77"/>
      <c r="AV379" s="75"/>
      <c r="AW379" s="83"/>
      <c r="AX379" s="84"/>
      <c r="AY379" s="80"/>
      <c r="BB379" s="81"/>
    </row>
    <row r="380" spans="1:54" ht="15" customHeight="1">
      <c r="A380" s="23" t="s">
        <v>1303</v>
      </c>
      <c r="B380" s="23" t="s">
        <v>1684</v>
      </c>
      <c r="C380" s="23" t="s">
        <v>1307</v>
      </c>
      <c r="D380" s="24">
        <v>102</v>
      </c>
      <c r="E380" s="23">
        <v>2</v>
      </c>
      <c r="F380" s="23" t="s">
        <v>1677</v>
      </c>
      <c r="G380" s="23" t="s">
        <v>1685</v>
      </c>
      <c r="J380" s="23" t="s">
        <v>28</v>
      </c>
      <c r="AD380" s="23" t="s">
        <v>1686</v>
      </c>
      <c r="AF380" s="23" t="s">
        <v>1687</v>
      </c>
      <c r="AP380" s="73"/>
      <c r="AQ380" s="75"/>
      <c r="AR380" s="76"/>
      <c r="AS380" s="77"/>
      <c r="AV380" s="75"/>
      <c r="AW380" s="83"/>
      <c r="AX380" s="84"/>
      <c r="AY380" s="80"/>
      <c r="BB380" s="81"/>
    </row>
    <row r="381" spans="1:54" ht="15" customHeight="1">
      <c r="A381" s="23" t="s">
        <v>1303</v>
      </c>
      <c r="B381" s="23" t="s">
        <v>1688</v>
      </c>
      <c r="C381" s="23" t="s">
        <v>1307</v>
      </c>
      <c r="D381" s="24">
        <v>103</v>
      </c>
      <c r="E381" s="23">
        <v>2</v>
      </c>
      <c r="F381" s="23" t="s">
        <v>1689</v>
      </c>
      <c r="G381" s="23" t="s">
        <v>1690</v>
      </c>
      <c r="J381" s="23" t="s">
        <v>29</v>
      </c>
      <c r="Q381" s="65">
        <v>1</v>
      </c>
      <c r="R381" s="66">
        <v>4</v>
      </c>
      <c r="T381" s="68">
        <v>6</v>
      </c>
      <c r="V381" s="69">
        <v>1</v>
      </c>
      <c r="W381" s="70">
        <v>1</v>
      </c>
      <c r="AD381" s="23" t="s">
        <v>1691</v>
      </c>
      <c r="AF381" s="23" t="s">
        <v>1692</v>
      </c>
      <c r="AP381" s="73"/>
      <c r="AQ381" s="75"/>
      <c r="AR381" s="76"/>
      <c r="AS381" s="77"/>
      <c r="AV381" s="75"/>
      <c r="AW381" s="83"/>
      <c r="AX381" s="84"/>
      <c r="AY381" s="80"/>
      <c r="BB381" s="81"/>
    </row>
    <row r="382" spans="1:54" ht="15" customHeight="1">
      <c r="A382" s="23" t="s">
        <v>1303</v>
      </c>
      <c r="B382" s="23" t="s">
        <v>1693</v>
      </c>
      <c r="C382" s="23" t="s">
        <v>1307</v>
      </c>
      <c r="D382" s="24">
        <v>104</v>
      </c>
      <c r="E382" s="23">
        <v>1</v>
      </c>
      <c r="F382" s="23" t="s">
        <v>1689</v>
      </c>
      <c r="G382" s="23" t="s">
        <v>1694</v>
      </c>
      <c r="J382" s="23" t="s">
        <v>29</v>
      </c>
      <c r="Q382" s="65">
        <v>4</v>
      </c>
      <c r="R382" s="66">
        <v>2</v>
      </c>
      <c r="T382" s="68">
        <v>5</v>
      </c>
      <c r="V382" s="69">
        <v>2</v>
      </c>
      <c r="W382" s="70">
        <v>2</v>
      </c>
      <c r="AA382" s="72">
        <v>1</v>
      </c>
      <c r="AD382" s="23" t="s">
        <v>1691</v>
      </c>
      <c r="AF382" s="23" t="s">
        <v>1695</v>
      </c>
      <c r="AP382" s="73"/>
      <c r="AQ382" s="75"/>
      <c r="AR382" s="76"/>
      <c r="AS382" s="77"/>
      <c r="AV382" s="75"/>
      <c r="AW382" s="83"/>
      <c r="AX382" s="84"/>
      <c r="AY382" s="80"/>
      <c r="BB382" s="81"/>
    </row>
    <row r="383" spans="1:54" ht="15" customHeight="1">
      <c r="A383" s="23" t="s">
        <v>1303</v>
      </c>
      <c r="B383" s="28" t="s">
        <v>1708</v>
      </c>
      <c r="C383" s="28" t="s">
        <v>1307</v>
      </c>
      <c r="D383" s="31">
        <v>995</v>
      </c>
      <c r="E383" s="28">
        <v>1</v>
      </c>
      <c r="F383" s="28"/>
      <c r="G383" s="23" t="s">
        <v>1308</v>
      </c>
      <c r="J383" s="23" t="s">
        <v>861</v>
      </c>
      <c r="K383" s="23" t="s">
        <v>198</v>
      </c>
      <c r="N383" s="73"/>
      <c r="O383" s="75"/>
      <c r="P383" s="76"/>
      <c r="Q383" s="77"/>
      <c r="U383" s="75"/>
      <c r="V383" s="83"/>
      <c r="W383" s="84"/>
      <c r="X383" s="80"/>
      <c r="AA383" s="81"/>
      <c r="AB383" s="42"/>
      <c r="AE383" s="23"/>
      <c r="AI383" s="23" t="s">
        <v>1308</v>
      </c>
      <c r="AL383" s="23" t="s">
        <v>861</v>
      </c>
      <c r="AP383" s="73"/>
      <c r="AQ383" s="75"/>
      <c r="AR383" s="76"/>
      <c r="AS383" s="77"/>
      <c r="AV383" s="75"/>
      <c r="AW383" s="83"/>
      <c r="AX383" s="84"/>
      <c r="AY383" s="80"/>
      <c r="BB383" s="81"/>
    </row>
    <row r="384" spans="1:54" ht="15" customHeight="1">
      <c r="A384" s="23" t="s">
        <v>1303</v>
      </c>
      <c r="B384" s="23" t="s">
        <v>1709</v>
      </c>
      <c r="C384" s="23" t="s">
        <v>1307</v>
      </c>
      <c r="D384" s="24">
        <v>996</v>
      </c>
      <c r="E384" s="23">
        <v>1</v>
      </c>
      <c r="G384" s="23" t="s">
        <v>1315</v>
      </c>
      <c r="J384" s="23" t="s">
        <v>861</v>
      </c>
      <c r="K384" s="23" t="s">
        <v>199</v>
      </c>
      <c r="N384" s="73"/>
      <c r="O384" s="75"/>
      <c r="P384" s="76"/>
      <c r="Q384" s="77"/>
      <c r="U384" s="75"/>
      <c r="V384" s="83"/>
      <c r="W384" s="84"/>
      <c r="X384" s="80"/>
      <c r="AA384" s="81"/>
      <c r="AB384" s="42"/>
      <c r="AE384" s="23"/>
      <c r="AI384" s="23" t="s">
        <v>1315</v>
      </c>
      <c r="AL384" s="23" t="s">
        <v>861</v>
      </c>
      <c r="AP384" s="73"/>
      <c r="AQ384" s="75"/>
      <c r="AR384" s="76"/>
      <c r="AS384" s="77"/>
      <c r="AV384" s="75"/>
      <c r="AW384" s="83"/>
      <c r="AX384" s="84"/>
      <c r="AY384" s="80"/>
      <c r="BB384" s="81"/>
    </row>
    <row r="385" spans="1:68" ht="15" customHeight="1">
      <c r="A385" s="23" t="s">
        <v>1303</v>
      </c>
      <c r="B385" s="23" t="s">
        <v>1710</v>
      </c>
      <c r="C385" s="23" t="s">
        <v>1307</v>
      </c>
      <c r="D385" s="24">
        <v>997</v>
      </c>
      <c r="E385" s="23">
        <v>1</v>
      </c>
      <c r="G385" s="23" t="s">
        <v>1322</v>
      </c>
      <c r="J385" s="23" t="s">
        <v>861</v>
      </c>
      <c r="K385" s="23" t="s">
        <v>201</v>
      </c>
      <c r="N385" s="73"/>
      <c r="O385" s="75"/>
      <c r="P385" s="76"/>
      <c r="Q385" s="77"/>
      <c r="U385" s="75"/>
      <c r="V385" s="83"/>
      <c r="W385" s="84"/>
      <c r="X385" s="80"/>
      <c r="AA385" s="81"/>
      <c r="AB385" s="42"/>
      <c r="AE385" s="23"/>
      <c r="AI385" s="23" t="s">
        <v>1322</v>
      </c>
      <c r="AL385" s="23" t="s">
        <v>861</v>
      </c>
      <c r="AP385" s="73"/>
      <c r="AQ385" s="75"/>
      <c r="AR385" s="76"/>
      <c r="AS385" s="77"/>
      <c r="AV385" s="75"/>
      <c r="AW385" s="83"/>
      <c r="AX385" s="84"/>
      <c r="AY385" s="80"/>
      <c r="BB385" s="81"/>
    </row>
    <row r="386" spans="1:68" ht="15" customHeight="1">
      <c r="A386" s="23" t="s">
        <v>1303</v>
      </c>
      <c r="B386" s="30" t="s">
        <v>1711</v>
      </c>
      <c r="C386" s="23" t="s">
        <v>1307</v>
      </c>
      <c r="D386" s="24">
        <v>998</v>
      </c>
      <c r="E386" s="23">
        <v>1</v>
      </c>
      <c r="G386" s="23" t="s">
        <v>1328</v>
      </c>
      <c r="J386" s="23" t="s">
        <v>861</v>
      </c>
      <c r="K386" s="23" t="s">
        <v>200</v>
      </c>
      <c r="N386" s="73"/>
      <c r="O386" s="75"/>
      <c r="P386" s="76"/>
      <c r="Q386" s="77"/>
      <c r="U386" s="75"/>
      <c r="V386" s="83"/>
      <c r="W386" s="84"/>
      <c r="X386" s="80"/>
      <c r="AA386" s="81"/>
      <c r="AB386" s="42"/>
      <c r="AE386" s="23"/>
      <c r="AI386" s="23" t="s">
        <v>1328</v>
      </c>
      <c r="AL386" s="23" t="s">
        <v>861</v>
      </c>
      <c r="AP386" s="73"/>
      <c r="AQ386" s="75"/>
      <c r="AR386" s="76"/>
      <c r="AS386" s="77"/>
      <c r="AV386" s="75"/>
      <c r="AW386" s="83"/>
      <c r="AX386" s="84"/>
      <c r="AY386" s="80"/>
      <c r="BB386" s="81"/>
    </row>
    <row r="387" spans="1:68" s="32" customFormat="1" ht="15" customHeight="1">
      <c r="A387" s="23" t="s">
        <v>1303</v>
      </c>
      <c r="B387" s="32" t="s">
        <v>1712</v>
      </c>
      <c r="C387" s="32" t="s">
        <v>1307</v>
      </c>
      <c r="D387" s="32">
        <v>999</v>
      </c>
      <c r="E387" s="32">
        <v>1</v>
      </c>
      <c r="G387" s="23" t="s">
        <v>1334</v>
      </c>
      <c r="J387" s="32" t="s">
        <v>861</v>
      </c>
      <c r="K387" s="32" t="s">
        <v>202</v>
      </c>
      <c r="N387" s="85"/>
      <c r="O387" s="86"/>
      <c r="P387" s="87"/>
      <c r="Q387" s="88"/>
      <c r="R387" s="89"/>
      <c r="S387" s="113"/>
      <c r="T387" s="90"/>
      <c r="U387" s="86"/>
      <c r="V387" s="91"/>
      <c r="W387" s="92"/>
      <c r="X387" s="93"/>
      <c r="Y387" s="89"/>
      <c r="Z387" s="90"/>
      <c r="AA387" s="94"/>
      <c r="AI387" s="23" t="s">
        <v>1334</v>
      </c>
      <c r="AL387" s="32" t="s">
        <v>861</v>
      </c>
      <c r="AP387" s="85"/>
      <c r="AQ387" s="86"/>
      <c r="AR387" s="87"/>
      <c r="AS387" s="88"/>
      <c r="AT387" s="89"/>
      <c r="AU387" s="90"/>
      <c r="AV387" s="86"/>
      <c r="AW387" s="91"/>
      <c r="AX387" s="92"/>
      <c r="AY387" s="93"/>
      <c r="AZ387" s="89"/>
      <c r="BA387" s="90"/>
      <c r="BB387" s="94"/>
      <c r="BF387" s="25"/>
    </row>
    <row r="388" spans="1:68" ht="15" customHeight="1">
      <c r="A388" s="41" t="s">
        <v>1714</v>
      </c>
      <c r="B388" s="41" t="s">
        <v>1896</v>
      </c>
      <c r="C388" s="41" t="s">
        <v>1975</v>
      </c>
      <c r="D388" s="53">
        <v>105</v>
      </c>
      <c r="E388" s="54">
        <v>2</v>
      </c>
      <c r="F388" s="54"/>
      <c r="G388" s="54" t="s">
        <v>1720</v>
      </c>
      <c r="H388" s="33"/>
      <c r="I388" s="33"/>
      <c r="J388" s="33" t="s">
        <v>27</v>
      </c>
      <c r="K388" s="33" t="s">
        <v>198</v>
      </c>
      <c r="L388" s="33"/>
      <c r="M388" s="33"/>
      <c r="N388" s="104">
        <v>2</v>
      </c>
      <c r="O388" s="105"/>
      <c r="P388" s="106"/>
      <c r="Q388" s="107"/>
      <c r="R388" s="67"/>
      <c r="U388" s="105"/>
      <c r="V388" s="108"/>
      <c r="W388" s="109"/>
      <c r="X388" s="110"/>
      <c r="Y388" s="67"/>
      <c r="AA388" s="111"/>
      <c r="AB388" s="52" t="s">
        <v>1089</v>
      </c>
      <c r="AC388" s="33"/>
      <c r="AD388" s="33" t="s">
        <v>1721</v>
      </c>
      <c r="AF388" s="23" t="s">
        <v>1722</v>
      </c>
      <c r="AH388" s="33"/>
      <c r="AI388" s="33"/>
      <c r="AJ388" s="33"/>
      <c r="AK388" s="33"/>
      <c r="AL388" s="33"/>
      <c r="AM388" s="33"/>
      <c r="AN388" s="33"/>
      <c r="AO388" s="33"/>
      <c r="AP388" s="112"/>
      <c r="AQ388" s="105"/>
      <c r="AR388" s="106"/>
      <c r="AS388" s="107"/>
      <c r="AT388" s="67"/>
      <c r="AV388" s="105"/>
      <c r="AW388" s="108"/>
      <c r="AX388" s="109"/>
      <c r="AY388" s="110"/>
      <c r="AZ388" s="67"/>
      <c r="BB388" s="111"/>
      <c r="BC388" s="33"/>
      <c r="BD388" s="33"/>
      <c r="BE388" s="33"/>
      <c r="BI388" s="33"/>
      <c r="BJ388" s="33"/>
      <c r="BK388" s="33"/>
      <c r="BL388" s="33"/>
      <c r="BM388" s="33"/>
      <c r="BN388" s="33"/>
      <c r="BO388" s="33"/>
      <c r="BP388" s="33"/>
    </row>
    <row r="389" spans="1:68" ht="15" customHeight="1">
      <c r="A389" s="23" t="s">
        <v>1714</v>
      </c>
      <c r="B389" s="23" t="s">
        <v>1897</v>
      </c>
      <c r="C389" s="23" t="s">
        <v>1975</v>
      </c>
      <c r="D389" s="55">
        <v>106</v>
      </c>
      <c r="E389" s="33">
        <v>2</v>
      </c>
      <c r="F389" s="33"/>
      <c r="G389" s="33" t="s">
        <v>1723</v>
      </c>
      <c r="H389" s="33"/>
      <c r="I389" s="33" t="s">
        <v>223</v>
      </c>
      <c r="J389" s="33" t="s">
        <v>257</v>
      </c>
      <c r="K389" s="33" t="s">
        <v>198</v>
      </c>
      <c r="L389" s="33">
        <v>1</v>
      </c>
      <c r="M389" s="33"/>
      <c r="N389" s="104">
        <v>5</v>
      </c>
      <c r="O389" s="105"/>
      <c r="P389" s="106"/>
      <c r="Q389" s="107"/>
      <c r="R389" s="67"/>
      <c r="T389" s="68">
        <v>3</v>
      </c>
      <c r="U389" s="105">
        <v>3</v>
      </c>
      <c r="V389" s="108"/>
      <c r="W389" s="109"/>
      <c r="X389" s="110"/>
      <c r="Y389" s="67"/>
      <c r="AA389" s="111"/>
      <c r="AB389" s="52" t="s">
        <v>204</v>
      </c>
      <c r="AC389" s="33" t="s">
        <v>25</v>
      </c>
      <c r="AD389" s="33" t="s">
        <v>1724</v>
      </c>
      <c r="AF389" s="23" t="s">
        <v>1725</v>
      </c>
      <c r="AH389" s="33"/>
      <c r="AI389" s="33"/>
      <c r="AJ389" s="33"/>
      <c r="AK389" s="33"/>
      <c r="AL389" s="33"/>
      <c r="AM389" s="33"/>
      <c r="AN389" s="33"/>
      <c r="AO389" s="33"/>
      <c r="AP389" s="112"/>
      <c r="AQ389" s="105"/>
      <c r="AR389" s="106"/>
      <c r="AS389" s="107"/>
      <c r="AT389" s="67"/>
      <c r="AV389" s="105"/>
      <c r="AW389" s="108"/>
      <c r="AX389" s="109"/>
      <c r="AY389" s="110"/>
      <c r="AZ389" s="67"/>
      <c r="BB389" s="111"/>
      <c r="BC389" s="33"/>
      <c r="BD389" s="33"/>
      <c r="BE389" s="33"/>
      <c r="BI389" s="33"/>
      <c r="BJ389" s="33"/>
      <c r="BK389" s="33"/>
      <c r="BL389" s="33"/>
      <c r="BM389" s="33"/>
      <c r="BN389" s="33"/>
      <c r="BO389" s="33"/>
      <c r="BP389" s="33"/>
    </row>
    <row r="390" spans="1:68" ht="15" customHeight="1">
      <c r="A390" s="23" t="s">
        <v>1714</v>
      </c>
      <c r="B390" s="23" t="s">
        <v>1898</v>
      </c>
      <c r="C390" s="23" t="s">
        <v>1975</v>
      </c>
      <c r="D390" s="55">
        <v>107</v>
      </c>
      <c r="E390" s="33">
        <v>2</v>
      </c>
      <c r="F390" s="33"/>
      <c r="G390" s="33" t="s">
        <v>1726</v>
      </c>
      <c r="H390" s="33"/>
      <c r="I390" s="33"/>
      <c r="J390" s="33" t="s">
        <v>27</v>
      </c>
      <c r="K390" s="33" t="s">
        <v>199</v>
      </c>
      <c r="L390" s="33"/>
      <c r="M390" s="33"/>
      <c r="N390" s="104">
        <v>3</v>
      </c>
      <c r="O390" s="105"/>
      <c r="P390" s="106"/>
      <c r="Q390" s="107"/>
      <c r="R390" s="67"/>
      <c r="U390" s="105"/>
      <c r="V390" s="108"/>
      <c r="W390" s="109"/>
      <c r="X390" s="110"/>
      <c r="Y390" s="67"/>
      <c r="AA390" s="111"/>
      <c r="AB390" s="52" t="s">
        <v>1091</v>
      </c>
      <c r="AC390" s="33"/>
      <c r="AD390" s="33" t="s">
        <v>344</v>
      </c>
      <c r="AF390" s="23" t="s">
        <v>1727</v>
      </c>
      <c r="AH390" s="33"/>
      <c r="AI390" s="33"/>
      <c r="AJ390" s="33"/>
      <c r="AK390" s="33"/>
      <c r="AL390" s="33"/>
      <c r="AM390" s="33"/>
      <c r="AN390" s="33"/>
      <c r="AO390" s="33"/>
      <c r="AP390" s="112"/>
      <c r="AQ390" s="105"/>
      <c r="AR390" s="106"/>
      <c r="AS390" s="107"/>
      <c r="AT390" s="67"/>
      <c r="AV390" s="105"/>
      <c r="AW390" s="108"/>
      <c r="AX390" s="109"/>
      <c r="AY390" s="110"/>
      <c r="AZ390" s="67"/>
      <c r="BB390" s="111"/>
      <c r="BC390" s="33"/>
      <c r="BD390" s="33"/>
      <c r="BE390" s="33"/>
      <c r="BI390" s="33"/>
      <c r="BJ390" s="33"/>
      <c r="BK390" s="33"/>
      <c r="BL390" s="33"/>
      <c r="BM390" s="33"/>
      <c r="BN390" s="33"/>
      <c r="BO390" s="33"/>
      <c r="BP390" s="33"/>
    </row>
    <row r="391" spans="1:68" ht="15" customHeight="1">
      <c r="A391" s="23" t="s">
        <v>1714</v>
      </c>
      <c r="B391" s="23" t="s">
        <v>1899</v>
      </c>
      <c r="C391" s="23" t="s">
        <v>1975</v>
      </c>
      <c r="D391" s="55">
        <v>108</v>
      </c>
      <c r="E391" s="33">
        <v>2</v>
      </c>
      <c r="F391" s="33"/>
      <c r="G391" s="33" t="s">
        <v>1728</v>
      </c>
      <c r="H391" s="33"/>
      <c r="I391" s="33"/>
      <c r="J391" s="33" t="s">
        <v>257</v>
      </c>
      <c r="K391" s="33" t="s">
        <v>199</v>
      </c>
      <c r="L391" s="33">
        <v>1</v>
      </c>
      <c r="M391" s="33"/>
      <c r="N391" s="104">
        <v>3</v>
      </c>
      <c r="O391" s="105"/>
      <c r="P391" s="106"/>
      <c r="Q391" s="107"/>
      <c r="R391" s="67"/>
      <c r="U391" s="105"/>
      <c r="V391" s="108"/>
      <c r="W391" s="109"/>
      <c r="X391" s="110"/>
      <c r="Y391" s="67"/>
      <c r="AA391" s="111"/>
      <c r="AB391" s="52" t="s">
        <v>207</v>
      </c>
      <c r="AC391" s="33"/>
      <c r="AD391" s="33" t="s">
        <v>289</v>
      </c>
      <c r="AF391" s="23" t="s">
        <v>1729</v>
      </c>
      <c r="AH391" s="33"/>
      <c r="AI391" s="33"/>
      <c r="AJ391" s="33"/>
      <c r="AK391" s="33"/>
      <c r="AL391" s="33"/>
      <c r="AM391" s="33"/>
      <c r="AN391" s="33"/>
      <c r="AO391" s="33"/>
      <c r="AP391" s="112"/>
      <c r="AQ391" s="105"/>
      <c r="AR391" s="106"/>
      <c r="AS391" s="107"/>
      <c r="AT391" s="67"/>
      <c r="AV391" s="105"/>
      <c r="AW391" s="108"/>
      <c r="AX391" s="109"/>
      <c r="AY391" s="110"/>
      <c r="AZ391" s="67"/>
      <c r="BB391" s="111"/>
      <c r="BC391" s="33"/>
      <c r="BD391" s="33"/>
      <c r="BE391" s="33"/>
      <c r="BI391" s="33"/>
      <c r="BJ391" s="33"/>
      <c r="BK391" s="33"/>
      <c r="BL391" s="33"/>
      <c r="BM391" s="33"/>
      <c r="BN391" s="33"/>
      <c r="BO391" s="33"/>
      <c r="BP391" s="33"/>
    </row>
    <row r="392" spans="1:68" ht="15" customHeight="1">
      <c r="A392" s="23" t="s">
        <v>1714</v>
      </c>
      <c r="B392" s="23" t="s">
        <v>1900</v>
      </c>
      <c r="C392" s="23" t="s">
        <v>1975</v>
      </c>
      <c r="D392" s="55">
        <v>109</v>
      </c>
      <c r="E392" s="33">
        <v>2</v>
      </c>
      <c r="F392" s="33"/>
      <c r="G392" s="33" t="s">
        <v>1730</v>
      </c>
      <c r="H392" s="33"/>
      <c r="I392" s="33"/>
      <c r="J392" s="33" t="s">
        <v>27</v>
      </c>
      <c r="K392" s="33" t="s">
        <v>201</v>
      </c>
      <c r="L392" s="33"/>
      <c r="M392" s="33"/>
      <c r="N392" s="104">
        <v>4</v>
      </c>
      <c r="O392" s="105"/>
      <c r="P392" s="106"/>
      <c r="Q392" s="107"/>
      <c r="R392" s="67"/>
      <c r="U392" s="105"/>
      <c r="V392" s="108"/>
      <c r="W392" s="109"/>
      <c r="X392" s="110"/>
      <c r="Y392" s="67"/>
      <c r="AA392" s="111"/>
      <c r="AB392" s="52" t="s">
        <v>1092</v>
      </c>
      <c r="AC392" s="33"/>
      <c r="AD392" s="33" t="s">
        <v>1731</v>
      </c>
      <c r="AF392" s="23" t="s">
        <v>1732</v>
      </c>
      <c r="AH392" s="33"/>
      <c r="AI392" s="33"/>
      <c r="AJ392" s="33"/>
      <c r="AK392" s="33"/>
      <c r="AL392" s="33"/>
      <c r="AM392" s="33"/>
      <c r="AN392" s="33"/>
      <c r="AO392" s="33"/>
      <c r="AP392" s="112"/>
      <c r="AQ392" s="105"/>
      <c r="AR392" s="106"/>
      <c r="AS392" s="107"/>
      <c r="AT392" s="67"/>
      <c r="AV392" s="105"/>
      <c r="AW392" s="108"/>
      <c r="AX392" s="109"/>
      <c r="AY392" s="110"/>
      <c r="AZ392" s="67"/>
      <c r="BB392" s="111"/>
      <c r="BC392" s="33"/>
      <c r="BD392" s="33"/>
      <c r="BE392" s="33"/>
      <c r="BI392" s="33"/>
      <c r="BJ392" s="33"/>
      <c r="BK392" s="33"/>
      <c r="BL392" s="33"/>
      <c r="BM392" s="33"/>
      <c r="BN392" s="33"/>
      <c r="BO392" s="33"/>
      <c r="BP392" s="33"/>
    </row>
    <row r="393" spans="1:68" ht="15" customHeight="1">
      <c r="A393" s="23" t="s">
        <v>1714</v>
      </c>
      <c r="B393" s="23" t="s">
        <v>1901</v>
      </c>
      <c r="C393" s="23" t="s">
        <v>1975</v>
      </c>
      <c r="D393" s="55">
        <v>110</v>
      </c>
      <c r="E393" s="33">
        <v>2</v>
      </c>
      <c r="F393" s="33"/>
      <c r="G393" s="33" t="s">
        <v>1733</v>
      </c>
      <c r="H393" s="33"/>
      <c r="I393" s="33"/>
      <c r="J393" s="33" t="s">
        <v>257</v>
      </c>
      <c r="K393" s="33" t="s">
        <v>201</v>
      </c>
      <c r="L393" s="33">
        <v>1</v>
      </c>
      <c r="M393" s="33"/>
      <c r="N393" s="104" t="s">
        <v>38</v>
      </c>
      <c r="O393" s="105"/>
      <c r="P393" s="106"/>
      <c r="Q393" s="107"/>
      <c r="R393" s="67"/>
      <c r="U393" s="105"/>
      <c r="V393" s="108"/>
      <c r="W393" s="109"/>
      <c r="X393" s="110"/>
      <c r="Y393" s="67"/>
      <c r="AA393" s="111"/>
      <c r="AB393" s="52"/>
      <c r="AC393" s="33"/>
      <c r="AD393" s="33" t="s">
        <v>289</v>
      </c>
      <c r="AE393" s="24" t="s">
        <v>1978</v>
      </c>
      <c r="AF393" s="23" t="s">
        <v>2378</v>
      </c>
      <c r="AH393" s="33"/>
      <c r="AI393" s="33"/>
      <c r="AJ393" s="33"/>
      <c r="AK393" s="33"/>
      <c r="AL393" s="33"/>
      <c r="AM393" s="33"/>
      <c r="AN393" s="33"/>
      <c r="AO393" s="33"/>
      <c r="AP393" s="112"/>
      <c r="AQ393" s="105"/>
      <c r="AR393" s="106"/>
      <c r="AS393" s="107"/>
      <c r="AT393" s="67"/>
      <c r="AV393" s="105"/>
      <c r="AW393" s="108"/>
      <c r="AX393" s="109"/>
      <c r="AY393" s="110"/>
      <c r="AZ393" s="67"/>
      <c r="BB393" s="111"/>
      <c r="BC393" s="33"/>
      <c r="BD393" s="33"/>
      <c r="BE393" s="33"/>
      <c r="BI393" s="33"/>
      <c r="BJ393" s="33"/>
      <c r="BK393" s="33"/>
      <c r="BL393" s="33"/>
      <c r="BM393" s="33"/>
      <c r="BN393" s="33"/>
      <c r="BO393" s="33"/>
      <c r="BP393" s="33"/>
    </row>
    <row r="394" spans="1:68" ht="15" customHeight="1">
      <c r="A394" s="23" t="s">
        <v>1714</v>
      </c>
      <c r="B394" s="23" t="s">
        <v>1902</v>
      </c>
      <c r="C394" s="23" t="s">
        <v>1975</v>
      </c>
      <c r="D394" s="55">
        <v>111</v>
      </c>
      <c r="E394" s="33">
        <v>2</v>
      </c>
      <c r="F394" s="33"/>
      <c r="G394" s="33" t="s">
        <v>1734</v>
      </c>
      <c r="H394" s="33"/>
      <c r="I394" s="33"/>
      <c r="J394" s="33" t="s">
        <v>27</v>
      </c>
      <c r="K394" s="33" t="s">
        <v>200</v>
      </c>
      <c r="L394" s="33"/>
      <c r="M394" s="33"/>
      <c r="N394" s="104">
        <v>1</v>
      </c>
      <c r="O394" s="105"/>
      <c r="P394" s="106"/>
      <c r="Q394" s="107"/>
      <c r="R394" s="67"/>
      <c r="U394" s="105"/>
      <c r="V394" s="108"/>
      <c r="W394" s="109"/>
      <c r="X394" s="110"/>
      <c r="Y394" s="67"/>
      <c r="AA394" s="111">
        <v>1</v>
      </c>
      <c r="AB394" s="52"/>
      <c r="AC394" s="33"/>
      <c r="AD394" s="33" t="s">
        <v>340</v>
      </c>
      <c r="AF394" s="23" t="s">
        <v>1735</v>
      </c>
      <c r="AH394" s="33"/>
      <c r="AI394" s="33"/>
      <c r="AJ394" s="33"/>
      <c r="AK394" s="33"/>
      <c r="AL394" s="33"/>
      <c r="AM394" s="33"/>
      <c r="AN394" s="33"/>
      <c r="AO394" s="33"/>
      <c r="AP394" s="112"/>
      <c r="AQ394" s="105"/>
      <c r="AR394" s="106"/>
      <c r="AS394" s="107"/>
      <c r="AT394" s="67"/>
      <c r="AV394" s="105"/>
      <c r="AW394" s="108"/>
      <c r="AX394" s="109"/>
      <c r="AY394" s="110"/>
      <c r="AZ394" s="67"/>
      <c r="BB394" s="111"/>
      <c r="BC394" s="33"/>
      <c r="BD394" s="33"/>
      <c r="BE394" s="33"/>
      <c r="BI394" s="33"/>
      <c r="BJ394" s="33"/>
      <c r="BK394" s="33"/>
      <c r="BL394" s="33"/>
      <c r="BM394" s="33"/>
      <c r="BN394" s="33"/>
      <c r="BO394" s="33"/>
      <c r="BP394" s="33"/>
    </row>
    <row r="395" spans="1:68" ht="15" customHeight="1">
      <c r="A395" s="23" t="s">
        <v>1714</v>
      </c>
      <c r="B395" s="23" t="s">
        <v>1903</v>
      </c>
      <c r="C395" s="23" t="s">
        <v>1975</v>
      </c>
      <c r="D395" s="55">
        <v>112</v>
      </c>
      <c r="E395" s="33">
        <v>2</v>
      </c>
      <c r="F395" s="33"/>
      <c r="G395" s="33" t="s">
        <v>1736</v>
      </c>
      <c r="H395" s="33"/>
      <c r="I395" s="33"/>
      <c r="J395" s="33" t="s">
        <v>257</v>
      </c>
      <c r="K395" s="33" t="s">
        <v>200</v>
      </c>
      <c r="L395" s="33">
        <v>2</v>
      </c>
      <c r="M395" s="33"/>
      <c r="N395" s="104">
        <v>2</v>
      </c>
      <c r="O395" s="105"/>
      <c r="P395" s="106"/>
      <c r="Q395" s="107"/>
      <c r="R395" s="67"/>
      <c r="U395" s="105"/>
      <c r="V395" s="108"/>
      <c r="W395" s="109"/>
      <c r="X395" s="110"/>
      <c r="Y395" s="67"/>
      <c r="AA395" s="111"/>
      <c r="AB395" s="52" t="s">
        <v>204</v>
      </c>
      <c r="AC395" s="33" t="s">
        <v>378</v>
      </c>
      <c r="AD395" s="33" t="s">
        <v>1119</v>
      </c>
      <c r="AF395" s="23" t="s">
        <v>1737</v>
      </c>
      <c r="AH395" s="33"/>
      <c r="AI395" s="33"/>
      <c r="AJ395" s="33"/>
      <c r="AK395" s="33"/>
      <c r="AL395" s="33"/>
      <c r="AM395" s="33"/>
      <c r="AN395" s="33"/>
      <c r="AO395" s="33"/>
      <c r="AP395" s="112"/>
      <c r="AQ395" s="105"/>
      <c r="AR395" s="106"/>
      <c r="AS395" s="107"/>
      <c r="AT395" s="67"/>
      <c r="AV395" s="105"/>
      <c r="AW395" s="108"/>
      <c r="AX395" s="109"/>
      <c r="AY395" s="110"/>
      <c r="AZ395" s="67"/>
      <c r="BB395" s="111"/>
      <c r="BC395" s="33"/>
      <c r="BD395" s="33"/>
      <c r="BE395" s="33"/>
      <c r="BI395" s="33"/>
      <c r="BJ395" s="33"/>
      <c r="BK395" s="33"/>
      <c r="BL395" s="33"/>
      <c r="BM395" s="33"/>
      <c r="BN395" s="33"/>
      <c r="BO395" s="33"/>
      <c r="BP395" s="33"/>
    </row>
    <row r="396" spans="1:68" ht="15" customHeight="1">
      <c r="A396" s="23" t="s">
        <v>1714</v>
      </c>
      <c r="B396" s="23" t="s">
        <v>1904</v>
      </c>
      <c r="C396" s="23" t="s">
        <v>1975</v>
      </c>
      <c r="D396" s="55">
        <v>113</v>
      </c>
      <c r="E396" s="33">
        <v>2</v>
      </c>
      <c r="F396" s="33"/>
      <c r="G396" s="33" t="s">
        <v>1738</v>
      </c>
      <c r="H396" s="33"/>
      <c r="I396" s="33"/>
      <c r="J396" s="33" t="s">
        <v>27</v>
      </c>
      <c r="K396" s="33" t="s">
        <v>202</v>
      </c>
      <c r="L396" s="33"/>
      <c r="M396" s="33"/>
      <c r="N396" s="104">
        <v>2</v>
      </c>
      <c r="O396" s="105"/>
      <c r="P396" s="106"/>
      <c r="Q396" s="107"/>
      <c r="R396" s="67"/>
      <c r="U396" s="105"/>
      <c r="V396" s="108"/>
      <c r="W396" s="109"/>
      <c r="X396" s="110"/>
      <c r="Y396" s="67"/>
      <c r="AA396" s="111"/>
      <c r="AB396" s="52" t="s">
        <v>1088</v>
      </c>
      <c r="AC396" s="33"/>
      <c r="AD396" s="33" t="s">
        <v>372</v>
      </c>
      <c r="AF396" s="23" t="s">
        <v>1739</v>
      </c>
      <c r="AH396" s="33"/>
      <c r="AI396" s="33"/>
      <c r="AJ396" s="33"/>
      <c r="AK396" s="33"/>
      <c r="AL396" s="33"/>
      <c r="AM396" s="33"/>
      <c r="AN396" s="33"/>
      <c r="AO396" s="33"/>
      <c r="AP396" s="112"/>
      <c r="AQ396" s="105"/>
      <c r="AR396" s="106"/>
      <c r="AS396" s="107"/>
      <c r="AT396" s="67"/>
      <c r="AV396" s="105"/>
      <c r="AW396" s="108"/>
      <c r="AX396" s="109"/>
      <c r="AY396" s="110"/>
      <c r="AZ396" s="67"/>
      <c r="BB396" s="111"/>
      <c r="BC396" s="33"/>
      <c r="BD396" s="33"/>
      <c r="BE396" s="33"/>
      <c r="BI396" s="33"/>
      <c r="BJ396" s="33"/>
      <c r="BK396" s="33"/>
      <c r="BL396" s="33"/>
      <c r="BM396" s="33"/>
      <c r="BN396" s="33"/>
      <c r="BO396" s="33"/>
      <c r="BP396" s="33"/>
    </row>
    <row r="397" spans="1:68" ht="15" customHeight="1">
      <c r="A397" s="23" t="s">
        <v>1714</v>
      </c>
      <c r="B397" s="23" t="s">
        <v>1905</v>
      </c>
      <c r="C397" s="23" t="s">
        <v>1975</v>
      </c>
      <c r="D397" s="55">
        <v>114</v>
      </c>
      <c r="E397" s="33">
        <v>2</v>
      </c>
      <c r="F397" s="33"/>
      <c r="G397" s="33" t="s">
        <v>1740</v>
      </c>
      <c r="H397" s="33"/>
      <c r="I397" s="33"/>
      <c r="J397" s="33" t="s">
        <v>257</v>
      </c>
      <c r="K397" s="33" t="s">
        <v>202</v>
      </c>
      <c r="L397" s="33">
        <v>1</v>
      </c>
      <c r="M397" s="33"/>
      <c r="N397" s="104">
        <v>2</v>
      </c>
      <c r="O397" s="105"/>
      <c r="P397" s="106"/>
      <c r="Q397" s="107"/>
      <c r="R397" s="67"/>
      <c r="U397" s="105"/>
      <c r="V397" s="108"/>
      <c r="W397" s="109"/>
      <c r="X397" s="110"/>
      <c r="Y397" s="67"/>
      <c r="AA397" s="111"/>
      <c r="AB397" s="52" t="s">
        <v>207</v>
      </c>
      <c r="AC397" s="33" t="s">
        <v>258</v>
      </c>
      <c r="AD397" s="33" t="s">
        <v>1741</v>
      </c>
      <c r="AF397" s="23" t="s">
        <v>1742</v>
      </c>
      <c r="AH397" s="33"/>
      <c r="AI397" s="33"/>
      <c r="AJ397" s="33"/>
      <c r="AK397" s="33"/>
      <c r="AL397" s="33"/>
      <c r="AM397" s="33"/>
      <c r="AN397" s="33"/>
      <c r="AO397" s="33"/>
      <c r="AP397" s="112"/>
      <c r="AQ397" s="105"/>
      <c r="AR397" s="106"/>
      <c r="AS397" s="107"/>
      <c r="AT397" s="67"/>
      <c r="AV397" s="105"/>
      <c r="AW397" s="108"/>
      <c r="AX397" s="109"/>
      <c r="AY397" s="110"/>
      <c r="AZ397" s="67"/>
      <c r="BB397" s="111"/>
      <c r="BC397" s="33"/>
      <c r="BD397" s="33"/>
      <c r="BE397" s="33"/>
      <c r="BI397" s="33"/>
      <c r="BJ397" s="33"/>
      <c r="BK397" s="33"/>
      <c r="BL397" s="33"/>
      <c r="BM397" s="33"/>
      <c r="BN397" s="33"/>
      <c r="BO397" s="33"/>
      <c r="BP397" s="33"/>
    </row>
    <row r="398" spans="1:68" ht="15" customHeight="1">
      <c r="A398" s="23" t="s">
        <v>1714</v>
      </c>
      <c r="B398" s="23" t="s">
        <v>1906</v>
      </c>
      <c r="C398" s="23" t="s">
        <v>1975</v>
      </c>
      <c r="D398" s="55">
        <v>115</v>
      </c>
      <c r="E398" s="33">
        <v>2</v>
      </c>
      <c r="F398" s="33"/>
      <c r="G398" s="33" t="s">
        <v>1743</v>
      </c>
      <c r="H398" s="33"/>
      <c r="I398" s="33"/>
      <c r="J398" s="33" t="s">
        <v>27</v>
      </c>
      <c r="K398" s="33" t="s">
        <v>202</v>
      </c>
      <c r="L398" s="33">
        <v>1</v>
      </c>
      <c r="M398" s="33"/>
      <c r="N398" s="104">
        <v>2</v>
      </c>
      <c r="O398" s="105"/>
      <c r="P398" s="106"/>
      <c r="Q398" s="107"/>
      <c r="R398" s="67"/>
      <c r="U398" s="105"/>
      <c r="V398" s="108"/>
      <c r="W398" s="109"/>
      <c r="X398" s="110"/>
      <c r="Y398" s="67"/>
      <c r="AA398" s="111"/>
      <c r="AB398" s="52" t="s">
        <v>208</v>
      </c>
      <c r="AC398" s="33"/>
      <c r="AD398" s="33" t="s">
        <v>307</v>
      </c>
      <c r="AF398" s="23" t="s">
        <v>1744</v>
      </c>
      <c r="AH398" s="33"/>
      <c r="AI398" s="33"/>
      <c r="AJ398" s="33"/>
      <c r="AK398" s="33"/>
      <c r="AL398" s="33"/>
      <c r="AM398" s="33"/>
      <c r="AN398" s="33"/>
      <c r="AO398" s="33"/>
      <c r="AP398" s="112"/>
      <c r="AQ398" s="105"/>
      <c r="AR398" s="106"/>
      <c r="AS398" s="107"/>
      <c r="AT398" s="67"/>
      <c r="AV398" s="105"/>
      <c r="AW398" s="108"/>
      <c r="AX398" s="109"/>
      <c r="AY398" s="110"/>
      <c r="AZ398" s="67"/>
      <c r="BB398" s="111"/>
      <c r="BC398" s="33"/>
      <c r="BD398" s="33"/>
      <c r="BE398" s="33"/>
      <c r="BI398" s="33"/>
      <c r="BJ398" s="33"/>
      <c r="BK398" s="33"/>
      <c r="BL398" s="33"/>
      <c r="BM398" s="33"/>
      <c r="BN398" s="33"/>
      <c r="BO398" s="33"/>
      <c r="BP398" s="33"/>
    </row>
    <row r="399" spans="1:68" ht="15" customHeight="1">
      <c r="A399" s="23" t="s">
        <v>1714</v>
      </c>
      <c r="B399" s="23" t="s">
        <v>1907</v>
      </c>
      <c r="C399" s="23" t="s">
        <v>1975</v>
      </c>
      <c r="D399" s="55">
        <v>116</v>
      </c>
      <c r="E399" s="33">
        <v>2</v>
      </c>
      <c r="F399" s="33"/>
      <c r="G399" s="33" t="s">
        <v>1745</v>
      </c>
      <c r="H399" s="33"/>
      <c r="I399" s="33"/>
      <c r="J399" s="33" t="s">
        <v>257</v>
      </c>
      <c r="K399" s="33" t="s">
        <v>26</v>
      </c>
      <c r="L399" s="33">
        <v>0</v>
      </c>
      <c r="M399" s="33"/>
      <c r="N399" s="104">
        <v>1</v>
      </c>
      <c r="O399" s="105"/>
      <c r="P399" s="106"/>
      <c r="Q399" s="107"/>
      <c r="R399" s="67"/>
      <c r="U399" s="105"/>
      <c r="V399" s="108"/>
      <c r="W399" s="109"/>
      <c r="X399" s="110"/>
      <c r="Y399" s="67"/>
      <c r="AA399" s="111"/>
      <c r="AB399" s="52" t="s">
        <v>204</v>
      </c>
      <c r="AC399" s="33"/>
      <c r="AD399" s="33" t="s">
        <v>265</v>
      </c>
      <c r="AF399" s="23" t="s">
        <v>1746</v>
      </c>
      <c r="AH399" s="33"/>
      <c r="AI399" s="33"/>
      <c r="AJ399" s="33"/>
      <c r="AK399" s="33"/>
      <c r="AL399" s="33"/>
      <c r="AM399" s="33"/>
      <c r="AN399" s="33"/>
      <c r="AO399" s="33"/>
      <c r="AP399" s="112"/>
      <c r="AQ399" s="105"/>
      <c r="AR399" s="106"/>
      <c r="AS399" s="107"/>
      <c r="AT399" s="67"/>
      <c r="AV399" s="105"/>
      <c r="AW399" s="108"/>
      <c r="AX399" s="109"/>
      <c r="AY399" s="110"/>
      <c r="AZ399" s="67"/>
      <c r="BB399" s="111"/>
      <c r="BC399" s="33"/>
      <c r="BD399" s="33"/>
      <c r="BE399" s="33"/>
      <c r="BI399" s="33"/>
      <c r="BJ399" s="33"/>
      <c r="BK399" s="33"/>
      <c r="BL399" s="33"/>
      <c r="BM399" s="33"/>
      <c r="BN399" s="33"/>
      <c r="BO399" s="33"/>
      <c r="BP399" s="33"/>
    </row>
    <row r="400" spans="1:68" ht="15" customHeight="1">
      <c r="A400" s="23" t="s">
        <v>1714</v>
      </c>
      <c r="B400" s="23" t="s">
        <v>1908</v>
      </c>
      <c r="C400" s="23" t="s">
        <v>1975</v>
      </c>
      <c r="D400" s="55">
        <v>117</v>
      </c>
      <c r="E400" s="33">
        <v>2</v>
      </c>
      <c r="F400" s="33"/>
      <c r="G400" s="33" t="s">
        <v>1747</v>
      </c>
      <c r="H400" s="33"/>
      <c r="I400" s="33"/>
      <c r="J400" s="33" t="s">
        <v>257</v>
      </c>
      <c r="K400" s="33" t="s">
        <v>26</v>
      </c>
      <c r="L400" s="33">
        <v>0</v>
      </c>
      <c r="M400" s="33"/>
      <c r="N400" s="104">
        <v>1</v>
      </c>
      <c r="O400" s="105"/>
      <c r="P400" s="106"/>
      <c r="Q400" s="107"/>
      <c r="R400" s="67"/>
      <c r="U400" s="105"/>
      <c r="V400" s="108"/>
      <c r="W400" s="109"/>
      <c r="X400" s="110"/>
      <c r="Y400" s="67"/>
      <c r="AA400" s="111"/>
      <c r="AB400" s="52" t="s">
        <v>204</v>
      </c>
      <c r="AC400" s="33"/>
      <c r="AD400" s="33" t="s">
        <v>265</v>
      </c>
      <c r="AF400" s="23" t="s">
        <v>1748</v>
      </c>
      <c r="AH400" s="33"/>
      <c r="AI400" s="33"/>
      <c r="AJ400" s="33"/>
      <c r="AK400" s="33"/>
      <c r="AL400" s="33"/>
      <c r="AM400" s="33"/>
      <c r="AN400" s="33"/>
      <c r="AO400" s="33"/>
      <c r="AP400" s="112"/>
      <c r="AQ400" s="105"/>
      <c r="AR400" s="106"/>
      <c r="AS400" s="107"/>
      <c r="AT400" s="67"/>
      <c r="AV400" s="105"/>
      <c r="AW400" s="108"/>
      <c r="AX400" s="109"/>
      <c r="AY400" s="110"/>
      <c r="AZ400" s="67"/>
      <c r="BB400" s="111"/>
      <c r="BC400" s="33"/>
      <c r="BD400" s="33"/>
      <c r="BE400" s="33"/>
      <c r="BI400" s="33"/>
      <c r="BJ400" s="33"/>
      <c r="BK400" s="33"/>
      <c r="BL400" s="33"/>
      <c r="BM400" s="33"/>
      <c r="BN400" s="33"/>
      <c r="BO400" s="33"/>
      <c r="BP400" s="33"/>
    </row>
    <row r="401" spans="1:68" ht="15" customHeight="1">
      <c r="A401" s="23" t="s">
        <v>1714</v>
      </c>
      <c r="B401" s="23" t="s">
        <v>1909</v>
      </c>
      <c r="C401" s="23" t="s">
        <v>1975</v>
      </c>
      <c r="D401" s="55">
        <v>118</v>
      </c>
      <c r="E401" s="33">
        <v>1</v>
      </c>
      <c r="F401" s="33" t="s">
        <v>1715</v>
      </c>
      <c r="G401" s="33" t="s">
        <v>1715</v>
      </c>
      <c r="H401" s="33" t="s">
        <v>709</v>
      </c>
      <c r="I401" s="33"/>
      <c r="J401" s="33" t="s">
        <v>618</v>
      </c>
      <c r="K401" s="33"/>
      <c r="L401" s="33"/>
      <c r="N401" s="104"/>
      <c r="O401" s="105"/>
      <c r="P401" s="106"/>
      <c r="Q401" s="107"/>
      <c r="R401" s="67"/>
      <c r="U401" s="105"/>
      <c r="V401" s="108"/>
      <c r="W401" s="109"/>
      <c r="X401" s="110"/>
      <c r="Y401" s="67"/>
      <c r="AA401" s="111"/>
      <c r="AB401" s="52"/>
      <c r="AC401" s="33"/>
      <c r="AD401" s="33"/>
      <c r="AF401" s="23" t="s">
        <v>1749</v>
      </c>
      <c r="AH401" s="33"/>
      <c r="AI401" s="33" t="s">
        <v>1715</v>
      </c>
      <c r="AJ401" s="33" t="s">
        <v>710</v>
      </c>
      <c r="AK401" s="33"/>
      <c r="AL401" s="33" t="s">
        <v>618</v>
      </c>
      <c r="AM401" s="33"/>
      <c r="AN401" s="33"/>
      <c r="AO401" s="33"/>
      <c r="AP401" s="112"/>
      <c r="AQ401" s="105"/>
      <c r="AR401" s="106"/>
      <c r="AS401" s="107"/>
      <c r="AT401" s="67"/>
      <c r="AV401" s="105"/>
      <c r="AW401" s="108"/>
      <c r="AX401" s="109"/>
      <c r="AY401" s="110"/>
      <c r="AZ401" s="67"/>
      <c r="BB401" s="111"/>
      <c r="BC401" s="33"/>
      <c r="BD401" s="33"/>
      <c r="BE401" s="33"/>
      <c r="BG401" s="23" t="s">
        <v>1862</v>
      </c>
      <c r="BI401" s="33"/>
      <c r="BJ401" s="33"/>
      <c r="BK401" s="33"/>
      <c r="BL401" s="33"/>
      <c r="BM401" s="33"/>
      <c r="BN401" s="33"/>
      <c r="BO401" s="33"/>
      <c r="BP401" s="33"/>
    </row>
    <row r="402" spans="1:68" ht="15" customHeight="1">
      <c r="A402" s="23" t="s">
        <v>1714</v>
      </c>
      <c r="B402" s="23" t="s">
        <v>1910</v>
      </c>
      <c r="C402" s="23" t="s">
        <v>1975</v>
      </c>
      <c r="D402" s="55">
        <v>119</v>
      </c>
      <c r="E402" s="33">
        <v>1</v>
      </c>
      <c r="F402" s="33" t="s">
        <v>1715</v>
      </c>
      <c r="G402" s="33" t="s">
        <v>1750</v>
      </c>
      <c r="H402" s="33"/>
      <c r="I402" s="33"/>
      <c r="J402" s="33" t="s">
        <v>619</v>
      </c>
      <c r="K402" s="33"/>
      <c r="L402" s="33">
        <v>1</v>
      </c>
      <c r="M402" s="33"/>
      <c r="N402" s="104"/>
      <c r="O402" s="105"/>
      <c r="P402" s="106"/>
      <c r="Q402" s="107"/>
      <c r="R402" s="67"/>
      <c r="U402" s="105"/>
      <c r="V402" s="108"/>
      <c r="W402" s="109"/>
      <c r="X402" s="110"/>
      <c r="Y402" s="67"/>
      <c r="Z402" s="68">
        <v>5</v>
      </c>
      <c r="AA402" s="111"/>
      <c r="AB402" s="52"/>
      <c r="AC402" s="33"/>
      <c r="AD402" s="33"/>
      <c r="AF402" s="23" t="s">
        <v>1751</v>
      </c>
      <c r="AH402" s="33"/>
      <c r="AI402" s="33" t="s">
        <v>1863</v>
      </c>
      <c r="AJ402" s="33"/>
      <c r="AK402" s="33"/>
      <c r="AL402" s="33" t="s">
        <v>619</v>
      </c>
      <c r="AM402" s="33"/>
      <c r="AN402" s="33">
        <v>1</v>
      </c>
      <c r="AO402" s="33"/>
      <c r="AP402" s="112"/>
      <c r="AQ402" s="105"/>
      <c r="AR402" s="106"/>
      <c r="AS402" s="107"/>
      <c r="AT402" s="67"/>
      <c r="AV402" s="105"/>
      <c r="AW402" s="108"/>
      <c r="AX402" s="109"/>
      <c r="AY402" s="110"/>
      <c r="AZ402" s="67"/>
      <c r="BB402" s="111"/>
      <c r="BC402" s="33"/>
      <c r="BD402" s="33"/>
      <c r="BE402" s="33"/>
      <c r="BG402" s="23" t="s">
        <v>1864</v>
      </c>
      <c r="BI402" s="33"/>
      <c r="BJ402" s="33"/>
      <c r="BK402" s="33"/>
      <c r="BL402" s="33"/>
      <c r="BM402" s="33"/>
      <c r="BN402" s="33"/>
      <c r="BO402" s="33"/>
      <c r="BP402" s="33"/>
    </row>
    <row r="403" spans="1:68" ht="15" customHeight="1">
      <c r="A403" s="23" t="s">
        <v>1714</v>
      </c>
      <c r="B403" s="23" t="s">
        <v>1911</v>
      </c>
      <c r="C403" s="23" t="s">
        <v>1975</v>
      </c>
      <c r="D403" s="55">
        <v>120</v>
      </c>
      <c r="E403" s="33">
        <v>1</v>
      </c>
      <c r="F403" s="33" t="s">
        <v>1715</v>
      </c>
      <c r="G403" s="33" t="s">
        <v>1752</v>
      </c>
      <c r="H403" s="33"/>
      <c r="I403" s="33"/>
      <c r="J403" s="33" t="s">
        <v>619</v>
      </c>
      <c r="K403" s="33"/>
      <c r="L403" s="33">
        <v>2</v>
      </c>
      <c r="M403" s="33"/>
      <c r="N403" s="104"/>
      <c r="O403" s="105"/>
      <c r="P403" s="106"/>
      <c r="Q403" s="107"/>
      <c r="R403" s="67"/>
      <c r="U403" s="105"/>
      <c r="V403" s="108"/>
      <c r="W403" s="109"/>
      <c r="X403" s="110"/>
      <c r="Y403" s="67"/>
      <c r="Z403" s="68">
        <v>7</v>
      </c>
      <c r="AA403" s="111"/>
      <c r="AB403" s="52"/>
      <c r="AC403" s="33"/>
      <c r="AD403" s="33"/>
      <c r="AF403" s="23" t="s">
        <v>1751</v>
      </c>
      <c r="AH403" s="33"/>
      <c r="AI403" s="33" t="s">
        <v>1674</v>
      </c>
      <c r="AJ403" s="33"/>
      <c r="AK403" s="33"/>
      <c r="AL403" s="33" t="s">
        <v>619</v>
      </c>
      <c r="AM403" s="33"/>
      <c r="AN403" s="33">
        <v>2</v>
      </c>
      <c r="AO403" s="33"/>
      <c r="AP403" s="112"/>
      <c r="AQ403" s="105"/>
      <c r="AR403" s="106"/>
      <c r="AS403" s="107"/>
      <c r="AT403" s="67"/>
      <c r="AV403" s="105"/>
      <c r="AW403" s="108"/>
      <c r="AX403" s="109"/>
      <c r="AY403" s="110"/>
      <c r="AZ403" s="67"/>
      <c r="BB403" s="111"/>
      <c r="BC403" s="33"/>
      <c r="BD403" s="33"/>
      <c r="BE403" s="33"/>
      <c r="BG403" s="23" t="s">
        <v>1864</v>
      </c>
      <c r="BI403" s="33"/>
      <c r="BJ403" s="33"/>
      <c r="BK403" s="33"/>
      <c r="BL403" s="33"/>
      <c r="BM403" s="33"/>
      <c r="BN403" s="33"/>
      <c r="BO403" s="33"/>
      <c r="BP403" s="33"/>
    </row>
    <row r="404" spans="1:68" ht="15" customHeight="1">
      <c r="A404" s="23" t="s">
        <v>1714</v>
      </c>
      <c r="B404" s="23" t="s">
        <v>1912</v>
      </c>
      <c r="C404" s="23" t="s">
        <v>1975</v>
      </c>
      <c r="D404" s="55">
        <v>121</v>
      </c>
      <c r="E404" s="33">
        <v>1</v>
      </c>
      <c r="F404" s="33" t="s">
        <v>1715</v>
      </c>
      <c r="G404" s="33" t="s">
        <v>1753</v>
      </c>
      <c r="H404" s="33"/>
      <c r="I404" s="33"/>
      <c r="J404" s="33" t="s">
        <v>619</v>
      </c>
      <c r="K404" s="33"/>
      <c r="L404" s="33">
        <v>3</v>
      </c>
      <c r="M404" s="33"/>
      <c r="N404" s="104"/>
      <c r="O404" s="105"/>
      <c r="P404" s="106"/>
      <c r="Q404" s="107"/>
      <c r="R404" s="67"/>
      <c r="U404" s="105"/>
      <c r="V404" s="108"/>
      <c r="W404" s="109"/>
      <c r="X404" s="110"/>
      <c r="Y404" s="67"/>
      <c r="Z404" s="68">
        <v>7</v>
      </c>
      <c r="AA404" s="111"/>
      <c r="AB404" s="52"/>
      <c r="AC404" s="33"/>
      <c r="AD404" s="33"/>
      <c r="AF404" s="23" t="s">
        <v>1751</v>
      </c>
      <c r="AH404" s="33"/>
      <c r="AI404" s="33" t="s">
        <v>1866</v>
      </c>
      <c r="AJ404" s="33"/>
      <c r="AK404" s="33"/>
      <c r="AL404" s="33" t="s">
        <v>619</v>
      </c>
      <c r="AM404" s="33"/>
      <c r="AN404" s="33">
        <v>3</v>
      </c>
      <c r="AO404" s="33"/>
      <c r="AP404" s="112"/>
      <c r="AQ404" s="105"/>
      <c r="AR404" s="106"/>
      <c r="AS404" s="107"/>
      <c r="AT404" s="67"/>
      <c r="AV404" s="105"/>
      <c r="AW404" s="108"/>
      <c r="AX404" s="109"/>
      <c r="AY404" s="110"/>
      <c r="AZ404" s="67"/>
      <c r="BB404" s="111"/>
      <c r="BC404" s="33"/>
      <c r="BD404" s="33"/>
      <c r="BE404" s="33"/>
      <c r="BG404" s="23" t="s">
        <v>1867</v>
      </c>
      <c r="BI404" s="33"/>
      <c r="BJ404" s="33"/>
      <c r="BK404" s="33"/>
      <c r="BL404" s="33"/>
      <c r="BM404" s="33"/>
      <c r="BN404" s="33"/>
      <c r="BO404" s="33"/>
      <c r="BP404" s="33"/>
    </row>
    <row r="405" spans="1:68" ht="15" customHeight="1">
      <c r="A405" s="23" t="s">
        <v>1714</v>
      </c>
      <c r="B405" s="23" t="s">
        <v>1913</v>
      </c>
      <c r="C405" s="23" t="s">
        <v>1975</v>
      </c>
      <c r="D405" s="55">
        <v>122</v>
      </c>
      <c r="E405" s="33">
        <v>1</v>
      </c>
      <c r="F405" s="33" t="s">
        <v>1715</v>
      </c>
      <c r="G405" s="33" t="s">
        <v>1754</v>
      </c>
      <c r="H405" s="33"/>
      <c r="I405" s="33"/>
      <c r="J405" s="33" t="s">
        <v>621</v>
      </c>
      <c r="K405" s="33"/>
      <c r="L405" s="33">
        <v>1</v>
      </c>
      <c r="M405" s="33"/>
      <c r="N405" s="104"/>
      <c r="O405" s="105"/>
      <c r="P405" s="106"/>
      <c r="Q405" s="107"/>
      <c r="R405" s="67"/>
      <c r="U405" s="105"/>
      <c r="V405" s="108"/>
      <c r="W405" s="109"/>
      <c r="X405" s="110"/>
      <c r="Y405" s="67">
        <v>2</v>
      </c>
      <c r="AA405" s="111"/>
      <c r="AB405" s="52"/>
      <c r="AC405" s="33"/>
      <c r="AD405" s="33"/>
      <c r="AH405" s="33"/>
      <c r="AI405" s="33" t="s">
        <v>1865</v>
      </c>
      <c r="AJ405" s="33"/>
      <c r="AK405" s="33"/>
      <c r="AL405" s="33" t="s">
        <v>621</v>
      </c>
      <c r="AM405" s="33"/>
      <c r="AN405" s="33">
        <v>1</v>
      </c>
      <c r="AO405" s="33"/>
      <c r="AP405" s="112"/>
      <c r="AQ405" s="105"/>
      <c r="AR405" s="106"/>
      <c r="AS405" s="107"/>
      <c r="AT405" s="67"/>
      <c r="AV405" s="105"/>
      <c r="AW405" s="108"/>
      <c r="AX405" s="109"/>
      <c r="AY405" s="110"/>
      <c r="AZ405" s="67"/>
      <c r="BB405" s="111"/>
      <c r="BC405" s="33"/>
      <c r="BD405" s="33"/>
      <c r="BE405" s="33"/>
      <c r="BG405" s="23" t="s">
        <v>1868</v>
      </c>
      <c r="BI405" s="33"/>
      <c r="BJ405" s="33"/>
      <c r="BK405" s="33"/>
      <c r="BL405" s="33"/>
      <c r="BM405" s="33"/>
      <c r="BN405" s="33"/>
      <c r="BO405" s="33"/>
      <c r="BP405" s="33"/>
    </row>
    <row r="406" spans="1:68" ht="15" customHeight="1">
      <c r="A406" s="23" t="s">
        <v>1714</v>
      </c>
      <c r="B406" s="23" t="s">
        <v>1914</v>
      </c>
      <c r="C406" s="23" t="s">
        <v>1975</v>
      </c>
      <c r="D406" s="55">
        <v>123</v>
      </c>
      <c r="E406" s="33">
        <v>1</v>
      </c>
      <c r="F406" s="33" t="s">
        <v>1715</v>
      </c>
      <c r="G406" s="33" t="s">
        <v>1755</v>
      </c>
      <c r="H406" s="33"/>
      <c r="I406" s="33"/>
      <c r="J406" s="33" t="s">
        <v>621</v>
      </c>
      <c r="K406" s="33"/>
      <c r="L406" s="33">
        <v>2</v>
      </c>
      <c r="M406" s="33"/>
      <c r="N406" s="104"/>
      <c r="O406" s="105"/>
      <c r="P406" s="106"/>
      <c r="Q406" s="107"/>
      <c r="R406" s="67"/>
      <c r="U406" s="105"/>
      <c r="V406" s="108"/>
      <c r="W406" s="109"/>
      <c r="X406" s="110"/>
      <c r="Y406" s="67" t="s">
        <v>38</v>
      </c>
      <c r="AA406" s="111"/>
      <c r="AB406" s="52"/>
      <c r="AC406" s="33"/>
      <c r="AD406" s="33"/>
      <c r="AF406" s="23" t="s">
        <v>1756</v>
      </c>
      <c r="AH406" s="33"/>
      <c r="AI406" s="33" t="s">
        <v>1869</v>
      </c>
      <c r="AJ406" s="33"/>
      <c r="AK406" s="33"/>
      <c r="AL406" s="33" t="s">
        <v>621</v>
      </c>
      <c r="AM406" s="33"/>
      <c r="AN406" s="33">
        <v>2</v>
      </c>
      <c r="AO406" s="33"/>
      <c r="AP406" s="112"/>
      <c r="AQ406" s="105"/>
      <c r="AR406" s="106"/>
      <c r="AS406" s="107"/>
      <c r="AT406" s="67"/>
      <c r="AV406" s="105"/>
      <c r="AW406" s="108"/>
      <c r="AX406" s="109"/>
      <c r="AY406" s="110"/>
      <c r="AZ406" s="67"/>
      <c r="BB406" s="111"/>
      <c r="BC406" s="33"/>
      <c r="BD406" s="33"/>
      <c r="BE406" s="33"/>
      <c r="BG406" s="23" t="s">
        <v>1870</v>
      </c>
      <c r="BI406" s="33"/>
      <c r="BJ406" s="33"/>
      <c r="BK406" s="33"/>
      <c r="BL406" s="33"/>
      <c r="BM406" s="33"/>
      <c r="BN406" s="33"/>
      <c r="BO406" s="33"/>
      <c r="BP406" s="33"/>
    </row>
    <row r="407" spans="1:68" ht="15" customHeight="1">
      <c r="A407" s="23" t="s">
        <v>1714</v>
      </c>
      <c r="B407" s="23" t="s">
        <v>1915</v>
      </c>
      <c r="C407" s="23" t="s">
        <v>1975</v>
      </c>
      <c r="D407" s="55">
        <v>124</v>
      </c>
      <c r="E407" s="33">
        <v>1</v>
      </c>
      <c r="F407" s="33" t="s">
        <v>1715</v>
      </c>
      <c r="G407" s="33" t="s">
        <v>1757</v>
      </c>
      <c r="H407" s="33"/>
      <c r="I407" s="33"/>
      <c r="J407" s="33" t="s">
        <v>621</v>
      </c>
      <c r="K407" s="33"/>
      <c r="L407" s="33">
        <v>2</v>
      </c>
      <c r="M407" s="33"/>
      <c r="N407" s="104"/>
      <c r="O407" s="105"/>
      <c r="P407" s="106"/>
      <c r="Q407" s="107"/>
      <c r="R407" s="67"/>
      <c r="U407" s="105"/>
      <c r="V407" s="108"/>
      <c r="W407" s="109"/>
      <c r="X407" s="110"/>
      <c r="Y407" s="67" t="s">
        <v>38</v>
      </c>
      <c r="AA407" s="111"/>
      <c r="AB407" s="52"/>
      <c r="AC407" s="33"/>
      <c r="AD407" s="33"/>
      <c r="AF407" s="23" t="s">
        <v>1756</v>
      </c>
      <c r="AH407" s="33"/>
      <c r="AI407" s="33" t="s">
        <v>1871</v>
      </c>
      <c r="AJ407" s="33"/>
      <c r="AK407" s="33"/>
      <c r="AL407" s="33" t="s">
        <v>621</v>
      </c>
      <c r="AM407" s="33"/>
      <c r="AN407" s="33">
        <v>2</v>
      </c>
      <c r="AO407" s="33"/>
      <c r="AP407" s="112"/>
      <c r="AQ407" s="105"/>
      <c r="AR407" s="106"/>
      <c r="AS407" s="107"/>
      <c r="AT407" s="67"/>
      <c r="AV407" s="105"/>
      <c r="AW407" s="108"/>
      <c r="AX407" s="109"/>
      <c r="AY407" s="110"/>
      <c r="AZ407" s="67"/>
      <c r="BB407" s="111"/>
      <c r="BC407" s="33"/>
      <c r="BD407" s="33"/>
      <c r="BE407" s="33"/>
      <c r="BG407" s="23" t="s">
        <v>1872</v>
      </c>
      <c r="BI407" s="33"/>
      <c r="BJ407" s="33"/>
      <c r="BK407" s="33"/>
      <c r="BL407" s="33"/>
      <c r="BM407" s="33"/>
      <c r="BN407" s="33"/>
      <c r="BO407" s="33"/>
      <c r="BP407" s="33"/>
    </row>
    <row r="408" spans="1:68" ht="15" customHeight="1">
      <c r="A408" s="23" t="s">
        <v>1714</v>
      </c>
      <c r="B408" s="23" t="s">
        <v>1916</v>
      </c>
      <c r="C408" s="23" t="s">
        <v>1975</v>
      </c>
      <c r="D408" s="55">
        <v>125</v>
      </c>
      <c r="E408" s="33">
        <v>1</v>
      </c>
      <c r="F408" s="33" t="s">
        <v>1715</v>
      </c>
      <c r="G408" s="33" t="s">
        <v>1758</v>
      </c>
      <c r="H408" s="33"/>
      <c r="I408" s="33"/>
      <c r="J408" s="33" t="s">
        <v>621</v>
      </c>
      <c r="K408" s="33"/>
      <c r="L408" s="33">
        <v>3</v>
      </c>
      <c r="M408" s="33"/>
      <c r="N408" s="104"/>
      <c r="O408" s="105"/>
      <c r="P408" s="106"/>
      <c r="Q408" s="107"/>
      <c r="R408" s="67"/>
      <c r="U408" s="105"/>
      <c r="V408" s="108"/>
      <c r="W408" s="109"/>
      <c r="X408" s="110"/>
      <c r="Y408" s="67" t="s">
        <v>38</v>
      </c>
      <c r="AA408" s="111"/>
      <c r="AB408" s="52"/>
      <c r="AC408" s="33"/>
      <c r="AD408" s="33"/>
      <c r="AF408" s="23" t="s">
        <v>1759</v>
      </c>
      <c r="AH408" s="33"/>
      <c r="AI408" s="33" t="s">
        <v>267</v>
      </c>
      <c r="AJ408" s="33"/>
      <c r="AK408" s="33"/>
      <c r="AL408" s="33" t="s">
        <v>621</v>
      </c>
      <c r="AM408" s="33"/>
      <c r="AN408" s="33">
        <v>3</v>
      </c>
      <c r="AO408" s="33"/>
      <c r="AP408" s="112"/>
      <c r="AQ408" s="105"/>
      <c r="AR408" s="106"/>
      <c r="AS408" s="107"/>
      <c r="AT408" s="67"/>
      <c r="AV408" s="105"/>
      <c r="AW408" s="108"/>
      <c r="AX408" s="109"/>
      <c r="AY408" s="110"/>
      <c r="AZ408" s="67"/>
      <c r="BB408" s="111"/>
      <c r="BC408" s="33"/>
      <c r="BD408" s="33"/>
      <c r="BE408" s="33"/>
      <c r="BG408" s="23" t="s">
        <v>1873</v>
      </c>
      <c r="BI408" s="33"/>
      <c r="BJ408" s="33"/>
      <c r="BK408" s="33"/>
      <c r="BL408" s="33"/>
      <c r="BM408" s="33"/>
      <c r="BN408" s="33"/>
      <c r="BO408" s="33"/>
      <c r="BP408" s="33"/>
    </row>
    <row r="409" spans="1:68" ht="15" customHeight="1">
      <c r="A409" s="23" t="s">
        <v>1714</v>
      </c>
      <c r="B409" s="23" t="s">
        <v>1917</v>
      </c>
      <c r="C409" s="23" t="s">
        <v>1975</v>
      </c>
      <c r="D409" s="55">
        <v>126</v>
      </c>
      <c r="E409" s="33">
        <v>1</v>
      </c>
      <c r="F409" s="33" t="s">
        <v>1715</v>
      </c>
      <c r="G409" s="33" t="s">
        <v>1760</v>
      </c>
      <c r="H409" s="33"/>
      <c r="I409" s="33"/>
      <c r="J409" s="33" t="s">
        <v>31</v>
      </c>
      <c r="K409" s="33"/>
      <c r="L409" s="33"/>
      <c r="M409" s="33"/>
      <c r="N409" s="104"/>
      <c r="O409" s="105"/>
      <c r="P409" s="106"/>
      <c r="Q409" s="107"/>
      <c r="R409" s="67"/>
      <c r="U409" s="105"/>
      <c r="V409" s="108"/>
      <c r="W409" s="109"/>
      <c r="X409" s="110"/>
      <c r="Y409" s="67"/>
      <c r="AA409" s="111"/>
      <c r="AB409" s="52"/>
      <c r="AC409" s="33"/>
      <c r="AD409" s="33" t="s">
        <v>242</v>
      </c>
      <c r="AH409" s="33"/>
      <c r="AI409" s="33" t="s">
        <v>1760</v>
      </c>
      <c r="AJ409" s="33"/>
      <c r="AK409" s="33"/>
      <c r="AL409" s="33" t="s">
        <v>31</v>
      </c>
      <c r="AM409" s="33"/>
      <c r="AN409" s="33"/>
      <c r="AO409" s="33"/>
      <c r="AP409" s="112"/>
      <c r="AQ409" s="105"/>
      <c r="AR409" s="106"/>
      <c r="AS409" s="107"/>
      <c r="AT409" s="67"/>
      <c r="AV409" s="105"/>
      <c r="AW409" s="108"/>
      <c r="AX409" s="109"/>
      <c r="AY409" s="110">
        <v>3</v>
      </c>
      <c r="AZ409" s="67">
        <v>2</v>
      </c>
      <c r="BB409" s="111"/>
      <c r="BC409" s="33"/>
      <c r="BD409" s="33"/>
      <c r="BE409" s="33" t="s">
        <v>242</v>
      </c>
      <c r="BG409" s="23" t="s">
        <v>1761</v>
      </c>
      <c r="BI409" s="33"/>
      <c r="BJ409" s="33"/>
      <c r="BK409" s="33"/>
      <c r="BL409" s="33"/>
      <c r="BM409" s="33"/>
      <c r="BN409" s="33"/>
      <c r="BO409" s="33"/>
      <c r="BP409" s="33"/>
    </row>
    <row r="410" spans="1:68" ht="15" customHeight="1">
      <c r="A410" s="23" t="s">
        <v>1714</v>
      </c>
      <c r="B410" s="23" t="s">
        <v>1918</v>
      </c>
      <c r="C410" s="23" t="s">
        <v>1975</v>
      </c>
      <c r="D410" s="55">
        <v>127</v>
      </c>
      <c r="E410" s="33">
        <v>1</v>
      </c>
      <c r="F410" s="33" t="s">
        <v>1715</v>
      </c>
      <c r="G410" s="33" t="s">
        <v>1762</v>
      </c>
      <c r="H410" s="33"/>
      <c r="I410" s="33"/>
      <c r="J410" s="33" t="s">
        <v>31</v>
      </c>
      <c r="K410" s="33"/>
      <c r="L410" s="33"/>
      <c r="M410" s="33"/>
      <c r="N410" s="104"/>
      <c r="O410" s="105"/>
      <c r="P410" s="106"/>
      <c r="Q410" s="107"/>
      <c r="R410" s="67"/>
      <c r="U410" s="105"/>
      <c r="V410" s="108"/>
      <c r="W410" s="109"/>
      <c r="X410" s="110"/>
      <c r="Y410" s="67"/>
      <c r="AA410" s="111"/>
      <c r="AB410" s="52"/>
      <c r="AC410" s="33"/>
      <c r="AD410" s="33" t="s">
        <v>242</v>
      </c>
      <c r="AH410" s="33"/>
      <c r="AI410" s="33" t="s">
        <v>1762</v>
      </c>
      <c r="AJ410" s="33"/>
      <c r="AK410" s="33"/>
      <c r="AL410" s="33" t="s">
        <v>31</v>
      </c>
      <c r="AM410" s="33"/>
      <c r="AN410" s="33"/>
      <c r="AO410" s="33"/>
      <c r="AP410" s="112"/>
      <c r="AQ410" s="105"/>
      <c r="AR410" s="106"/>
      <c r="AS410" s="107"/>
      <c r="AT410" s="67"/>
      <c r="AV410" s="105"/>
      <c r="AW410" s="108"/>
      <c r="AX410" s="109"/>
      <c r="AY410" s="110">
        <v>2</v>
      </c>
      <c r="AZ410" s="67">
        <v>0</v>
      </c>
      <c r="BB410" s="111"/>
      <c r="BC410" s="33"/>
      <c r="BD410" s="33"/>
      <c r="BE410" s="33" t="s">
        <v>242</v>
      </c>
      <c r="BG410" s="23" t="s">
        <v>1763</v>
      </c>
      <c r="BI410" s="33"/>
      <c r="BJ410" s="33"/>
      <c r="BK410" s="33"/>
      <c r="BL410" s="33"/>
      <c r="BM410" s="33"/>
      <c r="BN410" s="33"/>
      <c r="BO410" s="33"/>
      <c r="BP410" s="33"/>
    </row>
    <row r="411" spans="1:68" ht="15" customHeight="1">
      <c r="A411" s="23" t="s">
        <v>1714</v>
      </c>
      <c r="B411" s="23" t="s">
        <v>1919</v>
      </c>
      <c r="C411" s="23" t="s">
        <v>1975</v>
      </c>
      <c r="D411" s="55">
        <v>128</v>
      </c>
      <c r="E411" s="33">
        <v>1</v>
      </c>
      <c r="F411" s="33" t="s">
        <v>1715</v>
      </c>
      <c r="G411" s="33" t="s">
        <v>1764</v>
      </c>
      <c r="H411" s="33"/>
      <c r="I411" s="33"/>
      <c r="J411" s="33" t="s">
        <v>31</v>
      </c>
      <c r="K411" s="33"/>
      <c r="L411" s="33"/>
      <c r="M411" s="33"/>
      <c r="N411" s="104"/>
      <c r="O411" s="105"/>
      <c r="P411" s="106"/>
      <c r="Q411" s="107"/>
      <c r="R411" s="67"/>
      <c r="U411" s="105"/>
      <c r="V411" s="108"/>
      <c r="W411" s="109"/>
      <c r="X411" s="110"/>
      <c r="Y411" s="67"/>
      <c r="AA411" s="111"/>
      <c r="AB411" s="52"/>
      <c r="AC411" s="33"/>
      <c r="AD411" s="33" t="s">
        <v>242</v>
      </c>
      <c r="AH411" s="33"/>
      <c r="AI411" s="33" t="s">
        <v>1764</v>
      </c>
      <c r="AJ411" s="33"/>
      <c r="AK411" s="33"/>
      <c r="AL411" s="33" t="s">
        <v>31</v>
      </c>
      <c r="AM411" s="33"/>
      <c r="AN411" s="33"/>
      <c r="AO411" s="33"/>
      <c r="AP411" s="112"/>
      <c r="AQ411" s="105"/>
      <c r="AR411" s="106"/>
      <c r="AS411" s="107"/>
      <c r="AT411" s="67"/>
      <c r="AV411" s="105"/>
      <c r="AW411" s="108"/>
      <c r="AX411" s="109"/>
      <c r="AY411" s="110">
        <v>2</v>
      </c>
      <c r="AZ411" s="29" t="s">
        <v>1073</v>
      </c>
      <c r="BB411" s="111"/>
      <c r="BC411" s="33"/>
      <c r="BD411" s="33"/>
      <c r="BE411" s="33" t="s">
        <v>242</v>
      </c>
      <c r="BG411" s="23" t="s">
        <v>1765</v>
      </c>
      <c r="BI411" s="33"/>
      <c r="BJ411" s="33"/>
      <c r="BK411" s="33"/>
      <c r="BL411" s="33"/>
      <c r="BM411" s="33"/>
      <c r="BN411" s="33"/>
      <c r="BO411" s="33"/>
      <c r="BP411" s="33"/>
    </row>
    <row r="412" spans="1:68" ht="15" customHeight="1">
      <c r="A412" s="23" t="s">
        <v>1714</v>
      </c>
      <c r="B412" s="23" t="s">
        <v>1920</v>
      </c>
      <c r="C412" s="23" t="s">
        <v>1975</v>
      </c>
      <c r="D412" s="55">
        <v>129</v>
      </c>
      <c r="E412" s="33">
        <v>1</v>
      </c>
      <c r="F412" s="33" t="s">
        <v>1715</v>
      </c>
      <c r="G412" s="33" t="s">
        <v>1764</v>
      </c>
      <c r="H412" s="33"/>
      <c r="I412" s="33"/>
      <c r="J412" s="33" t="s">
        <v>31</v>
      </c>
      <c r="K412" s="33"/>
      <c r="L412" s="33"/>
      <c r="M412" s="33"/>
      <c r="N412" s="104"/>
      <c r="O412" s="105"/>
      <c r="P412" s="106"/>
      <c r="Q412" s="107"/>
      <c r="R412" s="67"/>
      <c r="U412" s="105"/>
      <c r="V412" s="108"/>
      <c r="W412" s="109"/>
      <c r="X412" s="110"/>
      <c r="Y412" s="67"/>
      <c r="AA412" s="111"/>
      <c r="AB412" s="52"/>
      <c r="AC412" s="33"/>
      <c r="AD412" s="33" t="s">
        <v>242</v>
      </c>
      <c r="AH412" s="33"/>
      <c r="AI412" s="33" t="s">
        <v>1764</v>
      </c>
      <c r="AJ412" s="33"/>
      <c r="AK412" s="33"/>
      <c r="AL412" s="33" t="s">
        <v>31</v>
      </c>
      <c r="AM412" s="33"/>
      <c r="AN412" s="33"/>
      <c r="AO412" s="33"/>
      <c r="AP412" s="112"/>
      <c r="AQ412" s="105"/>
      <c r="AR412" s="106"/>
      <c r="AS412" s="107"/>
      <c r="AT412" s="67"/>
      <c r="AV412" s="105"/>
      <c r="AW412" s="108"/>
      <c r="AX412" s="109"/>
      <c r="AY412" s="110">
        <v>3</v>
      </c>
      <c r="AZ412" s="67" t="s">
        <v>1111</v>
      </c>
      <c r="BB412" s="111"/>
      <c r="BC412" s="33"/>
      <c r="BD412" s="33"/>
      <c r="BE412" s="33" t="s">
        <v>242</v>
      </c>
      <c r="BG412" s="23" t="s">
        <v>1766</v>
      </c>
      <c r="BI412" s="33"/>
      <c r="BJ412" s="33"/>
      <c r="BK412" s="33"/>
      <c r="BL412" s="33"/>
      <c r="BM412" s="33"/>
      <c r="BN412" s="33"/>
      <c r="BO412" s="33"/>
      <c r="BP412" s="33"/>
    </row>
    <row r="413" spans="1:68" ht="15" customHeight="1">
      <c r="A413" s="23" t="s">
        <v>1714</v>
      </c>
      <c r="B413" s="23" t="s">
        <v>1921</v>
      </c>
      <c r="C413" s="23" t="s">
        <v>1975</v>
      </c>
      <c r="D413" s="55">
        <v>130</v>
      </c>
      <c r="E413" s="33">
        <v>1</v>
      </c>
      <c r="F413" s="33" t="s">
        <v>1715</v>
      </c>
      <c r="G413" s="33" t="s">
        <v>1767</v>
      </c>
      <c r="H413" s="33"/>
      <c r="I413" s="33"/>
      <c r="J413" s="33" t="s">
        <v>31</v>
      </c>
      <c r="K413" s="33"/>
      <c r="L413" s="33"/>
      <c r="M413" s="33"/>
      <c r="N413" s="104"/>
      <c r="O413" s="105"/>
      <c r="P413" s="106"/>
      <c r="Q413" s="107"/>
      <c r="R413" s="67"/>
      <c r="U413" s="105"/>
      <c r="V413" s="108"/>
      <c r="W413" s="109"/>
      <c r="X413" s="110"/>
      <c r="Y413" s="67"/>
      <c r="AA413" s="111"/>
      <c r="AB413" s="52"/>
      <c r="AC413" s="33"/>
      <c r="AD413" s="33" t="s">
        <v>242</v>
      </c>
      <c r="AH413" s="33"/>
      <c r="AI413" s="33" t="s">
        <v>1767</v>
      </c>
      <c r="AJ413" s="33"/>
      <c r="AK413" s="33"/>
      <c r="AL413" s="33" t="s">
        <v>31</v>
      </c>
      <c r="AM413" s="33"/>
      <c r="AN413" s="33"/>
      <c r="AO413" s="33"/>
      <c r="AP413" s="112"/>
      <c r="AQ413" s="105"/>
      <c r="AR413" s="106"/>
      <c r="AS413" s="107"/>
      <c r="AT413" s="67"/>
      <c r="AV413" s="105"/>
      <c r="AW413" s="108"/>
      <c r="AX413" s="109"/>
      <c r="AY413" s="110">
        <v>1</v>
      </c>
      <c r="AZ413" s="29" t="s">
        <v>1073</v>
      </c>
      <c r="BB413" s="111"/>
      <c r="BC413" s="33"/>
      <c r="BD413" s="33"/>
      <c r="BE413" s="33" t="s">
        <v>242</v>
      </c>
      <c r="BG413" s="23" t="s">
        <v>1768</v>
      </c>
      <c r="BI413" s="33"/>
      <c r="BJ413" s="33"/>
      <c r="BK413" s="33"/>
      <c r="BL413" s="33"/>
      <c r="BM413" s="33"/>
      <c r="BN413" s="33"/>
      <c r="BO413" s="33"/>
      <c r="BP413" s="33"/>
    </row>
    <row r="414" spans="1:68" ht="15" customHeight="1">
      <c r="A414" s="23" t="s">
        <v>1714</v>
      </c>
      <c r="B414" s="23" t="s">
        <v>1922</v>
      </c>
      <c r="C414" s="23" t="s">
        <v>1975</v>
      </c>
      <c r="D414" s="55">
        <v>131</v>
      </c>
      <c r="E414" s="33">
        <v>1</v>
      </c>
      <c r="F414" s="33" t="s">
        <v>1715</v>
      </c>
      <c r="G414" s="33" t="s">
        <v>1767</v>
      </c>
      <c r="H414" s="33"/>
      <c r="I414" s="33"/>
      <c r="J414" s="33" t="s">
        <v>31</v>
      </c>
      <c r="K414" s="33"/>
      <c r="L414" s="33"/>
      <c r="M414" s="33"/>
      <c r="N414" s="104"/>
      <c r="O414" s="105"/>
      <c r="P414" s="106"/>
      <c r="Q414" s="107"/>
      <c r="R414" s="67"/>
      <c r="U414" s="105"/>
      <c r="V414" s="108"/>
      <c r="W414" s="109"/>
      <c r="X414" s="110"/>
      <c r="Y414" s="67"/>
      <c r="AA414" s="111"/>
      <c r="AB414" s="52"/>
      <c r="AC414" s="33"/>
      <c r="AD414" s="33" t="s">
        <v>242</v>
      </c>
      <c r="AH414" s="33"/>
      <c r="AI414" s="33" t="s">
        <v>1767</v>
      </c>
      <c r="AJ414" s="33"/>
      <c r="AK414" s="33"/>
      <c r="AL414" s="33" t="s">
        <v>31</v>
      </c>
      <c r="AM414" s="33"/>
      <c r="AN414" s="33"/>
      <c r="AO414" s="33"/>
      <c r="AP414" s="112"/>
      <c r="AQ414" s="105"/>
      <c r="AR414" s="106"/>
      <c r="AS414" s="107"/>
      <c r="AT414" s="67"/>
      <c r="AV414" s="105"/>
      <c r="AW414" s="108"/>
      <c r="AX414" s="109"/>
      <c r="AY414" s="110">
        <v>2</v>
      </c>
      <c r="AZ414" s="67" t="s">
        <v>1111</v>
      </c>
      <c r="BB414" s="111"/>
      <c r="BC414" s="33"/>
      <c r="BD414" s="33"/>
      <c r="BE414" s="33" t="s">
        <v>242</v>
      </c>
      <c r="BG414" s="23" t="s">
        <v>1769</v>
      </c>
      <c r="BI414" s="33"/>
      <c r="BJ414" s="33"/>
      <c r="BK414" s="33"/>
      <c r="BL414" s="33"/>
      <c r="BM414" s="33"/>
      <c r="BN414" s="33"/>
      <c r="BO414" s="33"/>
      <c r="BP414" s="33"/>
    </row>
    <row r="415" spans="1:68" ht="15" customHeight="1">
      <c r="A415" s="23" t="s">
        <v>1714</v>
      </c>
      <c r="B415" s="23" t="s">
        <v>1923</v>
      </c>
      <c r="C415" s="23" t="s">
        <v>1975</v>
      </c>
      <c r="D415" s="55">
        <v>132</v>
      </c>
      <c r="E415" s="33">
        <v>1</v>
      </c>
      <c r="F415" s="33" t="s">
        <v>1715</v>
      </c>
      <c r="G415" s="33" t="s">
        <v>1770</v>
      </c>
      <c r="I415" s="33"/>
      <c r="J415" s="33" t="s">
        <v>31</v>
      </c>
      <c r="K415" s="33"/>
      <c r="L415" s="33"/>
      <c r="M415" s="33"/>
      <c r="N415" s="104"/>
      <c r="O415" s="105"/>
      <c r="P415" s="106"/>
      <c r="Q415" s="107"/>
      <c r="R415" s="67"/>
      <c r="U415" s="105"/>
      <c r="V415" s="108"/>
      <c r="W415" s="109"/>
      <c r="X415" s="110"/>
      <c r="Y415" s="67"/>
      <c r="AA415" s="111"/>
      <c r="AB415" s="52"/>
      <c r="AC415" s="33"/>
      <c r="AD415" s="33" t="s">
        <v>1772</v>
      </c>
      <c r="AH415" s="33"/>
      <c r="AI415" s="33" t="s">
        <v>1770</v>
      </c>
      <c r="AJ415" s="33" t="s">
        <v>1771</v>
      </c>
      <c r="AK415" s="33"/>
      <c r="AL415" s="33" t="s">
        <v>31</v>
      </c>
      <c r="AM415" s="33"/>
      <c r="AN415" s="33"/>
      <c r="AO415" s="33"/>
      <c r="AP415" s="112"/>
      <c r="AQ415" s="105"/>
      <c r="AR415" s="106"/>
      <c r="AS415" s="107"/>
      <c r="AT415" s="67"/>
      <c r="AV415" s="105"/>
      <c r="AW415" s="108"/>
      <c r="AX415" s="109"/>
      <c r="AY415" s="110">
        <v>1</v>
      </c>
      <c r="AZ415" s="67">
        <v>0</v>
      </c>
      <c r="BB415" s="111"/>
      <c r="BC415" s="33"/>
      <c r="BD415" s="33"/>
      <c r="BE415" s="33" t="s">
        <v>1772</v>
      </c>
      <c r="BG415" s="23" t="s">
        <v>1773</v>
      </c>
      <c r="BI415" s="33"/>
      <c r="BJ415" s="33"/>
      <c r="BK415" s="33"/>
      <c r="BL415" s="33"/>
      <c r="BM415" s="33"/>
      <c r="BN415" s="33"/>
      <c r="BO415" s="33"/>
      <c r="BP415" s="33"/>
    </row>
    <row r="416" spans="1:68" ht="15" customHeight="1">
      <c r="A416" s="23" t="s">
        <v>1714</v>
      </c>
      <c r="B416" s="23" t="s">
        <v>1924</v>
      </c>
      <c r="C416" s="23" t="s">
        <v>1975</v>
      </c>
      <c r="D416" s="55">
        <v>133</v>
      </c>
      <c r="E416" s="33">
        <v>1</v>
      </c>
      <c r="F416" s="33" t="s">
        <v>1715</v>
      </c>
      <c r="G416" s="33" t="s">
        <v>1770</v>
      </c>
      <c r="I416" s="33"/>
      <c r="J416" s="33" t="s">
        <v>31</v>
      </c>
      <c r="K416" s="33"/>
      <c r="L416" s="33"/>
      <c r="M416" s="33"/>
      <c r="N416" s="104"/>
      <c r="O416" s="105"/>
      <c r="P416" s="106"/>
      <c r="Q416" s="107"/>
      <c r="R416" s="67"/>
      <c r="U416" s="105"/>
      <c r="V416" s="108"/>
      <c r="W416" s="109"/>
      <c r="X416" s="110"/>
      <c r="Y416" s="67"/>
      <c r="AA416" s="111"/>
      <c r="AB416" s="52"/>
      <c r="AC416" s="33"/>
      <c r="AD416" s="33" t="s">
        <v>1772</v>
      </c>
      <c r="AH416" s="33"/>
      <c r="AI416" s="33" t="s">
        <v>1770</v>
      </c>
      <c r="AJ416" s="33" t="s">
        <v>1774</v>
      </c>
      <c r="AK416" s="33"/>
      <c r="AL416" s="33" t="s">
        <v>31</v>
      </c>
      <c r="AM416" s="33"/>
      <c r="AN416" s="33"/>
      <c r="AO416" s="33"/>
      <c r="AP416" s="112"/>
      <c r="AQ416" s="105"/>
      <c r="AR416" s="106"/>
      <c r="AS416" s="107"/>
      <c r="AT416" s="67"/>
      <c r="AV416" s="105"/>
      <c r="AW416" s="108"/>
      <c r="AX416" s="109"/>
      <c r="AY416" s="110">
        <v>2</v>
      </c>
      <c r="AZ416" s="29" t="s">
        <v>1073</v>
      </c>
      <c r="BB416" s="111">
        <v>1</v>
      </c>
      <c r="BC416" s="33"/>
      <c r="BD416" s="33"/>
      <c r="BE416" s="33" t="s">
        <v>1772</v>
      </c>
      <c r="BG416" s="23" t="s">
        <v>1775</v>
      </c>
      <c r="BI416" s="33"/>
      <c r="BJ416" s="33"/>
      <c r="BK416" s="33"/>
      <c r="BL416" s="33"/>
      <c r="BM416" s="33"/>
      <c r="BN416" s="33"/>
      <c r="BO416" s="33"/>
      <c r="BP416" s="33"/>
    </row>
    <row r="417" spans="1:68" ht="15" customHeight="1">
      <c r="A417" s="23" t="s">
        <v>1714</v>
      </c>
      <c r="B417" s="23" t="s">
        <v>1925</v>
      </c>
      <c r="C417" s="23" t="s">
        <v>1975</v>
      </c>
      <c r="D417" s="55">
        <v>134</v>
      </c>
      <c r="E417" s="33">
        <v>1</v>
      </c>
      <c r="F417" s="33" t="s">
        <v>1715</v>
      </c>
      <c r="G417" s="33" t="s">
        <v>1770</v>
      </c>
      <c r="I417" s="33"/>
      <c r="J417" s="33" t="s">
        <v>31</v>
      </c>
      <c r="K417" s="33"/>
      <c r="L417" s="33"/>
      <c r="M417" s="33"/>
      <c r="N417" s="104"/>
      <c r="O417" s="105"/>
      <c r="P417" s="106"/>
      <c r="Q417" s="107"/>
      <c r="R417" s="67"/>
      <c r="U417" s="105"/>
      <c r="V417" s="108"/>
      <c r="W417" s="109"/>
      <c r="X417" s="110"/>
      <c r="Y417" s="67"/>
      <c r="AA417" s="111"/>
      <c r="AB417" s="52"/>
      <c r="AC417" s="33"/>
      <c r="AD417" s="33" t="s">
        <v>1772</v>
      </c>
      <c r="AH417" s="33"/>
      <c r="AI417" s="33" t="s">
        <v>1770</v>
      </c>
      <c r="AJ417" s="33" t="s">
        <v>1776</v>
      </c>
      <c r="AK417" s="33"/>
      <c r="AL417" s="33" t="s">
        <v>31</v>
      </c>
      <c r="AM417" s="33"/>
      <c r="AN417" s="33"/>
      <c r="AO417" s="33"/>
      <c r="AP417" s="112"/>
      <c r="AQ417" s="105"/>
      <c r="AR417" s="106"/>
      <c r="AS417" s="107"/>
      <c r="AT417" s="67"/>
      <c r="AV417" s="105"/>
      <c r="AW417" s="108"/>
      <c r="AX417" s="109"/>
      <c r="AY417" s="110">
        <v>4</v>
      </c>
      <c r="AZ417" s="29" t="s">
        <v>1073</v>
      </c>
      <c r="BB417" s="111">
        <v>1</v>
      </c>
      <c r="BC417" s="33"/>
      <c r="BD417" s="33"/>
      <c r="BE417" s="33" t="s">
        <v>1772</v>
      </c>
      <c r="BG417" s="23" t="s">
        <v>1777</v>
      </c>
      <c r="BI417" s="33"/>
      <c r="BJ417" s="33"/>
      <c r="BK417" s="33"/>
      <c r="BL417" s="33"/>
      <c r="BM417" s="33"/>
      <c r="BN417" s="33"/>
      <c r="BO417" s="33"/>
      <c r="BP417" s="33"/>
    </row>
    <row r="418" spans="1:68" ht="15" customHeight="1">
      <c r="A418" s="23" t="s">
        <v>1714</v>
      </c>
      <c r="B418" s="23" t="s">
        <v>1926</v>
      </c>
      <c r="C418" s="23" t="s">
        <v>1975</v>
      </c>
      <c r="D418" s="55">
        <v>135</v>
      </c>
      <c r="E418" s="33">
        <v>1</v>
      </c>
      <c r="F418" s="33" t="s">
        <v>1715</v>
      </c>
      <c r="G418" s="33" t="s">
        <v>1770</v>
      </c>
      <c r="I418" s="33"/>
      <c r="J418" s="33" t="s">
        <v>31</v>
      </c>
      <c r="K418" s="33"/>
      <c r="L418" s="33"/>
      <c r="M418" s="33"/>
      <c r="N418" s="104"/>
      <c r="O418" s="105"/>
      <c r="P418" s="106"/>
      <c r="Q418" s="107"/>
      <c r="R418" s="67"/>
      <c r="U418" s="105"/>
      <c r="V418" s="108"/>
      <c r="W418" s="109"/>
      <c r="X418" s="110"/>
      <c r="Y418" s="67"/>
      <c r="AA418" s="111"/>
      <c r="AB418" s="52"/>
      <c r="AC418" s="33"/>
      <c r="AD418" s="33" t="s">
        <v>1772</v>
      </c>
      <c r="AH418" s="33"/>
      <c r="AI418" s="33" t="s">
        <v>1770</v>
      </c>
      <c r="AJ418" s="33" t="s">
        <v>1778</v>
      </c>
      <c r="AK418" s="33"/>
      <c r="AL418" s="33" t="s">
        <v>31</v>
      </c>
      <c r="AM418" s="33"/>
      <c r="AN418" s="33"/>
      <c r="AO418" s="33"/>
      <c r="AP418" s="112"/>
      <c r="AQ418" s="105"/>
      <c r="AR418" s="106"/>
      <c r="AS418" s="107"/>
      <c r="AT418" s="67"/>
      <c r="AV418" s="105"/>
      <c r="AW418" s="108"/>
      <c r="AX418" s="109"/>
      <c r="AY418" s="110">
        <v>3</v>
      </c>
      <c r="AZ418" s="67" t="s">
        <v>1111</v>
      </c>
      <c r="BB418" s="111">
        <v>1</v>
      </c>
      <c r="BC418" s="33"/>
      <c r="BD418" s="33"/>
      <c r="BE418" s="33" t="s">
        <v>1772</v>
      </c>
      <c r="BG418" s="23" t="s">
        <v>1779</v>
      </c>
      <c r="BI418" s="33"/>
      <c r="BJ418" s="33"/>
      <c r="BK418" s="33"/>
      <c r="BL418" s="33"/>
      <c r="BM418" s="33"/>
      <c r="BN418" s="33"/>
      <c r="BO418" s="33"/>
      <c r="BP418" s="33"/>
    </row>
    <row r="419" spans="1:68" ht="15" customHeight="1">
      <c r="A419" s="23" t="s">
        <v>1714</v>
      </c>
      <c r="B419" s="23" t="s">
        <v>1927</v>
      </c>
      <c r="C419" s="23" t="s">
        <v>1975</v>
      </c>
      <c r="D419" s="55">
        <v>136</v>
      </c>
      <c r="E419" s="33">
        <v>1</v>
      </c>
      <c r="F419" s="33" t="s">
        <v>1715</v>
      </c>
      <c r="G419" s="33" t="s">
        <v>1770</v>
      </c>
      <c r="I419" s="33"/>
      <c r="J419" s="33" t="s">
        <v>31</v>
      </c>
      <c r="K419" s="33"/>
      <c r="L419" s="33"/>
      <c r="M419" s="33"/>
      <c r="N419" s="104"/>
      <c r="O419" s="105"/>
      <c r="P419" s="106"/>
      <c r="Q419" s="107"/>
      <c r="R419" s="67"/>
      <c r="U419" s="105"/>
      <c r="V419" s="108"/>
      <c r="W419" s="109"/>
      <c r="X419" s="110"/>
      <c r="Y419" s="67"/>
      <c r="AA419" s="111"/>
      <c r="AB419" s="52"/>
      <c r="AC419" s="33"/>
      <c r="AD419" s="33" t="s">
        <v>1772</v>
      </c>
      <c r="AH419" s="33"/>
      <c r="AI419" s="33" t="s">
        <v>1770</v>
      </c>
      <c r="AJ419" s="33" t="s">
        <v>1780</v>
      </c>
      <c r="AK419" s="33"/>
      <c r="AL419" s="33" t="s">
        <v>31</v>
      </c>
      <c r="AM419" s="33"/>
      <c r="AN419" s="33"/>
      <c r="AO419" s="33"/>
      <c r="AP419" s="112"/>
      <c r="AQ419" s="105"/>
      <c r="AR419" s="106"/>
      <c r="AS419" s="107"/>
      <c r="AT419" s="67"/>
      <c r="AV419" s="105"/>
      <c r="AW419" s="108"/>
      <c r="AX419" s="109"/>
      <c r="AY419" s="110">
        <v>3</v>
      </c>
      <c r="AZ419" s="67" t="s">
        <v>1111</v>
      </c>
      <c r="BB419" s="111">
        <v>1</v>
      </c>
      <c r="BC419" s="33"/>
      <c r="BD419" s="33"/>
      <c r="BE419" s="33" t="s">
        <v>1772</v>
      </c>
      <c r="BG419" s="23" t="s">
        <v>1781</v>
      </c>
      <c r="BI419" s="33"/>
      <c r="BJ419" s="33"/>
      <c r="BK419" s="33"/>
      <c r="BL419" s="33"/>
      <c r="BM419" s="33"/>
      <c r="BN419" s="33"/>
      <c r="BO419" s="33"/>
      <c r="BP419" s="33"/>
    </row>
    <row r="420" spans="1:68" ht="15" customHeight="1">
      <c r="A420" s="23" t="s">
        <v>1714</v>
      </c>
      <c r="B420" s="23" t="s">
        <v>1928</v>
      </c>
      <c r="C420" s="23" t="s">
        <v>1975</v>
      </c>
      <c r="D420" s="55">
        <v>137</v>
      </c>
      <c r="E420" s="33">
        <v>1</v>
      </c>
      <c r="F420" s="33" t="s">
        <v>1715</v>
      </c>
      <c r="G420" s="33" t="s">
        <v>1770</v>
      </c>
      <c r="I420" s="33"/>
      <c r="J420" s="33" t="s">
        <v>31</v>
      </c>
      <c r="K420" s="33"/>
      <c r="L420" s="33"/>
      <c r="M420" s="33"/>
      <c r="N420" s="104"/>
      <c r="O420" s="105"/>
      <c r="P420" s="106"/>
      <c r="Q420" s="107"/>
      <c r="R420" s="67"/>
      <c r="U420" s="105"/>
      <c r="V420" s="108"/>
      <c r="W420" s="109"/>
      <c r="X420" s="110"/>
      <c r="Y420" s="67"/>
      <c r="AA420" s="111"/>
      <c r="AB420" s="52"/>
      <c r="AC420" s="33"/>
      <c r="AD420" s="33" t="s">
        <v>1772</v>
      </c>
      <c r="AH420" s="33"/>
      <c r="AI420" s="33" t="s">
        <v>1770</v>
      </c>
      <c r="AJ420" s="33" t="s">
        <v>1782</v>
      </c>
      <c r="AK420" s="33"/>
      <c r="AL420" s="33" t="s">
        <v>31</v>
      </c>
      <c r="AM420" s="33"/>
      <c r="AN420" s="33"/>
      <c r="AO420" s="33"/>
      <c r="AP420" s="112"/>
      <c r="AQ420" s="105"/>
      <c r="AR420" s="106"/>
      <c r="AS420" s="107"/>
      <c r="AT420" s="67"/>
      <c r="AV420" s="105"/>
      <c r="AW420" s="108"/>
      <c r="AX420" s="109"/>
      <c r="AY420" s="110">
        <v>3</v>
      </c>
      <c r="AZ420" s="67" t="s">
        <v>1111</v>
      </c>
      <c r="BB420" s="111">
        <v>1</v>
      </c>
      <c r="BC420" s="33"/>
      <c r="BD420" s="33"/>
      <c r="BE420" s="33" t="s">
        <v>1772</v>
      </c>
      <c r="BG420" s="23" t="s">
        <v>1783</v>
      </c>
      <c r="BI420" s="33"/>
      <c r="BJ420" s="33"/>
      <c r="BK420" s="33"/>
      <c r="BL420" s="33"/>
      <c r="BM420" s="33"/>
      <c r="BN420" s="33"/>
      <c r="BO420" s="33"/>
      <c r="BP420" s="33"/>
    </row>
    <row r="421" spans="1:68" ht="15" customHeight="1">
      <c r="A421" s="23" t="s">
        <v>1714</v>
      </c>
      <c r="B421" s="23" t="s">
        <v>1929</v>
      </c>
      <c r="C421" s="23" t="s">
        <v>1975</v>
      </c>
      <c r="D421" s="55">
        <v>138</v>
      </c>
      <c r="E421" s="33">
        <v>1</v>
      </c>
      <c r="F421" s="33" t="s">
        <v>1715</v>
      </c>
      <c r="G421" s="33" t="s">
        <v>1784</v>
      </c>
      <c r="H421" s="33" t="s">
        <v>1785</v>
      </c>
      <c r="I421" s="33" t="s">
        <v>223</v>
      </c>
      <c r="J421" s="33" t="s">
        <v>257</v>
      </c>
      <c r="K421" s="33" t="s">
        <v>26</v>
      </c>
      <c r="L421" s="33"/>
      <c r="M421" s="33"/>
      <c r="N421" s="104">
        <v>0</v>
      </c>
      <c r="O421" s="105"/>
      <c r="P421" s="106">
        <v>1</v>
      </c>
      <c r="Q421" s="107"/>
      <c r="R421" s="67"/>
      <c r="T421" s="68">
        <v>1</v>
      </c>
      <c r="U421" s="105">
        <v>1</v>
      </c>
      <c r="V421" s="108"/>
      <c r="W421" s="109"/>
      <c r="X421" s="110"/>
      <c r="Y421" s="67"/>
      <c r="AA421" s="111"/>
      <c r="AB421" s="52"/>
      <c r="AC421" s="33"/>
      <c r="AD421" s="33" t="s">
        <v>330</v>
      </c>
      <c r="AF421" s="23" t="s">
        <v>1786</v>
      </c>
      <c r="AH421" s="33"/>
      <c r="AI421" s="33"/>
      <c r="AJ421" s="33"/>
      <c r="AK421" s="33"/>
      <c r="AL421" s="33"/>
      <c r="AM421" s="33"/>
      <c r="AN421" s="33"/>
      <c r="AO421" s="33"/>
      <c r="AP421" s="112"/>
      <c r="AQ421" s="105"/>
      <c r="AR421" s="106"/>
      <c r="AS421" s="107"/>
      <c r="AT421" s="67"/>
      <c r="AV421" s="105"/>
      <c r="AW421" s="108"/>
      <c r="AX421" s="109"/>
      <c r="AY421" s="110"/>
      <c r="AZ421" s="67"/>
      <c r="BB421" s="111"/>
      <c r="BC421" s="33"/>
      <c r="BD421" s="33"/>
      <c r="BE421" s="33"/>
      <c r="BI421" s="33"/>
      <c r="BJ421" s="23" t="s">
        <v>1982</v>
      </c>
      <c r="BK421" s="33"/>
      <c r="BL421" s="33"/>
      <c r="BM421" s="33"/>
      <c r="BN421" s="33"/>
      <c r="BO421" s="33"/>
      <c r="BP421" s="33"/>
    </row>
    <row r="422" spans="1:68" ht="15" customHeight="1">
      <c r="A422" s="23" t="s">
        <v>1714</v>
      </c>
      <c r="B422" s="23" t="s">
        <v>1930</v>
      </c>
      <c r="C422" s="23" t="s">
        <v>1975</v>
      </c>
      <c r="D422" s="55">
        <v>139</v>
      </c>
      <c r="E422" s="33">
        <v>1</v>
      </c>
      <c r="F422" s="33" t="s">
        <v>1715</v>
      </c>
      <c r="G422" s="33" t="s">
        <v>1787</v>
      </c>
      <c r="H422" s="33" t="s">
        <v>1788</v>
      </c>
      <c r="I422" s="33" t="s">
        <v>223</v>
      </c>
      <c r="J422" s="33" t="s">
        <v>257</v>
      </c>
      <c r="K422" s="33" t="s">
        <v>26</v>
      </c>
      <c r="L422" s="33"/>
      <c r="M422" s="33"/>
      <c r="N422" s="104">
        <v>0</v>
      </c>
      <c r="O422" s="105"/>
      <c r="P422" s="106">
        <v>1</v>
      </c>
      <c r="Q422" s="107"/>
      <c r="R422" s="67">
        <v>1</v>
      </c>
      <c r="T422" s="68">
        <v>1</v>
      </c>
      <c r="U422" s="105">
        <v>1</v>
      </c>
      <c r="V422" s="108"/>
      <c r="W422" s="109"/>
      <c r="X422" s="110"/>
      <c r="Y422" s="67"/>
      <c r="AA422" s="111"/>
      <c r="AB422" s="52"/>
      <c r="AC422" s="33"/>
      <c r="AD422" s="33" t="s">
        <v>330</v>
      </c>
      <c r="AF422" s="23" t="s">
        <v>1789</v>
      </c>
      <c r="AH422" s="33"/>
      <c r="AI422" s="33"/>
      <c r="AJ422" s="33"/>
      <c r="AK422" s="33"/>
      <c r="AL422" s="33"/>
      <c r="AM422" s="33"/>
      <c r="AN422" s="33"/>
      <c r="AO422" s="33"/>
      <c r="AP422" s="112"/>
      <c r="AQ422" s="105"/>
      <c r="AR422" s="106"/>
      <c r="AS422" s="107"/>
      <c r="AT422" s="67"/>
      <c r="AV422" s="105"/>
      <c r="AW422" s="108"/>
      <c r="AX422" s="109"/>
      <c r="AY422" s="110"/>
      <c r="AZ422" s="67"/>
      <c r="BB422" s="111"/>
      <c r="BC422" s="33"/>
      <c r="BD422" s="33"/>
      <c r="BE422" s="33"/>
      <c r="BI422" s="33"/>
      <c r="BJ422" s="23" t="s">
        <v>1982</v>
      </c>
      <c r="BK422" s="33"/>
      <c r="BL422" s="33"/>
      <c r="BM422" s="33"/>
      <c r="BN422" s="33"/>
      <c r="BO422" s="33"/>
      <c r="BP422" s="33"/>
    </row>
    <row r="423" spans="1:68" ht="15" customHeight="1">
      <c r="A423" s="23" t="s">
        <v>1714</v>
      </c>
      <c r="B423" s="23" t="s">
        <v>1931</v>
      </c>
      <c r="C423" s="23" t="s">
        <v>1975</v>
      </c>
      <c r="D423" s="55">
        <v>140</v>
      </c>
      <c r="E423" s="33">
        <v>1</v>
      </c>
      <c r="F423" s="33" t="s">
        <v>1715</v>
      </c>
      <c r="G423" s="33" t="s">
        <v>267</v>
      </c>
      <c r="H423" s="33" t="s">
        <v>1790</v>
      </c>
      <c r="I423" s="33"/>
      <c r="J423" s="33" t="s">
        <v>257</v>
      </c>
      <c r="K423" s="33" t="s">
        <v>26</v>
      </c>
      <c r="L423" s="33"/>
      <c r="M423" s="33"/>
      <c r="N423" s="104">
        <v>2</v>
      </c>
      <c r="O423" s="105"/>
      <c r="P423" s="106">
        <v>1</v>
      </c>
      <c r="Q423" s="107">
        <v>1</v>
      </c>
      <c r="R423" s="67"/>
      <c r="U423" s="105"/>
      <c r="V423" s="108"/>
      <c r="W423" s="109"/>
      <c r="X423" s="110"/>
      <c r="Y423" s="67"/>
      <c r="AA423" s="111"/>
      <c r="AB423" s="52" t="s">
        <v>205</v>
      </c>
      <c r="AC423" s="33" t="s">
        <v>258</v>
      </c>
      <c r="AD423" s="33" t="s">
        <v>269</v>
      </c>
      <c r="AF423" s="23" t="s">
        <v>1791</v>
      </c>
      <c r="AH423" s="33"/>
      <c r="AI423" s="33"/>
      <c r="AJ423" s="33"/>
      <c r="AK423" s="33"/>
      <c r="AL423" s="33"/>
      <c r="AM423" s="33"/>
      <c r="AN423" s="33"/>
      <c r="AO423" s="33"/>
      <c r="AP423" s="112"/>
      <c r="AQ423" s="105"/>
      <c r="AR423" s="106"/>
      <c r="AS423" s="107"/>
      <c r="AT423" s="67"/>
      <c r="AV423" s="105"/>
      <c r="AW423" s="108"/>
      <c r="AX423" s="109"/>
      <c r="AY423" s="110"/>
      <c r="AZ423" s="67"/>
      <c r="BB423" s="111"/>
      <c r="BC423" s="33"/>
      <c r="BD423" s="33"/>
      <c r="BE423" s="33"/>
      <c r="BI423" s="33"/>
      <c r="BJ423" s="33"/>
      <c r="BK423" s="33"/>
      <c r="BL423" s="33"/>
      <c r="BM423" s="33"/>
      <c r="BN423" s="33"/>
      <c r="BO423" s="33"/>
      <c r="BP423" s="33"/>
    </row>
    <row r="424" spans="1:68" ht="15" customHeight="1">
      <c r="A424" s="23" t="s">
        <v>1714</v>
      </c>
      <c r="B424" s="23" t="s">
        <v>1932</v>
      </c>
      <c r="C424" s="23" t="s">
        <v>1975</v>
      </c>
      <c r="D424" s="55">
        <v>141</v>
      </c>
      <c r="E424" s="33">
        <v>1</v>
      </c>
      <c r="F424" s="33" t="s">
        <v>1715</v>
      </c>
      <c r="G424" s="33" t="s">
        <v>1792</v>
      </c>
      <c r="H424" s="33" t="s">
        <v>1793</v>
      </c>
      <c r="I424" s="33"/>
      <c r="J424" s="33" t="s">
        <v>29</v>
      </c>
      <c r="K424" s="33"/>
      <c r="L424" s="33"/>
      <c r="M424" s="33"/>
      <c r="N424" s="104"/>
      <c r="O424" s="105"/>
      <c r="P424" s="106"/>
      <c r="Q424" s="107">
        <v>2</v>
      </c>
      <c r="R424" s="67">
        <v>2</v>
      </c>
      <c r="T424" s="68">
        <v>3</v>
      </c>
      <c r="U424" s="105"/>
      <c r="V424" s="108">
        <v>1</v>
      </c>
      <c r="W424" s="109">
        <v>1</v>
      </c>
      <c r="X424" s="110"/>
      <c r="Y424" s="67"/>
      <c r="AA424" s="111"/>
      <c r="AB424" s="52"/>
      <c r="AC424" s="33"/>
      <c r="AD424" s="33" t="s">
        <v>1794</v>
      </c>
      <c r="AE424" s="24" t="s">
        <v>853</v>
      </c>
      <c r="AF424" s="23" t="s">
        <v>1981</v>
      </c>
      <c r="AH424" s="33"/>
      <c r="AI424" s="33"/>
      <c r="AJ424" s="33"/>
      <c r="AK424" s="33"/>
      <c r="AL424" s="33"/>
      <c r="AM424" s="33"/>
      <c r="AN424" s="33"/>
      <c r="AO424" s="33"/>
      <c r="AP424" s="112"/>
      <c r="AQ424" s="105"/>
      <c r="AR424" s="106"/>
      <c r="AS424" s="107"/>
      <c r="AT424" s="67"/>
      <c r="AV424" s="105"/>
      <c r="AW424" s="108"/>
      <c r="AX424" s="109"/>
      <c r="AY424" s="110"/>
      <c r="AZ424" s="67"/>
      <c r="BB424" s="111"/>
      <c r="BC424" s="33"/>
      <c r="BD424" s="33"/>
      <c r="BE424" s="33"/>
      <c r="BI424" s="33"/>
      <c r="BJ424" s="33"/>
      <c r="BK424" s="33"/>
      <c r="BL424" s="33"/>
      <c r="BM424" s="33"/>
      <c r="BN424" s="33"/>
      <c r="BO424" s="33"/>
      <c r="BP424" s="33"/>
    </row>
    <row r="425" spans="1:68" ht="15" customHeight="1">
      <c r="A425" s="23" t="s">
        <v>1714</v>
      </c>
      <c r="B425" s="23" t="s">
        <v>1933</v>
      </c>
      <c r="C425" s="23" t="s">
        <v>1975</v>
      </c>
      <c r="D425" s="55">
        <v>142</v>
      </c>
      <c r="E425" s="33">
        <v>1</v>
      </c>
      <c r="F425" s="33" t="s">
        <v>1715</v>
      </c>
      <c r="G425" s="33" t="s">
        <v>1795</v>
      </c>
      <c r="H425" s="33"/>
      <c r="I425" s="33"/>
      <c r="J425" s="33" t="s">
        <v>28</v>
      </c>
      <c r="K425" s="33"/>
      <c r="L425" s="33"/>
      <c r="M425" s="33"/>
      <c r="N425" s="104"/>
      <c r="O425" s="105"/>
      <c r="P425" s="106"/>
      <c r="Q425" s="107"/>
      <c r="R425" s="67"/>
      <c r="U425" s="105"/>
      <c r="V425" s="108"/>
      <c r="W425" s="109"/>
      <c r="X425" s="110"/>
      <c r="Y425" s="67"/>
      <c r="AA425" s="111"/>
      <c r="AB425" s="52"/>
      <c r="AC425" s="33"/>
      <c r="AD425" s="33" t="s">
        <v>1663</v>
      </c>
      <c r="AF425" s="23" t="s">
        <v>1796</v>
      </c>
      <c r="AH425" s="33"/>
      <c r="AI425" s="33"/>
      <c r="AJ425" s="33"/>
      <c r="AK425" s="33"/>
      <c r="AL425" s="33"/>
      <c r="AM425" s="33"/>
      <c r="AN425" s="33"/>
      <c r="AO425" s="33"/>
      <c r="AP425" s="112"/>
      <c r="AQ425" s="105"/>
      <c r="AR425" s="106"/>
      <c r="AS425" s="107"/>
      <c r="AT425" s="67"/>
      <c r="AV425" s="105"/>
      <c r="AW425" s="108"/>
      <c r="AX425" s="109"/>
      <c r="AY425" s="110"/>
      <c r="AZ425" s="67"/>
      <c r="BB425" s="111"/>
      <c r="BC425" s="33"/>
      <c r="BD425" s="33"/>
      <c r="BE425" s="33"/>
      <c r="BI425" s="33"/>
      <c r="BJ425" s="33"/>
      <c r="BK425" s="33"/>
      <c r="BL425" s="33"/>
      <c r="BM425" s="33"/>
      <c r="BN425" s="33"/>
      <c r="BO425" s="33"/>
      <c r="BP425" s="33"/>
    </row>
    <row r="426" spans="1:68" ht="15" customHeight="1">
      <c r="A426" s="23" t="s">
        <v>1714</v>
      </c>
      <c r="B426" s="23" t="s">
        <v>1934</v>
      </c>
      <c r="C426" s="23" t="s">
        <v>1975</v>
      </c>
      <c r="D426" s="55">
        <v>143</v>
      </c>
      <c r="E426" s="33">
        <v>2</v>
      </c>
      <c r="F426" s="33" t="s">
        <v>1715</v>
      </c>
      <c r="G426" s="33" t="s">
        <v>1797</v>
      </c>
      <c r="H426" s="33"/>
      <c r="I426" s="33"/>
      <c r="J426" s="33" t="s">
        <v>28</v>
      </c>
      <c r="K426" s="33"/>
      <c r="L426" s="33"/>
      <c r="M426" s="33"/>
      <c r="N426" s="104"/>
      <c r="O426" s="105"/>
      <c r="P426" s="106"/>
      <c r="Q426" s="107"/>
      <c r="R426" s="67"/>
      <c r="U426" s="105"/>
      <c r="V426" s="108"/>
      <c r="W426" s="109"/>
      <c r="X426" s="110"/>
      <c r="Y426" s="67"/>
      <c r="AA426" s="111"/>
      <c r="AB426" s="52"/>
      <c r="AC426" s="33"/>
      <c r="AD426" s="33" t="s">
        <v>307</v>
      </c>
      <c r="AF426" s="23" t="s">
        <v>1798</v>
      </c>
      <c r="AH426" s="33"/>
      <c r="AI426" s="33"/>
      <c r="AJ426" s="33"/>
      <c r="AK426" s="33"/>
      <c r="AL426" s="33"/>
      <c r="AM426" s="33"/>
      <c r="AN426" s="33"/>
      <c r="AO426" s="33"/>
      <c r="AP426" s="112"/>
      <c r="AQ426" s="105"/>
      <c r="AR426" s="106"/>
      <c r="AS426" s="107"/>
      <c r="AT426" s="67"/>
      <c r="AV426" s="105"/>
      <c r="AW426" s="108"/>
      <c r="AX426" s="109"/>
      <c r="AY426" s="110"/>
      <c r="AZ426" s="67"/>
      <c r="BB426" s="111"/>
      <c r="BC426" s="33"/>
      <c r="BD426" s="33"/>
      <c r="BE426" s="33"/>
      <c r="BI426" s="33"/>
      <c r="BJ426" s="33"/>
      <c r="BK426" s="33"/>
      <c r="BL426" s="33"/>
      <c r="BM426" s="33"/>
      <c r="BN426" s="33"/>
      <c r="BO426" s="33"/>
      <c r="BP426" s="33"/>
    </row>
    <row r="427" spans="1:68" ht="15" customHeight="1">
      <c r="A427" s="23" t="s">
        <v>1714</v>
      </c>
      <c r="B427" s="23" t="s">
        <v>1935</v>
      </c>
      <c r="C427" s="23" t="s">
        <v>1975</v>
      </c>
      <c r="D427" s="55">
        <v>144</v>
      </c>
      <c r="E427" s="33">
        <v>3</v>
      </c>
      <c r="F427" s="33" t="s">
        <v>1715</v>
      </c>
      <c r="G427" s="33" t="s">
        <v>1799</v>
      </c>
      <c r="H427" s="33"/>
      <c r="I427" s="33"/>
      <c r="J427" s="33" t="s">
        <v>28</v>
      </c>
      <c r="K427" s="33"/>
      <c r="L427" s="33"/>
      <c r="M427" s="33"/>
      <c r="N427" s="104"/>
      <c r="O427" s="105"/>
      <c r="P427" s="106"/>
      <c r="Q427" s="107"/>
      <c r="R427" s="67"/>
      <c r="U427" s="105"/>
      <c r="V427" s="108"/>
      <c r="W427" s="109"/>
      <c r="X427" s="110"/>
      <c r="Y427" s="67"/>
      <c r="AA427" s="111"/>
      <c r="AB427" s="52"/>
      <c r="AC427" s="33"/>
      <c r="AD427" s="33" t="s">
        <v>1663</v>
      </c>
      <c r="AF427" s="23" t="s">
        <v>1800</v>
      </c>
      <c r="AH427" s="33"/>
      <c r="AI427" s="33"/>
      <c r="AJ427" s="33"/>
      <c r="AK427" s="33"/>
      <c r="AL427" s="33"/>
      <c r="AM427" s="33"/>
      <c r="AN427" s="33"/>
      <c r="AO427" s="33"/>
      <c r="AP427" s="112"/>
      <c r="AQ427" s="105"/>
      <c r="AR427" s="106"/>
      <c r="AS427" s="107"/>
      <c r="AT427" s="67"/>
      <c r="AV427" s="105"/>
      <c r="AW427" s="108"/>
      <c r="AX427" s="109"/>
      <c r="AY427" s="110"/>
      <c r="AZ427" s="67"/>
      <c r="BB427" s="111"/>
      <c r="BC427" s="33"/>
      <c r="BD427" s="33"/>
      <c r="BE427" s="33"/>
      <c r="BI427" s="33"/>
      <c r="BJ427" s="33"/>
      <c r="BK427" s="33"/>
      <c r="BL427" s="33"/>
      <c r="BM427" s="33"/>
      <c r="BN427" s="33"/>
      <c r="BO427" s="33"/>
      <c r="BP427" s="33"/>
    </row>
    <row r="428" spans="1:68" ht="15" customHeight="1">
      <c r="A428" s="23" t="s">
        <v>1714</v>
      </c>
      <c r="B428" s="23" t="s">
        <v>1936</v>
      </c>
      <c r="C428" s="23" t="s">
        <v>1975</v>
      </c>
      <c r="D428" s="55">
        <v>145</v>
      </c>
      <c r="E428" s="33">
        <v>2</v>
      </c>
      <c r="F428" s="33" t="s">
        <v>1715</v>
      </c>
      <c r="G428" s="33" t="s">
        <v>1801</v>
      </c>
      <c r="H428" s="33"/>
      <c r="I428" s="33"/>
      <c r="J428" s="33" t="s">
        <v>28</v>
      </c>
      <c r="K428" s="33"/>
      <c r="L428" s="33"/>
      <c r="M428" s="33"/>
      <c r="N428" s="104"/>
      <c r="O428" s="105"/>
      <c r="P428" s="106"/>
      <c r="Q428" s="107"/>
      <c r="R428" s="67"/>
      <c r="U428" s="105"/>
      <c r="V428" s="108"/>
      <c r="W428" s="109"/>
      <c r="X428" s="110"/>
      <c r="Y428" s="67"/>
      <c r="AA428" s="111"/>
      <c r="AB428" s="52"/>
      <c r="AC428" s="33"/>
      <c r="AD428" s="33" t="s">
        <v>481</v>
      </c>
      <c r="AF428" s="23" t="s">
        <v>1802</v>
      </c>
      <c r="AH428" s="33"/>
      <c r="AI428" s="33"/>
      <c r="AJ428" s="33"/>
      <c r="AK428" s="33"/>
      <c r="AL428" s="33"/>
      <c r="AM428" s="33"/>
      <c r="AN428" s="33"/>
      <c r="AO428" s="33"/>
      <c r="AP428" s="112"/>
      <c r="AQ428" s="105"/>
      <c r="AR428" s="106"/>
      <c r="AS428" s="107"/>
      <c r="AT428" s="67"/>
      <c r="AV428" s="105"/>
      <c r="AW428" s="108"/>
      <c r="AX428" s="109"/>
      <c r="AY428" s="110"/>
      <c r="AZ428" s="67"/>
      <c r="BB428" s="111"/>
      <c r="BC428" s="33"/>
      <c r="BD428" s="33"/>
      <c r="BE428" s="33"/>
      <c r="BI428" s="33"/>
      <c r="BJ428" s="33"/>
      <c r="BK428" s="33"/>
      <c r="BL428" s="33"/>
      <c r="BM428" s="33"/>
      <c r="BN428" s="33"/>
      <c r="BO428" s="33"/>
      <c r="BP428" s="33"/>
    </row>
    <row r="429" spans="1:68" ht="15" customHeight="1">
      <c r="A429" s="23" t="s">
        <v>1714</v>
      </c>
      <c r="B429" s="23" t="s">
        <v>1937</v>
      </c>
      <c r="C429" s="23" t="s">
        <v>1975</v>
      </c>
      <c r="D429" s="55">
        <v>146</v>
      </c>
      <c r="E429" s="33">
        <v>2</v>
      </c>
      <c r="F429" s="33" t="s">
        <v>1715</v>
      </c>
      <c r="G429" s="33" t="s">
        <v>1803</v>
      </c>
      <c r="H429" s="33"/>
      <c r="I429" s="33"/>
      <c r="J429" s="33" t="s">
        <v>28</v>
      </c>
      <c r="K429" s="33"/>
      <c r="L429" s="33"/>
      <c r="M429" s="33"/>
      <c r="N429" s="104"/>
      <c r="O429" s="105"/>
      <c r="P429" s="106"/>
      <c r="Q429" s="107"/>
      <c r="R429" s="67"/>
      <c r="U429" s="105"/>
      <c r="V429" s="108"/>
      <c r="W429" s="109"/>
      <c r="X429" s="110"/>
      <c r="Y429" s="67"/>
      <c r="AA429" s="111"/>
      <c r="AB429" s="52"/>
      <c r="AC429" s="33"/>
      <c r="AD429" s="33"/>
      <c r="AF429" s="23" t="s">
        <v>1804</v>
      </c>
      <c r="AH429" s="33"/>
      <c r="AI429" s="33"/>
      <c r="AJ429" s="33"/>
      <c r="AK429" s="33"/>
      <c r="AL429" s="33"/>
      <c r="AM429" s="33"/>
      <c r="AN429" s="33"/>
      <c r="AO429" s="33"/>
      <c r="AP429" s="112"/>
      <c r="AQ429" s="105"/>
      <c r="AR429" s="106"/>
      <c r="AS429" s="107"/>
      <c r="AT429" s="67"/>
      <c r="AV429" s="105"/>
      <c r="AW429" s="108"/>
      <c r="AX429" s="109"/>
      <c r="AY429" s="110"/>
      <c r="AZ429" s="67"/>
      <c r="BB429" s="111"/>
      <c r="BC429" s="33"/>
      <c r="BD429" s="33"/>
      <c r="BE429" s="33"/>
      <c r="BI429" s="33"/>
      <c r="BJ429" s="33"/>
      <c r="BK429" s="33"/>
      <c r="BL429" s="33"/>
      <c r="BM429" s="33"/>
      <c r="BN429" s="33"/>
      <c r="BO429" s="33"/>
      <c r="BP429" s="33"/>
    </row>
    <row r="430" spans="1:68" s="33" customFormat="1" ht="15" customHeight="1">
      <c r="A430" s="54" t="s">
        <v>1717</v>
      </c>
      <c r="B430" s="114" t="s">
        <v>1938</v>
      </c>
      <c r="C430" s="54" t="s">
        <v>1976</v>
      </c>
      <c r="D430" s="53">
        <v>147</v>
      </c>
      <c r="E430" s="54">
        <v>2</v>
      </c>
      <c r="F430" s="54"/>
      <c r="G430" s="54" t="s">
        <v>1812</v>
      </c>
      <c r="J430" s="33" t="s">
        <v>257</v>
      </c>
      <c r="K430" s="33" t="s">
        <v>198</v>
      </c>
      <c r="N430" s="104">
        <v>2</v>
      </c>
      <c r="O430" s="105"/>
      <c r="P430" s="106"/>
      <c r="Q430" s="107"/>
      <c r="R430" s="67"/>
      <c r="S430" s="113"/>
      <c r="T430" s="68">
        <v>1</v>
      </c>
      <c r="U430" s="105" t="s">
        <v>38</v>
      </c>
      <c r="V430" s="108"/>
      <c r="W430" s="109"/>
      <c r="X430" s="110"/>
      <c r="Y430" s="67"/>
      <c r="Z430" s="68"/>
      <c r="AA430" s="111"/>
      <c r="AB430" s="52" t="s">
        <v>206</v>
      </c>
      <c r="AC430" s="33" t="s">
        <v>393</v>
      </c>
      <c r="AD430" s="33" t="s">
        <v>265</v>
      </c>
      <c r="AE430" s="24"/>
      <c r="AF430" s="23" t="s">
        <v>1839</v>
      </c>
      <c r="AG430" s="23"/>
      <c r="AP430" s="112"/>
      <c r="AQ430" s="105"/>
      <c r="AR430" s="106"/>
      <c r="AS430" s="107"/>
      <c r="AT430" s="67"/>
      <c r="AU430" s="68"/>
      <c r="AV430" s="105"/>
      <c r="AW430" s="108"/>
      <c r="AX430" s="109"/>
      <c r="AY430" s="110"/>
      <c r="AZ430" s="67"/>
      <c r="BA430" s="68"/>
      <c r="BB430" s="111"/>
      <c r="BF430" s="24"/>
      <c r="BG430" s="23"/>
      <c r="BH430" s="23"/>
    </row>
    <row r="431" spans="1:68" s="33" customFormat="1" ht="15" customHeight="1">
      <c r="A431" s="33" t="s">
        <v>1717</v>
      </c>
      <c r="B431" s="33" t="s">
        <v>1939</v>
      </c>
      <c r="C431" s="33" t="s">
        <v>1976</v>
      </c>
      <c r="D431" s="55">
        <v>148</v>
      </c>
      <c r="E431" s="33">
        <v>2</v>
      </c>
      <c r="G431" s="33" t="s">
        <v>1806</v>
      </c>
      <c r="J431" s="33" t="s">
        <v>27</v>
      </c>
      <c r="K431" s="33" t="s">
        <v>198</v>
      </c>
      <c r="L431" s="33">
        <v>3</v>
      </c>
      <c r="N431" s="104">
        <v>0</v>
      </c>
      <c r="O431" s="105"/>
      <c r="P431" s="106"/>
      <c r="Q431" s="107"/>
      <c r="R431" s="67"/>
      <c r="S431" s="113"/>
      <c r="T431" s="68"/>
      <c r="U431" s="105"/>
      <c r="V431" s="108"/>
      <c r="W431" s="109"/>
      <c r="X431" s="110"/>
      <c r="Y431" s="67"/>
      <c r="Z431" s="68"/>
      <c r="AA431" s="111"/>
      <c r="AB431" s="52" t="s">
        <v>1094</v>
      </c>
      <c r="AD431" s="33" t="s">
        <v>1805</v>
      </c>
      <c r="AE431" s="24"/>
      <c r="AF431" s="23" t="s">
        <v>1807</v>
      </c>
      <c r="AG431" s="23"/>
      <c r="AP431" s="112"/>
      <c r="AQ431" s="105"/>
      <c r="AR431" s="106"/>
      <c r="AS431" s="107"/>
      <c r="AT431" s="67"/>
      <c r="AU431" s="68"/>
      <c r="AV431" s="105"/>
      <c r="AW431" s="108"/>
      <c r="AX431" s="109"/>
      <c r="AY431" s="110"/>
      <c r="AZ431" s="67"/>
      <c r="BA431" s="68"/>
      <c r="BB431" s="111"/>
      <c r="BF431" s="24"/>
      <c r="BG431" s="23"/>
      <c r="BH431" s="23"/>
    </row>
    <row r="432" spans="1:68" s="33" customFormat="1" ht="15" customHeight="1">
      <c r="A432" s="33" t="s">
        <v>1717</v>
      </c>
      <c r="B432" s="33" t="s">
        <v>1940</v>
      </c>
      <c r="C432" s="33" t="s">
        <v>1976</v>
      </c>
      <c r="D432" s="55">
        <v>149</v>
      </c>
      <c r="E432" s="33">
        <v>2</v>
      </c>
      <c r="G432" s="33" t="s">
        <v>1813</v>
      </c>
      <c r="J432" s="33" t="s">
        <v>257</v>
      </c>
      <c r="K432" s="33" t="s">
        <v>199</v>
      </c>
      <c r="N432" s="104">
        <v>2</v>
      </c>
      <c r="O432" s="105"/>
      <c r="P432" s="106"/>
      <c r="Q432" s="107"/>
      <c r="R432" s="67"/>
      <c r="S432" s="113"/>
      <c r="T432" s="68">
        <v>1</v>
      </c>
      <c r="U432" s="105">
        <v>2</v>
      </c>
      <c r="V432" s="108"/>
      <c r="W432" s="109"/>
      <c r="X432" s="110"/>
      <c r="Y432" s="67"/>
      <c r="Z432" s="68"/>
      <c r="AA432" s="111"/>
      <c r="AB432" s="52" t="s">
        <v>1084</v>
      </c>
      <c r="AC432" s="33" t="s">
        <v>25</v>
      </c>
      <c r="AD432" s="33" t="s">
        <v>330</v>
      </c>
      <c r="AE432" s="24"/>
      <c r="AF432" s="23" t="s">
        <v>1840</v>
      </c>
      <c r="AG432" s="23"/>
      <c r="AP432" s="112"/>
      <c r="AQ432" s="105"/>
      <c r="AR432" s="106"/>
      <c r="AS432" s="107"/>
      <c r="AT432" s="67"/>
      <c r="AU432" s="68"/>
      <c r="AV432" s="105"/>
      <c r="AW432" s="108"/>
      <c r="AX432" s="109"/>
      <c r="AY432" s="110"/>
      <c r="AZ432" s="67"/>
      <c r="BA432" s="68"/>
      <c r="BB432" s="111"/>
      <c r="BF432" s="24"/>
      <c r="BG432" s="23"/>
      <c r="BH432" s="23"/>
    </row>
    <row r="433" spans="1:60" s="33" customFormat="1" ht="15" customHeight="1">
      <c r="A433" s="33" t="s">
        <v>1717</v>
      </c>
      <c r="B433" s="33" t="s">
        <v>1941</v>
      </c>
      <c r="C433" s="33" t="s">
        <v>1976</v>
      </c>
      <c r="D433" s="55">
        <v>150</v>
      </c>
      <c r="E433" s="33">
        <v>2</v>
      </c>
      <c r="G433" s="33" t="s">
        <v>346</v>
      </c>
      <c r="J433" s="33" t="s">
        <v>312</v>
      </c>
      <c r="K433" s="33" t="s">
        <v>199</v>
      </c>
      <c r="L433" s="33">
        <v>2</v>
      </c>
      <c r="N433" s="104"/>
      <c r="O433" s="105"/>
      <c r="P433" s="106"/>
      <c r="Q433" s="107"/>
      <c r="R433" s="67"/>
      <c r="S433" s="113"/>
      <c r="T433" s="68"/>
      <c r="U433" s="105"/>
      <c r="V433" s="108"/>
      <c r="W433" s="109"/>
      <c r="X433" s="110"/>
      <c r="Y433" s="67"/>
      <c r="Z433" s="68"/>
      <c r="AA433" s="111"/>
      <c r="AB433" s="52" t="s">
        <v>1084</v>
      </c>
      <c r="AD433" s="33" t="s">
        <v>1814</v>
      </c>
      <c r="AE433" s="24"/>
      <c r="AF433" s="23" t="s">
        <v>1815</v>
      </c>
      <c r="AG433" s="23"/>
      <c r="AP433" s="112"/>
      <c r="AQ433" s="105"/>
      <c r="AR433" s="106"/>
      <c r="AS433" s="107"/>
      <c r="AT433" s="67"/>
      <c r="AU433" s="68"/>
      <c r="AV433" s="105"/>
      <c r="AW433" s="108"/>
      <c r="AX433" s="109"/>
      <c r="AY433" s="110"/>
      <c r="AZ433" s="67"/>
      <c r="BA433" s="68"/>
      <c r="BB433" s="111"/>
      <c r="BF433" s="24"/>
      <c r="BG433" s="23"/>
      <c r="BH433" s="23"/>
    </row>
    <row r="434" spans="1:60" s="33" customFormat="1" ht="15" customHeight="1">
      <c r="A434" s="33" t="s">
        <v>1717</v>
      </c>
      <c r="B434" s="33" t="s">
        <v>1942</v>
      </c>
      <c r="C434" s="33" t="s">
        <v>1976</v>
      </c>
      <c r="D434" s="55">
        <v>151</v>
      </c>
      <c r="E434" s="33">
        <v>2</v>
      </c>
      <c r="G434" s="33" t="s">
        <v>1808</v>
      </c>
      <c r="J434" s="33" t="s">
        <v>27</v>
      </c>
      <c r="K434" s="33" t="s">
        <v>201</v>
      </c>
      <c r="N434" s="104">
        <v>0</v>
      </c>
      <c r="O434" s="105"/>
      <c r="P434" s="106"/>
      <c r="Q434" s="107"/>
      <c r="R434" s="67"/>
      <c r="S434" s="113"/>
      <c r="T434" s="68"/>
      <c r="U434" s="105"/>
      <c r="V434" s="108"/>
      <c r="W434" s="109"/>
      <c r="X434" s="110"/>
      <c r="Y434" s="67"/>
      <c r="Z434" s="68"/>
      <c r="AA434" s="111"/>
      <c r="AB434" s="52" t="s">
        <v>1095</v>
      </c>
      <c r="AD434" s="33" t="s">
        <v>1809</v>
      </c>
      <c r="AE434" s="24"/>
      <c r="AF434" s="23" t="s">
        <v>1810</v>
      </c>
      <c r="AG434" s="23"/>
      <c r="AP434" s="112"/>
      <c r="AQ434" s="105"/>
      <c r="AR434" s="106"/>
      <c r="AS434" s="107"/>
      <c r="AT434" s="67"/>
      <c r="AU434" s="68"/>
      <c r="AV434" s="105"/>
      <c r="AW434" s="108"/>
      <c r="AX434" s="109"/>
      <c r="AY434" s="110"/>
      <c r="AZ434" s="67"/>
      <c r="BA434" s="68"/>
      <c r="BB434" s="111"/>
      <c r="BF434" s="24"/>
      <c r="BG434" s="23"/>
      <c r="BH434" s="23"/>
    </row>
    <row r="435" spans="1:60" s="33" customFormat="1" ht="15" customHeight="1">
      <c r="A435" s="33" t="s">
        <v>1717</v>
      </c>
      <c r="B435" s="33" t="s">
        <v>1943</v>
      </c>
      <c r="C435" s="33" t="s">
        <v>1976</v>
      </c>
      <c r="D435" s="55">
        <v>152</v>
      </c>
      <c r="E435" s="33">
        <v>2</v>
      </c>
      <c r="G435" s="33" t="s">
        <v>351</v>
      </c>
      <c r="J435" s="33" t="s">
        <v>257</v>
      </c>
      <c r="K435" s="33" t="s">
        <v>201</v>
      </c>
      <c r="L435" s="33">
        <v>2</v>
      </c>
      <c r="N435" s="104">
        <v>1</v>
      </c>
      <c r="O435" s="105"/>
      <c r="P435" s="106"/>
      <c r="Q435" s="107"/>
      <c r="R435" s="67"/>
      <c r="S435" s="113"/>
      <c r="T435" s="68"/>
      <c r="U435" s="105"/>
      <c r="V435" s="108"/>
      <c r="W435" s="109"/>
      <c r="X435" s="110"/>
      <c r="Y435" s="67"/>
      <c r="Z435" s="68"/>
      <c r="AA435" s="111"/>
      <c r="AB435" s="52" t="s">
        <v>1087</v>
      </c>
      <c r="AC435" s="33" t="s">
        <v>258</v>
      </c>
      <c r="AD435" s="33" t="s">
        <v>352</v>
      </c>
      <c r="AE435" s="24"/>
      <c r="AF435" s="23" t="s">
        <v>1841</v>
      </c>
      <c r="AG435" s="23"/>
      <c r="AP435" s="112"/>
      <c r="AQ435" s="105"/>
      <c r="AR435" s="106"/>
      <c r="AS435" s="107"/>
      <c r="AT435" s="67"/>
      <c r="AU435" s="68"/>
      <c r="AV435" s="105"/>
      <c r="AW435" s="108"/>
      <c r="AX435" s="109"/>
      <c r="AY435" s="110"/>
      <c r="AZ435" s="67"/>
      <c r="BA435" s="68"/>
      <c r="BB435" s="111"/>
      <c r="BF435" s="24"/>
      <c r="BG435" s="23"/>
      <c r="BH435" s="23"/>
    </row>
    <row r="436" spans="1:60" s="33" customFormat="1" ht="15" customHeight="1">
      <c r="A436" s="33" t="s">
        <v>1717</v>
      </c>
      <c r="B436" s="33" t="s">
        <v>1944</v>
      </c>
      <c r="C436" s="33" t="s">
        <v>1976</v>
      </c>
      <c r="D436" s="55">
        <v>153</v>
      </c>
      <c r="E436" s="33">
        <v>2</v>
      </c>
      <c r="G436" s="33" t="s">
        <v>1816</v>
      </c>
      <c r="J436" s="33" t="s">
        <v>27</v>
      </c>
      <c r="K436" s="33" t="s">
        <v>200</v>
      </c>
      <c r="N436" s="104">
        <v>3</v>
      </c>
      <c r="O436" s="105"/>
      <c r="P436" s="106"/>
      <c r="Q436" s="107"/>
      <c r="R436" s="67"/>
      <c r="S436" s="113"/>
      <c r="T436" s="68"/>
      <c r="U436" s="105"/>
      <c r="V436" s="108"/>
      <c r="W436" s="109"/>
      <c r="X436" s="110"/>
      <c r="Y436" s="67"/>
      <c r="Z436" s="68"/>
      <c r="AA436" s="111"/>
      <c r="AB436" s="52" t="s">
        <v>1087</v>
      </c>
      <c r="AC436" s="33" t="s">
        <v>378</v>
      </c>
      <c r="AD436" s="33" t="s">
        <v>279</v>
      </c>
      <c r="AE436" s="24"/>
      <c r="AF436" s="23" t="s">
        <v>1842</v>
      </c>
      <c r="AG436" s="23"/>
      <c r="AP436" s="112"/>
      <c r="AQ436" s="105"/>
      <c r="AR436" s="106"/>
      <c r="AS436" s="107"/>
      <c r="AT436" s="67"/>
      <c r="AU436" s="68"/>
      <c r="AV436" s="105"/>
      <c r="AW436" s="108"/>
      <c r="AX436" s="109"/>
      <c r="AY436" s="110"/>
      <c r="AZ436" s="67"/>
      <c r="BA436" s="68"/>
      <c r="BB436" s="111"/>
      <c r="BF436" s="24"/>
      <c r="BG436" s="23"/>
      <c r="BH436" s="23"/>
    </row>
    <row r="437" spans="1:60" s="33" customFormat="1" ht="15" customHeight="1">
      <c r="A437" s="33" t="s">
        <v>1717</v>
      </c>
      <c r="B437" s="33" t="s">
        <v>1945</v>
      </c>
      <c r="C437" s="33" t="s">
        <v>1976</v>
      </c>
      <c r="D437" s="55">
        <v>154</v>
      </c>
      <c r="E437" s="33">
        <v>2</v>
      </c>
      <c r="G437" s="33" t="s">
        <v>377</v>
      </c>
      <c r="J437" s="33" t="s">
        <v>257</v>
      </c>
      <c r="K437" s="33" t="s">
        <v>200</v>
      </c>
      <c r="L437" s="33">
        <v>3</v>
      </c>
      <c r="N437" s="104">
        <v>3</v>
      </c>
      <c r="O437" s="105"/>
      <c r="P437" s="106"/>
      <c r="Q437" s="107"/>
      <c r="R437" s="67"/>
      <c r="S437" s="113"/>
      <c r="T437" s="68"/>
      <c r="U437" s="105"/>
      <c r="V437" s="108"/>
      <c r="W437" s="109"/>
      <c r="X437" s="110"/>
      <c r="Y437" s="67"/>
      <c r="Z437" s="68"/>
      <c r="AA437" s="111"/>
      <c r="AB437" s="52" t="s">
        <v>1083</v>
      </c>
      <c r="AC437" s="33" t="s">
        <v>378</v>
      </c>
      <c r="AD437" s="33" t="s">
        <v>279</v>
      </c>
      <c r="AE437" s="24"/>
      <c r="AF437" s="23" t="s">
        <v>1843</v>
      </c>
      <c r="AG437" s="23"/>
      <c r="AP437" s="112"/>
      <c r="AQ437" s="105"/>
      <c r="AR437" s="106"/>
      <c r="AS437" s="107"/>
      <c r="AT437" s="67"/>
      <c r="AU437" s="68"/>
      <c r="AV437" s="105"/>
      <c r="AW437" s="108"/>
      <c r="AX437" s="109"/>
      <c r="AY437" s="110"/>
      <c r="AZ437" s="67"/>
      <c r="BA437" s="68"/>
      <c r="BB437" s="111"/>
      <c r="BF437" s="24"/>
      <c r="BG437" s="23"/>
      <c r="BH437" s="23"/>
    </row>
    <row r="438" spans="1:60" s="33" customFormat="1" ht="15" customHeight="1">
      <c r="A438" s="33" t="s">
        <v>1717</v>
      </c>
      <c r="B438" s="33" t="s">
        <v>1946</v>
      </c>
      <c r="C438" s="33" t="s">
        <v>1976</v>
      </c>
      <c r="D438" s="55">
        <v>155</v>
      </c>
      <c r="E438" s="33">
        <v>2</v>
      </c>
      <c r="G438" s="33" t="s">
        <v>1817</v>
      </c>
      <c r="J438" s="33" t="s">
        <v>257</v>
      </c>
      <c r="K438" s="33" t="s">
        <v>202</v>
      </c>
      <c r="N438" s="104">
        <v>1</v>
      </c>
      <c r="O438" s="105"/>
      <c r="P438" s="106"/>
      <c r="Q438" s="107"/>
      <c r="R438" s="67"/>
      <c r="S438" s="113"/>
      <c r="T438" s="68"/>
      <c r="U438" s="105"/>
      <c r="V438" s="108"/>
      <c r="W438" s="109"/>
      <c r="X438" s="110"/>
      <c r="Y438" s="67"/>
      <c r="Z438" s="68"/>
      <c r="AA438" s="111"/>
      <c r="AB438" s="52" t="s">
        <v>205</v>
      </c>
      <c r="AC438" s="33" t="s">
        <v>258</v>
      </c>
      <c r="AD438" s="33" t="s">
        <v>265</v>
      </c>
      <c r="AE438" s="24"/>
      <c r="AF438" s="23" t="s">
        <v>1844</v>
      </c>
      <c r="AG438" s="23"/>
      <c r="AP438" s="112"/>
      <c r="AQ438" s="105"/>
      <c r="AR438" s="106"/>
      <c r="AS438" s="107"/>
      <c r="AT438" s="67"/>
      <c r="AU438" s="68"/>
      <c r="AV438" s="105"/>
      <c r="AW438" s="108"/>
      <c r="AX438" s="109"/>
      <c r="AY438" s="110"/>
      <c r="AZ438" s="67"/>
      <c r="BA438" s="68"/>
      <c r="BB438" s="111"/>
      <c r="BF438" s="24"/>
      <c r="BG438" s="23"/>
      <c r="BH438" s="23"/>
    </row>
    <row r="439" spans="1:60" s="33" customFormat="1" ht="15" customHeight="1">
      <c r="A439" s="33" t="s">
        <v>1717</v>
      </c>
      <c r="B439" s="33" t="s">
        <v>1947</v>
      </c>
      <c r="C439" s="33" t="s">
        <v>1976</v>
      </c>
      <c r="D439" s="55">
        <v>156</v>
      </c>
      <c r="E439" s="33">
        <v>2</v>
      </c>
      <c r="G439" s="33" t="s">
        <v>1818</v>
      </c>
      <c r="J439" s="33" t="s">
        <v>27</v>
      </c>
      <c r="K439" s="33" t="s">
        <v>202</v>
      </c>
      <c r="L439" s="33">
        <v>1</v>
      </c>
      <c r="N439" s="104">
        <v>1</v>
      </c>
      <c r="O439" s="105"/>
      <c r="P439" s="106"/>
      <c r="Q439" s="107"/>
      <c r="R439" s="67"/>
      <c r="S439" s="113"/>
      <c r="T439" s="68"/>
      <c r="U439" s="105"/>
      <c r="V439" s="108"/>
      <c r="W439" s="109"/>
      <c r="X439" s="110"/>
      <c r="Y439" s="67"/>
      <c r="Z439" s="68"/>
      <c r="AA439" s="111"/>
      <c r="AB439" s="52" t="s">
        <v>1095</v>
      </c>
      <c r="AC439" s="33" t="s">
        <v>258</v>
      </c>
      <c r="AD439" s="33" t="s">
        <v>1412</v>
      </c>
      <c r="AE439" s="24"/>
      <c r="AF439" s="23" t="s">
        <v>1845</v>
      </c>
      <c r="AG439" s="23"/>
      <c r="AP439" s="112"/>
      <c r="AQ439" s="105"/>
      <c r="AR439" s="106"/>
      <c r="AS439" s="107"/>
      <c r="AT439" s="67"/>
      <c r="AU439" s="68"/>
      <c r="AV439" s="105"/>
      <c r="AW439" s="108"/>
      <c r="AX439" s="109"/>
      <c r="AY439" s="110"/>
      <c r="AZ439" s="67"/>
      <c r="BA439" s="68"/>
      <c r="BB439" s="111"/>
      <c r="BF439" s="24"/>
      <c r="BG439" s="23"/>
      <c r="BH439" s="23"/>
    </row>
    <row r="440" spans="1:60" s="33" customFormat="1" ht="15" customHeight="1">
      <c r="A440" s="33" t="s">
        <v>1717</v>
      </c>
      <c r="B440" s="33" t="s">
        <v>1948</v>
      </c>
      <c r="C440" s="33" t="s">
        <v>1976</v>
      </c>
      <c r="D440" s="55">
        <v>157</v>
      </c>
      <c r="E440" s="33">
        <v>2</v>
      </c>
      <c r="G440" s="33" t="s">
        <v>1819</v>
      </c>
      <c r="J440" s="33" t="s">
        <v>257</v>
      </c>
      <c r="K440" s="33" t="s">
        <v>26</v>
      </c>
      <c r="L440" s="33">
        <v>3</v>
      </c>
      <c r="N440" s="104" t="s">
        <v>38</v>
      </c>
      <c r="O440" s="105"/>
      <c r="P440" s="106"/>
      <c r="Q440" s="107"/>
      <c r="R440" s="67"/>
      <c r="S440" s="113"/>
      <c r="T440" s="68"/>
      <c r="U440" s="105"/>
      <c r="V440" s="108"/>
      <c r="W440" s="109"/>
      <c r="X440" s="110"/>
      <c r="Y440" s="67"/>
      <c r="Z440" s="68"/>
      <c r="AA440" s="111"/>
      <c r="AB440" s="52"/>
      <c r="AD440" s="33" t="s">
        <v>289</v>
      </c>
      <c r="AE440" s="24" t="s">
        <v>1978</v>
      </c>
      <c r="AF440" s="23" t="s">
        <v>1977</v>
      </c>
      <c r="AG440" s="23"/>
      <c r="AP440" s="112"/>
      <c r="AQ440" s="105"/>
      <c r="AR440" s="106"/>
      <c r="AS440" s="107"/>
      <c r="AT440" s="67"/>
      <c r="AU440" s="68"/>
      <c r="AV440" s="105"/>
      <c r="AW440" s="108"/>
      <c r="AX440" s="109"/>
      <c r="AY440" s="110"/>
      <c r="AZ440" s="67"/>
      <c r="BA440" s="68"/>
      <c r="BB440" s="111"/>
      <c r="BF440" s="24"/>
      <c r="BG440" s="23"/>
      <c r="BH440" s="23"/>
    </row>
    <row r="441" spans="1:60" s="33" customFormat="1" ht="15" customHeight="1">
      <c r="A441" s="33" t="s">
        <v>1717</v>
      </c>
      <c r="B441" s="33" t="s">
        <v>1949</v>
      </c>
      <c r="C441" s="33" t="s">
        <v>1976</v>
      </c>
      <c r="D441" s="55">
        <v>158</v>
      </c>
      <c r="E441" s="33">
        <v>2</v>
      </c>
      <c r="G441" s="33" t="s">
        <v>1811</v>
      </c>
      <c r="J441" s="33" t="s">
        <v>257</v>
      </c>
      <c r="K441" s="33" t="s">
        <v>26</v>
      </c>
      <c r="L441" s="33">
        <v>3</v>
      </c>
      <c r="N441" s="104" t="s">
        <v>38</v>
      </c>
      <c r="O441" s="105"/>
      <c r="P441" s="106"/>
      <c r="Q441" s="107"/>
      <c r="R441" s="67"/>
      <c r="S441" s="113"/>
      <c r="T441" s="68"/>
      <c r="U441" s="105"/>
      <c r="V441" s="108"/>
      <c r="W441" s="109"/>
      <c r="X441" s="110"/>
      <c r="Y441" s="67"/>
      <c r="Z441" s="68"/>
      <c r="AA441" s="111"/>
      <c r="AB441" s="52"/>
      <c r="AD441" s="33" t="s">
        <v>289</v>
      </c>
      <c r="AE441" s="24" t="s">
        <v>1979</v>
      </c>
      <c r="AF441" s="23" t="s">
        <v>1980</v>
      </c>
      <c r="AG441" s="23"/>
      <c r="AP441" s="112"/>
      <c r="AQ441" s="105"/>
      <c r="AR441" s="106"/>
      <c r="AS441" s="107"/>
      <c r="AT441" s="67"/>
      <c r="AU441" s="68"/>
      <c r="AV441" s="105"/>
      <c r="AW441" s="108"/>
      <c r="AX441" s="109"/>
      <c r="AY441" s="110"/>
      <c r="AZ441" s="67"/>
      <c r="BA441" s="68"/>
      <c r="BB441" s="111"/>
      <c r="BF441" s="24"/>
      <c r="BG441" s="23"/>
      <c r="BH441" s="23"/>
    </row>
    <row r="442" spans="1:60" s="33" customFormat="1" ht="15" customHeight="1">
      <c r="A442" s="33" t="s">
        <v>1717</v>
      </c>
      <c r="B442" s="33" t="s">
        <v>1950</v>
      </c>
      <c r="C442" s="33" t="s">
        <v>1976</v>
      </c>
      <c r="D442" s="55">
        <v>159</v>
      </c>
      <c r="E442" s="33">
        <v>1</v>
      </c>
      <c r="F442" s="33" t="s">
        <v>1718</v>
      </c>
      <c r="G442" s="33" t="s">
        <v>1718</v>
      </c>
      <c r="H442" s="33" t="s">
        <v>709</v>
      </c>
      <c r="J442" s="33" t="s">
        <v>618</v>
      </c>
      <c r="N442" s="104"/>
      <c r="O442" s="105"/>
      <c r="P442" s="106"/>
      <c r="Q442" s="107"/>
      <c r="R442" s="67"/>
      <c r="S442" s="113"/>
      <c r="T442" s="68"/>
      <c r="U442" s="105"/>
      <c r="V442" s="108"/>
      <c r="W442" s="109"/>
      <c r="X442" s="110"/>
      <c r="Y442" s="67"/>
      <c r="Z442" s="68"/>
      <c r="AA442" s="111"/>
      <c r="AB442" s="52"/>
      <c r="AE442" s="24"/>
      <c r="AF442" s="23" t="s">
        <v>1846</v>
      </c>
      <c r="AG442" s="23"/>
      <c r="AI442" s="33" t="s">
        <v>1718</v>
      </c>
      <c r="AJ442" s="33" t="s">
        <v>710</v>
      </c>
      <c r="AL442" s="33" t="s">
        <v>618</v>
      </c>
      <c r="AP442" s="112"/>
      <c r="AQ442" s="105"/>
      <c r="AR442" s="106"/>
      <c r="AS442" s="107"/>
      <c r="AT442" s="67"/>
      <c r="AU442" s="68"/>
      <c r="AV442" s="105"/>
      <c r="AW442" s="108"/>
      <c r="AX442" s="109"/>
      <c r="AY442" s="110"/>
      <c r="AZ442" s="67"/>
      <c r="BA442" s="68"/>
      <c r="BB442" s="111"/>
      <c r="BF442" s="24"/>
      <c r="BG442" s="23" t="s">
        <v>1874</v>
      </c>
      <c r="BH442" s="23"/>
    </row>
    <row r="443" spans="1:60" s="33" customFormat="1" ht="15" customHeight="1">
      <c r="A443" s="33" t="s">
        <v>1717</v>
      </c>
      <c r="B443" s="33" t="s">
        <v>1951</v>
      </c>
      <c r="C443" s="33" t="s">
        <v>1976</v>
      </c>
      <c r="D443" s="55">
        <v>160</v>
      </c>
      <c r="E443" s="33">
        <v>1</v>
      </c>
      <c r="F443" s="33" t="s">
        <v>1718</v>
      </c>
      <c r="G443" s="33" t="s">
        <v>1820</v>
      </c>
      <c r="J443" s="33" t="s">
        <v>619</v>
      </c>
      <c r="L443" s="33">
        <v>1</v>
      </c>
      <c r="N443" s="104"/>
      <c r="O443" s="105"/>
      <c r="P443" s="106"/>
      <c r="Q443" s="107"/>
      <c r="R443" s="67"/>
      <c r="S443" s="113"/>
      <c r="T443" s="68"/>
      <c r="U443" s="105"/>
      <c r="V443" s="108"/>
      <c r="W443" s="109"/>
      <c r="X443" s="110"/>
      <c r="Y443" s="67"/>
      <c r="Z443" s="68">
        <v>4</v>
      </c>
      <c r="AA443" s="111"/>
      <c r="AB443" s="52"/>
      <c r="AE443" s="24"/>
      <c r="AF443" s="23"/>
      <c r="AG443" s="23"/>
      <c r="AI443" s="33" t="s">
        <v>1875</v>
      </c>
      <c r="AL443" s="33" t="s">
        <v>619</v>
      </c>
      <c r="AN443" s="33">
        <v>1</v>
      </c>
      <c r="AP443" s="112"/>
      <c r="AQ443" s="105"/>
      <c r="AR443" s="106"/>
      <c r="AS443" s="107"/>
      <c r="AT443" s="67"/>
      <c r="AU443" s="68"/>
      <c r="AV443" s="105"/>
      <c r="AW443" s="108"/>
      <c r="AX443" s="109"/>
      <c r="AY443" s="110"/>
      <c r="AZ443" s="67"/>
      <c r="BA443" s="68"/>
      <c r="BB443" s="111"/>
      <c r="BF443" s="24"/>
      <c r="BG443" s="23" t="s">
        <v>1876</v>
      </c>
      <c r="BH443" s="23"/>
    </row>
    <row r="444" spans="1:60" s="33" customFormat="1" ht="15" customHeight="1">
      <c r="A444" s="33" t="s">
        <v>1717</v>
      </c>
      <c r="B444" s="33" t="s">
        <v>1952</v>
      </c>
      <c r="C444" s="33" t="s">
        <v>1976</v>
      </c>
      <c r="D444" s="55">
        <v>161</v>
      </c>
      <c r="E444" s="33">
        <v>1</v>
      </c>
      <c r="F444" s="33" t="s">
        <v>1718</v>
      </c>
      <c r="G444" s="33" t="s">
        <v>1821</v>
      </c>
      <c r="J444" s="33" t="s">
        <v>619</v>
      </c>
      <c r="L444" s="33">
        <v>2</v>
      </c>
      <c r="N444" s="104"/>
      <c r="O444" s="105"/>
      <c r="P444" s="106"/>
      <c r="Q444" s="107"/>
      <c r="R444" s="67"/>
      <c r="S444" s="113"/>
      <c r="T444" s="68"/>
      <c r="U444" s="105"/>
      <c r="V444" s="108"/>
      <c r="W444" s="109"/>
      <c r="X444" s="110"/>
      <c r="Y444" s="67"/>
      <c r="Z444" s="68">
        <v>3</v>
      </c>
      <c r="AA444" s="111"/>
      <c r="AB444" s="52"/>
      <c r="AE444" s="24"/>
      <c r="AF444" s="23"/>
      <c r="AG444" s="23"/>
      <c r="AI444" s="33" t="s">
        <v>1877</v>
      </c>
      <c r="AL444" s="33" t="s">
        <v>619</v>
      </c>
      <c r="AN444" s="33">
        <v>2</v>
      </c>
      <c r="AP444" s="112"/>
      <c r="AQ444" s="105"/>
      <c r="AR444" s="106"/>
      <c r="AS444" s="107"/>
      <c r="AT444" s="67"/>
      <c r="AU444" s="68"/>
      <c r="AV444" s="105"/>
      <c r="AW444" s="108"/>
      <c r="AX444" s="109"/>
      <c r="AY444" s="110"/>
      <c r="AZ444" s="67"/>
      <c r="BA444" s="68"/>
      <c r="BB444" s="111"/>
      <c r="BF444" s="24"/>
      <c r="BG444" s="23" t="s">
        <v>1876</v>
      </c>
      <c r="BH444" s="23"/>
    </row>
    <row r="445" spans="1:60" s="33" customFormat="1" ht="15" customHeight="1">
      <c r="A445" s="33" t="s">
        <v>1717</v>
      </c>
      <c r="B445" s="33" t="s">
        <v>1953</v>
      </c>
      <c r="C445" s="33" t="s">
        <v>1976</v>
      </c>
      <c r="D445" s="55">
        <v>162</v>
      </c>
      <c r="E445" s="33">
        <v>1</v>
      </c>
      <c r="F445" s="33" t="s">
        <v>1718</v>
      </c>
      <c r="G445" s="33" t="s">
        <v>1822</v>
      </c>
      <c r="J445" s="33" t="s">
        <v>619</v>
      </c>
      <c r="L445" s="33">
        <v>3</v>
      </c>
      <c r="N445" s="104"/>
      <c r="O445" s="105"/>
      <c r="P445" s="106"/>
      <c r="Q445" s="107"/>
      <c r="R445" s="67"/>
      <c r="S445" s="113"/>
      <c r="T445" s="68"/>
      <c r="U445" s="105"/>
      <c r="V445" s="108"/>
      <c r="W445" s="109"/>
      <c r="X445" s="110"/>
      <c r="Y445" s="67"/>
      <c r="Z445" s="68">
        <v>4</v>
      </c>
      <c r="AA445" s="111"/>
      <c r="AB445" s="52"/>
      <c r="AE445" s="24"/>
      <c r="AF445" s="23"/>
      <c r="AG445" s="23"/>
      <c r="AI445" s="33" t="s">
        <v>1878</v>
      </c>
      <c r="AL445" s="33" t="s">
        <v>619</v>
      </c>
      <c r="AN445" s="33">
        <v>3</v>
      </c>
      <c r="AP445" s="112"/>
      <c r="AQ445" s="105"/>
      <c r="AR445" s="106"/>
      <c r="AS445" s="107"/>
      <c r="AT445" s="67"/>
      <c r="AU445" s="68"/>
      <c r="AV445" s="105"/>
      <c r="AW445" s="108"/>
      <c r="AX445" s="109"/>
      <c r="AY445" s="110"/>
      <c r="AZ445" s="67"/>
      <c r="BA445" s="68"/>
      <c r="BB445" s="111"/>
      <c r="BF445" s="24"/>
      <c r="BG445" s="23" t="s">
        <v>1879</v>
      </c>
      <c r="BH445" s="23"/>
    </row>
    <row r="446" spans="1:60" s="33" customFormat="1" ht="15" customHeight="1">
      <c r="A446" s="33" t="s">
        <v>1717</v>
      </c>
      <c r="B446" s="33" t="s">
        <v>1954</v>
      </c>
      <c r="C446" s="33" t="s">
        <v>1976</v>
      </c>
      <c r="D446" s="55">
        <v>163</v>
      </c>
      <c r="E446" s="33">
        <v>1</v>
      </c>
      <c r="F446" s="33" t="s">
        <v>1718</v>
      </c>
      <c r="G446" s="33" t="s">
        <v>1823</v>
      </c>
      <c r="J446" s="33" t="s">
        <v>619</v>
      </c>
      <c r="L446" s="33">
        <v>4</v>
      </c>
      <c r="N446" s="104"/>
      <c r="O446" s="105"/>
      <c r="P446" s="106"/>
      <c r="Q446" s="107"/>
      <c r="R446" s="67"/>
      <c r="S446" s="113"/>
      <c r="T446" s="68"/>
      <c r="U446" s="105"/>
      <c r="V446" s="108"/>
      <c r="W446" s="109"/>
      <c r="X446" s="110"/>
      <c r="Y446" s="67"/>
      <c r="Z446" s="68">
        <v>3</v>
      </c>
      <c r="AA446" s="111"/>
      <c r="AB446" s="52"/>
      <c r="AE446" s="24"/>
      <c r="AF446" s="23"/>
      <c r="AG446" s="23"/>
      <c r="AI446" s="33" t="s">
        <v>1880</v>
      </c>
      <c r="AL446" s="33" t="s">
        <v>619</v>
      </c>
      <c r="AN446" s="33">
        <v>4</v>
      </c>
      <c r="AP446" s="112"/>
      <c r="AQ446" s="105"/>
      <c r="AR446" s="106"/>
      <c r="AS446" s="107"/>
      <c r="AT446" s="67"/>
      <c r="AU446" s="68"/>
      <c r="AV446" s="105"/>
      <c r="AW446" s="108"/>
      <c r="AX446" s="109"/>
      <c r="AY446" s="110"/>
      <c r="AZ446" s="67"/>
      <c r="BA446" s="68"/>
      <c r="BB446" s="111"/>
      <c r="BF446" s="24"/>
      <c r="BG446" s="23" t="s">
        <v>1879</v>
      </c>
      <c r="BH446" s="23"/>
    </row>
    <row r="447" spans="1:60" s="33" customFormat="1" ht="15" customHeight="1">
      <c r="A447" s="33" t="s">
        <v>1717</v>
      </c>
      <c r="B447" s="33" t="s">
        <v>1955</v>
      </c>
      <c r="C447" s="33" t="s">
        <v>1976</v>
      </c>
      <c r="D447" s="55">
        <v>164</v>
      </c>
      <c r="E447" s="33">
        <v>1</v>
      </c>
      <c r="F447" s="33" t="s">
        <v>1718</v>
      </c>
      <c r="G447" s="33" t="s">
        <v>1824</v>
      </c>
      <c r="J447" s="33" t="s">
        <v>619</v>
      </c>
      <c r="L447" s="33">
        <v>5</v>
      </c>
      <c r="N447" s="104"/>
      <c r="O447" s="105"/>
      <c r="P447" s="106"/>
      <c r="Q447" s="107"/>
      <c r="R447" s="67"/>
      <c r="S447" s="113"/>
      <c r="T447" s="68"/>
      <c r="U447" s="105"/>
      <c r="V447" s="108"/>
      <c r="W447" s="109"/>
      <c r="X447" s="110"/>
      <c r="Y447" s="67"/>
      <c r="Z447" s="68">
        <v>3</v>
      </c>
      <c r="AA447" s="111"/>
      <c r="AB447" s="52"/>
      <c r="AE447" s="24"/>
      <c r="AF447" s="23"/>
      <c r="AG447" s="23"/>
      <c r="AI447" s="33" t="s">
        <v>1881</v>
      </c>
      <c r="AL447" s="33" t="s">
        <v>619</v>
      </c>
      <c r="AN447" s="33">
        <v>5</v>
      </c>
      <c r="AP447" s="112"/>
      <c r="AQ447" s="105"/>
      <c r="AR447" s="106"/>
      <c r="AS447" s="107"/>
      <c r="AT447" s="67"/>
      <c r="AU447" s="68"/>
      <c r="AV447" s="105"/>
      <c r="AW447" s="108"/>
      <c r="AX447" s="109"/>
      <c r="AY447" s="110"/>
      <c r="AZ447" s="67"/>
      <c r="BA447" s="68"/>
      <c r="BB447" s="111"/>
      <c r="BF447" s="24"/>
      <c r="BG447" s="23" t="s">
        <v>1882</v>
      </c>
      <c r="BH447" s="23"/>
    </row>
    <row r="448" spans="1:60" s="33" customFormat="1" ht="15" customHeight="1">
      <c r="A448" s="33" t="s">
        <v>1717</v>
      </c>
      <c r="B448" s="33" t="s">
        <v>1956</v>
      </c>
      <c r="C448" s="33" t="s">
        <v>1976</v>
      </c>
      <c r="D448" s="55">
        <v>165</v>
      </c>
      <c r="E448" s="33">
        <v>1</v>
      </c>
      <c r="F448" s="33" t="s">
        <v>1718</v>
      </c>
      <c r="G448" s="33" t="s">
        <v>1825</v>
      </c>
      <c r="J448" s="33" t="s">
        <v>621</v>
      </c>
      <c r="L448" s="33">
        <v>1</v>
      </c>
      <c r="N448" s="104"/>
      <c r="O448" s="105"/>
      <c r="P448" s="106"/>
      <c r="Q448" s="107"/>
      <c r="R448" s="67"/>
      <c r="S448" s="113"/>
      <c r="T448" s="68"/>
      <c r="U448" s="105"/>
      <c r="V448" s="108"/>
      <c r="W448" s="109"/>
      <c r="X448" s="110"/>
      <c r="Y448" s="67" t="s">
        <v>38</v>
      </c>
      <c r="Z448" s="68"/>
      <c r="AA448" s="111"/>
      <c r="AB448" s="52"/>
      <c r="AE448" s="24"/>
      <c r="AF448" s="23" t="s">
        <v>1847</v>
      </c>
      <c r="AG448" s="23"/>
      <c r="AI448" s="33" t="s">
        <v>1883</v>
      </c>
      <c r="AL448" s="33" t="s">
        <v>621</v>
      </c>
      <c r="AN448" s="33">
        <v>1</v>
      </c>
      <c r="AP448" s="112"/>
      <c r="AQ448" s="105"/>
      <c r="AR448" s="106"/>
      <c r="AS448" s="107"/>
      <c r="AT448" s="67"/>
      <c r="AU448" s="68"/>
      <c r="AV448" s="105"/>
      <c r="AW448" s="108"/>
      <c r="AX448" s="109"/>
      <c r="AY448" s="110"/>
      <c r="AZ448" s="67"/>
      <c r="BA448" s="68"/>
      <c r="BB448" s="111"/>
      <c r="BF448" s="24"/>
      <c r="BG448" s="23" t="s">
        <v>1884</v>
      </c>
      <c r="BH448" s="23"/>
    </row>
    <row r="449" spans="1:62" s="33" customFormat="1" ht="15" customHeight="1">
      <c r="A449" s="33" t="s">
        <v>1717</v>
      </c>
      <c r="B449" s="33" t="s">
        <v>1957</v>
      </c>
      <c r="C449" s="33" t="s">
        <v>1976</v>
      </c>
      <c r="D449" s="55">
        <v>166</v>
      </c>
      <c r="E449" s="33">
        <v>1</v>
      </c>
      <c r="F449" s="33" t="s">
        <v>1718</v>
      </c>
      <c r="G449" s="33" t="s">
        <v>1826</v>
      </c>
      <c r="J449" s="33" t="s">
        <v>621</v>
      </c>
      <c r="L449" s="33">
        <v>2</v>
      </c>
      <c r="N449" s="104"/>
      <c r="O449" s="105"/>
      <c r="P449" s="106"/>
      <c r="Q449" s="107"/>
      <c r="R449" s="67"/>
      <c r="S449" s="113"/>
      <c r="T449" s="68"/>
      <c r="U449" s="105"/>
      <c r="V449" s="108"/>
      <c r="W449" s="109"/>
      <c r="X449" s="110"/>
      <c r="Y449" s="67" t="s">
        <v>38</v>
      </c>
      <c r="Z449" s="68"/>
      <c r="AA449" s="111"/>
      <c r="AB449" s="52"/>
      <c r="AE449" s="24"/>
      <c r="AF449" s="23" t="s">
        <v>1848</v>
      </c>
      <c r="AG449" s="23"/>
      <c r="AI449" s="33" t="s">
        <v>1885</v>
      </c>
      <c r="AL449" s="33" t="s">
        <v>621</v>
      </c>
      <c r="AN449" s="33">
        <v>2</v>
      </c>
      <c r="AP449" s="112"/>
      <c r="AQ449" s="105"/>
      <c r="AR449" s="106"/>
      <c r="AS449" s="107"/>
      <c r="AT449" s="67"/>
      <c r="AU449" s="68"/>
      <c r="AV449" s="105"/>
      <c r="AW449" s="108"/>
      <c r="AX449" s="109"/>
      <c r="AY449" s="110"/>
      <c r="AZ449" s="67"/>
      <c r="BA449" s="68"/>
      <c r="BB449" s="111"/>
      <c r="BF449" s="24"/>
      <c r="BG449" s="23" t="s">
        <v>1886</v>
      </c>
      <c r="BH449" s="23"/>
    </row>
    <row r="450" spans="1:62" s="33" customFormat="1" ht="15" customHeight="1">
      <c r="A450" s="33" t="s">
        <v>1717</v>
      </c>
      <c r="B450" s="33" t="s">
        <v>1958</v>
      </c>
      <c r="C450" s="33" t="s">
        <v>1976</v>
      </c>
      <c r="D450" s="55">
        <v>167</v>
      </c>
      <c r="E450" s="33">
        <v>1</v>
      </c>
      <c r="F450" s="33" t="s">
        <v>1718</v>
      </c>
      <c r="G450" s="33" t="s">
        <v>1827</v>
      </c>
      <c r="J450" s="33" t="s">
        <v>31</v>
      </c>
      <c r="N450" s="104"/>
      <c r="O450" s="105"/>
      <c r="P450" s="106"/>
      <c r="Q450" s="107"/>
      <c r="R450" s="67"/>
      <c r="S450" s="113"/>
      <c r="T450" s="68"/>
      <c r="U450" s="105"/>
      <c r="V450" s="108"/>
      <c r="W450" s="109"/>
      <c r="X450" s="110"/>
      <c r="Y450" s="67"/>
      <c r="Z450" s="68"/>
      <c r="AA450" s="111"/>
      <c r="AB450" s="52"/>
      <c r="AD450" s="33" t="s">
        <v>1828</v>
      </c>
      <c r="AE450" s="24"/>
      <c r="AF450" s="23" t="s">
        <v>1887</v>
      </c>
      <c r="AG450" s="23"/>
      <c r="AI450" s="33" t="s">
        <v>1888</v>
      </c>
      <c r="AL450" s="33" t="s">
        <v>31</v>
      </c>
      <c r="AP450" s="112"/>
      <c r="AQ450" s="105"/>
      <c r="AR450" s="106"/>
      <c r="AS450" s="107"/>
      <c r="AT450" s="67"/>
      <c r="AU450" s="68"/>
      <c r="AV450" s="105"/>
      <c r="AW450" s="108"/>
      <c r="AX450" s="109"/>
      <c r="AY450" s="110">
        <v>1</v>
      </c>
      <c r="AZ450" s="67" t="s">
        <v>1112</v>
      </c>
      <c r="BA450" s="68"/>
      <c r="BB450" s="111"/>
      <c r="BF450" s="24"/>
      <c r="BG450" s="23" t="s">
        <v>1849</v>
      </c>
      <c r="BH450" s="23"/>
    </row>
    <row r="451" spans="1:62" s="33" customFormat="1" ht="15" customHeight="1">
      <c r="A451" s="33" t="s">
        <v>1717</v>
      </c>
      <c r="B451" s="115" t="s">
        <v>1959</v>
      </c>
      <c r="C451" s="33" t="s">
        <v>1976</v>
      </c>
      <c r="D451" s="55">
        <v>168</v>
      </c>
      <c r="E451" s="33">
        <v>1</v>
      </c>
      <c r="F451" s="33" t="s">
        <v>1718</v>
      </c>
      <c r="G451" s="33" t="s">
        <v>1827</v>
      </c>
      <c r="J451" s="33" t="s">
        <v>31</v>
      </c>
      <c r="N451" s="104"/>
      <c r="O451" s="105"/>
      <c r="P451" s="106"/>
      <c r="Q451" s="107"/>
      <c r="R451" s="67"/>
      <c r="S451" s="113"/>
      <c r="T451" s="68"/>
      <c r="U451" s="105"/>
      <c r="V451" s="108"/>
      <c r="W451" s="109"/>
      <c r="X451" s="110"/>
      <c r="Y451" s="67"/>
      <c r="Z451" s="68"/>
      <c r="AA451" s="111"/>
      <c r="AB451" s="52"/>
      <c r="AD451" s="33" t="s">
        <v>1828</v>
      </c>
      <c r="AE451" s="24"/>
      <c r="AF451" s="23" t="s">
        <v>1887</v>
      </c>
      <c r="AG451" s="23"/>
      <c r="AI451" s="33" t="s">
        <v>1888</v>
      </c>
      <c r="AL451" s="33" t="s">
        <v>31</v>
      </c>
      <c r="AP451" s="112"/>
      <c r="AQ451" s="105"/>
      <c r="AR451" s="106"/>
      <c r="AS451" s="107"/>
      <c r="AT451" s="67"/>
      <c r="AU451" s="68"/>
      <c r="AV451" s="105"/>
      <c r="AW451" s="108"/>
      <c r="AX451" s="109"/>
      <c r="AY451" s="110">
        <v>4</v>
      </c>
      <c r="AZ451" s="29" t="s">
        <v>1073</v>
      </c>
      <c r="BA451" s="68"/>
      <c r="BB451" s="111"/>
      <c r="BF451" s="24"/>
      <c r="BG451" s="23" t="s">
        <v>1850</v>
      </c>
      <c r="BH451" s="23"/>
    </row>
    <row r="452" spans="1:62" s="33" customFormat="1" ht="15" customHeight="1">
      <c r="A452" s="33" t="s">
        <v>1717</v>
      </c>
      <c r="B452" s="33" t="s">
        <v>1960</v>
      </c>
      <c r="C452" s="33" t="s">
        <v>1976</v>
      </c>
      <c r="D452" s="55">
        <v>169</v>
      </c>
      <c r="E452" s="33">
        <v>1</v>
      </c>
      <c r="F452" s="33" t="s">
        <v>1718</v>
      </c>
      <c r="G452" s="33" t="s">
        <v>1827</v>
      </c>
      <c r="J452" s="33" t="s">
        <v>31</v>
      </c>
      <c r="N452" s="104"/>
      <c r="O452" s="105"/>
      <c r="P452" s="106"/>
      <c r="Q452" s="107"/>
      <c r="R452" s="67"/>
      <c r="S452" s="113"/>
      <c r="T452" s="68"/>
      <c r="U452" s="105"/>
      <c r="V452" s="108"/>
      <c r="W452" s="109"/>
      <c r="X452" s="110"/>
      <c r="Y452" s="67"/>
      <c r="Z452" s="68"/>
      <c r="AA452" s="111"/>
      <c r="AB452" s="52"/>
      <c r="AD452" s="33" t="s">
        <v>1828</v>
      </c>
      <c r="AE452" s="24"/>
      <c r="AF452" s="23" t="s">
        <v>1887</v>
      </c>
      <c r="AG452" s="23"/>
      <c r="AI452" s="33" t="s">
        <v>1888</v>
      </c>
      <c r="AL452" s="33" t="s">
        <v>31</v>
      </c>
      <c r="AP452" s="112"/>
      <c r="AQ452" s="105"/>
      <c r="AR452" s="106"/>
      <c r="AS452" s="107"/>
      <c r="AT452" s="67"/>
      <c r="AU452" s="68"/>
      <c r="AV452" s="105"/>
      <c r="AW452" s="108"/>
      <c r="AX452" s="109"/>
      <c r="AY452" s="110">
        <v>2</v>
      </c>
      <c r="AZ452" s="67" t="s">
        <v>1111</v>
      </c>
      <c r="BA452" s="68"/>
      <c r="BB452" s="111"/>
      <c r="BF452" s="24"/>
      <c r="BG452" s="23" t="s">
        <v>1851</v>
      </c>
      <c r="BH452" s="23"/>
    </row>
    <row r="453" spans="1:62" s="33" customFormat="1" ht="15" customHeight="1">
      <c r="A453" s="33" t="s">
        <v>1717</v>
      </c>
      <c r="B453" s="33" t="s">
        <v>1961</v>
      </c>
      <c r="C453" s="33" t="s">
        <v>1976</v>
      </c>
      <c r="D453" s="55">
        <v>170</v>
      </c>
      <c r="E453" s="33">
        <v>1</v>
      </c>
      <c r="F453" s="33" t="s">
        <v>1718</v>
      </c>
      <c r="G453" s="33" t="s">
        <v>1827</v>
      </c>
      <c r="J453" s="33" t="s">
        <v>31</v>
      </c>
      <c r="N453" s="104"/>
      <c r="O453" s="105"/>
      <c r="P453" s="106"/>
      <c r="Q453" s="107"/>
      <c r="R453" s="67"/>
      <c r="S453" s="113"/>
      <c r="T453" s="68"/>
      <c r="U453" s="105"/>
      <c r="V453" s="108"/>
      <c r="W453" s="109"/>
      <c r="X453" s="110"/>
      <c r="Y453" s="67"/>
      <c r="Z453" s="68"/>
      <c r="AA453" s="111"/>
      <c r="AB453" s="52"/>
      <c r="AD453" s="33" t="s">
        <v>1828</v>
      </c>
      <c r="AE453" s="24"/>
      <c r="AF453" s="23" t="s">
        <v>1887</v>
      </c>
      <c r="AG453" s="23"/>
      <c r="AI453" s="33" t="s">
        <v>1888</v>
      </c>
      <c r="AL453" s="33" t="s">
        <v>31</v>
      </c>
      <c r="AP453" s="112"/>
      <c r="AQ453" s="105"/>
      <c r="AR453" s="106"/>
      <c r="AS453" s="107"/>
      <c r="AT453" s="67"/>
      <c r="AU453" s="68"/>
      <c r="AV453" s="105"/>
      <c r="AW453" s="108"/>
      <c r="AX453" s="109"/>
      <c r="AY453" s="110">
        <v>3</v>
      </c>
      <c r="AZ453" s="67" t="s">
        <v>1111</v>
      </c>
      <c r="BA453" s="68"/>
      <c r="BB453" s="111"/>
      <c r="BF453" s="24"/>
      <c r="BG453" s="23" t="s">
        <v>1852</v>
      </c>
      <c r="BH453" s="23"/>
    </row>
    <row r="454" spans="1:62" s="33" customFormat="1" ht="15" customHeight="1">
      <c r="A454" s="33" t="s">
        <v>1717</v>
      </c>
      <c r="B454" s="33" t="s">
        <v>1962</v>
      </c>
      <c r="C454" s="33" t="s">
        <v>1976</v>
      </c>
      <c r="D454" s="55">
        <v>171</v>
      </c>
      <c r="E454" s="33">
        <v>1</v>
      </c>
      <c r="F454" s="33" t="s">
        <v>1718</v>
      </c>
      <c r="G454" s="33" t="s">
        <v>1827</v>
      </c>
      <c r="J454" s="33" t="s">
        <v>31</v>
      </c>
      <c r="N454" s="104"/>
      <c r="O454" s="105"/>
      <c r="P454" s="106"/>
      <c r="Q454" s="107"/>
      <c r="R454" s="67"/>
      <c r="S454" s="113"/>
      <c r="T454" s="68"/>
      <c r="U454" s="105"/>
      <c r="V454" s="108"/>
      <c r="W454" s="109"/>
      <c r="X454" s="110"/>
      <c r="Y454" s="67"/>
      <c r="Z454" s="68"/>
      <c r="AA454" s="111"/>
      <c r="AB454" s="52"/>
      <c r="AD454" s="33" t="s">
        <v>1828</v>
      </c>
      <c r="AE454" s="24"/>
      <c r="AF454" s="23" t="s">
        <v>1887</v>
      </c>
      <c r="AG454" s="23"/>
      <c r="AI454" s="33" t="s">
        <v>1888</v>
      </c>
      <c r="AL454" s="33" t="s">
        <v>31</v>
      </c>
      <c r="AP454" s="112"/>
      <c r="AQ454" s="105"/>
      <c r="AR454" s="106"/>
      <c r="AS454" s="107"/>
      <c r="AT454" s="67"/>
      <c r="AU454" s="68"/>
      <c r="AV454" s="105"/>
      <c r="AW454" s="108"/>
      <c r="AX454" s="109"/>
      <c r="AY454" s="110">
        <v>1</v>
      </c>
      <c r="AZ454" s="67" t="s">
        <v>1073</v>
      </c>
      <c r="BA454" s="68"/>
      <c r="BB454" s="111"/>
      <c r="BF454" s="24"/>
      <c r="BG454" s="23" t="s">
        <v>1889</v>
      </c>
      <c r="BH454" s="23"/>
    </row>
    <row r="455" spans="1:62" s="33" customFormat="1" ht="15" customHeight="1">
      <c r="A455" s="33" t="s">
        <v>1717</v>
      </c>
      <c r="B455" s="33" t="s">
        <v>1963</v>
      </c>
      <c r="C455" s="33" t="s">
        <v>1976</v>
      </c>
      <c r="D455" s="55">
        <v>172</v>
      </c>
      <c r="E455" s="33">
        <v>1</v>
      </c>
      <c r="F455" s="33" t="s">
        <v>1718</v>
      </c>
      <c r="G455" s="33" t="s">
        <v>1827</v>
      </c>
      <c r="J455" s="33" t="s">
        <v>31</v>
      </c>
      <c r="N455" s="104"/>
      <c r="O455" s="105"/>
      <c r="P455" s="106"/>
      <c r="Q455" s="107"/>
      <c r="R455" s="67"/>
      <c r="S455" s="113"/>
      <c r="T455" s="68"/>
      <c r="U455" s="105"/>
      <c r="V455" s="108"/>
      <c r="W455" s="109"/>
      <c r="X455" s="110"/>
      <c r="Y455" s="67"/>
      <c r="Z455" s="68"/>
      <c r="AA455" s="111"/>
      <c r="AB455" s="52"/>
      <c r="AD455" s="33" t="s">
        <v>1828</v>
      </c>
      <c r="AE455" s="24"/>
      <c r="AF455" s="23" t="s">
        <v>1887</v>
      </c>
      <c r="AG455" s="23"/>
      <c r="AI455" s="33" t="s">
        <v>1890</v>
      </c>
      <c r="AL455" s="33" t="s">
        <v>31</v>
      </c>
      <c r="AP455" s="112"/>
      <c r="AQ455" s="105"/>
      <c r="AR455" s="106"/>
      <c r="AS455" s="107"/>
      <c r="AT455" s="67"/>
      <c r="AU455" s="68"/>
      <c r="AV455" s="105"/>
      <c r="AW455" s="108"/>
      <c r="AX455" s="109"/>
      <c r="AY455" s="110">
        <v>4</v>
      </c>
      <c r="AZ455" s="67">
        <v>1</v>
      </c>
      <c r="BA455" s="68"/>
      <c r="BB455" s="111"/>
      <c r="BF455" s="24"/>
      <c r="BG455" s="23" t="s">
        <v>1853</v>
      </c>
      <c r="BH455" s="23"/>
    </row>
    <row r="456" spans="1:62" s="33" customFormat="1" ht="15" customHeight="1">
      <c r="A456" s="33" t="s">
        <v>1717</v>
      </c>
      <c r="B456" s="33" t="s">
        <v>1964</v>
      </c>
      <c r="C456" s="33" t="s">
        <v>1976</v>
      </c>
      <c r="D456" s="55">
        <v>173</v>
      </c>
      <c r="E456" s="33">
        <v>1</v>
      </c>
      <c r="F456" s="33" t="s">
        <v>1718</v>
      </c>
      <c r="G456" s="33" t="s">
        <v>1827</v>
      </c>
      <c r="J456" s="33" t="s">
        <v>31</v>
      </c>
      <c r="N456" s="104"/>
      <c r="O456" s="105"/>
      <c r="P456" s="106"/>
      <c r="Q456" s="107"/>
      <c r="R456" s="67"/>
      <c r="S456" s="113"/>
      <c r="T456" s="68"/>
      <c r="U456" s="105"/>
      <c r="V456" s="108"/>
      <c r="W456" s="109"/>
      <c r="X456" s="110"/>
      <c r="Y456" s="67"/>
      <c r="Z456" s="68"/>
      <c r="AA456" s="111"/>
      <c r="AB456" s="52"/>
      <c r="AD456" s="33" t="s">
        <v>1828</v>
      </c>
      <c r="AE456" s="24"/>
      <c r="AF456" s="23" t="s">
        <v>1887</v>
      </c>
      <c r="AG456" s="23"/>
      <c r="AI456" s="33" t="s">
        <v>1891</v>
      </c>
      <c r="AL456" s="33" t="s">
        <v>31</v>
      </c>
      <c r="AP456" s="112"/>
      <c r="AQ456" s="105"/>
      <c r="AR456" s="106"/>
      <c r="AS456" s="107"/>
      <c r="AT456" s="67"/>
      <c r="AU456" s="68"/>
      <c r="AV456" s="105"/>
      <c r="AW456" s="108"/>
      <c r="AX456" s="109"/>
      <c r="AY456" s="110">
        <v>2</v>
      </c>
      <c r="AZ456" s="67">
        <v>0</v>
      </c>
      <c r="BA456" s="68"/>
      <c r="BB456" s="111"/>
      <c r="BF456" s="24"/>
      <c r="BG456" s="23" t="s">
        <v>1854</v>
      </c>
      <c r="BH456" s="23"/>
    </row>
    <row r="457" spans="1:62" s="33" customFormat="1" ht="15" customHeight="1">
      <c r="A457" s="33" t="s">
        <v>1717</v>
      </c>
      <c r="B457" s="33" t="s">
        <v>1965</v>
      </c>
      <c r="C457" s="33" t="s">
        <v>1976</v>
      </c>
      <c r="D457" s="55">
        <v>174</v>
      </c>
      <c r="E457" s="33">
        <v>1</v>
      </c>
      <c r="F457" s="33" t="s">
        <v>1718</v>
      </c>
      <c r="G457" s="33" t="s">
        <v>1827</v>
      </c>
      <c r="J457" s="33" t="s">
        <v>31</v>
      </c>
      <c r="N457" s="104"/>
      <c r="O457" s="105"/>
      <c r="P457" s="106"/>
      <c r="Q457" s="107"/>
      <c r="R457" s="67"/>
      <c r="S457" s="113"/>
      <c r="T457" s="68"/>
      <c r="U457" s="105"/>
      <c r="V457" s="108"/>
      <c r="W457" s="109"/>
      <c r="X457" s="110"/>
      <c r="Y457" s="67"/>
      <c r="Z457" s="68"/>
      <c r="AA457" s="111"/>
      <c r="AB457" s="52"/>
      <c r="AD457" s="33" t="s">
        <v>1828</v>
      </c>
      <c r="AE457" s="24"/>
      <c r="AF457" s="23" t="s">
        <v>1887</v>
      </c>
      <c r="AG457" s="23"/>
      <c r="AI457" s="33" t="s">
        <v>1892</v>
      </c>
      <c r="AL457" s="33" t="s">
        <v>31</v>
      </c>
      <c r="AP457" s="112"/>
      <c r="AQ457" s="105"/>
      <c r="AR457" s="106"/>
      <c r="AS457" s="107"/>
      <c r="AT457" s="67"/>
      <c r="AU457" s="68"/>
      <c r="AV457" s="105"/>
      <c r="AW457" s="108"/>
      <c r="AX457" s="109"/>
      <c r="AY457" s="110">
        <v>3</v>
      </c>
      <c r="AZ457" s="67" t="s">
        <v>1073</v>
      </c>
      <c r="BA457" s="68"/>
      <c r="BB457" s="111">
        <v>1</v>
      </c>
      <c r="BF457" s="24"/>
      <c r="BG457" s="23" t="s">
        <v>1855</v>
      </c>
      <c r="BH457" s="23"/>
    </row>
    <row r="458" spans="1:62" s="33" customFormat="1" ht="15" customHeight="1">
      <c r="A458" s="33" t="s">
        <v>1717</v>
      </c>
      <c r="B458" s="33" t="s">
        <v>1966</v>
      </c>
      <c r="C458" s="33" t="s">
        <v>1976</v>
      </c>
      <c r="D458" s="55">
        <v>175</v>
      </c>
      <c r="E458" s="33">
        <v>1</v>
      </c>
      <c r="F458" s="33" t="s">
        <v>1718</v>
      </c>
      <c r="G458" s="33" t="s">
        <v>1829</v>
      </c>
      <c r="J458" s="33" t="s">
        <v>31</v>
      </c>
      <c r="N458" s="104"/>
      <c r="O458" s="105"/>
      <c r="P458" s="106"/>
      <c r="Q458" s="107"/>
      <c r="R458" s="67"/>
      <c r="S458" s="113"/>
      <c r="T458" s="68"/>
      <c r="U458" s="105"/>
      <c r="V458" s="108"/>
      <c r="W458" s="109"/>
      <c r="X458" s="110"/>
      <c r="Y458" s="67"/>
      <c r="Z458" s="68"/>
      <c r="AA458" s="111"/>
      <c r="AB458" s="52"/>
      <c r="AD458" s="33" t="s">
        <v>1828</v>
      </c>
      <c r="AE458" s="24"/>
      <c r="AF458" s="23" t="s">
        <v>1893</v>
      </c>
      <c r="AG458" s="23"/>
      <c r="AI458" s="33" t="s">
        <v>1829</v>
      </c>
      <c r="AL458" s="33" t="s">
        <v>31</v>
      </c>
      <c r="AP458" s="112"/>
      <c r="AQ458" s="105"/>
      <c r="AR458" s="106"/>
      <c r="AS458" s="107"/>
      <c r="AT458" s="67"/>
      <c r="AU458" s="68"/>
      <c r="AV458" s="105"/>
      <c r="AW458" s="108"/>
      <c r="AX458" s="109"/>
      <c r="AY458" s="110">
        <v>4</v>
      </c>
      <c r="AZ458" s="67" t="s">
        <v>1111</v>
      </c>
      <c r="BA458" s="68"/>
      <c r="BB458" s="111">
        <v>1</v>
      </c>
      <c r="BF458" s="24"/>
      <c r="BG458" s="23" t="s">
        <v>1830</v>
      </c>
      <c r="BH458" s="23"/>
    </row>
    <row r="459" spans="1:62" s="33" customFormat="1" ht="15" customHeight="1">
      <c r="A459" s="33" t="s">
        <v>1717</v>
      </c>
      <c r="B459" s="33" t="s">
        <v>1967</v>
      </c>
      <c r="C459" s="33" t="s">
        <v>1976</v>
      </c>
      <c r="D459" s="55">
        <v>176</v>
      </c>
      <c r="E459" s="33">
        <v>1</v>
      </c>
      <c r="F459" s="33" t="s">
        <v>1718</v>
      </c>
      <c r="G459" s="33" t="s">
        <v>1829</v>
      </c>
      <c r="J459" s="33" t="s">
        <v>31</v>
      </c>
      <c r="N459" s="104"/>
      <c r="O459" s="105"/>
      <c r="P459" s="106"/>
      <c r="Q459" s="107"/>
      <c r="R459" s="67"/>
      <c r="S459" s="113"/>
      <c r="T459" s="68"/>
      <c r="U459" s="105"/>
      <c r="V459" s="108"/>
      <c r="W459" s="109"/>
      <c r="X459" s="110"/>
      <c r="Y459" s="67"/>
      <c r="Z459" s="68"/>
      <c r="AA459" s="111"/>
      <c r="AB459" s="52"/>
      <c r="AD459" s="33" t="s">
        <v>1828</v>
      </c>
      <c r="AE459" s="24"/>
      <c r="AF459" s="23" t="s">
        <v>1893</v>
      </c>
      <c r="AG459" s="23"/>
      <c r="AI459" s="33" t="s">
        <v>1829</v>
      </c>
      <c r="AL459" s="33" t="s">
        <v>31</v>
      </c>
      <c r="AP459" s="112"/>
      <c r="AQ459" s="105"/>
      <c r="AR459" s="106"/>
      <c r="AS459" s="107"/>
      <c r="AT459" s="67"/>
      <c r="AU459" s="68"/>
      <c r="AV459" s="105"/>
      <c r="AW459" s="108"/>
      <c r="AX459" s="109"/>
      <c r="AY459" s="110">
        <v>2</v>
      </c>
      <c r="AZ459" s="67" t="s">
        <v>1111</v>
      </c>
      <c r="BA459" s="68"/>
      <c r="BB459" s="111">
        <v>1</v>
      </c>
      <c r="BF459" s="24"/>
      <c r="BG459" s="23" t="s">
        <v>1856</v>
      </c>
      <c r="BH459" s="23"/>
    </row>
    <row r="460" spans="1:62" s="33" customFormat="1" ht="15" customHeight="1">
      <c r="A460" s="33" t="s">
        <v>1717</v>
      </c>
      <c r="B460" s="33" t="s">
        <v>1968</v>
      </c>
      <c r="C460" s="33" t="s">
        <v>1976</v>
      </c>
      <c r="D460" s="55">
        <v>177</v>
      </c>
      <c r="E460" s="33">
        <v>1</v>
      </c>
      <c r="F460" s="33" t="s">
        <v>1718</v>
      </c>
      <c r="G460" s="33" t="s">
        <v>1829</v>
      </c>
      <c r="J460" s="33" t="s">
        <v>31</v>
      </c>
      <c r="N460" s="104"/>
      <c r="O460" s="105"/>
      <c r="P460" s="106"/>
      <c r="Q460" s="107"/>
      <c r="R460" s="67"/>
      <c r="S460" s="113"/>
      <c r="T460" s="68"/>
      <c r="U460" s="105"/>
      <c r="V460" s="108"/>
      <c r="W460" s="109"/>
      <c r="X460" s="110"/>
      <c r="Y460" s="67"/>
      <c r="Z460" s="68"/>
      <c r="AA460" s="111"/>
      <c r="AB460" s="52"/>
      <c r="AD460" s="33" t="s">
        <v>1828</v>
      </c>
      <c r="AE460" s="24"/>
      <c r="AF460" s="23" t="s">
        <v>1893</v>
      </c>
      <c r="AG460" s="23"/>
      <c r="AI460" s="33" t="s">
        <v>1829</v>
      </c>
      <c r="AL460" s="33" t="s">
        <v>31</v>
      </c>
      <c r="AP460" s="112"/>
      <c r="AQ460" s="105"/>
      <c r="AR460" s="106"/>
      <c r="AS460" s="107"/>
      <c r="AT460" s="67"/>
      <c r="AU460" s="68"/>
      <c r="AV460" s="105"/>
      <c r="AW460" s="108"/>
      <c r="AX460" s="109"/>
      <c r="AY460" s="110">
        <v>1</v>
      </c>
      <c r="AZ460" s="67" t="s">
        <v>1111</v>
      </c>
      <c r="BA460" s="68"/>
      <c r="BB460" s="111">
        <v>1</v>
      </c>
      <c r="BF460" s="24"/>
      <c r="BG460" s="23" t="s">
        <v>1857</v>
      </c>
      <c r="BH460" s="23"/>
    </row>
    <row r="461" spans="1:62" s="33" customFormat="1" ht="15" customHeight="1">
      <c r="A461" s="33" t="s">
        <v>1717</v>
      </c>
      <c r="B461" s="33" t="s">
        <v>1969</v>
      </c>
      <c r="C461" s="33" t="s">
        <v>1976</v>
      </c>
      <c r="D461" s="55">
        <v>178</v>
      </c>
      <c r="E461" s="33">
        <v>4</v>
      </c>
      <c r="F461" s="33" t="s">
        <v>1718</v>
      </c>
      <c r="G461" s="33" t="s">
        <v>1831</v>
      </c>
      <c r="J461" s="33" t="s">
        <v>28</v>
      </c>
      <c r="K461" s="33" t="s">
        <v>26</v>
      </c>
      <c r="M461" s="33" t="s">
        <v>648</v>
      </c>
      <c r="N461" s="104"/>
      <c r="O461" s="105"/>
      <c r="P461" s="106"/>
      <c r="Q461" s="107"/>
      <c r="R461" s="67"/>
      <c r="S461" s="113"/>
      <c r="T461" s="68"/>
      <c r="U461" s="105"/>
      <c r="V461" s="108"/>
      <c r="W461" s="109"/>
      <c r="X461" s="110"/>
      <c r="Y461" s="67"/>
      <c r="Z461" s="68"/>
      <c r="AA461" s="111"/>
      <c r="AB461" s="52"/>
      <c r="AD461" s="33" t="s">
        <v>284</v>
      </c>
      <c r="AE461" s="24"/>
      <c r="AF461" s="23" t="s">
        <v>1858</v>
      </c>
      <c r="AG461" s="23"/>
      <c r="AP461" s="112"/>
      <c r="AQ461" s="105"/>
      <c r="AR461" s="106"/>
      <c r="AS461" s="107"/>
      <c r="AT461" s="67"/>
      <c r="AU461" s="68"/>
      <c r="AV461" s="105"/>
      <c r="AW461" s="108"/>
      <c r="AX461" s="109"/>
      <c r="AY461" s="110"/>
      <c r="AZ461" s="67"/>
      <c r="BA461" s="68"/>
      <c r="BB461" s="111"/>
      <c r="BF461" s="24"/>
      <c r="BG461" s="23"/>
      <c r="BH461" s="23"/>
    </row>
    <row r="462" spans="1:62" s="33" customFormat="1" ht="15" customHeight="1">
      <c r="A462" s="33" t="s">
        <v>1717</v>
      </c>
      <c r="B462" s="33" t="s">
        <v>1970</v>
      </c>
      <c r="C462" s="33" t="s">
        <v>1976</v>
      </c>
      <c r="D462" s="55">
        <v>179</v>
      </c>
      <c r="E462" s="33">
        <v>3</v>
      </c>
      <c r="F462" s="33" t="s">
        <v>1718</v>
      </c>
      <c r="G462" s="33" t="s">
        <v>1832</v>
      </c>
      <c r="J462" s="33" t="s">
        <v>257</v>
      </c>
      <c r="K462" s="33" t="s">
        <v>26</v>
      </c>
      <c r="N462" s="104">
        <v>0</v>
      </c>
      <c r="O462" s="105"/>
      <c r="P462" s="106"/>
      <c r="Q462" s="107"/>
      <c r="R462" s="67"/>
      <c r="S462" s="113"/>
      <c r="T462" s="68">
        <v>1</v>
      </c>
      <c r="U462" s="105">
        <v>1</v>
      </c>
      <c r="V462" s="108"/>
      <c r="W462" s="109"/>
      <c r="X462" s="110"/>
      <c r="Y462" s="67"/>
      <c r="Z462" s="68"/>
      <c r="AA462" s="111"/>
      <c r="AB462" s="52"/>
      <c r="AD462" s="33" t="s">
        <v>1833</v>
      </c>
      <c r="AE462" s="24" t="s">
        <v>1895</v>
      </c>
      <c r="AF462" s="23" t="s">
        <v>1894</v>
      </c>
      <c r="AG462" s="23"/>
      <c r="AP462" s="112"/>
      <c r="AQ462" s="105"/>
      <c r="AR462" s="106"/>
      <c r="AS462" s="107"/>
      <c r="AT462" s="67"/>
      <c r="AU462" s="68"/>
      <c r="AV462" s="105"/>
      <c r="AW462" s="108"/>
      <c r="AX462" s="109"/>
      <c r="AY462" s="110"/>
      <c r="AZ462" s="67"/>
      <c r="BA462" s="68"/>
      <c r="BB462" s="111"/>
      <c r="BF462" s="24"/>
      <c r="BG462" s="23"/>
      <c r="BH462" s="23"/>
      <c r="BJ462" s="33" t="s">
        <v>1982</v>
      </c>
    </row>
    <row r="463" spans="1:62" s="33" customFormat="1" ht="15" customHeight="1">
      <c r="A463" s="33" t="s">
        <v>1717</v>
      </c>
      <c r="B463" s="33" t="s">
        <v>1971</v>
      </c>
      <c r="C463" s="33" t="s">
        <v>1976</v>
      </c>
      <c r="D463" s="55">
        <v>180</v>
      </c>
      <c r="E463" s="33">
        <v>3</v>
      </c>
      <c r="F463" s="33" t="s">
        <v>1718</v>
      </c>
      <c r="G463" s="33" t="s">
        <v>1834</v>
      </c>
      <c r="J463" s="33" t="s">
        <v>28</v>
      </c>
      <c r="N463" s="104"/>
      <c r="O463" s="105"/>
      <c r="P463" s="106"/>
      <c r="Q463" s="107"/>
      <c r="R463" s="67"/>
      <c r="S463" s="113"/>
      <c r="T463" s="68"/>
      <c r="U463" s="105"/>
      <c r="V463" s="108"/>
      <c r="W463" s="109"/>
      <c r="X463" s="110"/>
      <c r="Y463" s="67"/>
      <c r="Z463" s="68"/>
      <c r="AA463" s="111"/>
      <c r="AB463" s="52"/>
      <c r="AD463" s="33" t="s">
        <v>1663</v>
      </c>
      <c r="AE463" s="24"/>
      <c r="AF463" s="23" t="s">
        <v>1859</v>
      </c>
      <c r="AG463" s="23"/>
      <c r="AP463" s="112"/>
      <c r="AQ463" s="105"/>
      <c r="AR463" s="106"/>
      <c r="AS463" s="107"/>
      <c r="AT463" s="67"/>
      <c r="AU463" s="68"/>
      <c r="AV463" s="105"/>
      <c r="AW463" s="108"/>
      <c r="AX463" s="109"/>
      <c r="AY463" s="110"/>
      <c r="AZ463" s="67"/>
      <c r="BA463" s="68"/>
      <c r="BB463" s="111"/>
      <c r="BF463" s="24"/>
      <c r="BG463" s="23"/>
      <c r="BH463" s="23"/>
    </row>
    <row r="464" spans="1:62" s="33" customFormat="1" ht="15" customHeight="1">
      <c r="A464" s="33" t="s">
        <v>1717</v>
      </c>
      <c r="B464" s="33" t="s">
        <v>1972</v>
      </c>
      <c r="C464" s="33" t="s">
        <v>1976</v>
      </c>
      <c r="D464" s="55">
        <v>181</v>
      </c>
      <c r="E464" s="33">
        <v>3</v>
      </c>
      <c r="F464" s="33" t="s">
        <v>1718</v>
      </c>
      <c r="G464" s="33" t="s">
        <v>1835</v>
      </c>
      <c r="J464" s="33" t="s">
        <v>28</v>
      </c>
      <c r="N464" s="104"/>
      <c r="O464" s="105"/>
      <c r="P464" s="106"/>
      <c r="Q464" s="107"/>
      <c r="R464" s="67"/>
      <c r="S464" s="113"/>
      <c r="T464" s="68"/>
      <c r="U464" s="105"/>
      <c r="V464" s="108"/>
      <c r="W464" s="109"/>
      <c r="X464" s="110"/>
      <c r="Y464" s="67"/>
      <c r="Z464" s="68"/>
      <c r="AA464" s="111"/>
      <c r="AB464" s="52"/>
      <c r="AD464" s="33" t="s">
        <v>479</v>
      </c>
      <c r="AE464" s="24"/>
      <c r="AF464" s="23" t="s">
        <v>1860</v>
      </c>
      <c r="AG464" s="23"/>
      <c r="AP464" s="112"/>
      <c r="AQ464" s="105"/>
      <c r="AR464" s="106"/>
      <c r="AS464" s="107"/>
      <c r="AT464" s="67"/>
      <c r="AU464" s="68"/>
      <c r="AV464" s="105"/>
      <c r="AW464" s="108"/>
      <c r="AX464" s="109"/>
      <c r="AY464" s="110"/>
      <c r="AZ464" s="67"/>
      <c r="BA464" s="68"/>
      <c r="BB464" s="111"/>
      <c r="BF464" s="24"/>
      <c r="BG464" s="23"/>
      <c r="BH464" s="23"/>
    </row>
    <row r="465" spans="1:60" s="33" customFormat="1" ht="15" customHeight="1">
      <c r="A465" s="33" t="s">
        <v>1717</v>
      </c>
      <c r="B465" s="33" t="s">
        <v>1973</v>
      </c>
      <c r="C465" s="33" t="s">
        <v>1976</v>
      </c>
      <c r="D465" s="55">
        <v>182</v>
      </c>
      <c r="E465" s="33">
        <v>2</v>
      </c>
      <c r="F465" s="33" t="s">
        <v>1718</v>
      </c>
      <c r="G465" s="33" t="s">
        <v>1836</v>
      </c>
      <c r="J465" s="33" t="s">
        <v>29</v>
      </c>
      <c r="N465" s="104"/>
      <c r="O465" s="105"/>
      <c r="P465" s="106"/>
      <c r="Q465" s="107">
        <v>3</v>
      </c>
      <c r="R465" s="67">
        <v>2</v>
      </c>
      <c r="S465" s="113"/>
      <c r="T465" s="68">
        <v>3</v>
      </c>
      <c r="U465" s="105"/>
      <c r="V465" s="108">
        <v>1</v>
      </c>
      <c r="W465" s="109">
        <v>1</v>
      </c>
      <c r="X465" s="110"/>
      <c r="Y465" s="67"/>
      <c r="Z465" s="68"/>
      <c r="AA465" s="111"/>
      <c r="AB465" s="52"/>
      <c r="AD465" s="33" t="s">
        <v>1691</v>
      </c>
      <c r="AE465" s="24"/>
      <c r="AF465" s="23" t="s">
        <v>1837</v>
      </c>
      <c r="AG465" s="23"/>
      <c r="AP465" s="112"/>
      <c r="AQ465" s="105"/>
      <c r="AR465" s="106"/>
      <c r="AS465" s="107"/>
      <c r="AT465" s="67"/>
      <c r="AU465" s="68"/>
      <c r="AV465" s="105"/>
      <c r="AW465" s="108"/>
      <c r="AX465" s="109"/>
      <c r="AY465" s="110"/>
      <c r="AZ465" s="67"/>
      <c r="BA465" s="68"/>
      <c r="BB465" s="111"/>
      <c r="BF465" s="24"/>
      <c r="BG465" s="23"/>
      <c r="BH465" s="23"/>
    </row>
    <row r="466" spans="1:60" s="33" customFormat="1" ht="15" customHeight="1">
      <c r="A466" s="33" t="s">
        <v>1717</v>
      </c>
      <c r="B466" s="33" t="s">
        <v>1974</v>
      </c>
      <c r="C466" s="33" t="s">
        <v>1976</v>
      </c>
      <c r="D466" s="55">
        <v>183</v>
      </c>
      <c r="E466" s="33">
        <v>2</v>
      </c>
      <c r="F466" s="33" t="s">
        <v>1718</v>
      </c>
      <c r="G466" s="33" t="s">
        <v>1838</v>
      </c>
      <c r="J466" s="33" t="s">
        <v>29</v>
      </c>
      <c r="N466" s="104"/>
      <c r="O466" s="105"/>
      <c r="P466" s="106"/>
      <c r="Q466" s="107">
        <v>4</v>
      </c>
      <c r="R466" s="67">
        <v>3</v>
      </c>
      <c r="S466" s="113"/>
      <c r="T466" s="68">
        <v>5</v>
      </c>
      <c r="U466" s="105"/>
      <c r="V466" s="108">
        <v>2</v>
      </c>
      <c r="W466" s="109">
        <v>2</v>
      </c>
      <c r="X466" s="110"/>
      <c r="Y466" s="67"/>
      <c r="Z466" s="68"/>
      <c r="AA466" s="111">
        <v>1</v>
      </c>
      <c r="AB466" s="52"/>
      <c r="AD466" s="33" t="s">
        <v>1691</v>
      </c>
      <c r="AE466" s="24"/>
      <c r="AF466" s="23" t="s">
        <v>1861</v>
      </c>
      <c r="AG466" s="23"/>
      <c r="AP466" s="112"/>
      <c r="AQ466" s="105"/>
      <c r="AR466" s="106"/>
      <c r="AS466" s="107"/>
      <c r="AT466" s="67"/>
      <c r="AU466" s="68"/>
      <c r="AV466" s="105"/>
      <c r="AW466" s="108"/>
      <c r="AX466" s="109"/>
      <c r="AY466" s="110"/>
      <c r="AZ466" s="67"/>
      <c r="BA466" s="68"/>
      <c r="BB466" s="111"/>
      <c r="BF466" s="24"/>
      <c r="BG466" s="23"/>
      <c r="BH466" s="23"/>
    </row>
    <row r="467" spans="1:60" ht="15" customHeight="1">
      <c r="A467" s="41" t="s">
        <v>2045</v>
      </c>
      <c r="B467" s="41" t="s">
        <v>2046</v>
      </c>
      <c r="C467" s="41" t="s">
        <v>2087</v>
      </c>
      <c r="D467" s="116">
        <v>184</v>
      </c>
      <c r="E467" s="41">
        <v>2</v>
      </c>
      <c r="F467" s="41"/>
      <c r="G467" s="41" t="s">
        <v>1984</v>
      </c>
      <c r="J467" s="23" t="s">
        <v>27</v>
      </c>
      <c r="K467" s="23" t="s">
        <v>198</v>
      </c>
      <c r="L467" s="23">
        <v>0</v>
      </c>
      <c r="N467" s="62">
        <v>1</v>
      </c>
      <c r="P467" s="64">
        <v>1</v>
      </c>
      <c r="Q467" s="65">
        <v>1</v>
      </c>
      <c r="AB467" s="23" t="s">
        <v>1091</v>
      </c>
      <c r="AD467" s="23" t="s">
        <v>307</v>
      </c>
      <c r="AF467" s="23" t="s">
        <v>1985</v>
      </c>
      <c r="AP467" s="73"/>
      <c r="AQ467" s="75"/>
      <c r="AR467" s="76"/>
      <c r="AS467" s="77"/>
      <c r="AV467" s="75"/>
      <c r="AW467" s="83"/>
      <c r="AX467" s="84"/>
      <c r="AY467" s="80"/>
      <c r="BB467" s="81"/>
    </row>
    <row r="468" spans="1:60" ht="15" customHeight="1">
      <c r="A468" s="23" t="s">
        <v>2045</v>
      </c>
      <c r="B468" s="23" t="s">
        <v>2047</v>
      </c>
      <c r="C468" s="23" t="s">
        <v>2087</v>
      </c>
      <c r="D468" s="24">
        <v>185</v>
      </c>
      <c r="E468" s="23">
        <v>2</v>
      </c>
      <c r="G468" s="23" t="s">
        <v>1986</v>
      </c>
      <c r="J468" s="23" t="s">
        <v>257</v>
      </c>
      <c r="K468" s="23" t="s">
        <v>198</v>
      </c>
      <c r="L468" s="23">
        <v>3</v>
      </c>
      <c r="N468" s="62">
        <v>0</v>
      </c>
      <c r="AD468" s="23" t="s">
        <v>289</v>
      </c>
      <c r="AE468" s="24" t="s">
        <v>1978</v>
      </c>
      <c r="AF468" s="23" t="s">
        <v>2379</v>
      </c>
      <c r="AP468" s="73"/>
      <c r="AQ468" s="75"/>
      <c r="AR468" s="76"/>
      <c r="AS468" s="77"/>
      <c r="AV468" s="75"/>
      <c r="AW468" s="83"/>
      <c r="AX468" s="84"/>
      <c r="AY468" s="80"/>
      <c r="BB468" s="81"/>
    </row>
    <row r="469" spans="1:60" ht="15" customHeight="1">
      <c r="A469" s="23" t="s">
        <v>2045</v>
      </c>
      <c r="B469" s="23" t="s">
        <v>2048</v>
      </c>
      <c r="C469" s="23" t="s">
        <v>2087</v>
      </c>
      <c r="D469" s="24">
        <v>186</v>
      </c>
      <c r="E469" s="23">
        <v>2</v>
      </c>
      <c r="G469" s="23" t="s">
        <v>1987</v>
      </c>
      <c r="J469" s="23" t="s">
        <v>27</v>
      </c>
      <c r="K469" s="23" t="s">
        <v>199</v>
      </c>
      <c r="L469" s="23">
        <v>0</v>
      </c>
      <c r="N469" s="62">
        <v>2</v>
      </c>
      <c r="O469" s="63">
        <v>1</v>
      </c>
      <c r="P469" s="64">
        <v>1</v>
      </c>
      <c r="AB469" s="23" t="s">
        <v>1092</v>
      </c>
      <c r="AD469" s="23" t="s">
        <v>340</v>
      </c>
      <c r="AF469" s="23" t="s">
        <v>2089</v>
      </c>
      <c r="AP469" s="73"/>
      <c r="AQ469" s="75"/>
      <c r="AR469" s="76"/>
      <c r="AS469" s="77"/>
      <c r="AV469" s="75"/>
      <c r="AW469" s="83"/>
      <c r="AX469" s="84"/>
      <c r="AY469" s="80"/>
      <c r="BB469" s="81"/>
    </row>
    <row r="470" spans="1:60" ht="15" customHeight="1">
      <c r="A470" s="23" t="s">
        <v>2045</v>
      </c>
      <c r="B470" s="23" t="s">
        <v>2049</v>
      </c>
      <c r="C470" s="23" t="s">
        <v>2087</v>
      </c>
      <c r="D470" s="24">
        <v>187</v>
      </c>
      <c r="E470" s="23">
        <v>2</v>
      </c>
      <c r="G470" s="23" t="s">
        <v>1988</v>
      </c>
      <c r="J470" s="23" t="s">
        <v>257</v>
      </c>
      <c r="K470" s="23" t="s">
        <v>199</v>
      </c>
      <c r="L470" s="23">
        <v>3</v>
      </c>
      <c r="N470" s="62">
        <v>0</v>
      </c>
      <c r="AD470" s="23" t="s">
        <v>289</v>
      </c>
      <c r="AE470" s="24" t="s">
        <v>1978</v>
      </c>
      <c r="AF470" s="23" t="s">
        <v>2380</v>
      </c>
      <c r="AP470" s="73"/>
      <c r="AQ470" s="75"/>
      <c r="AR470" s="76"/>
      <c r="AS470" s="77"/>
      <c r="AV470" s="75"/>
      <c r="AW470" s="83"/>
      <c r="AX470" s="84"/>
      <c r="AY470" s="80"/>
      <c r="BB470" s="81"/>
    </row>
    <row r="471" spans="1:60" ht="15" customHeight="1">
      <c r="A471" s="23" t="s">
        <v>2045</v>
      </c>
      <c r="B471" s="23" t="s">
        <v>2050</v>
      </c>
      <c r="C471" s="23" t="s">
        <v>2087</v>
      </c>
      <c r="D471" s="24">
        <v>188</v>
      </c>
      <c r="E471" s="23">
        <v>2</v>
      </c>
      <c r="G471" s="23" t="s">
        <v>1989</v>
      </c>
      <c r="J471" s="23" t="s">
        <v>257</v>
      </c>
      <c r="K471" s="23" t="s">
        <v>201</v>
      </c>
      <c r="L471" s="23">
        <v>0</v>
      </c>
      <c r="N471" s="62">
        <v>1</v>
      </c>
      <c r="R471" s="66">
        <v>1</v>
      </c>
      <c r="AB471" s="23" t="s">
        <v>207</v>
      </c>
      <c r="AD471" s="23" t="s">
        <v>289</v>
      </c>
      <c r="AF471" s="23" t="s">
        <v>2090</v>
      </c>
      <c r="AP471" s="73"/>
      <c r="AQ471" s="75"/>
      <c r="AR471" s="76"/>
      <c r="AS471" s="77"/>
      <c r="AV471" s="75"/>
      <c r="AW471" s="83"/>
      <c r="AX471" s="84"/>
      <c r="AY471" s="80"/>
      <c r="BB471" s="81"/>
    </row>
    <row r="472" spans="1:60" ht="15" customHeight="1">
      <c r="A472" s="23" t="s">
        <v>2045</v>
      </c>
      <c r="B472" s="23" t="s">
        <v>2051</v>
      </c>
      <c r="C472" s="23" t="s">
        <v>2087</v>
      </c>
      <c r="D472" s="24">
        <v>189</v>
      </c>
      <c r="E472" s="23">
        <v>2</v>
      </c>
      <c r="G472" s="23" t="s">
        <v>1990</v>
      </c>
      <c r="J472" s="23" t="s">
        <v>257</v>
      </c>
      <c r="K472" s="23" t="s">
        <v>201</v>
      </c>
      <c r="L472" s="23">
        <v>3</v>
      </c>
      <c r="N472" s="62">
        <v>0</v>
      </c>
      <c r="AD472" s="23" t="s">
        <v>289</v>
      </c>
      <c r="AE472" s="24" t="s">
        <v>1978</v>
      </c>
      <c r="AF472" s="23" t="s">
        <v>2381</v>
      </c>
      <c r="AP472" s="73"/>
      <c r="AQ472" s="75"/>
      <c r="AR472" s="76"/>
      <c r="AS472" s="77"/>
      <c r="AV472" s="75"/>
      <c r="AW472" s="83"/>
      <c r="AX472" s="84"/>
      <c r="AY472" s="80"/>
      <c r="BB472" s="81"/>
    </row>
    <row r="473" spans="1:60" ht="15" customHeight="1">
      <c r="A473" s="23" t="s">
        <v>2045</v>
      </c>
      <c r="B473" s="23" t="s">
        <v>2052</v>
      </c>
      <c r="C473" s="23" t="s">
        <v>2087</v>
      </c>
      <c r="D473" s="24">
        <v>190</v>
      </c>
      <c r="E473" s="23">
        <v>2</v>
      </c>
      <c r="G473" s="23" t="s">
        <v>1991</v>
      </c>
      <c r="J473" s="23" t="s">
        <v>312</v>
      </c>
      <c r="K473" s="23" t="s">
        <v>200</v>
      </c>
      <c r="L473" s="23">
        <v>0</v>
      </c>
      <c r="S473" s="113">
        <v>1</v>
      </c>
      <c r="AB473" s="23" t="s">
        <v>208</v>
      </c>
      <c r="AD473" s="23" t="s">
        <v>412</v>
      </c>
      <c r="AF473" s="23" t="s">
        <v>1992</v>
      </c>
      <c r="AP473" s="73"/>
      <c r="AQ473" s="75"/>
      <c r="AR473" s="76"/>
      <c r="AS473" s="77"/>
      <c r="AV473" s="75"/>
      <c r="AW473" s="83"/>
      <c r="AX473" s="84"/>
      <c r="AY473" s="80"/>
      <c r="BB473" s="81"/>
    </row>
    <row r="474" spans="1:60" ht="15" customHeight="1">
      <c r="A474" s="23" t="s">
        <v>2045</v>
      </c>
      <c r="B474" s="23" t="s">
        <v>2053</v>
      </c>
      <c r="C474" s="23" t="s">
        <v>2087</v>
      </c>
      <c r="D474" s="24">
        <v>191</v>
      </c>
      <c r="E474" s="23">
        <v>2</v>
      </c>
      <c r="G474" s="23" t="s">
        <v>1993</v>
      </c>
      <c r="J474" s="23" t="s">
        <v>257</v>
      </c>
      <c r="K474" s="23" t="s">
        <v>200</v>
      </c>
      <c r="L474" s="23">
        <v>3</v>
      </c>
      <c r="N474" s="62">
        <v>0</v>
      </c>
      <c r="AD474" s="23" t="s">
        <v>1994</v>
      </c>
      <c r="AE474" s="24" t="s">
        <v>1978</v>
      </c>
      <c r="AF474" s="23" t="s">
        <v>2382</v>
      </c>
      <c r="AP474" s="73"/>
      <c r="AQ474" s="75"/>
      <c r="AR474" s="76"/>
      <c r="AS474" s="77"/>
      <c r="AV474" s="75"/>
      <c r="AW474" s="83"/>
      <c r="AX474" s="84"/>
      <c r="AY474" s="80"/>
      <c r="BB474" s="81"/>
    </row>
    <row r="475" spans="1:60" ht="15" customHeight="1">
      <c r="A475" s="23" t="s">
        <v>2045</v>
      </c>
      <c r="B475" s="23" t="s">
        <v>2054</v>
      </c>
      <c r="C475" s="23" t="s">
        <v>2087</v>
      </c>
      <c r="D475" s="24">
        <v>192</v>
      </c>
      <c r="E475" s="23">
        <v>2</v>
      </c>
      <c r="G475" s="23" t="s">
        <v>1995</v>
      </c>
      <c r="J475" s="23" t="s">
        <v>312</v>
      </c>
      <c r="K475" s="23" t="s">
        <v>202</v>
      </c>
      <c r="L475" s="23">
        <v>0</v>
      </c>
      <c r="S475" s="113">
        <v>3</v>
      </c>
      <c r="AB475" s="23" t="s">
        <v>1996</v>
      </c>
      <c r="AD475" s="23" t="s">
        <v>412</v>
      </c>
      <c r="AF475" s="23" t="s">
        <v>1997</v>
      </c>
      <c r="AP475" s="73"/>
      <c r="AQ475" s="75"/>
      <c r="AR475" s="76"/>
      <c r="AS475" s="77"/>
      <c r="AV475" s="75"/>
      <c r="AW475" s="83"/>
      <c r="AX475" s="84"/>
      <c r="AY475" s="80"/>
      <c r="BB475" s="81"/>
    </row>
    <row r="476" spans="1:60" ht="15" customHeight="1">
      <c r="A476" s="23" t="s">
        <v>2045</v>
      </c>
      <c r="B476" s="23" t="s">
        <v>2055</v>
      </c>
      <c r="C476" s="23" t="s">
        <v>2087</v>
      </c>
      <c r="D476" s="24">
        <v>193</v>
      </c>
      <c r="E476" s="23">
        <v>2</v>
      </c>
      <c r="G476" s="23" t="s">
        <v>1998</v>
      </c>
      <c r="J476" s="23" t="s">
        <v>257</v>
      </c>
      <c r="K476" s="23" t="s">
        <v>202</v>
      </c>
      <c r="L476" s="23">
        <v>3</v>
      </c>
      <c r="N476" s="62">
        <v>0</v>
      </c>
      <c r="AD476" s="23" t="s">
        <v>289</v>
      </c>
      <c r="AE476" s="24" t="s">
        <v>1978</v>
      </c>
      <c r="AF476" s="23" t="s">
        <v>2383</v>
      </c>
      <c r="AP476" s="73"/>
      <c r="AQ476" s="75"/>
      <c r="AR476" s="76"/>
      <c r="AS476" s="77"/>
      <c r="AV476" s="75"/>
      <c r="AW476" s="83"/>
      <c r="AX476" s="84"/>
      <c r="AY476" s="80"/>
      <c r="BB476" s="81"/>
    </row>
    <row r="477" spans="1:60" ht="15" customHeight="1">
      <c r="A477" s="23" t="s">
        <v>2045</v>
      </c>
      <c r="B477" s="23" t="s">
        <v>2056</v>
      </c>
      <c r="C477" s="23" t="s">
        <v>2087</v>
      </c>
      <c r="D477" s="24">
        <v>194</v>
      </c>
      <c r="E477" s="23">
        <v>2</v>
      </c>
      <c r="G477" s="23" t="s">
        <v>423</v>
      </c>
      <c r="J477" s="23" t="s">
        <v>27</v>
      </c>
      <c r="K477" s="23" t="s">
        <v>26</v>
      </c>
      <c r="L477" s="23">
        <v>2</v>
      </c>
      <c r="N477" s="62">
        <v>0</v>
      </c>
      <c r="AD477" s="23" t="s">
        <v>316</v>
      </c>
      <c r="AF477" s="23" t="s">
        <v>1999</v>
      </c>
      <c r="AP477" s="73"/>
      <c r="AQ477" s="75"/>
      <c r="AR477" s="76"/>
      <c r="AS477" s="77"/>
      <c r="AV477" s="75"/>
      <c r="AW477" s="83"/>
      <c r="AX477" s="84"/>
      <c r="AY477" s="80"/>
      <c r="BB477" s="81"/>
    </row>
    <row r="478" spans="1:60" ht="15" customHeight="1">
      <c r="A478" s="23" t="s">
        <v>2045</v>
      </c>
      <c r="B478" s="23" t="s">
        <v>2057</v>
      </c>
      <c r="C478" s="23" t="s">
        <v>2087</v>
      </c>
      <c r="D478" s="24">
        <v>195</v>
      </c>
      <c r="E478" s="23">
        <v>1</v>
      </c>
      <c r="F478" s="23" t="s">
        <v>1983</v>
      </c>
      <c r="G478" s="23" t="s">
        <v>1983</v>
      </c>
      <c r="H478" s="23" t="s">
        <v>709</v>
      </c>
      <c r="J478" s="23" t="s">
        <v>618</v>
      </c>
      <c r="AF478" s="23" t="s">
        <v>2091</v>
      </c>
      <c r="AI478" s="23" t="s">
        <v>1983</v>
      </c>
      <c r="AJ478" s="23" t="s">
        <v>710</v>
      </c>
      <c r="AL478" s="23" t="s">
        <v>618</v>
      </c>
      <c r="AP478" s="73"/>
      <c r="AQ478" s="75"/>
      <c r="AR478" s="76"/>
      <c r="AS478" s="77"/>
      <c r="AV478" s="75"/>
      <c r="AW478" s="83"/>
      <c r="AX478" s="84"/>
      <c r="AY478" s="80"/>
      <c r="BB478" s="81"/>
      <c r="BG478" s="23" t="s">
        <v>2099</v>
      </c>
    </row>
    <row r="479" spans="1:60" ht="15" customHeight="1">
      <c r="A479" s="23" t="s">
        <v>2045</v>
      </c>
      <c r="B479" s="23" t="s">
        <v>2058</v>
      </c>
      <c r="C479" s="23" t="s">
        <v>2087</v>
      </c>
      <c r="D479" s="24">
        <v>196</v>
      </c>
      <c r="E479" s="23">
        <v>1</v>
      </c>
      <c r="F479" s="23" t="s">
        <v>1983</v>
      </c>
      <c r="G479" s="23" t="s">
        <v>2000</v>
      </c>
      <c r="J479" s="23" t="s">
        <v>619</v>
      </c>
      <c r="L479" s="23">
        <v>1</v>
      </c>
      <c r="Z479" s="68">
        <v>6</v>
      </c>
      <c r="AI479" s="23" t="s">
        <v>2000</v>
      </c>
      <c r="AL479" s="23" t="s">
        <v>619</v>
      </c>
      <c r="AN479" s="23">
        <v>1</v>
      </c>
      <c r="AP479" s="73"/>
      <c r="AQ479" s="75"/>
      <c r="AR479" s="76"/>
      <c r="AS479" s="77"/>
      <c r="AV479" s="75"/>
      <c r="AW479" s="83"/>
      <c r="AX479" s="84"/>
      <c r="AY479" s="80"/>
      <c r="BB479" s="81"/>
      <c r="BG479" s="23" t="s">
        <v>2001</v>
      </c>
    </row>
    <row r="480" spans="1:60" ht="15" customHeight="1">
      <c r="A480" s="23" t="s">
        <v>2045</v>
      </c>
      <c r="B480" s="23" t="s">
        <v>2059</v>
      </c>
      <c r="C480" s="23" t="s">
        <v>2087</v>
      </c>
      <c r="D480" s="24">
        <v>197</v>
      </c>
      <c r="E480" s="23">
        <v>1</v>
      </c>
      <c r="F480" s="23" t="s">
        <v>1983</v>
      </c>
      <c r="G480" s="23" t="s">
        <v>2002</v>
      </c>
      <c r="J480" s="23" t="s">
        <v>619</v>
      </c>
      <c r="L480" s="23">
        <v>2</v>
      </c>
      <c r="Z480" s="68">
        <v>6</v>
      </c>
      <c r="AI480" s="23" t="s">
        <v>2002</v>
      </c>
      <c r="AL480" s="23" t="s">
        <v>619</v>
      </c>
      <c r="AN480" s="23">
        <v>2</v>
      </c>
      <c r="AP480" s="73"/>
      <c r="AQ480" s="75"/>
      <c r="AR480" s="76"/>
      <c r="AS480" s="77"/>
      <c r="AV480" s="75"/>
      <c r="AW480" s="83"/>
      <c r="AX480" s="84"/>
      <c r="AY480" s="80"/>
      <c r="BB480" s="81"/>
      <c r="BG480" s="23" t="s">
        <v>2003</v>
      </c>
    </row>
    <row r="481" spans="1:59" ht="15" customHeight="1">
      <c r="A481" s="23" t="s">
        <v>2045</v>
      </c>
      <c r="B481" s="23" t="s">
        <v>2060</v>
      </c>
      <c r="C481" s="23" t="s">
        <v>2087</v>
      </c>
      <c r="D481" s="24">
        <v>198</v>
      </c>
      <c r="E481" s="23">
        <v>1</v>
      </c>
      <c r="F481" s="23" t="s">
        <v>1983</v>
      </c>
      <c r="G481" s="23" t="s">
        <v>2004</v>
      </c>
      <c r="J481" s="23" t="s">
        <v>619</v>
      </c>
      <c r="L481" s="23">
        <v>3</v>
      </c>
      <c r="Z481" s="68">
        <v>7</v>
      </c>
      <c r="AI481" s="23" t="s">
        <v>2004</v>
      </c>
      <c r="AL481" s="23" t="s">
        <v>619</v>
      </c>
      <c r="AN481" s="23">
        <v>3</v>
      </c>
      <c r="AP481" s="73"/>
      <c r="AQ481" s="75"/>
      <c r="AR481" s="76"/>
      <c r="AS481" s="77"/>
      <c r="AV481" s="75"/>
      <c r="AW481" s="83"/>
      <c r="AX481" s="84"/>
      <c r="AY481" s="80"/>
      <c r="BB481" s="81"/>
      <c r="BG481" s="23" t="s">
        <v>2005</v>
      </c>
    </row>
    <row r="482" spans="1:59" ht="15" customHeight="1">
      <c r="A482" s="23" t="s">
        <v>2045</v>
      </c>
      <c r="B482" s="23" t="s">
        <v>2061</v>
      </c>
      <c r="C482" s="23" t="s">
        <v>2087</v>
      </c>
      <c r="D482" s="24">
        <v>199</v>
      </c>
      <c r="E482" s="23">
        <v>1</v>
      </c>
      <c r="F482" s="23" t="s">
        <v>1983</v>
      </c>
      <c r="G482" s="23" t="s">
        <v>2006</v>
      </c>
      <c r="J482" s="23" t="s">
        <v>621</v>
      </c>
      <c r="L482" s="23">
        <v>1</v>
      </c>
      <c r="Y482" s="66" t="s">
        <v>38</v>
      </c>
      <c r="AF482" s="23" t="s">
        <v>2007</v>
      </c>
      <c r="AI482" s="23" t="s">
        <v>2006</v>
      </c>
      <c r="AL482" s="23" t="s">
        <v>621</v>
      </c>
      <c r="AN482" s="23">
        <v>1</v>
      </c>
      <c r="AP482" s="73"/>
      <c r="AQ482" s="75"/>
      <c r="AR482" s="76"/>
      <c r="AS482" s="77"/>
      <c r="AV482" s="75"/>
      <c r="AW482" s="83"/>
      <c r="AX482" s="84"/>
      <c r="AY482" s="80"/>
      <c r="BB482" s="81"/>
      <c r="BG482" s="23" t="s">
        <v>2100</v>
      </c>
    </row>
    <row r="483" spans="1:59" ht="15" customHeight="1">
      <c r="A483" s="23" t="s">
        <v>2045</v>
      </c>
      <c r="B483" s="23" t="s">
        <v>2062</v>
      </c>
      <c r="C483" s="23" t="s">
        <v>2087</v>
      </c>
      <c r="D483" s="24">
        <v>200</v>
      </c>
      <c r="E483" s="23">
        <v>1</v>
      </c>
      <c r="F483" s="23" t="s">
        <v>1983</v>
      </c>
      <c r="G483" s="23" t="s">
        <v>2008</v>
      </c>
      <c r="J483" s="23" t="s">
        <v>621</v>
      </c>
      <c r="L483" s="23">
        <v>2</v>
      </c>
      <c r="Y483" s="66" t="s">
        <v>38</v>
      </c>
      <c r="AF483" s="23" t="s">
        <v>2092</v>
      </c>
      <c r="AI483" s="23" t="s">
        <v>2008</v>
      </c>
      <c r="AL483" s="23" t="s">
        <v>621</v>
      </c>
      <c r="AN483" s="23">
        <v>2</v>
      </c>
      <c r="AP483" s="73"/>
      <c r="AQ483" s="75"/>
      <c r="AR483" s="76"/>
      <c r="AS483" s="77"/>
      <c r="AV483" s="75"/>
      <c r="AW483" s="83"/>
      <c r="AX483" s="84"/>
      <c r="AY483" s="80"/>
      <c r="BB483" s="81"/>
      <c r="BG483" s="23" t="s">
        <v>2101</v>
      </c>
    </row>
    <row r="484" spans="1:59" ht="15" customHeight="1">
      <c r="A484" s="23" t="s">
        <v>2045</v>
      </c>
      <c r="B484" s="23" t="s">
        <v>2063</v>
      </c>
      <c r="C484" s="23" t="s">
        <v>2087</v>
      </c>
      <c r="D484" s="24">
        <v>201</v>
      </c>
      <c r="E484" s="23">
        <v>1</v>
      </c>
      <c r="F484" s="23" t="s">
        <v>1983</v>
      </c>
      <c r="G484" s="23" t="s">
        <v>2009</v>
      </c>
      <c r="J484" s="23" t="s">
        <v>31</v>
      </c>
      <c r="AD484" s="23" t="s">
        <v>2010</v>
      </c>
      <c r="AI484" s="23" t="s">
        <v>2009</v>
      </c>
      <c r="AL484" s="23" t="s">
        <v>31</v>
      </c>
      <c r="AP484" s="73"/>
      <c r="AQ484" s="75"/>
      <c r="AR484" s="76"/>
      <c r="AS484" s="77"/>
      <c r="AV484" s="75"/>
      <c r="AW484" s="83"/>
      <c r="AX484" s="84"/>
      <c r="AY484" s="80"/>
      <c r="BB484" s="81"/>
      <c r="BE484" s="23" t="s">
        <v>2010</v>
      </c>
      <c r="BG484" s="23" t="s">
        <v>2011</v>
      </c>
    </row>
    <row r="485" spans="1:59" ht="15" customHeight="1">
      <c r="A485" s="23" t="s">
        <v>2045</v>
      </c>
      <c r="B485" s="23" t="s">
        <v>2064</v>
      </c>
      <c r="C485" s="23" t="s">
        <v>2087</v>
      </c>
      <c r="D485" s="24">
        <v>202</v>
      </c>
      <c r="E485" s="23">
        <v>1</v>
      </c>
      <c r="F485" s="23" t="s">
        <v>1983</v>
      </c>
      <c r="G485" s="23" t="s">
        <v>2012</v>
      </c>
      <c r="J485" s="23" t="s">
        <v>31</v>
      </c>
      <c r="AD485" s="23" t="s">
        <v>2013</v>
      </c>
      <c r="AI485" s="23" t="s">
        <v>2012</v>
      </c>
      <c r="AL485" s="23" t="s">
        <v>31</v>
      </c>
      <c r="AP485" s="73"/>
      <c r="AQ485" s="75"/>
      <c r="AR485" s="76"/>
      <c r="AS485" s="77"/>
      <c r="AV485" s="75"/>
      <c r="AW485" s="83"/>
      <c r="AX485" s="84"/>
      <c r="AY485" s="80">
        <v>3</v>
      </c>
      <c r="AZ485" s="66">
        <v>2</v>
      </c>
      <c r="BB485" s="81"/>
      <c r="BE485" s="23" t="s">
        <v>2013</v>
      </c>
      <c r="BG485" s="23" t="s">
        <v>2102</v>
      </c>
    </row>
    <row r="486" spans="1:59" ht="15" customHeight="1">
      <c r="A486" s="23" t="s">
        <v>2045</v>
      </c>
      <c r="B486" s="23" t="s">
        <v>2065</v>
      </c>
      <c r="C486" s="23" t="s">
        <v>2087</v>
      </c>
      <c r="D486" s="24">
        <v>203</v>
      </c>
      <c r="E486" s="23">
        <v>1</v>
      </c>
      <c r="F486" s="23" t="s">
        <v>1983</v>
      </c>
      <c r="G486" s="23" t="s">
        <v>2012</v>
      </c>
      <c r="J486" s="23" t="s">
        <v>31</v>
      </c>
      <c r="AD486" s="23" t="s">
        <v>2013</v>
      </c>
      <c r="AI486" s="23" t="s">
        <v>2012</v>
      </c>
      <c r="AL486" s="23" t="s">
        <v>31</v>
      </c>
      <c r="AP486" s="73"/>
      <c r="AQ486" s="75"/>
      <c r="AR486" s="76"/>
      <c r="AS486" s="77"/>
      <c r="AV486" s="75"/>
      <c r="AW486" s="83"/>
      <c r="AX486" s="84"/>
      <c r="AY486" s="80">
        <v>3</v>
      </c>
      <c r="AZ486" s="66">
        <v>2</v>
      </c>
      <c r="BB486" s="81"/>
      <c r="BE486" s="23" t="s">
        <v>2013</v>
      </c>
      <c r="BG486" s="23" t="s">
        <v>2103</v>
      </c>
    </row>
    <row r="487" spans="1:59" ht="15" customHeight="1">
      <c r="A487" s="23" t="s">
        <v>2045</v>
      </c>
      <c r="B487" s="23" t="s">
        <v>2066</v>
      </c>
      <c r="C487" s="23" t="s">
        <v>2087</v>
      </c>
      <c r="D487" s="24">
        <v>204</v>
      </c>
      <c r="E487" s="23">
        <v>1</v>
      </c>
      <c r="F487" s="23" t="s">
        <v>1983</v>
      </c>
      <c r="G487" s="23" t="s">
        <v>2014</v>
      </c>
      <c r="J487" s="23" t="s">
        <v>31</v>
      </c>
      <c r="AD487" s="23" t="s">
        <v>2013</v>
      </c>
      <c r="AI487" s="23" t="s">
        <v>2014</v>
      </c>
      <c r="AL487" s="23" t="s">
        <v>31</v>
      </c>
      <c r="AP487" s="73"/>
      <c r="AQ487" s="75"/>
      <c r="AR487" s="76"/>
      <c r="AS487" s="77"/>
      <c r="AV487" s="75"/>
      <c r="AW487" s="83"/>
      <c r="AX487" s="84"/>
      <c r="AY487" s="80">
        <v>3</v>
      </c>
      <c r="AZ487" s="66">
        <v>3</v>
      </c>
      <c r="BB487" s="81"/>
      <c r="BE487" s="23" t="s">
        <v>2013</v>
      </c>
      <c r="BG487" s="23" t="s">
        <v>2104</v>
      </c>
    </row>
    <row r="488" spans="1:59" ht="15" customHeight="1">
      <c r="A488" s="23" t="s">
        <v>2045</v>
      </c>
      <c r="B488" s="23" t="s">
        <v>2067</v>
      </c>
      <c r="C488" s="23" t="s">
        <v>2087</v>
      </c>
      <c r="D488" s="24">
        <v>205</v>
      </c>
      <c r="E488" s="23">
        <v>1</v>
      </c>
      <c r="F488" s="23" t="s">
        <v>1983</v>
      </c>
      <c r="G488" s="23" t="s">
        <v>2014</v>
      </c>
      <c r="J488" s="23" t="s">
        <v>31</v>
      </c>
      <c r="AD488" s="23" t="s">
        <v>2013</v>
      </c>
      <c r="AI488" s="23" t="s">
        <v>2014</v>
      </c>
      <c r="AL488" s="23" t="s">
        <v>31</v>
      </c>
      <c r="AP488" s="73"/>
      <c r="AQ488" s="75"/>
      <c r="AR488" s="76"/>
      <c r="AS488" s="77"/>
      <c r="AV488" s="75"/>
      <c r="AW488" s="83"/>
      <c r="AX488" s="84"/>
      <c r="AY488" s="80">
        <v>2</v>
      </c>
      <c r="AZ488" s="66">
        <v>3</v>
      </c>
      <c r="BB488" s="81"/>
      <c r="BE488" s="23" t="s">
        <v>2013</v>
      </c>
      <c r="BG488" s="23" t="s">
        <v>2105</v>
      </c>
    </row>
    <row r="489" spans="1:59" ht="15" customHeight="1">
      <c r="A489" s="23" t="s">
        <v>2045</v>
      </c>
      <c r="B489" s="23" t="s">
        <v>2068</v>
      </c>
      <c r="C489" s="23" t="s">
        <v>2087</v>
      </c>
      <c r="D489" s="24">
        <v>206</v>
      </c>
      <c r="E489" s="23">
        <v>1</v>
      </c>
      <c r="F489" s="23" t="s">
        <v>1983</v>
      </c>
      <c r="G489" s="23" t="s">
        <v>2015</v>
      </c>
      <c r="J489" s="23" t="s">
        <v>31</v>
      </c>
      <c r="AD489" s="23" t="s">
        <v>2013</v>
      </c>
      <c r="AI489" s="23" t="s">
        <v>2015</v>
      </c>
      <c r="AL489" s="23" t="s">
        <v>31</v>
      </c>
      <c r="AP489" s="73"/>
      <c r="AQ489" s="75"/>
      <c r="AR489" s="76"/>
      <c r="AS489" s="77"/>
      <c r="AV489" s="75"/>
      <c r="AW489" s="83"/>
      <c r="AX489" s="84"/>
      <c r="AY489" s="80">
        <v>2</v>
      </c>
      <c r="AZ489" s="66" t="s">
        <v>1073</v>
      </c>
      <c r="BB489" s="81"/>
      <c r="BE489" s="23" t="s">
        <v>2013</v>
      </c>
      <c r="BG489" s="23" t="s">
        <v>2106</v>
      </c>
    </row>
    <row r="490" spans="1:59" ht="15" customHeight="1">
      <c r="A490" s="23" t="s">
        <v>2045</v>
      </c>
      <c r="B490" s="23" t="s">
        <v>2069</v>
      </c>
      <c r="C490" s="23" t="s">
        <v>2087</v>
      </c>
      <c r="D490" s="24">
        <v>207</v>
      </c>
      <c r="E490" s="23">
        <v>1</v>
      </c>
      <c r="F490" s="23" t="s">
        <v>1983</v>
      </c>
      <c r="G490" s="23" t="s">
        <v>2015</v>
      </c>
      <c r="J490" s="23" t="s">
        <v>31</v>
      </c>
      <c r="AD490" s="23" t="s">
        <v>2013</v>
      </c>
      <c r="AI490" s="23" t="s">
        <v>2015</v>
      </c>
      <c r="AL490" s="23" t="s">
        <v>31</v>
      </c>
      <c r="AP490" s="73"/>
      <c r="AQ490" s="75"/>
      <c r="AR490" s="76"/>
      <c r="AS490" s="77"/>
      <c r="AV490" s="75"/>
      <c r="AW490" s="83"/>
      <c r="AX490" s="84"/>
      <c r="AY490" s="80">
        <v>3</v>
      </c>
      <c r="AZ490" s="66" t="s">
        <v>1073</v>
      </c>
      <c r="BB490" s="81"/>
      <c r="BE490" s="23" t="s">
        <v>2013</v>
      </c>
      <c r="BG490" s="23" t="s">
        <v>2107</v>
      </c>
    </row>
    <row r="491" spans="1:59" ht="15" customHeight="1">
      <c r="A491" s="23" t="s">
        <v>2045</v>
      </c>
      <c r="B491" s="23" t="s">
        <v>2070</v>
      </c>
      <c r="C491" s="23" t="s">
        <v>2087</v>
      </c>
      <c r="D491" s="24">
        <v>208</v>
      </c>
      <c r="E491" s="23">
        <v>1</v>
      </c>
      <c r="F491" s="23" t="s">
        <v>1983</v>
      </c>
      <c r="G491" s="23" t="s">
        <v>2016</v>
      </c>
      <c r="J491" s="23" t="s">
        <v>31</v>
      </c>
      <c r="AD491" s="23" t="s">
        <v>2013</v>
      </c>
      <c r="AI491" s="23" t="s">
        <v>2016</v>
      </c>
      <c r="AL491" s="23" t="s">
        <v>31</v>
      </c>
      <c r="AP491" s="73"/>
      <c r="AQ491" s="75"/>
      <c r="AR491" s="76"/>
      <c r="AS491" s="77"/>
      <c r="AV491" s="75"/>
      <c r="AW491" s="83"/>
      <c r="AX491" s="84"/>
      <c r="AY491" s="80">
        <v>1</v>
      </c>
      <c r="AZ491" s="66" t="s">
        <v>1073</v>
      </c>
      <c r="BB491" s="81"/>
      <c r="BE491" s="23" t="s">
        <v>2013</v>
      </c>
      <c r="BG491" s="23" t="s">
        <v>2108</v>
      </c>
    </row>
    <row r="492" spans="1:59" ht="15" customHeight="1">
      <c r="A492" s="23" t="s">
        <v>2045</v>
      </c>
      <c r="B492" s="23" t="s">
        <v>2071</v>
      </c>
      <c r="C492" s="23" t="s">
        <v>2087</v>
      </c>
      <c r="D492" s="24">
        <v>209</v>
      </c>
      <c r="E492" s="23">
        <v>1</v>
      </c>
      <c r="F492" s="23" t="s">
        <v>1983</v>
      </c>
      <c r="G492" s="23" t="s">
        <v>2016</v>
      </c>
      <c r="J492" s="23" t="s">
        <v>31</v>
      </c>
      <c r="AD492" s="23" t="s">
        <v>2013</v>
      </c>
      <c r="AI492" s="23" t="s">
        <v>2016</v>
      </c>
      <c r="AL492" s="23" t="s">
        <v>31</v>
      </c>
      <c r="AP492" s="73"/>
      <c r="AQ492" s="75"/>
      <c r="AR492" s="76"/>
      <c r="AS492" s="77"/>
      <c r="AV492" s="75"/>
      <c r="AW492" s="83"/>
      <c r="AX492" s="84"/>
      <c r="AY492" s="80">
        <v>2</v>
      </c>
      <c r="AZ492" s="66" t="s">
        <v>1073</v>
      </c>
      <c r="BB492" s="81"/>
      <c r="BE492" s="23" t="s">
        <v>2013</v>
      </c>
      <c r="BG492" s="23" t="s">
        <v>2109</v>
      </c>
    </row>
    <row r="493" spans="1:59" ht="15" customHeight="1">
      <c r="A493" s="23" t="s">
        <v>2045</v>
      </c>
      <c r="B493" s="23" t="s">
        <v>2072</v>
      </c>
      <c r="C493" s="23" t="s">
        <v>2087</v>
      </c>
      <c r="D493" s="24">
        <v>210</v>
      </c>
      <c r="E493" s="23">
        <v>1</v>
      </c>
      <c r="F493" s="23" t="s">
        <v>1983</v>
      </c>
      <c r="G493" s="23" t="s">
        <v>2017</v>
      </c>
      <c r="J493" s="23" t="s">
        <v>31</v>
      </c>
      <c r="AD493" s="23" t="s">
        <v>2013</v>
      </c>
      <c r="AI493" s="23" t="s">
        <v>2017</v>
      </c>
      <c r="AL493" s="23" t="s">
        <v>31</v>
      </c>
      <c r="AP493" s="73"/>
      <c r="AQ493" s="75"/>
      <c r="AR493" s="76"/>
      <c r="AS493" s="77"/>
      <c r="AV493" s="75"/>
      <c r="AW493" s="83"/>
      <c r="AX493" s="84"/>
      <c r="AY493" s="80">
        <v>2</v>
      </c>
      <c r="AZ493" s="66" t="s">
        <v>1073</v>
      </c>
      <c r="BB493" s="81"/>
      <c r="BE493" s="23" t="s">
        <v>2013</v>
      </c>
      <c r="BG493" s="23" t="s">
        <v>2110</v>
      </c>
    </row>
    <row r="494" spans="1:59" ht="15" customHeight="1">
      <c r="A494" s="23" t="s">
        <v>2045</v>
      </c>
      <c r="B494" s="23" t="s">
        <v>2073</v>
      </c>
      <c r="C494" s="23" t="s">
        <v>2087</v>
      </c>
      <c r="D494" s="24">
        <v>211</v>
      </c>
      <c r="E494" s="23">
        <v>1</v>
      </c>
      <c r="F494" s="23" t="s">
        <v>1983</v>
      </c>
      <c r="G494" s="23" t="s">
        <v>2017</v>
      </c>
      <c r="J494" s="23" t="s">
        <v>31</v>
      </c>
      <c r="AD494" s="23" t="s">
        <v>2013</v>
      </c>
      <c r="AI494" s="23" t="s">
        <v>2017</v>
      </c>
      <c r="AL494" s="23" t="s">
        <v>31</v>
      </c>
      <c r="AP494" s="73"/>
      <c r="AQ494" s="75"/>
      <c r="AR494" s="76"/>
      <c r="AS494" s="77"/>
      <c r="AV494" s="75"/>
      <c r="AW494" s="83"/>
      <c r="AX494" s="84"/>
      <c r="AY494" s="80">
        <v>1</v>
      </c>
      <c r="AZ494" s="66" t="s">
        <v>1073</v>
      </c>
      <c r="BB494" s="81"/>
      <c r="BE494" s="23" t="s">
        <v>2013</v>
      </c>
      <c r="BG494" s="23" t="s">
        <v>2111</v>
      </c>
    </row>
    <row r="495" spans="1:59" ht="15" customHeight="1">
      <c r="A495" s="23" t="s">
        <v>2045</v>
      </c>
      <c r="B495" s="23" t="s">
        <v>2074</v>
      </c>
      <c r="C495" s="23" t="s">
        <v>2087</v>
      </c>
      <c r="D495" s="24">
        <v>212</v>
      </c>
      <c r="E495" s="23">
        <v>1</v>
      </c>
      <c r="F495" s="23" t="s">
        <v>1983</v>
      </c>
      <c r="G495" s="23" t="s">
        <v>2018</v>
      </c>
      <c r="J495" s="23" t="s">
        <v>31</v>
      </c>
      <c r="AD495" s="23" t="s">
        <v>2013</v>
      </c>
      <c r="AI495" s="23" t="s">
        <v>2018</v>
      </c>
      <c r="AL495" s="23" t="s">
        <v>31</v>
      </c>
      <c r="AP495" s="73"/>
      <c r="AQ495" s="75"/>
      <c r="AR495" s="76"/>
      <c r="AS495" s="77"/>
      <c r="AV495" s="75"/>
      <c r="AW495" s="83"/>
      <c r="AX495" s="84"/>
      <c r="AY495" s="80">
        <v>4</v>
      </c>
      <c r="AZ495" s="66">
        <v>1</v>
      </c>
      <c r="BB495" s="81"/>
      <c r="BE495" s="23" t="s">
        <v>2013</v>
      </c>
      <c r="BG495" s="23" t="s">
        <v>2112</v>
      </c>
    </row>
    <row r="496" spans="1:59" ht="15" customHeight="1">
      <c r="A496" s="23" t="s">
        <v>2045</v>
      </c>
      <c r="B496" s="23" t="s">
        <v>2075</v>
      </c>
      <c r="C496" s="23" t="s">
        <v>2087</v>
      </c>
      <c r="D496" s="24">
        <v>213</v>
      </c>
      <c r="E496" s="23">
        <v>1</v>
      </c>
      <c r="F496" s="23" t="s">
        <v>1983</v>
      </c>
      <c r="G496" s="23" t="s">
        <v>2018</v>
      </c>
      <c r="J496" s="23" t="s">
        <v>31</v>
      </c>
      <c r="AD496" s="23" t="s">
        <v>2013</v>
      </c>
      <c r="AI496" s="23" t="s">
        <v>2018</v>
      </c>
      <c r="AL496" s="23" t="s">
        <v>31</v>
      </c>
      <c r="AP496" s="73"/>
      <c r="AQ496" s="75"/>
      <c r="AR496" s="76"/>
      <c r="AS496" s="77"/>
      <c r="AV496" s="75"/>
      <c r="AW496" s="83"/>
      <c r="AX496" s="84"/>
      <c r="AY496" s="80">
        <v>4</v>
      </c>
      <c r="AZ496" s="66">
        <v>1</v>
      </c>
      <c r="BB496" s="81"/>
      <c r="BE496" s="23" t="s">
        <v>2013</v>
      </c>
      <c r="BG496" s="23" t="s">
        <v>2113</v>
      </c>
    </row>
    <row r="497" spans="1:62" ht="15" customHeight="1">
      <c r="A497" s="23" t="s">
        <v>2045</v>
      </c>
      <c r="B497" s="23" t="s">
        <v>2076</v>
      </c>
      <c r="C497" s="23" t="s">
        <v>2087</v>
      </c>
      <c r="D497" s="24">
        <v>214</v>
      </c>
      <c r="E497" s="23">
        <v>1</v>
      </c>
      <c r="F497" s="23" t="s">
        <v>1983</v>
      </c>
      <c r="G497" s="23" t="s">
        <v>2019</v>
      </c>
      <c r="J497" s="23" t="s">
        <v>31</v>
      </c>
      <c r="X497" s="80">
        <v>3</v>
      </c>
      <c r="Y497" s="66">
        <v>0</v>
      </c>
      <c r="AD497" s="23" t="s">
        <v>2013</v>
      </c>
      <c r="AF497" s="23" t="s">
        <v>2114</v>
      </c>
      <c r="AP497" s="73"/>
      <c r="AQ497" s="75"/>
      <c r="AR497" s="76"/>
      <c r="AS497" s="77"/>
      <c r="AV497" s="75"/>
      <c r="AW497" s="83"/>
      <c r="AX497" s="84"/>
      <c r="AY497" s="80"/>
      <c r="BB497" s="81"/>
      <c r="BJ497" s="33" t="s">
        <v>1982</v>
      </c>
    </row>
    <row r="498" spans="1:62" ht="15" customHeight="1">
      <c r="A498" s="23" t="s">
        <v>2045</v>
      </c>
      <c r="B498" s="23" t="s">
        <v>2077</v>
      </c>
      <c r="C498" s="23" t="s">
        <v>2087</v>
      </c>
      <c r="D498" s="24">
        <v>215</v>
      </c>
      <c r="E498" s="23">
        <v>1</v>
      </c>
      <c r="F498" s="23" t="s">
        <v>1983</v>
      </c>
      <c r="G498" s="23" t="s">
        <v>2020</v>
      </c>
      <c r="J498" s="23" t="s">
        <v>257</v>
      </c>
      <c r="AD498" s="23" t="s">
        <v>2021</v>
      </c>
      <c r="AF498" s="23" t="s">
        <v>2093</v>
      </c>
      <c r="AP498" s="73"/>
      <c r="AQ498" s="75"/>
      <c r="AR498" s="76"/>
      <c r="AS498" s="77"/>
      <c r="AV498" s="75"/>
      <c r="AW498" s="83"/>
      <c r="AX498" s="84"/>
      <c r="AY498" s="80"/>
      <c r="BB498" s="81"/>
      <c r="BJ498" s="33" t="s">
        <v>1982</v>
      </c>
    </row>
    <row r="499" spans="1:62" ht="15" customHeight="1">
      <c r="A499" s="23" t="s">
        <v>2045</v>
      </c>
      <c r="B499" s="23" t="s">
        <v>2078</v>
      </c>
      <c r="C499" s="23" t="s">
        <v>2087</v>
      </c>
      <c r="D499" s="24">
        <v>216</v>
      </c>
      <c r="E499" s="23">
        <v>1</v>
      </c>
      <c r="F499" s="23" t="s">
        <v>1983</v>
      </c>
      <c r="G499" s="23" t="s">
        <v>2022</v>
      </c>
      <c r="H499" s="23" t="s">
        <v>2023</v>
      </c>
      <c r="I499" s="23" t="s">
        <v>2024</v>
      </c>
      <c r="J499" s="23" t="s">
        <v>29</v>
      </c>
      <c r="Q499" s="65">
        <v>3</v>
      </c>
      <c r="R499" s="66">
        <v>7</v>
      </c>
      <c r="T499" s="68" t="s">
        <v>2025</v>
      </c>
      <c r="V499" s="69">
        <v>2</v>
      </c>
      <c r="W499" s="70">
        <v>2</v>
      </c>
      <c r="AA499" s="72">
        <v>2</v>
      </c>
      <c r="AD499" s="23" t="s">
        <v>1523</v>
      </c>
      <c r="AE499" s="24" t="s">
        <v>2026</v>
      </c>
      <c r="AF499" s="23" t="s">
        <v>2027</v>
      </c>
      <c r="AP499" s="73"/>
      <c r="AQ499" s="75"/>
      <c r="AR499" s="76"/>
      <c r="AS499" s="77"/>
      <c r="AV499" s="75"/>
      <c r="AW499" s="83"/>
      <c r="AX499" s="84"/>
      <c r="AY499" s="80"/>
      <c r="BB499" s="81"/>
    </row>
    <row r="500" spans="1:62" ht="15" customHeight="1">
      <c r="A500" s="23" t="s">
        <v>2045</v>
      </c>
      <c r="B500" s="23" t="s">
        <v>2079</v>
      </c>
      <c r="C500" s="23" t="s">
        <v>2087</v>
      </c>
      <c r="D500" s="24">
        <v>217</v>
      </c>
      <c r="E500" s="23">
        <v>1</v>
      </c>
      <c r="F500" s="23" t="s">
        <v>1983</v>
      </c>
      <c r="G500" s="23" t="s">
        <v>2028</v>
      </c>
      <c r="H500" s="23" t="s">
        <v>2029</v>
      </c>
      <c r="I500" s="23" t="s">
        <v>2024</v>
      </c>
      <c r="J500" s="23" t="s">
        <v>257</v>
      </c>
      <c r="N500" s="62">
        <v>3</v>
      </c>
      <c r="O500" s="63">
        <v>1</v>
      </c>
      <c r="S500" s="113">
        <v>1</v>
      </c>
      <c r="T500" s="68">
        <v>1</v>
      </c>
      <c r="U500" s="63">
        <v>4</v>
      </c>
      <c r="AB500" s="23" t="s">
        <v>1086</v>
      </c>
      <c r="AC500" s="23" t="s">
        <v>25</v>
      </c>
      <c r="AD500" s="23" t="s">
        <v>2030</v>
      </c>
      <c r="AF500" s="23" t="s">
        <v>2094</v>
      </c>
      <c r="AP500" s="73"/>
      <c r="AQ500" s="75"/>
      <c r="AR500" s="76"/>
      <c r="AS500" s="77"/>
      <c r="AV500" s="75"/>
      <c r="AW500" s="83"/>
      <c r="AX500" s="84"/>
      <c r="AY500" s="80"/>
      <c r="BB500" s="81"/>
    </row>
    <row r="501" spans="1:62" ht="15" customHeight="1">
      <c r="A501" s="23" t="s">
        <v>2045</v>
      </c>
      <c r="B501" s="23" t="s">
        <v>2080</v>
      </c>
      <c r="C501" s="23" t="s">
        <v>2087</v>
      </c>
      <c r="D501" s="24">
        <v>218</v>
      </c>
      <c r="E501" s="23">
        <v>1</v>
      </c>
      <c r="F501" s="23" t="s">
        <v>1983</v>
      </c>
      <c r="G501" s="23" t="s">
        <v>2031</v>
      </c>
      <c r="H501" s="23" t="s">
        <v>2032</v>
      </c>
      <c r="I501" s="23" t="s">
        <v>2024</v>
      </c>
      <c r="J501" s="23" t="s">
        <v>257</v>
      </c>
      <c r="N501" s="62">
        <v>3</v>
      </c>
      <c r="R501" s="66">
        <v>1</v>
      </c>
      <c r="S501" s="113">
        <v>1</v>
      </c>
      <c r="T501" s="68">
        <v>3</v>
      </c>
      <c r="U501" s="63">
        <v>2</v>
      </c>
      <c r="AB501" s="23" t="s">
        <v>1180</v>
      </c>
      <c r="AC501" s="23" t="s">
        <v>25</v>
      </c>
      <c r="AD501" s="23" t="s">
        <v>2030</v>
      </c>
      <c r="AF501" s="23" t="s">
        <v>2095</v>
      </c>
      <c r="AP501" s="73"/>
      <c r="AQ501" s="75"/>
      <c r="AR501" s="76"/>
      <c r="AS501" s="77"/>
      <c r="AV501" s="75"/>
      <c r="AW501" s="83"/>
      <c r="AX501" s="84"/>
      <c r="AY501" s="80"/>
      <c r="BB501" s="81"/>
    </row>
    <row r="502" spans="1:62" ht="15" customHeight="1">
      <c r="A502" s="23" t="s">
        <v>2045</v>
      </c>
      <c r="B502" s="23" t="s">
        <v>2081</v>
      </c>
      <c r="C502" s="23" t="s">
        <v>2087</v>
      </c>
      <c r="D502" s="24">
        <v>219</v>
      </c>
      <c r="E502" s="23">
        <v>1</v>
      </c>
      <c r="F502" s="23" t="s">
        <v>1983</v>
      </c>
      <c r="G502" s="23" t="s">
        <v>2033</v>
      </c>
      <c r="H502" s="23" t="s">
        <v>2034</v>
      </c>
      <c r="J502" s="23" t="s">
        <v>257</v>
      </c>
      <c r="N502" s="62">
        <v>0</v>
      </c>
      <c r="AD502" s="23" t="s">
        <v>265</v>
      </c>
      <c r="AF502" s="23" t="s">
        <v>2096</v>
      </c>
      <c r="AP502" s="73"/>
      <c r="AQ502" s="75"/>
      <c r="AR502" s="76"/>
      <c r="AS502" s="77"/>
      <c r="AV502" s="75"/>
      <c r="AW502" s="83"/>
      <c r="AX502" s="84"/>
      <c r="AY502" s="80"/>
      <c r="BB502" s="81"/>
    </row>
    <row r="503" spans="1:62" ht="15" customHeight="1">
      <c r="A503" s="23" t="s">
        <v>2045</v>
      </c>
      <c r="B503" s="23" t="s">
        <v>2082</v>
      </c>
      <c r="C503" s="23" t="s">
        <v>2087</v>
      </c>
      <c r="D503" s="24">
        <v>220</v>
      </c>
      <c r="E503" s="23">
        <v>3</v>
      </c>
      <c r="F503" s="23" t="s">
        <v>1983</v>
      </c>
      <c r="G503" s="23" t="s">
        <v>2035</v>
      </c>
      <c r="J503" s="23" t="s">
        <v>28</v>
      </c>
      <c r="AF503" s="23" t="s">
        <v>2097</v>
      </c>
      <c r="AP503" s="73"/>
      <c r="AQ503" s="75"/>
      <c r="AR503" s="76"/>
      <c r="AS503" s="77"/>
      <c r="AV503" s="75"/>
      <c r="AW503" s="83"/>
      <c r="AX503" s="84"/>
      <c r="AY503" s="80"/>
      <c r="BB503" s="81"/>
    </row>
    <row r="504" spans="1:62" ht="15" customHeight="1">
      <c r="A504" s="23" t="s">
        <v>2045</v>
      </c>
      <c r="B504" s="23" t="s">
        <v>2083</v>
      </c>
      <c r="C504" s="23" t="s">
        <v>2087</v>
      </c>
      <c r="D504" s="24">
        <v>221</v>
      </c>
      <c r="E504" s="23">
        <v>2</v>
      </c>
      <c r="F504" s="23" t="s">
        <v>1983</v>
      </c>
      <c r="G504" s="23" t="s">
        <v>2036</v>
      </c>
      <c r="J504" s="23" t="s">
        <v>28</v>
      </c>
      <c r="AD504" s="23" t="s">
        <v>492</v>
      </c>
      <c r="AE504" s="24" t="s">
        <v>2037</v>
      </c>
      <c r="AF504" s="23" t="s">
        <v>2098</v>
      </c>
      <c r="AP504" s="73"/>
      <c r="AQ504" s="75"/>
      <c r="AR504" s="76"/>
      <c r="AS504" s="77"/>
      <c r="AV504" s="75"/>
      <c r="AW504" s="83"/>
      <c r="AX504" s="84"/>
      <c r="AY504" s="80"/>
      <c r="BB504" s="81"/>
    </row>
    <row r="505" spans="1:62" ht="15" customHeight="1">
      <c r="A505" s="23" t="s">
        <v>2045</v>
      </c>
      <c r="B505" s="23" t="s">
        <v>2084</v>
      </c>
      <c r="C505" s="23" t="s">
        <v>2087</v>
      </c>
      <c r="D505" s="24">
        <v>222</v>
      </c>
      <c r="E505" s="23">
        <v>2</v>
      </c>
      <c r="F505" s="23" t="s">
        <v>1983</v>
      </c>
      <c r="G505" s="23" t="s">
        <v>2038</v>
      </c>
      <c r="J505" s="23" t="s">
        <v>28</v>
      </c>
      <c r="AD505" s="23" t="s">
        <v>492</v>
      </c>
      <c r="AF505" s="23" t="s">
        <v>2039</v>
      </c>
      <c r="AP505" s="73"/>
      <c r="AQ505" s="75"/>
      <c r="AR505" s="76"/>
      <c r="AS505" s="77"/>
      <c r="AV505" s="75"/>
      <c r="AW505" s="83"/>
      <c r="AX505" s="84"/>
      <c r="AY505" s="80"/>
      <c r="BB505" s="81"/>
    </row>
    <row r="506" spans="1:62" ht="15" customHeight="1">
      <c r="A506" s="23" t="s">
        <v>2045</v>
      </c>
      <c r="B506" s="23" t="s">
        <v>2085</v>
      </c>
      <c r="C506" s="23" t="s">
        <v>2087</v>
      </c>
      <c r="D506" s="24">
        <v>223</v>
      </c>
      <c r="E506" s="23">
        <v>3</v>
      </c>
      <c r="F506" s="23" t="s">
        <v>1983</v>
      </c>
      <c r="G506" s="23" t="s">
        <v>480</v>
      </c>
      <c r="J506" s="23" t="s">
        <v>28</v>
      </c>
      <c r="AD506" s="23" t="s">
        <v>481</v>
      </c>
      <c r="AF506" s="23" t="s">
        <v>2040</v>
      </c>
      <c r="AP506" s="73"/>
      <c r="AQ506" s="75"/>
      <c r="AR506" s="76"/>
      <c r="AS506" s="77"/>
      <c r="AV506" s="75"/>
      <c r="AW506" s="83"/>
      <c r="AX506" s="84"/>
      <c r="AY506" s="80"/>
      <c r="BB506" s="81"/>
    </row>
    <row r="507" spans="1:62" ht="15" customHeight="1">
      <c r="A507" s="23" t="s">
        <v>2045</v>
      </c>
      <c r="B507" s="23" t="s">
        <v>2086</v>
      </c>
      <c r="C507" s="23" t="s">
        <v>2087</v>
      </c>
      <c r="D507" s="24">
        <v>224</v>
      </c>
      <c r="E507" s="23">
        <v>3</v>
      </c>
      <c r="F507" s="23" t="s">
        <v>1983</v>
      </c>
      <c r="G507" s="23" t="s">
        <v>2041</v>
      </c>
      <c r="J507" s="23" t="s">
        <v>29</v>
      </c>
      <c r="Q507" s="65">
        <v>3</v>
      </c>
      <c r="R507" s="66">
        <v>1</v>
      </c>
      <c r="T507" s="68">
        <v>2</v>
      </c>
      <c r="V507" s="69">
        <v>2</v>
      </c>
      <c r="AD507" s="23" t="s">
        <v>2042</v>
      </c>
      <c r="AE507" s="24" t="s">
        <v>2043</v>
      </c>
      <c r="AF507" s="23" t="s">
        <v>2044</v>
      </c>
      <c r="AP507" s="73"/>
      <c r="AQ507" s="75"/>
      <c r="AR507" s="76"/>
      <c r="AS507" s="77"/>
      <c r="AV507" s="75"/>
      <c r="AW507" s="83"/>
      <c r="AX507" s="84"/>
      <c r="AY507" s="80"/>
      <c r="BB507" s="81"/>
    </row>
    <row r="508" spans="1:62" ht="15" customHeight="1">
      <c r="A508" s="41" t="s">
        <v>2116</v>
      </c>
      <c r="B508" s="41" t="s">
        <v>2119</v>
      </c>
      <c r="C508" s="41" t="s">
        <v>2360</v>
      </c>
      <c r="D508" s="116">
        <v>225</v>
      </c>
      <c r="E508" s="41">
        <v>2</v>
      </c>
      <c r="F508" s="41"/>
      <c r="G508" s="41" t="s">
        <v>2120</v>
      </c>
      <c r="J508" s="23" t="s">
        <v>27</v>
      </c>
      <c r="K508" s="23" t="s">
        <v>198</v>
      </c>
      <c r="L508" s="23">
        <v>0</v>
      </c>
      <c r="N508" s="62">
        <v>1</v>
      </c>
      <c r="O508" s="63">
        <v>1</v>
      </c>
      <c r="Q508" s="65">
        <v>1</v>
      </c>
      <c r="AB508" s="23" t="s">
        <v>2179</v>
      </c>
      <c r="AF508" s="23" t="s">
        <v>2180</v>
      </c>
      <c r="AP508" s="73"/>
      <c r="AQ508" s="75"/>
      <c r="AR508" s="76"/>
      <c r="AS508" s="77"/>
      <c r="AV508" s="75"/>
      <c r="AW508" s="83"/>
      <c r="AX508" s="84"/>
      <c r="AY508" s="80"/>
      <c r="BB508" s="81"/>
    </row>
    <row r="509" spans="1:62" ht="15" customHeight="1">
      <c r="A509" s="23" t="s">
        <v>2116</v>
      </c>
      <c r="B509" s="23" t="s">
        <v>2121</v>
      </c>
      <c r="C509" s="23" t="s">
        <v>2360</v>
      </c>
      <c r="D509" s="24">
        <v>226</v>
      </c>
      <c r="E509" s="23">
        <v>2</v>
      </c>
      <c r="G509" s="23" t="s">
        <v>2122</v>
      </c>
      <c r="J509" s="23" t="s">
        <v>257</v>
      </c>
      <c r="K509" s="23" t="s">
        <v>198</v>
      </c>
      <c r="L509" s="23">
        <v>4</v>
      </c>
      <c r="N509" s="62">
        <v>4</v>
      </c>
      <c r="Q509" s="65">
        <v>1</v>
      </c>
      <c r="R509" s="66">
        <v>1</v>
      </c>
      <c r="AB509" s="23" t="s">
        <v>2181</v>
      </c>
      <c r="AC509" s="23" t="s">
        <v>2182</v>
      </c>
      <c r="AD509" s="23" t="s">
        <v>259</v>
      </c>
      <c r="AF509" s="23" t="s">
        <v>2183</v>
      </c>
      <c r="AP509" s="73"/>
      <c r="AQ509" s="75"/>
      <c r="AR509" s="76"/>
      <c r="AS509" s="77"/>
      <c r="AV509" s="75"/>
      <c r="AW509" s="83"/>
      <c r="AX509" s="84"/>
      <c r="AY509" s="80"/>
      <c r="BB509" s="81"/>
    </row>
    <row r="510" spans="1:62" ht="15" customHeight="1">
      <c r="A510" s="23" t="s">
        <v>2116</v>
      </c>
      <c r="B510" s="23" t="s">
        <v>2123</v>
      </c>
      <c r="C510" s="23" t="s">
        <v>2360</v>
      </c>
      <c r="D510" s="24">
        <v>227</v>
      </c>
      <c r="E510" s="23">
        <v>2</v>
      </c>
      <c r="G510" s="23" t="s">
        <v>2124</v>
      </c>
      <c r="J510" s="23" t="s">
        <v>312</v>
      </c>
      <c r="K510" s="23" t="s">
        <v>199</v>
      </c>
      <c r="L510" s="23">
        <v>0</v>
      </c>
      <c r="S510" s="113">
        <v>3</v>
      </c>
      <c r="AB510" s="23" t="s">
        <v>1996</v>
      </c>
      <c r="AD510" s="23" t="s">
        <v>412</v>
      </c>
      <c r="AF510" s="23" t="s">
        <v>2184</v>
      </c>
      <c r="AP510" s="73"/>
      <c r="AQ510" s="75"/>
      <c r="AR510" s="76"/>
      <c r="AS510" s="77"/>
      <c r="AV510" s="75"/>
      <c r="AW510" s="83"/>
      <c r="AX510" s="84"/>
      <c r="AY510" s="80"/>
      <c r="BB510" s="81"/>
    </row>
    <row r="511" spans="1:62" ht="15" customHeight="1">
      <c r="A511" s="23" t="s">
        <v>2116</v>
      </c>
      <c r="B511" s="23" t="s">
        <v>2125</v>
      </c>
      <c r="C511" s="23" t="s">
        <v>2360</v>
      </c>
      <c r="D511" s="24">
        <v>228</v>
      </c>
      <c r="E511" s="23">
        <v>2</v>
      </c>
      <c r="G511" s="23" t="s">
        <v>2126</v>
      </c>
      <c r="J511" s="23" t="s">
        <v>27</v>
      </c>
      <c r="K511" s="23" t="s">
        <v>199</v>
      </c>
      <c r="L511" s="23">
        <v>1</v>
      </c>
      <c r="N511" s="62">
        <v>0</v>
      </c>
      <c r="P511" s="64">
        <v>1</v>
      </c>
      <c r="Q511" s="65">
        <v>2</v>
      </c>
      <c r="AB511" s="23" t="s">
        <v>2185</v>
      </c>
      <c r="AD511" s="23" t="s">
        <v>340</v>
      </c>
      <c r="AF511" s="23" t="s">
        <v>2186</v>
      </c>
      <c r="AP511" s="73"/>
      <c r="AQ511" s="75"/>
      <c r="AR511" s="76"/>
      <c r="AS511" s="77"/>
      <c r="AV511" s="75"/>
      <c r="AW511" s="83"/>
      <c r="AX511" s="84"/>
      <c r="AY511" s="80"/>
      <c r="BB511" s="81"/>
    </row>
    <row r="512" spans="1:62" ht="15" customHeight="1">
      <c r="A512" s="23" t="s">
        <v>2116</v>
      </c>
      <c r="B512" s="23" t="s">
        <v>2127</v>
      </c>
      <c r="C512" s="23" t="s">
        <v>2360</v>
      </c>
      <c r="D512" s="24">
        <v>229</v>
      </c>
      <c r="E512" s="23">
        <v>2</v>
      </c>
      <c r="G512" s="23" t="s">
        <v>2128</v>
      </c>
      <c r="J512" s="23" t="s">
        <v>312</v>
      </c>
      <c r="K512" s="23" t="s">
        <v>201</v>
      </c>
      <c r="L512" s="23">
        <v>0</v>
      </c>
      <c r="S512" s="113">
        <v>1</v>
      </c>
      <c r="AB512" s="23" t="s">
        <v>208</v>
      </c>
      <c r="AD512" s="23" t="s">
        <v>412</v>
      </c>
      <c r="AF512" s="23" t="s">
        <v>2187</v>
      </c>
      <c r="AP512" s="73"/>
      <c r="AQ512" s="75"/>
      <c r="AR512" s="76"/>
      <c r="AS512" s="77"/>
      <c r="AV512" s="75"/>
      <c r="AW512" s="83"/>
      <c r="AX512" s="84"/>
      <c r="AY512" s="80"/>
      <c r="BB512" s="81"/>
    </row>
    <row r="513" spans="1:59" ht="15" customHeight="1">
      <c r="A513" s="23" t="s">
        <v>2116</v>
      </c>
      <c r="B513" s="23" t="s">
        <v>2129</v>
      </c>
      <c r="C513" s="23" t="s">
        <v>2360</v>
      </c>
      <c r="D513" s="24">
        <v>230</v>
      </c>
      <c r="E513" s="23">
        <v>2</v>
      </c>
      <c r="G513" s="23" t="s">
        <v>2130</v>
      </c>
      <c r="J513" s="23" t="s">
        <v>257</v>
      </c>
      <c r="K513" s="23" t="s">
        <v>201</v>
      </c>
      <c r="L513" s="23">
        <v>2</v>
      </c>
      <c r="N513" s="62">
        <v>2</v>
      </c>
      <c r="O513" s="63">
        <v>1</v>
      </c>
      <c r="R513" s="66">
        <v>1</v>
      </c>
      <c r="AB513" s="23" t="s">
        <v>2188</v>
      </c>
      <c r="AC513" s="23" t="s">
        <v>275</v>
      </c>
      <c r="AD513" s="23" t="s">
        <v>276</v>
      </c>
      <c r="AF513" s="23" t="s">
        <v>2189</v>
      </c>
      <c r="AP513" s="73"/>
      <c r="AQ513" s="75"/>
      <c r="AR513" s="76"/>
      <c r="AS513" s="77"/>
      <c r="AV513" s="75"/>
      <c r="AW513" s="83"/>
      <c r="AX513" s="84"/>
      <c r="AY513" s="80"/>
      <c r="BB513" s="81"/>
    </row>
    <row r="514" spans="1:59" ht="15" customHeight="1">
      <c r="A514" s="23" t="s">
        <v>2116</v>
      </c>
      <c r="B514" s="23" t="s">
        <v>2131</v>
      </c>
      <c r="C514" s="23" t="s">
        <v>2360</v>
      </c>
      <c r="D514" s="24">
        <v>231</v>
      </c>
      <c r="E514" s="23">
        <v>2</v>
      </c>
      <c r="G514" s="23" t="s">
        <v>370</v>
      </c>
      <c r="J514" s="23" t="s">
        <v>312</v>
      </c>
      <c r="K514" s="23" t="s">
        <v>201</v>
      </c>
      <c r="L514" s="23">
        <v>2</v>
      </c>
      <c r="S514" s="113">
        <v>1</v>
      </c>
      <c r="AB514" s="23" t="s">
        <v>208</v>
      </c>
      <c r="AD514" s="23" t="s">
        <v>2190</v>
      </c>
      <c r="AF514" s="23" t="s">
        <v>2191</v>
      </c>
      <c r="AP514" s="73"/>
      <c r="AQ514" s="75"/>
      <c r="AR514" s="76"/>
      <c r="AS514" s="77"/>
      <c r="AV514" s="75"/>
      <c r="AW514" s="83"/>
      <c r="AX514" s="84"/>
      <c r="AY514" s="80"/>
      <c r="BB514" s="81"/>
    </row>
    <row r="515" spans="1:59" ht="15" customHeight="1">
      <c r="A515" s="23" t="s">
        <v>2116</v>
      </c>
      <c r="B515" s="23" t="s">
        <v>2132</v>
      </c>
      <c r="C515" s="23" t="s">
        <v>2360</v>
      </c>
      <c r="D515" s="24">
        <v>232</v>
      </c>
      <c r="E515" s="23">
        <v>2</v>
      </c>
      <c r="G515" s="23" t="s">
        <v>2133</v>
      </c>
      <c r="H515" s="23" t="s">
        <v>2192</v>
      </c>
      <c r="I515" s="23" t="s">
        <v>223</v>
      </c>
      <c r="J515" s="23" t="s">
        <v>257</v>
      </c>
      <c r="K515" s="23" t="s">
        <v>200</v>
      </c>
      <c r="L515" s="23">
        <v>0</v>
      </c>
      <c r="N515" s="62">
        <v>4</v>
      </c>
      <c r="P515" s="64">
        <v>1</v>
      </c>
      <c r="T515" s="68">
        <v>1</v>
      </c>
      <c r="U515" s="63">
        <v>3</v>
      </c>
      <c r="AB515" s="23" t="s">
        <v>205</v>
      </c>
      <c r="AC515" s="23" t="s">
        <v>25</v>
      </c>
      <c r="AD515" s="23" t="s">
        <v>670</v>
      </c>
      <c r="AF515" s="23" t="s">
        <v>2193</v>
      </c>
      <c r="AP515" s="73"/>
      <c r="AQ515" s="75"/>
      <c r="AR515" s="76"/>
      <c r="AS515" s="77"/>
      <c r="AV515" s="75"/>
      <c r="AW515" s="83"/>
      <c r="AX515" s="84"/>
      <c r="AY515" s="80"/>
      <c r="BB515" s="81"/>
    </row>
    <row r="516" spans="1:59" ht="15" customHeight="1">
      <c r="A516" s="23" t="s">
        <v>2116</v>
      </c>
      <c r="B516" s="23" t="s">
        <v>2134</v>
      </c>
      <c r="C516" s="23" t="s">
        <v>2360</v>
      </c>
      <c r="D516" s="24">
        <v>233</v>
      </c>
      <c r="E516" s="23">
        <v>2</v>
      </c>
      <c r="G516" s="23" t="s">
        <v>1421</v>
      </c>
      <c r="J516" s="23" t="s">
        <v>257</v>
      </c>
      <c r="K516" s="23" t="s">
        <v>200</v>
      </c>
      <c r="L516" s="23">
        <v>4</v>
      </c>
      <c r="N516" s="62">
        <v>5</v>
      </c>
      <c r="P516" s="64">
        <v>2</v>
      </c>
      <c r="AB516" s="23" t="s">
        <v>1084</v>
      </c>
      <c r="AC516" s="23" t="s">
        <v>378</v>
      </c>
      <c r="AD516" s="23" t="s">
        <v>279</v>
      </c>
      <c r="AF516" s="23" t="s">
        <v>2194</v>
      </c>
      <c r="AP516" s="73"/>
      <c r="AQ516" s="75"/>
      <c r="AR516" s="76"/>
      <c r="AS516" s="77"/>
      <c r="AV516" s="75"/>
      <c r="AW516" s="83"/>
      <c r="AX516" s="84"/>
      <c r="AY516" s="80"/>
      <c r="BB516" s="81"/>
    </row>
    <row r="517" spans="1:59" ht="15" customHeight="1">
      <c r="A517" s="23" t="s">
        <v>2116</v>
      </c>
      <c r="B517" s="23" t="s">
        <v>2135</v>
      </c>
      <c r="C517" s="23" t="s">
        <v>2360</v>
      </c>
      <c r="D517" s="24">
        <v>234</v>
      </c>
      <c r="E517" s="23">
        <v>2</v>
      </c>
      <c r="G517" s="23" t="s">
        <v>2136</v>
      </c>
      <c r="J517" s="23" t="s">
        <v>257</v>
      </c>
      <c r="K517" s="23" t="s">
        <v>202</v>
      </c>
      <c r="L517" s="23">
        <v>0</v>
      </c>
      <c r="N517" s="62">
        <v>3</v>
      </c>
      <c r="O517" s="63">
        <v>1</v>
      </c>
      <c r="AB517" s="23" t="s">
        <v>204</v>
      </c>
      <c r="AD517" s="23" t="s">
        <v>2195</v>
      </c>
      <c r="AF517" s="23" t="s">
        <v>2196</v>
      </c>
      <c r="AP517" s="73"/>
      <c r="AQ517" s="75"/>
      <c r="AR517" s="76"/>
      <c r="AS517" s="77"/>
      <c r="AV517" s="75"/>
      <c r="AW517" s="83"/>
      <c r="AX517" s="84"/>
      <c r="AY517" s="80"/>
      <c r="BB517" s="81"/>
    </row>
    <row r="518" spans="1:59" ht="15" customHeight="1">
      <c r="A518" s="23" t="s">
        <v>2116</v>
      </c>
      <c r="B518" s="23" t="s">
        <v>2137</v>
      </c>
      <c r="C518" s="23" t="s">
        <v>2360</v>
      </c>
      <c r="D518" s="24">
        <v>235</v>
      </c>
      <c r="E518" s="23">
        <v>2</v>
      </c>
      <c r="G518" s="23" t="s">
        <v>411</v>
      </c>
      <c r="J518" s="23" t="s">
        <v>312</v>
      </c>
      <c r="K518" s="23" t="s">
        <v>202</v>
      </c>
      <c r="L518" s="23">
        <v>2</v>
      </c>
      <c r="R518" s="66">
        <v>2</v>
      </c>
      <c r="AB518" s="23" t="s">
        <v>1095</v>
      </c>
      <c r="AD518" s="23" t="s">
        <v>2190</v>
      </c>
      <c r="AF518" s="23" t="s">
        <v>2197</v>
      </c>
      <c r="AP518" s="73"/>
      <c r="AQ518" s="75"/>
      <c r="AR518" s="76"/>
      <c r="AS518" s="77"/>
      <c r="AV518" s="75"/>
      <c r="AW518" s="83"/>
      <c r="AX518" s="84"/>
      <c r="AY518" s="80"/>
      <c r="BB518" s="81"/>
    </row>
    <row r="519" spans="1:59" ht="15" customHeight="1">
      <c r="A519" s="23" t="s">
        <v>2116</v>
      </c>
      <c r="B519" s="23" t="s">
        <v>2138</v>
      </c>
      <c r="C519" s="23" t="s">
        <v>2360</v>
      </c>
      <c r="D519" s="24">
        <v>236</v>
      </c>
      <c r="E519" s="23">
        <v>1</v>
      </c>
      <c r="F519" s="23" t="s">
        <v>2117</v>
      </c>
      <c r="G519" s="23" t="s">
        <v>2117</v>
      </c>
      <c r="H519" s="33" t="s">
        <v>709</v>
      </c>
      <c r="J519" s="23" t="s">
        <v>618</v>
      </c>
      <c r="AF519" s="23" t="s">
        <v>2198</v>
      </c>
      <c r="AI519" s="23" t="s">
        <v>2117</v>
      </c>
      <c r="AJ519" s="23" t="s">
        <v>710</v>
      </c>
      <c r="AL519" s="23" t="s">
        <v>618</v>
      </c>
      <c r="AP519" s="73"/>
      <c r="AQ519" s="75"/>
      <c r="AR519" s="76"/>
      <c r="AS519" s="77"/>
      <c r="AV519" s="75"/>
      <c r="AW519" s="83"/>
      <c r="AX519" s="84"/>
      <c r="AY519" s="80"/>
      <c r="BB519" s="81"/>
      <c r="BG519" s="23" t="s">
        <v>2199</v>
      </c>
    </row>
    <row r="520" spans="1:59" ht="15" customHeight="1">
      <c r="A520" s="23" t="s">
        <v>2116</v>
      </c>
      <c r="B520" s="23" t="s">
        <v>2139</v>
      </c>
      <c r="C520" s="23" t="s">
        <v>2360</v>
      </c>
      <c r="D520" s="24">
        <v>237</v>
      </c>
      <c r="E520" s="23">
        <v>1</v>
      </c>
      <c r="F520" s="23" t="s">
        <v>2117</v>
      </c>
      <c r="G520" s="23" t="s">
        <v>2140</v>
      </c>
      <c r="J520" s="23" t="s">
        <v>619</v>
      </c>
      <c r="Z520" s="68">
        <v>5</v>
      </c>
      <c r="AF520" s="23" t="s">
        <v>2200</v>
      </c>
      <c r="AI520" s="23" t="s">
        <v>2201</v>
      </c>
      <c r="AL520" s="23" t="s">
        <v>619</v>
      </c>
      <c r="AP520" s="73"/>
      <c r="AQ520" s="75"/>
      <c r="AR520" s="76"/>
      <c r="AS520" s="77"/>
      <c r="AV520" s="75"/>
      <c r="AW520" s="83"/>
      <c r="AX520" s="84"/>
      <c r="AY520" s="80"/>
      <c r="BB520" s="81"/>
      <c r="BG520" s="23" t="s">
        <v>2202</v>
      </c>
    </row>
    <row r="521" spans="1:59" ht="15" customHeight="1">
      <c r="A521" s="23" t="s">
        <v>2116</v>
      </c>
      <c r="B521" s="23" t="s">
        <v>2141</v>
      </c>
      <c r="C521" s="23" t="s">
        <v>2360</v>
      </c>
      <c r="D521" s="24">
        <v>238</v>
      </c>
      <c r="E521" s="23">
        <v>1</v>
      </c>
      <c r="F521" s="23" t="s">
        <v>2117</v>
      </c>
      <c r="G521" s="23" t="s">
        <v>2142</v>
      </c>
      <c r="J521" s="23" t="s">
        <v>619</v>
      </c>
      <c r="Z521" s="68">
        <v>6</v>
      </c>
      <c r="AF521" s="23" t="s">
        <v>2200</v>
      </c>
      <c r="AI521" s="23" t="s">
        <v>2203</v>
      </c>
      <c r="AL521" s="23" t="s">
        <v>619</v>
      </c>
      <c r="AP521" s="73"/>
      <c r="AQ521" s="75"/>
      <c r="AR521" s="76"/>
      <c r="AS521" s="77"/>
      <c r="AV521" s="75"/>
      <c r="AW521" s="83"/>
      <c r="AX521" s="84"/>
      <c r="AY521" s="80"/>
      <c r="BB521" s="81"/>
      <c r="BG521" s="23" t="s">
        <v>2204</v>
      </c>
    </row>
    <row r="522" spans="1:59" ht="15" customHeight="1">
      <c r="A522" s="23" t="s">
        <v>2116</v>
      </c>
      <c r="B522" s="23" t="s">
        <v>2143</v>
      </c>
      <c r="C522" s="23" t="s">
        <v>2360</v>
      </c>
      <c r="D522" s="24">
        <v>239</v>
      </c>
      <c r="E522" s="23">
        <v>1</v>
      </c>
      <c r="F522" s="23" t="s">
        <v>2117</v>
      </c>
      <c r="G522" s="23" t="s">
        <v>2144</v>
      </c>
      <c r="J522" s="23" t="s">
        <v>619</v>
      </c>
      <c r="Z522" s="68">
        <v>7</v>
      </c>
      <c r="AF522" s="23" t="s">
        <v>2205</v>
      </c>
      <c r="AI522" s="23" t="s">
        <v>2206</v>
      </c>
      <c r="AL522" s="23" t="s">
        <v>619</v>
      </c>
      <c r="AP522" s="73"/>
      <c r="AQ522" s="75"/>
      <c r="AR522" s="76"/>
      <c r="AS522" s="77"/>
      <c r="AV522" s="75"/>
      <c r="AW522" s="83"/>
      <c r="AX522" s="84"/>
      <c r="AY522" s="80"/>
      <c r="BB522" s="81"/>
      <c r="BG522" s="23" t="s">
        <v>1886</v>
      </c>
    </row>
    <row r="523" spans="1:59" ht="15" customHeight="1">
      <c r="A523" s="23" t="s">
        <v>2116</v>
      </c>
      <c r="B523" s="23" t="s">
        <v>2145</v>
      </c>
      <c r="C523" s="23" t="s">
        <v>2360</v>
      </c>
      <c r="D523" s="24">
        <v>240</v>
      </c>
      <c r="E523" s="23">
        <v>1</v>
      </c>
      <c r="F523" s="23" t="s">
        <v>2117</v>
      </c>
      <c r="G523" s="23" t="s">
        <v>2146</v>
      </c>
      <c r="J523" s="23" t="s">
        <v>621</v>
      </c>
      <c r="Y523" s="66" t="s">
        <v>1697</v>
      </c>
      <c r="AF523" s="23" t="s">
        <v>2207</v>
      </c>
      <c r="AI523" s="23" t="s">
        <v>2208</v>
      </c>
      <c r="AL523" s="23" t="s">
        <v>621</v>
      </c>
      <c r="AP523" s="73"/>
      <c r="AQ523" s="75"/>
      <c r="AR523" s="76"/>
      <c r="AS523" s="77"/>
      <c r="AV523" s="75"/>
      <c r="AW523" s="83"/>
      <c r="AX523" s="84"/>
      <c r="AY523" s="80"/>
      <c r="BB523" s="81"/>
      <c r="BG523" s="23" t="s">
        <v>2209</v>
      </c>
    </row>
    <row r="524" spans="1:59" ht="15" customHeight="1">
      <c r="A524" s="23" t="s">
        <v>2116</v>
      </c>
      <c r="B524" s="23" t="s">
        <v>2147</v>
      </c>
      <c r="C524" s="23" t="s">
        <v>2360</v>
      </c>
      <c r="D524" s="24">
        <v>241</v>
      </c>
      <c r="E524" s="23">
        <v>1</v>
      </c>
      <c r="F524" s="23" t="s">
        <v>2117</v>
      </c>
      <c r="G524" s="23" t="s">
        <v>2148</v>
      </c>
      <c r="J524" s="23" t="s">
        <v>621</v>
      </c>
      <c r="Y524" s="66" t="s">
        <v>38</v>
      </c>
      <c r="AF524" s="23" t="s">
        <v>2210</v>
      </c>
      <c r="AI524" s="23" t="s">
        <v>2211</v>
      </c>
      <c r="AL524" s="23" t="s">
        <v>621</v>
      </c>
      <c r="AP524" s="73"/>
      <c r="AQ524" s="75"/>
      <c r="AR524" s="76"/>
      <c r="AS524" s="77"/>
      <c r="AV524" s="75"/>
      <c r="AW524" s="83"/>
      <c r="AX524" s="84"/>
      <c r="AY524" s="80"/>
      <c r="BB524" s="81"/>
      <c r="BG524" s="23" t="s">
        <v>2212</v>
      </c>
    </row>
    <row r="525" spans="1:59" ht="15" customHeight="1">
      <c r="A525" s="23" t="s">
        <v>2116</v>
      </c>
      <c r="B525" s="23" t="s">
        <v>2149</v>
      </c>
      <c r="C525" s="23" t="s">
        <v>2360</v>
      </c>
      <c r="D525" s="24">
        <v>242</v>
      </c>
      <c r="E525" s="23">
        <v>1</v>
      </c>
      <c r="F525" s="23" t="s">
        <v>2117</v>
      </c>
      <c r="G525" s="23" t="s">
        <v>2150</v>
      </c>
      <c r="J525" s="23" t="s">
        <v>31</v>
      </c>
      <c r="AD525" s="23" t="s">
        <v>2013</v>
      </c>
      <c r="AI525" s="23" t="s">
        <v>2150</v>
      </c>
      <c r="AL525" s="23" t="s">
        <v>31</v>
      </c>
      <c r="AP525" s="73"/>
      <c r="AQ525" s="75"/>
      <c r="AR525" s="76"/>
      <c r="AS525" s="77"/>
      <c r="AV525" s="75"/>
      <c r="AW525" s="83"/>
      <c r="AX525" s="84"/>
      <c r="AY525" s="80">
        <v>3</v>
      </c>
      <c r="AZ525" s="66">
        <v>1</v>
      </c>
      <c r="BB525" s="81"/>
      <c r="BE525" s="23" t="s">
        <v>2013</v>
      </c>
      <c r="BG525" s="23" t="s">
        <v>2213</v>
      </c>
    </row>
    <row r="526" spans="1:59" ht="15" customHeight="1">
      <c r="A526" s="23" t="s">
        <v>2116</v>
      </c>
      <c r="B526" s="23" t="s">
        <v>2151</v>
      </c>
      <c r="C526" s="23" t="s">
        <v>2360</v>
      </c>
      <c r="D526" s="24">
        <v>243</v>
      </c>
      <c r="E526" s="23">
        <v>1</v>
      </c>
      <c r="F526" s="23" t="s">
        <v>2117</v>
      </c>
      <c r="G526" s="23" t="s">
        <v>2150</v>
      </c>
      <c r="J526" s="23" t="s">
        <v>31</v>
      </c>
      <c r="AD526" s="23" t="s">
        <v>2013</v>
      </c>
      <c r="AI526" s="23" t="s">
        <v>2150</v>
      </c>
      <c r="AL526" s="23" t="s">
        <v>31</v>
      </c>
      <c r="AP526" s="73"/>
      <c r="AQ526" s="75"/>
      <c r="AR526" s="76"/>
      <c r="AS526" s="77"/>
      <c r="AV526" s="75"/>
      <c r="AW526" s="83"/>
      <c r="AX526" s="84"/>
      <c r="AY526" s="80">
        <v>2</v>
      </c>
      <c r="AZ526" s="66">
        <v>3</v>
      </c>
      <c r="BB526" s="81"/>
      <c r="BE526" s="23" t="s">
        <v>2013</v>
      </c>
      <c r="BG526" s="23" t="s">
        <v>2214</v>
      </c>
    </row>
    <row r="527" spans="1:59" ht="15" customHeight="1">
      <c r="A527" s="23" t="s">
        <v>2116</v>
      </c>
      <c r="B527" s="23" t="s">
        <v>2152</v>
      </c>
      <c r="C527" s="23" t="s">
        <v>2360</v>
      </c>
      <c r="D527" s="24">
        <v>244</v>
      </c>
      <c r="E527" s="23">
        <v>1</v>
      </c>
      <c r="F527" s="23" t="s">
        <v>2117</v>
      </c>
      <c r="G527" s="23" t="s">
        <v>2153</v>
      </c>
      <c r="J527" s="23" t="s">
        <v>31</v>
      </c>
      <c r="AD527" s="23" t="s">
        <v>2013</v>
      </c>
      <c r="AI527" s="23" t="s">
        <v>2153</v>
      </c>
      <c r="AL527" s="23" t="s">
        <v>31</v>
      </c>
      <c r="AP527" s="73"/>
      <c r="AQ527" s="75"/>
      <c r="AR527" s="76"/>
      <c r="AS527" s="77"/>
      <c r="AV527" s="75"/>
      <c r="AW527" s="83"/>
      <c r="AX527" s="84"/>
      <c r="AY527" s="80">
        <v>3</v>
      </c>
      <c r="AZ527" s="66">
        <v>2</v>
      </c>
      <c r="BB527" s="81"/>
      <c r="BE527" s="23" t="s">
        <v>2013</v>
      </c>
      <c r="BG527" s="23" t="s">
        <v>2215</v>
      </c>
    </row>
    <row r="528" spans="1:59" ht="15" customHeight="1">
      <c r="A528" s="23" t="s">
        <v>2116</v>
      </c>
      <c r="B528" s="23" t="s">
        <v>2154</v>
      </c>
      <c r="C528" s="23" t="s">
        <v>2360</v>
      </c>
      <c r="D528" s="24">
        <v>245</v>
      </c>
      <c r="E528" s="23">
        <v>1</v>
      </c>
      <c r="F528" s="23" t="s">
        <v>2117</v>
      </c>
      <c r="G528" s="23" t="s">
        <v>2153</v>
      </c>
      <c r="J528" s="23" t="s">
        <v>31</v>
      </c>
      <c r="AD528" s="23" t="s">
        <v>2013</v>
      </c>
      <c r="AI528" s="23" t="s">
        <v>2153</v>
      </c>
      <c r="AL528" s="23" t="s">
        <v>31</v>
      </c>
      <c r="AP528" s="73"/>
      <c r="AQ528" s="75"/>
      <c r="AR528" s="76"/>
      <c r="AS528" s="77"/>
      <c r="AV528" s="75"/>
      <c r="AW528" s="83"/>
      <c r="AX528" s="84"/>
      <c r="AY528" s="80">
        <v>2</v>
      </c>
      <c r="AZ528" s="66">
        <v>0</v>
      </c>
      <c r="BB528" s="81"/>
      <c r="BE528" s="23" t="s">
        <v>2013</v>
      </c>
      <c r="BG528" s="23" t="s">
        <v>2216</v>
      </c>
    </row>
    <row r="529" spans="1:59" ht="15" customHeight="1">
      <c r="A529" s="23" t="s">
        <v>2116</v>
      </c>
      <c r="B529" s="23" t="s">
        <v>2155</v>
      </c>
      <c r="C529" s="23" t="s">
        <v>2360</v>
      </c>
      <c r="D529" s="24">
        <v>246</v>
      </c>
      <c r="E529" s="23">
        <v>1</v>
      </c>
      <c r="F529" s="23" t="s">
        <v>2117</v>
      </c>
      <c r="G529" s="23" t="s">
        <v>2156</v>
      </c>
      <c r="J529" s="23" t="s">
        <v>31</v>
      </c>
      <c r="AD529" s="23" t="s">
        <v>2013</v>
      </c>
      <c r="AI529" s="23" t="s">
        <v>2156</v>
      </c>
      <c r="AL529" s="23" t="s">
        <v>31</v>
      </c>
      <c r="AP529" s="73"/>
      <c r="AQ529" s="75"/>
      <c r="AR529" s="76"/>
      <c r="AS529" s="77"/>
      <c r="AV529" s="75"/>
      <c r="AW529" s="83"/>
      <c r="AX529" s="84"/>
      <c r="AY529" s="80">
        <v>3</v>
      </c>
      <c r="AZ529" s="66">
        <v>1</v>
      </c>
      <c r="BB529" s="81"/>
      <c r="BE529" s="23" t="s">
        <v>2013</v>
      </c>
      <c r="BG529" s="23" t="s">
        <v>2217</v>
      </c>
    </row>
    <row r="530" spans="1:59" ht="15" customHeight="1">
      <c r="A530" s="23" t="s">
        <v>2116</v>
      </c>
      <c r="B530" s="23" t="s">
        <v>2157</v>
      </c>
      <c r="C530" s="23" t="s">
        <v>2360</v>
      </c>
      <c r="D530" s="24">
        <v>247</v>
      </c>
      <c r="E530" s="23">
        <v>1</v>
      </c>
      <c r="F530" s="23" t="s">
        <v>2117</v>
      </c>
      <c r="G530" s="23" t="s">
        <v>2156</v>
      </c>
      <c r="J530" s="23" t="s">
        <v>31</v>
      </c>
      <c r="AD530" s="23" t="s">
        <v>2013</v>
      </c>
      <c r="AI530" s="23" t="s">
        <v>2156</v>
      </c>
      <c r="AL530" s="23" t="s">
        <v>31</v>
      </c>
      <c r="AP530" s="73"/>
      <c r="AQ530" s="75"/>
      <c r="AR530" s="76"/>
      <c r="AS530" s="77"/>
      <c r="AV530" s="75"/>
      <c r="AW530" s="83"/>
      <c r="AX530" s="84"/>
      <c r="AY530" s="80">
        <v>2</v>
      </c>
      <c r="AZ530" s="66">
        <v>3</v>
      </c>
      <c r="BB530" s="81"/>
      <c r="BE530" s="23" t="s">
        <v>2013</v>
      </c>
      <c r="BG530" s="23" t="s">
        <v>2218</v>
      </c>
    </row>
    <row r="531" spans="1:59" ht="15" customHeight="1">
      <c r="A531" s="23" t="s">
        <v>2116</v>
      </c>
      <c r="B531" s="23" t="s">
        <v>2158</v>
      </c>
      <c r="C531" s="23" t="s">
        <v>2360</v>
      </c>
      <c r="D531" s="24">
        <v>248</v>
      </c>
      <c r="E531" s="23">
        <v>1</v>
      </c>
      <c r="F531" s="23" t="s">
        <v>2117</v>
      </c>
      <c r="G531" s="23" t="s">
        <v>2159</v>
      </c>
      <c r="J531" s="23" t="s">
        <v>31</v>
      </c>
      <c r="AD531" s="23" t="s">
        <v>2013</v>
      </c>
      <c r="AI531" s="23" t="s">
        <v>2159</v>
      </c>
      <c r="AL531" s="23" t="s">
        <v>31</v>
      </c>
      <c r="AP531" s="73"/>
      <c r="AQ531" s="75"/>
      <c r="AR531" s="76"/>
      <c r="AS531" s="77"/>
      <c r="AV531" s="75"/>
      <c r="AW531" s="83"/>
      <c r="AX531" s="84"/>
      <c r="AY531" s="80">
        <v>4</v>
      </c>
      <c r="AZ531" s="66">
        <v>3</v>
      </c>
      <c r="BB531" s="81"/>
      <c r="BE531" s="23" t="s">
        <v>2013</v>
      </c>
      <c r="BG531" s="23" t="s">
        <v>2219</v>
      </c>
    </row>
    <row r="532" spans="1:59" ht="15" customHeight="1">
      <c r="A532" s="23" t="s">
        <v>2116</v>
      </c>
      <c r="B532" s="23" t="s">
        <v>2160</v>
      </c>
      <c r="C532" s="23" t="s">
        <v>2360</v>
      </c>
      <c r="D532" s="24">
        <v>249</v>
      </c>
      <c r="E532" s="23">
        <v>1</v>
      </c>
      <c r="F532" s="23" t="s">
        <v>2117</v>
      </c>
      <c r="G532" s="23" t="s">
        <v>2159</v>
      </c>
      <c r="J532" s="23" t="s">
        <v>31</v>
      </c>
      <c r="AD532" s="23" t="s">
        <v>2013</v>
      </c>
      <c r="AI532" s="23" t="s">
        <v>2159</v>
      </c>
      <c r="AL532" s="23" t="s">
        <v>31</v>
      </c>
      <c r="AP532" s="73"/>
      <c r="AQ532" s="75"/>
      <c r="AR532" s="76"/>
      <c r="AS532" s="77"/>
      <c r="AV532" s="75"/>
      <c r="AW532" s="83"/>
      <c r="AX532" s="84"/>
      <c r="AY532" s="80">
        <v>3</v>
      </c>
      <c r="AZ532" s="66">
        <v>2</v>
      </c>
      <c r="BB532" s="81"/>
      <c r="BE532" s="23" t="s">
        <v>2013</v>
      </c>
      <c r="BG532" s="23" t="s">
        <v>2220</v>
      </c>
    </row>
    <row r="533" spans="1:59" ht="15" customHeight="1">
      <c r="A533" s="23" t="s">
        <v>2116</v>
      </c>
      <c r="B533" s="23" t="s">
        <v>2161</v>
      </c>
      <c r="C533" s="23" t="s">
        <v>2360</v>
      </c>
      <c r="D533" s="24">
        <v>250</v>
      </c>
      <c r="E533" s="23">
        <v>1</v>
      </c>
      <c r="F533" s="23" t="s">
        <v>2117</v>
      </c>
      <c r="G533" s="23" t="s">
        <v>2162</v>
      </c>
      <c r="J533" s="23" t="s">
        <v>31</v>
      </c>
      <c r="AD533" s="23" t="s">
        <v>2013</v>
      </c>
      <c r="AI533" s="23" t="s">
        <v>2162</v>
      </c>
      <c r="AL533" s="23" t="s">
        <v>31</v>
      </c>
      <c r="AP533" s="73"/>
      <c r="AQ533" s="75"/>
      <c r="AR533" s="76"/>
      <c r="AS533" s="77"/>
      <c r="AV533" s="75"/>
      <c r="AW533" s="83"/>
      <c r="AX533" s="84"/>
      <c r="AY533" s="80">
        <v>3</v>
      </c>
      <c r="AZ533" s="66" t="s">
        <v>1697</v>
      </c>
      <c r="BB533" s="81"/>
      <c r="BE533" s="23" t="s">
        <v>2013</v>
      </c>
      <c r="BG533" s="23" t="s">
        <v>2221</v>
      </c>
    </row>
    <row r="534" spans="1:59" ht="15" customHeight="1">
      <c r="A534" s="23" t="s">
        <v>2116</v>
      </c>
      <c r="B534" s="23" t="s">
        <v>2163</v>
      </c>
      <c r="C534" s="23" t="s">
        <v>2360</v>
      </c>
      <c r="D534" s="24">
        <v>251</v>
      </c>
      <c r="E534" s="23">
        <v>1</v>
      </c>
      <c r="F534" s="23" t="s">
        <v>2117</v>
      </c>
      <c r="G534" s="23" t="s">
        <v>2162</v>
      </c>
      <c r="J534" s="23" t="s">
        <v>31</v>
      </c>
      <c r="AD534" s="23" t="s">
        <v>2013</v>
      </c>
      <c r="AI534" s="23" t="s">
        <v>2162</v>
      </c>
      <c r="AL534" s="23" t="s">
        <v>31</v>
      </c>
      <c r="AP534" s="73"/>
      <c r="AQ534" s="75"/>
      <c r="AR534" s="76"/>
      <c r="AS534" s="77"/>
      <c r="AV534" s="75"/>
      <c r="AW534" s="83"/>
      <c r="AX534" s="84"/>
      <c r="AY534" s="80">
        <v>2</v>
      </c>
      <c r="AZ534" s="66" t="s">
        <v>1697</v>
      </c>
      <c r="BB534" s="81"/>
      <c r="BE534" s="23" t="s">
        <v>2013</v>
      </c>
      <c r="BG534" s="23" t="s">
        <v>2222</v>
      </c>
    </row>
    <row r="535" spans="1:59" ht="15" customHeight="1">
      <c r="A535" s="23" t="s">
        <v>2116</v>
      </c>
      <c r="B535" s="23" t="s">
        <v>2164</v>
      </c>
      <c r="C535" s="23" t="s">
        <v>2360</v>
      </c>
      <c r="D535" s="24">
        <v>252</v>
      </c>
      <c r="E535" s="23">
        <v>1</v>
      </c>
      <c r="F535" s="23" t="s">
        <v>2117</v>
      </c>
      <c r="G535" s="23" t="s">
        <v>2165</v>
      </c>
      <c r="J535" s="23" t="s">
        <v>31</v>
      </c>
      <c r="AD535" s="23" t="s">
        <v>2013</v>
      </c>
      <c r="AI535" s="23" t="s">
        <v>2165</v>
      </c>
      <c r="AL535" s="23" t="s">
        <v>31</v>
      </c>
      <c r="AP535" s="73"/>
      <c r="AQ535" s="75"/>
      <c r="AR535" s="76"/>
      <c r="AS535" s="77"/>
      <c r="AV535" s="75"/>
      <c r="AW535" s="83"/>
      <c r="AX535" s="84"/>
      <c r="AY535" s="80">
        <v>1</v>
      </c>
      <c r="AZ535" s="66">
        <v>2</v>
      </c>
      <c r="BB535" s="81"/>
      <c r="BE535" s="23" t="s">
        <v>2013</v>
      </c>
      <c r="BG535" s="23" t="s">
        <v>2223</v>
      </c>
    </row>
    <row r="536" spans="1:59" ht="15" customHeight="1">
      <c r="A536" s="23" t="s">
        <v>2116</v>
      </c>
      <c r="B536" s="23" t="s">
        <v>2166</v>
      </c>
      <c r="C536" s="23" t="s">
        <v>2360</v>
      </c>
      <c r="D536" s="24">
        <v>253</v>
      </c>
      <c r="E536" s="23">
        <v>1</v>
      </c>
      <c r="F536" s="23" t="s">
        <v>2117</v>
      </c>
      <c r="G536" s="23" t="s">
        <v>2165</v>
      </c>
      <c r="J536" s="23" t="s">
        <v>31</v>
      </c>
      <c r="AD536" s="23" t="s">
        <v>2013</v>
      </c>
      <c r="AI536" s="23" t="s">
        <v>2165</v>
      </c>
      <c r="AL536" s="23" t="s">
        <v>31</v>
      </c>
      <c r="AP536" s="73"/>
      <c r="AQ536" s="75"/>
      <c r="AR536" s="76"/>
      <c r="AS536" s="77"/>
      <c r="AV536" s="75"/>
      <c r="AW536" s="83"/>
      <c r="AX536" s="84"/>
      <c r="AY536" s="80">
        <v>2</v>
      </c>
      <c r="AZ536" s="66" t="s">
        <v>1071</v>
      </c>
      <c r="BB536" s="81"/>
      <c r="BE536" s="23" t="s">
        <v>2013</v>
      </c>
      <c r="BG536" s="23" t="s">
        <v>2224</v>
      </c>
    </row>
    <row r="537" spans="1:59" ht="15" customHeight="1">
      <c r="A537" s="23" t="s">
        <v>2116</v>
      </c>
      <c r="B537" s="23" t="s">
        <v>2167</v>
      </c>
      <c r="C537" s="23" t="s">
        <v>2360</v>
      </c>
      <c r="D537" s="24">
        <v>254</v>
      </c>
      <c r="E537" s="23">
        <v>1</v>
      </c>
      <c r="F537" s="23" t="s">
        <v>2117</v>
      </c>
      <c r="G537" s="23" t="s">
        <v>2168</v>
      </c>
      <c r="J537" s="23" t="s">
        <v>257</v>
      </c>
      <c r="K537" s="23" t="s">
        <v>26</v>
      </c>
      <c r="N537" s="62">
        <v>0</v>
      </c>
      <c r="AD537" s="23" t="s">
        <v>279</v>
      </c>
      <c r="AF537" s="23" t="s">
        <v>2225</v>
      </c>
      <c r="AP537" s="73"/>
      <c r="AQ537" s="75"/>
      <c r="AR537" s="76"/>
      <c r="AS537" s="77"/>
      <c r="AV537" s="75"/>
      <c r="AW537" s="83"/>
      <c r="AX537" s="84"/>
      <c r="AY537" s="80"/>
      <c r="BB537" s="81"/>
    </row>
    <row r="538" spans="1:59" ht="15" customHeight="1">
      <c r="A538" s="23" t="s">
        <v>2116</v>
      </c>
      <c r="B538" s="23" t="s">
        <v>2169</v>
      </c>
      <c r="C538" s="23" t="s">
        <v>2360</v>
      </c>
      <c r="D538" s="24">
        <v>255</v>
      </c>
      <c r="E538" s="23">
        <v>5</v>
      </c>
      <c r="F538" s="23" t="s">
        <v>2117</v>
      </c>
      <c r="G538" s="23" t="s">
        <v>2170</v>
      </c>
      <c r="J538" s="23" t="s">
        <v>29</v>
      </c>
      <c r="Q538" s="65">
        <v>6</v>
      </c>
      <c r="R538" s="66">
        <v>3</v>
      </c>
      <c r="T538" s="68">
        <v>1</v>
      </c>
      <c r="V538" s="69">
        <v>2</v>
      </c>
      <c r="W538" s="70">
        <v>2</v>
      </c>
      <c r="AA538" s="72">
        <v>1</v>
      </c>
      <c r="AD538" s="23" t="s">
        <v>1691</v>
      </c>
      <c r="AF538" s="23" t="s">
        <v>2226</v>
      </c>
      <c r="AP538" s="73"/>
      <c r="AQ538" s="75"/>
      <c r="AR538" s="76"/>
      <c r="AS538" s="77"/>
      <c r="AV538" s="75"/>
      <c r="AW538" s="83"/>
      <c r="AX538" s="84"/>
      <c r="AY538" s="80"/>
      <c r="BB538" s="81"/>
    </row>
    <row r="539" spans="1:59" ht="15" customHeight="1">
      <c r="A539" s="23" t="s">
        <v>2116</v>
      </c>
      <c r="B539" s="23" t="s">
        <v>2171</v>
      </c>
      <c r="C539" s="23" t="s">
        <v>2360</v>
      </c>
      <c r="D539" s="24">
        <v>256</v>
      </c>
      <c r="E539" s="23">
        <v>4</v>
      </c>
      <c r="F539" s="23" t="s">
        <v>2117</v>
      </c>
      <c r="G539" s="23" t="s">
        <v>2172</v>
      </c>
      <c r="J539" s="23" t="s">
        <v>28</v>
      </c>
      <c r="AF539" s="23" t="s">
        <v>2227</v>
      </c>
      <c r="AP539" s="73"/>
      <c r="AQ539" s="75"/>
      <c r="AR539" s="76"/>
      <c r="AS539" s="77"/>
      <c r="AV539" s="75"/>
      <c r="AW539" s="83"/>
      <c r="AX539" s="84"/>
      <c r="AY539" s="80"/>
      <c r="BB539" s="81"/>
    </row>
    <row r="540" spans="1:59" ht="15" customHeight="1">
      <c r="A540" s="23" t="s">
        <v>2116</v>
      </c>
      <c r="B540" s="23" t="s">
        <v>2173</v>
      </c>
      <c r="C540" s="23" t="s">
        <v>2360</v>
      </c>
      <c r="D540" s="24">
        <v>257</v>
      </c>
      <c r="E540" s="23">
        <v>3</v>
      </c>
      <c r="F540" s="23" t="s">
        <v>2117</v>
      </c>
      <c r="G540" s="23" t="s">
        <v>2174</v>
      </c>
      <c r="J540" s="23" t="s">
        <v>28</v>
      </c>
      <c r="AD540" s="23" t="s">
        <v>479</v>
      </c>
      <c r="AF540" s="23" t="s">
        <v>2228</v>
      </c>
      <c r="AP540" s="73"/>
      <c r="AQ540" s="75"/>
      <c r="AR540" s="76"/>
      <c r="AS540" s="77"/>
      <c r="AV540" s="75"/>
      <c r="AW540" s="83"/>
      <c r="AX540" s="84"/>
      <c r="AY540" s="80"/>
      <c r="BB540" s="81"/>
    </row>
    <row r="541" spans="1:59" ht="15" customHeight="1">
      <c r="A541" s="23" t="s">
        <v>2116</v>
      </c>
      <c r="B541" s="23" t="s">
        <v>2175</v>
      </c>
      <c r="C541" s="23" t="s">
        <v>2360</v>
      </c>
      <c r="D541" s="24">
        <v>258</v>
      </c>
      <c r="E541" s="23">
        <v>2</v>
      </c>
      <c r="F541" s="23" t="s">
        <v>2117</v>
      </c>
      <c r="G541" s="23" t="s">
        <v>2176</v>
      </c>
      <c r="J541" s="23" t="s">
        <v>28</v>
      </c>
      <c r="AF541" s="23" t="s">
        <v>2229</v>
      </c>
      <c r="AP541" s="73"/>
      <c r="AQ541" s="75"/>
      <c r="AR541" s="76"/>
      <c r="AS541" s="77"/>
      <c r="AV541" s="75"/>
      <c r="AW541" s="83"/>
      <c r="AX541" s="84"/>
      <c r="AY541" s="80"/>
      <c r="BB541" s="81"/>
    </row>
    <row r="542" spans="1:59" ht="15" customHeight="1">
      <c r="A542" s="23" t="s">
        <v>2116</v>
      </c>
      <c r="B542" s="23" t="s">
        <v>2177</v>
      </c>
      <c r="C542" s="23" t="s">
        <v>2360</v>
      </c>
      <c r="D542" s="24">
        <v>259</v>
      </c>
      <c r="E542" s="23">
        <v>2</v>
      </c>
      <c r="F542" s="23" t="s">
        <v>2117</v>
      </c>
      <c r="G542" s="23" t="s">
        <v>2178</v>
      </c>
      <c r="J542" s="23" t="s">
        <v>28</v>
      </c>
      <c r="AD542" s="23" t="s">
        <v>481</v>
      </c>
      <c r="AF542" s="23" t="s">
        <v>2230</v>
      </c>
      <c r="AP542" s="73"/>
      <c r="AQ542" s="75"/>
      <c r="AR542" s="76"/>
      <c r="AS542" s="77"/>
      <c r="AV542" s="75"/>
      <c r="AW542" s="83"/>
      <c r="AX542" s="84"/>
      <c r="AY542" s="80"/>
      <c r="BB542" s="81"/>
    </row>
    <row r="543" spans="1:59" ht="15" customHeight="1">
      <c r="A543" s="41" t="s">
        <v>2231</v>
      </c>
      <c r="B543" s="41" t="s">
        <v>2234</v>
      </c>
      <c r="C543" s="41" t="s">
        <v>2361</v>
      </c>
      <c r="D543" s="116">
        <v>260</v>
      </c>
      <c r="E543" s="41">
        <v>2</v>
      </c>
      <c r="F543" s="41"/>
      <c r="G543" s="41" t="s">
        <v>2235</v>
      </c>
      <c r="J543" s="23" t="s">
        <v>312</v>
      </c>
      <c r="K543" s="23" t="s">
        <v>198</v>
      </c>
      <c r="L543" s="23">
        <v>0</v>
      </c>
      <c r="S543" s="113">
        <v>1</v>
      </c>
      <c r="AB543" s="23" t="s">
        <v>208</v>
      </c>
      <c r="AD543" s="23" t="s">
        <v>313</v>
      </c>
      <c r="AF543" s="23" t="s">
        <v>2309</v>
      </c>
      <c r="AP543" s="73"/>
      <c r="AQ543" s="75"/>
      <c r="AR543" s="76"/>
      <c r="AS543" s="77"/>
      <c r="AV543" s="75"/>
      <c r="AW543" s="83"/>
      <c r="AX543" s="84"/>
      <c r="AY543" s="80"/>
      <c r="BB543" s="81"/>
    </row>
    <row r="544" spans="1:59" ht="15" customHeight="1">
      <c r="A544" s="23" t="s">
        <v>2231</v>
      </c>
      <c r="B544" s="23" t="s">
        <v>2236</v>
      </c>
      <c r="C544" s="23" t="s">
        <v>2361</v>
      </c>
      <c r="D544" s="24">
        <v>261</v>
      </c>
      <c r="E544" s="23">
        <v>2</v>
      </c>
      <c r="G544" s="23" t="s">
        <v>2237</v>
      </c>
      <c r="J544" s="23" t="s">
        <v>27</v>
      </c>
      <c r="K544" s="23" t="s">
        <v>198</v>
      </c>
      <c r="L544" s="23">
        <v>4</v>
      </c>
      <c r="N544" s="62">
        <v>0</v>
      </c>
      <c r="O544" s="63">
        <v>2</v>
      </c>
      <c r="R544" s="66">
        <v>1</v>
      </c>
      <c r="AB544" s="23" t="s">
        <v>2310</v>
      </c>
      <c r="AD544" s="23" t="s">
        <v>1805</v>
      </c>
      <c r="AF544" s="117" t="s">
        <v>2362</v>
      </c>
      <c r="AP544" s="73"/>
      <c r="AQ544" s="75"/>
      <c r="AR544" s="76"/>
      <c r="AS544" s="77"/>
      <c r="AV544" s="75"/>
      <c r="AW544" s="83"/>
      <c r="AX544" s="84"/>
      <c r="AY544" s="80"/>
      <c r="BB544" s="81"/>
    </row>
    <row r="545" spans="1:59" ht="15" customHeight="1">
      <c r="A545" s="23" t="s">
        <v>2231</v>
      </c>
      <c r="B545" s="23" t="s">
        <v>2238</v>
      </c>
      <c r="C545" s="23" t="s">
        <v>2361</v>
      </c>
      <c r="D545" s="24">
        <v>262</v>
      </c>
      <c r="E545" s="23">
        <v>2</v>
      </c>
      <c r="G545" s="23" t="s">
        <v>1396</v>
      </c>
      <c r="H545" s="23" t="s">
        <v>2311</v>
      </c>
      <c r="J545" s="23" t="s">
        <v>257</v>
      </c>
      <c r="K545" s="23" t="s">
        <v>199</v>
      </c>
      <c r="L545" s="23">
        <v>4</v>
      </c>
      <c r="N545" s="62">
        <v>1</v>
      </c>
      <c r="O545" s="63">
        <v>2</v>
      </c>
      <c r="AB545" s="23" t="s">
        <v>1094</v>
      </c>
      <c r="AD545" s="23" t="s">
        <v>1398</v>
      </c>
      <c r="AF545" s="23" t="s">
        <v>2363</v>
      </c>
      <c r="AP545" s="73"/>
      <c r="AQ545" s="75"/>
      <c r="AR545" s="76"/>
      <c r="AS545" s="77"/>
      <c r="AV545" s="75"/>
      <c r="AW545" s="83"/>
      <c r="AX545" s="84"/>
      <c r="AY545" s="80"/>
      <c r="BB545" s="81"/>
    </row>
    <row r="546" spans="1:59" ht="15" customHeight="1">
      <c r="A546" s="23" t="s">
        <v>2231</v>
      </c>
      <c r="B546" s="23" t="s">
        <v>2239</v>
      </c>
      <c r="C546" s="23" t="s">
        <v>2361</v>
      </c>
      <c r="D546" s="24">
        <v>263</v>
      </c>
      <c r="E546" s="23">
        <v>2</v>
      </c>
      <c r="G546" s="23" t="s">
        <v>1396</v>
      </c>
      <c r="H546" s="23" t="s">
        <v>2312</v>
      </c>
      <c r="J546" s="23" t="s">
        <v>257</v>
      </c>
      <c r="K546" s="23" t="s">
        <v>199</v>
      </c>
      <c r="L546" s="23">
        <v>4</v>
      </c>
      <c r="N546" s="62">
        <v>1</v>
      </c>
      <c r="Q546" s="65">
        <v>2</v>
      </c>
      <c r="AB546" s="23" t="s">
        <v>1088</v>
      </c>
      <c r="AD546" s="23" t="s">
        <v>1398</v>
      </c>
      <c r="AF546" s="23" t="s">
        <v>2364</v>
      </c>
      <c r="AP546" s="73"/>
      <c r="AQ546" s="75"/>
      <c r="AR546" s="76"/>
      <c r="AS546" s="77"/>
      <c r="AV546" s="75"/>
      <c r="AW546" s="83"/>
      <c r="AX546" s="84"/>
      <c r="AY546" s="80"/>
      <c r="BB546" s="81"/>
    </row>
    <row r="547" spans="1:59" ht="15" customHeight="1">
      <c r="A547" s="23" t="s">
        <v>2231</v>
      </c>
      <c r="B547" s="23" t="s">
        <v>2240</v>
      </c>
      <c r="C547" s="23" t="s">
        <v>2361</v>
      </c>
      <c r="D547" s="24">
        <v>264</v>
      </c>
      <c r="E547" s="23">
        <v>2</v>
      </c>
      <c r="G547" s="23" t="s">
        <v>1396</v>
      </c>
      <c r="H547" s="23" t="s">
        <v>2313</v>
      </c>
      <c r="J547" s="23" t="s">
        <v>257</v>
      </c>
      <c r="K547" s="23" t="s">
        <v>199</v>
      </c>
      <c r="L547" s="23">
        <v>4</v>
      </c>
      <c r="N547" s="62">
        <v>1</v>
      </c>
      <c r="R547" s="66">
        <v>2</v>
      </c>
      <c r="AB547" s="23" t="s">
        <v>1095</v>
      </c>
      <c r="AD547" s="23" t="s">
        <v>1398</v>
      </c>
      <c r="AF547" s="23" t="s">
        <v>2365</v>
      </c>
      <c r="AP547" s="73"/>
      <c r="AQ547" s="75"/>
      <c r="AR547" s="76"/>
      <c r="AS547" s="77"/>
      <c r="AV547" s="75"/>
      <c r="AW547" s="83"/>
      <c r="AX547" s="84"/>
      <c r="AY547" s="80"/>
      <c r="BB547" s="81"/>
    </row>
    <row r="548" spans="1:59" ht="15" customHeight="1">
      <c r="A548" s="23" t="s">
        <v>2231</v>
      </c>
      <c r="B548" s="23" t="s">
        <v>2241</v>
      </c>
      <c r="C548" s="23" t="s">
        <v>2361</v>
      </c>
      <c r="D548" s="24">
        <v>265</v>
      </c>
      <c r="E548" s="23">
        <v>2</v>
      </c>
      <c r="G548" s="23" t="s">
        <v>2242</v>
      </c>
      <c r="H548" s="23" t="s">
        <v>2314</v>
      </c>
      <c r="I548" s="23" t="s">
        <v>223</v>
      </c>
      <c r="J548" s="23" t="s">
        <v>257</v>
      </c>
      <c r="K548" s="23" t="s">
        <v>201</v>
      </c>
      <c r="L548" s="23">
        <v>0</v>
      </c>
      <c r="N548" s="62">
        <v>4</v>
      </c>
      <c r="P548" s="64">
        <v>1</v>
      </c>
      <c r="R548" s="66">
        <v>1</v>
      </c>
      <c r="T548" s="68">
        <v>3</v>
      </c>
      <c r="U548" s="63">
        <v>2</v>
      </c>
      <c r="AB548" s="23" t="s">
        <v>2315</v>
      </c>
      <c r="AD548" s="23" t="s">
        <v>362</v>
      </c>
      <c r="AF548" s="23" t="s">
        <v>2316</v>
      </c>
      <c r="AP548" s="73"/>
      <c r="AQ548" s="75"/>
      <c r="AR548" s="76"/>
      <c r="AS548" s="77"/>
      <c r="AV548" s="75"/>
      <c r="AW548" s="83"/>
      <c r="AX548" s="84"/>
      <c r="AY548" s="80"/>
      <c r="BB548" s="81"/>
    </row>
    <row r="549" spans="1:59" ht="15" customHeight="1">
      <c r="A549" s="23" t="s">
        <v>2231</v>
      </c>
      <c r="B549" s="23" t="s">
        <v>2243</v>
      </c>
      <c r="C549" s="23" t="s">
        <v>2361</v>
      </c>
      <c r="D549" s="24">
        <v>266</v>
      </c>
      <c r="E549" s="23">
        <v>2</v>
      </c>
      <c r="G549" s="23" t="s">
        <v>2244</v>
      </c>
      <c r="J549" s="23" t="s">
        <v>27</v>
      </c>
      <c r="K549" s="23" t="s">
        <v>201</v>
      </c>
      <c r="L549" s="23">
        <v>3</v>
      </c>
      <c r="N549" s="62">
        <v>0</v>
      </c>
      <c r="AD549" s="23" t="s">
        <v>1412</v>
      </c>
      <c r="AF549" s="23" t="s">
        <v>2366</v>
      </c>
      <c r="AP549" s="73"/>
      <c r="AQ549" s="75"/>
      <c r="AR549" s="76"/>
      <c r="AS549" s="77"/>
      <c r="AV549" s="75"/>
      <c r="AW549" s="83"/>
      <c r="AX549" s="84"/>
      <c r="AY549" s="80"/>
      <c r="BB549" s="81"/>
    </row>
    <row r="550" spans="1:59" ht="15" customHeight="1">
      <c r="A550" s="23" t="s">
        <v>2231</v>
      </c>
      <c r="B550" s="23" t="s">
        <v>2245</v>
      </c>
      <c r="C550" s="23" t="s">
        <v>2361</v>
      </c>
      <c r="D550" s="24">
        <v>267</v>
      </c>
      <c r="E550" s="23">
        <v>2</v>
      </c>
      <c r="G550" s="23" t="s">
        <v>2246</v>
      </c>
      <c r="J550" s="23" t="s">
        <v>27</v>
      </c>
      <c r="K550" s="23" t="s">
        <v>200</v>
      </c>
      <c r="L550" s="23">
        <v>0</v>
      </c>
      <c r="N550" s="62">
        <v>0</v>
      </c>
      <c r="P550" s="64">
        <v>1</v>
      </c>
      <c r="R550" s="66">
        <v>1</v>
      </c>
      <c r="AB550" s="23" t="s">
        <v>2315</v>
      </c>
      <c r="AD550" s="23" t="s">
        <v>2317</v>
      </c>
      <c r="AF550" s="23" t="s">
        <v>2318</v>
      </c>
      <c r="AP550" s="73"/>
      <c r="AQ550" s="75"/>
      <c r="AR550" s="76"/>
      <c r="AS550" s="77"/>
      <c r="AV550" s="75"/>
      <c r="AW550" s="83"/>
      <c r="AX550" s="84"/>
      <c r="AY550" s="80"/>
      <c r="BB550" s="81"/>
    </row>
    <row r="551" spans="1:59" ht="15" customHeight="1">
      <c r="A551" s="23" t="s">
        <v>2231</v>
      </c>
      <c r="B551" s="23" t="s">
        <v>2247</v>
      </c>
      <c r="C551" s="23" t="s">
        <v>2361</v>
      </c>
      <c r="D551" s="24">
        <v>268</v>
      </c>
      <c r="E551" s="23">
        <v>2</v>
      </c>
      <c r="G551" s="23" t="s">
        <v>678</v>
      </c>
      <c r="J551" s="23" t="s">
        <v>312</v>
      </c>
      <c r="K551" s="23" t="s">
        <v>200</v>
      </c>
      <c r="L551" s="23">
        <v>2</v>
      </c>
      <c r="O551" s="63">
        <v>2</v>
      </c>
      <c r="AB551" s="23" t="s">
        <v>1094</v>
      </c>
      <c r="AD551" s="23" t="s">
        <v>2190</v>
      </c>
      <c r="AF551" s="23" t="s">
        <v>2319</v>
      </c>
      <c r="AP551" s="73"/>
      <c r="AQ551" s="75"/>
      <c r="AR551" s="76"/>
      <c r="AS551" s="77"/>
      <c r="AV551" s="75"/>
      <c r="AW551" s="83"/>
      <c r="AX551" s="84"/>
      <c r="AY551" s="80"/>
      <c r="BB551" s="81"/>
    </row>
    <row r="552" spans="1:59" ht="15" customHeight="1">
      <c r="A552" s="23" t="s">
        <v>2231</v>
      </c>
      <c r="B552" s="23" t="s">
        <v>2248</v>
      </c>
      <c r="C552" s="23" t="s">
        <v>2361</v>
      </c>
      <c r="D552" s="24">
        <v>269</v>
      </c>
      <c r="E552" s="23">
        <v>2</v>
      </c>
      <c r="G552" s="23" t="s">
        <v>2249</v>
      </c>
      <c r="H552" s="23" t="s">
        <v>2320</v>
      </c>
      <c r="I552" s="23" t="s">
        <v>223</v>
      </c>
      <c r="J552" s="23" t="s">
        <v>257</v>
      </c>
      <c r="K552" s="23" t="s">
        <v>200</v>
      </c>
      <c r="L552" s="23">
        <v>3</v>
      </c>
      <c r="N552" s="62">
        <v>3</v>
      </c>
      <c r="S552" s="113">
        <v>1</v>
      </c>
      <c r="AB552" s="23" t="s">
        <v>208</v>
      </c>
      <c r="AC552" s="23" t="s">
        <v>275</v>
      </c>
      <c r="AD552" s="23" t="s">
        <v>276</v>
      </c>
      <c r="AF552" s="23" t="s">
        <v>2321</v>
      </c>
      <c r="AP552" s="73"/>
      <c r="AQ552" s="75"/>
      <c r="AR552" s="76"/>
      <c r="AS552" s="77"/>
      <c r="AV552" s="75"/>
      <c r="AW552" s="83"/>
      <c r="AX552" s="84"/>
      <c r="AY552" s="80"/>
      <c r="BB552" s="81"/>
    </row>
    <row r="553" spans="1:59" ht="15" customHeight="1">
      <c r="A553" s="23" t="s">
        <v>2231</v>
      </c>
      <c r="B553" s="23" t="s">
        <v>2250</v>
      </c>
      <c r="C553" s="23" t="s">
        <v>2361</v>
      </c>
      <c r="D553" s="24">
        <v>270</v>
      </c>
      <c r="E553" s="23">
        <v>2</v>
      </c>
      <c r="G553" s="23" t="s">
        <v>2251</v>
      </c>
      <c r="J553" s="23" t="s">
        <v>27</v>
      </c>
      <c r="K553" s="23" t="s">
        <v>202</v>
      </c>
      <c r="L553" s="23">
        <v>0</v>
      </c>
      <c r="N553" s="62">
        <v>1</v>
      </c>
      <c r="O553" s="63">
        <v>1</v>
      </c>
      <c r="P553" s="64">
        <v>1</v>
      </c>
      <c r="AB553" s="23" t="s">
        <v>2322</v>
      </c>
      <c r="AD553" s="23" t="s">
        <v>372</v>
      </c>
      <c r="AF553" s="23" t="s">
        <v>2323</v>
      </c>
      <c r="AP553" s="73"/>
      <c r="AQ553" s="75"/>
      <c r="AR553" s="76"/>
      <c r="AS553" s="77"/>
      <c r="AV553" s="75"/>
      <c r="AW553" s="83"/>
      <c r="AX553" s="84"/>
      <c r="AY553" s="80"/>
      <c r="BB553" s="81"/>
    </row>
    <row r="554" spans="1:59" ht="15" customHeight="1">
      <c r="A554" s="23" t="s">
        <v>2231</v>
      </c>
      <c r="B554" s="23" t="s">
        <v>2252</v>
      </c>
      <c r="C554" s="23" t="s">
        <v>2361</v>
      </c>
      <c r="D554" s="24">
        <v>271</v>
      </c>
      <c r="E554" s="23">
        <v>2</v>
      </c>
      <c r="G554" s="23" t="s">
        <v>2253</v>
      </c>
      <c r="J554" s="23" t="s">
        <v>312</v>
      </c>
      <c r="K554" s="23" t="s">
        <v>202</v>
      </c>
      <c r="L554" s="23">
        <v>2</v>
      </c>
      <c r="S554" s="113">
        <v>1</v>
      </c>
      <c r="AB554" s="23" t="s">
        <v>208</v>
      </c>
      <c r="AD554" s="23" t="s">
        <v>2324</v>
      </c>
      <c r="AF554" s="23" t="s">
        <v>2367</v>
      </c>
      <c r="AP554" s="73"/>
      <c r="AQ554" s="75"/>
      <c r="AR554" s="76"/>
      <c r="AS554" s="77"/>
      <c r="AV554" s="75"/>
      <c r="AW554" s="83"/>
      <c r="AX554" s="84"/>
      <c r="AY554" s="80"/>
      <c r="BB554" s="81"/>
    </row>
    <row r="555" spans="1:59" ht="15" customHeight="1">
      <c r="A555" s="23" t="s">
        <v>2231</v>
      </c>
      <c r="B555" s="23" t="s">
        <v>2254</v>
      </c>
      <c r="C555" s="23" t="s">
        <v>2361</v>
      </c>
      <c r="D555" s="24">
        <v>272</v>
      </c>
      <c r="E555" s="23">
        <v>2</v>
      </c>
      <c r="G555" s="23" t="s">
        <v>2255</v>
      </c>
      <c r="J555" s="23" t="s">
        <v>257</v>
      </c>
      <c r="K555" s="23" t="s">
        <v>26</v>
      </c>
      <c r="L555" s="23">
        <v>0</v>
      </c>
      <c r="N555" s="62">
        <v>1</v>
      </c>
      <c r="R555" s="66">
        <v>1</v>
      </c>
      <c r="T555" s="68">
        <v>1</v>
      </c>
      <c r="U555" s="63">
        <v>1</v>
      </c>
      <c r="AB555" s="23" t="s">
        <v>207</v>
      </c>
      <c r="AC555" s="23" t="s">
        <v>393</v>
      </c>
      <c r="AD555" s="23" t="s">
        <v>2325</v>
      </c>
      <c r="AF555" s="23" t="s">
        <v>2326</v>
      </c>
      <c r="AP555" s="73"/>
      <c r="AQ555" s="75"/>
      <c r="AR555" s="76"/>
      <c r="AS555" s="77"/>
      <c r="AV555" s="75"/>
      <c r="AW555" s="83"/>
      <c r="AX555" s="84"/>
      <c r="AY555" s="80"/>
      <c r="BB555" s="81"/>
    </row>
    <row r="556" spans="1:59" ht="15" customHeight="1">
      <c r="A556" s="23" t="s">
        <v>2231</v>
      </c>
      <c r="B556" s="23" t="s">
        <v>2256</v>
      </c>
      <c r="C556" s="23" t="s">
        <v>2361</v>
      </c>
      <c r="D556" s="24">
        <v>273</v>
      </c>
      <c r="E556" s="23">
        <v>2</v>
      </c>
      <c r="G556" s="23" t="s">
        <v>2257</v>
      </c>
      <c r="J556" s="23" t="s">
        <v>27</v>
      </c>
      <c r="K556" s="23" t="s">
        <v>26</v>
      </c>
      <c r="L556" s="23">
        <v>3</v>
      </c>
      <c r="N556" s="62">
        <v>3</v>
      </c>
      <c r="O556" s="63">
        <v>2</v>
      </c>
      <c r="AB556" s="23" t="s">
        <v>1094</v>
      </c>
      <c r="AD556" s="23" t="s">
        <v>1805</v>
      </c>
      <c r="AF556" s="23" t="s">
        <v>2368</v>
      </c>
      <c r="AP556" s="73"/>
      <c r="AQ556" s="75"/>
      <c r="AR556" s="76"/>
      <c r="AS556" s="77"/>
      <c r="AV556" s="75"/>
      <c r="AW556" s="83"/>
      <c r="AX556" s="84"/>
      <c r="AY556" s="80"/>
      <c r="BB556" s="81"/>
    </row>
    <row r="557" spans="1:59" ht="15" customHeight="1">
      <c r="A557" s="23" t="s">
        <v>2231</v>
      </c>
      <c r="B557" s="23" t="s">
        <v>2258</v>
      </c>
      <c r="C557" s="23" t="s">
        <v>2361</v>
      </c>
      <c r="D557" s="24">
        <v>274</v>
      </c>
      <c r="E557" s="23">
        <v>1</v>
      </c>
      <c r="F557" s="23" t="s">
        <v>2232</v>
      </c>
      <c r="G557" s="23" t="s">
        <v>2232</v>
      </c>
      <c r="H557" s="33" t="s">
        <v>709</v>
      </c>
      <c r="J557" s="23" t="s">
        <v>618</v>
      </c>
      <c r="AF557" s="23" t="s">
        <v>2377</v>
      </c>
      <c r="AI557" s="23" t="s">
        <v>2232</v>
      </c>
      <c r="AJ557" s="23" t="s">
        <v>710</v>
      </c>
      <c r="AL557" s="23" t="s">
        <v>618</v>
      </c>
      <c r="AP557" s="73"/>
      <c r="AQ557" s="75"/>
      <c r="AR557" s="76"/>
      <c r="AS557" s="77"/>
      <c r="AV557" s="75"/>
      <c r="AW557" s="83"/>
      <c r="AX557" s="84"/>
      <c r="AY557" s="80"/>
      <c r="BB557" s="81"/>
      <c r="BG557" s="23" t="s">
        <v>2376</v>
      </c>
    </row>
    <row r="558" spans="1:59" ht="15" customHeight="1">
      <c r="A558" s="23" t="s">
        <v>2231</v>
      </c>
      <c r="B558" s="23" t="s">
        <v>2259</v>
      </c>
      <c r="C558" s="23" t="s">
        <v>2361</v>
      </c>
      <c r="D558" s="24">
        <v>275</v>
      </c>
      <c r="E558" s="23">
        <v>1</v>
      </c>
      <c r="F558" s="23" t="s">
        <v>2232</v>
      </c>
      <c r="G558" s="23" t="s">
        <v>2260</v>
      </c>
      <c r="J558" s="23" t="s">
        <v>619</v>
      </c>
      <c r="Z558" s="68">
        <v>12</v>
      </c>
      <c r="AI558" s="23" t="s">
        <v>2327</v>
      </c>
      <c r="AL558" s="23" t="s">
        <v>619</v>
      </c>
      <c r="AP558" s="73"/>
      <c r="AQ558" s="75"/>
      <c r="AR558" s="76"/>
      <c r="AS558" s="77"/>
      <c r="AV558" s="75"/>
      <c r="AW558" s="83"/>
      <c r="AX558" s="84"/>
      <c r="AY558" s="80"/>
      <c r="BB558" s="81"/>
      <c r="BG558" s="23" t="s">
        <v>2328</v>
      </c>
    </row>
    <row r="559" spans="1:59" ht="15" customHeight="1">
      <c r="A559" s="23" t="s">
        <v>2231</v>
      </c>
      <c r="B559" s="23" t="s">
        <v>2261</v>
      </c>
      <c r="C559" s="23" t="s">
        <v>2361</v>
      </c>
      <c r="D559" s="24">
        <v>276</v>
      </c>
      <c r="E559" s="23">
        <v>1</v>
      </c>
      <c r="F559" s="23" t="s">
        <v>2232</v>
      </c>
      <c r="G559" s="23" t="s">
        <v>2262</v>
      </c>
      <c r="J559" s="23" t="s">
        <v>619</v>
      </c>
      <c r="Z559" s="68">
        <v>10</v>
      </c>
      <c r="AI559" s="23" t="s">
        <v>2329</v>
      </c>
      <c r="AL559" s="23" t="s">
        <v>619</v>
      </c>
      <c r="AP559" s="73"/>
      <c r="AQ559" s="75"/>
      <c r="AR559" s="76"/>
      <c r="AS559" s="77"/>
      <c r="AV559" s="75"/>
      <c r="AW559" s="83"/>
      <c r="AX559" s="84"/>
      <c r="AY559" s="80"/>
      <c r="BB559" s="81"/>
      <c r="BG559" s="23" t="s">
        <v>2212</v>
      </c>
    </row>
    <row r="560" spans="1:59" ht="15" customHeight="1">
      <c r="A560" s="23" t="s">
        <v>2231</v>
      </c>
      <c r="B560" s="23" t="s">
        <v>2263</v>
      </c>
      <c r="C560" s="23" t="s">
        <v>2361</v>
      </c>
      <c r="D560" s="24">
        <v>277</v>
      </c>
      <c r="E560" s="23">
        <v>1</v>
      </c>
      <c r="F560" s="23" t="s">
        <v>2232</v>
      </c>
      <c r="G560" s="23" t="s">
        <v>2264</v>
      </c>
      <c r="J560" s="23" t="s">
        <v>621</v>
      </c>
      <c r="Y560" s="66" t="s">
        <v>1697</v>
      </c>
      <c r="AF560" s="23" t="s">
        <v>2330</v>
      </c>
      <c r="AI560" s="23" t="s">
        <v>2331</v>
      </c>
      <c r="AL560" s="23" t="s">
        <v>621</v>
      </c>
      <c r="AP560" s="73"/>
      <c r="AQ560" s="75"/>
      <c r="AR560" s="76"/>
      <c r="AS560" s="77"/>
      <c r="AV560" s="75"/>
      <c r="AW560" s="83"/>
      <c r="AX560" s="84"/>
      <c r="AY560" s="80"/>
      <c r="BB560" s="81"/>
      <c r="BG560" s="23" t="s">
        <v>2369</v>
      </c>
    </row>
    <row r="561" spans="1:59" ht="15" customHeight="1">
      <c r="A561" s="23" t="s">
        <v>2231</v>
      </c>
      <c r="B561" s="23" t="s">
        <v>2265</v>
      </c>
      <c r="C561" s="23" t="s">
        <v>2361</v>
      </c>
      <c r="D561" s="24">
        <v>278</v>
      </c>
      <c r="E561" s="23">
        <v>1</v>
      </c>
      <c r="F561" s="23" t="s">
        <v>2232</v>
      </c>
      <c r="G561" s="23" t="s">
        <v>2266</v>
      </c>
      <c r="J561" s="23" t="s">
        <v>621</v>
      </c>
      <c r="Y561" s="66" t="s">
        <v>38</v>
      </c>
      <c r="AF561" s="23" t="s">
        <v>2370</v>
      </c>
      <c r="AI561" s="23" t="s">
        <v>2332</v>
      </c>
      <c r="AL561" s="23" t="s">
        <v>621</v>
      </c>
      <c r="AP561" s="73"/>
      <c r="AQ561" s="75"/>
      <c r="AR561" s="76"/>
      <c r="AS561" s="77"/>
      <c r="AV561" s="75"/>
      <c r="AW561" s="83"/>
      <c r="AX561" s="84"/>
      <c r="AY561" s="80"/>
      <c r="BB561" s="81"/>
      <c r="BG561" s="23" t="s">
        <v>2333</v>
      </c>
    </row>
    <row r="562" spans="1:59" ht="15" customHeight="1">
      <c r="A562" s="23" t="s">
        <v>2231</v>
      </c>
      <c r="B562" s="23" t="s">
        <v>2267</v>
      </c>
      <c r="C562" s="23" t="s">
        <v>2361</v>
      </c>
      <c r="D562" s="24">
        <v>279</v>
      </c>
      <c r="E562" s="23">
        <v>1</v>
      </c>
      <c r="F562" s="23" t="s">
        <v>2232</v>
      </c>
      <c r="G562" s="23" t="s">
        <v>2268</v>
      </c>
      <c r="J562" s="23" t="s">
        <v>621</v>
      </c>
      <c r="Y562" s="66" t="s">
        <v>38</v>
      </c>
      <c r="AF562" s="23" t="s">
        <v>2370</v>
      </c>
      <c r="AI562" s="23" t="s">
        <v>2334</v>
      </c>
      <c r="AL562" s="23" t="s">
        <v>621</v>
      </c>
      <c r="AP562" s="73"/>
      <c r="AQ562" s="75"/>
      <c r="AR562" s="76"/>
      <c r="AS562" s="77"/>
      <c r="AV562" s="75"/>
      <c r="AW562" s="83"/>
      <c r="AX562" s="84"/>
      <c r="AY562" s="80"/>
      <c r="BB562" s="81"/>
      <c r="BG562" s="23" t="s">
        <v>2335</v>
      </c>
    </row>
    <row r="563" spans="1:59" ht="15" customHeight="1">
      <c r="A563" s="23" t="s">
        <v>2231</v>
      </c>
      <c r="B563" s="23" t="s">
        <v>2269</v>
      </c>
      <c r="C563" s="23" t="s">
        <v>2361</v>
      </c>
      <c r="D563" s="24">
        <v>280</v>
      </c>
      <c r="E563" s="23">
        <v>1</v>
      </c>
      <c r="F563" s="23" t="s">
        <v>2232</v>
      </c>
      <c r="G563" s="23" t="s">
        <v>2270</v>
      </c>
      <c r="J563" s="23" t="s">
        <v>621</v>
      </c>
      <c r="Y563" s="66" t="s">
        <v>38</v>
      </c>
      <c r="AF563" s="23" t="s">
        <v>2370</v>
      </c>
      <c r="AI563" s="23" t="s">
        <v>2336</v>
      </c>
      <c r="AL563" s="23" t="s">
        <v>621</v>
      </c>
      <c r="AP563" s="73"/>
      <c r="AQ563" s="75"/>
      <c r="AR563" s="76"/>
      <c r="AS563" s="77"/>
      <c r="AV563" s="75"/>
      <c r="AW563" s="83"/>
      <c r="AX563" s="84"/>
      <c r="AY563" s="80"/>
      <c r="BB563" s="81"/>
      <c r="BG563" s="23" t="s">
        <v>2337</v>
      </c>
    </row>
    <row r="564" spans="1:59" ht="15" customHeight="1">
      <c r="A564" s="23" t="s">
        <v>2231</v>
      </c>
      <c r="B564" s="23" t="s">
        <v>2271</v>
      </c>
      <c r="C564" s="23" t="s">
        <v>2361</v>
      </c>
      <c r="D564" s="24">
        <v>281</v>
      </c>
      <c r="E564" s="23">
        <v>1</v>
      </c>
      <c r="F564" s="23" t="s">
        <v>2232</v>
      </c>
      <c r="G564" s="23" t="s">
        <v>2272</v>
      </c>
      <c r="J564" s="23" t="s">
        <v>621</v>
      </c>
      <c r="Y564" s="66" t="s">
        <v>1697</v>
      </c>
      <c r="AF564" s="23" t="s">
        <v>2338</v>
      </c>
      <c r="AI564" s="23" t="s">
        <v>2339</v>
      </c>
      <c r="AL564" s="23" t="s">
        <v>621</v>
      </c>
      <c r="AP564" s="73"/>
      <c r="AQ564" s="75"/>
      <c r="AR564" s="76"/>
      <c r="AS564" s="77"/>
      <c r="AV564" s="75"/>
      <c r="AW564" s="83"/>
      <c r="AX564" s="84"/>
      <c r="AY564" s="80"/>
      <c r="BB564" s="81"/>
      <c r="BG564" s="23" t="s">
        <v>1886</v>
      </c>
    </row>
    <row r="565" spans="1:59" ht="15" customHeight="1">
      <c r="A565" s="23" t="s">
        <v>2231</v>
      </c>
      <c r="B565" s="23" t="s">
        <v>2273</v>
      </c>
      <c r="C565" s="23" t="s">
        <v>2361</v>
      </c>
      <c r="D565" s="24">
        <v>282</v>
      </c>
      <c r="E565" s="23">
        <v>1</v>
      </c>
      <c r="F565" s="23" t="s">
        <v>2232</v>
      </c>
      <c r="G565" s="23" t="s">
        <v>2274</v>
      </c>
      <c r="J565" s="23" t="s">
        <v>31</v>
      </c>
      <c r="AD565" s="23" t="s">
        <v>2340</v>
      </c>
      <c r="AI565" s="23" t="s">
        <v>2274</v>
      </c>
      <c r="AL565" s="23" t="s">
        <v>31</v>
      </c>
      <c r="AP565" s="73"/>
      <c r="AQ565" s="75"/>
      <c r="AR565" s="76"/>
      <c r="AS565" s="77"/>
      <c r="AV565" s="75"/>
      <c r="AW565" s="83"/>
      <c r="AX565" s="84"/>
      <c r="AY565" s="80">
        <v>3</v>
      </c>
      <c r="AZ565" s="66">
        <v>0</v>
      </c>
      <c r="BB565" s="81"/>
      <c r="BE565" s="23" t="s">
        <v>2340</v>
      </c>
      <c r="BG565" s="23" t="s">
        <v>2371</v>
      </c>
    </row>
    <row r="566" spans="1:59" ht="15" customHeight="1">
      <c r="A566" s="23" t="s">
        <v>2231</v>
      </c>
      <c r="B566" s="23" t="s">
        <v>2275</v>
      </c>
      <c r="C566" s="23" t="s">
        <v>2361</v>
      </c>
      <c r="D566" s="24">
        <v>283</v>
      </c>
      <c r="E566" s="23">
        <v>1</v>
      </c>
      <c r="F566" s="23" t="s">
        <v>2232</v>
      </c>
      <c r="G566" s="23" t="s">
        <v>2276</v>
      </c>
      <c r="J566" s="23" t="s">
        <v>31</v>
      </c>
      <c r="AD566" s="23" t="s">
        <v>2340</v>
      </c>
      <c r="AF566" s="23" t="s">
        <v>2341</v>
      </c>
      <c r="AI566" s="23" t="s">
        <v>2276</v>
      </c>
      <c r="AL566" s="23" t="s">
        <v>31</v>
      </c>
      <c r="AP566" s="73"/>
      <c r="AQ566" s="75"/>
      <c r="AR566" s="76"/>
      <c r="AS566" s="77"/>
      <c r="AV566" s="75"/>
      <c r="AW566" s="83"/>
      <c r="AX566" s="84"/>
      <c r="AY566" s="80">
        <v>3</v>
      </c>
      <c r="AZ566" s="66">
        <v>0</v>
      </c>
      <c r="BB566" s="81"/>
      <c r="BE566" s="23" t="s">
        <v>2340</v>
      </c>
      <c r="BG566" s="23" t="s">
        <v>2372</v>
      </c>
    </row>
    <row r="567" spans="1:59" ht="15" customHeight="1">
      <c r="A567" s="23" t="s">
        <v>2231</v>
      </c>
      <c r="B567" s="23" t="s">
        <v>2277</v>
      </c>
      <c r="C567" s="23" t="s">
        <v>2361</v>
      </c>
      <c r="D567" s="24">
        <v>284</v>
      </c>
      <c r="E567" s="23">
        <v>1</v>
      </c>
      <c r="F567" s="23" t="s">
        <v>2232</v>
      </c>
      <c r="G567" s="23" t="s">
        <v>2278</v>
      </c>
      <c r="J567" s="23" t="s">
        <v>31</v>
      </c>
      <c r="AD567" s="23" t="s">
        <v>2340</v>
      </c>
      <c r="AF567" s="23" t="s">
        <v>2342</v>
      </c>
      <c r="AI567" s="23" t="s">
        <v>2278</v>
      </c>
      <c r="AL567" s="23" t="s">
        <v>31</v>
      </c>
      <c r="AP567" s="73"/>
      <c r="AQ567" s="75"/>
      <c r="AR567" s="76"/>
      <c r="AS567" s="77"/>
      <c r="AV567" s="75"/>
      <c r="AW567" s="83"/>
      <c r="AX567" s="84"/>
      <c r="AY567" s="80">
        <v>4</v>
      </c>
      <c r="AZ567" s="66" t="s">
        <v>1697</v>
      </c>
      <c r="BB567" s="81">
        <v>2</v>
      </c>
      <c r="BE567" s="23" t="s">
        <v>2340</v>
      </c>
      <c r="BG567" s="23" t="s">
        <v>2343</v>
      </c>
    </row>
    <row r="568" spans="1:59" ht="15" customHeight="1">
      <c r="A568" s="23" t="s">
        <v>2231</v>
      </c>
      <c r="B568" s="23" t="s">
        <v>2279</v>
      </c>
      <c r="C568" s="23" t="s">
        <v>2361</v>
      </c>
      <c r="D568" s="24">
        <v>285</v>
      </c>
      <c r="E568" s="23">
        <v>1</v>
      </c>
      <c r="F568" s="23" t="s">
        <v>2232</v>
      </c>
      <c r="G568" s="23" t="s">
        <v>2307</v>
      </c>
      <c r="J568" s="23" t="s">
        <v>31</v>
      </c>
      <c r="AD568" s="23" t="s">
        <v>2344</v>
      </c>
      <c r="AI568" s="23" t="s">
        <v>2280</v>
      </c>
      <c r="AL568" s="23" t="s">
        <v>31</v>
      </c>
      <c r="AP568" s="73"/>
      <c r="AQ568" s="75"/>
      <c r="AR568" s="76"/>
      <c r="AS568" s="77"/>
      <c r="AV568" s="75"/>
      <c r="AW568" s="83"/>
      <c r="AX568" s="84"/>
      <c r="AY568" s="80">
        <v>2</v>
      </c>
      <c r="AZ568" s="66" t="s">
        <v>1071</v>
      </c>
      <c r="BB568" s="81"/>
      <c r="BE568" s="23" t="s">
        <v>2344</v>
      </c>
      <c r="BG568" s="23" t="s">
        <v>2345</v>
      </c>
    </row>
    <row r="569" spans="1:59" ht="15" customHeight="1">
      <c r="A569" s="23" t="s">
        <v>2231</v>
      </c>
      <c r="B569" s="23" t="s">
        <v>2281</v>
      </c>
      <c r="C569" s="23" t="s">
        <v>2361</v>
      </c>
      <c r="D569" s="24">
        <v>286</v>
      </c>
      <c r="E569" s="23">
        <v>1</v>
      </c>
      <c r="F569" s="23" t="s">
        <v>2232</v>
      </c>
      <c r="G569" s="23" t="s">
        <v>2307</v>
      </c>
      <c r="J569" s="23" t="s">
        <v>31</v>
      </c>
      <c r="AD569" s="23" t="s">
        <v>2344</v>
      </c>
      <c r="AI569" s="23" t="s">
        <v>2282</v>
      </c>
      <c r="AL569" s="23" t="s">
        <v>31</v>
      </c>
      <c r="AP569" s="73"/>
      <c r="AQ569" s="75"/>
      <c r="AR569" s="76"/>
      <c r="AS569" s="77"/>
      <c r="AV569" s="75"/>
      <c r="AW569" s="83"/>
      <c r="AX569" s="84"/>
      <c r="AY569" s="80">
        <v>4</v>
      </c>
      <c r="AZ569" s="66" t="s">
        <v>1071</v>
      </c>
      <c r="BB569" s="81"/>
      <c r="BE569" s="23" t="s">
        <v>2344</v>
      </c>
      <c r="BG569" s="23" t="s">
        <v>2346</v>
      </c>
    </row>
    <row r="570" spans="1:59" ht="15" customHeight="1">
      <c r="A570" s="23" t="s">
        <v>2231</v>
      </c>
      <c r="B570" s="23" t="s">
        <v>2283</v>
      </c>
      <c r="C570" s="23" t="s">
        <v>2361</v>
      </c>
      <c r="D570" s="24">
        <v>287</v>
      </c>
      <c r="E570" s="23">
        <v>1</v>
      </c>
      <c r="F570" s="23" t="s">
        <v>2232</v>
      </c>
      <c r="G570" s="23" t="s">
        <v>2307</v>
      </c>
      <c r="J570" s="23" t="s">
        <v>31</v>
      </c>
      <c r="AD570" s="23" t="s">
        <v>2344</v>
      </c>
      <c r="AI570" s="23" t="s">
        <v>2284</v>
      </c>
      <c r="AL570" s="23" t="s">
        <v>31</v>
      </c>
      <c r="AP570" s="73"/>
      <c r="AQ570" s="75"/>
      <c r="AR570" s="76"/>
      <c r="AS570" s="77"/>
      <c r="AV570" s="75"/>
      <c r="AW570" s="83"/>
      <c r="AX570" s="84"/>
      <c r="AY570" s="80">
        <v>3</v>
      </c>
      <c r="AZ570" s="66">
        <v>0</v>
      </c>
      <c r="BB570" s="81"/>
      <c r="BE570" s="23" t="s">
        <v>2344</v>
      </c>
      <c r="BG570" s="23" t="s">
        <v>2373</v>
      </c>
    </row>
    <row r="571" spans="1:59" ht="15" customHeight="1">
      <c r="A571" s="23" t="s">
        <v>2231</v>
      </c>
      <c r="B571" s="23" t="s">
        <v>2285</v>
      </c>
      <c r="C571" s="23" t="s">
        <v>2361</v>
      </c>
      <c r="D571" s="24">
        <v>288</v>
      </c>
      <c r="E571" s="23">
        <v>1</v>
      </c>
      <c r="F571" s="23" t="s">
        <v>2232</v>
      </c>
      <c r="G571" s="23" t="s">
        <v>2307</v>
      </c>
      <c r="J571" s="23" t="s">
        <v>31</v>
      </c>
      <c r="AD571" s="23" t="s">
        <v>2344</v>
      </c>
      <c r="AI571" s="23" t="s">
        <v>2286</v>
      </c>
      <c r="AL571" s="23" t="s">
        <v>31</v>
      </c>
      <c r="AP571" s="73"/>
      <c r="AQ571" s="75"/>
      <c r="AR571" s="76"/>
      <c r="AS571" s="77"/>
      <c r="AV571" s="75"/>
      <c r="AW571" s="83"/>
      <c r="AX571" s="84"/>
      <c r="AY571" s="80">
        <v>3</v>
      </c>
      <c r="AZ571" s="66" t="s">
        <v>1071</v>
      </c>
      <c r="BB571" s="81"/>
      <c r="BE571" s="23" t="s">
        <v>2344</v>
      </c>
      <c r="BG571" s="23" t="s">
        <v>2347</v>
      </c>
    </row>
    <row r="572" spans="1:59" ht="15" customHeight="1">
      <c r="A572" s="23" t="s">
        <v>2231</v>
      </c>
      <c r="B572" s="23" t="s">
        <v>2287</v>
      </c>
      <c r="C572" s="23" t="s">
        <v>2361</v>
      </c>
      <c r="D572" s="24">
        <v>289</v>
      </c>
      <c r="E572" s="23">
        <v>1</v>
      </c>
      <c r="F572" s="23" t="s">
        <v>2232</v>
      </c>
      <c r="G572" s="23" t="s">
        <v>2308</v>
      </c>
      <c r="J572" s="23" t="s">
        <v>31</v>
      </c>
      <c r="AD572" s="23" t="s">
        <v>2348</v>
      </c>
      <c r="AI572" s="23" t="s">
        <v>2288</v>
      </c>
      <c r="AL572" s="23" t="s">
        <v>31</v>
      </c>
      <c r="AP572" s="73"/>
      <c r="AQ572" s="75"/>
      <c r="AR572" s="76"/>
      <c r="AS572" s="77"/>
      <c r="AV572" s="75"/>
      <c r="AW572" s="83"/>
      <c r="AX572" s="84"/>
      <c r="AY572" s="80">
        <v>3</v>
      </c>
      <c r="AZ572" s="66" t="s">
        <v>1071</v>
      </c>
      <c r="BB572" s="81"/>
      <c r="BE572" s="23" t="s">
        <v>2348</v>
      </c>
      <c r="BG572" s="23" t="s">
        <v>2349</v>
      </c>
    </row>
    <row r="573" spans="1:59" ht="15" customHeight="1">
      <c r="A573" s="23" t="s">
        <v>2231</v>
      </c>
      <c r="B573" s="23" t="s">
        <v>2289</v>
      </c>
      <c r="C573" s="23" t="s">
        <v>2361</v>
      </c>
      <c r="D573" s="24">
        <v>290</v>
      </c>
      <c r="E573" s="23">
        <v>1</v>
      </c>
      <c r="F573" s="23" t="s">
        <v>2232</v>
      </c>
      <c r="G573" s="23" t="s">
        <v>2308</v>
      </c>
      <c r="J573" s="23" t="s">
        <v>31</v>
      </c>
      <c r="AD573" s="23" t="s">
        <v>2348</v>
      </c>
      <c r="AI573" s="23" t="s">
        <v>2290</v>
      </c>
      <c r="AL573" s="23" t="s">
        <v>31</v>
      </c>
      <c r="AP573" s="73"/>
      <c r="AQ573" s="75"/>
      <c r="AR573" s="76"/>
      <c r="AS573" s="77"/>
      <c r="AV573" s="75"/>
      <c r="AW573" s="83"/>
      <c r="AX573" s="84"/>
      <c r="AY573" s="80">
        <v>3</v>
      </c>
      <c r="AZ573" s="66" t="s">
        <v>1071</v>
      </c>
      <c r="BB573" s="81"/>
      <c r="BE573" s="23" t="s">
        <v>2348</v>
      </c>
      <c r="BG573" s="23" t="s">
        <v>2350</v>
      </c>
    </row>
    <row r="574" spans="1:59" ht="15" customHeight="1">
      <c r="A574" s="23" t="s">
        <v>2231</v>
      </c>
      <c r="B574" s="23" t="s">
        <v>2291</v>
      </c>
      <c r="C574" s="23" t="s">
        <v>2361</v>
      </c>
      <c r="D574" s="24">
        <v>291</v>
      </c>
      <c r="E574" s="23">
        <v>1</v>
      </c>
      <c r="F574" s="23" t="s">
        <v>2232</v>
      </c>
      <c r="G574" s="23" t="s">
        <v>2308</v>
      </c>
      <c r="J574" s="23" t="s">
        <v>31</v>
      </c>
      <c r="AD574" s="23" t="s">
        <v>2348</v>
      </c>
      <c r="AI574" s="23" t="s">
        <v>2292</v>
      </c>
      <c r="AL574" s="23" t="s">
        <v>31</v>
      </c>
      <c r="AP574" s="73"/>
      <c r="AQ574" s="75"/>
      <c r="AR574" s="76"/>
      <c r="AS574" s="77"/>
      <c r="AV574" s="75"/>
      <c r="AW574" s="83"/>
      <c r="AX574" s="84"/>
      <c r="AY574" s="80">
        <v>2</v>
      </c>
      <c r="AZ574" s="66" t="s">
        <v>1071</v>
      </c>
      <c r="BB574" s="81"/>
      <c r="BE574" s="23" t="s">
        <v>2348</v>
      </c>
      <c r="BG574" s="23" t="s">
        <v>2351</v>
      </c>
    </row>
    <row r="575" spans="1:59" ht="15" customHeight="1">
      <c r="A575" s="23" t="s">
        <v>2231</v>
      </c>
      <c r="B575" s="23" t="s">
        <v>2293</v>
      </c>
      <c r="C575" s="23" t="s">
        <v>2361</v>
      </c>
      <c r="D575" s="24">
        <v>292</v>
      </c>
      <c r="E575" s="23">
        <v>1</v>
      </c>
      <c r="F575" s="23" t="s">
        <v>2232</v>
      </c>
      <c r="G575" s="23" t="s">
        <v>2308</v>
      </c>
      <c r="J575" s="23" t="s">
        <v>31</v>
      </c>
      <c r="AD575" s="23" t="s">
        <v>2348</v>
      </c>
      <c r="AI575" s="23" t="s">
        <v>2294</v>
      </c>
      <c r="AL575" s="23" t="s">
        <v>31</v>
      </c>
      <c r="AP575" s="73"/>
      <c r="AQ575" s="75"/>
      <c r="AR575" s="76"/>
      <c r="AS575" s="77"/>
      <c r="AV575" s="75"/>
      <c r="AW575" s="83"/>
      <c r="AX575" s="84"/>
      <c r="AY575" s="80">
        <v>2</v>
      </c>
      <c r="AZ575" s="66" t="s">
        <v>1071</v>
      </c>
      <c r="BB575" s="81"/>
      <c r="BE575" s="23" t="s">
        <v>2348</v>
      </c>
      <c r="BG575" s="23" t="s">
        <v>2352</v>
      </c>
    </row>
    <row r="576" spans="1:59" ht="15" customHeight="1">
      <c r="A576" s="23" t="s">
        <v>2231</v>
      </c>
      <c r="B576" s="23" t="s">
        <v>2295</v>
      </c>
      <c r="C576" s="23" t="s">
        <v>2361</v>
      </c>
      <c r="D576" s="24">
        <v>293</v>
      </c>
      <c r="E576" s="23">
        <v>1</v>
      </c>
      <c r="F576" s="23" t="s">
        <v>2232</v>
      </c>
      <c r="G576" s="23" t="s">
        <v>2296</v>
      </c>
      <c r="H576" s="23" t="s">
        <v>2353</v>
      </c>
      <c r="I576" s="23" t="s">
        <v>223</v>
      </c>
      <c r="J576" s="23" t="s">
        <v>29</v>
      </c>
      <c r="Q576" s="65">
        <v>5</v>
      </c>
      <c r="R576" s="66">
        <v>5</v>
      </c>
      <c r="T576" s="68" t="s">
        <v>1112</v>
      </c>
      <c r="V576" s="69">
        <v>1</v>
      </c>
      <c r="W576" s="70">
        <v>1</v>
      </c>
      <c r="AA576" s="72">
        <v>1</v>
      </c>
      <c r="AD576" s="23" t="s">
        <v>1165</v>
      </c>
      <c r="AF576" s="23" t="s">
        <v>2354</v>
      </c>
      <c r="AP576" s="73"/>
      <c r="AQ576" s="75"/>
      <c r="AR576" s="76"/>
      <c r="AS576" s="77"/>
      <c r="AV576" s="75"/>
      <c r="AW576" s="83"/>
      <c r="AX576" s="84"/>
      <c r="AY576" s="80"/>
      <c r="BB576" s="81"/>
    </row>
    <row r="577" spans="1:54" ht="15" customHeight="1">
      <c r="A577" s="23" t="s">
        <v>2231</v>
      </c>
      <c r="B577" s="23" t="s">
        <v>2297</v>
      </c>
      <c r="C577" s="23" t="s">
        <v>2361</v>
      </c>
      <c r="D577" s="24">
        <v>294</v>
      </c>
      <c r="E577" s="23">
        <v>2</v>
      </c>
      <c r="F577" s="23" t="s">
        <v>2232</v>
      </c>
      <c r="G577" s="23" t="s">
        <v>2298</v>
      </c>
      <c r="J577" s="23" t="s">
        <v>29</v>
      </c>
      <c r="Q577" s="65">
        <v>3</v>
      </c>
      <c r="R577" s="66">
        <v>3</v>
      </c>
      <c r="T577" s="68">
        <v>3</v>
      </c>
      <c r="V577" s="69">
        <v>1</v>
      </c>
      <c r="W577" s="70">
        <v>1</v>
      </c>
      <c r="AD577" s="23" t="s">
        <v>1630</v>
      </c>
      <c r="AF577" s="23" t="s">
        <v>2374</v>
      </c>
      <c r="AP577" s="73"/>
      <c r="AQ577" s="75"/>
      <c r="AR577" s="76"/>
      <c r="AS577" s="77"/>
      <c r="AV577" s="75"/>
      <c r="AW577" s="83"/>
      <c r="AX577" s="84"/>
      <c r="AY577" s="80"/>
      <c r="BB577" s="81"/>
    </row>
    <row r="578" spans="1:54" ht="15" customHeight="1">
      <c r="A578" s="23" t="s">
        <v>2231</v>
      </c>
      <c r="B578" s="23" t="s">
        <v>2299</v>
      </c>
      <c r="C578" s="23" t="s">
        <v>2361</v>
      </c>
      <c r="D578" s="24">
        <v>295</v>
      </c>
      <c r="E578" s="23">
        <v>1</v>
      </c>
      <c r="F578" s="23" t="s">
        <v>2232</v>
      </c>
      <c r="G578" s="23" t="s">
        <v>2300</v>
      </c>
      <c r="J578" s="23" t="s">
        <v>29</v>
      </c>
      <c r="Q578" s="65">
        <v>3</v>
      </c>
      <c r="R578" s="66">
        <v>4</v>
      </c>
      <c r="T578" s="68">
        <v>6</v>
      </c>
      <c r="V578" s="69">
        <v>2</v>
      </c>
      <c r="W578" s="70">
        <v>2</v>
      </c>
      <c r="AA578" s="72">
        <v>1</v>
      </c>
      <c r="AD578" s="23" t="s">
        <v>2355</v>
      </c>
      <c r="AF578" s="23" t="s">
        <v>2375</v>
      </c>
      <c r="AP578" s="73"/>
      <c r="AQ578" s="75"/>
      <c r="AR578" s="76"/>
      <c r="AS578" s="77"/>
      <c r="AV578" s="75"/>
      <c r="AW578" s="83"/>
      <c r="AX578" s="84"/>
      <c r="AY578" s="80"/>
      <c r="BB578" s="81"/>
    </row>
    <row r="579" spans="1:54" ht="15" customHeight="1">
      <c r="A579" s="23" t="s">
        <v>2231</v>
      </c>
      <c r="B579" s="23" t="s">
        <v>2301</v>
      </c>
      <c r="C579" s="23" t="s">
        <v>2361</v>
      </c>
      <c r="D579" s="24">
        <v>296</v>
      </c>
      <c r="E579" s="23">
        <v>3</v>
      </c>
      <c r="F579" s="23" t="s">
        <v>2232</v>
      </c>
      <c r="G579" s="23" t="s">
        <v>2302</v>
      </c>
      <c r="J579" s="23" t="s">
        <v>28</v>
      </c>
      <c r="AD579" s="23" t="s">
        <v>486</v>
      </c>
      <c r="AF579" s="23" t="s">
        <v>2356</v>
      </c>
      <c r="AP579" s="73"/>
      <c r="AQ579" s="75"/>
      <c r="AR579" s="76"/>
      <c r="AS579" s="77"/>
      <c r="AV579" s="75"/>
      <c r="AW579" s="83"/>
      <c r="AX579" s="84"/>
      <c r="AY579" s="80"/>
      <c r="BB579" s="81"/>
    </row>
    <row r="580" spans="1:54" ht="15" customHeight="1">
      <c r="A580" s="23" t="s">
        <v>2231</v>
      </c>
      <c r="B580" s="23" t="s">
        <v>2303</v>
      </c>
      <c r="C580" s="23" t="s">
        <v>2361</v>
      </c>
      <c r="D580" s="24">
        <v>297</v>
      </c>
      <c r="E580" s="23">
        <v>3</v>
      </c>
      <c r="F580" s="23" t="s">
        <v>2232</v>
      </c>
      <c r="G580" s="23" t="s">
        <v>2304</v>
      </c>
      <c r="J580" s="23" t="s">
        <v>28</v>
      </c>
      <c r="AD580" s="23" t="s">
        <v>2357</v>
      </c>
      <c r="AF580" s="23" t="s">
        <v>2358</v>
      </c>
      <c r="AP580" s="73"/>
      <c r="AQ580" s="75"/>
      <c r="AR580" s="76"/>
      <c r="AS580" s="77"/>
      <c r="AV580" s="75"/>
      <c r="AW580" s="83"/>
      <c r="AX580" s="84"/>
      <c r="AY580" s="80"/>
      <c r="BB580" s="81"/>
    </row>
    <row r="581" spans="1:54" ht="15" customHeight="1">
      <c r="A581" s="23" t="s">
        <v>2231</v>
      </c>
      <c r="B581" s="23" t="s">
        <v>2305</v>
      </c>
      <c r="C581" s="23" t="s">
        <v>2361</v>
      </c>
      <c r="D581" s="24">
        <v>298</v>
      </c>
      <c r="E581" s="23">
        <v>3</v>
      </c>
      <c r="F581" s="23" t="s">
        <v>2232</v>
      </c>
      <c r="G581" s="23" t="s">
        <v>2306</v>
      </c>
      <c r="J581" s="23" t="s">
        <v>28</v>
      </c>
      <c r="AD581" s="23" t="s">
        <v>2357</v>
      </c>
      <c r="AF581" s="23" t="s">
        <v>2359</v>
      </c>
      <c r="AP581" s="73"/>
      <c r="AQ581" s="75"/>
      <c r="AR581" s="76"/>
      <c r="AS581" s="77"/>
      <c r="AV581" s="75"/>
      <c r="AW581" s="83"/>
      <c r="AX581" s="84"/>
      <c r="AY581" s="80"/>
      <c r="BB581" s="81"/>
    </row>
    <row r="582" spans="1:54" ht="15" customHeight="1">
      <c r="A582" s="23" t="s">
        <v>2384</v>
      </c>
      <c r="B582" s="23" t="s">
        <v>2385</v>
      </c>
      <c r="C582" s="23" t="s">
        <v>2087</v>
      </c>
      <c r="D582" s="24">
        <v>299</v>
      </c>
      <c r="E582" s="23">
        <v>2</v>
      </c>
      <c r="G582" s="23" t="s">
        <v>311</v>
      </c>
      <c r="J582" s="23" t="s">
        <v>312</v>
      </c>
      <c r="K582" s="23" t="s">
        <v>198</v>
      </c>
      <c r="L582" s="23">
        <v>2</v>
      </c>
      <c r="Q582" s="65">
        <v>2</v>
      </c>
      <c r="AB582" s="23" t="s">
        <v>1088</v>
      </c>
      <c r="AD582" s="23" t="s">
        <v>1814</v>
      </c>
      <c r="AF582" s="23" t="s">
        <v>2386</v>
      </c>
      <c r="AP582" s="73"/>
      <c r="AQ582" s="75"/>
      <c r="AR582" s="76"/>
      <c r="AS582" s="77"/>
      <c r="AV582" s="75"/>
      <c r="AW582" s="83"/>
      <c r="AX582" s="84"/>
      <c r="AY582" s="80"/>
      <c r="BB582" s="81"/>
    </row>
    <row r="583" spans="1:54" ht="15" customHeight="1">
      <c r="A583" s="23" t="s">
        <v>2384</v>
      </c>
      <c r="B583" s="23" t="s">
        <v>2387</v>
      </c>
      <c r="C583" s="23" t="s">
        <v>2087</v>
      </c>
      <c r="D583" s="24">
        <v>300</v>
      </c>
      <c r="E583" s="23">
        <v>2</v>
      </c>
      <c r="G583" s="23" t="s">
        <v>2388</v>
      </c>
      <c r="J583" s="23" t="s">
        <v>27</v>
      </c>
      <c r="K583" s="23" t="s">
        <v>198</v>
      </c>
      <c r="L583" s="23">
        <v>5</v>
      </c>
      <c r="N583" s="62">
        <v>1</v>
      </c>
      <c r="Q583" s="65">
        <v>1</v>
      </c>
      <c r="S583" s="113">
        <v>1</v>
      </c>
      <c r="AB583" s="23" t="s">
        <v>1093</v>
      </c>
      <c r="AD583" s="23" t="s">
        <v>1805</v>
      </c>
      <c r="AF583" s="23" t="s">
        <v>2389</v>
      </c>
      <c r="AP583" s="73"/>
      <c r="AQ583" s="75"/>
      <c r="AR583" s="76"/>
      <c r="AS583" s="77"/>
      <c r="AV583" s="75"/>
      <c r="AW583" s="83"/>
      <c r="AX583" s="84"/>
      <c r="AY583" s="80"/>
      <c r="BB583" s="81"/>
    </row>
    <row r="584" spans="1:54" ht="15" customHeight="1">
      <c r="A584" s="23" t="s">
        <v>2384</v>
      </c>
      <c r="B584" s="23" t="s">
        <v>2390</v>
      </c>
      <c r="C584" s="23" t="s">
        <v>2087</v>
      </c>
      <c r="D584" s="24">
        <v>301</v>
      </c>
      <c r="E584" s="23">
        <v>2</v>
      </c>
      <c r="G584" s="23" t="s">
        <v>2391</v>
      </c>
      <c r="J584" s="23" t="s">
        <v>257</v>
      </c>
      <c r="K584" s="23" t="s">
        <v>198</v>
      </c>
      <c r="L584" s="23">
        <v>5</v>
      </c>
      <c r="N584" s="62">
        <v>6</v>
      </c>
      <c r="P584" s="64">
        <v>1</v>
      </c>
      <c r="Q584" s="65">
        <v>1</v>
      </c>
      <c r="AB584" s="23" t="s">
        <v>1091</v>
      </c>
      <c r="AC584" s="23" t="s">
        <v>322</v>
      </c>
      <c r="AD584" s="23" t="s">
        <v>259</v>
      </c>
      <c r="AF584" s="23" t="s">
        <v>2392</v>
      </c>
      <c r="AP584" s="73"/>
      <c r="AQ584" s="75"/>
      <c r="AR584" s="76"/>
      <c r="AS584" s="77"/>
      <c r="AV584" s="75"/>
      <c r="AW584" s="83"/>
      <c r="AX584" s="84"/>
      <c r="AY584" s="80"/>
      <c r="BB584" s="81"/>
    </row>
    <row r="585" spans="1:54" ht="15" customHeight="1">
      <c r="A585" s="23" t="s">
        <v>2384</v>
      </c>
      <c r="B585" s="23" t="s">
        <v>2393</v>
      </c>
      <c r="C585" s="23" t="s">
        <v>2087</v>
      </c>
      <c r="D585" s="24">
        <v>302</v>
      </c>
      <c r="E585" s="23">
        <v>2</v>
      </c>
      <c r="G585" s="23" t="s">
        <v>2394</v>
      </c>
      <c r="H585" s="23" t="s">
        <v>2395</v>
      </c>
      <c r="I585" s="23" t="s">
        <v>223</v>
      </c>
      <c r="J585" s="23" t="s">
        <v>257</v>
      </c>
      <c r="K585" s="23" t="s">
        <v>199</v>
      </c>
      <c r="L585" s="23">
        <v>0</v>
      </c>
      <c r="N585" s="62">
        <v>1</v>
      </c>
      <c r="O585" s="63">
        <v>1</v>
      </c>
      <c r="T585" s="68">
        <v>2</v>
      </c>
      <c r="U585" s="63">
        <v>2</v>
      </c>
      <c r="AB585" s="23" t="s">
        <v>204</v>
      </c>
      <c r="AC585" s="23" t="s">
        <v>25</v>
      </c>
      <c r="AD585" s="23" t="s">
        <v>330</v>
      </c>
      <c r="AF585" s="23" t="s">
        <v>2396</v>
      </c>
      <c r="AP585" s="73"/>
      <c r="AQ585" s="75"/>
      <c r="AR585" s="76"/>
      <c r="AS585" s="77"/>
      <c r="AV585" s="75"/>
      <c r="AW585" s="83"/>
      <c r="AX585" s="84"/>
      <c r="AY585" s="80"/>
      <c r="BB585" s="81"/>
    </row>
    <row r="586" spans="1:54" ht="15" customHeight="1">
      <c r="A586" s="23" t="s">
        <v>2384</v>
      </c>
      <c r="B586" s="23" t="s">
        <v>2397</v>
      </c>
      <c r="C586" s="23" t="s">
        <v>2087</v>
      </c>
      <c r="D586" s="24">
        <v>303</v>
      </c>
      <c r="E586" s="23">
        <v>2</v>
      </c>
      <c r="G586" s="23" t="s">
        <v>2398</v>
      </c>
      <c r="J586" s="23" t="s">
        <v>27</v>
      </c>
      <c r="K586" s="23" t="s">
        <v>199</v>
      </c>
      <c r="L586" s="23">
        <v>5</v>
      </c>
      <c r="N586" s="62">
        <v>4</v>
      </c>
      <c r="O586" s="63">
        <v>1</v>
      </c>
      <c r="P586" s="64">
        <v>2</v>
      </c>
      <c r="AB586" s="23" t="s">
        <v>2399</v>
      </c>
      <c r="AD586" s="23" t="s">
        <v>340</v>
      </c>
      <c r="AF586" s="23" t="s">
        <v>2400</v>
      </c>
      <c r="AP586" s="73"/>
      <c r="AQ586" s="75"/>
      <c r="AR586" s="76"/>
      <c r="AS586" s="77"/>
      <c r="AV586" s="75"/>
      <c r="AW586" s="83"/>
      <c r="AX586" s="84"/>
      <c r="AY586" s="80"/>
      <c r="BB586" s="81"/>
    </row>
    <row r="587" spans="1:54" ht="15" customHeight="1">
      <c r="A587" s="23" t="s">
        <v>2384</v>
      </c>
      <c r="B587" s="23" t="s">
        <v>2401</v>
      </c>
      <c r="C587" s="23" t="s">
        <v>2087</v>
      </c>
      <c r="D587" s="24">
        <v>304</v>
      </c>
      <c r="E587" s="23">
        <v>2</v>
      </c>
      <c r="G587" s="23" t="s">
        <v>2402</v>
      </c>
      <c r="J587" s="23" t="s">
        <v>257</v>
      </c>
      <c r="K587" s="23" t="s">
        <v>201</v>
      </c>
      <c r="L587" s="23">
        <v>4</v>
      </c>
      <c r="N587" s="62">
        <v>5</v>
      </c>
      <c r="Q587" s="65">
        <v>2</v>
      </c>
      <c r="AB587" s="23" t="s">
        <v>1088</v>
      </c>
      <c r="AC587" s="23" t="s">
        <v>322</v>
      </c>
      <c r="AD587" s="23" t="s">
        <v>923</v>
      </c>
      <c r="AF587" s="23" t="s">
        <v>2403</v>
      </c>
      <c r="AP587" s="73"/>
      <c r="AQ587" s="75"/>
      <c r="AR587" s="76"/>
      <c r="AS587" s="77"/>
      <c r="AV587" s="75"/>
      <c r="AW587" s="83"/>
      <c r="AX587" s="84"/>
      <c r="AY587" s="80"/>
      <c r="BB587" s="81"/>
    </row>
    <row r="588" spans="1:54" ht="15" customHeight="1">
      <c r="A588" s="23" t="s">
        <v>2384</v>
      </c>
      <c r="B588" s="23" t="s">
        <v>2404</v>
      </c>
      <c r="C588" s="23" t="s">
        <v>2087</v>
      </c>
      <c r="D588" s="24">
        <v>305</v>
      </c>
      <c r="E588" s="23">
        <v>2</v>
      </c>
      <c r="G588" s="23" t="s">
        <v>2405</v>
      </c>
      <c r="H588" s="23" t="s">
        <v>2406</v>
      </c>
      <c r="I588" s="23" t="s">
        <v>223</v>
      </c>
      <c r="J588" s="23" t="s">
        <v>257</v>
      </c>
      <c r="K588" s="23" t="s">
        <v>201</v>
      </c>
      <c r="L588" s="23">
        <v>4</v>
      </c>
      <c r="N588" s="62">
        <v>2</v>
      </c>
      <c r="O588" s="63">
        <v>1</v>
      </c>
      <c r="S588" s="113">
        <v>1</v>
      </c>
      <c r="AB588" s="23" t="s">
        <v>1086</v>
      </c>
      <c r="AC588" s="23" t="s">
        <v>275</v>
      </c>
      <c r="AD588" s="23" t="s">
        <v>276</v>
      </c>
      <c r="AF588" s="23" t="s">
        <v>2407</v>
      </c>
      <c r="AP588" s="73"/>
      <c r="AQ588" s="75"/>
      <c r="AR588" s="76"/>
      <c r="AS588" s="77"/>
      <c r="AV588" s="75"/>
      <c r="AW588" s="83"/>
      <c r="AX588" s="84"/>
      <c r="AY588" s="80"/>
      <c r="BB588" s="81"/>
    </row>
    <row r="589" spans="1:54" ht="15" customHeight="1">
      <c r="A589" s="23" t="s">
        <v>2384</v>
      </c>
      <c r="B589" s="23" t="s">
        <v>2408</v>
      </c>
      <c r="C589" s="23" t="s">
        <v>2087</v>
      </c>
      <c r="D589" s="24">
        <v>306</v>
      </c>
      <c r="E589" s="23">
        <v>2</v>
      </c>
      <c r="G589" s="23" t="s">
        <v>377</v>
      </c>
      <c r="J589" s="23" t="s">
        <v>257</v>
      </c>
      <c r="K589" s="23" t="s">
        <v>200</v>
      </c>
      <c r="L589" s="23">
        <v>5</v>
      </c>
      <c r="N589" s="62">
        <v>3</v>
      </c>
      <c r="O589" s="63">
        <v>1</v>
      </c>
      <c r="Q589" s="65">
        <v>2</v>
      </c>
      <c r="AB589" s="23" t="s">
        <v>2409</v>
      </c>
      <c r="AC589" s="23" t="s">
        <v>378</v>
      </c>
      <c r="AD589" s="23" t="s">
        <v>279</v>
      </c>
      <c r="AF589" s="23" t="s">
        <v>2410</v>
      </c>
      <c r="AP589" s="73"/>
      <c r="AQ589" s="75"/>
      <c r="AR589" s="76"/>
      <c r="AS589" s="77"/>
      <c r="AV589" s="75"/>
      <c r="AW589" s="83"/>
      <c r="AX589" s="84"/>
      <c r="AY589" s="80"/>
      <c r="BB589" s="81"/>
    </row>
    <row r="590" spans="1:54" ht="15" customHeight="1">
      <c r="A590" s="23" t="s">
        <v>2384</v>
      </c>
      <c r="B590" s="23" t="s">
        <v>2411</v>
      </c>
      <c r="C590" s="23" t="s">
        <v>2087</v>
      </c>
      <c r="D590" s="24">
        <v>307</v>
      </c>
      <c r="E590" s="23">
        <v>2</v>
      </c>
      <c r="G590" s="23" t="s">
        <v>673</v>
      </c>
      <c r="J590" s="23" t="s">
        <v>27</v>
      </c>
      <c r="K590" s="23" t="s">
        <v>200</v>
      </c>
      <c r="L590" s="23">
        <v>5</v>
      </c>
      <c r="N590" s="62">
        <v>1</v>
      </c>
      <c r="O590" s="63">
        <v>1</v>
      </c>
      <c r="S590" s="113">
        <v>1</v>
      </c>
      <c r="AB590" s="23" t="s">
        <v>1086</v>
      </c>
      <c r="AD590" s="23" t="s">
        <v>674</v>
      </c>
      <c r="AF590" s="23" t="s">
        <v>2412</v>
      </c>
      <c r="AP590" s="73"/>
      <c r="AQ590" s="75"/>
      <c r="AR590" s="76"/>
      <c r="AS590" s="77"/>
      <c r="AV590" s="75"/>
      <c r="AW590" s="83"/>
      <c r="AX590" s="84"/>
      <c r="AY590" s="80"/>
      <c r="BB590" s="81"/>
    </row>
    <row r="591" spans="1:54" ht="15" customHeight="1">
      <c r="A591" s="23" t="s">
        <v>2384</v>
      </c>
      <c r="B591" s="23" t="s">
        <v>2413</v>
      </c>
      <c r="C591" s="23" t="s">
        <v>2087</v>
      </c>
      <c r="D591" s="24">
        <v>308</v>
      </c>
      <c r="E591" s="23">
        <v>2</v>
      </c>
      <c r="G591" s="23" t="s">
        <v>688</v>
      </c>
      <c r="H591" s="23" t="s">
        <v>689</v>
      </c>
      <c r="I591" s="23" t="s">
        <v>223</v>
      </c>
      <c r="J591" s="23" t="s">
        <v>257</v>
      </c>
      <c r="K591" s="23" t="s">
        <v>202</v>
      </c>
      <c r="L591" s="23">
        <v>3</v>
      </c>
      <c r="N591" s="62">
        <v>4</v>
      </c>
      <c r="O591" s="63">
        <v>1</v>
      </c>
      <c r="R591" s="66">
        <v>1</v>
      </c>
      <c r="T591" s="68">
        <v>1</v>
      </c>
      <c r="U591" s="63">
        <v>4</v>
      </c>
      <c r="AB591" s="23" t="s">
        <v>2188</v>
      </c>
      <c r="AC591" s="23" t="s">
        <v>25</v>
      </c>
      <c r="AD591" s="23" t="s">
        <v>458</v>
      </c>
      <c r="AF591" s="23" t="s">
        <v>2414</v>
      </c>
      <c r="AP591" s="73"/>
      <c r="AQ591" s="75"/>
      <c r="AR591" s="76"/>
      <c r="AS591" s="77"/>
      <c r="AV591" s="75"/>
      <c r="AW591" s="83"/>
      <c r="AX591" s="84"/>
      <c r="AY591" s="80"/>
      <c r="BB591" s="81"/>
    </row>
    <row r="592" spans="1:54" ht="15" customHeight="1">
      <c r="A592" s="23" t="s">
        <v>2384</v>
      </c>
      <c r="B592" s="23" t="s">
        <v>2415</v>
      </c>
      <c r="C592" s="23" t="s">
        <v>2087</v>
      </c>
      <c r="D592" s="24">
        <v>309</v>
      </c>
      <c r="E592" s="23">
        <v>2</v>
      </c>
      <c r="G592" s="23" t="s">
        <v>2416</v>
      </c>
      <c r="J592" s="23" t="s">
        <v>257</v>
      </c>
      <c r="K592" s="23" t="s">
        <v>202</v>
      </c>
      <c r="L592" s="23">
        <v>3</v>
      </c>
      <c r="N592" s="62">
        <v>2</v>
      </c>
      <c r="O592" s="63">
        <v>2</v>
      </c>
      <c r="AB592" s="23" t="s">
        <v>1094</v>
      </c>
      <c r="AD592" s="23" t="s">
        <v>289</v>
      </c>
      <c r="AF592" s="23" t="s">
        <v>2417</v>
      </c>
      <c r="AP592" s="73"/>
      <c r="AQ592" s="75"/>
      <c r="AR592" s="76"/>
      <c r="AS592" s="77"/>
      <c r="AV592" s="75"/>
      <c r="AW592" s="83"/>
      <c r="AX592" s="84"/>
      <c r="AY592" s="80"/>
      <c r="BB592" s="81"/>
    </row>
    <row r="593" spans="1:59" ht="15" customHeight="1">
      <c r="A593" s="23" t="s">
        <v>2384</v>
      </c>
      <c r="B593" s="23" t="s">
        <v>2418</v>
      </c>
      <c r="C593" s="23" t="s">
        <v>2087</v>
      </c>
      <c r="D593" s="24">
        <v>310</v>
      </c>
      <c r="E593" s="23">
        <v>2</v>
      </c>
      <c r="G593" s="23" t="s">
        <v>2419</v>
      </c>
      <c r="H593" s="23" t="s">
        <v>2420</v>
      </c>
      <c r="I593" s="23" t="s">
        <v>223</v>
      </c>
      <c r="J593" s="23" t="s">
        <v>257</v>
      </c>
      <c r="K593" s="23" t="s">
        <v>26</v>
      </c>
      <c r="L593" s="23">
        <v>5</v>
      </c>
      <c r="N593" s="62">
        <v>2</v>
      </c>
      <c r="S593" s="113">
        <v>1</v>
      </c>
      <c r="T593" s="68">
        <v>4</v>
      </c>
      <c r="U593" s="63">
        <v>4</v>
      </c>
      <c r="AB593" s="23" t="s">
        <v>208</v>
      </c>
      <c r="AC593" s="23" t="s">
        <v>25</v>
      </c>
      <c r="AD593" s="23" t="s">
        <v>2421</v>
      </c>
      <c r="AF593" s="23" t="s">
        <v>2422</v>
      </c>
      <c r="AP593" s="73"/>
      <c r="AQ593" s="75"/>
      <c r="AR593" s="76"/>
      <c r="AS593" s="77"/>
      <c r="AV593" s="75"/>
      <c r="AW593" s="83"/>
      <c r="AX593" s="84"/>
      <c r="AY593" s="80"/>
      <c r="BB593" s="81"/>
    </row>
    <row r="594" spans="1:59" ht="15" customHeight="1">
      <c r="A594" s="23" t="s">
        <v>2384</v>
      </c>
      <c r="B594" s="23" t="s">
        <v>2423</v>
      </c>
      <c r="C594" s="23" t="s">
        <v>2087</v>
      </c>
      <c r="D594" s="24">
        <v>311</v>
      </c>
      <c r="E594" s="23">
        <v>1</v>
      </c>
      <c r="F594" s="23" t="s">
        <v>2424</v>
      </c>
      <c r="G594" s="23" t="s">
        <v>2424</v>
      </c>
      <c r="J594" s="23" t="s">
        <v>618</v>
      </c>
      <c r="AF594" s="23" t="s">
        <v>2425</v>
      </c>
      <c r="AI594" s="23" t="s">
        <v>2424</v>
      </c>
      <c r="AL594" s="23" t="s">
        <v>618</v>
      </c>
      <c r="AM594" s="23" t="s">
        <v>2426</v>
      </c>
      <c r="AP594" s="73"/>
      <c r="AQ594" s="75"/>
      <c r="AR594" s="76"/>
      <c r="AS594" s="77"/>
      <c r="AV594" s="75"/>
      <c r="AW594" s="83"/>
      <c r="AX594" s="84"/>
      <c r="AY594" s="80"/>
      <c r="BB594" s="81"/>
      <c r="BG594" s="23" t="s">
        <v>2427</v>
      </c>
    </row>
    <row r="595" spans="1:59" ht="15" customHeight="1">
      <c r="A595" s="23" t="s">
        <v>2384</v>
      </c>
      <c r="B595" s="23" t="s">
        <v>2428</v>
      </c>
      <c r="C595" s="23" t="s">
        <v>2087</v>
      </c>
      <c r="D595" s="24">
        <v>312</v>
      </c>
      <c r="E595" s="23">
        <v>1</v>
      </c>
      <c r="F595" s="23" t="s">
        <v>2424</v>
      </c>
      <c r="G595" s="23" t="s">
        <v>2429</v>
      </c>
      <c r="J595" s="23" t="s">
        <v>619</v>
      </c>
      <c r="L595" s="23">
        <v>1</v>
      </c>
      <c r="Z595" s="68">
        <v>4</v>
      </c>
      <c r="AF595" s="23" t="s">
        <v>2430</v>
      </c>
      <c r="AI595" s="23" t="s">
        <v>2431</v>
      </c>
      <c r="AL595" s="23" t="s">
        <v>619</v>
      </c>
      <c r="AM595" s="23" t="s">
        <v>2426</v>
      </c>
      <c r="AN595" s="23">
        <v>1</v>
      </c>
      <c r="AP595" s="73"/>
      <c r="AQ595" s="75"/>
      <c r="AR595" s="76"/>
      <c r="AS595" s="77"/>
      <c r="AV595" s="75"/>
      <c r="AW595" s="83"/>
      <c r="AX595" s="84"/>
      <c r="AY595" s="80"/>
      <c r="BB595" s="81"/>
      <c r="BG595" s="23" t="s">
        <v>2432</v>
      </c>
    </row>
    <row r="596" spans="1:59" ht="15" customHeight="1">
      <c r="A596" s="23" t="s">
        <v>2384</v>
      </c>
      <c r="B596" s="23" t="s">
        <v>2433</v>
      </c>
      <c r="C596" s="23" t="s">
        <v>2087</v>
      </c>
      <c r="D596" s="24">
        <v>313</v>
      </c>
      <c r="E596" s="23">
        <v>1</v>
      </c>
      <c r="F596" s="23" t="s">
        <v>2424</v>
      </c>
      <c r="G596" s="23" t="s">
        <v>2434</v>
      </c>
      <c r="J596" s="23" t="s">
        <v>619</v>
      </c>
      <c r="L596" s="23">
        <v>2</v>
      </c>
      <c r="Z596" s="68">
        <v>4</v>
      </c>
      <c r="AF596" s="23" t="s">
        <v>2430</v>
      </c>
      <c r="AI596" s="23" t="s">
        <v>2435</v>
      </c>
      <c r="AL596" s="23" t="s">
        <v>619</v>
      </c>
      <c r="AM596" s="23" t="s">
        <v>2426</v>
      </c>
      <c r="AN596" s="23">
        <v>2</v>
      </c>
      <c r="AP596" s="73"/>
      <c r="AQ596" s="75"/>
      <c r="AR596" s="76"/>
      <c r="AS596" s="77"/>
      <c r="AV596" s="75"/>
      <c r="AW596" s="83"/>
      <c r="AX596" s="84"/>
      <c r="AY596" s="80"/>
      <c r="BB596" s="81"/>
      <c r="BG596" s="23" t="s">
        <v>2436</v>
      </c>
    </row>
    <row r="597" spans="1:59" ht="15" customHeight="1">
      <c r="A597" s="23" t="s">
        <v>2384</v>
      </c>
      <c r="B597" s="23" t="s">
        <v>2437</v>
      </c>
      <c r="C597" s="23" t="s">
        <v>2087</v>
      </c>
      <c r="D597" s="24">
        <v>314</v>
      </c>
      <c r="E597" s="23">
        <v>1</v>
      </c>
      <c r="F597" s="23" t="s">
        <v>2424</v>
      </c>
      <c r="G597" s="23" t="s">
        <v>2438</v>
      </c>
      <c r="J597" s="23" t="s">
        <v>619</v>
      </c>
      <c r="L597" s="23">
        <v>3</v>
      </c>
      <c r="Z597" s="68">
        <v>6</v>
      </c>
      <c r="AF597" s="23" t="s">
        <v>2430</v>
      </c>
      <c r="AI597" s="23" t="s">
        <v>2439</v>
      </c>
      <c r="AL597" s="23" t="s">
        <v>619</v>
      </c>
      <c r="AM597" s="23" t="s">
        <v>2426</v>
      </c>
      <c r="AN597" s="23">
        <v>3</v>
      </c>
      <c r="AP597" s="73"/>
      <c r="AQ597" s="75"/>
      <c r="AR597" s="76"/>
      <c r="AS597" s="77"/>
      <c r="AV597" s="75"/>
      <c r="AW597" s="83"/>
      <c r="AX597" s="84"/>
      <c r="AY597" s="80"/>
      <c r="BB597" s="81"/>
      <c r="BG597" s="23" t="s">
        <v>2440</v>
      </c>
    </row>
    <row r="598" spans="1:59" ht="15" customHeight="1">
      <c r="A598" s="23" t="s">
        <v>2384</v>
      </c>
      <c r="B598" s="23" t="s">
        <v>2441</v>
      </c>
      <c r="C598" s="23" t="s">
        <v>2087</v>
      </c>
      <c r="D598" s="24">
        <v>315</v>
      </c>
      <c r="E598" s="23">
        <v>1</v>
      </c>
      <c r="F598" s="23" t="s">
        <v>2424</v>
      </c>
      <c r="G598" s="23" t="s">
        <v>2442</v>
      </c>
      <c r="J598" s="23" t="s">
        <v>619</v>
      </c>
      <c r="L598" s="23">
        <v>4</v>
      </c>
      <c r="Z598" s="68">
        <v>2</v>
      </c>
      <c r="AF598" s="23" t="s">
        <v>2443</v>
      </c>
      <c r="AI598" s="23" t="s">
        <v>2444</v>
      </c>
      <c r="AL598" s="23" t="s">
        <v>619</v>
      </c>
      <c r="AM598" s="23" t="s">
        <v>2426</v>
      </c>
      <c r="AN598" s="23">
        <v>4</v>
      </c>
      <c r="AP598" s="73"/>
      <c r="AQ598" s="75"/>
      <c r="AR598" s="76"/>
      <c r="AS598" s="77"/>
      <c r="AV598" s="75"/>
      <c r="AW598" s="83"/>
      <c r="AX598" s="84"/>
      <c r="AY598" s="80"/>
      <c r="BB598" s="81"/>
      <c r="BG598" s="23" t="s">
        <v>2445</v>
      </c>
    </row>
    <row r="599" spans="1:59" ht="15" customHeight="1">
      <c r="A599" s="23" t="s">
        <v>2384</v>
      </c>
      <c r="B599" s="23" t="s">
        <v>2446</v>
      </c>
      <c r="C599" s="23" t="s">
        <v>2087</v>
      </c>
      <c r="D599" s="24">
        <v>316</v>
      </c>
      <c r="E599" s="23">
        <v>1</v>
      </c>
      <c r="F599" s="23" t="s">
        <v>2424</v>
      </c>
      <c r="G599" s="23" t="s">
        <v>2447</v>
      </c>
      <c r="J599" s="23" t="s">
        <v>621</v>
      </c>
      <c r="L599" s="23">
        <v>1</v>
      </c>
      <c r="Y599" s="66" t="s">
        <v>1697</v>
      </c>
      <c r="AF599" s="23" t="s">
        <v>2448</v>
      </c>
      <c r="AI599" s="23" t="s">
        <v>2449</v>
      </c>
      <c r="AL599" s="23" t="s">
        <v>621</v>
      </c>
      <c r="AM599" s="23" t="s">
        <v>2426</v>
      </c>
      <c r="AN599" s="23">
        <v>1</v>
      </c>
      <c r="AP599" s="73"/>
      <c r="AQ599" s="75"/>
      <c r="AR599" s="76"/>
      <c r="AS599" s="77"/>
      <c r="AV599" s="75"/>
      <c r="AW599" s="83"/>
      <c r="AX599" s="84"/>
      <c r="AY599" s="80"/>
      <c r="BB599" s="81"/>
      <c r="BG599" s="23" t="s">
        <v>2450</v>
      </c>
    </row>
    <row r="600" spans="1:59" ht="15" customHeight="1">
      <c r="A600" s="23" t="s">
        <v>2384</v>
      </c>
      <c r="B600" s="23" t="s">
        <v>2451</v>
      </c>
      <c r="C600" s="23" t="s">
        <v>2087</v>
      </c>
      <c r="D600" s="24">
        <v>317</v>
      </c>
      <c r="E600" s="23">
        <v>1</v>
      </c>
      <c r="F600" s="23" t="s">
        <v>2424</v>
      </c>
      <c r="G600" s="23" t="s">
        <v>2452</v>
      </c>
      <c r="J600" s="23" t="s">
        <v>621</v>
      </c>
      <c r="L600" s="23">
        <v>2</v>
      </c>
      <c r="Y600" s="66" t="s">
        <v>38</v>
      </c>
      <c r="AF600" s="23" t="s">
        <v>2453</v>
      </c>
      <c r="AI600" s="23" t="s">
        <v>2454</v>
      </c>
      <c r="AL600" s="23" t="s">
        <v>621</v>
      </c>
      <c r="AM600" s="23" t="s">
        <v>2426</v>
      </c>
      <c r="AN600" s="23">
        <v>2</v>
      </c>
      <c r="AP600" s="73"/>
      <c r="AQ600" s="75"/>
      <c r="AR600" s="76"/>
      <c r="AS600" s="77"/>
      <c r="AV600" s="75"/>
      <c r="AW600" s="83"/>
      <c r="AX600" s="84"/>
      <c r="AY600" s="80"/>
      <c r="BB600" s="81"/>
    </row>
    <row r="601" spans="1:59" ht="15" customHeight="1">
      <c r="A601" s="23" t="s">
        <v>2384</v>
      </c>
      <c r="B601" s="23" t="s">
        <v>2455</v>
      </c>
      <c r="C601" s="23" t="s">
        <v>2087</v>
      </c>
      <c r="D601" s="24">
        <v>318</v>
      </c>
      <c r="E601" s="23">
        <v>1</v>
      </c>
      <c r="F601" s="23" t="s">
        <v>2424</v>
      </c>
      <c r="G601" s="23" t="s">
        <v>2456</v>
      </c>
      <c r="J601" s="23" t="s">
        <v>621</v>
      </c>
      <c r="L601" s="23">
        <v>3</v>
      </c>
      <c r="Y601" s="66" t="s">
        <v>1696</v>
      </c>
      <c r="AF601" s="23" t="s">
        <v>2457</v>
      </c>
      <c r="AI601" s="23" t="s">
        <v>2458</v>
      </c>
      <c r="AL601" s="23" t="s">
        <v>621</v>
      </c>
      <c r="AM601" s="23" t="s">
        <v>2426</v>
      </c>
      <c r="AN601" s="23">
        <v>3</v>
      </c>
      <c r="AP601" s="73"/>
      <c r="AQ601" s="75"/>
      <c r="AR601" s="76"/>
      <c r="AS601" s="77"/>
      <c r="AV601" s="75"/>
      <c r="AW601" s="83"/>
      <c r="AX601" s="84"/>
      <c r="AY601" s="80"/>
      <c r="BB601" s="81"/>
      <c r="BG601" s="23" t="s">
        <v>2459</v>
      </c>
    </row>
    <row r="602" spans="1:59" ht="15" customHeight="1">
      <c r="A602" s="23" t="s">
        <v>2384</v>
      </c>
      <c r="B602" s="23" t="s">
        <v>2460</v>
      </c>
      <c r="C602" s="23" t="s">
        <v>2087</v>
      </c>
      <c r="D602" s="24">
        <v>319</v>
      </c>
      <c r="E602" s="23">
        <v>1</v>
      </c>
      <c r="F602" s="23" t="s">
        <v>2424</v>
      </c>
      <c r="G602" s="23" t="s">
        <v>2461</v>
      </c>
      <c r="J602" s="23" t="s">
        <v>621</v>
      </c>
      <c r="L602" s="23">
        <v>4</v>
      </c>
      <c r="Y602" s="66" t="s">
        <v>38</v>
      </c>
      <c r="AF602" s="23" t="s">
        <v>2462</v>
      </c>
      <c r="AI602" s="23" t="s">
        <v>2463</v>
      </c>
      <c r="AL602" s="23" t="s">
        <v>621</v>
      </c>
      <c r="AM602" s="23" t="s">
        <v>2426</v>
      </c>
      <c r="AN602" s="23">
        <v>4</v>
      </c>
      <c r="AP602" s="73"/>
      <c r="AQ602" s="75"/>
      <c r="AR602" s="76"/>
      <c r="AS602" s="77"/>
      <c r="AV602" s="75"/>
      <c r="AW602" s="83"/>
      <c r="AX602" s="84"/>
      <c r="AY602" s="80"/>
      <c r="BB602" s="81"/>
      <c r="BG602" s="23" t="s">
        <v>1886</v>
      </c>
    </row>
    <row r="603" spans="1:59" ht="15" customHeight="1">
      <c r="A603" s="23" t="s">
        <v>2384</v>
      </c>
      <c r="B603" s="23" t="s">
        <v>2464</v>
      </c>
      <c r="C603" s="23" t="s">
        <v>2087</v>
      </c>
      <c r="D603" s="24">
        <v>320</v>
      </c>
      <c r="E603" s="23">
        <v>1</v>
      </c>
      <c r="F603" s="23" t="s">
        <v>2424</v>
      </c>
      <c r="G603" s="23" t="s">
        <v>2465</v>
      </c>
      <c r="J603" s="23" t="s">
        <v>31</v>
      </c>
      <c r="AD603" s="23" t="s">
        <v>2466</v>
      </c>
      <c r="AI603" s="23" t="s">
        <v>2465</v>
      </c>
      <c r="AJ603" s="23" t="s">
        <v>2467</v>
      </c>
      <c r="AL603" s="23" t="s">
        <v>31</v>
      </c>
      <c r="AM603" s="23" t="s">
        <v>2426</v>
      </c>
      <c r="AP603" s="73"/>
      <c r="AQ603" s="75"/>
      <c r="AR603" s="76"/>
      <c r="AS603" s="77"/>
      <c r="AV603" s="75"/>
      <c r="AW603" s="83"/>
      <c r="AX603" s="84"/>
      <c r="AY603" s="80">
        <v>6</v>
      </c>
      <c r="AZ603" s="66">
        <v>0</v>
      </c>
      <c r="BB603" s="81"/>
      <c r="BE603" s="23" t="s">
        <v>2466</v>
      </c>
      <c r="BG603" s="23" t="s">
        <v>2468</v>
      </c>
    </row>
    <row r="604" spans="1:59" ht="15" customHeight="1">
      <c r="A604" s="23" t="s">
        <v>2384</v>
      </c>
      <c r="B604" s="23" t="s">
        <v>2469</v>
      </c>
      <c r="C604" s="23" t="s">
        <v>2087</v>
      </c>
      <c r="D604" s="24">
        <v>321</v>
      </c>
      <c r="E604" s="23">
        <v>1</v>
      </c>
      <c r="F604" s="23" t="s">
        <v>2424</v>
      </c>
      <c r="G604" s="23" t="s">
        <v>2470</v>
      </c>
      <c r="J604" s="23" t="s">
        <v>31</v>
      </c>
      <c r="AD604" s="23" t="s">
        <v>2466</v>
      </c>
      <c r="AF604" s="23" t="s">
        <v>2471</v>
      </c>
      <c r="AI604" s="23" t="s">
        <v>2470</v>
      </c>
      <c r="AL604" s="23" t="s">
        <v>31</v>
      </c>
      <c r="AM604" s="23" t="s">
        <v>2426</v>
      </c>
      <c r="AP604" s="73"/>
      <c r="AQ604" s="75"/>
      <c r="AR604" s="76"/>
      <c r="AS604" s="77"/>
      <c r="AV604" s="75"/>
      <c r="AW604" s="83"/>
      <c r="AX604" s="84"/>
      <c r="AY604" s="80">
        <v>2</v>
      </c>
      <c r="AZ604" s="66" t="s">
        <v>1697</v>
      </c>
      <c r="BB604" s="81"/>
      <c r="BE604" s="23" t="s">
        <v>2466</v>
      </c>
      <c r="BG604" s="23" t="s">
        <v>2472</v>
      </c>
    </row>
    <row r="605" spans="1:59" ht="15" customHeight="1">
      <c r="A605" s="23" t="s">
        <v>2384</v>
      </c>
      <c r="B605" s="23" t="s">
        <v>2473</v>
      </c>
      <c r="C605" s="23" t="s">
        <v>2087</v>
      </c>
      <c r="D605" s="24">
        <v>322</v>
      </c>
      <c r="E605" s="23">
        <v>1</v>
      </c>
      <c r="F605" s="23" t="s">
        <v>2424</v>
      </c>
      <c r="G605" s="23" t="s">
        <v>2474</v>
      </c>
      <c r="J605" s="23" t="s">
        <v>31</v>
      </c>
      <c r="AD605" s="23" t="s">
        <v>2466</v>
      </c>
      <c r="AI605" s="23" t="s">
        <v>2474</v>
      </c>
      <c r="AL605" s="23" t="s">
        <v>31</v>
      </c>
      <c r="AM605" s="23" t="s">
        <v>2426</v>
      </c>
      <c r="AP605" s="73"/>
      <c r="AQ605" s="75"/>
      <c r="AR605" s="76"/>
      <c r="AS605" s="77"/>
      <c r="AV605" s="75"/>
      <c r="AW605" s="83"/>
      <c r="AX605" s="84"/>
      <c r="AY605" s="80">
        <v>2</v>
      </c>
      <c r="AZ605" s="66" t="s">
        <v>1111</v>
      </c>
      <c r="BB605" s="81"/>
      <c r="BE605" s="23" t="s">
        <v>2466</v>
      </c>
      <c r="BG605" s="23" t="s">
        <v>2475</v>
      </c>
    </row>
    <row r="606" spans="1:59" ht="15" customHeight="1">
      <c r="A606" s="23" t="s">
        <v>2384</v>
      </c>
      <c r="B606" s="23" t="s">
        <v>2476</v>
      </c>
      <c r="C606" s="23" t="s">
        <v>2087</v>
      </c>
      <c r="D606" s="24">
        <v>323</v>
      </c>
      <c r="E606" s="23">
        <v>1</v>
      </c>
      <c r="F606" s="23" t="s">
        <v>2424</v>
      </c>
      <c r="G606" s="23" t="s">
        <v>2477</v>
      </c>
      <c r="H606" s="23" t="s">
        <v>2478</v>
      </c>
      <c r="I606" s="23" t="s">
        <v>223</v>
      </c>
      <c r="J606" s="23" t="s">
        <v>29</v>
      </c>
      <c r="Q606" s="65">
        <v>4</v>
      </c>
      <c r="R606" s="66" t="s">
        <v>38</v>
      </c>
      <c r="T606" s="68">
        <v>4</v>
      </c>
      <c r="V606" s="69">
        <v>1</v>
      </c>
      <c r="W606" s="70">
        <v>5</v>
      </c>
      <c r="AD606" s="23" t="s">
        <v>822</v>
      </c>
      <c r="AF606" s="23" t="s">
        <v>2479</v>
      </c>
      <c r="AP606" s="73"/>
      <c r="AQ606" s="75"/>
      <c r="AR606" s="76"/>
      <c r="AS606" s="77"/>
      <c r="AV606" s="75"/>
      <c r="AW606" s="83"/>
      <c r="AX606" s="84"/>
      <c r="AY606" s="80"/>
      <c r="BB606" s="81"/>
    </row>
    <row r="607" spans="1:59" ht="15" customHeight="1">
      <c r="A607" s="23" t="s">
        <v>2384</v>
      </c>
      <c r="B607" s="23" t="s">
        <v>2480</v>
      </c>
      <c r="C607" s="23" t="s">
        <v>2087</v>
      </c>
      <c r="D607" s="24">
        <v>324</v>
      </c>
      <c r="E607" s="23">
        <v>4</v>
      </c>
      <c r="F607" s="23" t="s">
        <v>2424</v>
      </c>
      <c r="G607" s="23" t="s">
        <v>2481</v>
      </c>
      <c r="J607" s="23" t="s">
        <v>31</v>
      </c>
      <c r="X607" s="71">
        <v>1</v>
      </c>
      <c r="Y607" s="66">
        <v>1</v>
      </c>
      <c r="AD607" s="23" t="s">
        <v>2482</v>
      </c>
      <c r="AF607" s="23" t="s">
        <v>2483</v>
      </c>
      <c r="AP607" s="73"/>
      <c r="AQ607" s="75"/>
      <c r="AR607" s="76"/>
      <c r="AS607" s="77"/>
      <c r="AV607" s="75"/>
      <c r="AW607" s="83"/>
      <c r="AX607" s="84"/>
      <c r="AY607" s="80"/>
      <c r="BB607" s="81"/>
    </row>
    <row r="608" spans="1:59" ht="15" customHeight="1">
      <c r="A608" s="23" t="s">
        <v>2384</v>
      </c>
      <c r="B608" s="23" t="s">
        <v>2484</v>
      </c>
      <c r="C608" s="23" t="s">
        <v>2087</v>
      </c>
      <c r="D608" s="24">
        <v>325</v>
      </c>
      <c r="E608" s="23">
        <v>2</v>
      </c>
      <c r="F608" s="23" t="s">
        <v>2424</v>
      </c>
      <c r="G608" s="23" t="s">
        <v>2485</v>
      </c>
      <c r="J608" s="23" t="s">
        <v>31</v>
      </c>
      <c r="X608" s="71">
        <v>2</v>
      </c>
      <c r="Y608" s="66">
        <v>3</v>
      </c>
      <c r="AD608" s="23" t="s">
        <v>2482</v>
      </c>
      <c r="AF608" s="23" t="s">
        <v>2486</v>
      </c>
      <c r="AP608" s="73"/>
      <c r="AQ608" s="75"/>
      <c r="AR608" s="76"/>
      <c r="AS608" s="77"/>
      <c r="AV608" s="75"/>
      <c r="AW608" s="83"/>
      <c r="AX608" s="84"/>
      <c r="AY608" s="80"/>
      <c r="BB608" s="81"/>
    </row>
    <row r="609" spans="1:59" ht="15" customHeight="1">
      <c r="A609" s="23" t="s">
        <v>2384</v>
      </c>
      <c r="B609" s="23" t="s">
        <v>2487</v>
      </c>
      <c r="C609" s="23" t="s">
        <v>2087</v>
      </c>
      <c r="D609" s="24">
        <v>326</v>
      </c>
      <c r="E609" s="23">
        <v>2</v>
      </c>
      <c r="F609" s="23" t="s">
        <v>2424</v>
      </c>
      <c r="G609" s="23" t="s">
        <v>2488</v>
      </c>
      <c r="J609" s="23" t="s">
        <v>31</v>
      </c>
      <c r="X609" s="71">
        <v>4</v>
      </c>
      <c r="Y609" s="66">
        <v>2</v>
      </c>
      <c r="AD609" s="23" t="s">
        <v>2482</v>
      </c>
      <c r="AF609" s="23" t="s">
        <v>2489</v>
      </c>
      <c r="AP609" s="73"/>
      <c r="AQ609" s="75"/>
      <c r="AR609" s="76"/>
      <c r="AS609" s="77"/>
      <c r="AV609" s="75"/>
      <c r="AW609" s="83"/>
      <c r="AX609" s="84"/>
      <c r="AY609" s="80"/>
      <c r="BB609" s="81"/>
    </row>
    <row r="610" spans="1:59" ht="15" customHeight="1">
      <c r="A610" s="23" t="s">
        <v>2384</v>
      </c>
      <c r="B610" s="23" t="s">
        <v>2490</v>
      </c>
      <c r="C610" s="23" t="s">
        <v>2087</v>
      </c>
      <c r="D610" s="24">
        <v>327</v>
      </c>
      <c r="E610" s="23">
        <v>1</v>
      </c>
      <c r="F610" s="23" t="s">
        <v>2424</v>
      </c>
      <c r="G610" s="23" t="s">
        <v>2491</v>
      </c>
      <c r="J610" s="23" t="s">
        <v>31</v>
      </c>
      <c r="X610" s="71">
        <v>3</v>
      </c>
      <c r="Y610" s="66" t="s">
        <v>1073</v>
      </c>
      <c r="AD610" s="23" t="s">
        <v>2482</v>
      </c>
      <c r="AF610" s="23" t="s">
        <v>2492</v>
      </c>
      <c r="AP610" s="73"/>
      <c r="AQ610" s="75"/>
      <c r="AR610" s="76"/>
      <c r="AS610" s="77"/>
      <c r="AV610" s="75"/>
      <c r="AW610" s="83"/>
      <c r="AX610" s="84"/>
      <c r="AY610" s="80"/>
      <c r="BB610" s="81"/>
    </row>
    <row r="611" spans="1:59" ht="15" customHeight="1">
      <c r="A611" s="23" t="s">
        <v>2384</v>
      </c>
      <c r="B611" s="23" t="s">
        <v>2493</v>
      </c>
      <c r="C611" s="23" t="s">
        <v>2087</v>
      </c>
      <c r="D611" s="24">
        <v>328</v>
      </c>
      <c r="E611" s="23">
        <v>1</v>
      </c>
      <c r="F611" s="23" t="s">
        <v>2424</v>
      </c>
      <c r="G611" s="23" t="s">
        <v>2494</v>
      </c>
      <c r="J611" s="23" t="s">
        <v>31</v>
      </c>
      <c r="X611" s="71">
        <v>2</v>
      </c>
      <c r="Y611" s="66" t="s">
        <v>1073</v>
      </c>
      <c r="AD611" s="23" t="s">
        <v>2482</v>
      </c>
      <c r="AF611" s="23" t="s">
        <v>2495</v>
      </c>
      <c r="AP611" s="73"/>
      <c r="AQ611" s="75"/>
      <c r="AR611" s="76"/>
      <c r="AS611" s="77"/>
      <c r="AV611" s="75"/>
      <c r="AW611" s="83"/>
      <c r="AX611" s="84"/>
      <c r="AY611" s="80"/>
      <c r="BB611" s="81"/>
    </row>
    <row r="612" spans="1:59" ht="15" customHeight="1">
      <c r="A612" s="23" t="s">
        <v>2384</v>
      </c>
      <c r="B612" s="23" t="s">
        <v>2496</v>
      </c>
      <c r="C612" s="23" t="s">
        <v>2087</v>
      </c>
      <c r="D612" s="24">
        <v>329</v>
      </c>
      <c r="E612" s="23">
        <v>3</v>
      </c>
      <c r="F612" s="23" t="s">
        <v>2424</v>
      </c>
      <c r="G612" s="23" t="s">
        <v>2497</v>
      </c>
      <c r="J612" s="23" t="s">
        <v>29</v>
      </c>
      <c r="Q612" s="65">
        <v>4</v>
      </c>
      <c r="R612" s="66">
        <v>2</v>
      </c>
      <c r="T612" s="68">
        <v>3</v>
      </c>
      <c r="V612" s="69">
        <v>1</v>
      </c>
      <c r="W612" s="70">
        <v>2</v>
      </c>
      <c r="AD612" s="23" t="s">
        <v>490</v>
      </c>
      <c r="AF612" s="23" t="s">
        <v>2498</v>
      </c>
      <c r="AP612" s="73"/>
      <c r="AQ612" s="75"/>
      <c r="AR612" s="76"/>
      <c r="AS612" s="77"/>
      <c r="AV612" s="75"/>
      <c r="AW612" s="83"/>
      <c r="AX612" s="84"/>
      <c r="AY612" s="80"/>
      <c r="BB612" s="81"/>
    </row>
    <row r="613" spans="1:59" ht="15" customHeight="1">
      <c r="A613" s="23" t="s">
        <v>2384</v>
      </c>
      <c r="B613" s="23" t="s">
        <v>2499</v>
      </c>
      <c r="C613" s="23" t="s">
        <v>2087</v>
      </c>
      <c r="D613" s="24">
        <v>330</v>
      </c>
      <c r="E613" s="23">
        <v>2</v>
      </c>
      <c r="F613" s="23" t="s">
        <v>2424</v>
      </c>
      <c r="G613" s="23" t="s">
        <v>2500</v>
      </c>
      <c r="J613" s="23" t="s">
        <v>29</v>
      </c>
      <c r="Q613" s="65">
        <v>3</v>
      </c>
      <c r="R613" s="66">
        <v>5</v>
      </c>
      <c r="T613" s="68">
        <v>4</v>
      </c>
      <c r="V613" s="69">
        <v>2</v>
      </c>
      <c r="W613" s="70">
        <v>1</v>
      </c>
      <c r="AD613" s="23" t="s">
        <v>490</v>
      </c>
      <c r="AF613" s="23" t="s">
        <v>2501</v>
      </c>
      <c r="AP613" s="73"/>
      <c r="AQ613" s="75"/>
      <c r="AR613" s="76"/>
      <c r="AS613" s="77"/>
      <c r="AV613" s="75"/>
      <c r="AW613" s="83"/>
      <c r="AX613" s="84"/>
      <c r="AY613" s="80"/>
      <c r="BB613" s="81"/>
    </row>
    <row r="614" spans="1:59" ht="15" customHeight="1">
      <c r="A614" s="23" t="s">
        <v>2384</v>
      </c>
      <c r="B614" s="23" t="s">
        <v>2502</v>
      </c>
      <c r="C614" s="23" t="s">
        <v>2087</v>
      </c>
      <c r="D614" s="24">
        <v>331</v>
      </c>
      <c r="E614" s="23">
        <v>3</v>
      </c>
      <c r="F614" s="23" t="s">
        <v>2424</v>
      </c>
      <c r="G614" s="23" t="s">
        <v>2503</v>
      </c>
      <c r="J614" s="23" t="s">
        <v>28</v>
      </c>
      <c r="AD614" s="23" t="s">
        <v>479</v>
      </c>
      <c r="AF614" s="23" t="s">
        <v>2504</v>
      </c>
      <c r="AP614" s="73"/>
      <c r="AQ614" s="75"/>
      <c r="AR614" s="76"/>
      <c r="AS614" s="77"/>
      <c r="AV614" s="75"/>
      <c r="AW614" s="83"/>
      <c r="AX614" s="84"/>
      <c r="AY614" s="80"/>
      <c r="BB614" s="81"/>
    </row>
    <row r="615" spans="1:59" ht="15" customHeight="1">
      <c r="A615" s="23" t="s">
        <v>2384</v>
      </c>
      <c r="B615" s="23" t="s">
        <v>2505</v>
      </c>
      <c r="C615" s="23" t="s">
        <v>2087</v>
      </c>
      <c r="D615" s="24">
        <v>332</v>
      </c>
      <c r="E615" s="23">
        <v>2</v>
      </c>
      <c r="F615" s="23" t="s">
        <v>2424</v>
      </c>
      <c r="G615" s="23" t="s">
        <v>2506</v>
      </c>
      <c r="J615" s="23" t="s">
        <v>28</v>
      </c>
      <c r="AD615" s="23" t="s">
        <v>479</v>
      </c>
      <c r="AF615" s="23" t="s">
        <v>2507</v>
      </c>
      <c r="AP615" s="73"/>
      <c r="AQ615" s="75"/>
      <c r="AR615" s="76"/>
      <c r="AS615" s="77"/>
      <c r="AV615" s="75"/>
      <c r="AW615" s="83"/>
      <c r="AX615" s="84"/>
      <c r="AY615" s="80"/>
      <c r="BB615" s="81"/>
    </row>
    <row r="616" spans="1:59" ht="15" customHeight="1">
      <c r="A616" s="23" t="s">
        <v>2384</v>
      </c>
      <c r="B616" s="23" t="s">
        <v>2508</v>
      </c>
      <c r="C616" s="23" t="s">
        <v>2087</v>
      </c>
      <c r="D616" s="24">
        <v>333</v>
      </c>
      <c r="E616" s="23">
        <v>3</v>
      </c>
      <c r="F616" s="23" t="s">
        <v>2424</v>
      </c>
      <c r="G616" s="23" t="s">
        <v>2509</v>
      </c>
      <c r="J616" s="23" t="s">
        <v>28</v>
      </c>
      <c r="AD616" s="23" t="s">
        <v>481</v>
      </c>
      <c r="AF616" s="23" t="s">
        <v>2510</v>
      </c>
      <c r="AP616" s="73"/>
      <c r="AQ616" s="75"/>
      <c r="AR616" s="76"/>
      <c r="AS616" s="77"/>
      <c r="AV616" s="75"/>
      <c r="AW616" s="83"/>
      <c r="AX616" s="84"/>
      <c r="AY616" s="80"/>
      <c r="BB616" s="81"/>
    </row>
    <row r="617" spans="1:59" ht="15" customHeight="1">
      <c r="A617" s="40" t="s">
        <v>2937</v>
      </c>
      <c r="B617" s="40" t="s">
        <v>2827</v>
      </c>
      <c r="C617" s="40" t="s">
        <v>2360</v>
      </c>
      <c r="D617" s="144">
        <v>1</v>
      </c>
      <c r="E617" s="40">
        <v>1</v>
      </c>
      <c r="F617" s="40"/>
      <c r="G617" s="40" t="s">
        <v>2512</v>
      </c>
      <c r="H617" s="23" t="s">
        <v>2513</v>
      </c>
      <c r="I617" s="23" t="s">
        <v>223</v>
      </c>
      <c r="J617" s="23" t="s">
        <v>203</v>
      </c>
      <c r="K617" s="23" t="s">
        <v>198</v>
      </c>
      <c r="O617" s="63">
        <v>3</v>
      </c>
      <c r="P617" s="64">
        <v>2</v>
      </c>
      <c r="Q617" s="65">
        <v>5</v>
      </c>
      <c r="R617" s="66">
        <v>3</v>
      </c>
      <c r="T617" s="68">
        <v>9</v>
      </c>
      <c r="U617" s="63">
        <v>5</v>
      </c>
      <c r="AD617" s="23" t="s">
        <v>2514</v>
      </c>
      <c r="AF617" s="23" t="s">
        <v>2515</v>
      </c>
      <c r="AI617" s="23" t="s">
        <v>2512</v>
      </c>
      <c r="AJ617" s="23" t="s">
        <v>2513</v>
      </c>
      <c r="AK617" s="23" t="s">
        <v>223</v>
      </c>
      <c r="AL617" s="23" t="s">
        <v>203</v>
      </c>
      <c r="AM617" s="23" t="s">
        <v>198</v>
      </c>
      <c r="AP617" s="73"/>
      <c r="AQ617" s="75"/>
      <c r="AR617" s="76"/>
      <c r="AS617" s="77"/>
      <c r="AV617" s="75"/>
      <c r="AW617" s="83"/>
      <c r="AX617" s="84"/>
      <c r="AY617" s="80"/>
      <c r="BB617" s="81"/>
      <c r="BE617" s="23" t="s">
        <v>2514</v>
      </c>
      <c r="BG617" s="23" t="s">
        <v>2516</v>
      </c>
    </row>
    <row r="618" spans="1:59" ht="15" customHeight="1">
      <c r="A618" s="23" t="s">
        <v>2937</v>
      </c>
      <c r="B618" s="23" t="s">
        <v>2828</v>
      </c>
      <c r="C618" s="23" t="s">
        <v>2360</v>
      </c>
      <c r="D618" s="24">
        <v>2</v>
      </c>
      <c r="E618" s="23">
        <v>1</v>
      </c>
      <c r="G618" s="23" t="s">
        <v>2517</v>
      </c>
      <c r="H618" s="23" t="s">
        <v>2518</v>
      </c>
      <c r="I618" s="23" t="s">
        <v>223</v>
      </c>
      <c r="J618" s="23" t="s">
        <v>203</v>
      </c>
      <c r="K618" s="23" t="s">
        <v>199</v>
      </c>
      <c r="O618" s="63">
        <v>4</v>
      </c>
      <c r="P618" s="64">
        <v>4</v>
      </c>
      <c r="Q618" s="65">
        <v>2</v>
      </c>
      <c r="R618" s="66">
        <v>2</v>
      </c>
      <c r="T618" s="68">
        <v>7</v>
      </c>
      <c r="U618" s="63">
        <v>7</v>
      </c>
      <c r="AD618" s="23" t="s">
        <v>2519</v>
      </c>
      <c r="AF618" s="23" t="s">
        <v>2520</v>
      </c>
      <c r="AI618" s="23" t="s">
        <v>2517</v>
      </c>
      <c r="AJ618" s="23" t="s">
        <v>2518</v>
      </c>
      <c r="AK618" s="23" t="s">
        <v>223</v>
      </c>
      <c r="AL618" s="23" t="s">
        <v>203</v>
      </c>
      <c r="AM618" s="23" t="s">
        <v>199</v>
      </c>
      <c r="AP618" s="73"/>
      <c r="AQ618" s="75"/>
      <c r="AR618" s="76"/>
      <c r="AS618" s="77"/>
      <c r="AV618" s="75"/>
      <c r="AW618" s="83"/>
      <c r="AX618" s="84"/>
      <c r="AY618" s="80"/>
      <c r="BB618" s="81"/>
      <c r="BE618" s="23" t="s">
        <v>2519</v>
      </c>
      <c r="BG618" s="23" t="s">
        <v>2521</v>
      </c>
    </row>
    <row r="619" spans="1:59" ht="15" customHeight="1">
      <c r="A619" s="23" t="s">
        <v>2937</v>
      </c>
      <c r="B619" s="23" t="s">
        <v>2829</v>
      </c>
      <c r="C619" s="23" t="s">
        <v>2360</v>
      </c>
      <c r="D619" s="24">
        <v>3</v>
      </c>
      <c r="E619" s="23">
        <v>1</v>
      </c>
      <c r="G619" s="23" t="s">
        <v>2522</v>
      </c>
      <c r="H619" s="23" t="s">
        <v>2523</v>
      </c>
      <c r="I619" s="23" t="s">
        <v>223</v>
      </c>
      <c r="J619" s="23" t="s">
        <v>203</v>
      </c>
      <c r="K619" s="23" t="s">
        <v>201</v>
      </c>
      <c r="O619" s="63">
        <v>4</v>
      </c>
      <c r="P619" s="64">
        <v>2</v>
      </c>
      <c r="Q619" s="65">
        <v>2</v>
      </c>
      <c r="R619" s="66">
        <v>4</v>
      </c>
      <c r="T619" s="68">
        <v>5</v>
      </c>
      <c r="U619" s="63">
        <v>9</v>
      </c>
      <c r="AD619" s="23" t="s">
        <v>2524</v>
      </c>
      <c r="AF619" s="23" t="s">
        <v>2525</v>
      </c>
      <c r="AI619" s="23" t="s">
        <v>2522</v>
      </c>
      <c r="AJ619" s="23" t="s">
        <v>2523</v>
      </c>
      <c r="AK619" s="23" t="s">
        <v>223</v>
      </c>
      <c r="AL619" s="23" t="s">
        <v>203</v>
      </c>
      <c r="AM619" s="23" t="s">
        <v>201</v>
      </c>
      <c r="AP619" s="73"/>
      <c r="AQ619" s="75"/>
      <c r="AR619" s="76"/>
      <c r="AS619" s="77"/>
      <c r="AV619" s="75"/>
      <c r="AW619" s="83"/>
      <c r="AX619" s="84"/>
      <c r="AY619" s="80"/>
      <c r="BB619" s="81"/>
      <c r="BE619" s="23" t="s">
        <v>2524</v>
      </c>
      <c r="BG619" s="23" t="s">
        <v>2526</v>
      </c>
    </row>
    <row r="620" spans="1:59" ht="15" customHeight="1">
      <c r="A620" s="23" t="s">
        <v>2937</v>
      </c>
      <c r="B620" s="23" t="s">
        <v>2830</v>
      </c>
      <c r="C620" s="23" t="s">
        <v>2360</v>
      </c>
      <c r="D620" s="24">
        <v>4</v>
      </c>
      <c r="E620" s="23">
        <v>1</v>
      </c>
      <c r="G620" s="23" t="s">
        <v>2527</v>
      </c>
      <c r="H620" s="23" t="s">
        <v>2528</v>
      </c>
      <c r="I620" s="23" t="s">
        <v>223</v>
      </c>
      <c r="J620" s="23" t="s">
        <v>203</v>
      </c>
      <c r="K620" s="23" t="s">
        <v>200</v>
      </c>
      <c r="O620" s="63">
        <v>5</v>
      </c>
      <c r="P620" s="64">
        <v>2</v>
      </c>
      <c r="Q620" s="65">
        <v>3</v>
      </c>
      <c r="R620" s="66">
        <v>3</v>
      </c>
      <c r="T620" s="68">
        <v>6</v>
      </c>
      <c r="U620" s="63">
        <v>8</v>
      </c>
      <c r="AD620" s="23" t="s">
        <v>250</v>
      </c>
      <c r="AF620" s="23" t="s">
        <v>2529</v>
      </c>
      <c r="AI620" s="23" t="s">
        <v>2527</v>
      </c>
      <c r="AJ620" s="23" t="s">
        <v>2528</v>
      </c>
      <c r="AK620" s="23" t="s">
        <v>223</v>
      </c>
      <c r="AL620" s="23" t="s">
        <v>203</v>
      </c>
      <c r="AM620" s="23" t="s">
        <v>200</v>
      </c>
      <c r="AP620" s="73"/>
      <c r="AQ620" s="75"/>
      <c r="AR620" s="76"/>
      <c r="AS620" s="77"/>
      <c r="AV620" s="75"/>
      <c r="AW620" s="83"/>
      <c r="AX620" s="84"/>
      <c r="AY620" s="80"/>
      <c r="BB620" s="81"/>
      <c r="BE620" s="23" t="s">
        <v>250</v>
      </c>
      <c r="BG620" s="23" t="s">
        <v>2530</v>
      </c>
    </row>
    <row r="621" spans="1:59" ht="15" customHeight="1">
      <c r="A621" s="23" t="s">
        <v>2937</v>
      </c>
      <c r="B621" s="23" t="s">
        <v>2831</v>
      </c>
      <c r="C621" s="23" t="s">
        <v>2360</v>
      </c>
      <c r="D621" s="24">
        <v>5</v>
      </c>
      <c r="E621" s="23">
        <v>1</v>
      </c>
      <c r="G621" s="23" t="s">
        <v>2531</v>
      </c>
      <c r="H621" s="23" t="s">
        <v>2532</v>
      </c>
      <c r="I621" s="23" t="s">
        <v>223</v>
      </c>
      <c r="J621" s="23" t="s">
        <v>203</v>
      </c>
      <c r="K621" s="23" t="s">
        <v>202</v>
      </c>
      <c r="O621" s="63">
        <v>3</v>
      </c>
      <c r="P621" s="64">
        <v>2</v>
      </c>
      <c r="Q621" s="65">
        <v>4</v>
      </c>
      <c r="R621" s="66">
        <v>3</v>
      </c>
      <c r="T621" s="68">
        <v>8</v>
      </c>
      <c r="U621" s="63">
        <v>6</v>
      </c>
      <c r="AD621" s="23" t="s">
        <v>2533</v>
      </c>
      <c r="AF621" s="23" t="s">
        <v>2534</v>
      </c>
      <c r="AI621" s="23" t="s">
        <v>2531</v>
      </c>
      <c r="AJ621" s="23" t="s">
        <v>2532</v>
      </c>
      <c r="AK621" s="23" t="s">
        <v>223</v>
      </c>
      <c r="AL621" s="23" t="s">
        <v>203</v>
      </c>
      <c r="AM621" s="23" t="s">
        <v>202</v>
      </c>
      <c r="AP621" s="73"/>
      <c r="AQ621" s="75"/>
      <c r="AR621" s="76"/>
      <c r="AS621" s="77"/>
      <c r="AV621" s="75"/>
      <c r="AW621" s="83"/>
      <c r="AX621" s="84"/>
      <c r="AY621" s="80"/>
      <c r="BB621" s="81"/>
      <c r="BE621" s="23" t="s">
        <v>2533</v>
      </c>
      <c r="BG621" s="23" t="s">
        <v>2535</v>
      </c>
    </row>
    <row r="622" spans="1:59" ht="15" customHeight="1">
      <c r="A622" s="23" t="s">
        <v>2937</v>
      </c>
      <c r="B622" s="23" t="s">
        <v>2832</v>
      </c>
      <c r="C622" s="23" t="s">
        <v>2360</v>
      </c>
      <c r="D622" s="24">
        <v>6</v>
      </c>
      <c r="E622" s="23">
        <v>1</v>
      </c>
      <c r="G622" s="23" t="s">
        <v>2536</v>
      </c>
      <c r="H622" s="23" t="s">
        <v>2537</v>
      </c>
      <c r="I622" s="23" t="s">
        <v>223</v>
      </c>
      <c r="J622" s="23" t="s">
        <v>203</v>
      </c>
      <c r="K622" s="23" t="s">
        <v>26</v>
      </c>
      <c r="O622" s="63">
        <v>3</v>
      </c>
      <c r="P622" s="64">
        <v>3</v>
      </c>
      <c r="Q622" s="65">
        <v>3</v>
      </c>
      <c r="R622" s="66">
        <v>3</v>
      </c>
      <c r="T622" s="68">
        <v>6</v>
      </c>
      <c r="U622" s="63">
        <v>6</v>
      </c>
      <c r="AD622" s="23" t="s">
        <v>1330</v>
      </c>
      <c r="AF622" s="23" t="s">
        <v>2538</v>
      </c>
      <c r="AI622" s="23" t="s">
        <v>2536</v>
      </c>
      <c r="AJ622" s="23" t="s">
        <v>2537</v>
      </c>
      <c r="AK622" s="23" t="s">
        <v>223</v>
      </c>
      <c r="AL622" s="23" t="s">
        <v>203</v>
      </c>
      <c r="AM622" s="23" t="s">
        <v>26</v>
      </c>
      <c r="AP622" s="73"/>
      <c r="AQ622" s="75"/>
      <c r="AR622" s="76"/>
      <c r="AS622" s="77"/>
      <c r="AV622" s="75"/>
      <c r="AW622" s="83"/>
      <c r="AX622" s="84"/>
      <c r="AY622" s="80"/>
      <c r="BB622" s="81"/>
      <c r="BE622" s="23" t="s">
        <v>1330</v>
      </c>
      <c r="BG622" s="23" t="s">
        <v>2539</v>
      </c>
    </row>
    <row r="623" spans="1:59" ht="15" customHeight="1">
      <c r="A623" s="23" t="s">
        <v>2937</v>
      </c>
      <c r="B623" s="23" t="s">
        <v>2833</v>
      </c>
      <c r="C623" s="23" t="s">
        <v>2360</v>
      </c>
      <c r="D623" s="24">
        <v>7</v>
      </c>
      <c r="E623" s="23">
        <v>1</v>
      </c>
      <c r="G623" s="23" t="s">
        <v>2540</v>
      </c>
      <c r="J623" s="23" t="s">
        <v>312</v>
      </c>
      <c r="K623" s="23" t="s">
        <v>26</v>
      </c>
      <c r="Q623" s="65">
        <v>4</v>
      </c>
      <c r="AB623" s="23" t="s">
        <v>2541</v>
      </c>
      <c r="AD623" s="23" t="s">
        <v>1814</v>
      </c>
      <c r="AF623" s="23" t="s">
        <v>2542</v>
      </c>
      <c r="AP623" s="73"/>
      <c r="AQ623" s="75"/>
      <c r="AR623" s="76"/>
      <c r="AS623" s="77"/>
      <c r="AV623" s="75"/>
      <c r="AW623" s="83"/>
      <c r="AX623" s="84"/>
      <c r="AY623" s="80"/>
      <c r="BB623" s="81"/>
    </row>
    <row r="624" spans="1:59" ht="15" customHeight="1">
      <c r="A624" s="23" t="s">
        <v>2937</v>
      </c>
      <c r="B624" s="23" t="s">
        <v>2834</v>
      </c>
      <c r="C624" s="23" t="s">
        <v>2360</v>
      </c>
      <c r="D624" s="24">
        <v>8</v>
      </c>
      <c r="E624" s="23">
        <v>1</v>
      </c>
      <c r="G624" s="23" t="s">
        <v>2543</v>
      </c>
      <c r="J624" s="23" t="s">
        <v>28</v>
      </c>
      <c r="K624" s="23" t="s">
        <v>26</v>
      </c>
      <c r="M624" s="23" t="s">
        <v>648</v>
      </c>
      <c r="AD624" s="23" t="s">
        <v>1449</v>
      </c>
      <c r="AF624" s="23" t="s">
        <v>2544</v>
      </c>
      <c r="AP624" s="73"/>
      <c r="AQ624" s="75"/>
      <c r="AR624" s="76"/>
      <c r="AS624" s="77"/>
      <c r="AV624" s="75"/>
      <c r="AW624" s="83"/>
      <c r="AX624" s="84"/>
      <c r="AY624" s="80"/>
      <c r="BB624" s="81"/>
    </row>
    <row r="625" spans="1:59" ht="15" customHeight="1">
      <c r="A625" s="23" t="s">
        <v>2937</v>
      </c>
      <c r="B625" s="23" t="s">
        <v>2835</v>
      </c>
      <c r="C625" s="23" t="s">
        <v>2360</v>
      </c>
      <c r="D625" s="24">
        <v>9</v>
      </c>
      <c r="E625" s="23">
        <v>1</v>
      </c>
      <c r="G625" s="23" t="s">
        <v>2545</v>
      </c>
      <c r="H625" s="23" t="s">
        <v>2546</v>
      </c>
      <c r="I625" s="23" t="s">
        <v>223</v>
      </c>
      <c r="J625" s="23" t="s">
        <v>257</v>
      </c>
      <c r="K625" s="23" t="s">
        <v>26</v>
      </c>
      <c r="AD625" s="23" t="s">
        <v>2547</v>
      </c>
      <c r="AF625" s="23" t="s">
        <v>2548</v>
      </c>
      <c r="AI625" s="23" t="s">
        <v>2545</v>
      </c>
      <c r="AJ625" s="23" t="s">
        <v>2549</v>
      </c>
      <c r="AK625" s="23" t="s">
        <v>223</v>
      </c>
      <c r="AL625" s="23" t="s">
        <v>257</v>
      </c>
      <c r="AM625" s="23" t="s">
        <v>26</v>
      </c>
      <c r="AP625" s="73"/>
      <c r="AQ625" s="75"/>
      <c r="AR625" s="76"/>
      <c r="AS625" s="77"/>
      <c r="AV625" s="75"/>
      <c r="AW625" s="83"/>
      <c r="AX625" s="84"/>
      <c r="AY625" s="80"/>
      <c r="BB625" s="81"/>
      <c r="BE625" s="23" t="s">
        <v>2550</v>
      </c>
      <c r="BG625" s="23" t="s">
        <v>2551</v>
      </c>
    </row>
    <row r="626" spans="1:59" ht="15" customHeight="1">
      <c r="A626" s="23" t="s">
        <v>2937</v>
      </c>
      <c r="B626" s="23" t="s">
        <v>2836</v>
      </c>
      <c r="C626" s="23" t="s">
        <v>2360</v>
      </c>
      <c r="D626" s="24">
        <v>10</v>
      </c>
      <c r="E626" s="23">
        <v>1</v>
      </c>
      <c r="G626" s="23" t="s">
        <v>2552</v>
      </c>
      <c r="H626" s="23" t="s">
        <v>2553</v>
      </c>
      <c r="J626" s="23" t="s">
        <v>257</v>
      </c>
      <c r="K626" s="23" t="s">
        <v>26</v>
      </c>
      <c r="N626" s="62">
        <v>3</v>
      </c>
      <c r="S626" s="113">
        <v>2</v>
      </c>
      <c r="AB626" s="23" t="s">
        <v>1082</v>
      </c>
      <c r="AD626" s="23" t="s">
        <v>289</v>
      </c>
      <c r="AF626" s="23" t="s">
        <v>2554</v>
      </c>
      <c r="AP626" s="73"/>
      <c r="AQ626" s="75"/>
      <c r="AR626" s="76"/>
      <c r="AS626" s="77"/>
      <c r="AV626" s="75"/>
      <c r="AW626" s="83"/>
      <c r="AX626" s="84"/>
      <c r="AY626" s="80"/>
      <c r="BB626" s="81"/>
    </row>
    <row r="627" spans="1:59" ht="15" customHeight="1">
      <c r="A627" s="23" t="s">
        <v>2937</v>
      </c>
      <c r="B627" s="23" t="s">
        <v>2837</v>
      </c>
      <c r="C627" s="23" t="s">
        <v>2360</v>
      </c>
      <c r="D627" s="24">
        <v>11</v>
      </c>
      <c r="E627" s="23">
        <v>1</v>
      </c>
      <c r="G627" s="23" t="s">
        <v>2555</v>
      </c>
      <c r="H627" s="23" t="s">
        <v>2556</v>
      </c>
      <c r="J627" s="23" t="s">
        <v>257</v>
      </c>
      <c r="K627" s="23" t="s">
        <v>26</v>
      </c>
      <c r="M627" s="23" t="s">
        <v>648</v>
      </c>
      <c r="AC627" s="23" t="s">
        <v>258</v>
      </c>
      <c r="AD627" s="23" t="s">
        <v>2557</v>
      </c>
      <c r="AF627" s="23" t="s">
        <v>2558</v>
      </c>
      <c r="AP627" s="73"/>
      <c r="AQ627" s="75"/>
      <c r="AR627" s="76"/>
      <c r="AS627" s="77"/>
      <c r="AV627" s="75"/>
      <c r="AW627" s="83"/>
      <c r="AX627" s="84"/>
      <c r="AY627" s="80"/>
      <c r="BB627" s="81"/>
    </row>
    <row r="628" spans="1:59" ht="15" customHeight="1">
      <c r="A628" s="23" t="s">
        <v>2937</v>
      </c>
      <c r="B628" s="23" t="s">
        <v>2838</v>
      </c>
      <c r="C628" s="23" t="s">
        <v>2360</v>
      </c>
      <c r="D628" s="24">
        <v>12</v>
      </c>
      <c r="E628" s="23">
        <v>3</v>
      </c>
      <c r="G628" s="23" t="s">
        <v>2559</v>
      </c>
      <c r="J628" s="23" t="s">
        <v>27</v>
      </c>
      <c r="K628" s="23" t="s">
        <v>26</v>
      </c>
      <c r="O628" s="63">
        <v>1</v>
      </c>
      <c r="R628" s="66">
        <v>1</v>
      </c>
      <c r="S628" s="113">
        <v>1</v>
      </c>
      <c r="AB628" s="23" t="s">
        <v>2560</v>
      </c>
      <c r="AD628" s="23" t="s">
        <v>279</v>
      </c>
      <c r="AF628" s="23" t="s">
        <v>2561</v>
      </c>
      <c r="AP628" s="73"/>
      <c r="AQ628" s="75"/>
      <c r="AR628" s="76"/>
      <c r="AS628" s="77"/>
      <c r="AV628" s="75"/>
      <c r="AW628" s="83"/>
      <c r="AX628" s="84"/>
      <c r="AY628" s="80"/>
      <c r="BB628" s="81"/>
    </row>
    <row r="629" spans="1:59" ht="15" customHeight="1">
      <c r="A629" s="23" t="s">
        <v>2937</v>
      </c>
      <c r="B629" s="23" t="s">
        <v>2839</v>
      </c>
      <c r="C629" s="23" t="s">
        <v>2360</v>
      </c>
      <c r="D629" s="24">
        <v>13</v>
      </c>
      <c r="E629" s="23">
        <v>1</v>
      </c>
      <c r="G629" s="23" t="s">
        <v>2562</v>
      </c>
      <c r="J629" s="23" t="s">
        <v>28</v>
      </c>
      <c r="K629" s="23" t="s">
        <v>26</v>
      </c>
      <c r="M629" s="23" t="s">
        <v>648</v>
      </c>
      <c r="AD629" s="23" t="s">
        <v>439</v>
      </c>
      <c r="AF629" s="23" t="s">
        <v>2563</v>
      </c>
      <c r="AP629" s="73"/>
      <c r="AQ629" s="75"/>
      <c r="AR629" s="76"/>
      <c r="AS629" s="77"/>
      <c r="AV629" s="75"/>
      <c r="AW629" s="83"/>
      <c r="AX629" s="84"/>
      <c r="AY629" s="80"/>
      <c r="BB629" s="81"/>
    </row>
    <row r="630" spans="1:59" ht="15" customHeight="1">
      <c r="A630" s="23" t="s">
        <v>2937</v>
      </c>
      <c r="B630" s="23" t="s">
        <v>2840</v>
      </c>
      <c r="C630" s="23" t="s">
        <v>2360</v>
      </c>
      <c r="D630" s="24">
        <v>14</v>
      </c>
      <c r="E630" s="23">
        <v>1</v>
      </c>
      <c r="G630" s="23" t="s">
        <v>2564</v>
      </c>
      <c r="H630" s="23" t="s">
        <v>2565</v>
      </c>
      <c r="J630" s="23" t="s">
        <v>257</v>
      </c>
      <c r="K630" s="23" t="s">
        <v>26</v>
      </c>
      <c r="N630" s="62">
        <v>2</v>
      </c>
      <c r="O630" s="63">
        <v>1</v>
      </c>
      <c r="P630" s="64">
        <v>1</v>
      </c>
      <c r="S630" s="113">
        <v>1</v>
      </c>
      <c r="AB630" s="23" t="s">
        <v>2566</v>
      </c>
      <c r="AD630" s="23" t="s">
        <v>2567</v>
      </c>
      <c r="AF630" s="23" t="s">
        <v>2568</v>
      </c>
      <c r="AP630" s="73"/>
      <c r="AQ630" s="75"/>
      <c r="AR630" s="76"/>
      <c r="AS630" s="77"/>
      <c r="AV630" s="75"/>
      <c r="AW630" s="83"/>
      <c r="AX630" s="84"/>
      <c r="AY630" s="80"/>
      <c r="BB630" s="81"/>
    </row>
    <row r="631" spans="1:59" ht="15" customHeight="1">
      <c r="A631" s="23" t="s">
        <v>2937</v>
      </c>
      <c r="B631" s="23" t="s">
        <v>2841</v>
      </c>
      <c r="C631" s="23" t="s">
        <v>2360</v>
      </c>
      <c r="D631" s="24">
        <v>15</v>
      </c>
      <c r="E631" s="23">
        <v>1</v>
      </c>
      <c r="G631" s="23" t="s">
        <v>2569</v>
      </c>
      <c r="J631" s="23" t="s">
        <v>28</v>
      </c>
      <c r="K631" s="23" t="s">
        <v>26</v>
      </c>
      <c r="M631" s="23" t="s">
        <v>648</v>
      </c>
      <c r="AD631" s="23" t="s">
        <v>262</v>
      </c>
      <c r="AF631" s="23" t="s">
        <v>2570</v>
      </c>
      <c r="AP631" s="73"/>
      <c r="AQ631" s="75"/>
      <c r="AR631" s="76"/>
      <c r="AS631" s="77"/>
      <c r="AV631" s="75"/>
      <c r="AW631" s="83"/>
      <c r="AX631" s="84"/>
      <c r="AY631" s="80"/>
      <c r="BB631" s="81"/>
    </row>
    <row r="632" spans="1:59" ht="15" customHeight="1">
      <c r="A632" s="23" t="s">
        <v>2937</v>
      </c>
      <c r="B632" s="23" t="s">
        <v>2842</v>
      </c>
      <c r="C632" s="23" t="s">
        <v>2360</v>
      </c>
      <c r="D632" s="24">
        <v>16</v>
      </c>
      <c r="E632" s="23">
        <v>1</v>
      </c>
      <c r="G632" s="23" t="s">
        <v>2571</v>
      </c>
      <c r="J632" s="23" t="s">
        <v>27</v>
      </c>
      <c r="K632" s="23" t="s">
        <v>26</v>
      </c>
      <c r="O632" s="63">
        <v>1</v>
      </c>
      <c r="Q632" s="65">
        <v>1</v>
      </c>
      <c r="S632" s="113">
        <v>1</v>
      </c>
      <c r="AA632" s="72">
        <v>1</v>
      </c>
      <c r="AB632" s="23" t="s">
        <v>2572</v>
      </c>
      <c r="AD632" s="23" t="s">
        <v>262</v>
      </c>
      <c r="AF632" s="23" t="s">
        <v>2573</v>
      </c>
      <c r="AP632" s="73"/>
      <c r="AQ632" s="75"/>
      <c r="AR632" s="76"/>
      <c r="AS632" s="77"/>
      <c r="AV632" s="75"/>
      <c r="AW632" s="83"/>
      <c r="AX632" s="84"/>
      <c r="AY632" s="80"/>
      <c r="BB632" s="81"/>
    </row>
    <row r="633" spans="1:59" ht="15" customHeight="1">
      <c r="A633" s="23" t="s">
        <v>2937</v>
      </c>
      <c r="B633" s="23" t="s">
        <v>2843</v>
      </c>
      <c r="C633" s="23" t="s">
        <v>2360</v>
      </c>
      <c r="D633" s="24">
        <v>17</v>
      </c>
      <c r="E633" s="23">
        <v>1</v>
      </c>
      <c r="G633" s="23" t="s">
        <v>2574</v>
      </c>
      <c r="J633" s="23" t="s">
        <v>29</v>
      </c>
      <c r="K633" s="23" t="s">
        <v>26</v>
      </c>
      <c r="M633" s="23" t="s">
        <v>648</v>
      </c>
      <c r="Q633" s="65">
        <v>3</v>
      </c>
      <c r="R633" s="66">
        <v>2</v>
      </c>
      <c r="T633" s="68">
        <v>3</v>
      </c>
      <c r="V633" s="69">
        <v>1</v>
      </c>
      <c r="W633" s="70">
        <v>1</v>
      </c>
      <c r="AD633" s="23" t="s">
        <v>460</v>
      </c>
      <c r="AF633" s="23" t="s">
        <v>2575</v>
      </c>
      <c r="AP633" s="73"/>
      <c r="AQ633" s="75"/>
      <c r="AR633" s="76"/>
      <c r="AS633" s="77"/>
      <c r="AV633" s="75"/>
      <c r="AW633" s="83"/>
      <c r="AX633" s="84"/>
      <c r="AY633" s="80"/>
      <c r="BB633" s="81"/>
    </row>
    <row r="634" spans="1:59" ht="15" customHeight="1">
      <c r="A634" s="23" t="s">
        <v>2937</v>
      </c>
      <c r="B634" s="23" t="s">
        <v>2844</v>
      </c>
      <c r="C634" s="23" t="s">
        <v>2360</v>
      </c>
      <c r="D634" s="24">
        <v>18</v>
      </c>
      <c r="E634" s="23">
        <v>2</v>
      </c>
      <c r="G634" s="23" t="s">
        <v>2576</v>
      </c>
      <c r="J634" s="23" t="s">
        <v>27</v>
      </c>
      <c r="K634" s="23" t="s">
        <v>26</v>
      </c>
      <c r="N634" s="62">
        <v>0</v>
      </c>
      <c r="S634" s="113">
        <v>2</v>
      </c>
      <c r="AB634" s="23" t="s">
        <v>1082</v>
      </c>
      <c r="AD634" s="23" t="s">
        <v>340</v>
      </c>
      <c r="AF634" s="23" t="s">
        <v>2577</v>
      </c>
      <c r="AP634" s="73"/>
      <c r="AQ634" s="75"/>
      <c r="AR634" s="76"/>
      <c r="AS634" s="77"/>
      <c r="AV634" s="75"/>
      <c r="AW634" s="83"/>
      <c r="AX634" s="84"/>
      <c r="AY634" s="80"/>
      <c r="BB634" s="81"/>
    </row>
    <row r="635" spans="1:59" ht="15" customHeight="1">
      <c r="A635" s="23" t="s">
        <v>2937</v>
      </c>
      <c r="B635" s="23" t="s">
        <v>2845</v>
      </c>
      <c r="C635" s="23" t="s">
        <v>2360</v>
      </c>
      <c r="D635" s="24">
        <v>19</v>
      </c>
      <c r="E635" s="23">
        <v>2</v>
      </c>
      <c r="G635" s="23" t="s">
        <v>2578</v>
      </c>
      <c r="J635" s="23" t="s">
        <v>28</v>
      </c>
      <c r="K635" s="23" t="s">
        <v>26</v>
      </c>
      <c r="M635" s="23" t="s">
        <v>648</v>
      </c>
      <c r="AD635" s="23" t="s">
        <v>284</v>
      </c>
      <c r="AF635" s="23" t="s">
        <v>2579</v>
      </c>
      <c r="AP635" s="73"/>
      <c r="AQ635" s="75"/>
      <c r="AR635" s="76"/>
      <c r="AS635" s="77"/>
      <c r="AV635" s="75"/>
      <c r="AW635" s="83"/>
      <c r="AX635" s="84"/>
      <c r="AY635" s="80"/>
      <c r="BB635" s="81"/>
    </row>
    <row r="636" spans="1:59" ht="15" customHeight="1">
      <c r="A636" s="23" t="s">
        <v>2937</v>
      </c>
      <c r="B636" s="23" t="s">
        <v>2846</v>
      </c>
      <c r="C636" s="23" t="s">
        <v>2360</v>
      </c>
      <c r="D636" s="24">
        <v>20</v>
      </c>
      <c r="E636" s="23">
        <v>2</v>
      </c>
      <c r="G636" s="23" t="s">
        <v>2580</v>
      </c>
      <c r="J636" s="23" t="s">
        <v>257</v>
      </c>
      <c r="K636" s="23" t="s">
        <v>198</v>
      </c>
      <c r="L636" s="23">
        <v>0</v>
      </c>
      <c r="N636" s="62">
        <v>3</v>
      </c>
      <c r="Q636" s="65">
        <v>1</v>
      </c>
      <c r="AB636" s="23" t="s">
        <v>206</v>
      </c>
      <c r="AC636" s="23" t="s">
        <v>258</v>
      </c>
      <c r="AD636" s="23" t="s">
        <v>259</v>
      </c>
      <c r="AF636" s="23" t="s">
        <v>2581</v>
      </c>
      <c r="AP636" s="73"/>
      <c r="AQ636" s="75"/>
      <c r="AR636" s="76"/>
      <c r="AS636" s="77"/>
      <c r="AV636" s="75"/>
      <c r="AW636" s="83"/>
      <c r="AX636" s="84"/>
      <c r="AY636" s="80"/>
      <c r="BB636" s="81"/>
    </row>
    <row r="637" spans="1:59" ht="15" customHeight="1">
      <c r="A637" s="23" t="s">
        <v>2937</v>
      </c>
      <c r="B637" s="23" t="s">
        <v>2847</v>
      </c>
      <c r="C637" s="23" t="s">
        <v>2360</v>
      </c>
      <c r="D637" s="24">
        <v>21</v>
      </c>
      <c r="E637" s="23">
        <v>2</v>
      </c>
      <c r="G637" s="23" t="s">
        <v>2582</v>
      </c>
      <c r="J637" s="23" t="s">
        <v>257</v>
      </c>
      <c r="K637" s="23" t="s">
        <v>198</v>
      </c>
      <c r="L637" s="23">
        <v>0</v>
      </c>
      <c r="N637" s="62">
        <v>3</v>
      </c>
      <c r="O637" s="63">
        <v>1</v>
      </c>
      <c r="T637" s="68">
        <v>3</v>
      </c>
      <c r="AB637" s="23" t="s">
        <v>204</v>
      </c>
      <c r="AD637" s="23" t="s">
        <v>289</v>
      </c>
      <c r="AF637" s="23" t="s">
        <v>2583</v>
      </c>
      <c r="AP637" s="73"/>
      <c r="AQ637" s="75"/>
      <c r="AR637" s="76"/>
      <c r="AS637" s="77"/>
      <c r="AV637" s="75"/>
      <c r="AW637" s="83"/>
      <c r="AX637" s="84"/>
      <c r="AY637" s="80"/>
      <c r="BB637" s="81"/>
    </row>
    <row r="638" spans="1:59" ht="15" customHeight="1">
      <c r="A638" s="23" t="s">
        <v>2937</v>
      </c>
      <c r="B638" s="23" t="s">
        <v>2848</v>
      </c>
      <c r="C638" s="23" t="s">
        <v>2360</v>
      </c>
      <c r="D638" s="24">
        <v>22</v>
      </c>
      <c r="E638" s="23">
        <v>2</v>
      </c>
      <c r="G638" s="23" t="s">
        <v>2584</v>
      </c>
      <c r="J638" s="23" t="s">
        <v>27</v>
      </c>
      <c r="K638" s="23" t="s">
        <v>198</v>
      </c>
      <c r="L638" s="23">
        <v>0</v>
      </c>
      <c r="N638" s="62">
        <v>0</v>
      </c>
      <c r="O638" s="63">
        <v>1</v>
      </c>
      <c r="Q638" s="65">
        <v>1</v>
      </c>
      <c r="AB638" s="23" t="s">
        <v>2179</v>
      </c>
      <c r="AD638" s="23" t="s">
        <v>1805</v>
      </c>
      <c r="AF638" s="23" t="s">
        <v>2585</v>
      </c>
      <c r="AP638" s="73"/>
      <c r="AQ638" s="75"/>
      <c r="AR638" s="76"/>
      <c r="AS638" s="77"/>
      <c r="AV638" s="75"/>
      <c r="AW638" s="83"/>
      <c r="AX638" s="84"/>
      <c r="AY638" s="80"/>
      <c r="BB638" s="81"/>
    </row>
    <row r="639" spans="1:59" ht="15" customHeight="1">
      <c r="A639" s="23" t="s">
        <v>2937</v>
      </c>
      <c r="B639" s="23" t="s">
        <v>2849</v>
      </c>
      <c r="C639" s="23" t="s">
        <v>2360</v>
      </c>
      <c r="D639" s="24">
        <v>23</v>
      </c>
      <c r="E639" s="23">
        <v>2</v>
      </c>
      <c r="G639" s="23" t="s">
        <v>2586</v>
      </c>
      <c r="J639" s="23" t="s">
        <v>27</v>
      </c>
      <c r="K639" s="23" t="s">
        <v>198</v>
      </c>
      <c r="L639" s="23">
        <v>1</v>
      </c>
      <c r="N639" s="62">
        <v>0</v>
      </c>
      <c r="P639" s="64">
        <v>2</v>
      </c>
      <c r="AB639" s="23" t="s">
        <v>1084</v>
      </c>
      <c r="AD639" s="23" t="s">
        <v>307</v>
      </c>
      <c r="AF639" s="23" t="s">
        <v>2587</v>
      </c>
      <c r="AP639" s="73"/>
      <c r="AQ639" s="75"/>
      <c r="AR639" s="76"/>
      <c r="AS639" s="77"/>
      <c r="AV639" s="75"/>
      <c r="AW639" s="83"/>
      <c r="AX639" s="84"/>
      <c r="AY639" s="80"/>
      <c r="BB639" s="81"/>
    </row>
    <row r="640" spans="1:59" ht="15" customHeight="1">
      <c r="A640" s="23" t="s">
        <v>2937</v>
      </c>
      <c r="B640" s="23" t="s">
        <v>2850</v>
      </c>
      <c r="C640" s="23" t="s">
        <v>2360</v>
      </c>
      <c r="D640" s="24">
        <v>24</v>
      </c>
      <c r="E640" s="23">
        <v>2</v>
      </c>
      <c r="G640" s="23" t="s">
        <v>2588</v>
      </c>
      <c r="J640" s="23" t="s">
        <v>257</v>
      </c>
      <c r="K640" s="23" t="s">
        <v>199</v>
      </c>
      <c r="L640" s="23">
        <v>0</v>
      </c>
      <c r="N640" s="62">
        <v>2</v>
      </c>
      <c r="R640" s="66">
        <v>1</v>
      </c>
      <c r="AB640" s="23" t="s">
        <v>207</v>
      </c>
      <c r="AD640" s="23" t="s">
        <v>289</v>
      </c>
      <c r="AF640" s="23" t="s">
        <v>2589</v>
      </c>
      <c r="AP640" s="73"/>
      <c r="AQ640" s="75"/>
      <c r="AR640" s="76"/>
      <c r="AS640" s="77"/>
      <c r="AV640" s="75"/>
      <c r="AW640" s="83"/>
      <c r="AX640" s="84"/>
      <c r="AY640" s="80"/>
      <c r="BB640" s="81"/>
    </row>
    <row r="641" spans="1:54" ht="15" customHeight="1">
      <c r="A641" s="23" t="s">
        <v>2937</v>
      </c>
      <c r="B641" s="23" t="s">
        <v>2851</v>
      </c>
      <c r="C641" s="23" t="s">
        <v>2360</v>
      </c>
      <c r="D641" s="24">
        <v>25</v>
      </c>
      <c r="E641" s="23">
        <v>2</v>
      </c>
      <c r="G641" s="23" t="s">
        <v>2590</v>
      </c>
      <c r="H641" s="23" t="s">
        <v>2591</v>
      </c>
      <c r="J641" s="23" t="s">
        <v>257</v>
      </c>
      <c r="K641" s="23" t="s">
        <v>199</v>
      </c>
      <c r="L641" s="23">
        <v>0</v>
      </c>
      <c r="N641" s="62">
        <v>0</v>
      </c>
      <c r="P641" s="64">
        <v>1</v>
      </c>
      <c r="AB641" s="23" t="s">
        <v>205</v>
      </c>
      <c r="AC641" s="23" t="s">
        <v>258</v>
      </c>
      <c r="AD641" s="23" t="s">
        <v>2592</v>
      </c>
      <c r="AF641" s="23" t="s">
        <v>2593</v>
      </c>
      <c r="AP641" s="73"/>
      <c r="AQ641" s="75"/>
      <c r="AR641" s="76"/>
      <c r="AS641" s="77"/>
      <c r="AV641" s="75"/>
      <c r="AW641" s="83"/>
      <c r="AX641" s="84"/>
      <c r="AY641" s="80"/>
      <c r="BB641" s="81"/>
    </row>
    <row r="642" spans="1:54" ht="15" customHeight="1">
      <c r="A642" s="23" t="s">
        <v>2937</v>
      </c>
      <c r="B642" s="23" t="s">
        <v>2852</v>
      </c>
      <c r="C642" s="23" t="s">
        <v>2360</v>
      </c>
      <c r="D642" s="24">
        <v>26</v>
      </c>
      <c r="E642" s="23">
        <v>2</v>
      </c>
      <c r="G642" s="23" t="s">
        <v>2594</v>
      </c>
      <c r="J642" s="23" t="s">
        <v>27</v>
      </c>
      <c r="K642" s="23" t="s">
        <v>199</v>
      </c>
      <c r="L642" s="23">
        <v>0</v>
      </c>
      <c r="N642" s="62">
        <v>2</v>
      </c>
      <c r="S642" s="113">
        <v>1</v>
      </c>
      <c r="AB642" s="23" t="s">
        <v>208</v>
      </c>
      <c r="AD642" s="23" t="s">
        <v>340</v>
      </c>
      <c r="AF642" s="23" t="s">
        <v>2595</v>
      </c>
      <c r="AP642" s="73"/>
      <c r="AQ642" s="75"/>
      <c r="AR642" s="76"/>
      <c r="AS642" s="77"/>
      <c r="AV642" s="75"/>
      <c r="AW642" s="83"/>
      <c r="AX642" s="84"/>
      <c r="AY642" s="80"/>
      <c r="BB642" s="81"/>
    </row>
    <row r="643" spans="1:54" ht="15" customHeight="1">
      <c r="A643" s="23" t="s">
        <v>2937</v>
      </c>
      <c r="B643" s="23" t="s">
        <v>2853</v>
      </c>
      <c r="C643" s="23" t="s">
        <v>2360</v>
      </c>
      <c r="D643" s="24">
        <v>27</v>
      </c>
      <c r="E643" s="23">
        <v>2</v>
      </c>
      <c r="G643" s="23" t="s">
        <v>2596</v>
      </c>
      <c r="J643" s="23" t="s">
        <v>257</v>
      </c>
      <c r="K643" s="23" t="s">
        <v>199</v>
      </c>
      <c r="L643" s="23">
        <v>1</v>
      </c>
      <c r="N643" s="62">
        <v>3</v>
      </c>
      <c r="P643" s="64">
        <v>1</v>
      </c>
      <c r="AB643" s="23" t="s">
        <v>205</v>
      </c>
      <c r="AD643" s="23" t="s">
        <v>289</v>
      </c>
      <c r="AF643" s="23" t="s">
        <v>2597</v>
      </c>
      <c r="AP643" s="73"/>
      <c r="AQ643" s="75"/>
      <c r="AR643" s="76"/>
      <c r="AS643" s="77"/>
      <c r="AV643" s="75"/>
      <c r="AW643" s="83"/>
      <c r="AX643" s="84"/>
      <c r="AY643" s="80"/>
      <c r="BB643" s="81"/>
    </row>
    <row r="644" spans="1:54" ht="15" customHeight="1">
      <c r="A644" s="23" t="s">
        <v>2937</v>
      </c>
      <c r="B644" s="23" t="s">
        <v>2854</v>
      </c>
      <c r="C644" s="23" t="s">
        <v>2360</v>
      </c>
      <c r="D644" s="24">
        <v>28</v>
      </c>
      <c r="E644" s="23">
        <v>2</v>
      </c>
      <c r="G644" s="23" t="s">
        <v>2598</v>
      </c>
      <c r="J644" s="23" t="s">
        <v>257</v>
      </c>
      <c r="K644" s="23" t="s">
        <v>201</v>
      </c>
      <c r="L644" s="23">
        <v>0</v>
      </c>
      <c r="N644" s="62">
        <v>2</v>
      </c>
      <c r="R644" s="66">
        <v>1</v>
      </c>
      <c r="AB644" s="23" t="s">
        <v>207</v>
      </c>
      <c r="AD644" s="23" t="s">
        <v>289</v>
      </c>
      <c r="AF644" s="23" t="s">
        <v>2599</v>
      </c>
      <c r="AP644" s="73"/>
      <c r="AQ644" s="75"/>
      <c r="AR644" s="76"/>
      <c r="AS644" s="77"/>
      <c r="AV644" s="75"/>
      <c r="AW644" s="83"/>
      <c r="AX644" s="84"/>
      <c r="AY644" s="80"/>
      <c r="BB644" s="81"/>
    </row>
    <row r="645" spans="1:54" ht="15" customHeight="1">
      <c r="A645" s="23" t="s">
        <v>2937</v>
      </c>
      <c r="B645" s="23" t="s">
        <v>2855</v>
      </c>
      <c r="C645" s="23" t="s">
        <v>2360</v>
      </c>
      <c r="D645" s="24">
        <v>29</v>
      </c>
      <c r="E645" s="23">
        <v>2</v>
      </c>
      <c r="G645" s="23" t="s">
        <v>2600</v>
      </c>
      <c r="J645" s="23" t="s">
        <v>27</v>
      </c>
      <c r="K645" s="23" t="s">
        <v>201</v>
      </c>
      <c r="L645" s="23">
        <v>0</v>
      </c>
      <c r="N645" s="62">
        <v>1</v>
      </c>
      <c r="P645" s="64">
        <v>1</v>
      </c>
      <c r="R645" s="66">
        <v>1</v>
      </c>
      <c r="AB645" s="23" t="s">
        <v>2315</v>
      </c>
      <c r="AD645" s="23" t="s">
        <v>1412</v>
      </c>
      <c r="AF645" s="23" t="s">
        <v>2601</v>
      </c>
      <c r="AP645" s="73"/>
      <c r="AQ645" s="75"/>
      <c r="AR645" s="76"/>
      <c r="AS645" s="77"/>
      <c r="AV645" s="75"/>
      <c r="AW645" s="83"/>
      <c r="AX645" s="84"/>
      <c r="AY645" s="80"/>
      <c r="BB645" s="81"/>
    </row>
    <row r="646" spans="1:54" ht="15" customHeight="1">
      <c r="A646" s="23" t="s">
        <v>2937</v>
      </c>
      <c r="B646" s="23" t="s">
        <v>2856</v>
      </c>
      <c r="C646" s="23" t="s">
        <v>2360</v>
      </c>
      <c r="D646" s="24">
        <v>30</v>
      </c>
      <c r="E646" s="23">
        <v>2</v>
      </c>
      <c r="G646" s="23" t="s">
        <v>2602</v>
      </c>
      <c r="J646" s="23" t="s">
        <v>27</v>
      </c>
      <c r="K646" s="23" t="s">
        <v>201</v>
      </c>
      <c r="L646" s="23">
        <v>0</v>
      </c>
      <c r="N646" s="62">
        <v>0</v>
      </c>
      <c r="S646" s="113">
        <v>1</v>
      </c>
      <c r="AB646" s="23" t="s">
        <v>208</v>
      </c>
      <c r="AD646" s="23" t="s">
        <v>2603</v>
      </c>
      <c r="AF646" s="23" t="s">
        <v>2604</v>
      </c>
      <c r="AP646" s="73"/>
      <c r="AQ646" s="75"/>
      <c r="AR646" s="76"/>
      <c r="AS646" s="77"/>
      <c r="AV646" s="75"/>
      <c r="AW646" s="83"/>
      <c r="AX646" s="84"/>
      <c r="AY646" s="80"/>
      <c r="BB646" s="81"/>
    </row>
    <row r="647" spans="1:54" ht="15" customHeight="1">
      <c r="A647" s="23" t="s">
        <v>2937</v>
      </c>
      <c r="B647" s="23" t="s">
        <v>2857</v>
      </c>
      <c r="C647" s="23" t="s">
        <v>2360</v>
      </c>
      <c r="D647" s="24">
        <v>31</v>
      </c>
      <c r="E647" s="23">
        <v>2</v>
      </c>
      <c r="G647" s="23" t="s">
        <v>2605</v>
      </c>
      <c r="J647" s="23" t="s">
        <v>257</v>
      </c>
      <c r="K647" s="23" t="s">
        <v>201</v>
      </c>
      <c r="L647" s="23">
        <v>1</v>
      </c>
      <c r="N647" s="62">
        <v>3</v>
      </c>
      <c r="P647" s="64">
        <v>1</v>
      </c>
      <c r="AB647" s="23" t="s">
        <v>205</v>
      </c>
      <c r="AC647" s="23" t="s">
        <v>258</v>
      </c>
      <c r="AD647" s="23" t="s">
        <v>2606</v>
      </c>
      <c r="AF647" s="23" t="s">
        <v>2607</v>
      </c>
      <c r="AP647" s="73"/>
      <c r="AQ647" s="75"/>
      <c r="AR647" s="76"/>
      <c r="AS647" s="77"/>
      <c r="AV647" s="75"/>
      <c r="AW647" s="83"/>
      <c r="AX647" s="84"/>
      <c r="AY647" s="80"/>
      <c r="BB647" s="81"/>
    </row>
    <row r="648" spans="1:54" ht="15" customHeight="1">
      <c r="A648" s="23" t="s">
        <v>2937</v>
      </c>
      <c r="B648" s="23" t="s">
        <v>2858</v>
      </c>
      <c r="C648" s="23" t="s">
        <v>2360</v>
      </c>
      <c r="D648" s="24">
        <v>32</v>
      </c>
      <c r="E648" s="23">
        <v>2</v>
      </c>
      <c r="G648" s="23" t="s">
        <v>2608</v>
      </c>
      <c r="J648" s="23" t="s">
        <v>257</v>
      </c>
      <c r="K648" s="23" t="s">
        <v>200</v>
      </c>
      <c r="L648" s="23">
        <v>0</v>
      </c>
      <c r="N648" s="62">
        <v>1</v>
      </c>
      <c r="O648" s="63">
        <v>1</v>
      </c>
      <c r="AB648" s="23" t="s">
        <v>204</v>
      </c>
      <c r="AC648" s="23" t="s">
        <v>378</v>
      </c>
      <c r="AD648" s="23" t="s">
        <v>279</v>
      </c>
      <c r="AF648" s="23" t="s">
        <v>2609</v>
      </c>
      <c r="AP648" s="73"/>
      <c r="AQ648" s="75"/>
      <c r="AR648" s="76"/>
      <c r="AS648" s="77"/>
      <c r="AV648" s="75"/>
      <c r="AW648" s="83"/>
      <c r="AX648" s="84"/>
      <c r="AY648" s="80"/>
      <c r="BB648" s="81"/>
    </row>
    <row r="649" spans="1:54" ht="15" customHeight="1">
      <c r="A649" s="23" t="s">
        <v>2937</v>
      </c>
      <c r="B649" s="23" t="s">
        <v>2859</v>
      </c>
      <c r="C649" s="23" t="s">
        <v>2360</v>
      </c>
      <c r="D649" s="24">
        <v>33</v>
      </c>
      <c r="E649" s="23">
        <v>2</v>
      </c>
      <c r="G649" s="23" t="s">
        <v>2610</v>
      </c>
      <c r="J649" s="23" t="s">
        <v>27</v>
      </c>
      <c r="K649" s="23" t="s">
        <v>200</v>
      </c>
      <c r="L649" s="23">
        <v>0</v>
      </c>
      <c r="N649" s="62">
        <v>0</v>
      </c>
      <c r="O649" s="63">
        <v>2</v>
      </c>
      <c r="AB649" s="23" t="s">
        <v>1094</v>
      </c>
      <c r="AD649" s="23" t="s">
        <v>1805</v>
      </c>
      <c r="AF649" s="23" t="s">
        <v>2611</v>
      </c>
      <c r="AP649" s="73"/>
      <c r="AQ649" s="75"/>
      <c r="AR649" s="76"/>
      <c r="AS649" s="77"/>
      <c r="AV649" s="75"/>
      <c r="AW649" s="83"/>
      <c r="AX649" s="84"/>
      <c r="AY649" s="80"/>
      <c r="BB649" s="81"/>
    </row>
    <row r="650" spans="1:54" ht="15" customHeight="1">
      <c r="A650" s="23" t="s">
        <v>2937</v>
      </c>
      <c r="B650" s="23" t="s">
        <v>2860</v>
      </c>
      <c r="C650" s="23" t="s">
        <v>2360</v>
      </c>
      <c r="D650" s="24">
        <v>34</v>
      </c>
      <c r="E650" s="23">
        <v>2</v>
      </c>
      <c r="G650" s="23" t="s">
        <v>2612</v>
      </c>
      <c r="J650" s="23" t="s">
        <v>27</v>
      </c>
      <c r="K650" s="23" t="s">
        <v>200</v>
      </c>
      <c r="L650" s="23">
        <v>0</v>
      </c>
      <c r="N650" s="62">
        <v>3</v>
      </c>
      <c r="O650" s="63">
        <v>1</v>
      </c>
      <c r="R650" s="66">
        <v>1</v>
      </c>
      <c r="AB650" s="23" t="s">
        <v>2188</v>
      </c>
      <c r="AD650" s="23" t="s">
        <v>279</v>
      </c>
      <c r="AF650" s="23" t="s">
        <v>2613</v>
      </c>
      <c r="AP650" s="73"/>
      <c r="AQ650" s="75"/>
      <c r="AR650" s="76"/>
      <c r="AS650" s="77"/>
      <c r="AV650" s="75"/>
      <c r="AW650" s="83"/>
      <c r="AX650" s="84"/>
      <c r="AY650" s="80"/>
      <c r="BB650" s="81"/>
    </row>
    <row r="651" spans="1:54" ht="15" customHeight="1">
      <c r="A651" s="23" t="s">
        <v>2937</v>
      </c>
      <c r="B651" s="23" t="s">
        <v>2861</v>
      </c>
      <c r="C651" s="23" t="s">
        <v>2360</v>
      </c>
      <c r="D651" s="24">
        <v>35</v>
      </c>
      <c r="E651" s="23">
        <v>2</v>
      </c>
      <c r="G651" s="23" t="s">
        <v>2614</v>
      </c>
      <c r="J651" s="23" t="s">
        <v>257</v>
      </c>
      <c r="K651" s="23" t="s">
        <v>200</v>
      </c>
      <c r="L651" s="23">
        <v>1</v>
      </c>
      <c r="N651" s="62">
        <v>3</v>
      </c>
      <c r="Q651" s="65">
        <v>1</v>
      </c>
      <c r="AB651" s="23" t="s">
        <v>206</v>
      </c>
      <c r="AC651" s="23" t="s">
        <v>258</v>
      </c>
      <c r="AD651" s="23" t="s">
        <v>2615</v>
      </c>
      <c r="AF651" s="23" t="s">
        <v>2616</v>
      </c>
      <c r="AP651" s="73"/>
      <c r="AQ651" s="75"/>
      <c r="AR651" s="76"/>
      <c r="AS651" s="77"/>
      <c r="AV651" s="75"/>
      <c r="AW651" s="83"/>
      <c r="AX651" s="84"/>
      <c r="AY651" s="80"/>
      <c r="BB651" s="81"/>
    </row>
    <row r="652" spans="1:54" ht="15" customHeight="1">
      <c r="A652" s="23" t="s">
        <v>2937</v>
      </c>
      <c r="B652" s="23" t="s">
        <v>2862</v>
      </c>
      <c r="C652" s="23" t="s">
        <v>2360</v>
      </c>
      <c r="D652" s="24">
        <v>36</v>
      </c>
      <c r="E652" s="23">
        <v>2</v>
      </c>
      <c r="G652" s="23" t="s">
        <v>2617</v>
      </c>
      <c r="J652" s="23" t="s">
        <v>257</v>
      </c>
      <c r="K652" s="23" t="s">
        <v>202</v>
      </c>
      <c r="L652" s="23">
        <v>0</v>
      </c>
      <c r="N652" s="62">
        <v>2</v>
      </c>
      <c r="P652" s="64">
        <v>1</v>
      </c>
      <c r="AB652" s="23" t="s">
        <v>205</v>
      </c>
      <c r="AC652" s="23" t="s">
        <v>258</v>
      </c>
      <c r="AD652" s="23" t="s">
        <v>325</v>
      </c>
      <c r="AF652" s="23" t="s">
        <v>2618</v>
      </c>
      <c r="AP652" s="73"/>
      <c r="AQ652" s="75"/>
      <c r="AR652" s="76"/>
      <c r="AS652" s="77"/>
      <c r="AV652" s="75"/>
      <c r="AW652" s="83"/>
      <c r="AX652" s="84"/>
      <c r="AY652" s="80"/>
      <c r="BB652" s="81"/>
    </row>
    <row r="653" spans="1:54" ht="15" customHeight="1">
      <c r="A653" s="23" t="s">
        <v>2937</v>
      </c>
      <c r="B653" s="23" t="s">
        <v>2863</v>
      </c>
      <c r="C653" s="23" t="s">
        <v>2360</v>
      </c>
      <c r="D653" s="24">
        <v>37</v>
      </c>
      <c r="E653" s="23">
        <v>2</v>
      </c>
      <c r="G653" s="23" t="s">
        <v>2619</v>
      </c>
      <c r="J653" s="23" t="s">
        <v>257</v>
      </c>
      <c r="K653" s="23" t="s">
        <v>202</v>
      </c>
      <c r="L653" s="23">
        <v>0</v>
      </c>
      <c r="N653" s="62">
        <v>2</v>
      </c>
      <c r="Q653" s="65">
        <v>1</v>
      </c>
      <c r="AB653" s="23" t="s">
        <v>206</v>
      </c>
      <c r="AC653" s="23" t="s">
        <v>258</v>
      </c>
      <c r="AD653" s="23" t="s">
        <v>2620</v>
      </c>
      <c r="AF653" s="23" t="s">
        <v>2621</v>
      </c>
      <c r="AP653" s="73"/>
      <c r="AQ653" s="75"/>
      <c r="AR653" s="76"/>
      <c r="AS653" s="77"/>
      <c r="AV653" s="75"/>
      <c r="AW653" s="83"/>
      <c r="AX653" s="84"/>
      <c r="AY653" s="80"/>
      <c r="BB653" s="81"/>
    </row>
    <row r="654" spans="1:54" ht="15" customHeight="1">
      <c r="A654" s="23" t="s">
        <v>2937</v>
      </c>
      <c r="B654" s="23" t="s">
        <v>2864</v>
      </c>
      <c r="C654" s="23" t="s">
        <v>2360</v>
      </c>
      <c r="D654" s="24">
        <v>38</v>
      </c>
      <c r="E654" s="23">
        <v>2</v>
      </c>
      <c r="G654" s="23" t="s">
        <v>2622</v>
      </c>
      <c r="J654" s="23" t="s">
        <v>27</v>
      </c>
      <c r="K654" s="23" t="s">
        <v>202</v>
      </c>
      <c r="L654" s="23">
        <v>0</v>
      </c>
      <c r="N654" s="62">
        <v>1</v>
      </c>
      <c r="R654" s="66">
        <v>2</v>
      </c>
      <c r="AB654" s="23" t="s">
        <v>1095</v>
      </c>
      <c r="AD654" s="23" t="s">
        <v>2623</v>
      </c>
      <c r="AF654" s="23" t="s">
        <v>2624</v>
      </c>
      <c r="AP654" s="73"/>
      <c r="AQ654" s="75"/>
      <c r="AR654" s="76"/>
      <c r="AS654" s="77"/>
      <c r="AV654" s="75"/>
      <c r="AW654" s="83"/>
      <c r="AX654" s="84"/>
      <c r="AY654" s="80"/>
      <c r="BB654" s="81"/>
    </row>
    <row r="655" spans="1:54" ht="15" customHeight="1">
      <c r="A655" s="23" t="s">
        <v>2937</v>
      </c>
      <c r="B655" s="23" t="s">
        <v>2865</v>
      </c>
      <c r="C655" s="23" t="s">
        <v>2360</v>
      </c>
      <c r="D655" s="24">
        <v>39</v>
      </c>
      <c r="E655" s="23">
        <v>2</v>
      </c>
      <c r="G655" s="23" t="s">
        <v>2625</v>
      </c>
      <c r="J655" s="23" t="s">
        <v>312</v>
      </c>
      <c r="K655" s="23" t="s">
        <v>202</v>
      </c>
      <c r="L655" s="23">
        <v>0</v>
      </c>
      <c r="P655" s="64">
        <v>1</v>
      </c>
      <c r="Q655" s="65">
        <v>1</v>
      </c>
      <c r="R655" s="66">
        <v>1</v>
      </c>
      <c r="AB655" s="23" t="s">
        <v>2626</v>
      </c>
      <c r="AD655" s="23" t="s">
        <v>412</v>
      </c>
      <c r="AF655" s="23" t="s">
        <v>2627</v>
      </c>
      <c r="AP655" s="73"/>
      <c r="AQ655" s="75"/>
      <c r="AR655" s="76"/>
      <c r="AS655" s="77"/>
      <c r="AV655" s="75"/>
      <c r="AW655" s="83"/>
      <c r="AX655" s="84"/>
      <c r="AY655" s="80"/>
      <c r="BB655" s="81"/>
    </row>
    <row r="656" spans="1:54" ht="15" customHeight="1">
      <c r="A656" s="23" t="s">
        <v>2937</v>
      </c>
      <c r="B656" s="23" t="s">
        <v>2866</v>
      </c>
      <c r="C656" s="23" t="s">
        <v>2360</v>
      </c>
      <c r="D656" s="24">
        <v>40</v>
      </c>
      <c r="E656" s="23">
        <v>2</v>
      </c>
      <c r="G656" s="23" t="s">
        <v>2628</v>
      </c>
      <c r="J656" s="23" t="s">
        <v>28</v>
      </c>
      <c r="K656" s="23" t="s">
        <v>26</v>
      </c>
      <c r="M656" s="23" t="s">
        <v>691</v>
      </c>
      <c r="AD656" s="23" t="s">
        <v>1449</v>
      </c>
      <c r="AF656" s="23" t="s">
        <v>2629</v>
      </c>
      <c r="AP656" s="73"/>
      <c r="AQ656" s="75"/>
      <c r="AR656" s="76"/>
      <c r="AS656" s="77"/>
      <c r="AV656" s="75"/>
      <c r="AW656" s="83"/>
      <c r="AX656" s="84"/>
      <c r="AY656" s="80"/>
      <c r="BB656" s="81"/>
    </row>
    <row r="657" spans="1:59" ht="15" customHeight="1">
      <c r="A657" s="23" t="s">
        <v>2937</v>
      </c>
      <c r="B657" s="23" t="s">
        <v>2867</v>
      </c>
      <c r="C657" s="23" t="s">
        <v>2360</v>
      </c>
      <c r="D657" s="24">
        <v>41</v>
      </c>
      <c r="E657" s="23">
        <v>1</v>
      </c>
      <c r="G657" s="23" t="s">
        <v>2630</v>
      </c>
      <c r="J657" s="23" t="s">
        <v>28</v>
      </c>
      <c r="K657" s="23" t="s">
        <v>26</v>
      </c>
      <c r="M657" s="23" t="s">
        <v>691</v>
      </c>
      <c r="AD657" s="23" t="s">
        <v>2631</v>
      </c>
      <c r="AF657" s="23" t="s">
        <v>2632</v>
      </c>
      <c r="AP657" s="73"/>
      <c r="AQ657" s="75"/>
      <c r="AR657" s="76"/>
      <c r="AS657" s="77"/>
      <c r="AV657" s="75"/>
      <c r="AW657" s="83"/>
      <c r="AX657" s="84"/>
      <c r="AY657" s="80"/>
      <c r="BB657" s="81"/>
    </row>
    <row r="658" spans="1:59" ht="15" customHeight="1">
      <c r="A658" s="23" t="s">
        <v>2937</v>
      </c>
      <c r="B658" s="23" t="s">
        <v>2868</v>
      </c>
      <c r="C658" s="23" t="s">
        <v>2360</v>
      </c>
      <c r="D658" s="24">
        <v>42</v>
      </c>
      <c r="E658" s="23">
        <v>1</v>
      </c>
      <c r="G658" s="23" t="s">
        <v>2633</v>
      </c>
      <c r="I658" s="23" t="s">
        <v>223</v>
      </c>
      <c r="J658" s="23" t="s">
        <v>29</v>
      </c>
      <c r="K658" s="23" t="s">
        <v>26</v>
      </c>
      <c r="M658" s="23" t="s">
        <v>691</v>
      </c>
      <c r="Q658" s="65">
        <v>3</v>
      </c>
      <c r="R658" s="66">
        <v>3</v>
      </c>
      <c r="T658" s="68">
        <v>2</v>
      </c>
      <c r="V658" s="69">
        <v>1</v>
      </c>
      <c r="W658" s="70">
        <v>1</v>
      </c>
      <c r="AD658" s="23" t="s">
        <v>2634</v>
      </c>
      <c r="AF658" s="23" t="s">
        <v>2635</v>
      </c>
      <c r="AP658" s="73"/>
      <c r="AQ658" s="75"/>
      <c r="AR658" s="76"/>
      <c r="AS658" s="77"/>
      <c r="AV658" s="75"/>
      <c r="AW658" s="83"/>
      <c r="AX658" s="84"/>
      <c r="AY658" s="80"/>
      <c r="BB658" s="81"/>
    </row>
    <row r="659" spans="1:59" ht="15" customHeight="1">
      <c r="A659" s="23" t="s">
        <v>2937</v>
      </c>
      <c r="B659" s="23" t="s">
        <v>2869</v>
      </c>
      <c r="C659" s="23" t="s">
        <v>2360</v>
      </c>
      <c r="D659" s="24">
        <v>43</v>
      </c>
      <c r="E659" s="23">
        <v>1</v>
      </c>
      <c r="F659" s="23" t="s">
        <v>2636</v>
      </c>
      <c r="G659" s="23" t="s">
        <v>2636</v>
      </c>
      <c r="H659" s="33" t="s">
        <v>709</v>
      </c>
      <c r="J659" s="23" t="s">
        <v>618</v>
      </c>
      <c r="AF659" s="23" t="s">
        <v>2637</v>
      </c>
      <c r="AI659" s="23" t="s">
        <v>2636</v>
      </c>
      <c r="AJ659" s="23" t="s">
        <v>710</v>
      </c>
      <c r="AL659" s="23" t="s">
        <v>618</v>
      </c>
      <c r="AM659" s="23" t="s">
        <v>2426</v>
      </c>
      <c r="AP659" s="73"/>
      <c r="AQ659" s="75"/>
      <c r="AR659" s="76"/>
      <c r="AS659" s="77"/>
      <c r="AV659" s="75"/>
      <c r="AW659" s="83"/>
      <c r="AX659" s="84"/>
      <c r="AY659" s="80"/>
      <c r="BB659" s="81"/>
      <c r="BG659" s="23" t="s">
        <v>2638</v>
      </c>
    </row>
    <row r="660" spans="1:59" ht="15" customHeight="1">
      <c r="A660" s="23" t="s">
        <v>2937</v>
      </c>
      <c r="B660" s="23" t="s">
        <v>2870</v>
      </c>
      <c r="C660" s="23" t="s">
        <v>2360</v>
      </c>
      <c r="D660" s="24">
        <v>44</v>
      </c>
      <c r="E660" s="23">
        <v>1</v>
      </c>
      <c r="F660" s="23" t="s">
        <v>2636</v>
      </c>
      <c r="G660" s="23" t="s">
        <v>2639</v>
      </c>
      <c r="J660" s="23" t="s">
        <v>619</v>
      </c>
      <c r="L660" s="23">
        <v>1</v>
      </c>
      <c r="Z660" s="68">
        <v>6</v>
      </c>
      <c r="AI660" s="23" t="s">
        <v>2640</v>
      </c>
      <c r="AL660" s="23" t="s">
        <v>619</v>
      </c>
      <c r="AM660" s="23" t="s">
        <v>2426</v>
      </c>
      <c r="AN660" s="23">
        <v>1</v>
      </c>
      <c r="AP660" s="73"/>
      <c r="AQ660" s="75"/>
      <c r="AR660" s="76"/>
      <c r="AS660" s="77"/>
      <c r="AV660" s="75"/>
      <c r="AW660" s="83"/>
      <c r="AX660" s="84"/>
      <c r="AY660" s="80"/>
      <c r="BB660" s="81"/>
      <c r="BG660" s="23" t="s">
        <v>2641</v>
      </c>
    </row>
    <row r="661" spans="1:59" ht="15" customHeight="1">
      <c r="A661" s="23" t="s">
        <v>2937</v>
      </c>
      <c r="B661" s="23" t="s">
        <v>2871</v>
      </c>
      <c r="C661" s="23" t="s">
        <v>2360</v>
      </c>
      <c r="D661" s="24">
        <v>45</v>
      </c>
      <c r="E661" s="23">
        <v>1</v>
      </c>
      <c r="F661" s="23" t="s">
        <v>2636</v>
      </c>
      <c r="G661" s="23" t="s">
        <v>2642</v>
      </c>
      <c r="J661" s="23" t="s">
        <v>619</v>
      </c>
      <c r="L661" s="23">
        <v>2</v>
      </c>
      <c r="Z661" s="68">
        <v>6</v>
      </c>
      <c r="AF661" s="23" t="s">
        <v>2643</v>
      </c>
      <c r="AI661" s="23" t="s">
        <v>2644</v>
      </c>
      <c r="AL661" s="23" t="s">
        <v>619</v>
      </c>
      <c r="AM661" s="23" t="s">
        <v>2426</v>
      </c>
      <c r="AN661" s="23">
        <v>2</v>
      </c>
      <c r="AP661" s="73"/>
      <c r="AQ661" s="75"/>
      <c r="AR661" s="76"/>
      <c r="AS661" s="77"/>
      <c r="AV661" s="75"/>
      <c r="AW661" s="83"/>
      <c r="AX661" s="84"/>
      <c r="AY661" s="80"/>
      <c r="BB661" s="81"/>
      <c r="BG661" s="23" t="s">
        <v>2645</v>
      </c>
    </row>
    <row r="662" spans="1:59" ht="15" customHeight="1">
      <c r="A662" s="23" t="s">
        <v>2937</v>
      </c>
      <c r="B662" s="23" t="s">
        <v>2872</v>
      </c>
      <c r="C662" s="23" t="s">
        <v>2360</v>
      </c>
      <c r="D662" s="24">
        <v>46</v>
      </c>
      <c r="E662" s="23">
        <v>1</v>
      </c>
      <c r="F662" s="23" t="s">
        <v>2636</v>
      </c>
      <c r="G662" s="23" t="s">
        <v>2646</v>
      </c>
      <c r="J662" s="23" t="s">
        <v>621</v>
      </c>
      <c r="L662" s="23">
        <v>1</v>
      </c>
      <c r="Y662" s="66" t="s">
        <v>1112</v>
      </c>
      <c r="AI662" s="23" t="s">
        <v>2647</v>
      </c>
      <c r="AL662" s="23" t="s">
        <v>621</v>
      </c>
      <c r="AM662" s="23" t="s">
        <v>2426</v>
      </c>
      <c r="AN662" s="23">
        <v>1</v>
      </c>
      <c r="AP662" s="73"/>
      <c r="AQ662" s="75"/>
      <c r="AR662" s="76"/>
      <c r="AS662" s="77"/>
      <c r="AV662" s="75"/>
      <c r="AW662" s="83"/>
      <c r="AX662" s="84"/>
      <c r="AY662" s="80"/>
      <c r="BB662" s="81"/>
      <c r="BG662" s="23" t="s">
        <v>2648</v>
      </c>
    </row>
    <row r="663" spans="1:59" ht="15" customHeight="1">
      <c r="A663" s="23" t="s">
        <v>2937</v>
      </c>
      <c r="B663" s="23" t="s">
        <v>2873</v>
      </c>
      <c r="C663" s="23" t="s">
        <v>2360</v>
      </c>
      <c r="D663" s="24">
        <v>47</v>
      </c>
      <c r="E663" s="23">
        <v>1</v>
      </c>
      <c r="F663" s="23" t="s">
        <v>2636</v>
      </c>
      <c r="G663" s="23" t="s">
        <v>2649</v>
      </c>
      <c r="J663" s="23" t="s">
        <v>621</v>
      </c>
      <c r="L663" s="23">
        <v>2</v>
      </c>
      <c r="Y663" s="66" t="s">
        <v>38</v>
      </c>
      <c r="AF663" s="23" t="s">
        <v>2650</v>
      </c>
      <c r="AI663" s="23" t="s">
        <v>2651</v>
      </c>
      <c r="AL663" s="23" t="s">
        <v>621</v>
      </c>
      <c r="AM663" s="23" t="s">
        <v>2426</v>
      </c>
      <c r="AN663" s="23">
        <v>2</v>
      </c>
      <c r="AP663" s="73"/>
      <c r="AQ663" s="75"/>
      <c r="AR663" s="76"/>
      <c r="AS663" s="77"/>
      <c r="AV663" s="75"/>
      <c r="AW663" s="83"/>
      <c r="AX663" s="84"/>
      <c r="AY663" s="80"/>
      <c r="BB663" s="81"/>
      <c r="BG663" s="23" t="s">
        <v>2652</v>
      </c>
    </row>
    <row r="664" spans="1:59" ht="15" customHeight="1">
      <c r="A664" s="23" t="s">
        <v>2937</v>
      </c>
      <c r="B664" s="23" t="s">
        <v>2874</v>
      </c>
      <c r="C664" s="23" t="s">
        <v>2360</v>
      </c>
      <c r="D664" s="24">
        <v>47</v>
      </c>
      <c r="E664" s="23">
        <v>1</v>
      </c>
      <c r="F664" s="23" t="s">
        <v>2636</v>
      </c>
      <c r="G664" s="23" t="s">
        <v>2649</v>
      </c>
      <c r="J664" s="23" t="s">
        <v>621</v>
      </c>
      <c r="L664" s="23">
        <v>2</v>
      </c>
      <c r="AF664" s="23" t="s">
        <v>2650</v>
      </c>
      <c r="AI664" s="23" t="s">
        <v>2653</v>
      </c>
      <c r="AL664" s="23" t="s">
        <v>621</v>
      </c>
      <c r="AM664" s="23" t="s">
        <v>2426</v>
      </c>
      <c r="AN664" s="23">
        <v>2</v>
      </c>
      <c r="AP664" s="73"/>
      <c r="AQ664" s="75"/>
      <c r="AR664" s="76"/>
      <c r="AS664" s="77"/>
      <c r="AV664" s="75"/>
      <c r="AW664" s="83"/>
      <c r="AX664" s="84"/>
      <c r="AY664" s="80"/>
      <c r="BB664" s="81"/>
      <c r="BG664" s="23" t="s">
        <v>2654</v>
      </c>
    </row>
    <row r="665" spans="1:59" ht="15" customHeight="1">
      <c r="A665" s="23" t="s">
        <v>2937</v>
      </c>
      <c r="B665" s="23" t="s">
        <v>2875</v>
      </c>
      <c r="C665" s="23" t="s">
        <v>2360</v>
      </c>
      <c r="D665" s="24">
        <v>47</v>
      </c>
      <c r="E665" s="23">
        <v>1</v>
      </c>
      <c r="F665" s="23" t="s">
        <v>2636</v>
      </c>
      <c r="G665" s="23" t="s">
        <v>2649</v>
      </c>
      <c r="J665" s="23" t="s">
        <v>621</v>
      </c>
      <c r="L665" s="23">
        <v>2</v>
      </c>
      <c r="AF665" s="23" t="s">
        <v>2650</v>
      </c>
      <c r="AI665" s="23" t="s">
        <v>2655</v>
      </c>
      <c r="AL665" s="23" t="s">
        <v>621</v>
      </c>
      <c r="AM665" s="23" t="s">
        <v>2426</v>
      </c>
      <c r="AN665" s="23">
        <v>2</v>
      </c>
      <c r="AP665" s="73"/>
      <c r="AQ665" s="75"/>
      <c r="AR665" s="76"/>
      <c r="AS665" s="77"/>
      <c r="AV665" s="75"/>
      <c r="AW665" s="83"/>
      <c r="AX665" s="84"/>
      <c r="AY665" s="80"/>
      <c r="BB665" s="81"/>
      <c r="BG665" s="23" t="s">
        <v>2656</v>
      </c>
    </row>
    <row r="666" spans="1:59" ht="15" customHeight="1">
      <c r="A666" s="23" t="s">
        <v>2937</v>
      </c>
      <c r="B666" s="23" t="s">
        <v>2876</v>
      </c>
      <c r="C666" s="23" t="s">
        <v>2360</v>
      </c>
      <c r="D666" s="24">
        <v>48</v>
      </c>
      <c r="E666" s="23">
        <v>1</v>
      </c>
      <c r="F666" s="23" t="s">
        <v>2636</v>
      </c>
      <c r="G666" s="23" t="s">
        <v>2636</v>
      </c>
      <c r="J666" s="23" t="s">
        <v>621</v>
      </c>
      <c r="L666" s="23">
        <v>3</v>
      </c>
      <c r="AF666" s="23" t="s">
        <v>2657</v>
      </c>
      <c r="AI666" s="23" t="s">
        <v>2658</v>
      </c>
      <c r="AL666" s="23" t="s">
        <v>621</v>
      </c>
      <c r="AM666" s="23" t="s">
        <v>2426</v>
      </c>
      <c r="AN666" s="23">
        <v>3</v>
      </c>
      <c r="AP666" s="73"/>
      <c r="AQ666" s="75"/>
      <c r="AR666" s="76"/>
      <c r="AS666" s="77"/>
      <c r="AV666" s="75"/>
      <c r="AW666" s="83"/>
      <c r="AX666" s="84"/>
      <c r="AY666" s="80"/>
      <c r="BB666" s="81"/>
      <c r="BG666" s="23" t="s">
        <v>2659</v>
      </c>
    </row>
    <row r="667" spans="1:59" ht="15" customHeight="1">
      <c r="A667" s="23" t="s">
        <v>2937</v>
      </c>
      <c r="B667" s="23" t="s">
        <v>2877</v>
      </c>
      <c r="C667" s="23" t="s">
        <v>2360</v>
      </c>
      <c r="D667" s="24">
        <v>49</v>
      </c>
      <c r="E667" s="23">
        <v>1</v>
      </c>
      <c r="F667" s="23" t="s">
        <v>2636</v>
      </c>
      <c r="G667" s="23" t="s">
        <v>2660</v>
      </c>
      <c r="J667" s="23" t="s">
        <v>31</v>
      </c>
      <c r="AI667" s="23" t="s">
        <v>2660</v>
      </c>
      <c r="AL667" s="23" t="s">
        <v>31</v>
      </c>
      <c r="AM667" s="23" t="s">
        <v>2426</v>
      </c>
      <c r="AP667" s="73"/>
      <c r="AQ667" s="75"/>
      <c r="AR667" s="76"/>
      <c r="AS667" s="77"/>
      <c r="AV667" s="75"/>
      <c r="AW667" s="83"/>
      <c r="AX667" s="84"/>
      <c r="AY667" s="80">
        <v>2</v>
      </c>
      <c r="AZ667" s="66">
        <v>0</v>
      </c>
      <c r="BB667" s="81"/>
    </row>
    <row r="668" spans="1:59" ht="15" customHeight="1">
      <c r="A668" s="23" t="s">
        <v>2937</v>
      </c>
      <c r="B668" s="23" t="s">
        <v>2878</v>
      </c>
      <c r="C668" s="23" t="s">
        <v>2360</v>
      </c>
      <c r="D668" s="24">
        <v>50</v>
      </c>
      <c r="E668" s="23">
        <v>1</v>
      </c>
      <c r="F668" s="23" t="s">
        <v>2636</v>
      </c>
      <c r="G668" s="23" t="s">
        <v>2661</v>
      </c>
      <c r="J668" s="23" t="s">
        <v>31</v>
      </c>
      <c r="AI668" s="23" t="s">
        <v>2661</v>
      </c>
      <c r="AL668" s="23" t="s">
        <v>31</v>
      </c>
      <c r="AM668" s="23" t="s">
        <v>2426</v>
      </c>
      <c r="AP668" s="73"/>
      <c r="AQ668" s="75"/>
      <c r="AR668" s="76"/>
      <c r="AS668" s="77"/>
      <c r="AV668" s="75"/>
      <c r="AW668" s="83"/>
      <c r="AX668" s="84"/>
      <c r="AY668" s="80">
        <v>4</v>
      </c>
      <c r="AZ668" s="66">
        <v>1</v>
      </c>
      <c r="BB668" s="81"/>
      <c r="BG668" s="23" t="s">
        <v>2662</v>
      </c>
    </row>
    <row r="669" spans="1:59" ht="15" customHeight="1">
      <c r="A669" s="23" t="s">
        <v>2937</v>
      </c>
      <c r="B669" s="23" t="s">
        <v>2879</v>
      </c>
      <c r="C669" s="23" t="s">
        <v>2360</v>
      </c>
      <c r="D669" s="24">
        <v>51</v>
      </c>
      <c r="E669" s="23">
        <v>1</v>
      </c>
      <c r="F669" s="23" t="s">
        <v>2636</v>
      </c>
      <c r="G669" s="23" t="s">
        <v>2663</v>
      </c>
      <c r="J669" s="23" t="s">
        <v>31</v>
      </c>
      <c r="AI669" s="23" t="s">
        <v>2663</v>
      </c>
      <c r="AL669" s="23" t="s">
        <v>31</v>
      </c>
      <c r="AM669" s="23" t="s">
        <v>2426</v>
      </c>
      <c r="AP669" s="73"/>
      <c r="AQ669" s="75"/>
      <c r="AR669" s="76"/>
      <c r="AS669" s="77"/>
      <c r="AV669" s="75"/>
      <c r="AW669" s="83"/>
      <c r="AX669" s="84"/>
      <c r="AY669" s="80">
        <v>2</v>
      </c>
      <c r="AZ669" s="66" t="s">
        <v>1071</v>
      </c>
      <c r="BB669" s="81">
        <v>1</v>
      </c>
      <c r="BG669" s="23" t="s">
        <v>2664</v>
      </c>
    </row>
    <row r="670" spans="1:59" ht="15" customHeight="1">
      <c r="A670" s="23" t="s">
        <v>2937</v>
      </c>
      <c r="B670" s="23" t="s">
        <v>2880</v>
      </c>
      <c r="C670" s="23" t="s">
        <v>2360</v>
      </c>
      <c r="D670" s="24">
        <v>52</v>
      </c>
      <c r="E670" s="23">
        <v>1</v>
      </c>
      <c r="F670" s="23" t="s">
        <v>2636</v>
      </c>
      <c r="G670" s="23" t="s">
        <v>2665</v>
      </c>
      <c r="J670" s="23" t="s">
        <v>31</v>
      </c>
      <c r="AI670" s="23" t="s">
        <v>2665</v>
      </c>
      <c r="AL670" s="23" t="s">
        <v>31</v>
      </c>
      <c r="AM670" s="23" t="s">
        <v>2426</v>
      </c>
      <c r="AP670" s="73"/>
      <c r="AQ670" s="75"/>
      <c r="AR670" s="76"/>
      <c r="AS670" s="77"/>
      <c r="AV670" s="75"/>
      <c r="AW670" s="83"/>
      <c r="AX670" s="84"/>
      <c r="AY670" s="80">
        <v>3</v>
      </c>
      <c r="AZ670" s="66">
        <v>1</v>
      </c>
      <c r="BB670" s="81"/>
      <c r="BG670" s="23" t="s">
        <v>2666</v>
      </c>
    </row>
    <row r="671" spans="1:59" ht="15" customHeight="1">
      <c r="A671" s="23" t="s">
        <v>2937</v>
      </c>
      <c r="B671" s="23" t="s">
        <v>2881</v>
      </c>
      <c r="C671" s="23" t="s">
        <v>2360</v>
      </c>
      <c r="D671" s="24">
        <v>53</v>
      </c>
      <c r="E671" s="23">
        <v>1</v>
      </c>
      <c r="F671" s="23" t="s">
        <v>2636</v>
      </c>
      <c r="G671" s="23" t="s">
        <v>2667</v>
      </c>
      <c r="J671" s="23" t="s">
        <v>31</v>
      </c>
      <c r="AD671" s="23" t="s">
        <v>2668</v>
      </c>
      <c r="AI671" s="23" t="s">
        <v>2669</v>
      </c>
      <c r="AL671" s="23" t="s">
        <v>31</v>
      </c>
      <c r="AM671" s="23" t="s">
        <v>2426</v>
      </c>
      <c r="AP671" s="73"/>
      <c r="AQ671" s="75"/>
      <c r="AR671" s="76"/>
      <c r="AS671" s="77"/>
      <c r="AV671" s="75"/>
      <c r="AW671" s="83"/>
      <c r="AX671" s="84"/>
      <c r="AY671" s="80">
        <v>4</v>
      </c>
      <c r="AZ671" s="66" t="s">
        <v>1073</v>
      </c>
      <c r="BB671" s="81">
        <v>1</v>
      </c>
      <c r="BE671" s="23" t="s">
        <v>2668</v>
      </c>
      <c r="BG671" s="23" t="s">
        <v>2670</v>
      </c>
    </row>
    <row r="672" spans="1:59" ht="15" customHeight="1">
      <c r="A672" s="23" t="s">
        <v>2937</v>
      </c>
      <c r="B672" s="23" t="s">
        <v>2882</v>
      </c>
      <c r="C672" s="23" t="s">
        <v>2360</v>
      </c>
      <c r="D672" s="24">
        <v>54</v>
      </c>
      <c r="E672" s="23">
        <v>1</v>
      </c>
      <c r="F672" s="23" t="s">
        <v>2636</v>
      </c>
      <c r="G672" s="23" t="s">
        <v>2667</v>
      </c>
      <c r="J672" s="23" t="s">
        <v>31</v>
      </c>
      <c r="AD672" s="23" t="s">
        <v>2668</v>
      </c>
      <c r="AI672" s="23" t="s">
        <v>2671</v>
      </c>
      <c r="AL672" s="23" t="s">
        <v>31</v>
      </c>
      <c r="AM672" s="23" t="s">
        <v>2426</v>
      </c>
      <c r="AP672" s="73"/>
      <c r="AQ672" s="75"/>
      <c r="AR672" s="76"/>
      <c r="AS672" s="77"/>
      <c r="AV672" s="75"/>
      <c r="AW672" s="83"/>
      <c r="AX672" s="84"/>
      <c r="AY672" s="80">
        <v>2</v>
      </c>
      <c r="AZ672" s="66">
        <v>0</v>
      </c>
      <c r="BB672" s="81"/>
      <c r="BE672" s="23" t="s">
        <v>2668</v>
      </c>
      <c r="BG672" s="23" t="s">
        <v>2672</v>
      </c>
    </row>
    <row r="673" spans="1:59" ht="15" customHeight="1">
      <c r="A673" s="23" t="s">
        <v>2937</v>
      </c>
      <c r="B673" s="23" t="s">
        <v>2883</v>
      </c>
      <c r="C673" s="23" t="s">
        <v>2360</v>
      </c>
      <c r="D673" s="24">
        <v>55</v>
      </c>
      <c r="E673" s="23">
        <v>1</v>
      </c>
      <c r="F673" s="23" t="s">
        <v>2636</v>
      </c>
      <c r="G673" s="23" t="s">
        <v>2667</v>
      </c>
      <c r="J673" s="23" t="s">
        <v>31</v>
      </c>
      <c r="AD673" s="23" t="s">
        <v>2668</v>
      </c>
      <c r="AI673" s="23" t="s">
        <v>2673</v>
      </c>
      <c r="AL673" s="23" t="s">
        <v>31</v>
      </c>
      <c r="AM673" s="23" t="s">
        <v>2426</v>
      </c>
      <c r="AP673" s="73"/>
      <c r="AQ673" s="75"/>
      <c r="AR673" s="76"/>
      <c r="AS673" s="77"/>
      <c r="AV673" s="75"/>
      <c r="AW673" s="83"/>
      <c r="AX673" s="84"/>
      <c r="AY673" s="80">
        <v>5</v>
      </c>
      <c r="AZ673" s="66" t="s">
        <v>1073</v>
      </c>
      <c r="BB673" s="81">
        <v>1</v>
      </c>
      <c r="BE673" s="23" t="s">
        <v>2668</v>
      </c>
      <c r="BG673" s="23" t="s">
        <v>2674</v>
      </c>
    </row>
    <row r="674" spans="1:59" ht="15" customHeight="1">
      <c r="A674" s="23" t="s">
        <v>2937</v>
      </c>
      <c r="B674" s="23" t="s">
        <v>2884</v>
      </c>
      <c r="C674" s="23" t="s">
        <v>2360</v>
      </c>
      <c r="D674" s="24">
        <v>56</v>
      </c>
      <c r="E674" s="23">
        <v>1</v>
      </c>
      <c r="F674" s="23" t="s">
        <v>2636</v>
      </c>
      <c r="G674" s="23" t="s">
        <v>2675</v>
      </c>
      <c r="J674" s="23" t="s">
        <v>31</v>
      </c>
      <c r="AD674" s="23" t="s">
        <v>2668</v>
      </c>
      <c r="AI674" s="23" t="s">
        <v>2676</v>
      </c>
      <c r="AL674" s="23" t="s">
        <v>31</v>
      </c>
      <c r="AM674" s="23" t="s">
        <v>2426</v>
      </c>
      <c r="AP674" s="73"/>
      <c r="AQ674" s="75"/>
      <c r="AR674" s="76"/>
      <c r="AS674" s="77"/>
      <c r="AV674" s="75"/>
      <c r="AW674" s="83"/>
      <c r="AX674" s="84"/>
      <c r="AY674" s="80">
        <v>4</v>
      </c>
      <c r="AZ674" s="66">
        <v>0</v>
      </c>
      <c r="BB674" s="81"/>
      <c r="BE674" s="23" t="s">
        <v>2668</v>
      </c>
      <c r="BG674" s="23" t="s">
        <v>2677</v>
      </c>
    </row>
    <row r="675" spans="1:59" ht="15" customHeight="1">
      <c r="A675" s="23" t="s">
        <v>2937</v>
      </c>
      <c r="B675" s="23" t="s">
        <v>2885</v>
      </c>
      <c r="C675" s="23" t="s">
        <v>2360</v>
      </c>
      <c r="D675" s="24">
        <v>57</v>
      </c>
      <c r="E675" s="23">
        <v>1</v>
      </c>
      <c r="F675" s="23" t="s">
        <v>2636</v>
      </c>
      <c r="G675" s="23" t="s">
        <v>2675</v>
      </c>
      <c r="J675" s="23" t="s">
        <v>31</v>
      </c>
      <c r="AD675" s="23" t="s">
        <v>2668</v>
      </c>
      <c r="AI675" s="23" t="s">
        <v>2678</v>
      </c>
      <c r="AL675" s="23" t="s">
        <v>31</v>
      </c>
      <c r="AM675" s="23" t="s">
        <v>2426</v>
      </c>
      <c r="AP675" s="73"/>
      <c r="AQ675" s="75"/>
      <c r="AR675" s="76"/>
      <c r="AS675" s="77"/>
      <c r="AV675" s="75"/>
      <c r="AW675" s="83"/>
      <c r="AX675" s="84"/>
      <c r="AY675" s="80">
        <v>1</v>
      </c>
      <c r="AZ675" s="66" t="s">
        <v>1073</v>
      </c>
      <c r="BB675" s="81">
        <v>1</v>
      </c>
      <c r="BE675" s="23" t="s">
        <v>2668</v>
      </c>
      <c r="BG675" s="23" t="s">
        <v>2679</v>
      </c>
    </row>
    <row r="676" spans="1:59" ht="15" customHeight="1">
      <c r="A676" s="23" t="s">
        <v>2937</v>
      </c>
      <c r="B676" s="23" t="s">
        <v>2886</v>
      </c>
      <c r="C676" s="23" t="s">
        <v>2360</v>
      </c>
      <c r="D676" s="24">
        <v>58</v>
      </c>
      <c r="E676" s="23">
        <v>1</v>
      </c>
      <c r="F676" s="23" t="s">
        <v>2636</v>
      </c>
      <c r="G676" s="23" t="s">
        <v>2675</v>
      </c>
      <c r="J676" s="23" t="s">
        <v>31</v>
      </c>
      <c r="AD676" s="23" t="s">
        <v>2668</v>
      </c>
      <c r="AI676" s="23" t="s">
        <v>2680</v>
      </c>
      <c r="AL676" s="23" t="s">
        <v>31</v>
      </c>
      <c r="AM676" s="23" t="s">
        <v>2426</v>
      </c>
      <c r="AP676" s="73"/>
      <c r="AQ676" s="75"/>
      <c r="AR676" s="76"/>
      <c r="AS676" s="77"/>
      <c r="AV676" s="75"/>
      <c r="AW676" s="83"/>
      <c r="AX676" s="84"/>
      <c r="AY676" s="80">
        <v>3</v>
      </c>
      <c r="AZ676" s="66" t="s">
        <v>1073</v>
      </c>
      <c r="BB676" s="81">
        <v>1</v>
      </c>
      <c r="BE676" s="23" t="s">
        <v>2668</v>
      </c>
      <c r="BG676" s="23" t="s">
        <v>2681</v>
      </c>
    </row>
    <row r="677" spans="1:59" ht="15" customHeight="1">
      <c r="A677" s="23" t="s">
        <v>2937</v>
      </c>
      <c r="B677" s="23" t="s">
        <v>2887</v>
      </c>
      <c r="C677" s="23" t="s">
        <v>2360</v>
      </c>
      <c r="D677" s="24">
        <v>59</v>
      </c>
      <c r="E677" s="23">
        <v>1</v>
      </c>
      <c r="F677" s="23" t="s">
        <v>2636</v>
      </c>
      <c r="G677" s="23" t="s">
        <v>2682</v>
      </c>
      <c r="I677" s="23" t="s">
        <v>223</v>
      </c>
      <c r="J677" s="23" t="s">
        <v>29</v>
      </c>
      <c r="Q677" s="65">
        <v>4</v>
      </c>
      <c r="R677" s="66">
        <v>4</v>
      </c>
      <c r="T677" s="68">
        <v>3</v>
      </c>
      <c r="W677" s="70">
        <v>1</v>
      </c>
      <c r="AD677" s="23" t="s">
        <v>2683</v>
      </c>
      <c r="AF677" s="23" t="s">
        <v>2684</v>
      </c>
      <c r="AP677" s="73"/>
      <c r="AQ677" s="75"/>
      <c r="AR677" s="76"/>
      <c r="AS677" s="77"/>
      <c r="AV677" s="75"/>
      <c r="AW677" s="83"/>
      <c r="AX677" s="84"/>
      <c r="AY677" s="80"/>
      <c r="BB677" s="81"/>
    </row>
    <row r="678" spans="1:59" ht="15" customHeight="1">
      <c r="A678" s="23" t="s">
        <v>2937</v>
      </c>
      <c r="B678" s="23" t="s">
        <v>2888</v>
      </c>
      <c r="C678" s="23" t="s">
        <v>2360</v>
      </c>
      <c r="D678" s="24">
        <v>60</v>
      </c>
      <c r="E678" s="23">
        <v>1</v>
      </c>
      <c r="F678" s="23" t="s">
        <v>2636</v>
      </c>
      <c r="G678" s="23" t="s">
        <v>2685</v>
      </c>
      <c r="H678" s="23" t="s">
        <v>2686</v>
      </c>
      <c r="I678" s="23" t="s">
        <v>223</v>
      </c>
      <c r="J678" s="23" t="s">
        <v>29</v>
      </c>
      <c r="Q678" s="65">
        <v>4</v>
      </c>
      <c r="R678" s="66">
        <v>2</v>
      </c>
      <c r="T678" s="68">
        <v>4</v>
      </c>
      <c r="V678" s="69">
        <v>2</v>
      </c>
      <c r="AA678" s="72">
        <v>2</v>
      </c>
      <c r="AD678" s="23" t="s">
        <v>1794</v>
      </c>
      <c r="AF678" s="23" t="s">
        <v>2687</v>
      </c>
      <c r="AP678" s="73"/>
      <c r="AQ678" s="75"/>
      <c r="AR678" s="76"/>
      <c r="AS678" s="77"/>
      <c r="AV678" s="75"/>
      <c r="AW678" s="83"/>
      <c r="AX678" s="84"/>
      <c r="AY678" s="80"/>
      <c r="BB678" s="81"/>
    </row>
    <row r="679" spans="1:59" ht="15" customHeight="1">
      <c r="A679" s="23" t="s">
        <v>2937</v>
      </c>
      <c r="B679" s="23" t="s">
        <v>2889</v>
      </c>
      <c r="C679" s="23" t="s">
        <v>2360</v>
      </c>
      <c r="D679" s="24">
        <v>61</v>
      </c>
      <c r="E679" s="23">
        <v>1</v>
      </c>
      <c r="F679" s="23" t="s">
        <v>2688</v>
      </c>
      <c r="G679" s="23" t="s">
        <v>2688</v>
      </c>
      <c r="H679" s="33" t="s">
        <v>709</v>
      </c>
      <c r="J679" s="23" t="s">
        <v>618</v>
      </c>
      <c r="AF679" s="23" t="s">
        <v>2689</v>
      </c>
      <c r="AI679" s="23" t="s">
        <v>2688</v>
      </c>
      <c r="AJ679" s="23" t="s">
        <v>710</v>
      </c>
      <c r="AL679" s="23" t="s">
        <v>618</v>
      </c>
      <c r="AM679" s="23" t="s">
        <v>2426</v>
      </c>
      <c r="AP679" s="73"/>
      <c r="AQ679" s="75"/>
      <c r="AR679" s="76"/>
      <c r="AS679" s="77"/>
      <c r="AV679" s="75"/>
      <c r="AW679" s="83"/>
      <c r="AX679" s="84"/>
      <c r="AY679" s="80"/>
      <c r="BB679" s="81"/>
      <c r="BG679" s="23" t="s">
        <v>2690</v>
      </c>
    </row>
    <row r="680" spans="1:59" ht="15" customHeight="1">
      <c r="A680" s="23" t="s">
        <v>2937</v>
      </c>
      <c r="B680" s="23" t="s">
        <v>2890</v>
      </c>
      <c r="C680" s="23" t="s">
        <v>2360</v>
      </c>
      <c r="D680" s="24">
        <v>62</v>
      </c>
      <c r="E680" s="23">
        <v>1</v>
      </c>
      <c r="F680" s="23" t="s">
        <v>2688</v>
      </c>
      <c r="G680" s="23" t="s">
        <v>2691</v>
      </c>
      <c r="J680" s="23" t="s">
        <v>619</v>
      </c>
      <c r="L680" s="23">
        <v>1</v>
      </c>
      <c r="Z680" s="68">
        <v>3</v>
      </c>
      <c r="AI680" s="23" t="s">
        <v>2692</v>
      </c>
      <c r="AL680" s="23" t="s">
        <v>619</v>
      </c>
      <c r="AM680" s="23" t="s">
        <v>2426</v>
      </c>
      <c r="AN680" s="23">
        <v>1</v>
      </c>
      <c r="AP680" s="73"/>
      <c r="AQ680" s="75"/>
      <c r="AR680" s="76"/>
      <c r="AS680" s="77"/>
      <c r="AV680" s="75"/>
      <c r="AW680" s="83"/>
      <c r="AX680" s="84"/>
      <c r="AY680" s="80"/>
      <c r="BB680" s="81"/>
      <c r="BG680" s="23" t="s">
        <v>2693</v>
      </c>
    </row>
    <row r="681" spans="1:59" ht="15" customHeight="1">
      <c r="A681" s="23" t="s">
        <v>2937</v>
      </c>
      <c r="B681" s="23" t="s">
        <v>2891</v>
      </c>
      <c r="C681" s="23" t="s">
        <v>2360</v>
      </c>
      <c r="D681" s="24">
        <v>63</v>
      </c>
      <c r="E681" s="23">
        <v>1</v>
      </c>
      <c r="F681" s="23" t="s">
        <v>2688</v>
      </c>
      <c r="G681" s="23" t="s">
        <v>2694</v>
      </c>
      <c r="J681" s="23" t="s">
        <v>619</v>
      </c>
      <c r="L681" s="23">
        <v>2</v>
      </c>
      <c r="Z681" s="68">
        <v>3</v>
      </c>
      <c r="AF681" s="23" t="s">
        <v>2695</v>
      </c>
      <c r="AI681" s="23" t="s">
        <v>2696</v>
      </c>
      <c r="AL681" s="23" t="s">
        <v>619</v>
      </c>
      <c r="AM681" s="23" t="s">
        <v>2426</v>
      </c>
      <c r="AN681" s="23">
        <v>2</v>
      </c>
      <c r="AP681" s="73"/>
      <c r="AQ681" s="75"/>
      <c r="AR681" s="76"/>
      <c r="AS681" s="77"/>
      <c r="AV681" s="75"/>
      <c r="AW681" s="83"/>
      <c r="AX681" s="84"/>
      <c r="AY681" s="80"/>
      <c r="BB681" s="81"/>
      <c r="BG681" s="23" t="s">
        <v>1487</v>
      </c>
    </row>
    <row r="682" spans="1:59" ht="15" customHeight="1">
      <c r="A682" s="23" t="s">
        <v>2937</v>
      </c>
      <c r="B682" s="23" t="s">
        <v>2892</v>
      </c>
      <c r="C682" s="23" t="s">
        <v>2360</v>
      </c>
      <c r="D682" s="24">
        <v>64</v>
      </c>
      <c r="E682" s="23">
        <v>1</v>
      </c>
      <c r="F682" s="23" t="s">
        <v>2688</v>
      </c>
      <c r="G682" s="23" t="s">
        <v>2697</v>
      </c>
      <c r="J682" s="23" t="s">
        <v>621</v>
      </c>
      <c r="L682" s="23">
        <v>1</v>
      </c>
      <c r="Y682" s="66" t="s">
        <v>38</v>
      </c>
      <c r="AF682" s="23" t="s">
        <v>2698</v>
      </c>
      <c r="AI682" s="23" t="s">
        <v>2699</v>
      </c>
      <c r="AL682" s="23" t="s">
        <v>621</v>
      </c>
      <c r="AM682" s="23" t="s">
        <v>2426</v>
      </c>
      <c r="AN682" s="23">
        <v>1</v>
      </c>
      <c r="AP682" s="73"/>
      <c r="AQ682" s="75"/>
      <c r="AR682" s="76"/>
      <c r="AS682" s="77"/>
      <c r="AV682" s="75"/>
      <c r="AW682" s="83"/>
      <c r="AX682" s="84"/>
      <c r="AY682" s="80"/>
      <c r="BB682" s="81"/>
      <c r="BG682" s="23" t="s">
        <v>2700</v>
      </c>
    </row>
    <row r="683" spans="1:59" ht="15" customHeight="1">
      <c r="A683" s="23" t="s">
        <v>2937</v>
      </c>
      <c r="B683" s="23" t="s">
        <v>2893</v>
      </c>
      <c r="C683" s="23" t="s">
        <v>2360</v>
      </c>
      <c r="D683" s="24">
        <v>65</v>
      </c>
      <c r="E683" s="23">
        <v>1</v>
      </c>
      <c r="F683" s="23" t="s">
        <v>2688</v>
      </c>
      <c r="G683" s="23" t="s">
        <v>2701</v>
      </c>
      <c r="J683" s="23" t="s">
        <v>2702</v>
      </c>
      <c r="AF683" s="23" t="s">
        <v>2703</v>
      </c>
      <c r="AI683" s="23" t="s">
        <v>2704</v>
      </c>
      <c r="AJ683" s="23" t="s">
        <v>2705</v>
      </c>
      <c r="AK683" s="23" t="s">
        <v>223</v>
      </c>
      <c r="AL683" s="23" t="s">
        <v>29</v>
      </c>
      <c r="AM683" s="23" t="s">
        <v>2426</v>
      </c>
      <c r="AP683" s="73"/>
      <c r="AQ683" s="75"/>
      <c r="AR683" s="76"/>
      <c r="AS683" s="77">
        <v>4</v>
      </c>
      <c r="AT683" s="66">
        <v>1</v>
      </c>
      <c r="AU683" s="68">
        <v>6</v>
      </c>
      <c r="AV683" s="75"/>
      <c r="AW683" s="83">
        <v>2</v>
      </c>
      <c r="AX683" s="84"/>
      <c r="AY683" s="80"/>
      <c r="BB683" s="81">
        <v>0</v>
      </c>
      <c r="BE683" s="23" t="s">
        <v>2706</v>
      </c>
      <c r="BG683" s="23" t="s">
        <v>2707</v>
      </c>
    </row>
    <row r="684" spans="1:59" ht="15" customHeight="1">
      <c r="A684" s="23" t="s">
        <v>2937</v>
      </c>
      <c r="B684" s="23" t="s">
        <v>2894</v>
      </c>
      <c r="C684" s="23" t="s">
        <v>2360</v>
      </c>
      <c r="D684" s="24">
        <v>66</v>
      </c>
      <c r="E684" s="23">
        <v>1</v>
      </c>
      <c r="F684" s="23" t="s">
        <v>2688</v>
      </c>
      <c r="G684" s="23" t="s">
        <v>2701</v>
      </c>
      <c r="J684" s="23" t="s">
        <v>2702</v>
      </c>
      <c r="AF684" s="23" t="s">
        <v>2708</v>
      </c>
      <c r="AI684" s="23" t="s">
        <v>2709</v>
      </c>
      <c r="AJ684" s="23" t="s">
        <v>2710</v>
      </c>
      <c r="AK684" s="23" t="s">
        <v>223</v>
      </c>
      <c r="AL684" s="23" t="s">
        <v>29</v>
      </c>
      <c r="AM684" s="23" t="s">
        <v>2426</v>
      </c>
      <c r="AP684" s="73"/>
      <c r="AQ684" s="75"/>
      <c r="AR684" s="76"/>
      <c r="AS684" s="77">
        <v>2</v>
      </c>
      <c r="AT684" s="66">
        <v>2</v>
      </c>
      <c r="AU684" s="68">
        <v>8</v>
      </c>
      <c r="AV684" s="75"/>
      <c r="AW684" s="83">
        <v>1</v>
      </c>
      <c r="AX684" s="84">
        <v>1</v>
      </c>
      <c r="AY684" s="80"/>
      <c r="BB684" s="81">
        <v>0</v>
      </c>
      <c r="BE684" s="23" t="s">
        <v>2706</v>
      </c>
      <c r="BG684" s="23" t="s">
        <v>2711</v>
      </c>
    </row>
    <row r="685" spans="1:59" ht="15" customHeight="1">
      <c r="A685" s="23" t="s">
        <v>2937</v>
      </c>
      <c r="B685" s="23" t="s">
        <v>2895</v>
      </c>
      <c r="C685" s="23" t="s">
        <v>2360</v>
      </c>
      <c r="D685" s="24">
        <v>67</v>
      </c>
      <c r="E685" s="23">
        <v>1</v>
      </c>
      <c r="F685" s="23" t="s">
        <v>2688</v>
      </c>
      <c r="G685" s="23" t="s">
        <v>2701</v>
      </c>
      <c r="J685" s="23" t="s">
        <v>2702</v>
      </c>
      <c r="AF685" s="23" t="s">
        <v>2712</v>
      </c>
      <c r="AI685" s="23" t="s">
        <v>2713</v>
      </c>
      <c r="AJ685" s="23" t="s">
        <v>2714</v>
      </c>
      <c r="AK685" s="23" t="s">
        <v>223</v>
      </c>
      <c r="AL685" s="23" t="s">
        <v>29</v>
      </c>
      <c r="AM685" s="23" t="s">
        <v>2426</v>
      </c>
      <c r="AP685" s="73"/>
      <c r="AQ685" s="75"/>
      <c r="AR685" s="76"/>
      <c r="AS685" s="77">
        <v>6</v>
      </c>
      <c r="AT685" s="66">
        <v>3</v>
      </c>
      <c r="AU685" s="68">
        <v>4</v>
      </c>
      <c r="AV685" s="75"/>
      <c r="AW685" s="83">
        <v>1</v>
      </c>
      <c r="AX685" s="84">
        <v>1</v>
      </c>
      <c r="AY685" s="80"/>
      <c r="BB685" s="81">
        <v>0</v>
      </c>
      <c r="BE685" s="23" t="s">
        <v>2706</v>
      </c>
      <c r="BG685" s="23" t="s">
        <v>2715</v>
      </c>
    </row>
    <row r="686" spans="1:59" ht="15" customHeight="1">
      <c r="A686" s="23" t="s">
        <v>2937</v>
      </c>
      <c r="B686" s="23" t="s">
        <v>2896</v>
      </c>
      <c r="C686" s="23" t="s">
        <v>2360</v>
      </c>
      <c r="D686" s="24">
        <v>68</v>
      </c>
      <c r="E686" s="23">
        <v>1</v>
      </c>
      <c r="F686" s="23" t="s">
        <v>2688</v>
      </c>
      <c r="G686" s="23" t="s">
        <v>2701</v>
      </c>
      <c r="J686" s="23" t="s">
        <v>2702</v>
      </c>
      <c r="AF686" s="23" t="s">
        <v>2716</v>
      </c>
      <c r="AI686" s="23" t="s">
        <v>2717</v>
      </c>
      <c r="AJ686" s="23" t="s">
        <v>2718</v>
      </c>
      <c r="AK686" s="23" t="s">
        <v>223</v>
      </c>
      <c r="AL686" s="23" t="s">
        <v>29</v>
      </c>
      <c r="AM686" s="23" t="s">
        <v>2426</v>
      </c>
      <c r="AP686" s="73"/>
      <c r="AQ686" s="75"/>
      <c r="AR686" s="76"/>
      <c r="AS686" s="77">
        <v>3</v>
      </c>
      <c r="AT686" s="66">
        <v>3</v>
      </c>
      <c r="AU686" s="68">
        <v>5</v>
      </c>
      <c r="AV686" s="75"/>
      <c r="AW686" s="83">
        <v>2</v>
      </c>
      <c r="AX686" s="84">
        <v>2</v>
      </c>
      <c r="AY686" s="80"/>
      <c r="BB686" s="81">
        <v>0</v>
      </c>
      <c r="BE686" s="23" t="s">
        <v>2706</v>
      </c>
      <c r="BG686" s="23" t="s">
        <v>2719</v>
      </c>
    </row>
    <row r="687" spans="1:59" ht="15" customHeight="1">
      <c r="A687" s="23" t="s">
        <v>2937</v>
      </c>
      <c r="B687" s="23" t="s">
        <v>2897</v>
      </c>
      <c r="C687" s="23" t="s">
        <v>2360</v>
      </c>
      <c r="D687" s="24">
        <v>69</v>
      </c>
      <c r="E687" s="23">
        <v>1</v>
      </c>
      <c r="F687" s="23" t="s">
        <v>2688</v>
      </c>
      <c r="G687" s="23" t="s">
        <v>2701</v>
      </c>
      <c r="J687" s="23" t="s">
        <v>2702</v>
      </c>
      <c r="AF687" s="23" t="s">
        <v>2720</v>
      </c>
      <c r="AI687" s="23" t="s">
        <v>2721</v>
      </c>
      <c r="AJ687" s="23" t="s">
        <v>2722</v>
      </c>
      <c r="AK687" s="23" t="s">
        <v>223</v>
      </c>
      <c r="AL687" s="23" t="s">
        <v>29</v>
      </c>
      <c r="AM687" s="23" t="s">
        <v>2426</v>
      </c>
      <c r="AP687" s="73"/>
      <c r="AQ687" s="75"/>
      <c r="AR687" s="76"/>
      <c r="AS687" s="77">
        <v>2</v>
      </c>
      <c r="AT687" s="66">
        <v>4</v>
      </c>
      <c r="AU687" s="68">
        <v>5</v>
      </c>
      <c r="AV687" s="75"/>
      <c r="AW687" s="83"/>
      <c r="AX687" s="84">
        <v>2</v>
      </c>
      <c r="AY687" s="80"/>
      <c r="BB687" s="81">
        <v>0</v>
      </c>
      <c r="BE687" s="23" t="s">
        <v>2706</v>
      </c>
      <c r="BG687" s="23" t="s">
        <v>2723</v>
      </c>
    </row>
    <row r="688" spans="1:59" ht="15" customHeight="1">
      <c r="A688" s="23" t="s">
        <v>2937</v>
      </c>
      <c r="B688" s="23" t="s">
        <v>2898</v>
      </c>
      <c r="C688" s="23" t="s">
        <v>2360</v>
      </c>
      <c r="D688" s="24">
        <v>70</v>
      </c>
      <c r="E688" s="23">
        <v>1</v>
      </c>
      <c r="F688" s="23" t="s">
        <v>2688</v>
      </c>
      <c r="G688" s="23" t="s">
        <v>2724</v>
      </c>
      <c r="J688" s="23" t="s">
        <v>31</v>
      </c>
      <c r="AI688" s="23" t="s">
        <v>2724</v>
      </c>
      <c r="AL688" s="23" t="s">
        <v>31</v>
      </c>
      <c r="AM688" s="23" t="s">
        <v>2426</v>
      </c>
      <c r="AP688" s="73"/>
      <c r="AQ688" s="75"/>
      <c r="AR688" s="76"/>
      <c r="AS688" s="77"/>
      <c r="AV688" s="75"/>
      <c r="AW688" s="83"/>
      <c r="AX688" s="84"/>
      <c r="AY688" s="80">
        <v>2</v>
      </c>
      <c r="AZ688" s="66" t="s">
        <v>1073</v>
      </c>
      <c r="BB688" s="81"/>
      <c r="BG688" s="23" t="s">
        <v>2725</v>
      </c>
    </row>
    <row r="689" spans="1:59" ht="15" customHeight="1">
      <c r="A689" s="23" t="s">
        <v>2937</v>
      </c>
      <c r="B689" s="23" t="s">
        <v>2899</v>
      </c>
      <c r="C689" s="23" t="s">
        <v>2360</v>
      </c>
      <c r="D689" s="24">
        <v>71</v>
      </c>
      <c r="E689" s="23">
        <v>1</v>
      </c>
      <c r="F689" s="23" t="s">
        <v>2688</v>
      </c>
      <c r="G689" s="23" t="s">
        <v>2726</v>
      </c>
      <c r="J689" s="23" t="s">
        <v>31</v>
      </c>
      <c r="AI689" s="23" t="s">
        <v>2726</v>
      </c>
      <c r="AL689" s="23" t="s">
        <v>31</v>
      </c>
      <c r="AM689" s="23" t="s">
        <v>2426</v>
      </c>
      <c r="AP689" s="73"/>
      <c r="AQ689" s="75"/>
      <c r="AR689" s="76"/>
      <c r="AS689" s="77"/>
      <c r="AV689" s="75"/>
      <c r="AW689" s="83"/>
      <c r="AX689" s="84"/>
      <c r="AY689" s="80">
        <v>4</v>
      </c>
      <c r="AZ689" s="66">
        <v>0</v>
      </c>
      <c r="BB689" s="81"/>
      <c r="BG689" s="23" t="s">
        <v>2727</v>
      </c>
    </row>
    <row r="690" spans="1:59" ht="15" customHeight="1">
      <c r="A690" s="23" t="s">
        <v>2937</v>
      </c>
      <c r="B690" s="23" t="s">
        <v>2900</v>
      </c>
      <c r="C690" s="23" t="s">
        <v>2360</v>
      </c>
      <c r="D690" s="24">
        <v>72</v>
      </c>
      <c r="E690" s="23">
        <v>1</v>
      </c>
      <c r="F690" s="23" t="s">
        <v>2688</v>
      </c>
      <c r="G690" s="23" t="s">
        <v>2728</v>
      </c>
      <c r="J690" s="23" t="s">
        <v>31</v>
      </c>
      <c r="AI690" s="23" t="s">
        <v>2728</v>
      </c>
      <c r="AL690" s="23" t="s">
        <v>31</v>
      </c>
      <c r="AM690" s="23" t="s">
        <v>2426</v>
      </c>
      <c r="AP690" s="73"/>
      <c r="AQ690" s="75"/>
      <c r="AR690" s="76"/>
      <c r="AS690" s="77"/>
      <c r="AV690" s="75"/>
      <c r="AW690" s="83"/>
      <c r="AX690" s="84"/>
      <c r="AY690" s="80">
        <v>3</v>
      </c>
      <c r="AZ690" s="66">
        <v>0</v>
      </c>
      <c r="BB690" s="81"/>
      <c r="BG690" s="23" t="s">
        <v>2729</v>
      </c>
    </row>
    <row r="691" spans="1:59" ht="15" customHeight="1">
      <c r="A691" s="23" t="s">
        <v>2937</v>
      </c>
      <c r="B691" s="23" t="s">
        <v>2901</v>
      </c>
      <c r="C691" s="23" t="s">
        <v>2360</v>
      </c>
      <c r="D691" s="24">
        <v>73</v>
      </c>
      <c r="E691" s="23">
        <v>1</v>
      </c>
      <c r="F691" s="23" t="s">
        <v>2688</v>
      </c>
      <c r="G691" s="23" t="s">
        <v>2730</v>
      </c>
      <c r="J691" s="23" t="s">
        <v>31</v>
      </c>
      <c r="AI691" s="23" t="s">
        <v>2730</v>
      </c>
      <c r="AL691" s="23" t="s">
        <v>31</v>
      </c>
      <c r="AM691" s="23" t="s">
        <v>2426</v>
      </c>
      <c r="AP691" s="73"/>
      <c r="AQ691" s="75"/>
      <c r="AR691" s="76"/>
      <c r="AS691" s="77"/>
      <c r="AV691" s="75"/>
      <c r="AW691" s="83"/>
      <c r="AX691" s="84"/>
      <c r="AY691" s="80">
        <v>1</v>
      </c>
      <c r="AZ691" s="66">
        <v>0</v>
      </c>
      <c r="BB691" s="81"/>
      <c r="BG691" s="23" t="s">
        <v>2731</v>
      </c>
    </row>
    <row r="692" spans="1:59" ht="15" customHeight="1">
      <c r="A692" s="23" t="s">
        <v>2937</v>
      </c>
      <c r="B692" s="23" t="s">
        <v>2902</v>
      </c>
      <c r="C692" s="23" t="s">
        <v>2360</v>
      </c>
      <c r="D692" s="24">
        <v>74</v>
      </c>
      <c r="E692" s="23">
        <v>1</v>
      </c>
      <c r="F692" s="23" t="s">
        <v>2688</v>
      </c>
      <c r="G692" s="23" t="s">
        <v>2732</v>
      </c>
      <c r="J692" s="23" t="s">
        <v>31</v>
      </c>
      <c r="AI692" s="23" t="s">
        <v>2732</v>
      </c>
      <c r="AL692" s="23" t="s">
        <v>31</v>
      </c>
      <c r="AM692" s="23" t="s">
        <v>2426</v>
      </c>
      <c r="AP692" s="73"/>
      <c r="AQ692" s="75"/>
      <c r="AR692" s="76"/>
      <c r="AS692" s="77"/>
      <c r="AV692" s="75"/>
      <c r="AW692" s="83"/>
      <c r="AX692" s="84"/>
      <c r="AY692" s="80">
        <v>5</v>
      </c>
      <c r="AZ692" s="66">
        <v>0</v>
      </c>
      <c r="BB692" s="81"/>
      <c r="BG692" s="23" t="s">
        <v>2733</v>
      </c>
    </row>
    <row r="693" spans="1:59" ht="15" customHeight="1">
      <c r="A693" s="23" t="s">
        <v>2937</v>
      </c>
      <c r="B693" s="23" t="s">
        <v>2903</v>
      </c>
      <c r="C693" s="23" t="s">
        <v>2360</v>
      </c>
      <c r="D693" s="24">
        <v>75</v>
      </c>
      <c r="E693" s="23">
        <v>1</v>
      </c>
      <c r="F693" s="23" t="s">
        <v>2688</v>
      </c>
      <c r="G693" s="23" t="s">
        <v>2734</v>
      </c>
      <c r="J693" s="23" t="s">
        <v>31</v>
      </c>
      <c r="AI693" s="23" t="s">
        <v>2734</v>
      </c>
      <c r="AL693" s="23" t="s">
        <v>31</v>
      </c>
      <c r="AM693" s="23" t="s">
        <v>2426</v>
      </c>
      <c r="AP693" s="73"/>
      <c r="AQ693" s="75"/>
      <c r="AR693" s="76"/>
      <c r="AS693" s="77"/>
      <c r="AV693" s="75"/>
      <c r="AW693" s="83"/>
      <c r="AX693" s="84"/>
      <c r="AY693" s="80">
        <v>2</v>
      </c>
      <c r="AZ693" s="66">
        <v>0</v>
      </c>
      <c r="BB693" s="81"/>
      <c r="BG693" s="23" t="s">
        <v>2735</v>
      </c>
    </row>
    <row r="694" spans="1:59" ht="15" customHeight="1">
      <c r="A694" s="23" t="s">
        <v>2937</v>
      </c>
      <c r="B694" s="23" t="s">
        <v>2904</v>
      </c>
      <c r="C694" s="23" t="s">
        <v>2360</v>
      </c>
      <c r="D694" s="24">
        <v>76</v>
      </c>
      <c r="E694" s="23">
        <v>1</v>
      </c>
      <c r="F694" s="23" t="s">
        <v>2688</v>
      </c>
      <c r="G694" s="23" t="s">
        <v>2704</v>
      </c>
      <c r="H694" s="23" t="s">
        <v>2736</v>
      </c>
      <c r="I694" s="23" t="s">
        <v>223</v>
      </c>
      <c r="J694" s="23" t="s">
        <v>257</v>
      </c>
      <c r="K694" s="23" t="s">
        <v>26</v>
      </c>
      <c r="AD694" s="23" t="s">
        <v>2737</v>
      </c>
      <c r="AF694" s="23" t="s">
        <v>2738</v>
      </c>
      <c r="AI694" s="23" t="s">
        <v>2739</v>
      </c>
      <c r="AL694" s="23" t="s">
        <v>2702</v>
      </c>
      <c r="AM694" s="23" t="s">
        <v>2426</v>
      </c>
      <c r="AP694" s="73"/>
      <c r="AQ694" s="75"/>
      <c r="AR694" s="76"/>
      <c r="AS694" s="77"/>
      <c r="AV694" s="75"/>
      <c r="AW694" s="83"/>
      <c r="AX694" s="84"/>
      <c r="AY694" s="80"/>
      <c r="BB694" s="81"/>
      <c r="BG694" s="23" t="s">
        <v>2740</v>
      </c>
    </row>
    <row r="695" spans="1:59" ht="15" customHeight="1">
      <c r="A695" s="23" t="s">
        <v>2937</v>
      </c>
      <c r="B695" s="23" t="s">
        <v>2905</v>
      </c>
      <c r="C695" s="23" t="s">
        <v>2360</v>
      </c>
      <c r="D695" s="24">
        <v>77</v>
      </c>
      <c r="E695" s="23">
        <v>1</v>
      </c>
      <c r="F695" s="23" t="s">
        <v>2688</v>
      </c>
      <c r="G695" s="23" t="s">
        <v>2709</v>
      </c>
      <c r="H695" s="23" t="s">
        <v>2741</v>
      </c>
      <c r="I695" s="23" t="s">
        <v>223</v>
      </c>
      <c r="J695" s="23" t="s">
        <v>257</v>
      </c>
      <c r="K695" s="23" t="s">
        <v>26</v>
      </c>
      <c r="AD695" s="23" t="s">
        <v>2737</v>
      </c>
      <c r="AF695" s="23" t="s">
        <v>2742</v>
      </c>
      <c r="AI695" s="23" t="s">
        <v>2743</v>
      </c>
      <c r="AL695" s="23" t="s">
        <v>2702</v>
      </c>
      <c r="AM695" s="23" t="s">
        <v>2426</v>
      </c>
      <c r="AP695" s="73"/>
      <c r="AQ695" s="75"/>
      <c r="AR695" s="76"/>
      <c r="AS695" s="77"/>
      <c r="AV695" s="75"/>
      <c r="AW695" s="83"/>
      <c r="AX695" s="84"/>
      <c r="AY695" s="80"/>
      <c r="BB695" s="81"/>
      <c r="BG695" s="23" t="s">
        <v>2744</v>
      </c>
    </row>
    <row r="696" spans="1:59" ht="15" customHeight="1">
      <c r="A696" s="23" t="s">
        <v>2937</v>
      </c>
      <c r="B696" s="23" t="s">
        <v>2906</v>
      </c>
      <c r="C696" s="23" t="s">
        <v>2360</v>
      </c>
      <c r="D696" s="24">
        <v>78</v>
      </c>
      <c r="E696" s="23">
        <v>1</v>
      </c>
      <c r="F696" s="23" t="s">
        <v>2688</v>
      </c>
      <c r="G696" s="23" t="s">
        <v>2713</v>
      </c>
      <c r="H696" s="23" t="s">
        <v>2745</v>
      </c>
      <c r="I696" s="23" t="s">
        <v>223</v>
      </c>
      <c r="J696" s="23" t="s">
        <v>257</v>
      </c>
      <c r="K696" s="23" t="s">
        <v>26</v>
      </c>
      <c r="AD696" s="23" t="s">
        <v>2737</v>
      </c>
      <c r="AF696" s="23" t="s">
        <v>2746</v>
      </c>
      <c r="AI696" s="23" t="s">
        <v>2747</v>
      </c>
      <c r="AL696" s="23" t="s">
        <v>2702</v>
      </c>
      <c r="AM696" s="23" t="s">
        <v>2426</v>
      </c>
      <c r="AP696" s="73"/>
      <c r="AQ696" s="75"/>
      <c r="AR696" s="76"/>
      <c r="AS696" s="77"/>
      <c r="AV696" s="75"/>
      <c r="AW696" s="83"/>
      <c r="AX696" s="84"/>
      <c r="AY696" s="80"/>
      <c r="BB696" s="81"/>
      <c r="BG696" s="23" t="s">
        <v>2748</v>
      </c>
    </row>
    <row r="697" spans="1:59" ht="15" customHeight="1">
      <c r="A697" s="23" t="s">
        <v>2937</v>
      </c>
      <c r="B697" s="23" t="s">
        <v>2907</v>
      </c>
      <c r="C697" s="23" t="s">
        <v>2360</v>
      </c>
      <c r="D697" s="24">
        <v>79</v>
      </c>
      <c r="E697" s="23">
        <v>1</v>
      </c>
      <c r="F697" s="23" t="s">
        <v>2688</v>
      </c>
      <c r="G697" s="23" t="s">
        <v>2717</v>
      </c>
      <c r="H697" s="23" t="s">
        <v>2749</v>
      </c>
      <c r="I697" s="23" t="s">
        <v>223</v>
      </c>
      <c r="J697" s="23" t="s">
        <v>257</v>
      </c>
      <c r="K697" s="23" t="s">
        <v>26</v>
      </c>
      <c r="AD697" s="23" t="s">
        <v>2737</v>
      </c>
      <c r="AF697" s="23" t="s">
        <v>2750</v>
      </c>
      <c r="AI697" s="23" t="s">
        <v>2751</v>
      </c>
      <c r="AL697" s="23" t="s">
        <v>2702</v>
      </c>
      <c r="AM697" s="23" t="s">
        <v>2426</v>
      </c>
      <c r="AP697" s="73"/>
      <c r="AQ697" s="75"/>
      <c r="AR697" s="76"/>
      <c r="AS697" s="77"/>
      <c r="AV697" s="75"/>
      <c r="AW697" s="83"/>
      <c r="AX697" s="84"/>
      <c r="AY697" s="80"/>
      <c r="BB697" s="81"/>
      <c r="BG697" s="23" t="s">
        <v>2752</v>
      </c>
    </row>
    <row r="698" spans="1:59" ht="15" customHeight="1">
      <c r="A698" s="23" t="s">
        <v>2937</v>
      </c>
      <c r="B698" s="23" t="s">
        <v>2908</v>
      </c>
      <c r="C698" s="23" t="s">
        <v>2360</v>
      </c>
      <c r="D698" s="24">
        <v>80</v>
      </c>
      <c r="E698" s="23">
        <v>1</v>
      </c>
      <c r="F698" s="23" t="s">
        <v>2688</v>
      </c>
      <c r="G698" s="23" t="s">
        <v>2721</v>
      </c>
      <c r="H698" s="23" t="s">
        <v>2753</v>
      </c>
      <c r="I698" s="23" t="s">
        <v>223</v>
      </c>
      <c r="J698" s="23" t="s">
        <v>257</v>
      </c>
      <c r="K698" s="23" t="s">
        <v>26</v>
      </c>
      <c r="AD698" s="23" t="s">
        <v>2737</v>
      </c>
      <c r="AF698" s="23" t="s">
        <v>2754</v>
      </c>
      <c r="AI698" s="23" t="s">
        <v>2755</v>
      </c>
      <c r="AL698" s="23" t="s">
        <v>2702</v>
      </c>
      <c r="AM698" s="23" t="s">
        <v>2426</v>
      </c>
      <c r="AP698" s="73"/>
      <c r="AQ698" s="75"/>
      <c r="AR698" s="76"/>
      <c r="AS698" s="77"/>
      <c r="AV698" s="75"/>
      <c r="AW698" s="83"/>
      <c r="AX698" s="84"/>
      <c r="AY698" s="80"/>
      <c r="BB698" s="81"/>
      <c r="BG698" s="23" t="s">
        <v>2756</v>
      </c>
    </row>
    <row r="699" spans="1:59" ht="15" customHeight="1">
      <c r="A699" s="23" t="s">
        <v>2937</v>
      </c>
      <c r="B699" s="23" t="s">
        <v>2909</v>
      </c>
      <c r="C699" s="23" t="s">
        <v>2360</v>
      </c>
      <c r="D699" s="24">
        <v>81</v>
      </c>
      <c r="E699" s="23">
        <v>1</v>
      </c>
      <c r="F699" s="23" t="s">
        <v>2688</v>
      </c>
      <c r="G699" s="23" t="s">
        <v>2757</v>
      </c>
      <c r="H699" s="23" t="s">
        <v>2758</v>
      </c>
      <c r="I699" s="23" t="s">
        <v>223</v>
      </c>
      <c r="J699" s="23" t="s">
        <v>29</v>
      </c>
      <c r="Q699" s="65">
        <v>2</v>
      </c>
      <c r="R699" s="66">
        <v>2</v>
      </c>
      <c r="T699" s="68">
        <v>3</v>
      </c>
      <c r="AD699" s="23" t="s">
        <v>1135</v>
      </c>
      <c r="AF699" s="23" t="s">
        <v>2759</v>
      </c>
      <c r="AP699" s="73"/>
      <c r="AQ699" s="75"/>
      <c r="AR699" s="76"/>
      <c r="AS699" s="77"/>
      <c r="AV699" s="75"/>
      <c r="AW699" s="83"/>
      <c r="AX699" s="84"/>
      <c r="AY699" s="80"/>
      <c r="BB699" s="81"/>
    </row>
    <row r="700" spans="1:59" ht="15" customHeight="1">
      <c r="A700" s="23" t="s">
        <v>2937</v>
      </c>
      <c r="B700" s="23" t="s">
        <v>2910</v>
      </c>
      <c r="C700" s="23" t="s">
        <v>2360</v>
      </c>
      <c r="D700" s="24">
        <v>82</v>
      </c>
      <c r="E700" s="23">
        <v>2</v>
      </c>
      <c r="F700" s="23" t="s">
        <v>2688</v>
      </c>
      <c r="G700" s="23" t="s">
        <v>2760</v>
      </c>
      <c r="J700" s="23" t="s">
        <v>28</v>
      </c>
      <c r="AD700" s="23" t="s">
        <v>481</v>
      </c>
      <c r="AF700" s="23" t="s">
        <v>2761</v>
      </c>
      <c r="AP700" s="73"/>
      <c r="AQ700" s="75"/>
      <c r="AR700" s="76"/>
      <c r="AS700" s="77"/>
      <c r="AV700" s="75"/>
      <c r="AW700" s="83"/>
      <c r="AX700" s="84"/>
      <c r="AY700" s="80"/>
      <c r="BB700" s="81"/>
    </row>
    <row r="701" spans="1:59" ht="15" customHeight="1">
      <c r="A701" s="23" t="s">
        <v>2937</v>
      </c>
      <c r="B701" s="23" t="s">
        <v>2911</v>
      </c>
      <c r="C701" s="23" t="s">
        <v>2360</v>
      </c>
      <c r="D701" s="24">
        <v>83</v>
      </c>
      <c r="E701" s="23">
        <v>2</v>
      </c>
      <c r="F701" s="23" t="s">
        <v>2688</v>
      </c>
      <c r="G701" s="23" t="s">
        <v>2762</v>
      </c>
      <c r="J701" s="23" t="s">
        <v>28</v>
      </c>
      <c r="AD701" s="23" t="s">
        <v>479</v>
      </c>
      <c r="AF701" s="23" t="s">
        <v>2763</v>
      </c>
      <c r="AP701" s="73"/>
      <c r="AQ701" s="75"/>
      <c r="AR701" s="76"/>
      <c r="AS701" s="77"/>
      <c r="AV701" s="75"/>
      <c r="AW701" s="83"/>
      <c r="AX701" s="84"/>
      <c r="AY701" s="80"/>
      <c r="BB701" s="81"/>
    </row>
    <row r="702" spans="1:59" ht="15" customHeight="1">
      <c r="A702" s="23" t="s">
        <v>2937</v>
      </c>
      <c r="B702" s="23" t="s">
        <v>2912</v>
      </c>
      <c r="C702" s="23" t="s">
        <v>2360</v>
      </c>
      <c r="D702" s="24">
        <v>84</v>
      </c>
      <c r="E702" s="23">
        <v>1</v>
      </c>
      <c r="F702" s="23" t="s">
        <v>2764</v>
      </c>
      <c r="G702" s="23" t="s">
        <v>2765</v>
      </c>
      <c r="J702" s="23" t="s">
        <v>28</v>
      </c>
      <c r="AD702" s="23" t="s">
        <v>481</v>
      </c>
      <c r="AF702" s="23" t="s">
        <v>2766</v>
      </c>
      <c r="AP702" s="73"/>
      <c r="AQ702" s="75"/>
      <c r="AR702" s="76"/>
      <c r="AS702" s="77"/>
      <c r="AV702" s="75"/>
      <c r="AW702" s="83"/>
      <c r="AX702" s="84"/>
      <c r="AY702" s="80"/>
      <c r="BB702" s="81"/>
    </row>
    <row r="703" spans="1:59" ht="15" customHeight="1">
      <c r="A703" s="23" t="s">
        <v>2937</v>
      </c>
      <c r="B703" s="23" t="s">
        <v>2913</v>
      </c>
      <c r="C703" s="23" t="s">
        <v>2360</v>
      </c>
      <c r="D703" s="24">
        <v>84</v>
      </c>
      <c r="E703" s="23">
        <v>1</v>
      </c>
      <c r="F703" s="23" t="s">
        <v>2764</v>
      </c>
      <c r="G703" s="23" t="s">
        <v>2767</v>
      </c>
      <c r="J703" s="23" t="s">
        <v>28</v>
      </c>
      <c r="AD703" s="23" t="s">
        <v>481</v>
      </c>
      <c r="AF703" s="23" t="s">
        <v>2768</v>
      </c>
      <c r="AP703" s="73"/>
      <c r="AQ703" s="75"/>
      <c r="AR703" s="76"/>
      <c r="AS703" s="77"/>
      <c r="AV703" s="75"/>
      <c r="AW703" s="83"/>
      <c r="AX703" s="84"/>
      <c r="AY703" s="80"/>
      <c r="BB703" s="81"/>
    </row>
    <row r="704" spans="1:59" ht="15" customHeight="1">
      <c r="A704" s="23" t="s">
        <v>2937</v>
      </c>
      <c r="B704" s="23" t="s">
        <v>2914</v>
      </c>
      <c r="C704" s="23" t="s">
        <v>2360</v>
      </c>
      <c r="D704" s="24">
        <v>84</v>
      </c>
      <c r="E704" s="23">
        <v>1</v>
      </c>
      <c r="F704" s="23" t="s">
        <v>2764</v>
      </c>
      <c r="G704" s="23" t="s">
        <v>2769</v>
      </c>
      <c r="J704" s="23" t="s">
        <v>28</v>
      </c>
      <c r="AD704" s="23" t="s">
        <v>481</v>
      </c>
      <c r="AF704" s="23" t="s">
        <v>2770</v>
      </c>
      <c r="AP704" s="73"/>
      <c r="AQ704" s="75"/>
      <c r="AR704" s="76"/>
      <c r="AS704" s="77"/>
      <c r="AV704" s="75"/>
      <c r="AW704" s="83"/>
      <c r="AX704" s="84"/>
      <c r="AY704" s="80"/>
      <c r="BB704" s="81"/>
    </row>
    <row r="705" spans="1:54" ht="15" customHeight="1">
      <c r="A705" s="23" t="s">
        <v>2937</v>
      </c>
      <c r="B705" s="23" t="s">
        <v>2915</v>
      </c>
      <c r="C705" s="23" t="s">
        <v>2360</v>
      </c>
      <c r="D705" s="24">
        <v>84</v>
      </c>
      <c r="E705" s="23">
        <v>1</v>
      </c>
      <c r="F705" s="23" t="s">
        <v>2764</v>
      </c>
      <c r="G705" s="23" t="s">
        <v>2771</v>
      </c>
      <c r="J705" s="23" t="s">
        <v>28</v>
      </c>
      <c r="AD705" s="23" t="s">
        <v>481</v>
      </c>
      <c r="AF705" s="23" t="s">
        <v>2772</v>
      </c>
      <c r="AP705" s="73"/>
      <c r="AQ705" s="75"/>
      <c r="AR705" s="76"/>
      <c r="AS705" s="77"/>
      <c r="AV705" s="75"/>
      <c r="AW705" s="83"/>
      <c r="AX705" s="84"/>
      <c r="AY705" s="80"/>
      <c r="BB705" s="81"/>
    </row>
    <row r="706" spans="1:54" ht="15" customHeight="1">
      <c r="A706" s="23" t="s">
        <v>2937</v>
      </c>
      <c r="B706" s="23" t="s">
        <v>2916</v>
      </c>
      <c r="C706" s="23" t="s">
        <v>2360</v>
      </c>
      <c r="D706" s="24">
        <v>85</v>
      </c>
      <c r="E706" s="23">
        <v>2</v>
      </c>
      <c r="F706" s="23" t="s">
        <v>2764</v>
      </c>
      <c r="G706" s="23" t="s">
        <v>2773</v>
      </c>
      <c r="J706" s="23" t="s">
        <v>28</v>
      </c>
      <c r="AD706" s="23" t="s">
        <v>481</v>
      </c>
      <c r="AF706" s="23" t="s">
        <v>2774</v>
      </c>
      <c r="AP706" s="73"/>
      <c r="AQ706" s="75"/>
      <c r="AR706" s="76"/>
      <c r="AS706" s="77"/>
      <c r="AV706" s="75"/>
      <c r="AW706" s="83"/>
      <c r="AX706" s="84"/>
      <c r="AY706" s="80"/>
      <c r="BB706" s="81"/>
    </row>
    <row r="707" spans="1:54" ht="15" customHeight="1">
      <c r="A707" s="23" t="s">
        <v>2937</v>
      </c>
      <c r="B707" s="23" t="s">
        <v>2917</v>
      </c>
      <c r="C707" s="23" t="s">
        <v>2360</v>
      </c>
      <c r="D707" s="24">
        <v>86</v>
      </c>
      <c r="E707" s="23">
        <v>2</v>
      </c>
      <c r="F707" s="23" t="s">
        <v>2775</v>
      </c>
      <c r="G707" s="23" t="s">
        <v>2776</v>
      </c>
      <c r="J707" s="23" t="s">
        <v>29</v>
      </c>
      <c r="Q707" s="65">
        <v>2</v>
      </c>
      <c r="R707" s="66">
        <v>2</v>
      </c>
      <c r="T707" s="68">
        <v>3</v>
      </c>
      <c r="V707" s="69">
        <v>1</v>
      </c>
      <c r="W707" s="70">
        <v>1</v>
      </c>
      <c r="AD707" s="23" t="s">
        <v>836</v>
      </c>
      <c r="AF707" s="23" t="s">
        <v>2777</v>
      </c>
      <c r="AP707" s="73"/>
      <c r="AQ707" s="75"/>
      <c r="AR707" s="76"/>
      <c r="AS707" s="77"/>
      <c r="AV707" s="75"/>
      <c r="AW707" s="83"/>
      <c r="AX707" s="84"/>
      <c r="AY707" s="80"/>
      <c r="BB707" s="81"/>
    </row>
    <row r="708" spans="1:54" ht="15" customHeight="1">
      <c r="A708" s="23" t="s">
        <v>2937</v>
      </c>
      <c r="B708" s="23" t="s">
        <v>2918</v>
      </c>
      <c r="C708" s="23" t="s">
        <v>2360</v>
      </c>
      <c r="D708" s="24">
        <v>87</v>
      </c>
      <c r="E708" s="23">
        <v>2</v>
      </c>
      <c r="F708" s="23" t="s">
        <v>2775</v>
      </c>
      <c r="G708" s="23" t="s">
        <v>2778</v>
      </c>
      <c r="J708" s="23" t="s">
        <v>28</v>
      </c>
      <c r="AD708" s="23" t="s">
        <v>845</v>
      </c>
      <c r="AF708" s="23" t="s">
        <v>2779</v>
      </c>
      <c r="AP708" s="73"/>
      <c r="AQ708" s="75"/>
      <c r="AR708" s="76"/>
      <c r="AS708" s="77"/>
      <c r="AV708" s="75"/>
      <c r="AW708" s="83"/>
      <c r="AX708" s="84"/>
      <c r="AY708" s="80"/>
      <c r="BB708" s="81"/>
    </row>
    <row r="709" spans="1:54" ht="15" customHeight="1">
      <c r="A709" s="23" t="s">
        <v>2937</v>
      </c>
      <c r="B709" s="23" t="s">
        <v>2919</v>
      </c>
      <c r="C709" s="23" t="s">
        <v>2360</v>
      </c>
      <c r="D709" s="24">
        <v>88</v>
      </c>
      <c r="E709" s="23">
        <v>1</v>
      </c>
      <c r="F709" s="23" t="s">
        <v>2780</v>
      </c>
      <c r="G709" s="23" t="s">
        <v>2781</v>
      </c>
      <c r="J709" s="23" t="s">
        <v>29</v>
      </c>
      <c r="Q709" s="65">
        <v>3</v>
      </c>
      <c r="R709" s="66">
        <v>5</v>
      </c>
      <c r="T709" s="68">
        <v>7</v>
      </c>
      <c r="V709" s="69">
        <v>2</v>
      </c>
      <c r="W709" s="70">
        <v>1</v>
      </c>
      <c r="AA709" s="72">
        <v>1</v>
      </c>
      <c r="AD709" s="23" t="s">
        <v>1794</v>
      </c>
      <c r="AF709" s="23" t="s">
        <v>2782</v>
      </c>
      <c r="AP709" s="73"/>
      <c r="AQ709" s="75"/>
      <c r="AR709" s="76"/>
      <c r="AS709" s="77"/>
      <c r="AV709" s="75"/>
      <c r="AW709" s="83"/>
      <c r="AX709" s="84"/>
      <c r="AY709" s="80"/>
      <c r="BB709" s="81"/>
    </row>
    <row r="710" spans="1:54" ht="15" customHeight="1">
      <c r="A710" s="23" t="s">
        <v>2937</v>
      </c>
      <c r="B710" s="23" t="s">
        <v>2920</v>
      </c>
      <c r="C710" s="23" t="s">
        <v>2360</v>
      </c>
      <c r="D710" s="24">
        <v>89</v>
      </c>
      <c r="E710" s="23">
        <v>2</v>
      </c>
      <c r="F710" s="23" t="s">
        <v>2780</v>
      </c>
      <c r="G710" s="23" t="s">
        <v>2783</v>
      </c>
      <c r="J710" s="23" t="s">
        <v>29</v>
      </c>
      <c r="Q710" s="65">
        <v>4</v>
      </c>
      <c r="R710" s="66">
        <v>2</v>
      </c>
      <c r="T710" s="68">
        <v>4</v>
      </c>
      <c r="V710" s="69">
        <v>1</v>
      </c>
      <c r="W710" s="70">
        <v>2</v>
      </c>
      <c r="AD710" s="23" t="s">
        <v>2784</v>
      </c>
      <c r="AF710" s="23" t="s">
        <v>2785</v>
      </c>
      <c r="AP710" s="73"/>
      <c r="AQ710" s="75"/>
      <c r="AR710" s="76"/>
      <c r="AS710" s="77"/>
      <c r="AV710" s="75"/>
      <c r="AW710" s="83"/>
      <c r="AX710" s="84"/>
      <c r="AY710" s="80"/>
      <c r="BB710" s="81"/>
    </row>
    <row r="711" spans="1:54" ht="15" customHeight="1">
      <c r="A711" s="23" t="s">
        <v>2937</v>
      </c>
      <c r="B711" s="23" t="s">
        <v>2921</v>
      </c>
      <c r="C711" s="23" t="s">
        <v>2360</v>
      </c>
      <c r="D711" s="24">
        <v>90</v>
      </c>
      <c r="E711" s="23">
        <v>2</v>
      </c>
      <c r="F711" s="23" t="s">
        <v>2786</v>
      </c>
      <c r="G711" s="23" t="s">
        <v>2787</v>
      </c>
      <c r="J711" s="23" t="s">
        <v>28</v>
      </c>
      <c r="AD711" s="23" t="s">
        <v>492</v>
      </c>
      <c r="AF711" s="23" t="s">
        <v>2788</v>
      </c>
      <c r="AP711" s="73"/>
      <c r="AQ711" s="75"/>
      <c r="AR711" s="76"/>
      <c r="AS711" s="77"/>
      <c r="AV711" s="75"/>
      <c r="AW711" s="83"/>
      <c r="AX711" s="84"/>
      <c r="AY711" s="80"/>
      <c r="BB711" s="81"/>
    </row>
    <row r="712" spans="1:54" ht="15" customHeight="1">
      <c r="A712" s="23" t="s">
        <v>2937</v>
      </c>
      <c r="B712" s="23" t="s">
        <v>2922</v>
      </c>
      <c r="C712" s="23" t="s">
        <v>2360</v>
      </c>
      <c r="D712" s="24">
        <v>91</v>
      </c>
      <c r="E712" s="23">
        <v>2</v>
      </c>
      <c r="F712" s="23" t="s">
        <v>2786</v>
      </c>
      <c r="G712" s="23" t="s">
        <v>2789</v>
      </c>
      <c r="J712" s="23" t="s">
        <v>28</v>
      </c>
      <c r="AD712" s="23" t="s">
        <v>492</v>
      </c>
      <c r="AF712" s="23" t="s">
        <v>2790</v>
      </c>
      <c r="AP712" s="73"/>
      <c r="AQ712" s="75"/>
      <c r="AR712" s="76"/>
      <c r="AS712" s="77"/>
      <c r="AV712" s="75"/>
      <c r="AW712" s="83"/>
      <c r="AX712" s="84"/>
      <c r="AY712" s="80"/>
      <c r="BB712" s="81"/>
    </row>
    <row r="713" spans="1:54" ht="15" customHeight="1">
      <c r="A713" s="23" t="s">
        <v>2937</v>
      </c>
      <c r="B713" s="23" t="s">
        <v>2923</v>
      </c>
      <c r="C713" s="23" t="s">
        <v>2360</v>
      </c>
      <c r="D713" s="24">
        <v>92</v>
      </c>
      <c r="E713" s="23">
        <v>2</v>
      </c>
      <c r="F713" s="23" t="s">
        <v>2786</v>
      </c>
      <c r="G713" s="23" t="s">
        <v>2791</v>
      </c>
      <c r="J713" s="23" t="s">
        <v>28</v>
      </c>
      <c r="AD713" s="23" t="s">
        <v>845</v>
      </c>
      <c r="AF713" s="23" t="s">
        <v>2792</v>
      </c>
      <c r="AP713" s="73"/>
      <c r="AQ713" s="75"/>
      <c r="AR713" s="76"/>
      <c r="AS713" s="77"/>
      <c r="AV713" s="75"/>
      <c r="AW713" s="83"/>
      <c r="AX713" s="84"/>
      <c r="AY713" s="80"/>
      <c r="BB713" s="81"/>
    </row>
    <row r="714" spans="1:54" ht="15" customHeight="1">
      <c r="A714" s="23" t="s">
        <v>2937</v>
      </c>
      <c r="B714" s="23" t="s">
        <v>2924</v>
      </c>
      <c r="C714" s="23" t="s">
        <v>2360</v>
      </c>
      <c r="D714" s="24">
        <v>93</v>
      </c>
      <c r="E714" s="23">
        <v>2</v>
      </c>
      <c r="F714" s="23" t="s">
        <v>2793</v>
      </c>
      <c r="G714" s="23" t="s">
        <v>2794</v>
      </c>
      <c r="J714" s="23" t="s">
        <v>29</v>
      </c>
      <c r="Q714" s="65">
        <v>3</v>
      </c>
      <c r="R714" s="66">
        <v>4</v>
      </c>
      <c r="T714" s="68">
        <v>2</v>
      </c>
      <c r="W714" s="70">
        <v>2</v>
      </c>
      <c r="AD714" s="23" t="s">
        <v>2795</v>
      </c>
      <c r="AF714" s="23" t="s">
        <v>2796</v>
      </c>
      <c r="AP714" s="73"/>
      <c r="AQ714" s="75"/>
      <c r="AR714" s="76"/>
      <c r="AS714" s="77"/>
      <c r="AV714" s="75"/>
      <c r="AW714" s="83"/>
      <c r="AX714" s="84"/>
      <c r="AY714" s="80"/>
      <c r="BB714" s="81"/>
    </row>
    <row r="715" spans="1:54" ht="15" customHeight="1">
      <c r="A715" s="23" t="s">
        <v>2937</v>
      </c>
      <c r="B715" s="23" t="s">
        <v>2925</v>
      </c>
      <c r="C715" s="23" t="s">
        <v>2360</v>
      </c>
      <c r="D715" s="24">
        <v>94</v>
      </c>
      <c r="E715" s="23">
        <v>2</v>
      </c>
      <c r="F715" s="23" t="s">
        <v>2793</v>
      </c>
      <c r="G715" s="23" t="s">
        <v>2797</v>
      </c>
      <c r="J715" s="23" t="s">
        <v>28</v>
      </c>
      <c r="AD715" s="23" t="s">
        <v>2798</v>
      </c>
      <c r="AF715" s="23" t="s">
        <v>2799</v>
      </c>
      <c r="AP715" s="73"/>
      <c r="AQ715" s="75"/>
      <c r="AR715" s="76"/>
      <c r="AS715" s="77"/>
      <c r="AV715" s="75"/>
      <c r="AW715" s="83"/>
      <c r="AX715" s="84"/>
      <c r="AY715" s="80"/>
      <c r="BB715" s="81"/>
    </row>
    <row r="716" spans="1:54" ht="15" customHeight="1">
      <c r="A716" s="23" t="s">
        <v>2937</v>
      </c>
      <c r="B716" s="23" t="s">
        <v>2926</v>
      </c>
      <c r="C716" s="23" t="s">
        <v>2360</v>
      </c>
      <c r="D716" s="24">
        <v>95</v>
      </c>
      <c r="E716" s="23">
        <v>2</v>
      </c>
      <c r="F716" s="23" t="s">
        <v>2800</v>
      </c>
      <c r="G716" s="23" t="s">
        <v>2801</v>
      </c>
      <c r="J716" s="23" t="s">
        <v>29</v>
      </c>
      <c r="Q716" s="65">
        <v>3</v>
      </c>
      <c r="R716" s="66">
        <v>1</v>
      </c>
      <c r="T716" s="68">
        <v>4</v>
      </c>
      <c r="V716" s="69">
        <v>1</v>
      </c>
      <c r="AD716" s="23" t="s">
        <v>2802</v>
      </c>
      <c r="AF716" s="23" t="s">
        <v>2803</v>
      </c>
      <c r="AP716" s="73"/>
      <c r="AQ716" s="75"/>
      <c r="AR716" s="76"/>
      <c r="AS716" s="77"/>
      <c r="AV716" s="75"/>
      <c r="AW716" s="83"/>
      <c r="AX716" s="84"/>
      <c r="AY716" s="80"/>
      <c r="BB716" s="81"/>
    </row>
    <row r="717" spans="1:54" ht="15" customHeight="1">
      <c r="A717" s="23" t="s">
        <v>2937</v>
      </c>
      <c r="B717" s="23" t="s">
        <v>2927</v>
      </c>
      <c r="C717" s="23" t="s">
        <v>2360</v>
      </c>
      <c r="D717" s="24">
        <v>96</v>
      </c>
      <c r="E717" s="23">
        <v>2</v>
      </c>
      <c r="F717" s="23" t="s">
        <v>2800</v>
      </c>
      <c r="G717" s="23" t="s">
        <v>2804</v>
      </c>
      <c r="J717" s="23" t="s">
        <v>29</v>
      </c>
      <c r="Q717" s="65">
        <v>2</v>
      </c>
      <c r="R717" s="66">
        <v>3</v>
      </c>
      <c r="T717" s="68">
        <v>2</v>
      </c>
      <c r="V717" s="69">
        <v>1</v>
      </c>
      <c r="W717" s="70">
        <v>1</v>
      </c>
      <c r="AD717" s="23" t="s">
        <v>2802</v>
      </c>
      <c r="AF717" s="23" t="s">
        <v>2805</v>
      </c>
      <c r="AP717" s="73"/>
      <c r="AQ717" s="75"/>
      <c r="AR717" s="76"/>
      <c r="AS717" s="77"/>
      <c r="AV717" s="75"/>
      <c r="AW717" s="83"/>
      <c r="AX717" s="84"/>
      <c r="AY717" s="80"/>
      <c r="BB717" s="81"/>
    </row>
    <row r="718" spans="1:54" ht="15" customHeight="1">
      <c r="A718" s="23" t="s">
        <v>2937</v>
      </c>
      <c r="B718" s="23" t="s">
        <v>2928</v>
      </c>
      <c r="C718" s="23" t="s">
        <v>2360</v>
      </c>
      <c r="D718" s="24">
        <v>97</v>
      </c>
      <c r="E718" s="23">
        <v>2</v>
      </c>
      <c r="F718" s="23" t="s">
        <v>2800</v>
      </c>
      <c r="G718" s="23" t="s">
        <v>2806</v>
      </c>
      <c r="J718" s="23" t="s">
        <v>28</v>
      </c>
      <c r="AD718" s="23" t="s">
        <v>845</v>
      </c>
      <c r="AF718" s="23" t="s">
        <v>2807</v>
      </c>
      <c r="AP718" s="73"/>
      <c r="AQ718" s="75"/>
      <c r="AR718" s="76"/>
      <c r="AS718" s="77"/>
      <c r="AV718" s="75"/>
      <c r="AW718" s="83"/>
      <c r="AX718" s="84"/>
      <c r="AY718" s="80"/>
      <c r="BB718" s="81"/>
    </row>
    <row r="719" spans="1:54" ht="15" customHeight="1">
      <c r="A719" s="23" t="s">
        <v>2937</v>
      </c>
      <c r="B719" s="23" t="s">
        <v>2929</v>
      </c>
      <c r="C719" s="23" t="s">
        <v>2360</v>
      </c>
      <c r="D719" s="24">
        <v>98</v>
      </c>
      <c r="E719" s="23">
        <v>3</v>
      </c>
      <c r="F719" s="23" t="s">
        <v>2808</v>
      </c>
      <c r="G719" s="23" t="s">
        <v>2809</v>
      </c>
      <c r="J719" s="23" t="s">
        <v>29</v>
      </c>
      <c r="Q719" s="65">
        <v>3</v>
      </c>
      <c r="R719" s="66">
        <v>3</v>
      </c>
      <c r="T719" s="68">
        <v>2</v>
      </c>
      <c r="V719" s="69">
        <v>1</v>
      </c>
      <c r="AD719" s="23" t="s">
        <v>467</v>
      </c>
      <c r="AF719" s="23" t="s">
        <v>2810</v>
      </c>
      <c r="AP719" s="73"/>
      <c r="AQ719" s="75"/>
      <c r="AR719" s="76"/>
      <c r="AS719" s="77"/>
      <c r="AV719" s="75"/>
      <c r="AW719" s="83"/>
      <c r="AX719" s="84"/>
      <c r="AY719" s="80"/>
      <c r="BB719" s="81"/>
    </row>
    <row r="720" spans="1:54" ht="15" customHeight="1">
      <c r="A720" s="23" t="s">
        <v>2937</v>
      </c>
      <c r="B720" s="23" t="s">
        <v>2930</v>
      </c>
      <c r="C720" s="23" t="s">
        <v>2360</v>
      </c>
      <c r="D720" s="24">
        <v>99</v>
      </c>
      <c r="E720" s="23">
        <v>1</v>
      </c>
      <c r="F720" s="23" t="s">
        <v>2808</v>
      </c>
      <c r="G720" s="23" t="s">
        <v>2811</v>
      </c>
      <c r="J720" s="23" t="s">
        <v>29</v>
      </c>
      <c r="Q720" s="65">
        <v>4</v>
      </c>
      <c r="R720" s="66">
        <v>2</v>
      </c>
      <c r="T720" s="68">
        <v>4</v>
      </c>
      <c r="V720" s="69">
        <v>1</v>
      </c>
      <c r="W720" s="70">
        <v>2</v>
      </c>
      <c r="AA720" s="72">
        <v>1</v>
      </c>
      <c r="AD720" s="23" t="s">
        <v>467</v>
      </c>
      <c r="AF720" s="23" t="s">
        <v>2812</v>
      </c>
      <c r="AP720" s="73"/>
      <c r="AQ720" s="75"/>
      <c r="AR720" s="76"/>
      <c r="AS720" s="77"/>
      <c r="AV720" s="75"/>
      <c r="AW720" s="83"/>
      <c r="AX720" s="84"/>
      <c r="AY720" s="80"/>
      <c r="BB720" s="81"/>
    </row>
    <row r="721" spans="1:73" ht="15" customHeight="1">
      <c r="A721" s="23" t="s">
        <v>2937</v>
      </c>
      <c r="B721" s="23" t="s">
        <v>2931</v>
      </c>
      <c r="C721" s="23" t="s">
        <v>2360</v>
      </c>
      <c r="D721" s="24">
        <v>100</v>
      </c>
      <c r="E721" s="23">
        <v>2</v>
      </c>
      <c r="F721" s="23" t="s">
        <v>2808</v>
      </c>
      <c r="G721" s="23" t="s">
        <v>2813</v>
      </c>
      <c r="J721" s="23" t="s">
        <v>28</v>
      </c>
      <c r="AD721" s="23" t="s">
        <v>845</v>
      </c>
      <c r="AF721" s="23" t="s">
        <v>2814</v>
      </c>
      <c r="AP721" s="73"/>
      <c r="AQ721" s="75"/>
      <c r="AR721" s="76"/>
      <c r="AS721" s="77"/>
      <c r="AV721" s="75"/>
      <c r="AW721" s="83"/>
      <c r="AX721" s="84"/>
      <c r="AY721" s="80"/>
      <c r="BB721" s="81"/>
    </row>
    <row r="722" spans="1:73" ht="15" customHeight="1">
      <c r="A722" s="23" t="s">
        <v>2937</v>
      </c>
      <c r="B722" s="23" t="s">
        <v>2932</v>
      </c>
      <c r="C722" s="23" t="s">
        <v>2360</v>
      </c>
      <c r="D722" s="24">
        <v>101</v>
      </c>
      <c r="E722" s="23">
        <v>2</v>
      </c>
      <c r="F722" s="23" t="s">
        <v>2815</v>
      </c>
      <c r="G722" s="23" t="s">
        <v>2816</v>
      </c>
      <c r="J722" s="23" t="s">
        <v>28</v>
      </c>
      <c r="AD722" s="23" t="s">
        <v>479</v>
      </c>
      <c r="AF722" s="23" t="s">
        <v>2817</v>
      </c>
      <c r="AP722" s="73"/>
      <c r="AQ722" s="75"/>
      <c r="AR722" s="76"/>
      <c r="AS722" s="77"/>
      <c r="AV722" s="75"/>
      <c r="AW722" s="83"/>
      <c r="AX722" s="84"/>
      <c r="AY722" s="80"/>
      <c r="BB722" s="81"/>
    </row>
    <row r="723" spans="1:73" ht="15" customHeight="1">
      <c r="A723" s="24" t="s">
        <v>2937</v>
      </c>
      <c r="B723" s="23" t="s">
        <v>2933</v>
      </c>
      <c r="C723" s="23" t="s">
        <v>2360</v>
      </c>
      <c r="D723" s="24">
        <v>102</v>
      </c>
      <c r="E723" s="23">
        <v>2</v>
      </c>
      <c r="F723" s="23" t="s">
        <v>2815</v>
      </c>
      <c r="G723" s="23" t="s">
        <v>2818</v>
      </c>
      <c r="J723" s="23" t="s">
        <v>28</v>
      </c>
      <c r="AD723" s="23" t="s">
        <v>479</v>
      </c>
      <c r="AF723" s="23" t="s">
        <v>2819</v>
      </c>
      <c r="AP723" s="73"/>
      <c r="AQ723" s="75"/>
      <c r="AR723" s="76"/>
      <c r="AS723" s="77"/>
      <c r="AV723" s="75"/>
      <c r="AW723" s="83"/>
      <c r="AX723" s="84"/>
      <c r="AY723" s="80"/>
      <c r="BB723" s="81"/>
    </row>
    <row r="724" spans="1:73" ht="15" customHeight="1">
      <c r="A724" s="24" t="s">
        <v>2937</v>
      </c>
      <c r="B724" s="23" t="s">
        <v>2934</v>
      </c>
      <c r="C724" s="23" t="s">
        <v>2360</v>
      </c>
      <c r="D724" s="24">
        <v>103</v>
      </c>
      <c r="E724" s="23">
        <v>2</v>
      </c>
      <c r="F724" s="23" t="s">
        <v>2815</v>
      </c>
      <c r="G724" s="23" t="s">
        <v>2820</v>
      </c>
      <c r="J724" s="23" t="s">
        <v>29</v>
      </c>
      <c r="Q724" s="65" t="s">
        <v>32</v>
      </c>
      <c r="R724" s="66">
        <v>3</v>
      </c>
      <c r="T724" s="68">
        <v>2</v>
      </c>
      <c r="V724" s="69">
        <v>1</v>
      </c>
      <c r="AD724" s="23" t="s">
        <v>30</v>
      </c>
      <c r="AF724" s="23" t="s">
        <v>2821</v>
      </c>
      <c r="AP724" s="73"/>
      <c r="AQ724" s="75"/>
      <c r="AR724" s="76"/>
      <c r="AS724" s="77"/>
      <c r="AV724" s="75"/>
      <c r="AW724" s="83"/>
      <c r="AX724" s="84"/>
      <c r="AY724" s="80"/>
      <c r="BB724" s="81"/>
    </row>
    <row r="725" spans="1:73" ht="15" customHeight="1">
      <c r="A725" s="24" t="s">
        <v>2937</v>
      </c>
      <c r="B725" s="23" t="s">
        <v>2935</v>
      </c>
      <c r="C725" s="23" t="s">
        <v>2360</v>
      </c>
      <c r="D725" s="24">
        <v>104</v>
      </c>
      <c r="E725" s="23">
        <v>2</v>
      </c>
      <c r="F725" s="23" t="s">
        <v>2649</v>
      </c>
      <c r="G725" s="23" t="s">
        <v>2822</v>
      </c>
      <c r="J725" s="23" t="s">
        <v>28</v>
      </c>
      <c r="AD725" s="23" t="s">
        <v>845</v>
      </c>
      <c r="AF725" s="23" t="s">
        <v>2823</v>
      </c>
      <c r="AP725" s="73"/>
      <c r="AQ725" s="75"/>
      <c r="AR725" s="76"/>
      <c r="AS725" s="77"/>
      <c r="AV725" s="75"/>
      <c r="AW725" s="83"/>
      <c r="AX725" s="84"/>
      <c r="AY725" s="80"/>
      <c r="BB725" s="81"/>
    </row>
    <row r="726" spans="1:73" ht="15" customHeight="1">
      <c r="A726" s="24" t="s">
        <v>2937</v>
      </c>
      <c r="B726" s="23" t="s">
        <v>2936</v>
      </c>
      <c r="C726" s="23" t="s">
        <v>2360</v>
      </c>
      <c r="D726" s="24">
        <v>105</v>
      </c>
      <c r="E726" s="23">
        <v>1</v>
      </c>
      <c r="F726" s="23" t="s">
        <v>2649</v>
      </c>
      <c r="G726" s="23" t="s">
        <v>2824</v>
      </c>
      <c r="J726" s="23" t="s">
        <v>28</v>
      </c>
      <c r="AD726" s="23" t="s">
        <v>2825</v>
      </c>
      <c r="AF726" s="23" t="s">
        <v>2826</v>
      </c>
      <c r="AP726" s="73"/>
      <c r="AQ726" s="75"/>
      <c r="AR726" s="76"/>
      <c r="AS726" s="77"/>
      <c r="AV726" s="75"/>
      <c r="AW726" s="83"/>
      <c r="AX726" s="84"/>
      <c r="AY726" s="80"/>
      <c r="BB726" s="81"/>
    </row>
    <row r="727" spans="1:73" ht="15" customHeight="1">
      <c r="A727" s="24" t="s">
        <v>2937</v>
      </c>
      <c r="B727" s="28" t="s">
        <v>3078</v>
      </c>
      <c r="C727" s="23" t="s">
        <v>2360</v>
      </c>
      <c r="D727" s="31">
        <v>994</v>
      </c>
      <c r="E727" s="28">
        <v>1</v>
      </c>
      <c r="F727" s="28"/>
      <c r="G727" s="28" t="s">
        <v>2512</v>
      </c>
      <c r="J727" s="23" t="s">
        <v>861</v>
      </c>
      <c r="K727" s="23" t="s">
        <v>198</v>
      </c>
      <c r="N727" s="73"/>
      <c r="O727" s="75"/>
      <c r="P727" s="76"/>
      <c r="Q727" s="77"/>
      <c r="U727" s="75"/>
      <c r="V727" s="83"/>
      <c r="W727" s="84"/>
      <c r="X727" s="80"/>
      <c r="AA727" s="81"/>
      <c r="AB727" s="42"/>
      <c r="AE727" s="23"/>
      <c r="AI727" s="28" t="s">
        <v>2512</v>
      </c>
      <c r="AL727" s="23" t="s">
        <v>861</v>
      </c>
      <c r="AP727" s="73"/>
      <c r="AQ727" s="75"/>
      <c r="AR727" s="76"/>
      <c r="AS727" s="77"/>
      <c r="AV727" s="75"/>
      <c r="AW727" s="83"/>
      <c r="AX727" s="84"/>
      <c r="AY727" s="80"/>
      <c r="BB727" s="81"/>
    </row>
    <row r="728" spans="1:73" ht="15" customHeight="1">
      <c r="A728" s="24" t="s">
        <v>2937</v>
      </c>
      <c r="B728" s="23" t="s">
        <v>3079</v>
      </c>
      <c r="C728" s="23" t="s">
        <v>2360</v>
      </c>
      <c r="D728" s="24">
        <v>995</v>
      </c>
      <c r="E728" s="23">
        <v>1</v>
      </c>
      <c r="G728" s="23" t="s">
        <v>2517</v>
      </c>
      <c r="J728" s="23" t="s">
        <v>861</v>
      </c>
      <c r="K728" s="23" t="s">
        <v>199</v>
      </c>
      <c r="N728" s="73"/>
      <c r="O728" s="75"/>
      <c r="P728" s="76"/>
      <c r="Q728" s="77"/>
      <c r="U728" s="75"/>
      <c r="V728" s="83"/>
      <c r="W728" s="84"/>
      <c r="X728" s="80"/>
      <c r="AA728" s="81"/>
      <c r="AB728" s="42"/>
      <c r="AE728" s="23"/>
      <c r="AI728" s="23" t="s">
        <v>2517</v>
      </c>
      <c r="AL728" s="23" t="s">
        <v>861</v>
      </c>
      <c r="AP728" s="73"/>
      <c r="AQ728" s="75"/>
      <c r="AR728" s="76"/>
      <c r="AS728" s="77"/>
      <c r="AV728" s="75"/>
      <c r="AW728" s="83"/>
      <c r="AX728" s="84"/>
      <c r="AY728" s="80"/>
      <c r="BB728" s="81"/>
    </row>
    <row r="729" spans="1:73" ht="15" customHeight="1">
      <c r="A729" s="24" t="s">
        <v>2937</v>
      </c>
      <c r="B729" s="23" t="s">
        <v>3080</v>
      </c>
      <c r="C729" s="23" t="s">
        <v>2360</v>
      </c>
      <c r="D729" s="31">
        <v>996</v>
      </c>
      <c r="E729" s="23">
        <v>1</v>
      </c>
      <c r="G729" s="23" t="s">
        <v>2522</v>
      </c>
      <c r="J729" s="23" t="s">
        <v>861</v>
      </c>
      <c r="K729" s="23" t="s">
        <v>201</v>
      </c>
      <c r="N729" s="73"/>
      <c r="O729" s="75"/>
      <c r="P729" s="76"/>
      <c r="Q729" s="77"/>
      <c r="U729" s="75"/>
      <c r="V729" s="83"/>
      <c r="W729" s="84"/>
      <c r="X729" s="80"/>
      <c r="AA729" s="81"/>
      <c r="AB729" s="42"/>
      <c r="AE729" s="23"/>
      <c r="AI729" s="23" t="s">
        <v>2522</v>
      </c>
      <c r="AL729" s="23" t="s">
        <v>861</v>
      </c>
      <c r="AP729" s="73"/>
      <c r="AQ729" s="75"/>
      <c r="AR729" s="76"/>
      <c r="AS729" s="77"/>
      <c r="AV729" s="75"/>
      <c r="AW729" s="83"/>
      <c r="AX729" s="84"/>
      <c r="AY729" s="80"/>
      <c r="BB729" s="81"/>
    </row>
    <row r="730" spans="1:73" ht="15" customHeight="1">
      <c r="A730" s="24" t="s">
        <v>2937</v>
      </c>
      <c r="B730" s="23" t="s">
        <v>3081</v>
      </c>
      <c r="C730" s="23" t="s">
        <v>2360</v>
      </c>
      <c r="D730" s="24">
        <v>997</v>
      </c>
      <c r="E730" s="23">
        <v>1</v>
      </c>
      <c r="G730" s="23" t="s">
        <v>2527</v>
      </c>
      <c r="J730" s="23" t="s">
        <v>861</v>
      </c>
      <c r="K730" s="23" t="s">
        <v>200</v>
      </c>
      <c r="N730" s="73"/>
      <c r="O730" s="75"/>
      <c r="P730" s="76"/>
      <c r="Q730" s="77"/>
      <c r="U730" s="75"/>
      <c r="V730" s="83"/>
      <c r="W730" s="84"/>
      <c r="X730" s="80"/>
      <c r="AA730" s="81"/>
      <c r="AB730" s="42"/>
      <c r="AE730" s="23"/>
      <c r="AI730" s="23" t="s">
        <v>2527</v>
      </c>
      <c r="AL730" s="23" t="s">
        <v>861</v>
      </c>
      <c r="AP730" s="73"/>
      <c r="AQ730" s="75"/>
      <c r="AR730" s="76"/>
      <c r="AS730" s="77"/>
      <c r="AV730" s="75"/>
      <c r="AW730" s="83"/>
      <c r="AX730" s="84"/>
      <c r="AY730" s="80"/>
      <c r="BB730" s="81"/>
    </row>
    <row r="731" spans="1:73" s="32" customFormat="1" ht="15" customHeight="1">
      <c r="A731" s="24" t="s">
        <v>2937</v>
      </c>
      <c r="B731" s="139" t="s">
        <v>3082</v>
      </c>
      <c r="C731" s="23" t="s">
        <v>2360</v>
      </c>
      <c r="D731" s="31">
        <v>998</v>
      </c>
      <c r="E731" s="139">
        <v>1</v>
      </c>
      <c r="F731" s="139"/>
      <c r="G731" s="139" t="s">
        <v>2531</v>
      </c>
      <c r="H731" s="139"/>
      <c r="I731" s="139"/>
      <c r="J731" s="139" t="s">
        <v>861</v>
      </c>
      <c r="K731" s="139" t="s">
        <v>202</v>
      </c>
      <c r="L731" s="139"/>
      <c r="M731" s="139"/>
      <c r="N731" s="140"/>
      <c r="O731" s="75"/>
      <c r="P731" s="76"/>
      <c r="Q731" s="77"/>
      <c r="R731" s="66"/>
      <c r="S731" s="113"/>
      <c r="T731" s="68"/>
      <c r="U731" s="75"/>
      <c r="V731" s="83"/>
      <c r="W731" s="84"/>
      <c r="X731" s="80"/>
      <c r="Y731" s="66"/>
      <c r="Z731" s="68"/>
      <c r="AA731" s="81"/>
      <c r="AB731" s="142"/>
      <c r="AC731" s="139"/>
      <c r="AD731" s="139"/>
      <c r="AE731" s="139"/>
      <c r="AF731" s="139"/>
      <c r="AG731" s="139"/>
      <c r="AH731" s="139"/>
      <c r="AI731" s="139" t="s">
        <v>2531</v>
      </c>
      <c r="AJ731" s="139"/>
      <c r="AK731" s="139"/>
      <c r="AL731" s="139" t="s">
        <v>861</v>
      </c>
      <c r="AM731" s="139"/>
      <c r="AN731" s="139"/>
      <c r="AO731" s="139"/>
      <c r="AP731" s="143"/>
      <c r="AQ731" s="86"/>
      <c r="AR731" s="87"/>
      <c r="AS731" s="88"/>
      <c r="AT731" s="89"/>
      <c r="AU731" s="90"/>
      <c r="AV731" s="86"/>
      <c r="AW731" s="91"/>
      <c r="AX731" s="92"/>
      <c r="AY731" s="93"/>
      <c r="AZ731" s="89"/>
      <c r="BA731" s="90"/>
      <c r="BB731" s="94"/>
      <c r="BC731" s="142"/>
      <c r="BD731" s="139"/>
      <c r="BE731" s="139"/>
      <c r="BF731" s="141"/>
      <c r="BG731" s="139"/>
      <c r="BH731" s="139"/>
      <c r="BI731" s="139"/>
      <c r="BJ731" s="139"/>
      <c r="BK731" s="139"/>
      <c r="BL731" s="139"/>
      <c r="BM731" s="139"/>
      <c r="BN731" s="139"/>
      <c r="BO731" s="139"/>
      <c r="BP731" s="139"/>
      <c r="BQ731" s="139"/>
      <c r="BR731" s="139"/>
      <c r="BS731" s="139"/>
      <c r="BT731" s="139"/>
      <c r="BU731" s="139"/>
    </row>
    <row r="732" spans="1:73" s="32" customFormat="1" ht="15" customHeight="1">
      <c r="A732" s="24" t="s">
        <v>2937</v>
      </c>
      <c r="B732" s="32" t="s">
        <v>3083</v>
      </c>
      <c r="C732" s="23" t="s">
        <v>2360</v>
      </c>
      <c r="D732" s="24">
        <v>999</v>
      </c>
      <c r="E732" s="32">
        <v>1</v>
      </c>
      <c r="G732" s="32" t="s">
        <v>2536</v>
      </c>
      <c r="J732" s="32" t="s">
        <v>861</v>
      </c>
      <c r="K732" s="32" t="s">
        <v>26</v>
      </c>
      <c r="N732" s="85"/>
      <c r="O732" s="86"/>
      <c r="P732" s="87"/>
      <c r="Q732" s="88"/>
      <c r="R732" s="89"/>
      <c r="S732" s="113"/>
      <c r="T732" s="90"/>
      <c r="U732" s="86"/>
      <c r="V732" s="91"/>
      <c r="W732" s="92"/>
      <c r="X732" s="93"/>
      <c r="Y732" s="89"/>
      <c r="Z732" s="90"/>
      <c r="AA732" s="94"/>
      <c r="AI732" s="32" t="s">
        <v>2536</v>
      </c>
      <c r="AL732" s="32" t="s">
        <v>861</v>
      </c>
      <c r="AP732" s="85"/>
      <c r="AQ732" s="86"/>
      <c r="AR732" s="87"/>
      <c r="AS732" s="88"/>
      <c r="AT732" s="89"/>
      <c r="AU732" s="90"/>
      <c r="AV732" s="86"/>
      <c r="AW732" s="91"/>
      <c r="AX732" s="92"/>
      <c r="AY732" s="93"/>
      <c r="AZ732" s="89"/>
      <c r="BA732" s="90"/>
      <c r="BB732" s="94"/>
      <c r="BF732" s="25"/>
    </row>
    <row r="733" spans="1:73" ht="15" customHeight="1">
      <c r="A733" s="41" t="s">
        <v>2940</v>
      </c>
      <c r="B733" s="41" t="s">
        <v>2943</v>
      </c>
      <c r="C733" s="41" t="s">
        <v>2361</v>
      </c>
      <c r="D733" s="116">
        <v>106</v>
      </c>
      <c r="E733" s="41">
        <v>2</v>
      </c>
      <c r="F733" s="41"/>
      <c r="G733" s="41" t="s">
        <v>2944</v>
      </c>
      <c r="H733" s="28"/>
      <c r="J733" s="23" t="s">
        <v>27</v>
      </c>
      <c r="K733" s="23" t="s">
        <v>198</v>
      </c>
      <c r="L733" s="23">
        <v>0</v>
      </c>
      <c r="N733" s="24">
        <v>1</v>
      </c>
      <c r="O733" s="118">
        <v>1</v>
      </c>
      <c r="P733" s="119"/>
      <c r="Q733" s="120">
        <v>1</v>
      </c>
      <c r="R733" s="29"/>
      <c r="S733" s="121"/>
      <c r="T733" s="122"/>
      <c r="U733" s="118"/>
      <c r="V733" s="123"/>
      <c r="W733" s="124"/>
      <c r="X733" s="125"/>
      <c r="Y733" s="29"/>
      <c r="Z733" s="122"/>
      <c r="AA733" s="126"/>
      <c r="AB733" s="16" t="s">
        <v>1083</v>
      </c>
      <c r="AD733" s="23" t="s">
        <v>2945</v>
      </c>
      <c r="AF733" s="23" t="s">
        <v>2946</v>
      </c>
      <c r="AI733" s="28"/>
      <c r="AJ733" s="28"/>
      <c r="AO733" s="24"/>
      <c r="AP733" s="24"/>
      <c r="AQ733" s="118"/>
      <c r="AR733" s="119"/>
      <c r="AS733" s="120"/>
      <c r="AT733" s="29"/>
      <c r="AU733" s="122"/>
      <c r="AV733" s="118"/>
      <c r="AW733" s="123"/>
      <c r="AX733" s="124"/>
      <c r="AY733" s="125"/>
      <c r="AZ733" s="29"/>
      <c r="BA733" s="122"/>
      <c r="BB733" s="126"/>
      <c r="BE733" s="24"/>
      <c r="BF733" s="23"/>
    </row>
    <row r="734" spans="1:73" ht="15" customHeight="1">
      <c r="A734" s="28" t="s">
        <v>2940</v>
      </c>
      <c r="B734" s="23" t="s">
        <v>2947</v>
      </c>
      <c r="C734" s="23" t="s">
        <v>2361</v>
      </c>
      <c r="D734" s="24">
        <v>107</v>
      </c>
      <c r="E734" s="23">
        <v>2</v>
      </c>
      <c r="G734" s="23" t="s">
        <v>2948</v>
      </c>
      <c r="J734" s="23" t="s">
        <v>257</v>
      </c>
      <c r="K734" s="23" t="s">
        <v>198</v>
      </c>
      <c r="L734" s="23">
        <v>1</v>
      </c>
      <c r="N734" s="24">
        <v>1</v>
      </c>
      <c r="O734" s="118"/>
      <c r="P734" s="119"/>
      <c r="Q734" s="120">
        <v>1</v>
      </c>
      <c r="R734" s="29">
        <v>1</v>
      </c>
      <c r="S734" s="121"/>
      <c r="T734" s="122"/>
      <c r="U734" s="118">
        <v>1</v>
      </c>
      <c r="V734" s="123"/>
      <c r="W734" s="124"/>
      <c r="X734" s="125"/>
      <c r="Y734" s="29"/>
      <c r="Z734" s="122"/>
      <c r="AA734" s="126"/>
      <c r="AB734" s="16" t="s">
        <v>1087</v>
      </c>
      <c r="AD734" s="23" t="s">
        <v>2949</v>
      </c>
      <c r="AF734" s="23" t="s">
        <v>2950</v>
      </c>
      <c r="AO734" s="24"/>
      <c r="AP734" s="24"/>
      <c r="AQ734" s="118"/>
      <c r="AR734" s="119"/>
      <c r="AS734" s="120"/>
      <c r="AT734" s="29"/>
      <c r="AU734" s="122"/>
      <c r="AV734" s="118"/>
      <c r="AW734" s="123"/>
      <c r="AX734" s="124"/>
      <c r="AY734" s="125"/>
      <c r="AZ734" s="29"/>
      <c r="BA734" s="122"/>
      <c r="BB734" s="126"/>
      <c r="BE734" s="24"/>
      <c r="BF734" s="23"/>
    </row>
    <row r="735" spans="1:73" ht="15" customHeight="1">
      <c r="A735" s="28" t="s">
        <v>2940</v>
      </c>
      <c r="B735" s="23" t="s">
        <v>2951</v>
      </c>
      <c r="C735" s="23" t="s">
        <v>2361</v>
      </c>
      <c r="D735" s="24">
        <v>108</v>
      </c>
      <c r="E735" s="23">
        <v>2</v>
      </c>
      <c r="G735" s="23" t="s">
        <v>2952</v>
      </c>
      <c r="J735" s="23" t="s">
        <v>27</v>
      </c>
      <c r="K735" s="23" t="s">
        <v>199</v>
      </c>
      <c r="L735" s="23">
        <v>0</v>
      </c>
      <c r="N735" s="24">
        <v>1</v>
      </c>
      <c r="O735" s="118">
        <v>1</v>
      </c>
      <c r="P735" s="119"/>
      <c r="Q735" s="120">
        <v>1</v>
      </c>
      <c r="R735" s="29"/>
      <c r="S735" s="121"/>
      <c r="T735" s="122"/>
      <c r="U735" s="118"/>
      <c r="V735" s="123"/>
      <c r="W735" s="124"/>
      <c r="X735" s="125"/>
      <c r="Y735" s="29"/>
      <c r="Z735" s="122"/>
      <c r="AA735" s="126"/>
      <c r="AB735" s="16" t="s">
        <v>1083</v>
      </c>
      <c r="AD735" s="23" t="s">
        <v>340</v>
      </c>
      <c r="AF735" s="23" t="s">
        <v>2953</v>
      </c>
      <c r="AO735" s="24"/>
      <c r="AP735" s="24"/>
      <c r="AQ735" s="118"/>
      <c r="AR735" s="119"/>
      <c r="AS735" s="120"/>
      <c r="AT735" s="29"/>
      <c r="AU735" s="122"/>
      <c r="AV735" s="118"/>
      <c r="AW735" s="123"/>
      <c r="AX735" s="124"/>
      <c r="AY735" s="125"/>
      <c r="AZ735" s="29"/>
      <c r="BA735" s="122"/>
      <c r="BB735" s="126"/>
      <c r="BE735" s="24"/>
      <c r="BF735" s="23"/>
    </row>
    <row r="736" spans="1:73" ht="15" customHeight="1">
      <c r="A736" s="28" t="s">
        <v>2940</v>
      </c>
      <c r="B736" s="23" t="s">
        <v>2954</v>
      </c>
      <c r="C736" s="23" t="s">
        <v>2361</v>
      </c>
      <c r="D736" s="24">
        <v>109</v>
      </c>
      <c r="E736" s="23">
        <v>2</v>
      </c>
      <c r="G736" s="23" t="s">
        <v>2955</v>
      </c>
      <c r="J736" s="23" t="s">
        <v>257</v>
      </c>
      <c r="K736" s="23" t="s">
        <v>199</v>
      </c>
      <c r="L736" s="23">
        <v>1</v>
      </c>
      <c r="N736" s="24">
        <v>1</v>
      </c>
      <c r="O736" s="118"/>
      <c r="P736" s="119">
        <v>1</v>
      </c>
      <c r="Q736" s="120">
        <v>1</v>
      </c>
      <c r="R736" s="29"/>
      <c r="S736" s="121"/>
      <c r="T736" s="122"/>
      <c r="U736" s="118">
        <v>1</v>
      </c>
      <c r="V736" s="123"/>
      <c r="W736" s="124"/>
      <c r="X736" s="125"/>
      <c r="Y736" s="29"/>
      <c r="Z736" s="122"/>
      <c r="AA736" s="126"/>
      <c r="AB736" s="16" t="s">
        <v>1091</v>
      </c>
      <c r="AD736" s="23" t="s">
        <v>2949</v>
      </c>
      <c r="AF736" s="23" t="s">
        <v>2956</v>
      </c>
      <c r="AO736" s="24"/>
      <c r="AP736" s="24"/>
      <c r="AQ736" s="118"/>
      <c r="AR736" s="119"/>
      <c r="AS736" s="120"/>
      <c r="AT736" s="29"/>
      <c r="AU736" s="122"/>
      <c r="AV736" s="118"/>
      <c r="AW736" s="123"/>
      <c r="AX736" s="124"/>
      <c r="AY736" s="125"/>
      <c r="AZ736" s="29"/>
      <c r="BA736" s="122"/>
      <c r="BB736" s="126"/>
      <c r="BE736" s="24"/>
      <c r="BF736" s="23"/>
    </row>
    <row r="737" spans="1:59" ht="15" customHeight="1">
      <c r="A737" s="28" t="s">
        <v>2940</v>
      </c>
      <c r="B737" s="23" t="s">
        <v>2957</v>
      </c>
      <c r="C737" s="23" t="s">
        <v>2361</v>
      </c>
      <c r="D737" s="23">
        <v>110</v>
      </c>
      <c r="E737" s="23">
        <v>2</v>
      </c>
      <c r="G737" s="23" t="s">
        <v>2958</v>
      </c>
      <c r="J737" s="23" t="s">
        <v>257</v>
      </c>
      <c r="K737" s="23" t="s">
        <v>201</v>
      </c>
      <c r="L737" s="23">
        <v>0</v>
      </c>
      <c r="N737" s="23">
        <v>2</v>
      </c>
      <c r="O737" s="118"/>
      <c r="P737" s="119"/>
      <c r="Q737" s="120">
        <v>1</v>
      </c>
      <c r="R737" s="29"/>
      <c r="S737" s="121"/>
      <c r="T737" s="122"/>
      <c r="U737" s="118"/>
      <c r="V737" s="123"/>
      <c r="W737" s="124"/>
      <c r="X737" s="125"/>
      <c r="Y737" s="29"/>
      <c r="Z737" s="122"/>
      <c r="AA737" s="126"/>
      <c r="AB737" s="16" t="s">
        <v>206</v>
      </c>
      <c r="AC737" s="23" t="s">
        <v>258</v>
      </c>
      <c r="AD737" s="23" t="s">
        <v>352</v>
      </c>
      <c r="AE737" s="23"/>
      <c r="AF737" s="23" t="s">
        <v>2959</v>
      </c>
      <c r="AO737" s="24"/>
      <c r="AP737" s="23"/>
      <c r="AQ737" s="118"/>
      <c r="AR737" s="119"/>
      <c r="AS737" s="120"/>
      <c r="AT737" s="29"/>
      <c r="AU737" s="122"/>
      <c r="AV737" s="118"/>
      <c r="AW737" s="123"/>
      <c r="AX737" s="124"/>
      <c r="AY737" s="125"/>
      <c r="AZ737" s="29"/>
      <c r="BA737" s="122"/>
      <c r="BB737" s="126"/>
      <c r="BE737" s="24"/>
      <c r="BF737" s="23"/>
    </row>
    <row r="738" spans="1:59" ht="15" customHeight="1">
      <c r="A738" s="28" t="s">
        <v>2940</v>
      </c>
      <c r="B738" s="23" t="s">
        <v>2960</v>
      </c>
      <c r="C738" s="23" t="s">
        <v>2361</v>
      </c>
      <c r="D738" s="23">
        <v>111</v>
      </c>
      <c r="E738" s="23">
        <v>2</v>
      </c>
      <c r="G738" s="23" t="s">
        <v>2961</v>
      </c>
      <c r="J738" s="23" t="s">
        <v>257</v>
      </c>
      <c r="K738" s="23" t="s">
        <v>201</v>
      </c>
      <c r="L738" s="23">
        <v>1</v>
      </c>
      <c r="N738" s="23">
        <v>1</v>
      </c>
      <c r="O738" s="118">
        <v>1</v>
      </c>
      <c r="P738" s="119"/>
      <c r="Q738" s="120"/>
      <c r="R738" s="29">
        <v>1</v>
      </c>
      <c r="S738" s="121"/>
      <c r="T738" s="122"/>
      <c r="U738" s="118">
        <v>1</v>
      </c>
      <c r="V738" s="123"/>
      <c r="W738" s="124"/>
      <c r="X738" s="125"/>
      <c r="Y738" s="29"/>
      <c r="Z738" s="122"/>
      <c r="AA738" s="126"/>
      <c r="AB738" s="127" t="s">
        <v>1085</v>
      </c>
      <c r="AD738" s="23" t="s">
        <v>2949</v>
      </c>
      <c r="AE738" s="23"/>
      <c r="AF738" s="23" t="s">
        <v>2962</v>
      </c>
      <c r="AO738" s="24"/>
      <c r="AP738" s="23"/>
      <c r="AQ738" s="118"/>
      <c r="AR738" s="119"/>
      <c r="AS738" s="120"/>
      <c r="AT738" s="29"/>
      <c r="AU738" s="122"/>
      <c r="AV738" s="118"/>
      <c r="AW738" s="123"/>
      <c r="AX738" s="124"/>
      <c r="AY738" s="125"/>
      <c r="AZ738" s="29"/>
      <c r="BA738" s="122"/>
      <c r="BB738" s="126"/>
      <c r="BE738" s="24"/>
      <c r="BF738" s="23"/>
    </row>
    <row r="739" spans="1:59" ht="15" customHeight="1">
      <c r="A739" s="28" t="s">
        <v>2940</v>
      </c>
      <c r="B739" s="23" t="s">
        <v>2963</v>
      </c>
      <c r="C739" s="23" t="s">
        <v>2361</v>
      </c>
      <c r="D739" s="23">
        <v>112</v>
      </c>
      <c r="E739" s="23">
        <v>2</v>
      </c>
      <c r="G739" s="23" t="s">
        <v>2964</v>
      </c>
      <c r="H739" s="23" t="s">
        <v>2965</v>
      </c>
      <c r="I739" s="23" t="s">
        <v>223</v>
      </c>
      <c r="J739" s="23" t="s">
        <v>257</v>
      </c>
      <c r="K739" s="23" t="s">
        <v>200</v>
      </c>
      <c r="L739" s="23">
        <v>0</v>
      </c>
      <c r="N739" s="23">
        <v>2</v>
      </c>
      <c r="O739" s="118"/>
      <c r="P739" s="119">
        <v>1</v>
      </c>
      <c r="Q739" s="120"/>
      <c r="R739" s="29"/>
      <c r="S739" s="121"/>
      <c r="T739" s="122">
        <v>2</v>
      </c>
      <c r="U739" s="118">
        <v>1</v>
      </c>
      <c r="V739" s="123"/>
      <c r="W739" s="124"/>
      <c r="X739" s="125"/>
      <c r="Y739" s="29"/>
      <c r="Z739" s="122"/>
      <c r="AA739" s="126"/>
      <c r="AB739" s="16" t="s">
        <v>205</v>
      </c>
      <c r="AC739" s="23" t="s">
        <v>25</v>
      </c>
      <c r="AD739" s="23" t="s">
        <v>2966</v>
      </c>
      <c r="AE739" s="23"/>
      <c r="AF739" s="23" t="s">
        <v>2967</v>
      </c>
      <c r="AO739" s="24"/>
      <c r="AP739" s="23"/>
      <c r="AQ739" s="118"/>
      <c r="AR739" s="119"/>
      <c r="AS739" s="120"/>
      <c r="AT739" s="29"/>
      <c r="AU739" s="122"/>
      <c r="AV739" s="118"/>
      <c r="AW739" s="123"/>
      <c r="AX739" s="124"/>
      <c r="AY739" s="125"/>
      <c r="AZ739" s="29"/>
      <c r="BA739" s="122"/>
      <c r="BB739" s="126"/>
      <c r="BE739" s="24"/>
      <c r="BF739" s="23"/>
    </row>
    <row r="740" spans="1:59" ht="15" customHeight="1">
      <c r="A740" s="28" t="s">
        <v>2940</v>
      </c>
      <c r="B740" s="23" t="s">
        <v>2968</v>
      </c>
      <c r="C740" s="23" t="s">
        <v>2361</v>
      </c>
      <c r="D740" s="23">
        <v>113</v>
      </c>
      <c r="E740" s="23">
        <v>2</v>
      </c>
      <c r="G740" s="23" t="s">
        <v>2969</v>
      </c>
      <c r="J740" s="23" t="s">
        <v>257</v>
      </c>
      <c r="K740" s="23" t="s">
        <v>200</v>
      </c>
      <c r="L740" s="23">
        <v>1</v>
      </c>
      <c r="N740" s="23">
        <v>1</v>
      </c>
      <c r="O740" s="118">
        <v>1</v>
      </c>
      <c r="P740" s="119"/>
      <c r="Q740" s="120"/>
      <c r="R740" s="29"/>
      <c r="S740" s="121"/>
      <c r="T740" s="122"/>
      <c r="U740" s="118">
        <v>1</v>
      </c>
      <c r="V740" s="123"/>
      <c r="W740" s="124"/>
      <c r="X740" s="125"/>
      <c r="Y740" s="29"/>
      <c r="Z740" s="122"/>
      <c r="AA740" s="126"/>
      <c r="AB740" s="127" t="s">
        <v>204</v>
      </c>
      <c r="AD740" s="23" t="s">
        <v>2949</v>
      </c>
      <c r="AE740" s="23"/>
      <c r="AF740" s="23" t="s">
        <v>2970</v>
      </c>
      <c r="AO740" s="24"/>
      <c r="AP740" s="23"/>
      <c r="AQ740" s="118"/>
      <c r="AR740" s="119"/>
      <c r="AS740" s="120"/>
      <c r="AT740" s="29"/>
      <c r="AU740" s="122"/>
      <c r="AV740" s="118"/>
      <c r="AW740" s="123"/>
      <c r="AX740" s="124"/>
      <c r="AY740" s="125"/>
      <c r="AZ740" s="29"/>
      <c r="BA740" s="122"/>
      <c r="BB740" s="126"/>
      <c r="BE740" s="24"/>
      <c r="BF740" s="23"/>
    </row>
    <row r="741" spans="1:59" ht="15" customHeight="1">
      <c r="A741" s="28" t="s">
        <v>2940</v>
      </c>
      <c r="B741" s="23" t="s">
        <v>2971</v>
      </c>
      <c r="C741" s="23" t="s">
        <v>2361</v>
      </c>
      <c r="D741" s="23">
        <v>114</v>
      </c>
      <c r="E741" s="23">
        <v>2</v>
      </c>
      <c r="G741" s="23" t="s">
        <v>2972</v>
      </c>
      <c r="J741" s="23" t="s">
        <v>257</v>
      </c>
      <c r="K741" s="23" t="s">
        <v>202</v>
      </c>
      <c r="L741" s="23">
        <v>0</v>
      </c>
      <c r="N741" s="128">
        <v>0</v>
      </c>
      <c r="O741" s="118">
        <v>1</v>
      </c>
      <c r="P741" s="119"/>
      <c r="Q741" s="120"/>
      <c r="R741" s="29"/>
      <c r="S741" s="121"/>
      <c r="T741" s="122"/>
      <c r="U741" s="118">
        <v>2</v>
      </c>
      <c r="V741" s="123"/>
      <c r="W741" s="124"/>
      <c r="X741" s="125"/>
      <c r="Y741" s="29"/>
      <c r="Z741" s="122"/>
      <c r="AA741" s="126"/>
      <c r="AB741" s="16" t="s">
        <v>204</v>
      </c>
      <c r="AC741" s="23" t="s">
        <v>275</v>
      </c>
      <c r="AD741" s="23" t="s">
        <v>375</v>
      </c>
      <c r="AE741" s="23"/>
      <c r="AO741" s="24"/>
      <c r="AP741" s="23"/>
      <c r="AQ741" s="118"/>
      <c r="AR741" s="119"/>
      <c r="AS741" s="120"/>
      <c r="AT741" s="29"/>
      <c r="AU741" s="122"/>
      <c r="AV741" s="118"/>
      <c r="AW741" s="123"/>
      <c r="AX741" s="124"/>
      <c r="AY741" s="125"/>
      <c r="AZ741" s="29"/>
      <c r="BA741" s="122"/>
      <c r="BB741" s="126"/>
      <c r="BE741" s="24"/>
      <c r="BF741" s="23"/>
    </row>
    <row r="742" spans="1:59" ht="15" customHeight="1">
      <c r="A742" s="28" t="s">
        <v>2940</v>
      </c>
      <c r="B742" s="23" t="s">
        <v>2973</v>
      </c>
      <c r="C742" s="23" t="s">
        <v>2361</v>
      </c>
      <c r="D742" s="23">
        <v>115</v>
      </c>
      <c r="E742" s="23">
        <v>2</v>
      </c>
      <c r="G742" s="23" t="s">
        <v>2974</v>
      </c>
      <c r="J742" s="23" t="s">
        <v>257</v>
      </c>
      <c r="K742" s="23" t="s">
        <v>202</v>
      </c>
      <c r="L742" s="23">
        <v>1</v>
      </c>
      <c r="N742" s="23">
        <v>1</v>
      </c>
      <c r="O742" s="118">
        <v>1</v>
      </c>
      <c r="P742" s="119">
        <v>1</v>
      </c>
      <c r="Q742" s="120"/>
      <c r="R742" s="29"/>
      <c r="S742" s="121"/>
      <c r="T742" s="122"/>
      <c r="U742" s="118">
        <v>1</v>
      </c>
      <c r="V742" s="123"/>
      <c r="W742" s="124"/>
      <c r="X742" s="125"/>
      <c r="Y742" s="29"/>
      <c r="Z742" s="122"/>
      <c r="AA742" s="126"/>
      <c r="AB742" s="127" t="s">
        <v>1092</v>
      </c>
      <c r="AD742" s="23" t="s">
        <v>2949</v>
      </c>
      <c r="AE742" s="23"/>
      <c r="AF742" s="23" t="s">
        <v>2975</v>
      </c>
      <c r="AO742" s="24"/>
      <c r="AP742" s="23"/>
      <c r="AQ742" s="118"/>
      <c r="AR742" s="119"/>
      <c r="AS742" s="120"/>
      <c r="AT742" s="29"/>
      <c r="AU742" s="122"/>
      <c r="AV742" s="118"/>
      <c r="AW742" s="123"/>
      <c r="AX742" s="124"/>
      <c r="AY742" s="125"/>
      <c r="AZ742" s="29"/>
      <c r="BA742" s="122"/>
      <c r="BB742" s="126"/>
      <c r="BE742" s="24"/>
      <c r="BF742" s="23"/>
    </row>
    <row r="743" spans="1:59" ht="15" customHeight="1">
      <c r="A743" s="28" t="s">
        <v>2940</v>
      </c>
      <c r="B743" s="23" t="s">
        <v>2976</v>
      </c>
      <c r="C743" s="23" t="s">
        <v>2361</v>
      </c>
      <c r="D743" s="23">
        <v>116</v>
      </c>
      <c r="E743" s="23">
        <v>2</v>
      </c>
      <c r="G743" s="23" t="s">
        <v>2977</v>
      </c>
      <c r="J743" s="23" t="s">
        <v>312</v>
      </c>
      <c r="K743" s="23" t="s">
        <v>26</v>
      </c>
      <c r="L743" s="23">
        <v>0</v>
      </c>
      <c r="N743" s="23"/>
      <c r="O743" s="118">
        <v>4</v>
      </c>
      <c r="P743" s="119"/>
      <c r="Q743" s="120"/>
      <c r="R743" s="29"/>
      <c r="S743" s="121"/>
      <c r="T743" s="122"/>
      <c r="U743" s="118"/>
      <c r="V743" s="123"/>
      <c r="W743" s="124"/>
      <c r="X743" s="125"/>
      <c r="Y743" s="29"/>
      <c r="Z743" s="122"/>
      <c r="AA743" s="126"/>
      <c r="AB743" s="16" t="s">
        <v>2978</v>
      </c>
      <c r="AD743" s="23" t="s">
        <v>2979</v>
      </c>
      <c r="AE743" s="23"/>
      <c r="AF743" s="23" t="s">
        <v>2980</v>
      </c>
      <c r="AO743" s="24"/>
      <c r="AP743" s="23"/>
      <c r="AQ743" s="118"/>
      <c r="AR743" s="119"/>
      <c r="AS743" s="120"/>
      <c r="AT743" s="29"/>
      <c r="AU743" s="122"/>
      <c r="AV743" s="118"/>
      <c r="AW743" s="123"/>
      <c r="AX743" s="124"/>
      <c r="AY743" s="125"/>
      <c r="AZ743" s="29"/>
      <c r="BA743" s="122"/>
      <c r="BB743" s="126"/>
      <c r="BE743" s="24"/>
      <c r="BF743" s="23"/>
    </row>
    <row r="744" spans="1:59" ht="15" customHeight="1">
      <c r="A744" s="28" t="s">
        <v>2940</v>
      </c>
      <c r="B744" s="23" t="s">
        <v>2981</v>
      </c>
      <c r="C744" s="23" t="s">
        <v>2361</v>
      </c>
      <c r="D744" s="23">
        <v>117</v>
      </c>
      <c r="E744" s="23">
        <v>2</v>
      </c>
      <c r="G744" s="23" t="s">
        <v>2982</v>
      </c>
      <c r="J744" s="23" t="s">
        <v>312</v>
      </c>
      <c r="K744" s="23" t="s">
        <v>26</v>
      </c>
      <c r="L744" s="23">
        <v>0</v>
      </c>
      <c r="N744" s="23"/>
      <c r="O744" s="118"/>
      <c r="P744" s="119">
        <v>4</v>
      </c>
      <c r="Q744" s="120"/>
      <c r="R744" s="29"/>
      <c r="S744" s="121"/>
      <c r="T744" s="122"/>
      <c r="U744" s="118"/>
      <c r="V744" s="123"/>
      <c r="W744" s="124"/>
      <c r="X744" s="125"/>
      <c r="Y744" s="29"/>
      <c r="Z744" s="122"/>
      <c r="AA744" s="126"/>
      <c r="AB744" s="127" t="s">
        <v>2983</v>
      </c>
      <c r="AD744" s="23" t="s">
        <v>2979</v>
      </c>
      <c r="AE744" s="23"/>
      <c r="AF744" s="23" t="s">
        <v>2980</v>
      </c>
      <c r="AO744" s="24"/>
      <c r="AP744" s="23"/>
      <c r="AQ744" s="118"/>
      <c r="AR744" s="119"/>
      <c r="AS744" s="120"/>
      <c r="AT744" s="29"/>
      <c r="AU744" s="122"/>
      <c r="AV744" s="118"/>
      <c r="AW744" s="123"/>
      <c r="AX744" s="124"/>
      <c r="AY744" s="125"/>
      <c r="AZ744" s="29"/>
      <c r="BA744" s="122"/>
      <c r="BB744" s="126"/>
      <c r="BE744" s="24"/>
      <c r="BF744" s="23"/>
    </row>
    <row r="745" spans="1:59" ht="15" customHeight="1">
      <c r="A745" s="28" t="s">
        <v>2940</v>
      </c>
      <c r="B745" s="23" t="s">
        <v>2984</v>
      </c>
      <c r="C745" s="23" t="s">
        <v>2361</v>
      </c>
      <c r="D745" s="23">
        <v>118</v>
      </c>
      <c r="E745" s="23">
        <v>2</v>
      </c>
      <c r="G745" s="23" t="s">
        <v>2985</v>
      </c>
      <c r="J745" s="23" t="s">
        <v>312</v>
      </c>
      <c r="K745" s="23" t="s">
        <v>26</v>
      </c>
      <c r="L745" s="23">
        <v>0</v>
      </c>
      <c r="N745" s="23"/>
      <c r="O745" s="118"/>
      <c r="P745" s="119"/>
      <c r="Q745" s="120">
        <v>4</v>
      </c>
      <c r="R745" s="29"/>
      <c r="S745" s="121"/>
      <c r="T745" s="122"/>
      <c r="U745" s="118"/>
      <c r="V745" s="123"/>
      <c r="W745" s="124"/>
      <c r="X745" s="125"/>
      <c r="Y745" s="29"/>
      <c r="Z745" s="122"/>
      <c r="AA745" s="126"/>
      <c r="AB745" s="16" t="s">
        <v>2541</v>
      </c>
      <c r="AD745" s="23" t="s">
        <v>2979</v>
      </c>
      <c r="AE745" s="23"/>
      <c r="AF745" s="23" t="s">
        <v>2980</v>
      </c>
      <c r="AO745" s="24"/>
      <c r="AP745" s="23"/>
      <c r="AQ745" s="118"/>
      <c r="AR745" s="119"/>
      <c r="AS745" s="120"/>
      <c r="AT745" s="29"/>
      <c r="AU745" s="122"/>
      <c r="AV745" s="118"/>
      <c r="AW745" s="123"/>
      <c r="AX745" s="124"/>
      <c r="AY745" s="125"/>
      <c r="AZ745" s="29"/>
      <c r="BA745" s="122"/>
      <c r="BB745" s="126"/>
      <c r="BE745" s="24"/>
      <c r="BF745" s="23"/>
    </row>
    <row r="746" spans="1:59" ht="15" customHeight="1">
      <c r="A746" s="28" t="s">
        <v>2940</v>
      </c>
      <c r="B746" s="23" t="s">
        <v>2986</v>
      </c>
      <c r="C746" s="23" t="s">
        <v>2361</v>
      </c>
      <c r="D746" s="23">
        <v>119</v>
      </c>
      <c r="E746" s="23">
        <v>2</v>
      </c>
      <c r="G746" s="23" t="s">
        <v>2987</v>
      </c>
      <c r="J746" s="23" t="s">
        <v>312</v>
      </c>
      <c r="K746" s="23" t="s">
        <v>26</v>
      </c>
      <c r="L746" s="23">
        <v>0</v>
      </c>
      <c r="N746" s="23"/>
      <c r="O746" s="118"/>
      <c r="P746" s="119"/>
      <c r="Q746" s="120"/>
      <c r="R746" s="29">
        <v>4</v>
      </c>
      <c r="S746" s="121"/>
      <c r="T746" s="122"/>
      <c r="U746" s="118"/>
      <c r="V746" s="123"/>
      <c r="W746" s="124"/>
      <c r="X746" s="125"/>
      <c r="Y746" s="29"/>
      <c r="Z746" s="122"/>
      <c r="AA746" s="126"/>
      <c r="AB746" s="127" t="s">
        <v>2988</v>
      </c>
      <c r="AD746" s="23" t="s">
        <v>2979</v>
      </c>
      <c r="AE746" s="23"/>
      <c r="AF746" s="23" t="s">
        <v>2980</v>
      </c>
      <c r="AO746" s="24"/>
      <c r="AP746" s="23"/>
      <c r="AQ746" s="118"/>
      <c r="AR746" s="119"/>
      <c r="AS746" s="120"/>
      <c r="AT746" s="29"/>
      <c r="AU746" s="122"/>
      <c r="AV746" s="118"/>
      <c r="AW746" s="123"/>
      <c r="AX746" s="124"/>
      <c r="AY746" s="125"/>
      <c r="AZ746" s="29"/>
      <c r="BA746" s="122"/>
      <c r="BB746" s="126"/>
      <c r="BE746" s="24"/>
      <c r="BF746" s="23"/>
    </row>
    <row r="747" spans="1:59" ht="15" customHeight="1">
      <c r="A747" s="28" t="s">
        <v>2940</v>
      </c>
      <c r="B747" s="23" t="s">
        <v>2989</v>
      </c>
      <c r="C747" s="23" t="s">
        <v>2361</v>
      </c>
      <c r="D747" s="23">
        <v>120</v>
      </c>
      <c r="E747" s="23">
        <v>1</v>
      </c>
      <c r="F747" s="23" t="s">
        <v>2941</v>
      </c>
      <c r="G747" s="23" t="s">
        <v>2941</v>
      </c>
      <c r="J747" s="23" t="s">
        <v>618</v>
      </c>
      <c r="N747" s="23"/>
      <c r="O747" s="118"/>
      <c r="P747" s="119"/>
      <c r="Q747" s="120"/>
      <c r="R747" s="29"/>
      <c r="S747" s="121"/>
      <c r="T747" s="122"/>
      <c r="U747" s="118"/>
      <c r="V747" s="123"/>
      <c r="W747" s="124"/>
      <c r="X747" s="125"/>
      <c r="Y747" s="29"/>
      <c r="Z747" s="122"/>
      <c r="AA747" s="126"/>
      <c r="AB747" s="16"/>
      <c r="AE747" s="23"/>
      <c r="AF747" s="23" t="s">
        <v>2990</v>
      </c>
      <c r="AI747" s="23" t="s">
        <v>2941</v>
      </c>
      <c r="AL747" s="23" t="s">
        <v>618</v>
      </c>
      <c r="AO747" s="24"/>
      <c r="AP747" s="23"/>
      <c r="AQ747" s="118"/>
      <c r="AR747" s="119"/>
      <c r="AS747" s="120"/>
      <c r="AT747" s="29"/>
      <c r="AU747" s="122"/>
      <c r="AV747" s="118"/>
      <c r="AW747" s="123"/>
      <c r="AX747" s="124"/>
      <c r="AY747" s="125"/>
      <c r="AZ747" s="29"/>
      <c r="BA747" s="122"/>
      <c r="BB747" s="126"/>
      <c r="BE747" s="24"/>
      <c r="BF747" s="23"/>
      <c r="BG747" s="23" t="s">
        <v>2991</v>
      </c>
    </row>
    <row r="748" spans="1:59" ht="15" customHeight="1">
      <c r="A748" s="28" t="s">
        <v>2940</v>
      </c>
      <c r="B748" s="23" t="s">
        <v>2992</v>
      </c>
      <c r="C748" s="23" t="s">
        <v>2361</v>
      </c>
      <c r="D748" s="23">
        <v>121</v>
      </c>
      <c r="E748" s="23">
        <v>1</v>
      </c>
      <c r="F748" s="23" t="s">
        <v>2941</v>
      </c>
      <c r="G748" s="23" t="s">
        <v>2993</v>
      </c>
      <c r="J748" s="23" t="s">
        <v>619</v>
      </c>
      <c r="L748" s="23">
        <v>1</v>
      </c>
      <c r="N748" s="23"/>
      <c r="O748" s="118"/>
      <c r="P748" s="119"/>
      <c r="Q748" s="120"/>
      <c r="R748" s="29"/>
      <c r="S748" s="121"/>
      <c r="T748" s="122"/>
      <c r="U748" s="118"/>
      <c r="V748" s="123"/>
      <c r="W748" s="124"/>
      <c r="X748" s="125"/>
      <c r="Y748" s="29"/>
      <c r="Z748" s="122">
        <v>2</v>
      </c>
      <c r="AA748" s="126"/>
      <c r="AB748" s="127"/>
      <c r="AE748" s="23"/>
      <c r="AF748" s="23" t="s">
        <v>2994</v>
      </c>
      <c r="AI748" s="23" t="s">
        <v>3084</v>
      </c>
      <c r="AL748" s="23" t="s">
        <v>619</v>
      </c>
      <c r="AN748" s="23">
        <v>1</v>
      </c>
      <c r="AO748" s="24"/>
      <c r="AP748" s="23"/>
      <c r="AQ748" s="118"/>
      <c r="AR748" s="119"/>
      <c r="AS748" s="120"/>
      <c r="AT748" s="29"/>
      <c r="AU748" s="122"/>
      <c r="AV748" s="118"/>
      <c r="AW748" s="123"/>
      <c r="AX748" s="124"/>
      <c r="AY748" s="125"/>
      <c r="AZ748" s="29"/>
      <c r="BA748" s="122"/>
      <c r="BB748" s="126"/>
      <c r="BE748" s="24"/>
      <c r="BF748" s="23"/>
      <c r="BG748" s="23" t="s">
        <v>2328</v>
      </c>
    </row>
    <row r="749" spans="1:59" ht="15" customHeight="1">
      <c r="A749" s="28" t="s">
        <v>2940</v>
      </c>
      <c r="B749" s="23" t="s">
        <v>2995</v>
      </c>
      <c r="C749" s="23" t="s">
        <v>2361</v>
      </c>
      <c r="D749" s="23">
        <v>122</v>
      </c>
      <c r="E749" s="23">
        <v>1</v>
      </c>
      <c r="F749" s="23" t="s">
        <v>2941</v>
      </c>
      <c r="G749" s="23" t="s">
        <v>2996</v>
      </c>
      <c r="J749" s="23" t="s">
        <v>619</v>
      </c>
      <c r="L749" s="23">
        <v>2</v>
      </c>
      <c r="N749" s="23"/>
      <c r="O749" s="118"/>
      <c r="P749" s="119"/>
      <c r="Q749" s="120"/>
      <c r="R749" s="29"/>
      <c r="S749" s="121"/>
      <c r="T749" s="122"/>
      <c r="U749" s="118"/>
      <c r="V749" s="123"/>
      <c r="W749" s="124"/>
      <c r="X749" s="125"/>
      <c r="Y749" s="29"/>
      <c r="Z749" s="122">
        <v>2</v>
      </c>
      <c r="AA749" s="126"/>
      <c r="AB749" s="127"/>
      <c r="AE749" s="23"/>
      <c r="AF749" s="23" t="s">
        <v>2994</v>
      </c>
      <c r="AI749" s="23" t="s">
        <v>3085</v>
      </c>
      <c r="AL749" s="23" t="s">
        <v>619</v>
      </c>
      <c r="AN749" s="23">
        <v>2</v>
      </c>
      <c r="AO749" s="24"/>
      <c r="AP749" s="23"/>
      <c r="AQ749" s="118"/>
      <c r="AR749" s="119"/>
      <c r="AS749" s="120"/>
      <c r="AT749" s="29"/>
      <c r="AU749" s="122"/>
      <c r="AV749" s="118"/>
      <c r="AW749" s="123"/>
      <c r="AX749" s="124"/>
      <c r="AY749" s="125"/>
      <c r="AZ749" s="29"/>
      <c r="BA749" s="122"/>
      <c r="BB749" s="126"/>
      <c r="BE749" s="24"/>
      <c r="BF749" s="23"/>
      <c r="BG749" s="23" t="s">
        <v>2997</v>
      </c>
    </row>
    <row r="750" spans="1:59" ht="15" customHeight="1">
      <c r="A750" s="28" t="s">
        <v>2940</v>
      </c>
      <c r="B750" s="23" t="s">
        <v>2998</v>
      </c>
      <c r="C750" s="23" t="s">
        <v>2361</v>
      </c>
      <c r="D750" s="23">
        <v>123</v>
      </c>
      <c r="E750" s="23">
        <v>1</v>
      </c>
      <c r="F750" s="23" t="s">
        <v>2941</v>
      </c>
      <c r="G750" s="23" t="s">
        <v>2999</v>
      </c>
      <c r="J750" s="23" t="s">
        <v>619</v>
      </c>
      <c r="L750" s="23">
        <v>3</v>
      </c>
      <c r="N750" s="23"/>
      <c r="O750" s="118"/>
      <c r="P750" s="119"/>
      <c r="Q750" s="120"/>
      <c r="R750" s="29"/>
      <c r="S750" s="121"/>
      <c r="T750" s="122"/>
      <c r="U750" s="118"/>
      <c r="V750" s="123"/>
      <c r="W750" s="124"/>
      <c r="X750" s="125"/>
      <c r="Y750" s="29"/>
      <c r="Z750" s="122">
        <v>3</v>
      </c>
      <c r="AA750" s="126"/>
      <c r="AB750" s="127"/>
      <c r="AE750" s="23"/>
      <c r="AF750" s="23" t="s">
        <v>2994</v>
      </c>
      <c r="AI750" s="23" t="s">
        <v>3086</v>
      </c>
      <c r="AL750" s="23" t="s">
        <v>619</v>
      </c>
      <c r="AN750" s="23">
        <v>3</v>
      </c>
      <c r="AO750" s="24"/>
      <c r="AP750" s="23"/>
      <c r="AQ750" s="118"/>
      <c r="AR750" s="119"/>
      <c r="AS750" s="120"/>
      <c r="AT750" s="29"/>
      <c r="AU750" s="122"/>
      <c r="AV750" s="118"/>
      <c r="AW750" s="123"/>
      <c r="AX750" s="124"/>
      <c r="AY750" s="125"/>
      <c r="AZ750" s="29"/>
      <c r="BA750" s="122"/>
      <c r="BB750" s="126"/>
      <c r="BE750" s="24"/>
      <c r="BF750" s="23"/>
      <c r="BG750" s="23" t="s">
        <v>3000</v>
      </c>
    </row>
    <row r="751" spans="1:59" ht="15" customHeight="1">
      <c r="A751" s="28" t="s">
        <v>2940</v>
      </c>
      <c r="B751" s="23" t="s">
        <v>3001</v>
      </c>
      <c r="C751" s="23" t="s">
        <v>2361</v>
      </c>
      <c r="D751" s="23">
        <v>124</v>
      </c>
      <c r="E751" s="23">
        <v>1</v>
      </c>
      <c r="F751" s="23" t="s">
        <v>2941</v>
      </c>
      <c r="G751" s="23" t="s">
        <v>3002</v>
      </c>
      <c r="J751" s="23" t="s">
        <v>621</v>
      </c>
      <c r="L751" s="23">
        <v>1</v>
      </c>
      <c r="N751" s="23"/>
      <c r="O751" s="118"/>
      <c r="P751" s="119"/>
      <c r="Q751" s="120"/>
      <c r="R751" s="29"/>
      <c r="S751" s="121"/>
      <c r="T751" s="122"/>
      <c r="U751" s="118"/>
      <c r="V751" s="123"/>
      <c r="W751" s="124"/>
      <c r="X751" s="125"/>
      <c r="Y751" s="29">
        <v>2</v>
      </c>
      <c r="Z751" s="122"/>
      <c r="AA751" s="126"/>
      <c r="AB751" s="127"/>
      <c r="AE751" s="23"/>
      <c r="AI751" s="23" t="s">
        <v>3087</v>
      </c>
      <c r="AL751" s="23" t="s">
        <v>621</v>
      </c>
      <c r="AN751" s="23">
        <v>1</v>
      </c>
      <c r="AO751" s="24"/>
      <c r="AP751" s="23"/>
      <c r="AQ751" s="118"/>
      <c r="AR751" s="119"/>
      <c r="AS751" s="120"/>
      <c r="AT751" s="29"/>
      <c r="AU751" s="122"/>
      <c r="AV751" s="118"/>
      <c r="AW751" s="123"/>
      <c r="AX751" s="124"/>
      <c r="AY751" s="125"/>
      <c r="AZ751" s="29"/>
      <c r="BA751" s="122"/>
      <c r="BB751" s="126"/>
      <c r="BE751" s="24"/>
      <c r="BF751" s="23"/>
      <c r="BG751" s="23" t="s">
        <v>3003</v>
      </c>
    </row>
    <row r="752" spans="1:59" ht="15" customHeight="1">
      <c r="A752" s="28" t="s">
        <v>2940</v>
      </c>
      <c r="B752" s="23" t="s">
        <v>3004</v>
      </c>
      <c r="C752" s="23" t="s">
        <v>2361</v>
      </c>
      <c r="D752" s="23">
        <v>125</v>
      </c>
      <c r="E752" s="23">
        <v>1</v>
      </c>
      <c r="F752" s="23" t="s">
        <v>2941</v>
      </c>
      <c r="G752" s="23" t="s">
        <v>3005</v>
      </c>
      <c r="J752" s="23" t="s">
        <v>621</v>
      </c>
      <c r="L752" s="23">
        <v>2</v>
      </c>
      <c r="N752" s="23"/>
      <c r="O752" s="118"/>
      <c r="P752" s="119"/>
      <c r="Q752" s="120"/>
      <c r="R752" s="29"/>
      <c r="S752" s="121"/>
      <c r="T752" s="122"/>
      <c r="U752" s="118"/>
      <c r="V752" s="123"/>
      <c r="W752" s="124"/>
      <c r="X752" s="125"/>
      <c r="Y752" s="29">
        <v>2</v>
      </c>
      <c r="Z752" s="122"/>
      <c r="AA752" s="126"/>
      <c r="AB752" s="127"/>
      <c r="AE752" s="23"/>
      <c r="AI752" s="23" t="s">
        <v>3088</v>
      </c>
      <c r="AL752" s="23" t="s">
        <v>621</v>
      </c>
      <c r="AN752" s="23">
        <v>2</v>
      </c>
      <c r="AO752" s="24"/>
      <c r="AP752" s="23"/>
      <c r="AQ752" s="118"/>
      <c r="AR752" s="119"/>
      <c r="AS752" s="120"/>
      <c r="AT752" s="29"/>
      <c r="AU752" s="122"/>
      <c r="AV752" s="118"/>
      <c r="AW752" s="123"/>
      <c r="AX752" s="124"/>
      <c r="AY752" s="125"/>
      <c r="AZ752" s="29"/>
      <c r="BA752" s="122"/>
      <c r="BB752" s="126"/>
      <c r="BE752" s="24"/>
      <c r="BF752" s="23"/>
      <c r="BG752" s="23" t="s">
        <v>3006</v>
      </c>
    </row>
    <row r="753" spans="1:59" ht="15" customHeight="1">
      <c r="A753" s="28" t="s">
        <v>2940</v>
      </c>
      <c r="B753" s="23" t="s">
        <v>3007</v>
      </c>
      <c r="C753" s="23" t="s">
        <v>2361</v>
      </c>
      <c r="D753" s="23">
        <v>126</v>
      </c>
      <c r="E753" s="23">
        <v>1</v>
      </c>
      <c r="F753" s="23" t="s">
        <v>2941</v>
      </c>
      <c r="G753" s="23" t="s">
        <v>3008</v>
      </c>
      <c r="J753" s="23" t="s">
        <v>621</v>
      </c>
      <c r="L753" s="23">
        <v>3</v>
      </c>
      <c r="N753" s="23"/>
      <c r="O753" s="118"/>
      <c r="P753" s="119"/>
      <c r="Q753" s="120"/>
      <c r="R753" s="29"/>
      <c r="S753" s="121"/>
      <c r="T753" s="122"/>
      <c r="U753" s="118"/>
      <c r="V753" s="123"/>
      <c r="W753" s="124"/>
      <c r="X753" s="125"/>
      <c r="Y753" s="29">
        <v>3</v>
      </c>
      <c r="Z753" s="122"/>
      <c r="AA753" s="126"/>
      <c r="AB753" s="127"/>
      <c r="AE753" s="23"/>
      <c r="AF753" s="23" t="s">
        <v>3009</v>
      </c>
      <c r="AI753" s="23" t="s">
        <v>3089</v>
      </c>
      <c r="AL753" s="23" t="s">
        <v>621</v>
      </c>
      <c r="AN753" s="23">
        <v>3</v>
      </c>
      <c r="AO753" s="24"/>
      <c r="AP753" s="23"/>
      <c r="AQ753" s="118"/>
      <c r="AR753" s="119"/>
      <c r="AS753" s="120"/>
      <c r="AT753" s="29"/>
      <c r="AU753" s="122"/>
      <c r="AV753" s="118"/>
      <c r="AW753" s="123"/>
      <c r="AX753" s="124"/>
      <c r="AY753" s="125"/>
      <c r="AZ753" s="29"/>
      <c r="BA753" s="122"/>
      <c r="BB753" s="126"/>
      <c r="BE753" s="24"/>
      <c r="BF753" s="23"/>
      <c r="BG753" s="23" t="s">
        <v>3010</v>
      </c>
    </row>
    <row r="754" spans="1:59" ht="15" customHeight="1">
      <c r="A754" s="28" t="s">
        <v>2940</v>
      </c>
      <c r="B754" s="23" t="s">
        <v>3011</v>
      </c>
      <c r="C754" s="23" t="s">
        <v>2361</v>
      </c>
      <c r="D754" s="23">
        <v>127</v>
      </c>
      <c r="E754" s="23">
        <v>1</v>
      </c>
      <c r="F754" s="23" t="s">
        <v>2941</v>
      </c>
      <c r="G754" s="23" t="s">
        <v>3012</v>
      </c>
      <c r="J754" s="23" t="s">
        <v>31</v>
      </c>
      <c r="N754" s="23"/>
      <c r="O754" s="118"/>
      <c r="P754" s="119"/>
      <c r="Q754" s="120"/>
      <c r="R754" s="29"/>
      <c r="S754" s="121"/>
      <c r="T754" s="122"/>
      <c r="U754" s="118"/>
      <c r="V754" s="123"/>
      <c r="W754" s="124"/>
      <c r="X754" s="125"/>
      <c r="Y754" s="29"/>
      <c r="Z754" s="122"/>
      <c r="AA754" s="126"/>
      <c r="AB754" s="127"/>
      <c r="AD754" s="23" t="s">
        <v>3013</v>
      </c>
      <c r="AE754" s="23"/>
      <c r="AF754" s="23" t="s">
        <v>3014</v>
      </c>
      <c r="AI754" s="23" t="s">
        <v>3012</v>
      </c>
      <c r="AL754" s="23" t="s">
        <v>31</v>
      </c>
      <c r="AO754" s="24"/>
      <c r="AP754" s="23"/>
      <c r="AQ754" s="118"/>
      <c r="AR754" s="119"/>
      <c r="AS754" s="120"/>
      <c r="AT754" s="29"/>
      <c r="AU754" s="122"/>
      <c r="AV754" s="118"/>
      <c r="AW754" s="123"/>
      <c r="AX754" s="124"/>
      <c r="AY754" s="125">
        <v>2</v>
      </c>
      <c r="AZ754" s="29">
        <v>0</v>
      </c>
      <c r="BA754" s="122"/>
      <c r="BB754" s="126"/>
      <c r="BE754" s="24" t="s">
        <v>3013</v>
      </c>
      <c r="BF754" s="23"/>
      <c r="BG754" s="23" t="s">
        <v>3015</v>
      </c>
    </row>
    <row r="755" spans="1:59" ht="15" customHeight="1">
      <c r="A755" s="28" t="s">
        <v>2940</v>
      </c>
      <c r="B755" s="23" t="s">
        <v>3016</v>
      </c>
      <c r="C755" s="23" t="s">
        <v>2361</v>
      </c>
      <c r="D755" s="23">
        <v>128</v>
      </c>
      <c r="E755" s="23">
        <v>1</v>
      </c>
      <c r="F755" s="23" t="s">
        <v>2941</v>
      </c>
      <c r="G755" s="23" t="s">
        <v>744</v>
      </c>
      <c r="J755" s="23" t="s">
        <v>31</v>
      </c>
      <c r="N755" s="23"/>
      <c r="O755" s="118"/>
      <c r="P755" s="119"/>
      <c r="Q755" s="120"/>
      <c r="R755" s="29"/>
      <c r="S755" s="121"/>
      <c r="T755" s="122"/>
      <c r="U755" s="118"/>
      <c r="V755" s="123"/>
      <c r="W755" s="124"/>
      <c r="X755" s="125"/>
      <c r="Y755" s="29"/>
      <c r="Z755" s="122"/>
      <c r="AA755" s="126"/>
      <c r="AB755" s="127"/>
      <c r="AD755" s="23" t="s">
        <v>3013</v>
      </c>
      <c r="AE755" s="23"/>
      <c r="AF755" s="23" t="s">
        <v>3017</v>
      </c>
      <c r="AI755" s="23" t="s">
        <v>744</v>
      </c>
      <c r="AJ755" s="23" t="s">
        <v>3018</v>
      </c>
      <c r="AL755" s="23" t="s">
        <v>31</v>
      </c>
      <c r="AO755" s="24"/>
      <c r="AP755" s="23"/>
      <c r="AQ755" s="118"/>
      <c r="AR755" s="119"/>
      <c r="AS755" s="120"/>
      <c r="AT755" s="29"/>
      <c r="AU755" s="122"/>
      <c r="AV755" s="118"/>
      <c r="AW755" s="123"/>
      <c r="AX755" s="124"/>
      <c r="AY755" s="125">
        <v>4</v>
      </c>
      <c r="AZ755" s="29">
        <v>1</v>
      </c>
      <c r="BA755" s="122"/>
      <c r="BB755" s="126"/>
      <c r="BE755" s="24" t="s">
        <v>3013</v>
      </c>
      <c r="BF755" s="23"/>
      <c r="BG755" s="23" t="s">
        <v>3019</v>
      </c>
    </row>
    <row r="756" spans="1:59" ht="15" customHeight="1">
      <c r="A756" s="28" t="s">
        <v>2940</v>
      </c>
      <c r="B756" s="23" t="s">
        <v>3020</v>
      </c>
      <c r="C756" s="23" t="s">
        <v>2361</v>
      </c>
      <c r="D756" s="23">
        <v>129</v>
      </c>
      <c r="E756" s="23">
        <v>1</v>
      </c>
      <c r="F756" s="23" t="s">
        <v>2941</v>
      </c>
      <c r="G756" s="23" t="s">
        <v>744</v>
      </c>
      <c r="J756" s="23" t="s">
        <v>31</v>
      </c>
      <c r="N756" s="23"/>
      <c r="O756" s="118"/>
      <c r="P756" s="119"/>
      <c r="Q756" s="120"/>
      <c r="R756" s="29"/>
      <c r="S756" s="121"/>
      <c r="T756" s="122"/>
      <c r="U756" s="118"/>
      <c r="V756" s="123"/>
      <c r="W756" s="124"/>
      <c r="X756" s="125"/>
      <c r="Y756" s="29"/>
      <c r="Z756" s="122"/>
      <c r="AA756" s="126"/>
      <c r="AB756" s="127"/>
      <c r="AD756" s="23" t="s">
        <v>3013</v>
      </c>
      <c r="AE756" s="23"/>
      <c r="AF756" s="23" t="s">
        <v>3017</v>
      </c>
      <c r="AI756" s="23" t="s">
        <v>744</v>
      </c>
      <c r="AJ756" s="23" t="s">
        <v>3021</v>
      </c>
      <c r="AL756" s="23" t="s">
        <v>31</v>
      </c>
      <c r="AO756" s="24"/>
      <c r="AP756" s="23"/>
      <c r="AQ756" s="118"/>
      <c r="AR756" s="119"/>
      <c r="AS756" s="120"/>
      <c r="AT756" s="29"/>
      <c r="AU756" s="122"/>
      <c r="AV756" s="118"/>
      <c r="AW756" s="123"/>
      <c r="AX756" s="124"/>
      <c r="AY756" s="125">
        <v>2</v>
      </c>
      <c r="AZ756" s="29">
        <v>1</v>
      </c>
      <c r="BA756" s="122"/>
      <c r="BB756" s="126"/>
      <c r="BE756" s="24" t="s">
        <v>3013</v>
      </c>
      <c r="BF756" s="23"/>
      <c r="BG756" s="23" t="s">
        <v>3022</v>
      </c>
    </row>
    <row r="757" spans="1:59" ht="15" customHeight="1">
      <c r="A757" s="28" t="s">
        <v>2940</v>
      </c>
      <c r="B757" s="23" t="s">
        <v>3023</v>
      </c>
      <c r="C757" s="23" t="s">
        <v>2361</v>
      </c>
      <c r="D757" s="23">
        <v>130</v>
      </c>
      <c r="E757" s="23">
        <v>1</v>
      </c>
      <c r="F757" s="23" t="s">
        <v>2941</v>
      </c>
      <c r="G757" s="23" t="s">
        <v>744</v>
      </c>
      <c r="J757" s="23" t="s">
        <v>31</v>
      </c>
      <c r="N757" s="23"/>
      <c r="O757" s="118"/>
      <c r="P757" s="119"/>
      <c r="Q757" s="120"/>
      <c r="R757" s="29"/>
      <c r="S757" s="121"/>
      <c r="T757" s="122"/>
      <c r="U757" s="118"/>
      <c r="V757" s="123"/>
      <c r="W757" s="124"/>
      <c r="X757" s="125"/>
      <c r="Y757" s="29"/>
      <c r="Z757" s="122"/>
      <c r="AA757" s="126"/>
      <c r="AB757" s="127"/>
      <c r="AD757" s="23" t="s">
        <v>3013</v>
      </c>
      <c r="AE757" s="23"/>
      <c r="AF757" s="23" t="s">
        <v>3017</v>
      </c>
      <c r="AI757" s="23" t="s">
        <v>744</v>
      </c>
      <c r="AJ757" s="23" t="s">
        <v>3024</v>
      </c>
      <c r="AL757" s="23" t="s">
        <v>31</v>
      </c>
      <c r="AO757" s="24"/>
      <c r="AP757" s="23"/>
      <c r="AQ757" s="118"/>
      <c r="AR757" s="119"/>
      <c r="AS757" s="120"/>
      <c r="AT757" s="29"/>
      <c r="AU757" s="122"/>
      <c r="AV757" s="118"/>
      <c r="AW757" s="123"/>
      <c r="AX757" s="124"/>
      <c r="AY757" s="125">
        <v>2</v>
      </c>
      <c r="AZ757" s="29">
        <v>1</v>
      </c>
      <c r="BA757" s="122"/>
      <c r="BB757" s="126"/>
      <c r="BE757" s="24" t="s">
        <v>3013</v>
      </c>
      <c r="BF757" s="23"/>
      <c r="BG757" s="23" t="s">
        <v>3025</v>
      </c>
    </row>
    <row r="758" spans="1:59" ht="15" customHeight="1">
      <c r="A758" s="28" t="s">
        <v>2940</v>
      </c>
      <c r="B758" s="23" t="s">
        <v>3026</v>
      </c>
      <c r="C758" s="23" t="s">
        <v>2361</v>
      </c>
      <c r="D758" s="23">
        <v>131</v>
      </c>
      <c r="E758" s="23">
        <v>1</v>
      </c>
      <c r="F758" s="23" t="s">
        <v>2941</v>
      </c>
      <c r="G758" s="23" t="s">
        <v>1467</v>
      </c>
      <c r="J758" s="23" t="s">
        <v>31</v>
      </c>
      <c r="N758" s="23"/>
      <c r="O758" s="118"/>
      <c r="P758" s="119"/>
      <c r="Q758" s="120"/>
      <c r="R758" s="29"/>
      <c r="S758" s="121"/>
      <c r="T758" s="122"/>
      <c r="U758" s="118"/>
      <c r="V758" s="123"/>
      <c r="W758" s="124"/>
      <c r="X758" s="125"/>
      <c r="Y758" s="29"/>
      <c r="Z758" s="122"/>
      <c r="AA758" s="126"/>
      <c r="AB758" s="127"/>
      <c r="AD758" s="23" t="s">
        <v>3027</v>
      </c>
      <c r="AE758" s="23"/>
      <c r="AF758" s="23" t="s">
        <v>3028</v>
      </c>
      <c r="AI758" s="23" t="s">
        <v>1467</v>
      </c>
      <c r="AL758" s="23" t="s">
        <v>31</v>
      </c>
      <c r="AO758" s="24"/>
      <c r="AP758" s="23"/>
      <c r="AQ758" s="118"/>
      <c r="AR758" s="119"/>
      <c r="AS758" s="120"/>
      <c r="AT758" s="29"/>
      <c r="AU758" s="122"/>
      <c r="AV758" s="118"/>
      <c r="AW758" s="123"/>
      <c r="AX758" s="124"/>
      <c r="AY758" s="125">
        <v>3</v>
      </c>
      <c r="AZ758" s="29">
        <v>0</v>
      </c>
      <c r="BA758" s="122"/>
      <c r="BB758" s="126"/>
      <c r="BE758" s="24" t="s">
        <v>3027</v>
      </c>
      <c r="BF758" s="23"/>
      <c r="BG758" s="23" t="s">
        <v>3029</v>
      </c>
    </row>
    <row r="759" spans="1:59" ht="15" customHeight="1">
      <c r="A759" s="28" t="s">
        <v>2940</v>
      </c>
      <c r="B759" s="23" t="s">
        <v>3030</v>
      </c>
      <c r="C759" s="23" t="s">
        <v>2361</v>
      </c>
      <c r="D759" s="23">
        <v>132</v>
      </c>
      <c r="E759" s="23">
        <v>1</v>
      </c>
      <c r="F759" s="23" t="s">
        <v>2941</v>
      </c>
      <c r="G759" s="23" t="s">
        <v>744</v>
      </c>
      <c r="J759" s="23" t="s">
        <v>31</v>
      </c>
      <c r="N759" s="23"/>
      <c r="O759" s="118"/>
      <c r="P759" s="119"/>
      <c r="Q759" s="120"/>
      <c r="R759" s="29"/>
      <c r="S759" s="121"/>
      <c r="T759" s="122"/>
      <c r="U759" s="118"/>
      <c r="V759" s="123"/>
      <c r="W759" s="124"/>
      <c r="X759" s="125"/>
      <c r="Y759" s="29"/>
      <c r="Z759" s="122"/>
      <c r="AA759" s="126"/>
      <c r="AB759" s="127"/>
      <c r="AD759" s="23" t="s">
        <v>3027</v>
      </c>
      <c r="AE759" s="23"/>
      <c r="AF759" s="23" t="s">
        <v>3017</v>
      </c>
      <c r="AI759" s="23" t="s">
        <v>744</v>
      </c>
      <c r="AJ759" s="23" t="s">
        <v>3024</v>
      </c>
      <c r="AL759" s="23" t="s">
        <v>31</v>
      </c>
      <c r="AO759" s="24"/>
      <c r="AP759" s="23"/>
      <c r="AQ759" s="118"/>
      <c r="AR759" s="119"/>
      <c r="AS759" s="120"/>
      <c r="AT759" s="29"/>
      <c r="AU759" s="122"/>
      <c r="AV759" s="118"/>
      <c r="AW759" s="123"/>
      <c r="AX759" s="124"/>
      <c r="AY759" s="125">
        <v>2</v>
      </c>
      <c r="AZ759" s="29">
        <v>1</v>
      </c>
      <c r="BA759" s="122"/>
      <c r="BB759" s="126"/>
      <c r="BE759" s="24" t="s">
        <v>3027</v>
      </c>
      <c r="BF759" s="23"/>
      <c r="BG759" s="23" t="s">
        <v>3025</v>
      </c>
    </row>
    <row r="760" spans="1:59" ht="15" customHeight="1">
      <c r="A760" s="28" t="s">
        <v>2940</v>
      </c>
      <c r="B760" s="23" t="s">
        <v>3031</v>
      </c>
      <c r="C760" s="23" t="s">
        <v>2361</v>
      </c>
      <c r="D760" s="23">
        <v>133</v>
      </c>
      <c r="E760" s="23">
        <v>1</v>
      </c>
      <c r="F760" s="23" t="s">
        <v>2941</v>
      </c>
      <c r="G760" s="23" t="s">
        <v>744</v>
      </c>
      <c r="J760" s="23" t="s">
        <v>31</v>
      </c>
      <c r="N760" s="23"/>
      <c r="O760" s="118"/>
      <c r="P760" s="119"/>
      <c r="Q760" s="120"/>
      <c r="R760" s="29"/>
      <c r="S760" s="121"/>
      <c r="T760" s="122"/>
      <c r="U760" s="118"/>
      <c r="V760" s="123"/>
      <c r="W760" s="124"/>
      <c r="X760" s="125"/>
      <c r="Y760" s="29"/>
      <c r="Z760" s="122"/>
      <c r="AA760" s="126"/>
      <c r="AB760" s="127"/>
      <c r="AD760" s="23" t="s">
        <v>3032</v>
      </c>
      <c r="AE760" s="23"/>
      <c r="AF760" s="23" t="s">
        <v>3017</v>
      </c>
      <c r="AI760" s="23" t="s">
        <v>744</v>
      </c>
      <c r="AJ760" s="23" t="s">
        <v>3033</v>
      </c>
      <c r="AL760" s="23" t="s">
        <v>31</v>
      </c>
      <c r="AO760" s="24"/>
      <c r="AP760" s="23"/>
      <c r="AQ760" s="118"/>
      <c r="AR760" s="119"/>
      <c r="AS760" s="120"/>
      <c r="AT760" s="29"/>
      <c r="AU760" s="122"/>
      <c r="AV760" s="118"/>
      <c r="AW760" s="123"/>
      <c r="AX760" s="124"/>
      <c r="AY760" s="125">
        <v>3</v>
      </c>
      <c r="AZ760" s="29">
        <v>2</v>
      </c>
      <c r="BA760" s="122"/>
      <c r="BB760" s="126"/>
      <c r="BE760" s="24" t="s">
        <v>3032</v>
      </c>
      <c r="BF760" s="23"/>
      <c r="BG760" s="23" t="s">
        <v>3034</v>
      </c>
    </row>
    <row r="761" spans="1:59" ht="15" customHeight="1">
      <c r="A761" s="28" t="s">
        <v>2940</v>
      </c>
      <c r="B761" s="23" t="s">
        <v>3035</v>
      </c>
      <c r="C761" s="23" t="s">
        <v>2361</v>
      </c>
      <c r="D761" s="23">
        <v>134</v>
      </c>
      <c r="E761" s="23">
        <v>1</v>
      </c>
      <c r="F761" s="23" t="s">
        <v>2941</v>
      </c>
      <c r="G761" s="23" t="s">
        <v>744</v>
      </c>
      <c r="J761" s="23" t="s">
        <v>31</v>
      </c>
      <c r="N761" s="23"/>
      <c r="O761" s="118"/>
      <c r="P761" s="119"/>
      <c r="Q761" s="120"/>
      <c r="R761" s="29"/>
      <c r="S761" s="121"/>
      <c r="T761" s="122"/>
      <c r="U761" s="118"/>
      <c r="V761" s="123"/>
      <c r="W761" s="124"/>
      <c r="X761" s="125"/>
      <c r="Y761" s="29"/>
      <c r="Z761" s="122"/>
      <c r="AA761" s="126"/>
      <c r="AB761" s="127"/>
      <c r="AD761" s="23" t="s">
        <v>3027</v>
      </c>
      <c r="AE761" s="23"/>
      <c r="AF761" s="23" t="s">
        <v>3017</v>
      </c>
      <c r="AI761" s="23" t="s">
        <v>744</v>
      </c>
      <c r="AJ761" s="23" t="s">
        <v>3036</v>
      </c>
      <c r="AL761" s="23" t="s">
        <v>31</v>
      </c>
      <c r="AO761" s="24"/>
      <c r="AP761" s="23"/>
      <c r="AQ761" s="118"/>
      <c r="AR761" s="119"/>
      <c r="AS761" s="120"/>
      <c r="AT761" s="29"/>
      <c r="AU761" s="122"/>
      <c r="AV761" s="118"/>
      <c r="AW761" s="123"/>
      <c r="AX761" s="124"/>
      <c r="AY761" s="125">
        <v>5</v>
      </c>
      <c r="AZ761" s="29">
        <v>1</v>
      </c>
      <c r="BA761" s="122"/>
      <c r="BB761" s="126"/>
      <c r="BE761" s="24" t="s">
        <v>3027</v>
      </c>
      <c r="BF761" s="23"/>
      <c r="BG761" s="23" t="s">
        <v>3037</v>
      </c>
    </row>
    <row r="762" spans="1:59" ht="15" customHeight="1">
      <c r="A762" s="28" t="s">
        <v>2940</v>
      </c>
      <c r="B762" s="23" t="s">
        <v>3038</v>
      </c>
      <c r="C762" s="23" t="s">
        <v>2361</v>
      </c>
      <c r="D762" s="23">
        <v>135</v>
      </c>
      <c r="E762" s="23">
        <v>1</v>
      </c>
      <c r="F762" s="23" t="s">
        <v>2941</v>
      </c>
      <c r="G762" s="23" t="s">
        <v>1467</v>
      </c>
      <c r="J762" s="23" t="s">
        <v>31</v>
      </c>
      <c r="N762" s="23"/>
      <c r="O762" s="118"/>
      <c r="P762" s="119"/>
      <c r="Q762" s="120"/>
      <c r="R762" s="29"/>
      <c r="S762" s="121"/>
      <c r="T762" s="122"/>
      <c r="U762" s="118"/>
      <c r="V762" s="123"/>
      <c r="W762" s="124"/>
      <c r="X762" s="125"/>
      <c r="Y762" s="29"/>
      <c r="Z762" s="122"/>
      <c r="AA762" s="126"/>
      <c r="AB762" s="127"/>
      <c r="AD762" s="23" t="s">
        <v>3039</v>
      </c>
      <c r="AE762" s="23"/>
      <c r="AF762" s="23" t="s">
        <v>3040</v>
      </c>
      <c r="AI762" s="23" t="s">
        <v>1467</v>
      </c>
      <c r="AL762" s="23" t="s">
        <v>31</v>
      </c>
      <c r="AO762" s="24"/>
      <c r="AP762" s="23"/>
      <c r="AQ762" s="118"/>
      <c r="AR762" s="119"/>
      <c r="AS762" s="120"/>
      <c r="AT762" s="29"/>
      <c r="AU762" s="122"/>
      <c r="AV762" s="118"/>
      <c r="AW762" s="123"/>
      <c r="AX762" s="124"/>
      <c r="AY762" s="125">
        <v>3</v>
      </c>
      <c r="AZ762" s="29">
        <v>0</v>
      </c>
      <c r="BA762" s="122"/>
      <c r="BB762" s="126"/>
      <c r="BE762" s="24" t="s">
        <v>3039</v>
      </c>
      <c r="BF762" s="23"/>
      <c r="BG762" s="23" t="s">
        <v>3041</v>
      </c>
    </row>
    <row r="763" spans="1:59" ht="15" customHeight="1">
      <c r="A763" s="28" t="s">
        <v>2940</v>
      </c>
      <c r="B763" s="23" t="s">
        <v>3042</v>
      </c>
      <c r="C763" s="23" t="s">
        <v>2361</v>
      </c>
      <c r="D763" s="23">
        <v>136</v>
      </c>
      <c r="E763" s="23">
        <v>1</v>
      </c>
      <c r="F763" s="23" t="s">
        <v>2941</v>
      </c>
      <c r="G763" s="23" t="s">
        <v>744</v>
      </c>
      <c r="J763" s="23" t="s">
        <v>31</v>
      </c>
      <c r="N763" s="23"/>
      <c r="O763" s="118"/>
      <c r="P763" s="119"/>
      <c r="Q763" s="120"/>
      <c r="R763" s="29"/>
      <c r="S763" s="121"/>
      <c r="T763" s="122"/>
      <c r="U763" s="118"/>
      <c r="V763" s="123"/>
      <c r="W763" s="124"/>
      <c r="X763" s="125"/>
      <c r="Y763" s="29"/>
      <c r="Z763" s="122"/>
      <c r="AA763" s="126"/>
      <c r="AB763" s="127"/>
      <c r="AD763" s="23" t="s">
        <v>3043</v>
      </c>
      <c r="AE763" s="23"/>
      <c r="AF763" s="23" t="s">
        <v>3017</v>
      </c>
      <c r="AI763" s="23" t="s">
        <v>744</v>
      </c>
      <c r="AJ763" s="23" t="s">
        <v>3033</v>
      </c>
      <c r="AL763" s="23" t="s">
        <v>31</v>
      </c>
      <c r="AO763" s="24"/>
      <c r="AP763" s="23"/>
      <c r="AQ763" s="118"/>
      <c r="AR763" s="119"/>
      <c r="AS763" s="120"/>
      <c r="AT763" s="29"/>
      <c r="AU763" s="122"/>
      <c r="AV763" s="118"/>
      <c r="AW763" s="123"/>
      <c r="AX763" s="124"/>
      <c r="AY763" s="125">
        <v>3</v>
      </c>
      <c r="AZ763" s="29">
        <v>2</v>
      </c>
      <c r="BA763" s="122"/>
      <c r="BB763" s="126"/>
      <c r="BE763" s="24" t="s">
        <v>3043</v>
      </c>
      <c r="BF763" s="23"/>
      <c r="BG763" s="23" t="s">
        <v>3034</v>
      </c>
    </row>
    <row r="764" spans="1:59" ht="15" customHeight="1">
      <c r="A764" s="28" t="s">
        <v>2940</v>
      </c>
      <c r="B764" s="23" t="s">
        <v>3044</v>
      </c>
      <c r="C764" s="23" t="s">
        <v>2361</v>
      </c>
      <c r="D764" s="23">
        <v>137</v>
      </c>
      <c r="E764" s="23">
        <v>1</v>
      </c>
      <c r="F764" s="23" t="s">
        <v>2941</v>
      </c>
      <c r="G764" s="23" t="s">
        <v>744</v>
      </c>
      <c r="J764" s="23" t="s">
        <v>31</v>
      </c>
      <c r="N764" s="23"/>
      <c r="O764" s="118"/>
      <c r="P764" s="119"/>
      <c r="Q764" s="120"/>
      <c r="R764" s="29"/>
      <c r="S764" s="121"/>
      <c r="T764" s="122"/>
      <c r="U764" s="118"/>
      <c r="V764" s="123"/>
      <c r="W764" s="124"/>
      <c r="X764" s="125"/>
      <c r="Y764" s="29"/>
      <c r="Z764" s="122"/>
      <c r="AA764" s="126"/>
      <c r="AB764" s="127"/>
      <c r="AD764" s="23" t="s">
        <v>3043</v>
      </c>
      <c r="AE764" s="23"/>
      <c r="AF764" s="23" t="s">
        <v>3017</v>
      </c>
      <c r="AI764" s="23" t="s">
        <v>744</v>
      </c>
      <c r="AJ764" s="23" t="s">
        <v>3045</v>
      </c>
      <c r="AL764" s="23" t="s">
        <v>31</v>
      </c>
      <c r="AO764" s="24"/>
      <c r="AP764" s="23"/>
      <c r="AQ764" s="118"/>
      <c r="AR764" s="119"/>
      <c r="AS764" s="120"/>
      <c r="AT764" s="29"/>
      <c r="AU764" s="122"/>
      <c r="AV764" s="118"/>
      <c r="AW764" s="123"/>
      <c r="AX764" s="124"/>
      <c r="AY764" s="125">
        <v>4</v>
      </c>
      <c r="AZ764" s="29">
        <v>2</v>
      </c>
      <c r="BA764" s="122"/>
      <c r="BB764" s="126"/>
      <c r="BE764" s="24" t="s">
        <v>3043</v>
      </c>
      <c r="BF764" s="23"/>
      <c r="BG764" s="23" t="s">
        <v>3046</v>
      </c>
    </row>
    <row r="765" spans="1:59" ht="15" customHeight="1">
      <c r="A765" s="28" t="s">
        <v>2940</v>
      </c>
      <c r="B765" s="23" t="s">
        <v>3047</v>
      </c>
      <c r="C765" s="23" t="s">
        <v>2361</v>
      </c>
      <c r="D765" s="23">
        <v>138</v>
      </c>
      <c r="E765" s="23">
        <v>1</v>
      </c>
      <c r="F765" s="23" t="s">
        <v>2941</v>
      </c>
      <c r="G765" s="23" t="s">
        <v>744</v>
      </c>
      <c r="J765" s="23" t="s">
        <v>31</v>
      </c>
      <c r="N765" s="23"/>
      <c r="O765" s="118"/>
      <c r="P765" s="119"/>
      <c r="Q765" s="120"/>
      <c r="R765" s="29"/>
      <c r="S765" s="121"/>
      <c r="T765" s="122"/>
      <c r="U765" s="118"/>
      <c r="V765" s="123"/>
      <c r="W765" s="124"/>
      <c r="X765" s="125"/>
      <c r="Y765" s="29"/>
      <c r="Z765" s="122"/>
      <c r="AA765" s="126"/>
      <c r="AB765" s="127"/>
      <c r="AD765" s="23" t="s">
        <v>3039</v>
      </c>
      <c r="AE765" s="23"/>
      <c r="AF765" s="23" t="s">
        <v>3017</v>
      </c>
      <c r="AI765" s="23" t="s">
        <v>744</v>
      </c>
      <c r="AJ765" s="23" t="s">
        <v>3021</v>
      </c>
      <c r="AL765" s="23" t="s">
        <v>31</v>
      </c>
      <c r="AO765" s="24"/>
      <c r="AP765" s="23"/>
      <c r="AQ765" s="118"/>
      <c r="AR765" s="119"/>
      <c r="AS765" s="120"/>
      <c r="AT765" s="29"/>
      <c r="AU765" s="122"/>
      <c r="AV765" s="118"/>
      <c r="AW765" s="123"/>
      <c r="AX765" s="124"/>
      <c r="AY765" s="125">
        <v>2</v>
      </c>
      <c r="AZ765" s="29">
        <v>1</v>
      </c>
      <c r="BA765" s="122"/>
      <c r="BB765" s="126"/>
      <c r="BE765" s="24" t="s">
        <v>3039</v>
      </c>
      <c r="BF765" s="23"/>
      <c r="BG765" s="23" t="s">
        <v>3022</v>
      </c>
    </row>
    <row r="766" spans="1:59" ht="15" customHeight="1">
      <c r="A766" s="28" t="s">
        <v>2940</v>
      </c>
      <c r="B766" s="23" t="s">
        <v>3048</v>
      </c>
      <c r="C766" s="23" t="s">
        <v>2361</v>
      </c>
      <c r="D766" s="23">
        <v>139</v>
      </c>
      <c r="E766" s="23">
        <v>1</v>
      </c>
      <c r="F766" s="23" t="s">
        <v>2941</v>
      </c>
      <c r="G766" s="23" t="s">
        <v>3049</v>
      </c>
      <c r="J766" s="23" t="s">
        <v>31</v>
      </c>
      <c r="N766" s="23"/>
      <c r="O766" s="118"/>
      <c r="P766" s="119"/>
      <c r="Q766" s="120"/>
      <c r="R766" s="29"/>
      <c r="S766" s="121"/>
      <c r="T766" s="122"/>
      <c r="U766" s="118"/>
      <c r="V766" s="123"/>
      <c r="W766" s="124"/>
      <c r="X766" s="125"/>
      <c r="Y766" s="29"/>
      <c r="Z766" s="122"/>
      <c r="AA766" s="126"/>
      <c r="AB766" s="127"/>
      <c r="AE766" s="23"/>
      <c r="AF766" s="23" t="s">
        <v>3050</v>
      </c>
      <c r="AI766" s="23" t="s">
        <v>3049</v>
      </c>
      <c r="AL766" s="23" t="s">
        <v>31</v>
      </c>
      <c r="AO766" s="24"/>
      <c r="AP766" s="23"/>
      <c r="AQ766" s="118"/>
      <c r="AR766" s="119"/>
      <c r="AS766" s="120"/>
      <c r="AT766" s="29"/>
      <c r="AU766" s="122"/>
      <c r="AV766" s="118"/>
      <c r="AW766" s="123"/>
      <c r="AX766" s="124"/>
      <c r="AY766" s="125">
        <v>4</v>
      </c>
      <c r="AZ766" s="29">
        <v>3</v>
      </c>
      <c r="BA766" s="122"/>
      <c r="BB766" s="126">
        <v>2</v>
      </c>
      <c r="BE766" s="24"/>
      <c r="BF766" s="23"/>
      <c r="BG766" s="23" t="s">
        <v>3050</v>
      </c>
    </row>
    <row r="767" spans="1:59" ht="15" customHeight="1">
      <c r="A767" s="28" t="s">
        <v>2940</v>
      </c>
      <c r="B767" s="23" t="s">
        <v>3051</v>
      </c>
      <c r="C767" s="23" t="s">
        <v>2361</v>
      </c>
      <c r="D767" s="23">
        <v>140</v>
      </c>
      <c r="E767" s="23">
        <v>1</v>
      </c>
      <c r="F767" s="23" t="s">
        <v>2941</v>
      </c>
      <c r="G767" s="23" t="s">
        <v>3052</v>
      </c>
      <c r="H767" s="23" t="s">
        <v>3053</v>
      </c>
      <c r="J767" s="23" t="s">
        <v>29</v>
      </c>
      <c r="N767" s="23"/>
      <c r="O767" s="118"/>
      <c r="P767" s="119"/>
      <c r="Q767" s="120">
        <v>4</v>
      </c>
      <c r="R767" s="29">
        <v>3</v>
      </c>
      <c r="S767" s="121"/>
      <c r="T767" s="122">
        <v>5</v>
      </c>
      <c r="U767" s="118"/>
      <c r="V767" s="123">
        <v>2</v>
      </c>
      <c r="W767" s="124">
        <v>2</v>
      </c>
      <c r="X767" s="125"/>
      <c r="Y767" s="29"/>
      <c r="Z767" s="122"/>
      <c r="AA767" s="126">
        <v>2</v>
      </c>
      <c r="AB767" s="127"/>
      <c r="AD767" s="23" t="s">
        <v>3054</v>
      </c>
      <c r="AE767" s="23"/>
      <c r="AF767" s="23" t="s">
        <v>3055</v>
      </c>
      <c r="AO767" s="24"/>
      <c r="AP767" s="23"/>
      <c r="AQ767" s="118"/>
      <c r="AR767" s="119"/>
      <c r="AS767" s="120"/>
      <c r="AT767" s="29"/>
      <c r="AU767" s="122"/>
      <c r="AV767" s="118"/>
      <c r="AW767" s="123"/>
      <c r="AX767" s="124"/>
      <c r="AY767" s="125"/>
      <c r="AZ767" s="29"/>
      <c r="BA767" s="122"/>
      <c r="BB767" s="126"/>
      <c r="BE767" s="24"/>
      <c r="BF767" s="23"/>
    </row>
    <row r="768" spans="1:59" ht="15" customHeight="1">
      <c r="A768" s="28" t="s">
        <v>2940</v>
      </c>
      <c r="B768" s="30" t="s">
        <v>3056</v>
      </c>
      <c r="C768" s="23" t="s">
        <v>2361</v>
      </c>
      <c r="D768" s="23">
        <v>141</v>
      </c>
      <c r="E768" s="23">
        <v>1</v>
      </c>
      <c r="F768" s="23" t="s">
        <v>2941</v>
      </c>
      <c r="G768" s="23" t="s">
        <v>3057</v>
      </c>
      <c r="H768" s="23" t="s">
        <v>3058</v>
      </c>
      <c r="I768" s="23" t="s">
        <v>223</v>
      </c>
      <c r="J768" s="23" t="s">
        <v>257</v>
      </c>
      <c r="K768" s="23" t="s">
        <v>26</v>
      </c>
      <c r="N768" s="23"/>
      <c r="O768" s="118"/>
      <c r="P768" s="119"/>
      <c r="Q768" s="120"/>
      <c r="R768" s="29"/>
      <c r="S768" s="121"/>
      <c r="T768" s="122">
        <v>2</v>
      </c>
      <c r="U768" s="118">
        <v>2</v>
      </c>
      <c r="V768" s="123"/>
      <c r="W768" s="124"/>
      <c r="X768" s="125"/>
      <c r="Y768" s="29"/>
      <c r="Z768" s="122"/>
      <c r="AA768" s="126"/>
      <c r="AB768" s="127"/>
      <c r="AC768" s="23" t="s">
        <v>25</v>
      </c>
      <c r="AD768" s="23" t="s">
        <v>3059</v>
      </c>
      <c r="AE768" s="23"/>
      <c r="AF768" s="23" t="s">
        <v>3060</v>
      </c>
      <c r="AO768" s="24"/>
      <c r="AP768" s="23"/>
      <c r="AQ768" s="118"/>
      <c r="AR768" s="119"/>
      <c r="AS768" s="120"/>
      <c r="AT768" s="29"/>
      <c r="AU768" s="122"/>
      <c r="AV768" s="118"/>
      <c r="AW768" s="123"/>
      <c r="AX768" s="124"/>
      <c r="AY768" s="125"/>
      <c r="AZ768" s="29"/>
      <c r="BA768" s="122"/>
      <c r="BB768" s="126"/>
      <c r="BE768" s="24"/>
      <c r="BF768" s="23"/>
    </row>
    <row r="769" spans="1:58" ht="15" customHeight="1">
      <c r="A769" s="28" t="s">
        <v>2940</v>
      </c>
      <c r="B769" s="23" t="s">
        <v>3061</v>
      </c>
      <c r="C769" s="23" t="s">
        <v>2361</v>
      </c>
      <c r="D769" s="23">
        <v>142</v>
      </c>
      <c r="E769" s="23">
        <v>1</v>
      </c>
      <c r="F769" s="23" t="s">
        <v>2941</v>
      </c>
      <c r="G769" s="23" t="s">
        <v>3062</v>
      </c>
      <c r="H769" s="23" t="s">
        <v>3063</v>
      </c>
      <c r="J769" s="23" t="s">
        <v>257</v>
      </c>
      <c r="K769" s="23" t="s">
        <v>26</v>
      </c>
      <c r="M769" s="23" t="s">
        <v>648</v>
      </c>
      <c r="N769" s="23">
        <v>1</v>
      </c>
      <c r="O769" s="129"/>
      <c r="P769" s="130"/>
      <c r="Q769" s="131"/>
      <c r="R769" s="29"/>
      <c r="S769" s="121"/>
      <c r="T769" s="122"/>
      <c r="U769" s="129"/>
      <c r="V769" s="132"/>
      <c r="W769" s="133"/>
      <c r="X769" s="134"/>
      <c r="Y769" s="29"/>
      <c r="Z769" s="122"/>
      <c r="AA769" s="135"/>
      <c r="AB769" s="127"/>
      <c r="AD769" s="23" t="s">
        <v>276</v>
      </c>
      <c r="AE769" s="23"/>
      <c r="AF769" s="23" t="s">
        <v>3064</v>
      </c>
      <c r="AO769" s="24"/>
      <c r="AP769" s="23"/>
      <c r="AQ769" s="129"/>
      <c r="AR769" s="130"/>
      <c r="AS769" s="131"/>
      <c r="AT769" s="29"/>
      <c r="AU769" s="122"/>
      <c r="AV769" s="129"/>
      <c r="AW769" s="136"/>
      <c r="AX769" s="137"/>
      <c r="AY769" s="134"/>
      <c r="AZ769" s="29"/>
      <c r="BA769" s="122"/>
      <c r="BB769" s="135"/>
      <c r="BE769" s="24"/>
      <c r="BF769" s="23"/>
    </row>
    <row r="770" spans="1:58" ht="15" customHeight="1">
      <c r="A770" s="28" t="s">
        <v>2940</v>
      </c>
      <c r="B770" s="23" t="s">
        <v>3065</v>
      </c>
      <c r="C770" s="23" t="s">
        <v>2361</v>
      </c>
      <c r="D770" s="23">
        <v>143</v>
      </c>
      <c r="E770" s="23">
        <v>1</v>
      </c>
      <c r="F770" s="23" t="s">
        <v>2941</v>
      </c>
      <c r="G770" s="23" t="s">
        <v>3066</v>
      </c>
      <c r="H770" s="23" t="s">
        <v>3067</v>
      </c>
      <c r="J770" s="23" t="s">
        <v>257</v>
      </c>
      <c r="K770" s="23" t="s">
        <v>26</v>
      </c>
      <c r="N770" s="23">
        <v>2</v>
      </c>
      <c r="O770" s="129">
        <v>1</v>
      </c>
      <c r="P770" s="130"/>
      <c r="Q770" s="131">
        <v>1</v>
      </c>
      <c r="R770" s="29">
        <v>1</v>
      </c>
      <c r="S770" s="121"/>
      <c r="T770" s="122">
        <v>1</v>
      </c>
      <c r="U770" s="129"/>
      <c r="V770" s="132"/>
      <c r="W770" s="133"/>
      <c r="X770" s="134"/>
      <c r="Y770" s="29"/>
      <c r="Z770" s="122"/>
      <c r="AA770" s="135"/>
      <c r="AB770" s="127" t="s">
        <v>1389</v>
      </c>
      <c r="AC770" s="23" t="s">
        <v>393</v>
      </c>
      <c r="AD770" s="23" t="s">
        <v>2325</v>
      </c>
      <c r="AE770" s="23"/>
      <c r="AF770" s="23" t="s">
        <v>3068</v>
      </c>
      <c r="AO770" s="24"/>
      <c r="AP770" s="23"/>
      <c r="AQ770" s="129"/>
      <c r="AR770" s="130"/>
      <c r="AS770" s="131"/>
      <c r="AT770" s="29"/>
      <c r="AU770" s="122"/>
      <c r="AV770" s="129"/>
      <c r="AW770" s="136"/>
      <c r="AX770" s="137"/>
      <c r="AY770" s="134"/>
      <c r="AZ770" s="29"/>
      <c r="BA770" s="122"/>
      <c r="BB770" s="135"/>
      <c r="BE770" s="24"/>
      <c r="BF770" s="23"/>
    </row>
    <row r="771" spans="1:58" ht="15" customHeight="1">
      <c r="A771" s="28" t="s">
        <v>2940</v>
      </c>
      <c r="B771" s="23" t="s">
        <v>3069</v>
      </c>
      <c r="C771" s="23" t="s">
        <v>2361</v>
      </c>
      <c r="D771" s="23">
        <v>144</v>
      </c>
      <c r="E771" s="23">
        <v>3</v>
      </c>
      <c r="F771" s="23" t="s">
        <v>2941</v>
      </c>
      <c r="G771" s="23" t="s">
        <v>3070</v>
      </c>
      <c r="J771" s="23" t="s">
        <v>29</v>
      </c>
      <c r="N771" s="23"/>
      <c r="O771" s="129"/>
      <c r="P771" s="130"/>
      <c r="Q771" s="131">
        <v>2</v>
      </c>
      <c r="R771" s="29">
        <v>2</v>
      </c>
      <c r="S771" s="121"/>
      <c r="T771" s="122">
        <v>3</v>
      </c>
      <c r="U771" s="129"/>
      <c r="V771" s="132"/>
      <c r="W771" s="133">
        <v>1</v>
      </c>
      <c r="X771" s="134"/>
      <c r="Y771" s="29"/>
      <c r="Z771" s="122"/>
      <c r="AA771" s="135"/>
      <c r="AB771" s="127"/>
      <c r="AD771" s="23" t="s">
        <v>467</v>
      </c>
      <c r="AE771" s="23"/>
      <c r="AF771" s="23" t="s">
        <v>3071</v>
      </c>
      <c r="AO771" s="24"/>
      <c r="AP771" s="23"/>
      <c r="AQ771" s="129"/>
      <c r="AR771" s="130"/>
      <c r="AS771" s="131"/>
      <c r="AT771" s="29"/>
      <c r="AU771" s="122"/>
      <c r="AV771" s="129"/>
      <c r="AW771" s="136"/>
      <c r="AX771" s="137"/>
      <c r="AY771" s="134"/>
      <c r="AZ771" s="29"/>
      <c r="BA771" s="122"/>
      <c r="BB771" s="135"/>
      <c r="BE771" s="24"/>
      <c r="BF771" s="23"/>
    </row>
    <row r="772" spans="1:58" ht="15" customHeight="1">
      <c r="A772" s="28" t="s">
        <v>2940</v>
      </c>
      <c r="B772" s="23" t="s">
        <v>3072</v>
      </c>
      <c r="C772" s="23" t="s">
        <v>2361</v>
      </c>
      <c r="D772" s="23">
        <v>145</v>
      </c>
      <c r="E772" s="23">
        <v>3</v>
      </c>
      <c r="F772" s="23" t="s">
        <v>2941</v>
      </c>
      <c r="G772" s="23" t="s">
        <v>3073</v>
      </c>
      <c r="J772" s="23" t="s">
        <v>28</v>
      </c>
      <c r="N772" s="23"/>
      <c r="O772" s="129"/>
      <c r="P772" s="130"/>
      <c r="Q772" s="131"/>
      <c r="R772" s="29"/>
      <c r="S772" s="121"/>
      <c r="T772" s="122"/>
      <c r="U772" s="129"/>
      <c r="V772" s="132"/>
      <c r="W772" s="133"/>
      <c r="X772" s="134"/>
      <c r="Y772" s="29"/>
      <c r="Z772" s="122"/>
      <c r="AA772" s="135"/>
      <c r="AB772" s="127"/>
      <c r="AD772" s="23" t="s">
        <v>1196</v>
      </c>
      <c r="AE772" s="23"/>
      <c r="AF772" s="23" t="s">
        <v>3074</v>
      </c>
      <c r="AO772" s="24"/>
      <c r="AP772" s="23"/>
      <c r="AQ772" s="129"/>
      <c r="AR772" s="130"/>
      <c r="AS772" s="131"/>
      <c r="AT772" s="29"/>
      <c r="AU772" s="122"/>
      <c r="AV772" s="129"/>
      <c r="AW772" s="136"/>
      <c r="AX772" s="137"/>
      <c r="AY772" s="134"/>
      <c r="AZ772" s="29"/>
      <c r="BA772" s="122"/>
      <c r="BB772" s="135"/>
      <c r="BE772" s="24"/>
      <c r="BF772" s="23"/>
    </row>
    <row r="773" spans="1:58" ht="15" customHeight="1">
      <c r="A773" s="28" t="s">
        <v>2940</v>
      </c>
      <c r="B773" s="23" t="s">
        <v>3075</v>
      </c>
      <c r="C773" s="23" t="s">
        <v>2361</v>
      </c>
      <c r="D773" s="23">
        <v>146</v>
      </c>
      <c r="E773" s="23">
        <v>2</v>
      </c>
      <c r="F773" s="23" t="s">
        <v>2941</v>
      </c>
      <c r="G773" s="23" t="s">
        <v>3076</v>
      </c>
      <c r="J773" s="23" t="s">
        <v>28</v>
      </c>
      <c r="N773" s="23"/>
      <c r="O773" s="129"/>
      <c r="P773" s="130"/>
      <c r="Q773" s="131"/>
      <c r="R773" s="29"/>
      <c r="S773" s="121"/>
      <c r="T773" s="122"/>
      <c r="U773" s="129"/>
      <c r="V773" s="132"/>
      <c r="W773" s="133"/>
      <c r="X773" s="134"/>
      <c r="Y773" s="29"/>
      <c r="Z773" s="122"/>
      <c r="AA773" s="135"/>
      <c r="AB773" s="127"/>
      <c r="AD773" s="23" t="s">
        <v>1196</v>
      </c>
      <c r="AE773" s="23"/>
      <c r="AF773" s="23" t="s">
        <v>3077</v>
      </c>
      <c r="AO773" s="24"/>
      <c r="AP773" s="23"/>
      <c r="AQ773" s="129"/>
      <c r="AR773" s="130"/>
      <c r="AS773" s="131"/>
      <c r="AT773" s="29"/>
      <c r="AU773" s="122"/>
      <c r="AV773" s="129"/>
      <c r="AW773" s="136"/>
      <c r="AX773" s="137"/>
      <c r="AY773" s="134"/>
      <c r="AZ773" s="29"/>
      <c r="BA773" s="122"/>
      <c r="BB773" s="135"/>
      <c r="BE773" s="24"/>
      <c r="BF773" s="23"/>
    </row>
    <row r="774" spans="1:58" ht="15" customHeight="1">
      <c r="A774" s="23" t="s">
        <v>3197</v>
      </c>
      <c r="B774" s="23" t="s">
        <v>3198</v>
      </c>
      <c r="C774" s="23" t="s">
        <v>3334</v>
      </c>
      <c r="D774" s="24">
        <v>147</v>
      </c>
      <c r="E774" s="23">
        <v>2</v>
      </c>
      <c r="G774" s="23" t="s">
        <v>3090</v>
      </c>
      <c r="J774" s="23" t="s">
        <v>257</v>
      </c>
      <c r="K774" s="23" t="s">
        <v>198</v>
      </c>
      <c r="L774" s="23">
        <v>0</v>
      </c>
      <c r="N774" s="62">
        <v>1</v>
      </c>
      <c r="Q774" s="65">
        <v>1</v>
      </c>
      <c r="AB774" s="23" t="s">
        <v>206</v>
      </c>
      <c r="AC774" s="23" t="s">
        <v>258</v>
      </c>
      <c r="AD774" s="23" t="s">
        <v>298</v>
      </c>
      <c r="AF774" s="23" t="s">
        <v>3091</v>
      </c>
      <c r="AP774" s="73"/>
      <c r="AQ774" s="75"/>
      <c r="AR774" s="76"/>
      <c r="AS774" s="77"/>
      <c r="AV774" s="75"/>
      <c r="AW774" s="83"/>
      <c r="AX774" s="84"/>
      <c r="AY774" s="80"/>
      <c r="BB774" s="81"/>
    </row>
    <row r="775" spans="1:58" ht="15" customHeight="1">
      <c r="A775" s="23" t="s">
        <v>3197</v>
      </c>
      <c r="B775" s="23" t="s">
        <v>3199</v>
      </c>
      <c r="C775" s="23" t="s">
        <v>3334</v>
      </c>
      <c r="D775" s="24">
        <v>148</v>
      </c>
      <c r="E775" s="23">
        <v>2</v>
      </c>
      <c r="G775" s="23" t="s">
        <v>3092</v>
      </c>
      <c r="J775" s="23" t="s">
        <v>27</v>
      </c>
      <c r="K775" s="23" t="s">
        <v>198</v>
      </c>
      <c r="L775" s="23">
        <v>1</v>
      </c>
      <c r="N775" s="62">
        <v>2</v>
      </c>
      <c r="P775" s="64">
        <v>1</v>
      </c>
      <c r="Q775" s="65">
        <v>1</v>
      </c>
      <c r="AB775" s="23" t="s">
        <v>1091</v>
      </c>
      <c r="AD775" s="23" t="s">
        <v>307</v>
      </c>
      <c r="AF775" s="23" t="s">
        <v>3093</v>
      </c>
      <c r="AP775" s="73"/>
      <c r="AQ775" s="75"/>
      <c r="AR775" s="76"/>
      <c r="AS775" s="77"/>
      <c r="AV775" s="75"/>
      <c r="AW775" s="83"/>
      <c r="AX775" s="84"/>
      <c r="AY775" s="80"/>
      <c r="BB775" s="81"/>
    </row>
    <row r="776" spans="1:58" ht="15" customHeight="1">
      <c r="A776" s="23" t="s">
        <v>3197</v>
      </c>
      <c r="B776" s="23" t="s">
        <v>3200</v>
      </c>
      <c r="C776" s="23" t="s">
        <v>3334</v>
      </c>
      <c r="D776" s="24">
        <v>149</v>
      </c>
      <c r="E776" s="23">
        <v>2</v>
      </c>
      <c r="G776" s="23" t="s">
        <v>3094</v>
      </c>
      <c r="H776" s="23" t="s">
        <v>3095</v>
      </c>
      <c r="I776" s="23" t="s">
        <v>223</v>
      </c>
      <c r="J776" s="23" t="s">
        <v>257</v>
      </c>
      <c r="K776" s="23" t="s">
        <v>199</v>
      </c>
      <c r="L776" s="23">
        <v>0</v>
      </c>
      <c r="N776" s="62">
        <v>2</v>
      </c>
      <c r="P776" s="64">
        <v>1</v>
      </c>
      <c r="T776" s="68">
        <v>1</v>
      </c>
      <c r="U776" s="63">
        <v>2</v>
      </c>
      <c r="AB776" s="23" t="s">
        <v>205</v>
      </c>
      <c r="AC776" s="23" t="s">
        <v>25</v>
      </c>
      <c r="AD776" s="23" t="s">
        <v>2966</v>
      </c>
      <c r="AF776" s="23" t="s">
        <v>3096</v>
      </c>
      <c r="AP776" s="73"/>
      <c r="AQ776" s="75"/>
      <c r="AR776" s="76"/>
      <c r="AS776" s="77"/>
      <c r="AV776" s="75"/>
      <c r="AW776" s="83"/>
      <c r="AX776" s="84"/>
      <c r="AY776" s="80"/>
      <c r="BB776" s="81"/>
    </row>
    <row r="777" spans="1:58" ht="15" customHeight="1">
      <c r="A777" s="23" t="s">
        <v>3197</v>
      </c>
      <c r="B777" s="23" t="s">
        <v>3201</v>
      </c>
      <c r="C777" s="23" t="s">
        <v>3334</v>
      </c>
      <c r="D777" s="24">
        <v>150</v>
      </c>
      <c r="E777" s="23">
        <v>2</v>
      </c>
      <c r="G777" s="23" t="s">
        <v>3097</v>
      </c>
      <c r="J777" s="23" t="s">
        <v>27</v>
      </c>
      <c r="K777" s="23" t="s">
        <v>199</v>
      </c>
      <c r="L777" s="23">
        <v>1</v>
      </c>
      <c r="N777" s="62">
        <v>0</v>
      </c>
      <c r="O777" s="63">
        <v>1</v>
      </c>
      <c r="AB777" s="23" t="s">
        <v>204</v>
      </c>
      <c r="AD777" s="23" t="s">
        <v>340</v>
      </c>
      <c r="AF777" s="23" t="s">
        <v>3098</v>
      </c>
      <c r="AP777" s="73"/>
      <c r="AQ777" s="75"/>
      <c r="AR777" s="76"/>
      <c r="AS777" s="77"/>
      <c r="AV777" s="75"/>
      <c r="AW777" s="83"/>
      <c r="AX777" s="84"/>
      <c r="AY777" s="80"/>
      <c r="BB777" s="81"/>
    </row>
    <row r="778" spans="1:58" ht="15" customHeight="1">
      <c r="A778" s="23" t="s">
        <v>3197</v>
      </c>
      <c r="B778" s="23" t="s">
        <v>3202</v>
      </c>
      <c r="C778" s="23" t="s">
        <v>3334</v>
      </c>
      <c r="D778" s="24">
        <v>151</v>
      </c>
      <c r="E778" s="23">
        <v>2</v>
      </c>
      <c r="G778" s="23" t="s">
        <v>3099</v>
      </c>
      <c r="H778" s="23" t="s">
        <v>3100</v>
      </c>
      <c r="I778" s="23" t="s">
        <v>223</v>
      </c>
      <c r="J778" s="23" t="s">
        <v>257</v>
      </c>
      <c r="K778" s="23" t="s">
        <v>201</v>
      </c>
      <c r="L778" s="23">
        <v>0</v>
      </c>
      <c r="N778" s="62">
        <v>4</v>
      </c>
      <c r="P778" s="64">
        <v>1</v>
      </c>
      <c r="T778" s="68">
        <v>2</v>
      </c>
      <c r="U778" s="63">
        <v>2</v>
      </c>
      <c r="AB778" s="23" t="s">
        <v>205</v>
      </c>
      <c r="AC778" s="23" t="s">
        <v>25</v>
      </c>
      <c r="AD778" s="23" t="s">
        <v>2966</v>
      </c>
      <c r="AF778" s="23" t="s">
        <v>3101</v>
      </c>
      <c r="AP778" s="73"/>
      <c r="AQ778" s="75"/>
      <c r="AR778" s="76"/>
      <c r="AS778" s="77"/>
      <c r="AV778" s="75"/>
      <c r="AW778" s="83"/>
      <c r="AX778" s="84"/>
      <c r="AY778" s="80"/>
      <c r="BB778" s="81"/>
    </row>
    <row r="779" spans="1:58" ht="15" customHeight="1">
      <c r="A779" s="23" t="s">
        <v>3197</v>
      </c>
      <c r="B779" s="23" t="s">
        <v>3203</v>
      </c>
      <c r="C779" s="23" t="s">
        <v>3334</v>
      </c>
      <c r="D779" s="24">
        <v>152</v>
      </c>
      <c r="E779" s="23">
        <v>2</v>
      </c>
      <c r="G779" s="23" t="s">
        <v>369</v>
      </c>
      <c r="J779" s="23" t="s">
        <v>27</v>
      </c>
      <c r="K779" s="23" t="s">
        <v>201</v>
      </c>
      <c r="L779" s="23">
        <v>2</v>
      </c>
      <c r="N779" s="62">
        <v>2</v>
      </c>
      <c r="P779" s="64">
        <v>1</v>
      </c>
      <c r="Q779" s="65">
        <v>2</v>
      </c>
      <c r="AB779" s="23" t="s">
        <v>2185</v>
      </c>
      <c r="AD779" s="23" t="s">
        <v>307</v>
      </c>
      <c r="AF779" s="23" t="s">
        <v>3102</v>
      </c>
      <c r="AP779" s="73"/>
      <c r="AQ779" s="75"/>
      <c r="AR779" s="76"/>
      <c r="AS779" s="77"/>
      <c r="AV779" s="75"/>
      <c r="AW779" s="83"/>
      <c r="AX779" s="84"/>
      <c r="AY779" s="80"/>
      <c r="BB779" s="81"/>
    </row>
    <row r="780" spans="1:58" ht="15" customHeight="1">
      <c r="A780" s="23" t="s">
        <v>3197</v>
      </c>
      <c r="B780" s="23" t="s">
        <v>3204</v>
      </c>
      <c r="C780" s="23" t="s">
        <v>3334</v>
      </c>
      <c r="D780" s="24">
        <v>153</v>
      </c>
      <c r="E780" s="23">
        <v>2</v>
      </c>
      <c r="G780" s="23" t="s">
        <v>3103</v>
      </c>
      <c r="J780" s="23" t="s">
        <v>27</v>
      </c>
      <c r="K780" s="23" t="s">
        <v>200</v>
      </c>
      <c r="L780" s="23">
        <v>0</v>
      </c>
      <c r="N780" s="62">
        <v>3</v>
      </c>
      <c r="O780" s="63">
        <v>1</v>
      </c>
      <c r="Q780" s="65">
        <v>1</v>
      </c>
      <c r="AB780" s="23" t="s">
        <v>2179</v>
      </c>
      <c r="AD780" s="23" t="s">
        <v>279</v>
      </c>
      <c r="AF780" s="23" t="s">
        <v>3104</v>
      </c>
      <c r="AP780" s="73"/>
      <c r="AQ780" s="75"/>
      <c r="AR780" s="76"/>
      <c r="AS780" s="77"/>
      <c r="AV780" s="75"/>
      <c r="AW780" s="83"/>
      <c r="AX780" s="84"/>
      <c r="AY780" s="80"/>
      <c r="BB780" s="81"/>
    </row>
    <row r="781" spans="1:58" ht="15" customHeight="1">
      <c r="A781" s="23" t="s">
        <v>3197</v>
      </c>
      <c r="B781" s="23" t="s">
        <v>3205</v>
      </c>
      <c r="C781" s="23" t="s">
        <v>3334</v>
      </c>
      <c r="D781" s="24">
        <v>154</v>
      </c>
      <c r="E781" s="23">
        <v>2</v>
      </c>
      <c r="G781" s="23" t="s">
        <v>684</v>
      </c>
      <c r="J781" s="23" t="s">
        <v>257</v>
      </c>
      <c r="K781" s="23" t="s">
        <v>200</v>
      </c>
      <c r="L781" s="23">
        <v>1</v>
      </c>
      <c r="N781" s="62">
        <v>3</v>
      </c>
      <c r="P781" s="64">
        <v>1</v>
      </c>
      <c r="AB781" s="23" t="s">
        <v>205</v>
      </c>
      <c r="AC781" s="23" t="s">
        <v>258</v>
      </c>
      <c r="AD781" s="23" t="s">
        <v>269</v>
      </c>
      <c r="AF781" s="23" t="s">
        <v>3105</v>
      </c>
      <c r="AP781" s="73"/>
      <c r="AQ781" s="75"/>
      <c r="AR781" s="76"/>
      <c r="AS781" s="77"/>
      <c r="AV781" s="75"/>
      <c r="AW781" s="83"/>
      <c r="AX781" s="84"/>
      <c r="AY781" s="80"/>
      <c r="BB781" s="81"/>
    </row>
    <row r="782" spans="1:58" ht="15" customHeight="1">
      <c r="A782" s="23" t="s">
        <v>3197</v>
      </c>
      <c r="B782" s="23" t="s">
        <v>3206</v>
      </c>
      <c r="C782" s="23" t="s">
        <v>3334</v>
      </c>
      <c r="D782" s="24">
        <v>155</v>
      </c>
      <c r="E782" s="23">
        <v>2</v>
      </c>
      <c r="G782" s="23" t="s">
        <v>3106</v>
      </c>
      <c r="J782" s="23" t="s">
        <v>27</v>
      </c>
      <c r="K782" s="23" t="s">
        <v>202</v>
      </c>
      <c r="L782" s="23">
        <v>0</v>
      </c>
      <c r="N782" s="62">
        <v>1</v>
      </c>
      <c r="AD782" s="23" t="s">
        <v>1805</v>
      </c>
      <c r="AF782" s="23" t="s">
        <v>3107</v>
      </c>
      <c r="AP782" s="73"/>
      <c r="AQ782" s="75"/>
      <c r="AR782" s="76"/>
      <c r="AS782" s="77"/>
      <c r="AV782" s="75"/>
      <c r="AW782" s="83"/>
      <c r="AX782" s="84"/>
      <c r="AY782" s="80"/>
      <c r="BB782" s="81"/>
    </row>
    <row r="783" spans="1:58" ht="15" customHeight="1">
      <c r="A783" s="23" t="s">
        <v>3197</v>
      </c>
      <c r="B783" s="23" t="s">
        <v>3207</v>
      </c>
      <c r="C783" s="23" t="s">
        <v>3334</v>
      </c>
      <c r="D783" s="24">
        <v>156</v>
      </c>
      <c r="E783" s="23">
        <v>2</v>
      </c>
      <c r="G783" s="23" t="s">
        <v>3108</v>
      </c>
      <c r="J783" s="23" t="s">
        <v>27</v>
      </c>
      <c r="K783" s="23" t="s">
        <v>202</v>
      </c>
      <c r="L783" s="23">
        <v>1</v>
      </c>
      <c r="N783" s="62">
        <v>1</v>
      </c>
      <c r="O783" s="63">
        <v>1</v>
      </c>
      <c r="AB783" s="23" t="s">
        <v>204</v>
      </c>
      <c r="AD783" s="23" t="s">
        <v>1805</v>
      </c>
      <c r="AF783" s="23" t="s">
        <v>3109</v>
      </c>
      <c r="AP783" s="73"/>
      <c r="AQ783" s="75"/>
      <c r="AR783" s="76"/>
      <c r="AS783" s="77"/>
      <c r="AV783" s="75"/>
      <c r="AW783" s="83"/>
      <c r="AX783" s="84"/>
      <c r="AY783" s="80"/>
      <c r="BB783" s="81"/>
    </row>
    <row r="784" spans="1:58" ht="15" customHeight="1">
      <c r="A784" s="23" t="s">
        <v>3197</v>
      </c>
      <c r="B784" s="23" t="s">
        <v>3208</v>
      </c>
      <c r="C784" s="23" t="s">
        <v>3334</v>
      </c>
      <c r="D784" s="24">
        <v>157</v>
      </c>
      <c r="E784" s="23">
        <v>2</v>
      </c>
      <c r="G784" s="23" t="s">
        <v>3110</v>
      </c>
      <c r="J784" s="23" t="s">
        <v>27</v>
      </c>
      <c r="K784" s="23" t="s">
        <v>202</v>
      </c>
      <c r="L784" s="23">
        <v>1</v>
      </c>
      <c r="N784" s="62">
        <v>1</v>
      </c>
      <c r="R784" s="66">
        <v>1</v>
      </c>
      <c r="AB784" s="23" t="s">
        <v>207</v>
      </c>
      <c r="AD784" s="23" t="s">
        <v>372</v>
      </c>
      <c r="AF784" s="23" t="s">
        <v>3111</v>
      </c>
      <c r="AP784" s="73"/>
      <c r="AQ784" s="75"/>
      <c r="AR784" s="76"/>
      <c r="AS784" s="77"/>
      <c r="AV784" s="75"/>
      <c r="AW784" s="83"/>
      <c r="AX784" s="84"/>
      <c r="AY784" s="80"/>
      <c r="BB784" s="81"/>
    </row>
    <row r="785" spans="1:59" ht="15" customHeight="1">
      <c r="A785" s="23" t="s">
        <v>3197</v>
      </c>
      <c r="B785" s="23" t="s">
        <v>3209</v>
      </c>
      <c r="C785" s="23" t="s">
        <v>3334</v>
      </c>
      <c r="D785" s="24">
        <v>158</v>
      </c>
      <c r="E785" s="23">
        <v>2</v>
      </c>
      <c r="G785" s="23" t="s">
        <v>3112</v>
      </c>
      <c r="J785" s="23" t="s">
        <v>27</v>
      </c>
      <c r="K785" s="23" t="s">
        <v>26</v>
      </c>
      <c r="L785" s="23">
        <v>0</v>
      </c>
      <c r="N785" s="62">
        <v>1</v>
      </c>
      <c r="P785" s="64">
        <v>1</v>
      </c>
      <c r="R785" s="66">
        <v>1</v>
      </c>
      <c r="AB785" s="23" t="s">
        <v>2315</v>
      </c>
      <c r="AD785" s="23" t="s">
        <v>3113</v>
      </c>
      <c r="AF785" s="23" t="s">
        <v>3114</v>
      </c>
      <c r="AP785" s="73"/>
      <c r="AQ785" s="75"/>
      <c r="AR785" s="76"/>
      <c r="AS785" s="77"/>
      <c r="AV785" s="75"/>
      <c r="AW785" s="83"/>
      <c r="AX785" s="84"/>
      <c r="AY785" s="80"/>
      <c r="BB785" s="81"/>
    </row>
    <row r="786" spans="1:59" ht="15" customHeight="1">
      <c r="A786" s="23" t="s">
        <v>3197</v>
      </c>
      <c r="B786" s="23" t="s">
        <v>3210</v>
      </c>
      <c r="C786" s="23" t="s">
        <v>3334</v>
      </c>
      <c r="D786" s="24">
        <v>159</v>
      </c>
      <c r="E786" s="23">
        <v>1</v>
      </c>
      <c r="F786" s="23" t="s">
        <v>3115</v>
      </c>
      <c r="G786" s="23" t="s">
        <v>3115</v>
      </c>
      <c r="J786" s="23" t="s">
        <v>618</v>
      </c>
      <c r="AF786" s="23" t="s">
        <v>3116</v>
      </c>
      <c r="AI786" s="23" t="s">
        <v>3115</v>
      </c>
      <c r="AL786" s="23" t="s">
        <v>618</v>
      </c>
      <c r="AP786" s="73"/>
      <c r="AQ786" s="75"/>
      <c r="AR786" s="76"/>
      <c r="AS786" s="77"/>
      <c r="AV786" s="75"/>
      <c r="AW786" s="83"/>
      <c r="AX786" s="84"/>
      <c r="AY786" s="80"/>
      <c r="BB786" s="81"/>
      <c r="BG786" s="23" t="s">
        <v>3117</v>
      </c>
    </row>
    <row r="787" spans="1:59" ht="15" customHeight="1">
      <c r="A787" s="23" t="s">
        <v>3197</v>
      </c>
      <c r="B787" s="23" t="s">
        <v>3211</v>
      </c>
      <c r="C787" s="23" t="s">
        <v>3334</v>
      </c>
      <c r="D787" s="24">
        <v>160</v>
      </c>
      <c r="E787" s="23">
        <v>1</v>
      </c>
      <c r="F787" s="23" t="s">
        <v>3115</v>
      </c>
      <c r="G787" s="23" t="s">
        <v>3118</v>
      </c>
      <c r="J787" s="23" t="s">
        <v>619</v>
      </c>
      <c r="L787" s="23">
        <v>1</v>
      </c>
      <c r="Z787" s="68">
        <v>2</v>
      </c>
      <c r="AI787" s="23" t="s">
        <v>3119</v>
      </c>
      <c r="AL787" s="23" t="s">
        <v>619</v>
      </c>
      <c r="AN787" s="23">
        <v>1</v>
      </c>
      <c r="AP787" s="73"/>
      <c r="AQ787" s="75"/>
      <c r="AR787" s="76"/>
      <c r="AS787" s="77"/>
      <c r="AV787" s="75"/>
      <c r="AW787" s="83"/>
      <c r="AX787" s="84"/>
      <c r="AY787" s="80"/>
      <c r="BB787" s="81"/>
      <c r="BG787" s="23" t="s">
        <v>3120</v>
      </c>
    </row>
    <row r="788" spans="1:59" ht="15" customHeight="1">
      <c r="A788" s="23" t="s">
        <v>3197</v>
      </c>
      <c r="B788" s="23" t="s">
        <v>3212</v>
      </c>
      <c r="C788" s="23" t="s">
        <v>3334</v>
      </c>
      <c r="D788" s="24">
        <v>161</v>
      </c>
      <c r="E788" s="23">
        <v>1</v>
      </c>
      <c r="F788" s="23" t="s">
        <v>3115</v>
      </c>
      <c r="G788" s="23" t="s">
        <v>3121</v>
      </c>
      <c r="J788" s="23" t="s">
        <v>619</v>
      </c>
      <c r="L788" s="23">
        <v>2</v>
      </c>
      <c r="Z788" s="68">
        <v>7</v>
      </c>
      <c r="AI788" s="23" t="s">
        <v>840</v>
      </c>
      <c r="AL788" s="23" t="s">
        <v>619</v>
      </c>
      <c r="AN788" s="23">
        <v>2</v>
      </c>
      <c r="AP788" s="73"/>
      <c r="AQ788" s="75"/>
      <c r="AR788" s="76"/>
      <c r="AS788" s="77"/>
      <c r="AV788" s="75"/>
      <c r="AW788" s="83"/>
      <c r="AX788" s="84"/>
      <c r="AY788" s="80"/>
      <c r="BB788" s="81"/>
      <c r="BG788" s="23" t="s">
        <v>3122</v>
      </c>
    </row>
    <row r="789" spans="1:59" ht="15" customHeight="1">
      <c r="A789" s="23" t="s">
        <v>3197</v>
      </c>
      <c r="B789" s="23" t="s">
        <v>3213</v>
      </c>
      <c r="C789" s="23" t="s">
        <v>3334</v>
      </c>
      <c r="D789" s="24">
        <v>162</v>
      </c>
      <c r="E789" s="23">
        <v>1</v>
      </c>
      <c r="F789" s="23" t="s">
        <v>3115</v>
      </c>
      <c r="G789" s="23" t="s">
        <v>3123</v>
      </c>
      <c r="J789" s="23" t="s">
        <v>619</v>
      </c>
      <c r="L789" s="23">
        <v>3</v>
      </c>
      <c r="Z789" s="68">
        <v>8</v>
      </c>
      <c r="AF789" s="23" t="s">
        <v>3124</v>
      </c>
      <c r="AI789" s="23" t="s">
        <v>3125</v>
      </c>
      <c r="AL789" s="23" t="s">
        <v>619</v>
      </c>
      <c r="AN789" s="23">
        <v>3</v>
      </c>
      <c r="AP789" s="73"/>
      <c r="AQ789" s="75"/>
      <c r="AR789" s="76"/>
      <c r="AS789" s="77"/>
      <c r="AV789" s="75"/>
      <c r="AW789" s="83"/>
      <c r="AX789" s="84"/>
      <c r="AY789" s="80"/>
      <c r="BB789" s="81"/>
      <c r="BG789" s="23" t="s">
        <v>3126</v>
      </c>
    </row>
    <row r="790" spans="1:59" ht="15" customHeight="1">
      <c r="A790" s="23" t="s">
        <v>3197</v>
      </c>
      <c r="B790" s="23" t="s">
        <v>3214</v>
      </c>
      <c r="C790" s="23" t="s">
        <v>3334</v>
      </c>
      <c r="D790" s="24">
        <v>163</v>
      </c>
      <c r="E790" s="23">
        <v>1</v>
      </c>
      <c r="F790" s="23" t="s">
        <v>3115</v>
      </c>
      <c r="G790" s="23" t="s">
        <v>752</v>
      </c>
      <c r="J790" s="23" t="s">
        <v>621</v>
      </c>
      <c r="L790" s="23">
        <v>1</v>
      </c>
      <c r="Y790" s="66" t="s">
        <v>1696</v>
      </c>
      <c r="AI790" s="23" t="s">
        <v>3127</v>
      </c>
      <c r="AL790" s="23" t="s">
        <v>621</v>
      </c>
      <c r="AN790" s="23">
        <v>1</v>
      </c>
      <c r="AP790" s="73"/>
      <c r="AQ790" s="75"/>
      <c r="AR790" s="76"/>
      <c r="AS790" s="77"/>
      <c r="AV790" s="75"/>
      <c r="AW790" s="83"/>
      <c r="AX790" s="84"/>
      <c r="AY790" s="80"/>
      <c r="BB790" s="81"/>
      <c r="BG790" s="23" t="s">
        <v>3128</v>
      </c>
    </row>
    <row r="791" spans="1:59" ht="15" customHeight="1">
      <c r="A791" s="23" t="s">
        <v>3197</v>
      </c>
      <c r="B791" s="23" t="s">
        <v>3215</v>
      </c>
      <c r="C791" s="23" t="s">
        <v>3334</v>
      </c>
      <c r="D791" s="24">
        <v>164</v>
      </c>
      <c r="E791" s="23">
        <v>1</v>
      </c>
      <c r="F791" s="23" t="s">
        <v>3115</v>
      </c>
      <c r="G791" s="23" t="s">
        <v>3129</v>
      </c>
      <c r="J791" s="23" t="s">
        <v>621</v>
      </c>
      <c r="L791" s="23">
        <v>2</v>
      </c>
      <c r="Y791" s="66" t="s">
        <v>38</v>
      </c>
      <c r="AF791" s="23" t="s">
        <v>3130</v>
      </c>
      <c r="AI791" s="23" t="s">
        <v>3131</v>
      </c>
      <c r="AL791" s="23" t="s">
        <v>621</v>
      </c>
      <c r="AN791" s="23">
        <v>2</v>
      </c>
      <c r="AP791" s="73"/>
      <c r="AQ791" s="75"/>
      <c r="AR791" s="76"/>
      <c r="AS791" s="77"/>
      <c r="AV791" s="75"/>
      <c r="AW791" s="83"/>
      <c r="AX791" s="84"/>
      <c r="AY791" s="80"/>
      <c r="BB791" s="81"/>
      <c r="BG791" s="23" t="s">
        <v>3132</v>
      </c>
    </row>
    <row r="792" spans="1:59" ht="15" customHeight="1">
      <c r="A792" s="23" t="s">
        <v>3197</v>
      </c>
      <c r="B792" s="23" t="s">
        <v>3216</v>
      </c>
      <c r="C792" s="23" t="s">
        <v>3334</v>
      </c>
      <c r="D792" s="24">
        <v>165</v>
      </c>
      <c r="E792" s="23">
        <v>1</v>
      </c>
      <c r="F792" s="23" t="s">
        <v>3115</v>
      </c>
      <c r="G792" s="23" t="s">
        <v>3133</v>
      </c>
      <c r="J792" s="23" t="s">
        <v>621</v>
      </c>
      <c r="L792" s="23">
        <v>2</v>
      </c>
      <c r="Y792" s="66" t="s">
        <v>38</v>
      </c>
      <c r="AF792" s="23" t="s">
        <v>3130</v>
      </c>
      <c r="AI792" s="23" t="s">
        <v>3134</v>
      </c>
      <c r="AL792" s="23" t="s">
        <v>621</v>
      </c>
      <c r="AN792" s="23">
        <v>2</v>
      </c>
      <c r="AP792" s="73"/>
      <c r="AQ792" s="75"/>
      <c r="AR792" s="76"/>
      <c r="AS792" s="77"/>
      <c r="AV792" s="75"/>
      <c r="AW792" s="83"/>
      <c r="AX792" s="84"/>
      <c r="AY792" s="80"/>
      <c r="BB792" s="81"/>
      <c r="BG792" s="23" t="s">
        <v>3135</v>
      </c>
    </row>
    <row r="793" spans="1:59" ht="15" customHeight="1">
      <c r="A793" s="23" t="s">
        <v>3197</v>
      </c>
      <c r="B793" s="23" t="s">
        <v>3217</v>
      </c>
      <c r="C793" s="23" t="s">
        <v>3334</v>
      </c>
      <c r="D793" s="24">
        <v>166</v>
      </c>
      <c r="E793" s="23">
        <v>1</v>
      </c>
      <c r="F793" s="23" t="s">
        <v>3115</v>
      </c>
      <c r="G793" s="23" t="s">
        <v>3136</v>
      </c>
      <c r="J793" s="23" t="s">
        <v>621</v>
      </c>
      <c r="L793" s="23">
        <v>3</v>
      </c>
      <c r="Y793" s="66" t="s">
        <v>38</v>
      </c>
      <c r="AF793" s="23" t="s">
        <v>3137</v>
      </c>
      <c r="AI793" s="23" t="s">
        <v>3138</v>
      </c>
      <c r="AL793" s="23" t="s">
        <v>621</v>
      </c>
      <c r="AN793" s="23">
        <v>3</v>
      </c>
      <c r="AP793" s="73"/>
      <c r="AQ793" s="75"/>
      <c r="AR793" s="76"/>
      <c r="AS793" s="77"/>
      <c r="AV793" s="75"/>
      <c r="AW793" s="83"/>
      <c r="AX793" s="84"/>
      <c r="AY793" s="80"/>
      <c r="BB793" s="81"/>
      <c r="BG793" s="23" t="s">
        <v>3139</v>
      </c>
    </row>
    <row r="794" spans="1:59" ht="15" customHeight="1">
      <c r="A794" s="23" t="s">
        <v>3197</v>
      </c>
      <c r="B794" s="23" t="s">
        <v>3218</v>
      </c>
      <c r="C794" s="23" t="s">
        <v>3334</v>
      </c>
      <c r="D794" s="24">
        <v>167</v>
      </c>
      <c r="E794" s="23">
        <v>1</v>
      </c>
      <c r="F794" s="23" t="s">
        <v>3115</v>
      </c>
      <c r="G794" s="23" t="s">
        <v>3140</v>
      </c>
      <c r="J794" s="23" t="s">
        <v>621</v>
      </c>
      <c r="L794" s="23">
        <v>4</v>
      </c>
      <c r="Y794" s="66" t="s">
        <v>38</v>
      </c>
      <c r="AF794" s="23" t="s">
        <v>3141</v>
      </c>
      <c r="AI794" s="23" t="s">
        <v>3142</v>
      </c>
      <c r="AL794" s="23" t="s">
        <v>621</v>
      </c>
      <c r="AN794" s="23">
        <v>4</v>
      </c>
      <c r="AP794" s="73"/>
      <c r="AQ794" s="75"/>
      <c r="AR794" s="76"/>
      <c r="AS794" s="77"/>
      <c r="AV794" s="75"/>
      <c r="AW794" s="83"/>
      <c r="AX794" s="84"/>
      <c r="AY794" s="80"/>
      <c r="BB794" s="81"/>
      <c r="BG794" s="23" t="s">
        <v>3143</v>
      </c>
    </row>
    <row r="795" spans="1:59" ht="15" customHeight="1">
      <c r="A795" s="23" t="s">
        <v>3197</v>
      </c>
      <c r="B795" s="23" t="s">
        <v>3219</v>
      </c>
      <c r="C795" s="23" t="s">
        <v>3334</v>
      </c>
      <c r="D795" s="24">
        <v>168</v>
      </c>
      <c r="E795" s="23">
        <v>1</v>
      </c>
      <c r="F795" s="23" t="s">
        <v>3115</v>
      </c>
      <c r="G795" s="23" t="s">
        <v>3144</v>
      </c>
      <c r="H795" s="23" t="s">
        <v>3145</v>
      </c>
      <c r="J795" s="23" t="s">
        <v>31</v>
      </c>
      <c r="AD795" s="23" t="s">
        <v>3146</v>
      </c>
      <c r="AI795" s="23" t="s">
        <v>3144</v>
      </c>
      <c r="AJ795" s="23" t="s">
        <v>3145</v>
      </c>
      <c r="AL795" s="23" t="s">
        <v>31</v>
      </c>
      <c r="AP795" s="73"/>
      <c r="AQ795" s="75"/>
      <c r="AR795" s="76"/>
      <c r="AS795" s="77"/>
      <c r="AV795" s="75"/>
      <c r="AW795" s="83"/>
      <c r="AX795" s="84"/>
      <c r="AY795" s="80">
        <v>2</v>
      </c>
      <c r="AZ795" s="66">
        <v>0</v>
      </c>
      <c r="BB795" s="81"/>
      <c r="BE795" s="23" t="s">
        <v>3146</v>
      </c>
      <c r="BG795" s="23" t="s">
        <v>3147</v>
      </c>
    </row>
    <row r="796" spans="1:59" ht="15" customHeight="1">
      <c r="A796" s="23" t="s">
        <v>3197</v>
      </c>
      <c r="B796" s="23" t="s">
        <v>3220</v>
      </c>
      <c r="C796" s="23" t="s">
        <v>3334</v>
      </c>
      <c r="D796" s="24">
        <v>169</v>
      </c>
      <c r="E796" s="23">
        <v>1</v>
      </c>
      <c r="F796" s="23" t="s">
        <v>3115</v>
      </c>
      <c r="G796" s="23" t="s">
        <v>3144</v>
      </c>
      <c r="H796" s="23" t="s">
        <v>3145</v>
      </c>
      <c r="J796" s="23" t="s">
        <v>31</v>
      </c>
      <c r="AD796" s="23" t="s">
        <v>3146</v>
      </c>
      <c r="AI796" s="23" t="s">
        <v>3144</v>
      </c>
      <c r="AJ796" s="23" t="s">
        <v>3145</v>
      </c>
      <c r="AL796" s="23" t="s">
        <v>31</v>
      </c>
      <c r="AP796" s="73"/>
      <c r="AQ796" s="75"/>
      <c r="AR796" s="76"/>
      <c r="AS796" s="77"/>
      <c r="AV796" s="75"/>
      <c r="AW796" s="83"/>
      <c r="AX796" s="84"/>
      <c r="AY796" s="80">
        <v>3</v>
      </c>
      <c r="AZ796" s="66" t="s">
        <v>1071</v>
      </c>
      <c r="BB796" s="81"/>
      <c r="BE796" s="23" t="s">
        <v>3146</v>
      </c>
      <c r="BG796" s="23" t="s">
        <v>3148</v>
      </c>
    </row>
    <row r="797" spans="1:59" ht="15" customHeight="1">
      <c r="A797" s="23" t="s">
        <v>3197</v>
      </c>
      <c r="B797" s="23" t="s">
        <v>3221</v>
      </c>
      <c r="C797" s="23" t="s">
        <v>3334</v>
      </c>
      <c r="D797" s="24">
        <v>170</v>
      </c>
      <c r="E797" s="23">
        <v>1</v>
      </c>
      <c r="F797" s="23" t="s">
        <v>3115</v>
      </c>
      <c r="G797" s="23" t="s">
        <v>3144</v>
      </c>
      <c r="H797" s="23" t="s">
        <v>3149</v>
      </c>
      <c r="J797" s="23" t="s">
        <v>31</v>
      </c>
      <c r="AD797" s="23" t="s">
        <v>3146</v>
      </c>
      <c r="AI797" s="23" t="s">
        <v>3144</v>
      </c>
      <c r="AJ797" s="23" t="s">
        <v>3149</v>
      </c>
      <c r="AL797" s="23" t="s">
        <v>31</v>
      </c>
      <c r="AP797" s="73"/>
      <c r="AQ797" s="75"/>
      <c r="AR797" s="76"/>
      <c r="AS797" s="77"/>
      <c r="AV797" s="75"/>
      <c r="AW797" s="83"/>
      <c r="AX797" s="84"/>
      <c r="AY797" s="80">
        <v>3</v>
      </c>
      <c r="AZ797" s="66">
        <v>0</v>
      </c>
      <c r="BB797" s="81"/>
      <c r="BE797" s="23" t="s">
        <v>3146</v>
      </c>
      <c r="BG797" s="23" t="s">
        <v>3150</v>
      </c>
    </row>
    <row r="798" spans="1:59" ht="15" customHeight="1">
      <c r="A798" s="23" t="s">
        <v>3197</v>
      </c>
      <c r="B798" s="23" t="s">
        <v>3222</v>
      </c>
      <c r="C798" s="23" t="s">
        <v>3334</v>
      </c>
      <c r="D798" s="24">
        <v>171</v>
      </c>
      <c r="E798" s="23">
        <v>1</v>
      </c>
      <c r="F798" s="23" t="s">
        <v>3115</v>
      </c>
      <c r="G798" s="23" t="s">
        <v>3144</v>
      </c>
      <c r="H798" s="23" t="s">
        <v>3149</v>
      </c>
      <c r="J798" s="23" t="s">
        <v>31</v>
      </c>
      <c r="AD798" s="23" t="s">
        <v>3146</v>
      </c>
      <c r="AI798" s="23" t="s">
        <v>3144</v>
      </c>
      <c r="AJ798" s="23" t="s">
        <v>3149</v>
      </c>
      <c r="AL798" s="23" t="s">
        <v>31</v>
      </c>
      <c r="AP798" s="73"/>
      <c r="AQ798" s="75"/>
      <c r="AR798" s="76"/>
      <c r="AS798" s="77"/>
      <c r="AV798" s="75"/>
      <c r="AW798" s="83"/>
      <c r="AX798" s="84"/>
      <c r="AY798" s="80">
        <v>2</v>
      </c>
      <c r="AZ798" s="66" t="s">
        <v>1071</v>
      </c>
      <c r="BB798" s="81"/>
      <c r="BE798" s="23" t="s">
        <v>3146</v>
      </c>
      <c r="BG798" s="23" t="s">
        <v>3151</v>
      </c>
    </row>
    <row r="799" spans="1:59" ht="15" customHeight="1">
      <c r="A799" s="23" t="s">
        <v>3197</v>
      </c>
      <c r="B799" s="23" t="s">
        <v>3223</v>
      </c>
      <c r="C799" s="23" t="s">
        <v>3334</v>
      </c>
      <c r="D799" s="24">
        <v>172</v>
      </c>
      <c r="E799" s="23">
        <v>1</v>
      </c>
      <c r="F799" s="23" t="s">
        <v>3115</v>
      </c>
      <c r="G799" s="23" t="s">
        <v>3152</v>
      </c>
      <c r="J799" s="23" t="s">
        <v>31</v>
      </c>
      <c r="AD799" s="23" t="s">
        <v>3146</v>
      </c>
      <c r="AF799" s="23" t="s">
        <v>3153</v>
      </c>
      <c r="AI799" s="23" t="s">
        <v>3152</v>
      </c>
      <c r="AL799" s="23" t="s">
        <v>31</v>
      </c>
      <c r="AP799" s="73"/>
      <c r="AQ799" s="75"/>
      <c r="AR799" s="76"/>
      <c r="AS799" s="77"/>
      <c r="AV799" s="75"/>
      <c r="AW799" s="83"/>
      <c r="AX799" s="84"/>
      <c r="AY799" s="80">
        <v>2</v>
      </c>
      <c r="AZ799" s="66" t="s">
        <v>1071</v>
      </c>
      <c r="BB799" s="81"/>
      <c r="BE799" s="23" t="s">
        <v>3146</v>
      </c>
      <c r="BG799" s="23" t="s">
        <v>3154</v>
      </c>
    </row>
    <row r="800" spans="1:59" ht="15" customHeight="1">
      <c r="A800" s="23" t="s">
        <v>3197</v>
      </c>
      <c r="B800" s="23" t="s">
        <v>3224</v>
      </c>
      <c r="C800" s="23" t="s">
        <v>3334</v>
      </c>
      <c r="D800" s="24">
        <v>173</v>
      </c>
      <c r="E800" s="23">
        <v>1</v>
      </c>
      <c r="F800" s="23" t="s">
        <v>3115</v>
      </c>
      <c r="G800" s="23" t="s">
        <v>3155</v>
      </c>
      <c r="J800" s="23" t="s">
        <v>31</v>
      </c>
      <c r="AD800" s="23" t="s">
        <v>3146</v>
      </c>
      <c r="AI800" s="23" t="s">
        <v>3155</v>
      </c>
      <c r="AL800" s="23" t="s">
        <v>31</v>
      </c>
      <c r="AP800" s="73"/>
      <c r="AQ800" s="75"/>
      <c r="AR800" s="76"/>
      <c r="AS800" s="77"/>
      <c r="AV800" s="75"/>
      <c r="AW800" s="83"/>
      <c r="AX800" s="84"/>
      <c r="AY800" s="80">
        <v>2</v>
      </c>
      <c r="AZ800" s="66" t="s">
        <v>1697</v>
      </c>
      <c r="BB800" s="81">
        <v>1</v>
      </c>
      <c r="BE800" s="23" t="s">
        <v>3146</v>
      </c>
      <c r="BG800" s="23" t="s">
        <v>3156</v>
      </c>
    </row>
    <row r="801" spans="1:59" ht="15" customHeight="1">
      <c r="A801" s="23" t="s">
        <v>3197</v>
      </c>
      <c r="B801" s="23" t="s">
        <v>3225</v>
      </c>
      <c r="C801" s="23" t="s">
        <v>3334</v>
      </c>
      <c r="D801" s="24">
        <v>174</v>
      </c>
      <c r="E801" s="23">
        <v>1</v>
      </c>
      <c r="F801" s="23" t="s">
        <v>3115</v>
      </c>
      <c r="G801" s="23" t="s">
        <v>3157</v>
      </c>
      <c r="J801" s="23" t="s">
        <v>31</v>
      </c>
      <c r="AD801" s="23" t="s">
        <v>3146</v>
      </c>
      <c r="AI801" s="23" t="s">
        <v>3157</v>
      </c>
      <c r="AL801" s="23" t="s">
        <v>31</v>
      </c>
      <c r="AP801" s="73"/>
      <c r="AQ801" s="75"/>
      <c r="AR801" s="76"/>
      <c r="AS801" s="77"/>
      <c r="AV801" s="75"/>
      <c r="AW801" s="83"/>
      <c r="AX801" s="84"/>
      <c r="AY801" s="80">
        <v>3</v>
      </c>
      <c r="AZ801" s="66" t="s">
        <v>1071</v>
      </c>
      <c r="BB801" s="81">
        <v>1</v>
      </c>
      <c r="BE801" s="23" t="s">
        <v>3146</v>
      </c>
      <c r="BG801" s="23" t="s">
        <v>3158</v>
      </c>
    </row>
    <row r="802" spans="1:59" ht="15" customHeight="1">
      <c r="A802" s="23" t="s">
        <v>3197</v>
      </c>
      <c r="B802" s="23" t="s">
        <v>3226</v>
      </c>
      <c r="C802" s="23" t="s">
        <v>3334</v>
      </c>
      <c r="D802" s="24">
        <v>175</v>
      </c>
      <c r="E802" s="23">
        <v>1</v>
      </c>
      <c r="F802" s="23" t="s">
        <v>3115</v>
      </c>
      <c r="G802" s="23" t="s">
        <v>3159</v>
      </c>
      <c r="J802" s="23" t="s">
        <v>31</v>
      </c>
      <c r="AD802" s="23" t="s">
        <v>3146</v>
      </c>
      <c r="AI802" s="23" t="s">
        <v>3159</v>
      </c>
      <c r="AL802" s="23" t="s">
        <v>31</v>
      </c>
      <c r="AP802" s="73"/>
      <c r="AQ802" s="75"/>
      <c r="AR802" s="76"/>
      <c r="AS802" s="77"/>
      <c r="AV802" s="75"/>
      <c r="AW802" s="83"/>
      <c r="AX802" s="84"/>
      <c r="AY802" s="80">
        <v>1</v>
      </c>
      <c r="AZ802" s="66" t="s">
        <v>1071</v>
      </c>
      <c r="BB802" s="81"/>
      <c r="BE802" s="23" t="s">
        <v>3146</v>
      </c>
      <c r="BG802" s="23" t="s">
        <v>3160</v>
      </c>
    </row>
    <row r="803" spans="1:59" ht="15" customHeight="1">
      <c r="A803" s="23" t="s">
        <v>3197</v>
      </c>
      <c r="B803" s="23" t="s">
        <v>3227</v>
      </c>
      <c r="C803" s="23" t="s">
        <v>3334</v>
      </c>
      <c r="D803" s="24">
        <v>176</v>
      </c>
      <c r="E803" s="23">
        <v>1</v>
      </c>
      <c r="F803" s="23" t="s">
        <v>3115</v>
      </c>
      <c r="G803" s="23" t="s">
        <v>3161</v>
      </c>
      <c r="J803" s="23" t="s">
        <v>31</v>
      </c>
      <c r="AD803" s="23" t="s">
        <v>3146</v>
      </c>
      <c r="AF803" s="23" t="s">
        <v>3162</v>
      </c>
      <c r="AI803" s="23" t="s">
        <v>3161</v>
      </c>
      <c r="AL803" s="23" t="s">
        <v>31</v>
      </c>
      <c r="AP803" s="73"/>
      <c r="AQ803" s="75"/>
      <c r="AR803" s="76"/>
      <c r="AS803" s="77"/>
      <c r="AV803" s="75"/>
      <c r="AW803" s="83"/>
      <c r="AX803" s="84"/>
      <c r="AY803" s="80">
        <v>3</v>
      </c>
      <c r="AZ803" s="66" t="s">
        <v>1071</v>
      </c>
      <c r="BB803" s="81"/>
      <c r="BE803" s="23" t="s">
        <v>3146</v>
      </c>
      <c r="BG803" s="23" t="s">
        <v>3163</v>
      </c>
    </row>
    <row r="804" spans="1:59" ht="15" customHeight="1">
      <c r="A804" s="23" t="s">
        <v>3197</v>
      </c>
      <c r="B804" s="23" t="s">
        <v>3228</v>
      </c>
      <c r="C804" s="23" t="s">
        <v>3334</v>
      </c>
      <c r="D804" s="24">
        <v>177</v>
      </c>
      <c r="E804" s="23">
        <v>1</v>
      </c>
      <c r="F804" s="23" t="s">
        <v>3115</v>
      </c>
      <c r="G804" s="23" t="s">
        <v>3164</v>
      </c>
      <c r="J804" s="23" t="s">
        <v>31</v>
      </c>
      <c r="AD804" s="23" t="s">
        <v>3146</v>
      </c>
      <c r="AF804" s="23" t="s">
        <v>3165</v>
      </c>
      <c r="AI804" s="23" t="s">
        <v>3164</v>
      </c>
      <c r="AL804" s="23" t="s">
        <v>31</v>
      </c>
      <c r="AP804" s="73"/>
      <c r="AQ804" s="75"/>
      <c r="AR804" s="76"/>
      <c r="AS804" s="77"/>
      <c r="AV804" s="75"/>
      <c r="AW804" s="83"/>
      <c r="AX804" s="84"/>
      <c r="AY804" s="80">
        <v>4</v>
      </c>
      <c r="AZ804" s="66" t="s">
        <v>1071</v>
      </c>
      <c r="BB804" s="81">
        <v>1</v>
      </c>
      <c r="BE804" s="23" t="s">
        <v>3146</v>
      </c>
      <c r="BG804" s="23" t="s">
        <v>3166</v>
      </c>
    </row>
    <row r="805" spans="1:59" ht="15" customHeight="1">
      <c r="A805" s="23" t="s">
        <v>3197</v>
      </c>
      <c r="B805" s="23" t="s">
        <v>3229</v>
      </c>
      <c r="C805" s="23" t="s">
        <v>3334</v>
      </c>
      <c r="D805" s="24">
        <v>178</v>
      </c>
      <c r="E805" s="23">
        <v>1</v>
      </c>
      <c r="F805" s="23" t="s">
        <v>3115</v>
      </c>
      <c r="G805" s="23" t="s">
        <v>3167</v>
      </c>
      <c r="J805" s="23" t="s">
        <v>31</v>
      </c>
      <c r="AD805" s="23" t="s">
        <v>3146</v>
      </c>
      <c r="AF805" s="23" t="s">
        <v>3168</v>
      </c>
      <c r="AI805" s="23" t="s">
        <v>3167</v>
      </c>
      <c r="AJ805" s="23" t="s">
        <v>3169</v>
      </c>
      <c r="AL805" s="23" t="s">
        <v>31</v>
      </c>
      <c r="AP805" s="73"/>
      <c r="AQ805" s="75"/>
      <c r="AR805" s="76"/>
      <c r="AS805" s="77"/>
      <c r="AV805" s="75"/>
      <c r="AW805" s="83"/>
      <c r="AX805" s="84"/>
      <c r="AY805" s="80">
        <v>2</v>
      </c>
      <c r="AZ805" s="66">
        <v>1</v>
      </c>
      <c r="BB805" s="81"/>
      <c r="BE805" s="23" t="s">
        <v>3146</v>
      </c>
      <c r="BG805" s="23" t="s">
        <v>3170</v>
      </c>
    </row>
    <row r="806" spans="1:59" ht="15" customHeight="1">
      <c r="A806" s="23" t="s">
        <v>3197</v>
      </c>
      <c r="B806" s="23" t="s">
        <v>3230</v>
      </c>
      <c r="C806" s="23" t="s">
        <v>3334</v>
      </c>
      <c r="D806" s="24">
        <v>179</v>
      </c>
      <c r="E806" s="23">
        <v>1</v>
      </c>
      <c r="F806" s="23" t="s">
        <v>3115</v>
      </c>
      <c r="G806" s="23" t="s">
        <v>3167</v>
      </c>
      <c r="J806" s="23" t="s">
        <v>31</v>
      </c>
      <c r="AD806" s="23" t="s">
        <v>3146</v>
      </c>
      <c r="AF806" s="23" t="s">
        <v>3168</v>
      </c>
      <c r="AI806" s="23" t="s">
        <v>3167</v>
      </c>
      <c r="AJ806" s="23" t="s">
        <v>3171</v>
      </c>
      <c r="AL806" s="23" t="s">
        <v>31</v>
      </c>
      <c r="AP806" s="73"/>
      <c r="AQ806" s="75"/>
      <c r="AR806" s="76"/>
      <c r="AS806" s="77"/>
      <c r="AV806" s="75"/>
      <c r="AW806" s="83"/>
      <c r="AX806" s="84"/>
      <c r="AY806" s="80">
        <v>5</v>
      </c>
      <c r="AZ806" s="66">
        <v>1</v>
      </c>
      <c r="BB806" s="81"/>
      <c r="BE806" s="23" t="s">
        <v>3146</v>
      </c>
      <c r="BG806" s="23" t="s">
        <v>3172</v>
      </c>
    </row>
    <row r="807" spans="1:59" ht="15" customHeight="1">
      <c r="A807" s="23" t="s">
        <v>3197</v>
      </c>
      <c r="B807" s="23" t="s">
        <v>3231</v>
      </c>
      <c r="C807" s="23" t="s">
        <v>3334</v>
      </c>
      <c r="D807" s="24">
        <v>180</v>
      </c>
      <c r="E807" s="23">
        <v>1</v>
      </c>
      <c r="F807" s="23" t="s">
        <v>3115</v>
      </c>
      <c r="G807" s="23" t="s">
        <v>3167</v>
      </c>
      <c r="J807" s="23" t="s">
        <v>31</v>
      </c>
      <c r="AD807" s="23" t="s">
        <v>3146</v>
      </c>
      <c r="AF807" s="23" t="s">
        <v>3168</v>
      </c>
      <c r="AI807" s="23" t="s">
        <v>3167</v>
      </c>
      <c r="AJ807" s="23" t="s">
        <v>3173</v>
      </c>
      <c r="AL807" s="23" t="s">
        <v>31</v>
      </c>
      <c r="AP807" s="73"/>
      <c r="AQ807" s="75"/>
      <c r="AR807" s="76"/>
      <c r="AS807" s="77"/>
      <c r="AV807" s="75"/>
      <c r="AW807" s="83"/>
      <c r="AX807" s="84"/>
      <c r="AY807" s="80">
        <v>3</v>
      </c>
      <c r="AZ807" s="66">
        <v>1</v>
      </c>
      <c r="BB807" s="81"/>
      <c r="BE807" s="23" t="s">
        <v>3146</v>
      </c>
      <c r="BG807" s="23" t="s">
        <v>3174</v>
      </c>
    </row>
    <row r="808" spans="1:59" ht="15" customHeight="1">
      <c r="A808" s="23" t="s">
        <v>3197</v>
      </c>
      <c r="B808" s="23" t="s">
        <v>3232</v>
      </c>
      <c r="C808" s="23" t="s">
        <v>3334</v>
      </c>
      <c r="D808" s="24">
        <v>181</v>
      </c>
      <c r="E808" s="23">
        <v>1</v>
      </c>
      <c r="F808" s="23" t="s">
        <v>3115</v>
      </c>
      <c r="G808" s="23" t="s">
        <v>3167</v>
      </c>
      <c r="J808" s="23" t="s">
        <v>31</v>
      </c>
      <c r="AD808" s="23" t="s">
        <v>3146</v>
      </c>
      <c r="AF808" s="23" t="s">
        <v>3168</v>
      </c>
      <c r="AI808" s="23" t="s">
        <v>3167</v>
      </c>
      <c r="AJ808" s="23" t="s">
        <v>3175</v>
      </c>
      <c r="AL808" s="23" t="s">
        <v>31</v>
      </c>
      <c r="AP808" s="73"/>
      <c r="AQ808" s="75"/>
      <c r="AR808" s="76"/>
      <c r="AS808" s="77"/>
      <c r="AV808" s="75"/>
      <c r="AW808" s="83"/>
      <c r="AX808" s="84"/>
      <c r="AY808" s="80">
        <v>2</v>
      </c>
      <c r="AZ808" s="66">
        <v>1</v>
      </c>
      <c r="BB808" s="81"/>
      <c r="BE808" s="23" t="s">
        <v>3146</v>
      </c>
      <c r="BG808" s="23" t="s">
        <v>3176</v>
      </c>
    </row>
    <row r="809" spans="1:59" ht="15" customHeight="1">
      <c r="A809" s="23" t="s">
        <v>3197</v>
      </c>
      <c r="B809" s="23" t="s">
        <v>3233</v>
      </c>
      <c r="C809" s="23" t="s">
        <v>3334</v>
      </c>
      <c r="D809" s="24">
        <v>182</v>
      </c>
      <c r="E809" s="23">
        <v>1</v>
      </c>
      <c r="F809" s="23" t="s">
        <v>3115</v>
      </c>
      <c r="G809" s="23" t="s">
        <v>3177</v>
      </c>
      <c r="H809" s="23" t="s">
        <v>3178</v>
      </c>
      <c r="I809" s="23" t="s">
        <v>223</v>
      </c>
      <c r="J809" s="23" t="s">
        <v>29</v>
      </c>
      <c r="Q809" s="65">
        <v>3</v>
      </c>
      <c r="R809" s="66">
        <v>3</v>
      </c>
      <c r="T809" s="68">
        <v>4</v>
      </c>
      <c r="V809" s="69">
        <v>1</v>
      </c>
      <c r="W809" s="70">
        <v>1</v>
      </c>
      <c r="AA809" s="72">
        <v>1</v>
      </c>
      <c r="AD809" s="23" t="s">
        <v>3179</v>
      </c>
      <c r="AF809" s="23" t="s">
        <v>3180</v>
      </c>
      <c r="AI809" s="23" t="s">
        <v>3177</v>
      </c>
      <c r="AJ809" s="23" t="s">
        <v>3181</v>
      </c>
      <c r="AK809" s="23" t="s">
        <v>3182</v>
      </c>
      <c r="AL809" s="23" t="s">
        <v>257</v>
      </c>
      <c r="AP809" s="73" t="s">
        <v>38</v>
      </c>
      <c r="AQ809" s="75"/>
      <c r="AR809" s="76"/>
      <c r="AS809" s="77"/>
      <c r="AU809" s="68">
        <v>1</v>
      </c>
      <c r="AV809" s="75">
        <v>3</v>
      </c>
      <c r="AW809" s="83"/>
      <c r="AX809" s="84"/>
      <c r="AY809" s="80"/>
      <c r="BB809" s="81"/>
      <c r="BE809" s="23" t="s">
        <v>3183</v>
      </c>
      <c r="BG809" s="23" t="s">
        <v>3184</v>
      </c>
    </row>
    <row r="810" spans="1:59" ht="15" customHeight="1">
      <c r="A810" s="23" t="s">
        <v>3197</v>
      </c>
      <c r="B810" s="23" t="s">
        <v>3234</v>
      </c>
      <c r="C810" s="23" t="s">
        <v>3334</v>
      </c>
      <c r="D810" s="24">
        <v>183</v>
      </c>
      <c r="E810" s="23">
        <v>2</v>
      </c>
      <c r="F810" s="23" t="s">
        <v>3115</v>
      </c>
      <c r="G810" s="23" t="s">
        <v>3185</v>
      </c>
      <c r="J810" s="23" t="s">
        <v>29</v>
      </c>
      <c r="Q810" s="65">
        <v>4</v>
      </c>
      <c r="R810" s="66">
        <v>4</v>
      </c>
      <c r="T810" s="68">
        <v>5</v>
      </c>
      <c r="V810" s="69">
        <v>3</v>
      </c>
      <c r="W810" s="70">
        <v>3</v>
      </c>
      <c r="AD810" s="23" t="s">
        <v>1691</v>
      </c>
      <c r="AF810" s="23" t="s">
        <v>3186</v>
      </c>
      <c r="AP810" s="73"/>
      <c r="AQ810" s="75"/>
      <c r="AR810" s="76"/>
      <c r="AS810" s="77"/>
      <c r="AV810" s="75"/>
      <c r="AW810" s="83"/>
      <c r="AX810" s="84"/>
      <c r="AY810" s="80"/>
      <c r="BB810" s="81"/>
    </row>
    <row r="811" spans="1:59" ht="15" customHeight="1">
      <c r="A811" s="23" t="s">
        <v>3197</v>
      </c>
      <c r="B811" s="23" t="s">
        <v>3235</v>
      </c>
      <c r="C811" s="23" t="s">
        <v>3334</v>
      </c>
      <c r="D811" s="24">
        <v>184</v>
      </c>
      <c r="E811" s="23">
        <v>3</v>
      </c>
      <c r="F811" s="23" t="s">
        <v>3115</v>
      </c>
      <c r="G811" s="23" t="s">
        <v>3187</v>
      </c>
      <c r="J811" s="23" t="s">
        <v>29</v>
      </c>
      <c r="Q811" s="65">
        <v>2</v>
      </c>
      <c r="R811" s="66">
        <v>3</v>
      </c>
      <c r="T811" s="68">
        <v>2</v>
      </c>
      <c r="V811" s="69">
        <v>1</v>
      </c>
      <c r="AD811" s="23" t="s">
        <v>2802</v>
      </c>
      <c r="AF811" s="23" t="s">
        <v>3188</v>
      </c>
      <c r="AP811" s="73"/>
      <c r="AQ811" s="75"/>
      <c r="AR811" s="76"/>
      <c r="AS811" s="77"/>
      <c r="AV811" s="75"/>
      <c r="AW811" s="83"/>
      <c r="AX811" s="84"/>
      <c r="AY811" s="80"/>
      <c r="BB811" s="81"/>
    </row>
    <row r="812" spans="1:59" ht="15" customHeight="1">
      <c r="A812" s="23" t="s">
        <v>3197</v>
      </c>
      <c r="B812" s="23" t="s">
        <v>3236</v>
      </c>
      <c r="C812" s="23" t="s">
        <v>3334</v>
      </c>
      <c r="D812" s="24">
        <v>185</v>
      </c>
      <c r="E812" s="23">
        <v>2</v>
      </c>
      <c r="F812" s="23" t="s">
        <v>3115</v>
      </c>
      <c r="G812" s="23" t="s">
        <v>3189</v>
      </c>
      <c r="J812" s="23" t="s">
        <v>28</v>
      </c>
      <c r="AD812" s="23" t="s">
        <v>2325</v>
      </c>
      <c r="AF812" s="23" t="s">
        <v>3190</v>
      </c>
      <c r="AP812" s="73"/>
      <c r="AQ812" s="75"/>
      <c r="AR812" s="76"/>
      <c r="AS812" s="77"/>
      <c r="AV812" s="75"/>
      <c r="AW812" s="83"/>
      <c r="AX812" s="84"/>
      <c r="AY812" s="80"/>
      <c r="BB812" s="81"/>
    </row>
    <row r="813" spans="1:59" ht="15" customHeight="1">
      <c r="A813" s="23" t="s">
        <v>3197</v>
      </c>
      <c r="B813" s="23" t="s">
        <v>3237</v>
      </c>
      <c r="C813" s="23" t="s">
        <v>3334</v>
      </c>
      <c r="D813" s="24">
        <v>186</v>
      </c>
      <c r="E813" s="23">
        <v>1</v>
      </c>
      <c r="F813" s="23" t="s">
        <v>3115</v>
      </c>
      <c r="G813" s="23" t="s">
        <v>3191</v>
      </c>
      <c r="J813" s="23" t="s">
        <v>28</v>
      </c>
      <c r="AD813" s="23" t="s">
        <v>481</v>
      </c>
      <c r="AF813" s="23" t="s">
        <v>3192</v>
      </c>
      <c r="AP813" s="73"/>
      <c r="AQ813" s="75"/>
      <c r="AR813" s="76"/>
      <c r="AS813" s="77"/>
      <c r="AV813" s="75"/>
      <c r="AW813" s="83"/>
      <c r="AX813" s="84"/>
      <c r="AY813" s="80"/>
      <c r="BB813" s="81"/>
    </row>
    <row r="814" spans="1:59" ht="15" customHeight="1">
      <c r="A814" s="23" t="s">
        <v>3197</v>
      </c>
      <c r="B814" s="23" t="s">
        <v>3238</v>
      </c>
      <c r="C814" s="23" t="s">
        <v>3334</v>
      </c>
      <c r="D814" s="24">
        <v>187</v>
      </c>
      <c r="E814" s="23">
        <v>1</v>
      </c>
      <c r="F814" s="23" t="s">
        <v>3115</v>
      </c>
      <c r="G814" s="23" t="s">
        <v>3193</v>
      </c>
      <c r="J814" s="23" t="s">
        <v>28</v>
      </c>
      <c r="AD814" s="23" t="s">
        <v>481</v>
      </c>
      <c r="AF814" s="23" t="s">
        <v>3194</v>
      </c>
      <c r="AP814" s="73"/>
      <c r="AQ814" s="75"/>
      <c r="AR814" s="76"/>
      <c r="AS814" s="77"/>
      <c r="AV814" s="75"/>
      <c r="AW814" s="83"/>
      <c r="AX814" s="84"/>
      <c r="AY814" s="80"/>
      <c r="BB814" s="81"/>
    </row>
    <row r="815" spans="1:59" ht="15" customHeight="1">
      <c r="A815" s="23" t="s">
        <v>3197</v>
      </c>
      <c r="B815" s="23" t="s">
        <v>3239</v>
      </c>
      <c r="C815" s="23" t="s">
        <v>3334</v>
      </c>
      <c r="D815" s="24">
        <v>188</v>
      </c>
      <c r="E815" s="23">
        <v>3</v>
      </c>
      <c r="F815" s="23" t="s">
        <v>3115</v>
      </c>
      <c r="G815" s="23" t="s">
        <v>3195</v>
      </c>
      <c r="J815" s="23" t="s">
        <v>28</v>
      </c>
      <c r="AD815" s="23" t="s">
        <v>481</v>
      </c>
      <c r="AF815" s="23" t="s">
        <v>3196</v>
      </c>
      <c r="AP815" s="73"/>
      <c r="AQ815" s="75"/>
      <c r="AR815" s="76"/>
      <c r="AS815" s="77"/>
      <c r="AV815" s="75"/>
      <c r="AW815" s="83"/>
      <c r="AX815" s="84"/>
      <c r="AY815" s="80"/>
      <c r="BB815" s="81"/>
    </row>
    <row r="816" spans="1:59" ht="15" customHeight="1">
      <c r="A816" s="26" t="s">
        <v>3336</v>
      </c>
      <c r="B816" s="26" t="s">
        <v>3337</v>
      </c>
      <c r="C816" s="23" t="s">
        <v>3335</v>
      </c>
      <c r="D816" s="24">
        <v>189</v>
      </c>
      <c r="E816" s="23">
        <v>2</v>
      </c>
      <c r="G816" s="23" t="s">
        <v>3241</v>
      </c>
      <c r="J816" s="23" t="s">
        <v>27</v>
      </c>
      <c r="K816" s="23" t="s">
        <v>198</v>
      </c>
      <c r="L816" s="23">
        <v>0</v>
      </c>
      <c r="N816" s="62">
        <v>0</v>
      </c>
      <c r="Q816" s="65">
        <v>2</v>
      </c>
      <c r="AB816" s="23" t="s">
        <v>1088</v>
      </c>
      <c r="AD816" s="23" t="s">
        <v>1805</v>
      </c>
      <c r="AF816" s="23" t="s">
        <v>3242</v>
      </c>
      <c r="AP816" s="73"/>
      <c r="AQ816" s="75"/>
      <c r="AR816" s="76"/>
      <c r="AS816" s="77"/>
      <c r="AV816" s="75"/>
      <c r="AW816" s="83"/>
      <c r="AX816" s="84"/>
      <c r="AY816" s="80"/>
      <c r="BB816" s="81"/>
    </row>
    <row r="817" spans="1:59" ht="15" customHeight="1">
      <c r="A817" s="28" t="s">
        <v>3336</v>
      </c>
      <c r="B817" s="23" t="s">
        <v>3338</v>
      </c>
      <c r="C817" s="23" t="s">
        <v>3335</v>
      </c>
      <c r="D817" s="24">
        <v>190</v>
      </c>
      <c r="E817" s="23">
        <v>2</v>
      </c>
      <c r="G817" s="23" t="s">
        <v>286</v>
      </c>
      <c r="J817" s="23" t="s">
        <v>257</v>
      </c>
      <c r="K817" s="23" t="s">
        <v>198</v>
      </c>
      <c r="L817" s="23">
        <v>2</v>
      </c>
      <c r="N817" s="62">
        <v>4</v>
      </c>
      <c r="Q817" s="65">
        <v>1</v>
      </c>
      <c r="R817" s="66">
        <v>1</v>
      </c>
      <c r="AB817" s="23" t="s">
        <v>2181</v>
      </c>
      <c r="AC817" s="23" t="s">
        <v>258</v>
      </c>
      <c r="AD817" s="23" t="s">
        <v>259</v>
      </c>
      <c r="AF817" s="23" t="s">
        <v>3243</v>
      </c>
      <c r="AP817" s="73"/>
      <c r="AQ817" s="75"/>
      <c r="AR817" s="76"/>
      <c r="AS817" s="77"/>
      <c r="AV817" s="75"/>
      <c r="AW817" s="83"/>
      <c r="AX817" s="84"/>
      <c r="AY817" s="80"/>
      <c r="BB817" s="81"/>
    </row>
    <row r="818" spans="1:59" ht="15" customHeight="1">
      <c r="A818" s="28" t="s">
        <v>3336</v>
      </c>
      <c r="B818" s="23" t="s">
        <v>3339</v>
      </c>
      <c r="C818" s="23" t="s">
        <v>3335</v>
      </c>
      <c r="D818" s="24">
        <v>191</v>
      </c>
      <c r="E818" s="23">
        <v>2</v>
      </c>
      <c r="G818" s="23" t="s">
        <v>3244</v>
      </c>
      <c r="J818" s="23" t="s">
        <v>27</v>
      </c>
      <c r="K818" s="23" t="s">
        <v>199</v>
      </c>
      <c r="L818" s="23">
        <v>0</v>
      </c>
      <c r="N818" s="62">
        <v>2</v>
      </c>
      <c r="O818" s="63">
        <v>2</v>
      </c>
      <c r="AB818" s="23" t="s">
        <v>1094</v>
      </c>
      <c r="AD818" s="23" t="s">
        <v>340</v>
      </c>
      <c r="AF818" s="23" t="s">
        <v>3245</v>
      </c>
      <c r="AP818" s="73"/>
      <c r="AQ818" s="75"/>
      <c r="AR818" s="76"/>
      <c r="AS818" s="77"/>
      <c r="AV818" s="75"/>
      <c r="AW818" s="83"/>
      <c r="AX818" s="84"/>
      <c r="AY818" s="80"/>
      <c r="BB818" s="81"/>
    </row>
    <row r="819" spans="1:59" ht="15" customHeight="1">
      <c r="A819" s="28" t="s">
        <v>3336</v>
      </c>
      <c r="B819" s="23" t="s">
        <v>3340</v>
      </c>
      <c r="C819" s="23" t="s">
        <v>3335</v>
      </c>
      <c r="D819" s="24">
        <v>192</v>
      </c>
      <c r="E819" s="23">
        <v>2</v>
      </c>
      <c r="G819" s="23" t="s">
        <v>2590</v>
      </c>
      <c r="H819" s="23" t="s">
        <v>3246</v>
      </c>
      <c r="J819" s="23" t="s">
        <v>257</v>
      </c>
      <c r="K819" s="23" t="s">
        <v>199</v>
      </c>
      <c r="L819" s="23">
        <v>3</v>
      </c>
      <c r="N819" s="62">
        <v>2</v>
      </c>
      <c r="O819" s="63">
        <v>1</v>
      </c>
      <c r="P819" s="64">
        <v>1</v>
      </c>
      <c r="AB819" s="23" t="s">
        <v>2322</v>
      </c>
      <c r="AC819" s="23" t="s">
        <v>378</v>
      </c>
      <c r="AD819" s="23" t="s">
        <v>279</v>
      </c>
      <c r="AF819" s="23" t="s">
        <v>3247</v>
      </c>
      <c r="AP819" s="73"/>
      <c r="AQ819" s="75"/>
      <c r="AR819" s="76"/>
      <c r="AS819" s="77"/>
      <c r="AV819" s="75"/>
      <c r="AW819" s="83"/>
      <c r="AX819" s="84"/>
      <c r="AY819" s="80"/>
      <c r="BB819" s="81"/>
    </row>
    <row r="820" spans="1:59" ht="15" customHeight="1">
      <c r="A820" s="28" t="s">
        <v>3336</v>
      </c>
      <c r="B820" s="23" t="s">
        <v>3341</v>
      </c>
      <c r="C820" s="23" t="s">
        <v>3335</v>
      </c>
      <c r="D820" s="24">
        <v>193</v>
      </c>
      <c r="E820" s="23">
        <v>2</v>
      </c>
      <c r="G820" s="23" t="s">
        <v>2590</v>
      </c>
      <c r="H820" s="23" t="s">
        <v>3248</v>
      </c>
      <c r="J820" s="23" t="s">
        <v>257</v>
      </c>
      <c r="K820" s="23" t="s">
        <v>199</v>
      </c>
      <c r="L820" s="23">
        <v>3</v>
      </c>
      <c r="N820" s="62">
        <v>2</v>
      </c>
      <c r="P820" s="64">
        <v>1</v>
      </c>
      <c r="R820" s="66">
        <v>1</v>
      </c>
      <c r="AB820" s="23" t="s">
        <v>2315</v>
      </c>
      <c r="AC820" s="23" t="s">
        <v>378</v>
      </c>
      <c r="AD820" s="23" t="s">
        <v>279</v>
      </c>
      <c r="AF820" s="23" t="s">
        <v>3249</v>
      </c>
      <c r="AP820" s="73"/>
      <c r="AQ820" s="75"/>
      <c r="AR820" s="76"/>
      <c r="AS820" s="77"/>
      <c r="AV820" s="75"/>
      <c r="AW820" s="83"/>
      <c r="AX820" s="84"/>
      <c r="AY820" s="80"/>
      <c r="BB820" s="81"/>
    </row>
    <row r="821" spans="1:59" ht="15" customHeight="1">
      <c r="A821" s="28" t="s">
        <v>3336</v>
      </c>
      <c r="B821" s="23" t="s">
        <v>3342</v>
      </c>
      <c r="C821" s="23" t="s">
        <v>3335</v>
      </c>
      <c r="D821" s="24">
        <v>194</v>
      </c>
      <c r="E821" s="23">
        <v>2</v>
      </c>
      <c r="G821" s="23" t="s">
        <v>3250</v>
      </c>
      <c r="J821" s="23" t="s">
        <v>27</v>
      </c>
      <c r="K821" s="23" t="s">
        <v>201</v>
      </c>
      <c r="L821" s="23">
        <v>0</v>
      </c>
      <c r="N821" s="62">
        <v>2</v>
      </c>
      <c r="Q821" s="65">
        <v>1</v>
      </c>
      <c r="R821" s="66">
        <v>1</v>
      </c>
      <c r="AB821" s="23" t="s">
        <v>2181</v>
      </c>
      <c r="AD821" s="23" t="s">
        <v>1412</v>
      </c>
      <c r="AF821" s="23" t="s">
        <v>3251</v>
      </c>
      <c r="AP821" s="73"/>
      <c r="AQ821" s="75"/>
      <c r="AR821" s="76"/>
      <c r="AS821" s="77"/>
      <c r="AV821" s="75"/>
      <c r="AW821" s="83"/>
      <c r="AX821" s="84"/>
      <c r="AY821" s="80"/>
      <c r="BB821" s="81"/>
    </row>
    <row r="822" spans="1:59" ht="15" customHeight="1">
      <c r="A822" s="28" t="s">
        <v>3336</v>
      </c>
      <c r="B822" s="23" t="s">
        <v>3343</v>
      </c>
      <c r="C822" s="23" t="s">
        <v>3335</v>
      </c>
      <c r="D822" s="24">
        <v>195</v>
      </c>
      <c r="E822" s="23">
        <v>2</v>
      </c>
      <c r="G822" s="23" t="s">
        <v>357</v>
      </c>
      <c r="J822" s="23" t="s">
        <v>257</v>
      </c>
      <c r="K822" s="23" t="s">
        <v>201</v>
      </c>
      <c r="L822" s="23">
        <v>2</v>
      </c>
      <c r="N822" s="62">
        <v>2</v>
      </c>
      <c r="R822" s="66">
        <v>2</v>
      </c>
      <c r="S822" s="113">
        <v>1</v>
      </c>
      <c r="AB822" s="23" t="s">
        <v>1095</v>
      </c>
      <c r="AD822" s="23" t="s">
        <v>355</v>
      </c>
      <c r="AF822" s="23" t="s">
        <v>3252</v>
      </c>
      <c r="AP822" s="73"/>
      <c r="AQ822" s="75"/>
      <c r="AR822" s="76"/>
      <c r="AS822" s="77"/>
      <c r="AV822" s="75"/>
      <c r="AW822" s="83"/>
      <c r="AX822" s="84"/>
      <c r="AY822" s="80"/>
      <c r="BB822" s="81"/>
    </row>
    <row r="823" spans="1:59" ht="15" customHeight="1">
      <c r="A823" s="28" t="s">
        <v>3336</v>
      </c>
      <c r="B823" s="23" t="s">
        <v>3344</v>
      </c>
      <c r="C823" s="23" t="s">
        <v>3335</v>
      </c>
      <c r="D823" s="24">
        <v>196</v>
      </c>
      <c r="E823" s="23">
        <v>2</v>
      </c>
      <c r="G823" s="23" t="s">
        <v>3253</v>
      </c>
      <c r="J823" s="23" t="s">
        <v>27</v>
      </c>
      <c r="K823" s="23" t="s">
        <v>200</v>
      </c>
      <c r="L823" s="23">
        <v>0</v>
      </c>
      <c r="N823" s="62">
        <v>1</v>
      </c>
      <c r="S823" s="113">
        <v>1</v>
      </c>
      <c r="AB823" s="23" t="s">
        <v>208</v>
      </c>
      <c r="AD823" s="23" t="s">
        <v>340</v>
      </c>
      <c r="AF823" s="23" t="s">
        <v>3254</v>
      </c>
      <c r="AP823" s="73"/>
      <c r="AQ823" s="75"/>
      <c r="AR823" s="76"/>
      <c r="AS823" s="77"/>
      <c r="AV823" s="75"/>
      <c r="AW823" s="83"/>
      <c r="AX823" s="84"/>
      <c r="AY823" s="80"/>
      <c r="BB823" s="81"/>
    </row>
    <row r="824" spans="1:59" ht="15" customHeight="1">
      <c r="A824" s="28" t="s">
        <v>3336</v>
      </c>
      <c r="B824" s="23" t="s">
        <v>3345</v>
      </c>
      <c r="C824" s="23" t="s">
        <v>3335</v>
      </c>
      <c r="D824" s="24">
        <v>197</v>
      </c>
      <c r="E824" s="23">
        <v>2</v>
      </c>
      <c r="G824" s="23" t="s">
        <v>3255</v>
      </c>
      <c r="J824" s="23" t="s">
        <v>27</v>
      </c>
      <c r="K824" s="23" t="s">
        <v>200</v>
      </c>
      <c r="L824" s="23">
        <v>2</v>
      </c>
      <c r="N824" s="62">
        <v>0</v>
      </c>
      <c r="O824" s="63">
        <v>2</v>
      </c>
      <c r="AB824" s="23" t="s">
        <v>1094</v>
      </c>
      <c r="AD824" s="23" t="s">
        <v>279</v>
      </c>
      <c r="AF824" s="23" t="s">
        <v>3256</v>
      </c>
      <c r="AP824" s="73"/>
      <c r="AQ824" s="75"/>
      <c r="AR824" s="76"/>
      <c r="AS824" s="77"/>
      <c r="AV824" s="75"/>
      <c r="AW824" s="83"/>
      <c r="AX824" s="84"/>
      <c r="AY824" s="80"/>
      <c r="BB824" s="81"/>
    </row>
    <row r="825" spans="1:59" ht="15" customHeight="1">
      <c r="A825" s="28" t="s">
        <v>3336</v>
      </c>
      <c r="B825" s="23" t="s">
        <v>3346</v>
      </c>
      <c r="C825" s="23" t="s">
        <v>3335</v>
      </c>
      <c r="D825" s="24">
        <v>198</v>
      </c>
      <c r="E825" s="23">
        <v>2</v>
      </c>
      <c r="G825" s="23" t="s">
        <v>3257</v>
      </c>
      <c r="H825" s="23" t="s">
        <v>3258</v>
      </c>
      <c r="I825" s="23" t="s">
        <v>223</v>
      </c>
      <c r="J825" s="23" t="s">
        <v>257</v>
      </c>
      <c r="K825" s="23" t="s">
        <v>202</v>
      </c>
      <c r="L825" s="23">
        <v>0</v>
      </c>
      <c r="N825" s="62">
        <v>2</v>
      </c>
      <c r="P825" s="64">
        <v>1</v>
      </c>
      <c r="T825" s="68">
        <v>2</v>
      </c>
      <c r="U825" s="63">
        <v>2</v>
      </c>
      <c r="AB825" s="23" t="s">
        <v>205</v>
      </c>
      <c r="AC825" s="23" t="s">
        <v>25</v>
      </c>
      <c r="AD825" s="23" t="s">
        <v>2966</v>
      </c>
      <c r="AF825" s="23" t="s">
        <v>3259</v>
      </c>
      <c r="AP825" s="73"/>
      <c r="AQ825" s="75"/>
      <c r="AR825" s="76"/>
      <c r="AS825" s="77"/>
      <c r="AV825" s="75"/>
      <c r="AW825" s="83"/>
      <c r="AX825" s="84"/>
      <c r="AY825" s="80"/>
      <c r="BB825" s="81"/>
    </row>
    <row r="826" spans="1:59" ht="15" customHeight="1">
      <c r="A826" s="28" t="s">
        <v>3336</v>
      </c>
      <c r="B826" s="23" t="s">
        <v>3347</v>
      </c>
      <c r="C826" s="23" t="s">
        <v>3335</v>
      </c>
      <c r="D826" s="24">
        <v>199</v>
      </c>
      <c r="E826" s="23">
        <v>2</v>
      </c>
      <c r="G826" s="23" t="s">
        <v>3260</v>
      </c>
      <c r="J826" s="23" t="s">
        <v>27</v>
      </c>
      <c r="K826" s="23" t="s">
        <v>202</v>
      </c>
      <c r="L826" s="23">
        <v>2</v>
      </c>
      <c r="N826" s="62">
        <v>2</v>
      </c>
      <c r="O826" s="63">
        <v>1</v>
      </c>
      <c r="R826" s="66">
        <v>1</v>
      </c>
      <c r="AB826" s="23" t="s">
        <v>2188</v>
      </c>
      <c r="AD826" s="23" t="s">
        <v>3261</v>
      </c>
      <c r="AF826" s="23" t="s">
        <v>3262</v>
      </c>
      <c r="AP826" s="73"/>
      <c r="AQ826" s="75"/>
      <c r="AR826" s="76"/>
      <c r="AS826" s="77"/>
      <c r="AV826" s="75"/>
      <c r="AW826" s="83"/>
      <c r="AX826" s="84"/>
      <c r="AY826" s="80"/>
      <c r="BB826" s="81"/>
    </row>
    <row r="827" spans="1:59" ht="15" customHeight="1">
      <c r="A827" s="28" t="s">
        <v>3336</v>
      </c>
      <c r="B827" s="23" t="s">
        <v>3348</v>
      </c>
      <c r="C827" s="23" t="s">
        <v>3335</v>
      </c>
      <c r="D827" s="24">
        <v>200</v>
      </c>
      <c r="E827" s="23">
        <v>1</v>
      </c>
      <c r="F827" s="23" t="s">
        <v>3263</v>
      </c>
      <c r="G827" s="23" t="s">
        <v>3263</v>
      </c>
      <c r="J827" s="23" t="s">
        <v>618</v>
      </c>
      <c r="K827" s="23" t="s">
        <v>2426</v>
      </c>
      <c r="AF827" s="23" t="s">
        <v>3264</v>
      </c>
      <c r="AI827" s="23" t="s">
        <v>3263</v>
      </c>
      <c r="AL827" s="23" t="s">
        <v>618</v>
      </c>
      <c r="AM827" s="23" t="s">
        <v>2426</v>
      </c>
      <c r="AP827" s="73"/>
      <c r="AQ827" s="75"/>
      <c r="AR827" s="76"/>
      <c r="AS827" s="77"/>
      <c r="AV827" s="75"/>
      <c r="AW827" s="83"/>
      <c r="AX827" s="84"/>
      <c r="AY827" s="80"/>
      <c r="BB827" s="81"/>
      <c r="BG827" s="23" t="s">
        <v>3265</v>
      </c>
    </row>
    <row r="828" spans="1:59" ht="15" customHeight="1">
      <c r="A828" s="28" t="s">
        <v>3336</v>
      </c>
      <c r="B828" s="23" t="s">
        <v>3349</v>
      </c>
      <c r="C828" s="23" t="s">
        <v>3335</v>
      </c>
      <c r="D828" s="24">
        <v>201</v>
      </c>
      <c r="E828" s="23">
        <v>1</v>
      </c>
      <c r="F828" s="23" t="s">
        <v>3263</v>
      </c>
      <c r="G828" s="23" t="s">
        <v>3266</v>
      </c>
      <c r="J828" s="23" t="s">
        <v>619</v>
      </c>
      <c r="K828" s="23" t="s">
        <v>2426</v>
      </c>
      <c r="L828" s="23">
        <v>1</v>
      </c>
      <c r="Z828" s="68">
        <v>6</v>
      </c>
      <c r="AF828" s="23" t="s">
        <v>3267</v>
      </c>
      <c r="AI828" s="23" t="s">
        <v>3268</v>
      </c>
      <c r="AL828" s="23" t="s">
        <v>619</v>
      </c>
      <c r="AM828" s="23" t="s">
        <v>2426</v>
      </c>
      <c r="AN828" s="23">
        <v>1</v>
      </c>
      <c r="AP828" s="73"/>
      <c r="AQ828" s="75"/>
      <c r="AR828" s="76"/>
      <c r="AS828" s="77"/>
      <c r="AV828" s="75"/>
      <c r="AW828" s="83"/>
      <c r="AX828" s="84"/>
      <c r="AY828" s="80"/>
      <c r="BB828" s="81"/>
      <c r="BG828" s="23" t="s">
        <v>3269</v>
      </c>
    </row>
    <row r="829" spans="1:59" ht="15" customHeight="1">
      <c r="A829" s="28" t="s">
        <v>3336</v>
      </c>
      <c r="B829" s="23" t="s">
        <v>3350</v>
      </c>
      <c r="C829" s="23" t="s">
        <v>3335</v>
      </c>
      <c r="D829" s="24">
        <v>202</v>
      </c>
      <c r="E829" s="23">
        <v>1</v>
      </c>
      <c r="F829" s="23" t="s">
        <v>3263</v>
      </c>
      <c r="G829" s="23" t="s">
        <v>3270</v>
      </c>
      <c r="J829" s="23" t="s">
        <v>619</v>
      </c>
      <c r="K829" s="23" t="s">
        <v>2426</v>
      </c>
      <c r="L829" s="23">
        <v>2</v>
      </c>
      <c r="Z829" s="68">
        <v>5</v>
      </c>
      <c r="AF829" s="23" t="s">
        <v>3267</v>
      </c>
      <c r="AI829" s="23" t="s">
        <v>3271</v>
      </c>
      <c r="AL829" s="23" t="s">
        <v>619</v>
      </c>
      <c r="AM829" s="23" t="s">
        <v>2426</v>
      </c>
      <c r="AN829" s="23">
        <v>2</v>
      </c>
      <c r="AP829" s="73"/>
      <c r="AQ829" s="75"/>
      <c r="AR829" s="76"/>
      <c r="AS829" s="77"/>
      <c r="AV829" s="75"/>
      <c r="AW829" s="83"/>
      <c r="AX829" s="84"/>
      <c r="AY829" s="80"/>
      <c r="BB829" s="81"/>
      <c r="BG829" s="23" t="s">
        <v>3272</v>
      </c>
    </row>
    <row r="830" spans="1:59" ht="15" customHeight="1">
      <c r="A830" s="28" t="s">
        <v>3336</v>
      </c>
      <c r="B830" s="23" t="s">
        <v>3351</v>
      </c>
      <c r="C830" s="23" t="s">
        <v>3335</v>
      </c>
      <c r="D830" s="24">
        <v>203</v>
      </c>
      <c r="E830" s="23">
        <v>1</v>
      </c>
      <c r="F830" s="23" t="s">
        <v>3263</v>
      </c>
      <c r="G830" s="23" t="s">
        <v>3273</v>
      </c>
      <c r="J830" s="23" t="s">
        <v>619</v>
      </c>
      <c r="K830" s="23" t="s">
        <v>2426</v>
      </c>
      <c r="L830" s="23">
        <v>3</v>
      </c>
      <c r="Z830" s="68">
        <v>5</v>
      </c>
      <c r="AF830" s="23" t="s">
        <v>3267</v>
      </c>
      <c r="AI830" s="23" t="s">
        <v>3274</v>
      </c>
      <c r="AL830" s="23" t="s">
        <v>619</v>
      </c>
      <c r="AM830" s="23" t="s">
        <v>2426</v>
      </c>
      <c r="AN830" s="23">
        <v>3</v>
      </c>
      <c r="AP830" s="73"/>
      <c r="AQ830" s="75"/>
      <c r="AR830" s="76"/>
      <c r="AS830" s="77"/>
      <c r="AV830" s="75"/>
      <c r="AW830" s="83"/>
      <c r="AX830" s="84"/>
      <c r="AY830" s="80"/>
      <c r="BB830" s="81"/>
      <c r="BG830" s="23" t="s">
        <v>3275</v>
      </c>
    </row>
    <row r="831" spans="1:59" ht="15" customHeight="1">
      <c r="A831" s="28" t="s">
        <v>3336</v>
      </c>
      <c r="B831" s="23" t="s">
        <v>3352</v>
      </c>
      <c r="C831" s="23" t="s">
        <v>3335</v>
      </c>
      <c r="D831" s="24">
        <v>204</v>
      </c>
      <c r="E831" s="23">
        <v>1</v>
      </c>
      <c r="F831" s="23" t="s">
        <v>3263</v>
      </c>
      <c r="G831" s="23" t="s">
        <v>3276</v>
      </c>
      <c r="J831" s="23" t="s">
        <v>621</v>
      </c>
      <c r="K831" s="23" t="s">
        <v>2426</v>
      </c>
      <c r="L831" s="23">
        <v>1</v>
      </c>
      <c r="Y831" s="66" t="s">
        <v>1697</v>
      </c>
      <c r="AF831" s="23" t="s">
        <v>3277</v>
      </c>
      <c r="AI831" s="23" t="s">
        <v>3278</v>
      </c>
      <c r="AL831" s="23" t="s">
        <v>621</v>
      </c>
      <c r="AM831" s="23" t="s">
        <v>2426</v>
      </c>
      <c r="AN831" s="23">
        <v>1</v>
      </c>
      <c r="AP831" s="73"/>
      <c r="AQ831" s="75"/>
      <c r="AR831" s="76"/>
      <c r="AS831" s="77"/>
      <c r="AV831" s="75"/>
      <c r="AW831" s="83"/>
      <c r="AX831" s="84"/>
      <c r="AY831" s="80"/>
      <c r="BB831" s="81"/>
      <c r="BG831" s="23" t="s">
        <v>3279</v>
      </c>
    </row>
    <row r="832" spans="1:59" ht="15" customHeight="1">
      <c r="A832" s="28" t="s">
        <v>3336</v>
      </c>
      <c r="B832" s="23" t="s">
        <v>3353</v>
      </c>
      <c r="C832" s="23" t="s">
        <v>3335</v>
      </c>
      <c r="D832" s="24">
        <v>205</v>
      </c>
      <c r="E832" s="23">
        <v>1</v>
      </c>
      <c r="F832" s="23" t="s">
        <v>3263</v>
      </c>
      <c r="G832" s="23" t="s">
        <v>3280</v>
      </c>
      <c r="J832" s="23" t="s">
        <v>621</v>
      </c>
      <c r="K832" s="23" t="s">
        <v>2426</v>
      </c>
      <c r="L832" s="23">
        <v>1</v>
      </c>
      <c r="Y832" s="66" t="s">
        <v>1697</v>
      </c>
      <c r="AF832" s="23" t="s">
        <v>3277</v>
      </c>
      <c r="AI832" s="23" t="s">
        <v>3281</v>
      </c>
      <c r="AL832" s="23" t="s">
        <v>621</v>
      </c>
      <c r="AM832" s="23" t="s">
        <v>2426</v>
      </c>
      <c r="AN832" s="23">
        <v>1</v>
      </c>
      <c r="AP832" s="73"/>
      <c r="AQ832" s="75"/>
      <c r="AR832" s="76"/>
      <c r="AS832" s="77"/>
      <c r="AV832" s="75"/>
      <c r="AW832" s="83"/>
      <c r="AX832" s="84"/>
      <c r="AY832" s="80"/>
      <c r="BB832" s="81"/>
      <c r="BG832" s="23" t="s">
        <v>3282</v>
      </c>
    </row>
    <row r="833" spans="1:59" ht="15" customHeight="1">
      <c r="A833" s="28" t="s">
        <v>3336</v>
      </c>
      <c r="B833" s="23" t="s">
        <v>3354</v>
      </c>
      <c r="C833" s="23" t="s">
        <v>3335</v>
      </c>
      <c r="D833" s="24">
        <v>206</v>
      </c>
      <c r="E833" s="23">
        <v>1</v>
      </c>
      <c r="F833" s="23" t="s">
        <v>3263</v>
      </c>
      <c r="G833" s="23" t="s">
        <v>3283</v>
      </c>
      <c r="J833" s="23" t="s">
        <v>621</v>
      </c>
      <c r="K833" s="23" t="s">
        <v>2426</v>
      </c>
      <c r="L833" s="23">
        <v>2</v>
      </c>
      <c r="Y833" s="66" t="s">
        <v>38</v>
      </c>
      <c r="AF833" s="23" t="s">
        <v>3284</v>
      </c>
      <c r="AI833" s="23" t="s">
        <v>3285</v>
      </c>
      <c r="AL833" s="23" t="s">
        <v>621</v>
      </c>
      <c r="AM833" s="23" t="s">
        <v>2426</v>
      </c>
      <c r="AN833" s="23">
        <v>2</v>
      </c>
      <c r="AP833" s="73"/>
      <c r="AQ833" s="75"/>
      <c r="AR833" s="76"/>
      <c r="AS833" s="77"/>
      <c r="AV833" s="75"/>
      <c r="AW833" s="83"/>
      <c r="AX833" s="84"/>
      <c r="AY833" s="80"/>
      <c r="BB833" s="81"/>
      <c r="BG833" s="23" t="s">
        <v>3286</v>
      </c>
    </row>
    <row r="834" spans="1:59" ht="15" customHeight="1">
      <c r="A834" s="28" t="s">
        <v>3336</v>
      </c>
      <c r="B834" s="23" t="s">
        <v>3355</v>
      </c>
      <c r="C834" s="23" t="s">
        <v>3335</v>
      </c>
      <c r="D834" s="24">
        <v>207</v>
      </c>
      <c r="E834" s="23">
        <v>1</v>
      </c>
      <c r="F834" s="23" t="s">
        <v>3263</v>
      </c>
      <c r="G834" s="23" t="s">
        <v>3287</v>
      </c>
      <c r="J834" s="23" t="s">
        <v>621</v>
      </c>
      <c r="K834" s="23" t="s">
        <v>2426</v>
      </c>
      <c r="L834" s="23">
        <v>2</v>
      </c>
      <c r="Y834" s="66" t="s">
        <v>38</v>
      </c>
      <c r="AF834" s="23" t="s">
        <v>3288</v>
      </c>
      <c r="AI834" s="23" t="s">
        <v>3289</v>
      </c>
      <c r="AL834" s="23" t="s">
        <v>621</v>
      </c>
      <c r="AM834" s="23" t="s">
        <v>2426</v>
      </c>
      <c r="AN834" s="23">
        <v>2</v>
      </c>
      <c r="AP834" s="73"/>
      <c r="AQ834" s="75"/>
      <c r="AR834" s="76"/>
      <c r="AS834" s="77"/>
      <c r="AV834" s="75"/>
      <c r="AW834" s="83"/>
      <c r="AX834" s="84"/>
      <c r="AY834" s="80"/>
      <c r="BB834" s="81"/>
      <c r="BG834" s="23" t="s">
        <v>3286</v>
      </c>
    </row>
    <row r="835" spans="1:59" ht="15" customHeight="1">
      <c r="A835" s="28" t="s">
        <v>3336</v>
      </c>
      <c r="B835" s="23" t="s">
        <v>3356</v>
      </c>
      <c r="C835" s="23" t="s">
        <v>3335</v>
      </c>
      <c r="D835" s="24">
        <v>208</v>
      </c>
      <c r="E835" s="23">
        <v>1</v>
      </c>
      <c r="F835" s="23" t="s">
        <v>3263</v>
      </c>
      <c r="G835" s="23" t="s">
        <v>3290</v>
      </c>
      <c r="J835" s="23" t="s">
        <v>31</v>
      </c>
      <c r="K835" s="23" t="s">
        <v>2426</v>
      </c>
      <c r="AD835" s="23" t="s">
        <v>3291</v>
      </c>
      <c r="AI835" s="23" t="s">
        <v>3290</v>
      </c>
      <c r="AL835" s="23" t="s">
        <v>31</v>
      </c>
      <c r="AM835" s="23" t="s">
        <v>2426</v>
      </c>
      <c r="AP835" s="73"/>
      <c r="AQ835" s="75"/>
      <c r="AR835" s="76"/>
      <c r="AS835" s="77"/>
      <c r="AV835" s="75"/>
      <c r="AW835" s="83"/>
      <c r="AX835" s="84"/>
      <c r="AY835" s="80">
        <v>2</v>
      </c>
      <c r="AZ835" s="66" t="s">
        <v>1073</v>
      </c>
      <c r="BB835" s="81"/>
      <c r="BE835" s="23" t="s">
        <v>3291</v>
      </c>
      <c r="BG835" s="23" t="s">
        <v>3292</v>
      </c>
    </row>
    <row r="836" spans="1:59" ht="15" customHeight="1">
      <c r="A836" s="28" t="s">
        <v>3336</v>
      </c>
      <c r="B836" s="23" t="s">
        <v>3357</v>
      </c>
      <c r="C836" s="23" t="s">
        <v>3335</v>
      </c>
      <c r="D836" s="24">
        <v>209</v>
      </c>
      <c r="E836" s="23">
        <v>1</v>
      </c>
      <c r="F836" s="23" t="s">
        <v>3263</v>
      </c>
      <c r="G836" s="23" t="s">
        <v>3293</v>
      </c>
      <c r="J836" s="23" t="s">
        <v>31</v>
      </c>
      <c r="K836" s="23" t="s">
        <v>2426</v>
      </c>
      <c r="AD836" s="23" t="s">
        <v>3291</v>
      </c>
      <c r="AI836" s="23" t="s">
        <v>3293</v>
      </c>
      <c r="AL836" s="23" t="s">
        <v>31</v>
      </c>
      <c r="AM836" s="23" t="s">
        <v>2426</v>
      </c>
      <c r="AP836" s="73"/>
      <c r="AQ836" s="75"/>
      <c r="AR836" s="76"/>
      <c r="AS836" s="77"/>
      <c r="AV836" s="75"/>
      <c r="AW836" s="83"/>
      <c r="AX836" s="84"/>
      <c r="AY836" s="80">
        <v>3</v>
      </c>
      <c r="AZ836" s="66" t="s">
        <v>1073</v>
      </c>
      <c r="BB836" s="81"/>
      <c r="BE836" s="23" t="s">
        <v>3291</v>
      </c>
      <c r="BG836" s="23" t="s">
        <v>3294</v>
      </c>
    </row>
    <row r="837" spans="1:59" ht="15" customHeight="1">
      <c r="A837" s="28" t="s">
        <v>3336</v>
      </c>
      <c r="B837" s="23" t="s">
        <v>3358</v>
      </c>
      <c r="C837" s="23" t="s">
        <v>3335</v>
      </c>
      <c r="D837" s="24">
        <v>210</v>
      </c>
      <c r="E837" s="23">
        <v>1</v>
      </c>
      <c r="F837" s="23" t="s">
        <v>3263</v>
      </c>
      <c r="G837" s="23" t="s">
        <v>3293</v>
      </c>
      <c r="J837" s="23" t="s">
        <v>31</v>
      </c>
      <c r="K837" s="23" t="s">
        <v>2426</v>
      </c>
      <c r="AD837" s="23" t="s">
        <v>3291</v>
      </c>
      <c r="AI837" s="23" t="s">
        <v>3293</v>
      </c>
      <c r="AL837" s="23" t="s">
        <v>31</v>
      </c>
      <c r="AM837" s="23" t="s">
        <v>2426</v>
      </c>
      <c r="AP837" s="73"/>
      <c r="AQ837" s="75"/>
      <c r="AR837" s="76"/>
      <c r="AS837" s="77"/>
      <c r="AV837" s="75"/>
      <c r="AW837" s="83"/>
      <c r="AX837" s="84"/>
      <c r="AY837" s="80">
        <v>2</v>
      </c>
      <c r="AZ837" s="66" t="s">
        <v>1073</v>
      </c>
      <c r="BB837" s="81"/>
      <c r="BE837" s="23" t="s">
        <v>3291</v>
      </c>
      <c r="BG837" s="23" t="s">
        <v>3295</v>
      </c>
    </row>
    <row r="838" spans="1:59" ht="15" customHeight="1">
      <c r="A838" s="28" t="s">
        <v>3336</v>
      </c>
      <c r="B838" s="23" t="s">
        <v>3359</v>
      </c>
      <c r="C838" s="23" t="s">
        <v>3335</v>
      </c>
      <c r="D838" s="24">
        <v>211</v>
      </c>
      <c r="E838" s="23">
        <v>1</v>
      </c>
      <c r="F838" s="23" t="s">
        <v>3263</v>
      </c>
      <c r="G838" s="23" t="s">
        <v>3296</v>
      </c>
      <c r="H838" s="23" t="s">
        <v>3297</v>
      </c>
      <c r="J838" s="23" t="s">
        <v>31</v>
      </c>
      <c r="K838" s="23" t="s">
        <v>2426</v>
      </c>
      <c r="AD838" s="23" t="s">
        <v>3298</v>
      </c>
      <c r="AI838" s="23" t="s">
        <v>3296</v>
      </c>
      <c r="AJ838" s="23" t="s">
        <v>3297</v>
      </c>
      <c r="AL838" s="23" t="s">
        <v>31</v>
      </c>
      <c r="AM838" s="23" t="s">
        <v>2426</v>
      </c>
      <c r="AP838" s="73"/>
      <c r="AQ838" s="75"/>
      <c r="AR838" s="76"/>
      <c r="AS838" s="77"/>
      <c r="AV838" s="75"/>
      <c r="AW838" s="83"/>
      <c r="AX838" s="84"/>
      <c r="AY838" s="80">
        <v>3</v>
      </c>
      <c r="AZ838" s="66" t="s">
        <v>1073</v>
      </c>
      <c r="BB838" s="81">
        <v>1</v>
      </c>
      <c r="BE838" s="23" t="s">
        <v>3298</v>
      </c>
      <c r="BG838" s="23" t="s">
        <v>3299</v>
      </c>
    </row>
    <row r="839" spans="1:59" ht="15" customHeight="1">
      <c r="A839" s="28" t="s">
        <v>3336</v>
      </c>
      <c r="B839" s="23" t="s">
        <v>3360</v>
      </c>
      <c r="C839" s="23" t="s">
        <v>3335</v>
      </c>
      <c r="D839" s="24">
        <v>212</v>
      </c>
      <c r="E839" s="23">
        <v>1</v>
      </c>
      <c r="F839" s="23" t="s">
        <v>3263</v>
      </c>
      <c r="G839" s="23" t="s">
        <v>3300</v>
      </c>
      <c r="J839" s="23" t="s">
        <v>31</v>
      </c>
      <c r="K839" s="23" t="s">
        <v>2426</v>
      </c>
      <c r="AD839" s="23" t="s">
        <v>3291</v>
      </c>
      <c r="AI839" s="23" t="s">
        <v>3300</v>
      </c>
      <c r="AL839" s="23" t="s">
        <v>31</v>
      </c>
      <c r="AM839" s="23" t="s">
        <v>2426</v>
      </c>
      <c r="AP839" s="73"/>
      <c r="AQ839" s="75"/>
      <c r="AR839" s="76"/>
      <c r="AS839" s="77"/>
      <c r="AV839" s="75"/>
      <c r="AW839" s="83"/>
      <c r="AX839" s="84"/>
      <c r="AY839" s="80">
        <v>5</v>
      </c>
      <c r="AZ839" s="66" t="s">
        <v>1073</v>
      </c>
      <c r="BB839" s="81"/>
      <c r="BE839" s="23" t="s">
        <v>3291</v>
      </c>
      <c r="BG839" s="23" t="s">
        <v>3301</v>
      </c>
    </row>
    <row r="840" spans="1:59" ht="15" customHeight="1">
      <c r="A840" s="28" t="s">
        <v>3336</v>
      </c>
      <c r="B840" s="23" t="s">
        <v>3361</v>
      </c>
      <c r="C840" s="23" t="s">
        <v>3335</v>
      </c>
      <c r="D840" s="24">
        <v>213</v>
      </c>
      <c r="E840" s="23">
        <v>1</v>
      </c>
      <c r="F840" s="23" t="s">
        <v>3263</v>
      </c>
      <c r="G840" s="23" t="s">
        <v>3300</v>
      </c>
      <c r="J840" s="23" t="s">
        <v>31</v>
      </c>
      <c r="K840" s="23" t="s">
        <v>2426</v>
      </c>
      <c r="AD840" s="23" t="s">
        <v>3291</v>
      </c>
      <c r="AI840" s="23" t="s">
        <v>3300</v>
      </c>
      <c r="AL840" s="23" t="s">
        <v>31</v>
      </c>
      <c r="AM840" s="23" t="s">
        <v>2426</v>
      </c>
      <c r="AP840" s="73"/>
      <c r="AQ840" s="75"/>
      <c r="AR840" s="76"/>
      <c r="AS840" s="77"/>
      <c r="AV840" s="75"/>
      <c r="AW840" s="83"/>
      <c r="AX840" s="84"/>
      <c r="AY840" s="80">
        <v>6</v>
      </c>
      <c r="AZ840" s="66" t="s">
        <v>1073</v>
      </c>
      <c r="BB840" s="81"/>
      <c r="BE840" s="23" t="s">
        <v>3291</v>
      </c>
      <c r="BG840" s="23" t="s">
        <v>3302</v>
      </c>
    </row>
    <row r="841" spans="1:59" ht="15" customHeight="1">
      <c r="A841" s="28" t="s">
        <v>3336</v>
      </c>
      <c r="B841" s="23" t="s">
        <v>3362</v>
      </c>
      <c r="C841" s="23" t="s">
        <v>3335</v>
      </c>
      <c r="D841" s="24">
        <v>214</v>
      </c>
      <c r="E841" s="23">
        <v>1</v>
      </c>
      <c r="F841" s="23" t="s">
        <v>3263</v>
      </c>
      <c r="G841" s="23" t="s">
        <v>3303</v>
      </c>
      <c r="J841" s="23" t="s">
        <v>31</v>
      </c>
      <c r="K841" s="23" t="s">
        <v>2426</v>
      </c>
      <c r="AD841" s="23" t="s">
        <v>3291</v>
      </c>
      <c r="AI841" s="23" t="s">
        <v>3303</v>
      </c>
      <c r="AL841" s="23" t="s">
        <v>31</v>
      </c>
      <c r="AM841" s="23" t="s">
        <v>2426</v>
      </c>
      <c r="AP841" s="73"/>
      <c r="AQ841" s="75"/>
      <c r="AR841" s="76"/>
      <c r="AS841" s="77"/>
      <c r="AV841" s="75"/>
      <c r="AW841" s="83"/>
      <c r="AX841" s="84"/>
      <c r="AY841" s="80">
        <v>4</v>
      </c>
      <c r="AZ841" s="66" t="s">
        <v>1073</v>
      </c>
      <c r="BB841" s="81"/>
      <c r="BE841" s="23" t="s">
        <v>3291</v>
      </c>
      <c r="BG841" s="23" t="s">
        <v>3304</v>
      </c>
    </row>
    <row r="842" spans="1:59" ht="15" customHeight="1">
      <c r="A842" s="28" t="s">
        <v>3336</v>
      </c>
      <c r="B842" s="23" t="s">
        <v>3363</v>
      </c>
      <c r="C842" s="23" t="s">
        <v>3335</v>
      </c>
      <c r="D842" s="24">
        <v>215</v>
      </c>
      <c r="E842" s="23">
        <v>1</v>
      </c>
      <c r="F842" s="23" t="s">
        <v>3263</v>
      </c>
      <c r="G842" s="23" t="s">
        <v>3305</v>
      </c>
      <c r="J842" s="23" t="s">
        <v>31</v>
      </c>
      <c r="K842" s="23" t="s">
        <v>2426</v>
      </c>
      <c r="AD842" s="23" t="s">
        <v>3298</v>
      </c>
      <c r="AI842" s="23" t="s">
        <v>3305</v>
      </c>
      <c r="AL842" s="23" t="s">
        <v>31</v>
      </c>
      <c r="AM842" s="23" t="s">
        <v>2426</v>
      </c>
      <c r="AP842" s="73"/>
      <c r="AQ842" s="75"/>
      <c r="AR842" s="76"/>
      <c r="AS842" s="77"/>
      <c r="AV842" s="75"/>
      <c r="AW842" s="83"/>
      <c r="AX842" s="84"/>
      <c r="AY842" s="80">
        <v>1</v>
      </c>
      <c r="AZ842" s="66" t="s">
        <v>1111</v>
      </c>
      <c r="BB842" s="81">
        <v>1</v>
      </c>
      <c r="BE842" s="23" t="s">
        <v>3298</v>
      </c>
      <c r="BG842" s="23" t="s">
        <v>3306</v>
      </c>
    </row>
    <row r="843" spans="1:59" ht="15" customHeight="1">
      <c r="A843" s="28" t="s">
        <v>3336</v>
      </c>
      <c r="B843" s="23" t="s">
        <v>3364</v>
      </c>
      <c r="C843" s="23" t="s">
        <v>3335</v>
      </c>
      <c r="D843" s="24">
        <v>216</v>
      </c>
      <c r="E843" s="23">
        <v>1</v>
      </c>
      <c r="F843" s="23" t="s">
        <v>3263</v>
      </c>
      <c r="G843" s="23" t="s">
        <v>3307</v>
      </c>
      <c r="J843" s="23" t="s">
        <v>31</v>
      </c>
      <c r="K843" s="23" t="s">
        <v>2426</v>
      </c>
      <c r="AD843" s="23" t="s">
        <v>3298</v>
      </c>
      <c r="AI843" s="23" t="s">
        <v>3307</v>
      </c>
      <c r="AL843" s="23" t="s">
        <v>31</v>
      </c>
      <c r="AM843" s="23" t="s">
        <v>2426</v>
      </c>
      <c r="AP843" s="73"/>
      <c r="AQ843" s="75"/>
      <c r="AR843" s="76"/>
      <c r="AS843" s="77"/>
      <c r="AV843" s="75"/>
      <c r="AW843" s="83"/>
      <c r="AX843" s="84"/>
      <c r="AY843" s="80">
        <v>4</v>
      </c>
      <c r="AZ843" s="66" t="s">
        <v>1073</v>
      </c>
      <c r="BB843" s="81">
        <v>1</v>
      </c>
      <c r="BE843" s="23" t="s">
        <v>3298</v>
      </c>
      <c r="BG843" s="23" t="s">
        <v>3308</v>
      </c>
    </row>
    <row r="844" spans="1:59" ht="15" customHeight="1">
      <c r="A844" s="28" t="s">
        <v>3336</v>
      </c>
      <c r="B844" s="30" t="s">
        <v>3365</v>
      </c>
      <c r="C844" s="23" t="s">
        <v>3335</v>
      </c>
      <c r="D844" s="24">
        <v>217</v>
      </c>
      <c r="E844" s="23">
        <v>1</v>
      </c>
      <c r="F844" s="23" t="s">
        <v>3263</v>
      </c>
      <c r="G844" s="23" t="s">
        <v>3309</v>
      </c>
      <c r="J844" s="23" t="s">
        <v>31</v>
      </c>
      <c r="K844" s="23" t="s">
        <v>2426</v>
      </c>
      <c r="AD844" s="23" t="s">
        <v>3291</v>
      </c>
      <c r="AI844" s="23" t="s">
        <v>3309</v>
      </c>
      <c r="AL844" s="23" t="s">
        <v>31</v>
      </c>
      <c r="AM844" s="23" t="s">
        <v>2426</v>
      </c>
      <c r="AP844" s="73"/>
      <c r="AQ844" s="75"/>
      <c r="AR844" s="76"/>
      <c r="AS844" s="77"/>
      <c r="AV844" s="75"/>
      <c r="AW844" s="83"/>
      <c r="AX844" s="84"/>
      <c r="AY844" s="80">
        <v>3</v>
      </c>
      <c r="AZ844" s="66" t="s">
        <v>1073</v>
      </c>
      <c r="BB844" s="81"/>
      <c r="BE844" s="23" t="s">
        <v>3291</v>
      </c>
      <c r="BG844" s="23" t="s">
        <v>3310</v>
      </c>
    </row>
    <row r="845" spans="1:59" ht="15" customHeight="1">
      <c r="A845" s="28" t="s">
        <v>3336</v>
      </c>
      <c r="B845" s="23" t="s">
        <v>3366</v>
      </c>
      <c r="C845" s="23" t="s">
        <v>3335</v>
      </c>
      <c r="D845" s="24">
        <v>218</v>
      </c>
      <c r="E845" s="23">
        <v>1</v>
      </c>
      <c r="F845" s="23" t="s">
        <v>3263</v>
      </c>
      <c r="G845" s="23" t="s">
        <v>3309</v>
      </c>
      <c r="J845" s="23" t="s">
        <v>31</v>
      </c>
      <c r="K845" s="23" t="s">
        <v>2426</v>
      </c>
      <c r="AD845" s="23" t="s">
        <v>3291</v>
      </c>
      <c r="AI845" s="23" t="s">
        <v>3309</v>
      </c>
      <c r="AL845" s="23" t="s">
        <v>31</v>
      </c>
      <c r="AM845" s="23" t="s">
        <v>2426</v>
      </c>
      <c r="AP845" s="73"/>
      <c r="AQ845" s="75"/>
      <c r="AR845" s="76"/>
      <c r="AS845" s="77"/>
      <c r="AV845" s="75"/>
      <c r="AW845" s="83"/>
      <c r="AX845" s="84"/>
      <c r="AY845" s="80">
        <v>1</v>
      </c>
      <c r="AZ845" s="66" t="s">
        <v>1073</v>
      </c>
      <c r="BB845" s="81"/>
      <c r="BE845" s="23" t="s">
        <v>3291</v>
      </c>
      <c r="BG845" s="23" t="s">
        <v>3311</v>
      </c>
    </row>
    <row r="846" spans="1:59" ht="15" customHeight="1">
      <c r="A846" s="28" t="s">
        <v>3336</v>
      </c>
      <c r="B846" s="23" t="s">
        <v>3367</v>
      </c>
      <c r="C846" s="23" t="s">
        <v>3335</v>
      </c>
      <c r="D846" s="24">
        <v>219</v>
      </c>
      <c r="E846" s="23">
        <v>1</v>
      </c>
      <c r="F846" s="23" t="s">
        <v>3263</v>
      </c>
      <c r="G846" s="23" t="s">
        <v>3312</v>
      </c>
      <c r="J846" s="23" t="s">
        <v>31</v>
      </c>
      <c r="K846" s="23" t="s">
        <v>2426</v>
      </c>
      <c r="AD846" s="23" t="s">
        <v>3291</v>
      </c>
      <c r="AI846" s="23" t="s">
        <v>3312</v>
      </c>
      <c r="AL846" s="23" t="s">
        <v>31</v>
      </c>
      <c r="AM846" s="23" t="s">
        <v>2426</v>
      </c>
      <c r="AP846" s="73"/>
      <c r="AQ846" s="75"/>
      <c r="AR846" s="76"/>
      <c r="AS846" s="77"/>
      <c r="AV846" s="75"/>
      <c r="AW846" s="83"/>
      <c r="AX846" s="84"/>
      <c r="AY846" s="80">
        <v>3</v>
      </c>
      <c r="AZ846" s="66" t="s">
        <v>1073</v>
      </c>
      <c r="BB846" s="81"/>
      <c r="BE846" s="23" t="s">
        <v>3291</v>
      </c>
      <c r="BG846" s="23" t="s">
        <v>3313</v>
      </c>
    </row>
    <row r="847" spans="1:59" ht="15" customHeight="1">
      <c r="A847" s="28" t="s">
        <v>3336</v>
      </c>
      <c r="B847" s="23" t="s">
        <v>3368</v>
      </c>
      <c r="C847" s="23" t="s">
        <v>3335</v>
      </c>
      <c r="D847" s="24">
        <v>220</v>
      </c>
      <c r="E847" s="23">
        <v>1</v>
      </c>
      <c r="F847" s="23" t="s">
        <v>3263</v>
      </c>
      <c r="G847" s="23" t="s">
        <v>3314</v>
      </c>
      <c r="J847" s="23" t="s">
        <v>31</v>
      </c>
      <c r="K847" s="23" t="s">
        <v>2426</v>
      </c>
      <c r="AD847" s="23" t="s">
        <v>3298</v>
      </c>
      <c r="AI847" s="23" t="s">
        <v>3314</v>
      </c>
      <c r="AL847" s="23" t="s">
        <v>31</v>
      </c>
      <c r="AM847" s="23" t="s">
        <v>2426</v>
      </c>
      <c r="AP847" s="73"/>
      <c r="AQ847" s="75"/>
      <c r="AR847" s="76"/>
      <c r="AS847" s="77"/>
      <c r="AV847" s="75"/>
      <c r="AW847" s="83"/>
      <c r="AX847" s="84"/>
      <c r="AY847" s="80">
        <v>3</v>
      </c>
      <c r="AZ847" s="66" t="s">
        <v>1073</v>
      </c>
      <c r="BB847" s="81">
        <v>1</v>
      </c>
      <c r="BE847" s="23" t="s">
        <v>3298</v>
      </c>
      <c r="BG847" s="23" t="s">
        <v>3315</v>
      </c>
    </row>
    <row r="848" spans="1:59" ht="15" customHeight="1">
      <c r="A848" s="28" t="s">
        <v>3336</v>
      </c>
      <c r="B848" s="23" t="s">
        <v>3369</v>
      </c>
      <c r="C848" s="23" t="s">
        <v>3335</v>
      </c>
      <c r="D848" s="24">
        <v>221</v>
      </c>
      <c r="E848" s="23">
        <v>1</v>
      </c>
      <c r="F848" s="23" t="s">
        <v>3263</v>
      </c>
      <c r="G848" s="23" t="s">
        <v>3316</v>
      </c>
      <c r="H848" s="23" t="s">
        <v>3317</v>
      </c>
      <c r="I848" s="23" t="s">
        <v>223</v>
      </c>
      <c r="J848" s="23" t="s">
        <v>29</v>
      </c>
      <c r="K848" s="23" t="s">
        <v>2426</v>
      </c>
      <c r="Q848" s="65">
        <v>3</v>
      </c>
      <c r="R848" s="66">
        <v>5</v>
      </c>
      <c r="T848" s="68" t="s">
        <v>38</v>
      </c>
      <c r="W848" s="70">
        <v>1</v>
      </c>
      <c r="AD848" s="23" t="s">
        <v>3318</v>
      </c>
      <c r="AF848" s="23" t="s">
        <v>3319</v>
      </c>
      <c r="AI848" s="23" t="s">
        <v>3316</v>
      </c>
      <c r="AJ848" s="23" t="s">
        <v>3320</v>
      </c>
      <c r="AL848" s="23" t="s">
        <v>29</v>
      </c>
      <c r="AM848" s="23" t="s">
        <v>2426</v>
      </c>
      <c r="AP848" s="73"/>
      <c r="AQ848" s="75"/>
      <c r="AR848" s="76"/>
      <c r="AS848" s="77">
        <v>5</v>
      </c>
      <c r="AT848" s="66">
        <v>3</v>
      </c>
      <c r="AU848" s="68" t="s">
        <v>38</v>
      </c>
      <c r="AV848" s="75"/>
      <c r="AW848" s="83"/>
      <c r="AX848" s="84">
        <v>3</v>
      </c>
      <c r="AY848" s="80"/>
      <c r="BB848" s="81"/>
      <c r="BE848" s="23" t="s">
        <v>3318</v>
      </c>
      <c r="BG848" s="23" t="s">
        <v>3321</v>
      </c>
    </row>
    <row r="849" spans="1:58" ht="15" customHeight="1">
      <c r="A849" s="28" t="s">
        <v>3336</v>
      </c>
      <c r="B849" s="23" t="s">
        <v>3370</v>
      </c>
      <c r="C849" s="23" t="s">
        <v>3335</v>
      </c>
      <c r="D849" s="24">
        <v>222</v>
      </c>
      <c r="E849" s="23">
        <v>2</v>
      </c>
      <c r="F849" s="23" t="s">
        <v>3263</v>
      </c>
      <c r="G849" s="23" t="s">
        <v>3322</v>
      </c>
      <c r="J849" s="23" t="s">
        <v>29</v>
      </c>
      <c r="K849" s="23" t="s">
        <v>2426</v>
      </c>
      <c r="Q849" s="65">
        <v>5</v>
      </c>
      <c r="R849" s="66">
        <v>3</v>
      </c>
      <c r="T849" s="68">
        <v>2</v>
      </c>
      <c r="V849" s="69">
        <v>2</v>
      </c>
      <c r="W849" s="70">
        <v>1</v>
      </c>
      <c r="AD849" s="23" t="s">
        <v>836</v>
      </c>
      <c r="AF849" s="23" t="s">
        <v>3323</v>
      </c>
      <c r="AP849" s="73"/>
      <c r="AQ849" s="75"/>
      <c r="AR849" s="76"/>
      <c r="AS849" s="77"/>
      <c r="AV849" s="75"/>
      <c r="AW849" s="83"/>
      <c r="AX849" s="84"/>
      <c r="AY849" s="80"/>
      <c r="BB849" s="81"/>
    </row>
    <row r="850" spans="1:58" ht="15" customHeight="1">
      <c r="A850" s="28" t="s">
        <v>3336</v>
      </c>
      <c r="B850" s="23" t="s">
        <v>3371</v>
      </c>
      <c r="C850" s="23" t="s">
        <v>3335</v>
      </c>
      <c r="D850" s="24">
        <v>223</v>
      </c>
      <c r="E850" s="23">
        <v>2</v>
      </c>
      <c r="F850" s="23" t="s">
        <v>3263</v>
      </c>
      <c r="G850" s="23" t="s">
        <v>3324</v>
      </c>
      <c r="J850" s="23" t="s">
        <v>28</v>
      </c>
      <c r="K850" s="23" t="s">
        <v>2426</v>
      </c>
      <c r="AD850" s="23" t="s">
        <v>492</v>
      </c>
      <c r="AF850" s="23" t="s">
        <v>3325</v>
      </c>
      <c r="AP850" s="73"/>
      <c r="AQ850" s="75"/>
      <c r="AR850" s="76"/>
      <c r="AS850" s="77"/>
      <c r="AV850" s="75"/>
      <c r="AW850" s="83"/>
      <c r="AX850" s="84"/>
      <c r="AY850" s="80"/>
      <c r="BB850" s="81"/>
    </row>
    <row r="851" spans="1:58" ht="15" customHeight="1">
      <c r="A851" s="28" t="s">
        <v>3336</v>
      </c>
      <c r="B851" s="30" t="s">
        <v>3372</v>
      </c>
      <c r="C851" s="23" t="s">
        <v>3335</v>
      </c>
      <c r="D851" s="24">
        <v>224</v>
      </c>
      <c r="E851" s="23">
        <v>3</v>
      </c>
      <c r="F851" s="23" t="s">
        <v>3263</v>
      </c>
      <c r="G851" s="23" t="s">
        <v>3326</v>
      </c>
      <c r="J851" s="23" t="s">
        <v>28</v>
      </c>
      <c r="K851" s="23" t="s">
        <v>2426</v>
      </c>
      <c r="AD851" s="23" t="s">
        <v>492</v>
      </c>
      <c r="AF851" s="23" t="s">
        <v>3327</v>
      </c>
      <c r="AP851" s="73"/>
      <c r="AQ851" s="75"/>
      <c r="AR851" s="76"/>
      <c r="AS851" s="77"/>
      <c r="AV851" s="75"/>
      <c r="AW851" s="83"/>
      <c r="AX851" s="84"/>
      <c r="AY851" s="80"/>
      <c r="BB851" s="81"/>
    </row>
    <row r="852" spans="1:58" ht="15" customHeight="1">
      <c r="A852" s="28" t="s">
        <v>3336</v>
      </c>
      <c r="B852" s="23" t="s">
        <v>3373</v>
      </c>
      <c r="C852" s="23" t="s">
        <v>3335</v>
      </c>
      <c r="D852" s="24">
        <v>225</v>
      </c>
      <c r="E852" s="23">
        <v>3</v>
      </c>
      <c r="F852" s="23" t="s">
        <v>3263</v>
      </c>
      <c r="G852" s="23" t="s">
        <v>3328</v>
      </c>
      <c r="J852" s="23" t="s">
        <v>28</v>
      </c>
      <c r="K852" s="23" t="s">
        <v>2426</v>
      </c>
      <c r="AD852" s="23" t="s">
        <v>1682</v>
      </c>
      <c r="AF852" s="23" t="s">
        <v>3329</v>
      </c>
      <c r="AP852" s="73"/>
      <c r="AQ852" s="75"/>
      <c r="AR852" s="76"/>
      <c r="AS852" s="77"/>
      <c r="AV852" s="75"/>
      <c r="AW852" s="83"/>
      <c r="AX852" s="84"/>
      <c r="AY852" s="80"/>
      <c r="BB852" s="81"/>
    </row>
    <row r="853" spans="1:58" ht="15" customHeight="1">
      <c r="A853" s="28" t="s">
        <v>3336</v>
      </c>
      <c r="B853" s="23" t="s">
        <v>3374</v>
      </c>
      <c r="C853" s="23" t="s">
        <v>3335</v>
      </c>
      <c r="D853" s="24">
        <v>226</v>
      </c>
      <c r="E853" s="23">
        <v>2</v>
      </c>
      <c r="F853" s="23" t="s">
        <v>3263</v>
      </c>
      <c r="G853" s="23" t="s">
        <v>482</v>
      </c>
      <c r="J853" s="23" t="s">
        <v>28</v>
      </c>
      <c r="K853" s="23" t="s">
        <v>2426</v>
      </c>
      <c r="AD853" s="23" t="s">
        <v>481</v>
      </c>
      <c r="AF853" s="23" t="s">
        <v>636</v>
      </c>
      <c r="AP853" s="73"/>
      <c r="AQ853" s="75"/>
      <c r="AR853" s="76"/>
      <c r="AS853" s="77"/>
      <c r="AV853" s="75"/>
      <c r="AW853" s="83"/>
      <c r="AX853" s="84"/>
      <c r="AY853" s="80"/>
      <c r="BB853" s="81"/>
    </row>
    <row r="854" spans="1:58" ht="15" customHeight="1">
      <c r="A854" s="28" t="s">
        <v>3336</v>
      </c>
      <c r="B854" s="23" t="s">
        <v>3375</v>
      </c>
      <c r="C854" s="23" t="s">
        <v>3335</v>
      </c>
      <c r="D854" s="24">
        <v>227</v>
      </c>
      <c r="E854" s="23">
        <v>4</v>
      </c>
      <c r="F854" s="23" t="s">
        <v>3263</v>
      </c>
      <c r="G854" s="23" t="s">
        <v>3330</v>
      </c>
      <c r="J854" s="23" t="s">
        <v>28</v>
      </c>
      <c r="K854" s="23" t="s">
        <v>26</v>
      </c>
      <c r="M854" s="23" t="s">
        <v>648</v>
      </c>
      <c r="AD854" s="23" t="s">
        <v>3331</v>
      </c>
      <c r="AF854" s="23" t="s">
        <v>3332</v>
      </c>
      <c r="AP854" s="73"/>
      <c r="AQ854" s="75"/>
      <c r="AR854" s="76"/>
      <c r="AS854" s="77"/>
      <c r="AV854" s="75"/>
      <c r="AW854" s="83"/>
      <c r="AX854" s="84"/>
      <c r="AY854" s="80"/>
      <c r="BB854" s="81"/>
    </row>
    <row r="855" spans="1:58" ht="15" customHeight="1">
      <c r="A855" s="23" t="s">
        <v>3376</v>
      </c>
      <c r="B855" s="23" t="s">
        <v>3377</v>
      </c>
      <c r="C855" s="23" t="s">
        <v>3378</v>
      </c>
      <c r="D855" s="23">
        <v>228</v>
      </c>
      <c r="E855" s="23">
        <v>2</v>
      </c>
      <c r="G855" s="23" t="s">
        <v>3379</v>
      </c>
      <c r="J855" s="23" t="s">
        <v>312</v>
      </c>
      <c r="K855" s="23" t="s">
        <v>198</v>
      </c>
      <c r="L855" s="23">
        <v>0</v>
      </c>
      <c r="N855" s="23"/>
      <c r="O855" s="118">
        <v>1</v>
      </c>
      <c r="P855" s="119">
        <v>1</v>
      </c>
      <c r="Q855" s="120">
        <v>1</v>
      </c>
      <c r="R855" s="29"/>
      <c r="S855" s="121"/>
      <c r="T855" s="122"/>
      <c r="U855" s="118"/>
      <c r="V855" s="123"/>
      <c r="W855" s="124"/>
      <c r="X855" s="125"/>
      <c r="Y855" s="29"/>
      <c r="Z855" s="122"/>
      <c r="AA855" s="126"/>
      <c r="AB855" s="16" t="s">
        <v>3380</v>
      </c>
      <c r="AD855" s="23" t="s">
        <v>412</v>
      </c>
      <c r="AE855" s="23"/>
      <c r="AF855" s="23" t="s">
        <v>3381</v>
      </c>
      <c r="AO855" s="24"/>
      <c r="AP855" s="23"/>
      <c r="AQ855" s="129"/>
      <c r="AR855" s="130"/>
      <c r="AS855" s="131"/>
      <c r="AT855" s="29"/>
      <c r="AU855" s="122"/>
      <c r="AV855" s="129"/>
      <c r="AW855" s="136"/>
      <c r="AX855" s="137"/>
      <c r="AY855" s="134"/>
      <c r="AZ855" s="29"/>
      <c r="BA855" s="122"/>
      <c r="BB855" s="135"/>
      <c r="BE855" s="24"/>
      <c r="BF855" s="23"/>
    </row>
    <row r="856" spans="1:58" ht="15" customHeight="1">
      <c r="A856" s="23" t="s">
        <v>3376</v>
      </c>
      <c r="B856" s="23" t="s">
        <v>3382</v>
      </c>
      <c r="C856" s="23" t="s">
        <v>3378</v>
      </c>
      <c r="D856" s="23">
        <v>229</v>
      </c>
      <c r="E856" s="23">
        <v>2</v>
      </c>
      <c r="G856" s="23" t="s">
        <v>3383</v>
      </c>
      <c r="J856" s="23" t="s">
        <v>27</v>
      </c>
      <c r="K856" s="23" t="s">
        <v>198</v>
      </c>
      <c r="L856" s="23">
        <v>1</v>
      </c>
      <c r="N856" s="23">
        <v>0</v>
      </c>
      <c r="O856" s="118">
        <v>1</v>
      </c>
      <c r="P856" s="119"/>
      <c r="Q856" s="120">
        <v>1</v>
      </c>
      <c r="R856" s="29"/>
      <c r="S856" s="121"/>
      <c r="T856" s="122"/>
      <c r="U856" s="118"/>
      <c r="V856" s="123"/>
      <c r="W856" s="124"/>
      <c r="X856" s="125"/>
      <c r="Y856" s="145"/>
      <c r="Z856" s="122"/>
      <c r="AA856" s="126"/>
      <c r="AB856" s="16" t="s">
        <v>2179</v>
      </c>
      <c r="AD856" s="23" t="s">
        <v>3384</v>
      </c>
      <c r="AE856" s="23"/>
      <c r="AF856" s="23" t="s">
        <v>3385</v>
      </c>
      <c r="AO856" s="24"/>
      <c r="AP856" s="23"/>
      <c r="AQ856" s="129"/>
      <c r="AR856" s="130"/>
      <c r="AS856" s="131"/>
      <c r="AT856" s="29"/>
      <c r="AU856" s="122"/>
      <c r="AV856" s="129"/>
      <c r="AW856" s="136"/>
      <c r="AX856" s="137"/>
      <c r="AY856" s="134"/>
      <c r="AZ856" s="29"/>
      <c r="BA856" s="122"/>
      <c r="BB856" s="135"/>
      <c r="BE856" s="24"/>
      <c r="BF856" s="23"/>
    </row>
    <row r="857" spans="1:58" ht="15" customHeight="1">
      <c r="A857" s="23" t="s">
        <v>3376</v>
      </c>
      <c r="B857" s="23" t="s">
        <v>3386</v>
      </c>
      <c r="C857" s="23" t="s">
        <v>3378</v>
      </c>
      <c r="D857" s="23">
        <v>230</v>
      </c>
      <c r="E857" s="23">
        <v>2</v>
      </c>
      <c r="G857" s="23" t="s">
        <v>294</v>
      </c>
      <c r="J857" s="23" t="s">
        <v>257</v>
      </c>
      <c r="K857" s="23" t="s">
        <v>198</v>
      </c>
      <c r="L857" s="23">
        <v>3</v>
      </c>
      <c r="N857" s="23">
        <v>2</v>
      </c>
      <c r="O857" s="118">
        <v>2</v>
      </c>
      <c r="P857" s="119"/>
      <c r="Q857" s="120"/>
      <c r="R857" s="29"/>
      <c r="S857" s="121"/>
      <c r="T857" s="122"/>
      <c r="U857" s="118"/>
      <c r="V857" s="123"/>
      <c r="W857" s="124"/>
      <c r="X857" s="125"/>
      <c r="Y857" s="29"/>
      <c r="Z857" s="122"/>
      <c r="AA857" s="126"/>
      <c r="AB857" s="16" t="s">
        <v>1094</v>
      </c>
      <c r="AD857" s="23" t="s">
        <v>295</v>
      </c>
      <c r="AE857" s="23"/>
      <c r="AF857" s="23" t="s">
        <v>3387</v>
      </c>
      <c r="AO857" s="24"/>
      <c r="AP857" s="23"/>
      <c r="AQ857" s="129"/>
      <c r="AR857" s="130"/>
      <c r="AS857" s="131"/>
      <c r="AT857" s="29"/>
      <c r="AU857" s="122"/>
      <c r="AV857" s="129"/>
      <c r="AW857" s="136"/>
      <c r="AX857" s="137"/>
      <c r="AY857" s="134"/>
      <c r="AZ857" s="29"/>
      <c r="BA857" s="122"/>
      <c r="BB857" s="135"/>
      <c r="BE857" s="24"/>
      <c r="BF857" s="23"/>
    </row>
    <row r="858" spans="1:58" ht="15" customHeight="1">
      <c r="A858" s="23" t="s">
        <v>3376</v>
      </c>
      <c r="B858" s="23" t="s">
        <v>3388</v>
      </c>
      <c r="C858" s="23" t="s">
        <v>3378</v>
      </c>
      <c r="D858" s="23">
        <v>231</v>
      </c>
      <c r="E858" s="23">
        <v>2</v>
      </c>
      <c r="G858" s="23" t="s">
        <v>3389</v>
      </c>
      <c r="J858" s="23" t="s">
        <v>312</v>
      </c>
      <c r="K858" s="23" t="s">
        <v>199</v>
      </c>
      <c r="L858" s="23">
        <v>0</v>
      </c>
      <c r="N858" s="23"/>
      <c r="O858" s="118">
        <v>1</v>
      </c>
      <c r="P858" s="119">
        <v>1</v>
      </c>
      <c r="Q858" s="120"/>
      <c r="R858" s="29">
        <v>1</v>
      </c>
      <c r="S858" s="121"/>
      <c r="T858" s="122"/>
      <c r="U858" s="118"/>
      <c r="V858" s="123"/>
      <c r="W858" s="124"/>
      <c r="X858" s="125"/>
      <c r="Y858" s="29"/>
      <c r="Z858" s="122"/>
      <c r="AA858" s="126"/>
      <c r="AB858" s="16" t="s">
        <v>3390</v>
      </c>
      <c r="AD858" s="23" t="s">
        <v>412</v>
      </c>
      <c r="AE858" s="23"/>
      <c r="AF858" s="23" t="s">
        <v>3391</v>
      </c>
      <c r="AO858" s="24"/>
      <c r="AP858" s="23"/>
      <c r="AQ858" s="129"/>
      <c r="AR858" s="130"/>
      <c r="AS858" s="131"/>
      <c r="AT858" s="29"/>
      <c r="AU858" s="122"/>
      <c r="AV858" s="129"/>
      <c r="AW858" s="136"/>
      <c r="AX858" s="137"/>
      <c r="AY858" s="134"/>
      <c r="AZ858" s="29"/>
      <c r="BA858" s="122"/>
      <c r="BB858" s="135"/>
      <c r="BE858" s="24"/>
      <c r="BF858" s="23"/>
    </row>
    <row r="859" spans="1:58" ht="15" customHeight="1">
      <c r="A859" s="23" t="s">
        <v>3376</v>
      </c>
      <c r="B859" s="23" t="s">
        <v>3392</v>
      </c>
      <c r="C859" s="23" t="s">
        <v>3378</v>
      </c>
      <c r="D859" s="23">
        <v>232</v>
      </c>
      <c r="E859" s="23">
        <v>2</v>
      </c>
      <c r="G859" s="23" t="s">
        <v>1401</v>
      </c>
      <c r="J859" s="23" t="s">
        <v>27</v>
      </c>
      <c r="K859" s="23" t="s">
        <v>199</v>
      </c>
      <c r="L859" s="23">
        <v>2</v>
      </c>
      <c r="N859" s="23">
        <v>1</v>
      </c>
      <c r="O859" s="118">
        <v>1</v>
      </c>
      <c r="P859" s="119">
        <v>1</v>
      </c>
      <c r="Q859" s="120"/>
      <c r="R859" s="29">
        <v>1</v>
      </c>
      <c r="S859" s="121"/>
      <c r="T859" s="122"/>
      <c r="U859" s="118"/>
      <c r="V859" s="123"/>
      <c r="W859" s="124"/>
      <c r="X859" s="125"/>
      <c r="Y859" s="29"/>
      <c r="Z859" s="122"/>
      <c r="AA859" s="126"/>
      <c r="AB859" s="16" t="s">
        <v>3390</v>
      </c>
      <c r="AD859" s="23" t="s">
        <v>344</v>
      </c>
      <c r="AE859" s="23"/>
      <c r="AF859" s="23" t="s">
        <v>3393</v>
      </c>
      <c r="AO859" s="24"/>
      <c r="AP859" s="23"/>
      <c r="AQ859" s="129"/>
      <c r="AR859" s="130"/>
      <c r="AS859" s="131"/>
      <c r="AT859" s="29"/>
      <c r="AU859" s="122"/>
      <c r="AV859" s="129"/>
      <c r="AW859" s="136"/>
      <c r="AX859" s="137"/>
      <c r="AY859" s="134"/>
      <c r="AZ859" s="29"/>
      <c r="BA859" s="122"/>
      <c r="BB859" s="135"/>
      <c r="BE859" s="24"/>
      <c r="BF859" s="23"/>
    </row>
    <row r="860" spans="1:58" ht="15" customHeight="1">
      <c r="A860" s="23" t="s">
        <v>3376</v>
      </c>
      <c r="B860" s="23" t="s">
        <v>3394</v>
      </c>
      <c r="C860" s="23" t="s">
        <v>3378</v>
      </c>
      <c r="D860" s="23">
        <v>233</v>
      </c>
      <c r="E860" s="23">
        <v>2</v>
      </c>
      <c r="G860" s="23" t="s">
        <v>3395</v>
      </c>
      <c r="J860" s="23" t="s">
        <v>312</v>
      </c>
      <c r="K860" s="23" t="s">
        <v>201</v>
      </c>
      <c r="L860" s="23">
        <v>0</v>
      </c>
      <c r="N860" s="23"/>
      <c r="O860" s="118">
        <v>1</v>
      </c>
      <c r="P860" s="119"/>
      <c r="Q860" s="120">
        <v>1</v>
      </c>
      <c r="R860" s="29">
        <v>1</v>
      </c>
      <c r="S860" s="121"/>
      <c r="T860" s="122"/>
      <c r="U860" s="118"/>
      <c r="V860" s="123"/>
      <c r="W860" s="124"/>
      <c r="X860" s="125"/>
      <c r="Y860" s="29"/>
      <c r="Z860" s="122"/>
      <c r="AA860" s="126"/>
      <c r="AB860" s="16" t="s">
        <v>3396</v>
      </c>
      <c r="AD860" s="23" t="s">
        <v>2603</v>
      </c>
      <c r="AE860" s="23"/>
      <c r="AF860" s="23" t="s">
        <v>3397</v>
      </c>
      <c r="AO860" s="24"/>
      <c r="AP860" s="23"/>
      <c r="AQ860" s="129"/>
      <c r="AR860" s="130"/>
      <c r="AS860" s="131"/>
      <c r="AT860" s="29"/>
      <c r="AU860" s="122"/>
      <c r="AV860" s="129"/>
      <c r="AW860" s="136"/>
      <c r="AX860" s="137"/>
      <c r="AY860" s="134"/>
      <c r="AZ860" s="29"/>
      <c r="BA860" s="122"/>
      <c r="BB860" s="135"/>
      <c r="BE860" s="24"/>
      <c r="BF860" s="23"/>
    </row>
    <row r="861" spans="1:58" ht="15" customHeight="1">
      <c r="A861" s="23" t="s">
        <v>3376</v>
      </c>
      <c r="B861" s="23" t="s">
        <v>3398</v>
      </c>
      <c r="C861" s="23" t="s">
        <v>3378</v>
      </c>
      <c r="D861" s="23">
        <v>234</v>
      </c>
      <c r="E861" s="23">
        <v>2</v>
      </c>
      <c r="G861" s="23" t="s">
        <v>359</v>
      </c>
      <c r="J861" s="23" t="s">
        <v>257</v>
      </c>
      <c r="K861" s="23" t="s">
        <v>201</v>
      </c>
      <c r="L861" s="23">
        <v>2</v>
      </c>
      <c r="N861" s="23">
        <v>3</v>
      </c>
      <c r="O861" s="118"/>
      <c r="P861" s="119"/>
      <c r="Q861" s="120">
        <v>1</v>
      </c>
      <c r="R861" s="29">
        <v>1</v>
      </c>
      <c r="S861" s="121"/>
      <c r="T861" s="122"/>
      <c r="U861" s="118"/>
      <c r="V861" s="123"/>
      <c r="W861" s="124"/>
      <c r="X861" s="125"/>
      <c r="Y861" s="29"/>
      <c r="Z861" s="122"/>
      <c r="AA861" s="126"/>
      <c r="AB861" s="16" t="s">
        <v>2181</v>
      </c>
      <c r="AC861" s="23" t="s">
        <v>258</v>
      </c>
      <c r="AD861" s="23" t="s">
        <v>923</v>
      </c>
      <c r="AE861" s="23"/>
      <c r="AF861" s="23" t="s">
        <v>3399</v>
      </c>
      <c r="AP861" s="23"/>
      <c r="AQ861" s="118"/>
      <c r="AR861" s="119"/>
      <c r="AS861" s="120"/>
      <c r="AT861" s="29"/>
      <c r="AU861" s="122"/>
      <c r="AV861" s="118"/>
      <c r="AW861" s="123"/>
      <c r="AX861" s="124"/>
      <c r="AY861" s="125"/>
      <c r="AZ861" s="29"/>
      <c r="BA861" s="122"/>
      <c r="BB861" s="126"/>
      <c r="BF861" s="23"/>
    </row>
    <row r="862" spans="1:58" ht="15" customHeight="1">
      <c r="A862" s="23" t="s">
        <v>3376</v>
      </c>
      <c r="B862" s="23" t="s">
        <v>3400</v>
      </c>
      <c r="C862" s="23" t="s">
        <v>3378</v>
      </c>
      <c r="D862" s="23">
        <v>235</v>
      </c>
      <c r="E862" s="23">
        <v>2</v>
      </c>
      <c r="G862" s="23" t="s">
        <v>3401</v>
      </c>
      <c r="J862" s="23" t="s">
        <v>312</v>
      </c>
      <c r="K862" s="23" t="s">
        <v>200</v>
      </c>
      <c r="L862" s="23">
        <v>0</v>
      </c>
      <c r="N862" s="23"/>
      <c r="O862" s="118"/>
      <c r="P862" s="119"/>
      <c r="Q862" s="120"/>
      <c r="R862" s="29"/>
      <c r="S862" s="121">
        <v>1</v>
      </c>
      <c r="T862" s="122"/>
      <c r="U862" s="118"/>
      <c r="V862" s="123"/>
      <c r="W862" s="124"/>
      <c r="X862" s="125"/>
      <c r="Y862" s="29"/>
      <c r="Z862" s="122"/>
      <c r="AA862" s="126"/>
      <c r="AB862" s="16" t="s">
        <v>208</v>
      </c>
      <c r="AD862" s="23" t="s">
        <v>313</v>
      </c>
      <c r="AE862" s="23"/>
      <c r="AF862" s="23" t="s">
        <v>3402</v>
      </c>
      <c r="AP862" s="23"/>
      <c r="AQ862" s="118"/>
      <c r="AR862" s="119"/>
      <c r="AS862" s="120"/>
      <c r="AT862" s="29"/>
      <c r="AU862" s="122"/>
      <c r="AV862" s="118"/>
      <c r="AW862" s="123"/>
      <c r="AX862" s="124"/>
      <c r="AY862" s="125"/>
      <c r="AZ862" s="29"/>
      <c r="BA862" s="122"/>
      <c r="BB862" s="126"/>
      <c r="BF862" s="23"/>
    </row>
    <row r="863" spans="1:58" ht="15" customHeight="1">
      <c r="A863" s="23" t="s">
        <v>3376</v>
      </c>
      <c r="B863" s="23" t="s">
        <v>3403</v>
      </c>
      <c r="C863" s="23" t="s">
        <v>3378</v>
      </c>
      <c r="D863" s="23">
        <v>236</v>
      </c>
      <c r="E863" s="23">
        <v>2</v>
      </c>
      <c r="G863" s="23" t="s">
        <v>380</v>
      </c>
      <c r="J863" s="23" t="s">
        <v>257</v>
      </c>
      <c r="K863" s="23" t="s">
        <v>200</v>
      </c>
      <c r="L863" s="23">
        <v>3</v>
      </c>
      <c r="N863" s="23">
        <v>1</v>
      </c>
      <c r="O863" s="118"/>
      <c r="P863" s="119">
        <v>2</v>
      </c>
      <c r="Q863" s="120"/>
      <c r="R863" s="29"/>
      <c r="S863" s="121"/>
      <c r="T863" s="122"/>
      <c r="U863" s="118"/>
      <c r="V863" s="123"/>
      <c r="W863" s="124"/>
      <c r="X863" s="125"/>
      <c r="Y863" s="29"/>
      <c r="Z863" s="122"/>
      <c r="AA863" s="126"/>
      <c r="AB863" s="16" t="s">
        <v>1084</v>
      </c>
      <c r="AC863" s="23" t="s">
        <v>378</v>
      </c>
      <c r="AD863" s="23" t="s">
        <v>279</v>
      </c>
      <c r="AE863" s="23"/>
      <c r="AF863" s="23" t="s">
        <v>3404</v>
      </c>
      <c r="AO863" s="24"/>
      <c r="AP863" s="23"/>
      <c r="AQ863" s="129"/>
      <c r="AR863" s="130"/>
      <c r="AS863" s="131"/>
      <c r="AT863" s="29"/>
      <c r="AU863" s="122"/>
      <c r="AV863" s="129"/>
      <c r="AW863" s="136"/>
      <c r="AX863" s="137"/>
      <c r="AY863" s="134"/>
      <c r="AZ863" s="29"/>
      <c r="BA863" s="122"/>
      <c r="BB863" s="135"/>
      <c r="BE863" s="24"/>
      <c r="BF863" s="23"/>
    </row>
    <row r="864" spans="1:58" ht="15" customHeight="1">
      <c r="A864" s="23" t="s">
        <v>3376</v>
      </c>
      <c r="B864" s="23" t="s">
        <v>3405</v>
      </c>
      <c r="C864" s="23" t="s">
        <v>3378</v>
      </c>
      <c r="D864" s="23">
        <v>237</v>
      </c>
      <c r="E864" s="23">
        <v>2</v>
      </c>
      <c r="G864" s="23" t="s">
        <v>3406</v>
      </c>
      <c r="J864" s="23" t="s">
        <v>27</v>
      </c>
      <c r="K864" s="23" t="s">
        <v>202</v>
      </c>
      <c r="L864" s="23">
        <v>0</v>
      </c>
      <c r="N864" s="23">
        <v>3</v>
      </c>
      <c r="O864" s="118"/>
      <c r="P864" s="119"/>
      <c r="Q864" s="120"/>
      <c r="R864" s="29">
        <v>2</v>
      </c>
      <c r="S864" s="121"/>
      <c r="T864" s="122"/>
      <c r="U864" s="118"/>
      <c r="V864" s="123"/>
      <c r="W864" s="124"/>
      <c r="X864" s="125"/>
      <c r="Y864" s="29"/>
      <c r="Z864" s="122"/>
      <c r="AA864" s="126"/>
      <c r="AB864" s="16" t="s">
        <v>1095</v>
      </c>
      <c r="AD864" s="23" t="s">
        <v>307</v>
      </c>
      <c r="AE864" s="23"/>
      <c r="AF864" s="23" t="s">
        <v>3407</v>
      </c>
      <c r="AO864" s="24"/>
      <c r="AP864" s="23"/>
      <c r="AQ864" s="129"/>
      <c r="AR864" s="130"/>
      <c r="AS864" s="131"/>
      <c r="AT864" s="29"/>
      <c r="AU864" s="122"/>
      <c r="AV864" s="129"/>
      <c r="AW864" s="136"/>
      <c r="AX864" s="137"/>
      <c r="AY864" s="134"/>
      <c r="AZ864" s="29"/>
      <c r="BA864" s="122"/>
      <c r="BB864" s="135"/>
      <c r="BE864" s="24"/>
      <c r="BF864" s="23"/>
    </row>
    <row r="865" spans="1:59" ht="15" customHeight="1">
      <c r="A865" s="23" t="s">
        <v>3376</v>
      </c>
      <c r="B865" s="23" t="s">
        <v>3408</v>
      </c>
      <c r="C865" s="23" t="s">
        <v>3378</v>
      </c>
      <c r="D865" s="23">
        <v>238</v>
      </c>
      <c r="E865" s="23">
        <v>2</v>
      </c>
      <c r="G865" s="23" t="s">
        <v>2251</v>
      </c>
      <c r="J865" s="23" t="s">
        <v>27</v>
      </c>
      <c r="K865" s="23" t="s">
        <v>202</v>
      </c>
      <c r="L865" s="23">
        <v>2</v>
      </c>
      <c r="N865" s="23" t="s">
        <v>32</v>
      </c>
      <c r="O865" s="118">
        <v>1</v>
      </c>
      <c r="P865" s="119">
        <v>1</v>
      </c>
      <c r="Q865" s="120"/>
      <c r="R865" s="29"/>
      <c r="S865" s="121"/>
      <c r="T865" s="122"/>
      <c r="U865" s="118"/>
      <c r="V865" s="123"/>
      <c r="W865" s="124"/>
      <c r="X865" s="125"/>
      <c r="Y865" s="29"/>
      <c r="Z865" s="122"/>
      <c r="AA865" s="126"/>
      <c r="AB865" s="16" t="s">
        <v>2322</v>
      </c>
      <c r="AD865" s="23" t="s">
        <v>372</v>
      </c>
      <c r="AE865" s="23"/>
      <c r="AF865" s="23" t="s">
        <v>3409</v>
      </c>
      <c r="AO865" s="24"/>
      <c r="AP865" s="23"/>
      <c r="AQ865" s="129"/>
      <c r="AR865" s="130"/>
      <c r="AS865" s="131"/>
      <c r="AT865" s="29"/>
      <c r="AU865" s="122"/>
      <c r="AV865" s="129"/>
      <c r="AW865" s="136"/>
      <c r="AX865" s="137"/>
      <c r="AY865" s="134"/>
      <c r="AZ865" s="29"/>
      <c r="BA865" s="122"/>
      <c r="BB865" s="135"/>
      <c r="BE865" s="24"/>
      <c r="BF865" s="23"/>
    </row>
    <row r="866" spans="1:59" ht="15" customHeight="1">
      <c r="A866" s="23" t="s">
        <v>3376</v>
      </c>
      <c r="B866" s="23" t="s">
        <v>3410</v>
      </c>
      <c r="C866" s="23" t="s">
        <v>3378</v>
      </c>
      <c r="D866" s="23">
        <v>239</v>
      </c>
      <c r="E866" s="23">
        <v>2</v>
      </c>
      <c r="G866" s="23" t="s">
        <v>423</v>
      </c>
      <c r="J866" s="23" t="s">
        <v>27</v>
      </c>
      <c r="K866" s="23" t="s">
        <v>26</v>
      </c>
      <c r="L866" s="23">
        <v>3</v>
      </c>
      <c r="N866" s="23">
        <v>0</v>
      </c>
      <c r="O866" s="118"/>
      <c r="P866" s="119"/>
      <c r="Q866" s="120"/>
      <c r="R866" s="29"/>
      <c r="S866" s="121"/>
      <c r="T866" s="122"/>
      <c r="U866" s="118"/>
      <c r="V866" s="123"/>
      <c r="W866" s="124"/>
      <c r="X866" s="125"/>
      <c r="Y866" s="29"/>
      <c r="Z866" s="122"/>
      <c r="AA866" s="126"/>
      <c r="AB866" s="16"/>
      <c r="AD866" s="23" t="s">
        <v>316</v>
      </c>
      <c r="AE866" s="23"/>
      <c r="AF866" s="23" t="s">
        <v>3411</v>
      </c>
      <c r="AO866" s="24"/>
      <c r="AP866" s="23"/>
      <c r="AQ866" s="129"/>
      <c r="AR866" s="130"/>
      <c r="AS866" s="131"/>
      <c r="AT866" s="29"/>
      <c r="AU866" s="122"/>
      <c r="AV866" s="129"/>
      <c r="AW866" s="136"/>
      <c r="AX866" s="137"/>
      <c r="AY866" s="134"/>
      <c r="AZ866" s="29"/>
      <c r="BA866" s="122"/>
      <c r="BB866" s="135"/>
      <c r="BE866" s="24"/>
      <c r="BF866" s="23"/>
    </row>
    <row r="867" spans="1:59" ht="15" customHeight="1">
      <c r="A867" s="23" t="s">
        <v>3376</v>
      </c>
      <c r="B867" s="23" t="s">
        <v>3412</v>
      </c>
      <c r="C867" s="23" t="s">
        <v>3378</v>
      </c>
      <c r="D867" s="23">
        <v>240</v>
      </c>
      <c r="E867" s="23">
        <v>1</v>
      </c>
      <c r="F867" s="23" t="s">
        <v>3413</v>
      </c>
      <c r="G867" s="23" t="s">
        <v>3413</v>
      </c>
      <c r="J867" s="23" t="s">
        <v>618</v>
      </c>
      <c r="K867" s="23" t="s">
        <v>2426</v>
      </c>
      <c r="N867" s="23"/>
      <c r="O867" s="118"/>
      <c r="P867" s="119"/>
      <c r="Q867" s="120"/>
      <c r="R867" s="29"/>
      <c r="S867" s="121"/>
      <c r="T867" s="122"/>
      <c r="U867" s="118"/>
      <c r="V867" s="123"/>
      <c r="W867" s="124"/>
      <c r="X867" s="125"/>
      <c r="Y867" s="29"/>
      <c r="Z867" s="122"/>
      <c r="AA867" s="126"/>
      <c r="AB867" s="16"/>
      <c r="AE867" s="23"/>
      <c r="AF867" s="23" t="s">
        <v>3414</v>
      </c>
      <c r="AI867" s="23" t="s">
        <v>3413</v>
      </c>
      <c r="AL867" s="23" t="s">
        <v>618</v>
      </c>
      <c r="AM867" s="23" t="s">
        <v>2426</v>
      </c>
      <c r="AO867" s="24"/>
      <c r="AP867" s="23"/>
      <c r="AQ867" s="129"/>
      <c r="AR867" s="130"/>
      <c r="AS867" s="131"/>
      <c r="AT867" s="29"/>
      <c r="AU867" s="122"/>
      <c r="AV867" s="129"/>
      <c r="AW867" s="136"/>
      <c r="AX867" s="137"/>
      <c r="AY867" s="134"/>
      <c r="AZ867" s="29"/>
      <c r="BA867" s="122"/>
      <c r="BB867" s="135"/>
      <c r="BE867" s="24"/>
      <c r="BF867" s="23"/>
      <c r="BG867" s="23" t="s">
        <v>3415</v>
      </c>
    </row>
    <row r="868" spans="1:59" ht="15" customHeight="1">
      <c r="A868" s="23" t="s">
        <v>3376</v>
      </c>
      <c r="B868" s="23" t="s">
        <v>3416</v>
      </c>
      <c r="C868" s="23" t="s">
        <v>3378</v>
      </c>
      <c r="D868" s="23">
        <v>241</v>
      </c>
      <c r="E868" s="23">
        <v>1</v>
      </c>
      <c r="F868" s="23" t="s">
        <v>3413</v>
      </c>
      <c r="G868" s="23" t="s">
        <v>3417</v>
      </c>
      <c r="J868" s="23" t="s">
        <v>619</v>
      </c>
      <c r="K868" s="23" t="s">
        <v>2426</v>
      </c>
      <c r="L868" s="23">
        <v>1</v>
      </c>
      <c r="N868" s="23"/>
      <c r="O868" s="118"/>
      <c r="P868" s="119"/>
      <c r="Q868" s="120"/>
      <c r="R868" s="29"/>
      <c r="S868" s="121"/>
      <c r="T868" s="122"/>
      <c r="U868" s="118"/>
      <c r="V868" s="123"/>
      <c r="W868" s="124"/>
      <c r="X868" s="125"/>
      <c r="Y868" s="29"/>
      <c r="Z868" s="122">
        <v>6</v>
      </c>
      <c r="AA868" s="126"/>
      <c r="AB868" s="16"/>
      <c r="AE868" s="23"/>
      <c r="AF868" s="23" t="s">
        <v>3418</v>
      </c>
      <c r="AI868" s="23" t="s">
        <v>3419</v>
      </c>
      <c r="AJ868" s="23" t="s">
        <v>3420</v>
      </c>
      <c r="AL868" s="23" t="s">
        <v>29</v>
      </c>
      <c r="AM868" s="23" t="s">
        <v>2426</v>
      </c>
      <c r="AO868" s="24"/>
      <c r="AP868" s="23"/>
      <c r="AQ868" s="129"/>
      <c r="AR868" s="130"/>
      <c r="AS868" s="131">
        <v>3</v>
      </c>
      <c r="AT868" s="29">
        <v>3</v>
      </c>
      <c r="AU868" s="122" t="s">
        <v>3421</v>
      </c>
      <c r="AV868" s="129"/>
      <c r="AW868" s="136">
        <v>2</v>
      </c>
      <c r="AX868" s="137">
        <v>2</v>
      </c>
      <c r="AY868" s="134"/>
      <c r="AZ868" s="29"/>
      <c r="BA868" s="122"/>
      <c r="BB868" s="135">
        <v>2</v>
      </c>
      <c r="BE868" s="24" t="s">
        <v>3422</v>
      </c>
      <c r="BF868" s="23"/>
      <c r="BG868" s="23" t="s">
        <v>3423</v>
      </c>
    </row>
    <row r="869" spans="1:59" ht="15" customHeight="1">
      <c r="A869" s="23" t="s">
        <v>3376</v>
      </c>
      <c r="B869" s="23" t="s">
        <v>3424</v>
      </c>
      <c r="C869" s="23" t="s">
        <v>3378</v>
      </c>
      <c r="D869" s="23">
        <v>242</v>
      </c>
      <c r="E869" s="23">
        <v>1</v>
      </c>
      <c r="F869" s="23" t="s">
        <v>3413</v>
      </c>
      <c r="G869" s="23" t="s">
        <v>3425</v>
      </c>
      <c r="J869" s="23" t="s">
        <v>619</v>
      </c>
      <c r="K869" s="23" t="s">
        <v>2426</v>
      </c>
      <c r="L869" s="23">
        <v>2</v>
      </c>
      <c r="N869" s="23"/>
      <c r="O869" s="118"/>
      <c r="P869" s="119"/>
      <c r="Q869" s="120"/>
      <c r="R869" s="29"/>
      <c r="S869" s="121"/>
      <c r="T869" s="122"/>
      <c r="U869" s="118"/>
      <c r="V869" s="123"/>
      <c r="W869" s="124"/>
      <c r="X869" s="125"/>
      <c r="Y869" s="29"/>
      <c r="Z869" s="122">
        <v>12</v>
      </c>
      <c r="AA869" s="126"/>
      <c r="AB869" s="16"/>
      <c r="AE869" s="23"/>
      <c r="AF869" s="23" t="s">
        <v>3418</v>
      </c>
      <c r="AI869" s="23" t="s">
        <v>3426</v>
      </c>
      <c r="AL869" s="23" t="s">
        <v>619</v>
      </c>
      <c r="AM869" s="23" t="s">
        <v>2426</v>
      </c>
      <c r="AN869" s="23">
        <v>2</v>
      </c>
      <c r="AO869" s="24"/>
      <c r="AP869" s="23"/>
      <c r="AQ869" s="129"/>
      <c r="AR869" s="130"/>
      <c r="AS869" s="131"/>
      <c r="AT869" s="29"/>
      <c r="AU869" s="122"/>
      <c r="AV869" s="129"/>
      <c r="AW869" s="136"/>
      <c r="AX869" s="137"/>
      <c r="AY869" s="134"/>
      <c r="AZ869" s="29"/>
      <c r="BA869" s="122"/>
      <c r="BB869" s="135"/>
      <c r="BE869" s="24"/>
      <c r="BF869" s="23"/>
      <c r="BG869" s="23" t="s">
        <v>3427</v>
      </c>
    </row>
    <row r="870" spans="1:59" ht="15" customHeight="1">
      <c r="A870" s="23" t="s">
        <v>3376</v>
      </c>
      <c r="B870" s="23" t="s">
        <v>3428</v>
      </c>
      <c r="C870" s="23" t="s">
        <v>3378</v>
      </c>
      <c r="D870" s="23">
        <v>243</v>
      </c>
      <c r="E870" s="23">
        <v>1</v>
      </c>
      <c r="F870" s="23" t="s">
        <v>3413</v>
      </c>
      <c r="G870" s="23" t="s">
        <v>3429</v>
      </c>
      <c r="J870" s="23" t="s">
        <v>621</v>
      </c>
      <c r="K870" s="23" t="s">
        <v>2426</v>
      </c>
      <c r="L870" s="23">
        <v>1</v>
      </c>
      <c r="N870" s="23"/>
      <c r="O870" s="118"/>
      <c r="P870" s="119"/>
      <c r="Q870" s="120"/>
      <c r="R870" s="29"/>
      <c r="S870" s="121"/>
      <c r="T870" s="122"/>
      <c r="U870" s="118"/>
      <c r="V870" s="123"/>
      <c r="W870" s="124"/>
      <c r="X870" s="125"/>
      <c r="Y870" s="29" t="s">
        <v>38</v>
      </c>
      <c r="Z870" s="122"/>
      <c r="AA870" s="126"/>
      <c r="AB870" s="16"/>
      <c r="AE870" s="23"/>
      <c r="AF870" s="23" t="s">
        <v>3430</v>
      </c>
      <c r="AI870" s="23" t="s">
        <v>3431</v>
      </c>
      <c r="AL870" s="23" t="s">
        <v>621</v>
      </c>
      <c r="AM870" s="23" t="s">
        <v>2426</v>
      </c>
      <c r="AN870" s="23">
        <v>1</v>
      </c>
      <c r="AO870" s="24"/>
      <c r="AP870" s="23"/>
      <c r="AQ870" s="129"/>
      <c r="AR870" s="130"/>
      <c r="AS870" s="131"/>
      <c r="AT870" s="29"/>
      <c r="AU870" s="122"/>
      <c r="AV870" s="129"/>
      <c r="AW870" s="136"/>
      <c r="AX870" s="137"/>
      <c r="AY870" s="134"/>
      <c r="AZ870" s="29"/>
      <c r="BA870" s="122"/>
      <c r="BB870" s="135"/>
      <c r="BE870" s="24"/>
      <c r="BF870" s="23"/>
      <c r="BG870" s="23" t="s">
        <v>3432</v>
      </c>
    </row>
    <row r="871" spans="1:59" ht="15" customHeight="1">
      <c r="A871" s="23" t="s">
        <v>3376</v>
      </c>
      <c r="B871" s="23" t="s">
        <v>3433</v>
      </c>
      <c r="C871" s="23" t="s">
        <v>3378</v>
      </c>
      <c r="D871" s="23">
        <v>244</v>
      </c>
      <c r="E871" s="23">
        <v>1</v>
      </c>
      <c r="F871" s="23" t="s">
        <v>3413</v>
      </c>
      <c r="G871" s="23" t="s">
        <v>3434</v>
      </c>
      <c r="J871" s="23" t="s">
        <v>621</v>
      </c>
      <c r="K871" s="23" t="s">
        <v>2426</v>
      </c>
      <c r="L871" s="23">
        <v>2</v>
      </c>
      <c r="N871" s="23"/>
      <c r="O871" s="118"/>
      <c r="P871" s="119"/>
      <c r="Q871" s="120"/>
      <c r="R871" s="29"/>
      <c r="S871" s="121"/>
      <c r="T871" s="122"/>
      <c r="U871" s="118"/>
      <c r="V871" s="123"/>
      <c r="W871" s="124"/>
      <c r="X871" s="125"/>
      <c r="Y871" s="29" t="s">
        <v>1111</v>
      </c>
      <c r="Z871" s="122"/>
      <c r="AA871" s="126"/>
      <c r="AB871" s="16"/>
      <c r="AE871" s="23"/>
      <c r="AF871" s="23" t="s">
        <v>3435</v>
      </c>
      <c r="AI871" s="23" t="s">
        <v>3436</v>
      </c>
      <c r="AL871" s="23" t="s">
        <v>621</v>
      </c>
      <c r="AM871" s="23" t="s">
        <v>2426</v>
      </c>
      <c r="AN871" s="23">
        <v>2</v>
      </c>
      <c r="AO871" s="24"/>
      <c r="AP871" s="23"/>
      <c r="AQ871" s="129"/>
      <c r="AR871" s="130"/>
      <c r="AS871" s="131"/>
      <c r="AT871" s="29"/>
      <c r="AU871" s="122"/>
      <c r="AV871" s="129"/>
      <c r="AW871" s="136"/>
      <c r="AX871" s="137"/>
      <c r="AY871" s="134"/>
      <c r="AZ871" s="29"/>
      <c r="BA871" s="122"/>
      <c r="BB871" s="135"/>
      <c r="BE871" s="24"/>
      <c r="BF871" s="23"/>
      <c r="BG871" s="23" t="s">
        <v>3496</v>
      </c>
    </row>
    <row r="872" spans="1:59" ht="15" customHeight="1">
      <c r="A872" s="23" t="s">
        <v>3376</v>
      </c>
      <c r="B872" s="23" t="s">
        <v>3437</v>
      </c>
      <c r="C872" s="23" t="s">
        <v>3378</v>
      </c>
      <c r="D872" s="23">
        <v>245</v>
      </c>
      <c r="E872" s="23">
        <v>1</v>
      </c>
      <c r="F872" s="23" t="s">
        <v>3413</v>
      </c>
      <c r="G872" s="23" t="s">
        <v>3438</v>
      </c>
      <c r="J872" s="23" t="s">
        <v>621</v>
      </c>
      <c r="K872" s="23" t="s">
        <v>2426</v>
      </c>
      <c r="L872" s="23">
        <v>3</v>
      </c>
      <c r="N872" s="23"/>
      <c r="O872" s="118"/>
      <c r="P872" s="119"/>
      <c r="Q872" s="120"/>
      <c r="R872" s="29"/>
      <c r="S872" s="121"/>
      <c r="T872" s="122"/>
      <c r="U872" s="118"/>
      <c r="V872" s="123"/>
      <c r="W872" s="124"/>
      <c r="X872" s="125"/>
      <c r="Y872" s="29" t="s">
        <v>38</v>
      </c>
      <c r="Z872" s="122"/>
      <c r="AA872" s="126"/>
      <c r="AB872" s="16"/>
      <c r="AE872" s="23"/>
      <c r="AF872" s="23" t="s">
        <v>3439</v>
      </c>
      <c r="AI872" s="23" t="s">
        <v>3440</v>
      </c>
      <c r="AL872" s="23" t="s">
        <v>621</v>
      </c>
      <c r="AM872" s="23" t="s">
        <v>2426</v>
      </c>
      <c r="AN872" s="23">
        <v>3</v>
      </c>
      <c r="AO872" s="24"/>
      <c r="AP872" s="23"/>
      <c r="AQ872" s="129"/>
      <c r="AR872" s="130"/>
      <c r="AS872" s="131"/>
      <c r="AT872" s="29"/>
      <c r="AU872" s="122"/>
      <c r="AV872" s="129"/>
      <c r="AW872" s="136"/>
      <c r="AX872" s="137"/>
      <c r="AY872" s="134"/>
      <c r="AZ872" s="29"/>
      <c r="BA872" s="122"/>
      <c r="BB872" s="135"/>
      <c r="BE872" s="24"/>
      <c r="BF872" s="23"/>
      <c r="BG872" s="23" t="s">
        <v>1886</v>
      </c>
    </row>
    <row r="873" spans="1:59" ht="15" customHeight="1">
      <c r="A873" s="23" t="s">
        <v>3376</v>
      </c>
      <c r="B873" s="23" t="s">
        <v>3441</v>
      </c>
      <c r="C873" s="23" t="s">
        <v>3378</v>
      </c>
      <c r="D873" s="23">
        <v>246</v>
      </c>
      <c r="E873" s="23">
        <v>1</v>
      </c>
      <c r="F873" s="23" t="s">
        <v>3413</v>
      </c>
      <c r="G873" s="23" t="s">
        <v>3442</v>
      </c>
      <c r="J873" s="23" t="s">
        <v>621</v>
      </c>
      <c r="K873" s="23" t="s">
        <v>2426</v>
      </c>
      <c r="L873" s="23">
        <v>3</v>
      </c>
      <c r="N873" s="23"/>
      <c r="O873" s="118"/>
      <c r="P873" s="119"/>
      <c r="Q873" s="120"/>
      <c r="R873" s="29"/>
      <c r="S873" s="121"/>
      <c r="T873" s="122"/>
      <c r="U873" s="118"/>
      <c r="V873" s="123"/>
      <c r="W873" s="124"/>
      <c r="X873" s="125"/>
      <c r="Y873" s="29" t="s">
        <v>38</v>
      </c>
      <c r="Z873" s="122"/>
      <c r="AA873" s="126"/>
      <c r="AB873" s="16"/>
      <c r="AE873" s="23"/>
      <c r="AF873" s="23" t="s">
        <v>3443</v>
      </c>
      <c r="AI873" s="23" t="s">
        <v>3444</v>
      </c>
      <c r="AL873" s="23" t="s">
        <v>621</v>
      </c>
      <c r="AM873" s="23" t="s">
        <v>2426</v>
      </c>
      <c r="AN873" s="23">
        <v>3</v>
      </c>
      <c r="AO873" s="24"/>
      <c r="AP873" s="23"/>
      <c r="AQ873" s="129"/>
      <c r="AR873" s="130"/>
      <c r="AS873" s="131"/>
      <c r="AT873" s="29"/>
      <c r="AU873" s="122"/>
      <c r="AV873" s="129"/>
      <c r="AW873" s="136"/>
      <c r="AX873" s="137"/>
      <c r="AY873" s="134"/>
      <c r="AZ873" s="29"/>
      <c r="BA873" s="122"/>
      <c r="BB873" s="135"/>
      <c r="BE873" s="24"/>
      <c r="BF873" s="23"/>
      <c r="BG873" s="23" t="s">
        <v>2212</v>
      </c>
    </row>
    <row r="874" spans="1:59" ht="15" customHeight="1">
      <c r="A874" s="23" t="s">
        <v>3376</v>
      </c>
      <c r="B874" s="23" t="s">
        <v>3445</v>
      </c>
      <c r="C874" s="23" t="s">
        <v>3378</v>
      </c>
      <c r="D874" s="23">
        <v>247</v>
      </c>
      <c r="E874" s="23">
        <v>1</v>
      </c>
      <c r="F874" s="23" t="s">
        <v>3413</v>
      </c>
      <c r="G874" s="23" t="s">
        <v>3446</v>
      </c>
      <c r="J874" s="23" t="s">
        <v>31</v>
      </c>
      <c r="K874" s="23" t="s">
        <v>2426</v>
      </c>
      <c r="N874" s="23"/>
      <c r="O874" s="118"/>
      <c r="P874" s="119"/>
      <c r="Q874" s="120"/>
      <c r="R874" s="29"/>
      <c r="S874" s="121"/>
      <c r="T874" s="122"/>
      <c r="U874" s="118"/>
      <c r="V874" s="123"/>
      <c r="W874" s="124"/>
      <c r="X874" s="125"/>
      <c r="Y874" s="29"/>
      <c r="Z874" s="122"/>
      <c r="AA874" s="126"/>
      <c r="AB874" s="16"/>
      <c r="AE874" s="23"/>
      <c r="AF874" s="23" t="s">
        <v>3447</v>
      </c>
      <c r="AI874" s="23" t="s">
        <v>3448</v>
      </c>
      <c r="AL874" s="23" t="s">
        <v>31</v>
      </c>
      <c r="AM874" s="23" t="s">
        <v>2426</v>
      </c>
      <c r="AO874" s="24"/>
      <c r="AP874" s="23"/>
      <c r="AQ874" s="129"/>
      <c r="AR874" s="130"/>
      <c r="AS874" s="131"/>
      <c r="AT874" s="29"/>
      <c r="AU874" s="122"/>
      <c r="AV874" s="129"/>
      <c r="AW874" s="136"/>
      <c r="AX874" s="137"/>
      <c r="AY874" s="134">
        <v>1</v>
      </c>
      <c r="AZ874" s="29" t="s">
        <v>1111</v>
      </c>
      <c r="BA874" s="122"/>
      <c r="BB874" s="135"/>
      <c r="BE874" s="24"/>
      <c r="BF874" s="23"/>
      <c r="BG874" s="23" t="s">
        <v>3449</v>
      </c>
    </row>
    <row r="875" spans="1:59" ht="15" customHeight="1">
      <c r="A875" s="23" t="s">
        <v>3376</v>
      </c>
      <c r="B875" s="23" t="s">
        <v>3450</v>
      </c>
      <c r="C875" s="23" t="s">
        <v>3378</v>
      </c>
      <c r="D875" s="23">
        <v>248</v>
      </c>
      <c r="E875" s="23">
        <v>2</v>
      </c>
      <c r="F875" s="23" t="s">
        <v>3413</v>
      </c>
      <c r="G875" s="23" t="s">
        <v>3446</v>
      </c>
      <c r="J875" s="23" t="s">
        <v>31</v>
      </c>
      <c r="K875" s="23" t="s">
        <v>2426</v>
      </c>
      <c r="N875" s="23"/>
      <c r="O875" s="118"/>
      <c r="P875" s="119"/>
      <c r="Q875" s="120"/>
      <c r="R875" s="29"/>
      <c r="S875" s="121"/>
      <c r="T875" s="122"/>
      <c r="U875" s="118"/>
      <c r="V875" s="123"/>
      <c r="W875" s="124"/>
      <c r="X875" s="125"/>
      <c r="Y875" s="29"/>
      <c r="Z875" s="122"/>
      <c r="AA875" s="126"/>
      <c r="AB875" s="16"/>
      <c r="AE875" s="23"/>
      <c r="AF875" s="23" t="s">
        <v>3447</v>
      </c>
      <c r="AI875" s="23" t="s">
        <v>3451</v>
      </c>
      <c r="AL875" s="23" t="s">
        <v>31</v>
      </c>
      <c r="AM875" s="23" t="s">
        <v>2426</v>
      </c>
      <c r="AO875" s="24"/>
      <c r="AP875" s="23"/>
      <c r="AQ875" s="129"/>
      <c r="AR875" s="130"/>
      <c r="AS875" s="131"/>
      <c r="AT875" s="29"/>
      <c r="AU875" s="122"/>
      <c r="AV875" s="129"/>
      <c r="AW875" s="136"/>
      <c r="AX875" s="137"/>
      <c r="AY875" s="134">
        <v>2</v>
      </c>
      <c r="AZ875" s="29">
        <v>0</v>
      </c>
      <c r="BA875" s="122"/>
      <c r="BB875" s="135"/>
      <c r="BE875" s="24"/>
      <c r="BF875" s="23"/>
      <c r="BG875" s="23" t="s">
        <v>3452</v>
      </c>
    </row>
    <row r="876" spans="1:59" ht="15" customHeight="1">
      <c r="A876" s="23" t="s">
        <v>3376</v>
      </c>
      <c r="B876" s="23" t="s">
        <v>3453</v>
      </c>
      <c r="C876" s="23" t="s">
        <v>3378</v>
      </c>
      <c r="D876" s="23">
        <v>249</v>
      </c>
      <c r="E876" s="23">
        <v>1</v>
      </c>
      <c r="F876" s="23" t="s">
        <v>3413</v>
      </c>
      <c r="G876" s="23" t="s">
        <v>3446</v>
      </c>
      <c r="J876" s="23" t="s">
        <v>31</v>
      </c>
      <c r="K876" s="23" t="s">
        <v>2426</v>
      </c>
      <c r="N876" s="23"/>
      <c r="O876" s="118"/>
      <c r="P876" s="119"/>
      <c r="Q876" s="120"/>
      <c r="R876" s="29"/>
      <c r="S876" s="121"/>
      <c r="T876" s="122"/>
      <c r="U876" s="118"/>
      <c r="V876" s="123"/>
      <c r="W876" s="124"/>
      <c r="X876" s="125"/>
      <c r="Y876" s="29"/>
      <c r="Z876" s="122"/>
      <c r="AA876" s="126"/>
      <c r="AB876" s="16"/>
      <c r="AE876" s="23"/>
      <c r="AF876" s="23" t="s">
        <v>3447</v>
      </c>
      <c r="AI876" s="23" t="s">
        <v>3454</v>
      </c>
      <c r="AL876" s="23" t="s">
        <v>31</v>
      </c>
      <c r="AM876" s="23" t="s">
        <v>2426</v>
      </c>
      <c r="AO876" s="24"/>
      <c r="AP876" s="23"/>
      <c r="AQ876" s="129"/>
      <c r="AR876" s="130"/>
      <c r="AS876" s="131"/>
      <c r="AT876" s="29"/>
      <c r="AU876" s="122"/>
      <c r="AV876" s="129"/>
      <c r="AW876" s="136"/>
      <c r="AX876" s="137"/>
      <c r="AY876" s="134">
        <v>2</v>
      </c>
      <c r="AZ876" s="29" t="s">
        <v>1111</v>
      </c>
      <c r="BA876" s="122"/>
      <c r="BB876" s="135"/>
      <c r="BE876" s="24"/>
      <c r="BF876" s="23"/>
      <c r="BG876" s="23" t="s">
        <v>3455</v>
      </c>
    </row>
    <row r="877" spans="1:59" ht="15" customHeight="1">
      <c r="A877" s="23" t="s">
        <v>3376</v>
      </c>
      <c r="B877" s="23" t="s">
        <v>3456</v>
      </c>
      <c r="C877" s="23" t="s">
        <v>3378</v>
      </c>
      <c r="D877" s="23">
        <v>250</v>
      </c>
      <c r="E877" s="23">
        <v>1</v>
      </c>
      <c r="F877" s="23" t="s">
        <v>3413</v>
      </c>
      <c r="G877" s="23" t="s">
        <v>3446</v>
      </c>
      <c r="J877" s="23" t="s">
        <v>31</v>
      </c>
      <c r="K877" s="23" t="s">
        <v>2426</v>
      </c>
      <c r="N877" s="23"/>
      <c r="O877" s="118"/>
      <c r="P877" s="119"/>
      <c r="Q877" s="120"/>
      <c r="R877" s="29"/>
      <c r="S877" s="121"/>
      <c r="T877" s="122"/>
      <c r="U877" s="118"/>
      <c r="V877" s="123"/>
      <c r="W877" s="124"/>
      <c r="X877" s="125"/>
      <c r="Y877" s="29"/>
      <c r="Z877" s="122"/>
      <c r="AA877" s="126"/>
      <c r="AB877" s="16"/>
      <c r="AE877" s="23"/>
      <c r="AF877" s="23" t="s">
        <v>3447</v>
      </c>
      <c r="AI877" s="23" t="s">
        <v>3457</v>
      </c>
      <c r="AL877" s="23" t="s">
        <v>31</v>
      </c>
      <c r="AM877" s="23" t="s">
        <v>2426</v>
      </c>
      <c r="AO877" s="24"/>
      <c r="AP877" s="23"/>
      <c r="AQ877" s="129"/>
      <c r="AR877" s="130"/>
      <c r="AS877" s="131"/>
      <c r="AT877" s="29"/>
      <c r="AU877" s="122"/>
      <c r="AV877" s="129"/>
      <c r="AW877" s="136"/>
      <c r="AX877" s="137"/>
      <c r="AY877" s="134">
        <v>3</v>
      </c>
      <c r="AZ877" s="29" t="s">
        <v>1111</v>
      </c>
      <c r="BA877" s="122"/>
      <c r="BB877" s="135">
        <v>1</v>
      </c>
      <c r="BE877" s="24"/>
      <c r="BF877" s="23"/>
      <c r="BG877" s="23" t="s">
        <v>3458</v>
      </c>
    </row>
    <row r="878" spans="1:59" ht="15" customHeight="1">
      <c r="A878" s="23" t="s">
        <v>3376</v>
      </c>
      <c r="B878" s="23" t="s">
        <v>3459</v>
      </c>
      <c r="C878" s="23" t="s">
        <v>3378</v>
      </c>
      <c r="D878" s="23">
        <v>251</v>
      </c>
      <c r="E878" s="23">
        <v>1</v>
      </c>
      <c r="F878" s="23" t="s">
        <v>3413</v>
      </c>
      <c r="G878" s="23" t="s">
        <v>3446</v>
      </c>
      <c r="J878" s="23" t="s">
        <v>31</v>
      </c>
      <c r="K878" s="23" t="s">
        <v>2426</v>
      </c>
      <c r="N878" s="23"/>
      <c r="O878" s="118"/>
      <c r="P878" s="119"/>
      <c r="Q878" s="120"/>
      <c r="R878" s="29"/>
      <c r="S878" s="121"/>
      <c r="T878" s="122"/>
      <c r="U878" s="118"/>
      <c r="V878" s="123"/>
      <c r="W878" s="124"/>
      <c r="X878" s="125"/>
      <c r="Y878" s="29"/>
      <c r="Z878" s="122"/>
      <c r="AA878" s="126"/>
      <c r="AB878" s="16"/>
      <c r="AE878" s="23"/>
      <c r="AF878" s="23" t="s">
        <v>3447</v>
      </c>
      <c r="AI878" s="23" t="s">
        <v>3460</v>
      </c>
      <c r="AL878" s="23" t="s">
        <v>31</v>
      </c>
      <c r="AM878" s="23" t="s">
        <v>2426</v>
      </c>
      <c r="AO878" s="24"/>
      <c r="AP878" s="23"/>
      <c r="AQ878" s="129"/>
      <c r="AR878" s="130"/>
      <c r="AS878" s="131"/>
      <c r="AT878" s="29"/>
      <c r="AU878" s="122"/>
      <c r="AV878" s="129"/>
      <c r="AW878" s="136"/>
      <c r="AX878" s="137"/>
      <c r="AY878" s="134">
        <v>4</v>
      </c>
      <c r="AZ878" s="29" t="s">
        <v>1073</v>
      </c>
      <c r="BA878" s="122"/>
      <c r="BB878" s="135">
        <v>1</v>
      </c>
      <c r="BE878" s="24"/>
      <c r="BF878" s="23"/>
      <c r="BG878" s="23" t="s">
        <v>3461</v>
      </c>
    </row>
    <row r="879" spans="1:59" ht="15" customHeight="1">
      <c r="A879" s="23" t="s">
        <v>3376</v>
      </c>
      <c r="B879" s="23" t="s">
        <v>3462</v>
      </c>
      <c r="C879" s="23" t="s">
        <v>3378</v>
      </c>
      <c r="D879" s="23">
        <v>252</v>
      </c>
      <c r="E879" s="23">
        <v>2</v>
      </c>
      <c r="F879" s="23" t="s">
        <v>3413</v>
      </c>
      <c r="G879" s="23" t="s">
        <v>3446</v>
      </c>
      <c r="J879" s="23" t="s">
        <v>31</v>
      </c>
      <c r="K879" s="23" t="s">
        <v>2426</v>
      </c>
      <c r="N879" s="23"/>
      <c r="O879" s="118"/>
      <c r="P879" s="119"/>
      <c r="Q879" s="120"/>
      <c r="R879" s="29"/>
      <c r="S879" s="121"/>
      <c r="T879" s="122"/>
      <c r="U879" s="118"/>
      <c r="V879" s="123"/>
      <c r="W879" s="124"/>
      <c r="X879" s="125"/>
      <c r="Y879" s="29"/>
      <c r="Z879" s="122"/>
      <c r="AA879" s="126"/>
      <c r="AB879" s="16"/>
      <c r="AE879" s="23"/>
      <c r="AF879" s="23" t="s">
        <v>3447</v>
      </c>
      <c r="AI879" s="23" t="s">
        <v>3463</v>
      </c>
      <c r="AL879" s="23" t="s">
        <v>31</v>
      </c>
      <c r="AM879" s="23" t="s">
        <v>2426</v>
      </c>
      <c r="AO879" s="24"/>
      <c r="AP879" s="23"/>
      <c r="AQ879" s="129"/>
      <c r="AR879" s="130"/>
      <c r="AS879" s="131"/>
      <c r="AT879" s="29"/>
      <c r="AU879" s="122"/>
      <c r="AV879" s="129"/>
      <c r="AW879" s="136"/>
      <c r="AX879" s="137"/>
      <c r="AY879" s="134">
        <v>3</v>
      </c>
      <c r="AZ879" s="29" t="s">
        <v>1111</v>
      </c>
      <c r="BA879" s="122"/>
      <c r="BB879" s="135"/>
      <c r="BE879" s="24"/>
      <c r="BF879" s="23"/>
      <c r="BG879" s="23" t="s">
        <v>3464</v>
      </c>
    </row>
    <row r="880" spans="1:59" ht="15" customHeight="1">
      <c r="A880" s="23" t="s">
        <v>3376</v>
      </c>
      <c r="B880" s="23" t="s">
        <v>3465</v>
      </c>
      <c r="C880" s="23" t="s">
        <v>3378</v>
      </c>
      <c r="D880" s="23">
        <v>253</v>
      </c>
      <c r="E880" s="23">
        <v>2</v>
      </c>
      <c r="F880" s="23" t="s">
        <v>3413</v>
      </c>
      <c r="G880" s="23" t="s">
        <v>3446</v>
      </c>
      <c r="J880" s="23" t="s">
        <v>31</v>
      </c>
      <c r="K880" s="23" t="s">
        <v>2426</v>
      </c>
      <c r="N880" s="23"/>
      <c r="O880" s="118"/>
      <c r="P880" s="119"/>
      <c r="Q880" s="120"/>
      <c r="R880" s="29"/>
      <c r="S880" s="121"/>
      <c r="T880" s="122"/>
      <c r="U880" s="118"/>
      <c r="V880" s="123"/>
      <c r="W880" s="124"/>
      <c r="X880" s="125"/>
      <c r="Y880" s="145"/>
      <c r="Z880" s="122"/>
      <c r="AA880" s="126"/>
      <c r="AB880" s="16"/>
      <c r="AE880" s="23"/>
      <c r="AF880" s="23" t="s">
        <v>3447</v>
      </c>
      <c r="AI880" s="23" t="s">
        <v>3466</v>
      </c>
      <c r="AL880" s="23" t="s">
        <v>31</v>
      </c>
      <c r="AM880" s="23" t="s">
        <v>2426</v>
      </c>
      <c r="AO880" s="24"/>
      <c r="AP880" s="23"/>
      <c r="AQ880" s="129"/>
      <c r="AR880" s="130"/>
      <c r="AS880" s="131"/>
      <c r="AT880" s="29"/>
      <c r="AU880" s="122"/>
      <c r="AV880" s="129"/>
      <c r="AW880" s="136"/>
      <c r="AX880" s="137"/>
      <c r="AY880" s="134">
        <v>2</v>
      </c>
      <c r="AZ880" s="29" t="s">
        <v>1111</v>
      </c>
      <c r="BA880" s="122"/>
      <c r="BB880" s="135"/>
      <c r="BE880" s="24"/>
      <c r="BF880" s="23"/>
      <c r="BG880" s="23" t="s">
        <v>3467</v>
      </c>
    </row>
    <row r="881" spans="1:59" ht="15" customHeight="1">
      <c r="A881" s="23" t="s">
        <v>3376</v>
      </c>
      <c r="B881" s="23" t="s">
        <v>3468</v>
      </c>
      <c r="C881" s="23" t="s">
        <v>3378</v>
      </c>
      <c r="D881" s="23">
        <v>254</v>
      </c>
      <c r="E881" s="23">
        <v>1</v>
      </c>
      <c r="F881" s="23" t="s">
        <v>3413</v>
      </c>
      <c r="G881" s="23" t="s">
        <v>3446</v>
      </c>
      <c r="J881" s="23" t="s">
        <v>31</v>
      </c>
      <c r="K881" s="23" t="s">
        <v>2426</v>
      </c>
      <c r="N881" s="23"/>
      <c r="O881" s="118"/>
      <c r="P881" s="119"/>
      <c r="Q881" s="120"/>
      <c r="R881" s="29"/>
      <c r="S881" s="121"/>
      <c r="T881" s="122"/>
      <c r="U881" s="118"/>
      <c r="V881" s="123"/>
      <c r="W881" s="124"/>
      <c r="X881" s="125"/>
      <c r="Y881" s="145"/>
      <c r="Z881" s="122"/>
      <c r="AA881" s="126"/>
      <c r="AB881" s="16"/>
      <c r="AE881" s="23"/>
      <c r="AF881" s="23" t="s">
        <v>3447</v>
      </c>
      <c r="AI881" s="23" t="s">
        <v>3469</v>
      </c>
      <c r="AL881" s="23" t="s">
        <v>31</v>
      </c>
      <c r="AM881" s="23" t="s">
        <v>2426</v>
      </c>
      <c r="AO881" s="24"/>
      <c r="AP881" s="23"/>
      <c r="AQ881" s="129"/>
      <c r="AR881" s="130"/>
      <c r="AS881" s="131"/>
      <c r="AT881" s="29"/>
      <c r="AU881" s="122"/>
      <c r="AV881" s="129"/>
      <c r="AW881" s="136"/>
      <c r="AX881" s="137"/>
      <c r="AY881" s="134">
        <v>2</v>
      </c>
      <c r="AZ881" s="29" t="s">
        <v>1073</v>
      </c>
      <c r="BA881" s="122"/>
      <c r="BB881" s="135">
        <v>1</v>
      </c>
      <c r="BE881" s="24"/>
      <c r="BF881" s="23"/>
      <c r="BG881" s="23" t="s">
        <v>3470</v>
      </c>
    </row>
    <row r="882" spans="1:59" ht="15" customHeight="1">
      <c r="A882" s="23" t="s">
        <v>3376</v>
      </c>
      <c r="B882" s="23" t="s">
        <v>3471</v>
      </c>
      <c r="C882" s="23" t="s">
        <v>3378</v>
      </c>
      <c r="D882" s="23">
        <v>255</v>
      </c>
      <c r="E882" s="23">
        <v>1</v>
      </c>
      <c r="F882" s="23" t="s">
        <v>3413</v>
      </c>
      <c r="G882" s="23" t="s">
        <v>3446</v>
      </c>
      <c r="J882" s="23" t="s">
        <v>31</v>
      </c>
      <c r="K882" s="23" t="s">
        <v>2426</v>
      </c>
      <c r="N882" s="23"/>
      <c r="O882" s="118"/>
      <c r="P882" s="119"/>
      <c r="Q882" s="120"/>
      <c r="R882" s="29"/>
      <c r="S882" s="121"/>
      <c r="T882" s="122"/>
      <c r="U882" s="118"/>
      <c r="V882" s="123"/>
      <c r="W882" s="124"/>
      <c r="X882" s="125"/>
      <c r="Y882" s="29"/>
      <c r="Z882" s="122"/>
      <c r="AA882" s="126"/>
      <c r="AB882" s="16"/>
      <c r="AE882" s="23"/>
      <c r="AF882" s="23" t="s">
        <v>3447</v>
      </c>
      <c r="AI882" s="23" t="s">
        <v>3472</v>
      </c>
      <c r="AL882" s="23" t="s">
        <v>31</v>
      </c>
      <c r="AM882" s="23" t="s">
        <v>2426</v>
      </c>
      <c r="AP882" s="23"/>
      <c r="AQ882" s="118"/>
      <c r="AR882" s="119"/>
      <c r="AS882" s="120"/>
      <c r="AT882" s="29"/>
      <c r="AU882" s="122"/>
      <c r="AV882" s="118"/>
      <c r="AW882" s="123"/>
      <c r="AX882" s="124"/>
      <c r="AY882" s="125">
        <v>5</v>
      </c>
      <c r="AZ882" s="29" t="s">
        <v>1073</v>
      </c>
      <c r="BA882" s="122"/>
      <c r="BB882" s="126">
        <v>1</v>
      </c>
      <c r="BF882" s="23"/>
      <c r="BG882" s="23" t="s">
        <v>3473</v>
      </c>
    </row>
    <row r="883" spans="1:59" ht="15" customHeight="1">
      <c r="A883" s="23" t="s">
        <v>3376</v>
      </c>
      <c r="B883" s="23" t="s">
        <v>3474</v>
      </c>
      <c r="C883" s="23" t="s">
        <v>3378</v>
      </c>
      <c r="D883" s="23">
        <v>256</v>
      </c>
      <c r="E883" s="23">
        <v>1</v>
      </c>
      <c r="F883" s="23" t="s">
        <v>3413</v>
      </c>
      <c r="G883" s="23" t="s">
        <v>3446</v>
      </c>
      <c r="J883" s="23" t="s">
        <v>31</v>
      </c>
      <c r="K883" s="23" t="s">
        <v>2426</v>
      </c>
      <c r="N883" s="23"/>
      <c r="O883" s="118"/>
      <c r="P883" s="119"/>
      <c r="Q883" s="120"/>
      <c r="R883" s="29"/>
      <c r="S883" s="121"/>
      <c r="T883" s="122"/>
      <c r="U883" s="118"/>
      <c r="V883" s="123"/>
      <c r="W883" s="124"/>
      <c r="X883" s="125"/>
      <c r="Y883" s="29"/>
      <c r="Z883" s="122"/>
      <c r="AA883" s="126"/>
      <c r="AB883" s="16"/>
      <c r="AE883" s="23"/>
      <c r="AF883" s="23" t="s">
        <v>3447</v>
      </c>
      <c r="AI883" s="23" t="s">
        <v>3475</v>
      </c>
      <c r="AL883" s="23" t="s">
        <v>31</v>
      </c>
      <c r="AM883" s="23" t="s">
        <v>2426</v>
      </c>
      <c r="AP883" s="23"/>
      <c r="AQ883" s="118"/>
      <c r="AR883" s="119"/>
      <c r="AS883" s="120"/>
      <c r="AT883" s="29"/>
      <c r="AU883" s="122"/>
      <c r="AV883" s="118"/>
      <c r="AW883" s="123"/>
      <c r="AX883" s="124"/>
      <c r="AY883" s="125">
        <v>7</v>
      </c>
      <c r="AZ883" s="29">
        <v>0</v>
      </c>
      <c r="BA883" s="122"/>
      <c r="BB883" s="126"/>
      <c r="BF883" s="23"/>
      <c r="BG883" s="23" t="s">
        <v>3476</v>
      </c>
    </row>
    <row r="884" spans="1:59" ht="15" customHeight="1">
      <c r="A884" s="23" t="s">
        <v>3376</v>
      </c>
      <c r="B884" s="23" t="s">
        <v>3477</v>
      </c>
      <c r="C884" s="23" t="s">
        <v>3378</v>
      </c>
      <c r="D884" s="23">
        <v>257</v>
      </c>
      <c r="E884" s="23">
        <v>1</v>
      </c>
      <c r="F884" s="23" t="s">
        <v>3413</v>
      </c>
      <c r="G884" s="23" t="s">
        <v>3446</v>
      </c>
      <c r="J884" s="23" t="s">
        <v>31</v>
      </c>
      <c r="K884" s="23" t="s">
        <v>2426</v>
      </c>
      <c r="N884" s="23"/>
      <c r="O884" s="118"/>
      <c r="P884" s="119"/>
      <c r="Q884" s="120"/>
      <c r="R884" s="29"/>
      <c r="S884" s="121"/>
      <c r="T884" s="122"/>
      <c r="U884" s="118"/>
      <c r="V884" s="123"/>
      <c r="W884" s="124"/>
      <c r="X884" s="125"/>
      <c r="Y884" s="29"/>
      <c r="Z884" s="122"/>
      <c r="AA884" s="126"/>
      <c r="AB884" s="16"/>
      <c r="AE884" s="23"/>
      <c r="AF884" s="23" t="s">
        <v>3447</v>
      </c>
      <c r="AI884" s="23" t="s">
        <v>3478</v>
      </c>
      <c r="AL884" s="23" t="s">
        <v>31</v>
      </c>
      <c r="AM884" s="23" t="s">
        <v>2426</v>
      </c>
      <c r="AP884" s="23"/>
      <c r="AQ884" s="118"/>
      <c r="AR884" s="119"/>
      <c r="AS884" s="120"/>
      <c r="AT884" s="29"/>
      <c r="AU884" s="122"/>
      <c r="AV884" s="118"/>
      <c r="AW884" s="123"/>
      <c r="AX884" s="124"/>
      <c r="AY884" s="125">
        <v>4</v>
      </c>
      <c r="AZ884" s="29" t="s">
        <v>1111</v>
      </c>
      <c r="BA884" s="122"/>
      <c r="BB884" s="126">
        <v>1</v>
      </c>
      <c r="BF884" s="23"/>
      <c r="BG884" s="23" t="s">
        <v>3479</v>
      </c>
    </row>
    <row r="885" spans="1:59" ht="15" customHeight="1">
      <c r="A885" s="23" t="s">
        <v>3376</v>
      </c>
      <c r="B885" s="23" t="s">
        <v>3480</v>
      </c>
      <c r="C885" s="23" t="s">
        <v>3378</v>
      </c>
      <c r="D885" s="23">
        <v>258</v>
      </c>
      <c r="E885" s="23">
        <v>3</v>
      </c>
      <c r="F885" s="23" t="s">
        <v>3413</v>
      </c>
      <c r="G885" s="23" t="s">
        <v>3481</v>
      </c>
      <c r="J885" s="23" t="s">
        <v>29</v>
      </c>
      <c r="K885" s="23" t="s">
        <v>2426</v>
      </c>
      <c r="N885" s="23"/>
      <c r="O885" s="118"/>
      <c r="P885" s="119"/>
      <c r="Q885" s="120">
        <v>3</v>
      </c>
      <c r="R885" s="29">
        <v>2</v>
      </c>
      <c r="S885" s="121"/>
      <c r="T885" s="122">
        <v>2</v>
      </c>
      <c r="U885" s="118"/>
      <c r="V885" s="123"/>
      <c r="W885" s="124">
        <v>1</v>
      </c>
      <c r="X885" s="125"/>
      <c r="Y885" s="29"/>
      <c r="Z885" s="122"/>
      <c r="AA885" s="126"/>
      <c r="AB885" s="16"/>
      <c r="AD885" s="23" t="s">
        <v>2802</v>
      </c>
      <c r="AE885" s="23"/>
      <c r="AF885" s="23" t="s">
        <v>3482</v>
      </c>
      <c r="AP885" s="23"/>
      <c r="AQ885" s="118"/>
      <c r="AR885" s="119"/>
      <c r="AS885" s="120"/>
      <c r="AT885" s="29"/>
      <c r="AU885" s="122"/>
      <c r="AV885" s="118"/>
      <c r="AW885" s="123"/>
      <c r="AX885" s="124"/>
      <c r="AY885" s="125"/>
      <c r="AZ885" s="29"/>
      <c r="BA885" s="122"/>
      <c r="BB885" s="126"/>
      <c r="BF885" s="23"/>
    </row>
    <row r="886" spans="1:59" ht="15" customHeight="1">
      <c r="A886" s="23" t="s">
        <v>3376</v>
      </c>
      <c r="B886" s="23" t="s">
        <v>3483</v>
      </c>
      <c r="C886" s="23" t="s">
        <v>3378</v>
      </c>
      <c r="D886" s="23">
        <v>259</v>
      </c>
      <c r="E886" s="23">
        <v>3</v>
      </c>
      <c r="F886" s="23" t="s">
        <v>3413</v>
      </c>
      <c r="G886" s="23" t="s">
        <v>3484</v>
      </c>
      <c r="J886" s="23" t="s">
        <v>29</v>
      </c>
      <c r="K886" s="23" t="s">
        <v>2426</v>
      </c>
      <c r="N886" s="23"/>
      <c r="O886" s="118"/>
      <c r="P886" s="119"/>
      <c r="Q886" s="120">
        <v>3</v>
      </c>
      <c r="R886" s="29">
        <v>4</v>
      </c>
      <c r="S886" s="121"/>
      <c r="T886" s="122">
        <v>5</v>
      </c>
      <c r="U886" s="118"/>
      <c r="V886" s="123">
        <v>2</v>
      </c>
      <c r="W886" s="124">
        <v>1</v>
      </c>
      <c r="X886" s="125"/>
      <c r="Y886" s="29"/>
      <c r="Z886" s="122"/>
      <c r="AA886" s="126"/>
      <c r="AB886" s="16"/>
      <c r="AD886" s="23" t="s">
        <v>2784</v>
      </c>
      <c r="AE886" s="23"/>
      <c r="AF886" s="23" t="s">
        <v>3485</v>
      </c>
      <c r="AP886" s="23"/>
      <c r="AQ886" s="118"/>
      <c r="AR886" s="119"/>
      <c r="AS886" s="120"/>
      <c r="AT886" s="29"/>
      <c r="AU886" s="122"/>
      <c r="AV886" s="118"/>
      <c r="AW886" s="123"/>
      <c r="AX886" s="124"/>
      <c r="AY886" s="125"/>
      <c r="AZ886" s="29"/>
      <c r="BA886" s="122"/>
      <c r="BB886" s="126"/>
      <c r="BF886" s="23"/>
    </row>
    <row r="887" spans="1:59" ht="15" customHeight="1">
      <c r="A887" s="23" t="s">
        <v>3376</v>
      </c>
      <c r="B887" s="23" t="s">
        <v>3486</v>
      </c>
      <c r="C887" s="23" t="s">
        <v>3378</v>
      </c>
      <c r="D887" s="23">
        <v>260</v>
      </c>
      <c r="E887" s="23">
        <v>3</v>
      </c>
      <c r="F887" s="23" t="s">
        <v>3413</v>
      </c>
      <c r="G887" s="23" t="s">
        <v>3487</v>
      </c>
      <c r="J887" s="23" t="s">
        <v>28</v>
      </c>
      <c r="K887" s="23" t="s">
        <v>2426</v>
      </c>
      <c r="N887" s="23"/>
      <c r="O887" s="118"/>
      <c r="P887" s="119"/>
      <c r="Q887" s="120"/>
      <c r="R887" s="29"/>
      <c r="S887" s="121"/>
      <c r="T887" s="122"/>
      <c r="U887" s="118"/>
      <c r="V887" s="123"/>
      <c r="W887" s="124"/>
      <c r="X887" s="125"/>
      <c r="Y887" s="29"/>
      <c r="Z887" s="122"/>
      <c r="AA887" s="126"/>
      <c r="AB887" s="16"/>
      <c r="AD887" s="23" t="s">
        <v>481</v>
      </c>
      <c r="AE887" s="23"/>
      <c r="AF887" s="23" t="s">
        <v>3488</v>
      </c>
      <c r="AP887" s="23"/>
      <c r="AQ887" s="118"/>
      <c r="AR887" s="119"/>
      <c r="AS887" s="120"/>
      <c r="AT887" s="29"/>
      <c r="AU887" s="122"/>
      <c r="AV887" s="118"/>
      <c r="AW887" s="123"/>
      <c r="AX887" s="124"/>
      <c r="AY887" s="125"/>
      <c r="AZ887" s="29"/>
      <c r="BA887" s="122"/>
      <c r="BB887" s="126"/>
      <c r="BF887" s="23"/>
    </row>
    <row r="888" spans="1:59" ht="15" customHeight="1">
      <c r="A888" s="23" t="s">
        <v>3376</v>
      </c>
      <c r="B888" s="23" t="s">
        <v>3489</v>
      </c>
      <c r="C888" s="23" t="s">
        <v>3378</v>
      </c>
      <c r="D888" s="23">
        <v>261</v>
      </c>
      <c r="E888" s="23">
        <v>3</v>
      </c>
      <c r="F888" s="23" t="s">
        <v>3413</v>
      </c>
      <c r="G888" s="23" t="s">
        <v>3490</v>
      </c>
      <c r="J888" s="23" t="s">
        <v>28</v>
      </c>
      <c r="K888" s="23" t="s">
        <v>2426</v>
      </c>
      <c r="N888" s="23"/>
      <c r="O888" s="118"/>
      <c r="P888" s="119"/>
      <c r="Q888" s="120"/>
      <c r="R888" s="29"/>
      <c r="S888" s="121"/>
      <c r="T888" s="122"/>
      <c r="U888" s="118"/>
      <c r="V888" s="123"/>
      <c r="W888" s="124"/>
      <c r="X888" s="125"/>
      <c r="Y888" s="29"/>
      <c r="Z888" s="122"/>
      <c r="AA888" s="126"/>
      <c r="AB888" s="16"/>
      <c r="AD888" s="23" t="s">
        <v>481</v>
      </c>
      <c r="AE888" s="23"/>
      <c r="AF888" s="23" t="s">
        <v>3491</v>
      </c>
      <c r="AP888" s="23"/>
      <c r="AQ888" s="118"/>
      <c r="AR888" s="119"/>
      <c r="AS888" s="120"/>
      <c r="AT888" s="29"/>
      <c r="AU888" s="122"/>
      <c r="AV888" s="118"/>
      <c r="AW888" s="123"/>
      <c r="AX888" s="124"/>
      <c r="AY888" s="125"/>
      <c r="AZ888" s="29"/>
      <c r="BA888" s="122"/>
      <c r="BB888" s="126"/>
      <c r="BF888" s="23"/>
    </row>
    <row r="889" spans="1:59" ht="15" customHeight="1">
      <c r="A889" s="23" t="s">
        <v>3376</v>
      </c>
      <c r="B889" s="23" t="s">
        <v>3492</v>
      </c>
      <c r="C889" s="23" t="s">
        <v>3378</v>
      </c>
      <c r="D889" s="23">
        <v>262</v>
      </c>
      <c r="E889" s="23">
        <v>3</v>
      </c>
      <c r="F889" s="23" t="s">
        <v>3413</v>
      </c>
      <c r="G889" s="23" t="s">
        <v>3493</v>
      </c>
      <c r="J889" s="23" t="s">
        <v>28</v>
      </c>
      <c r="K889" s="23" t="s">
        <v>2426</v>
      </c>
      <c r="N889" s="23"/>
      <c r="O889" s="118"/>
      <c r="P889" s="119"/>
      <c r="Q889" s="120"/>
      <c r="R889" s="29"/>
      <c r="S889" s="121"/>
      <c r="T889" s="122"/>
      <c r="U889" s="118"/>
      <c r="V889" s="123"/>
      <c r="W889" s="124"/>
      <c r="X889" s="125"/>
      <c r="Y889" s="29"/>
      <c r="Z889" s="122"/>
      <c r="AA889" s="126"/>
      <c r="AB889" s="16"/>
      <c r="AD889" s="23" t="s">
        <v>479</v>
      </c>
      <c r="AE889" s="23"/>
      <c r="AF889" s="23" t="s">
        <v>3494</v>
      </c>
      <c r="AP889" s="23"/>
      <c r="AQ889" s="118"/>
      <c r="AR889" s="119"/>
      <c r="AS889" s="120"/>
      <c r="AT889" s="29"/>
      <c r="AU889" s="122"/>
      <c r="AV889" s="118"/>
      <c r="AW889" s="123"/>
      <c r="AX889" s="124"/>
      <c r="AY889" s="125"/>
      <c r="AZ889" s="29"/>
      <c r="BA889" s="122"/>
      <c r="BB889" s="126"/>
      <c r="BF889" s="23"/>
    </row>
    <row r="890" spans="1:59" ht="15" customHeight="1">
      <c r="A890" s="23" t="s">
        <v>3497</v>
      </c>
      <c r="B890" s="23" t="s">
        <v>3498</v>
      </c>
      <c r="C890" s="23" t="s">
        <v>3632</v>
      </c>
      <c r="D890" s="24">
        <v>263</v>
      </c>
      <c r="E890" s="23">
        <v>2</v>
      </c>
      <c r="G890" s="23" t="s">
        <v>3499</v>
      </c>
      <c r="J890" s="23" t="s">
        <v>27</v>
      </c>
      <c r="K890" s="23" t="s">
        <v>198</v>
      </c>
      <c r="L890" s="23">
        <v>0</v>
      </c>
      <c r="N890" s="62">
        <v>1</v>
      </c>
      <c r="P890" s="64">
        <v>1</v>
      </c>
      <c r="Q890" s="65">
        <v>1</v>
      </c>
      <c r="AB890" s="23" t="s">
        <v>1091</v>
      </c>
      <c r="AD890" s="23" t="s">
        <v>307</v>
      </c>
      <c r="AF890" s="23" t="s">
        <v>3500</v>
      </c>
      <c r="AP890" s="73"/>
      <c r="AQ890" s="75"/>
      <c r="AR890" s="76"/>
      <c r="AS890" s="77"/>
      <c r="AV890" s="75"/>
      <c r="AW890" s="83"/>
      <c r="AX890" s="84"/>
      <c r="AY890" s="80"/>
      <c r="BB890" s="81"/>
    </row>
    <row r="891" spans="1:59" ht="15" customHeight="1">
      <c r="A891" s="23" t="s">
        <v>3497</v>
      </c>
      <c r="B891" s="23" t="s">
        <v>3501</v>
      </c>
      <c r="C891" s="23" t="s">
        <v>3632</v>
      </c>
      <c r="D891" s="24">
        <v>264</v>
      </c>
      <c r="E891" s="23">
        <v>2</v>
      </c>
      <c r="G891" s="23" t="s">
        <v>3502</v>
      </c>
      <c r="J891" s="23" t="s">
        <v>257</v>
      </c>
      <c r="K891" s="23" t="s">
        <v>198</v>
      </c>
      <c r="L891" s="23">
        <v>3</v>
      </c>
      <c r="N891" s="62" t="s">
        <v>38</v>
      </c>
      <c r="AD891" s="23" t="s">
        <v>289</v>
      </c>
      <c r="AE891" s="24" t="s">
        <v>3653</v>
      </c>
      <c r="AF891" s="23" t="s">
        <v>4284</v>
      </c>
      <c r="AP891" s="73"/>
      <c r="AQ891" s="75"/>
      <c r="AR891" s="76"/>
      <c r="AS891" s="77"/>
      <c r="AV891" s="75"/>
      <c r="AW891" s="83"/>
      <c r="AX891" s="84"/>
      <c r="AY891" s="80"/>
      <c r="BB891" s="81"/>
    </row>
    <row r="892" spans="1:59" ht="15" customHeight="1">
      <c r="A892" s="23" t="s">
        <v>3497</v>
      </c>
      <c r="B892" s="23" t="s">
        <v>3503</v>
      </c>
      <c r="C892" s="23" t="s">
        <v>3632</v>
      </c>
      <c r="D892" s="24">
        <v>265</v>
      </c>
      <c r="E892" s="23">
        <v>2</v>
      </c>
      <c r="G892" s="23" t="s">
        <v>3504</v>
      </c>
      <c r="J892" s="23" t="s">
        <v>27</v>
      </c>
      <c r="K892" s="23" t="s">
        <v>199</v>
      </c>
      <c r="L892" s="23">
        <v>0</v>
      </c>
      <c r="N892" s="62">
        <v>0</v>
      </c>
      <c r="S892" s="113">
        <v>1</v>
      </c>
      <c r="AB892" s="23" t="s">
        <v>208</v>
      </c>
      <c r="AD892" s="23" t="s">
        <v>340</v>
      </c>
      <c r="AF892" s="23" t="s">
        <v>3505</v>
      </c>
      <c r="AP892" s="73"/>
      <c r="AQ892" s="75"/>
      <c r="AR892" s="76"/>
      <c r="AS892" s="77"/>
      <c r="AV892" s="75"/>
      <c r="AW892" s="83"/>
      <c r="AX892" s="84"/>
      <c r="AY892" s="80"/>
      <c r="BB892" s="81"/>
    </row>
    <row r="893" spans="1:59" ht="15" customHeight="1">
      <c r="A893" s="23" t="s">
        <v>3497</v>
      </c>
      <c r="B893" s="23" t="s">
        <v>3506</v>
      </c>
      <c r="C893" s="23" t="s">
        <v>3632</v>
      </c>
      <c r="D893" s="24">
        <v>266</v>
      </c>
      <c r="E893" s="23">
        <v>2</v>
      </c>
      <c r="G893" s="23" t="s">
        <v>3507</v>
      </c>
      <c r="J893" s="23" t="s">
        <v>257</v>
      </c>
      <c r="K893" s="23" t="s">
        <v>199</v>
      </c>
      <c r="L893" s="23">
        <v>4</v>
      </c>
      <c r="N893" s="62">
        <v>3</v>
      </c>
      <c r="O893" s="63">
        <v>1</v>
      </c>
      <c r="P893" s="64">
        <v>1</v>
      </c>
      <c r="AB893" s="23" t="s">
        <v>2322</v>
      </c>
      <c r="AC893" s="23" t="s">
        <v>378</v>
      </c>
      <c r="AD893" s="23" t="s">
        <v>279</v>
      </c>
      <c r="AF893" s="23" t="s">
        <v>3508</v>
      </c>
      <c r="AP893" s="73"/>
      <c r="AQ893" s="75"/>
      <c r="AR893" s="76"/>
      <c r="AS893" s="77"/>
      <c r="AV893" s="75"/>
      <c r="AW893" s="83"/>
      <c r="AX893" s="84"/>
      <c r="AY893" s="80"/>
      <c r="BB893" s="81"/>
    </row>
    <row r="894" spans="1:59" ht="15" customHeight="1">
      <c r="A894" s="23" t="s">
        <v>3497</v>
      </c>
      <c r="B894" s="23" t="s">
        <v>3509</v>
      </c>
      <c r="C894" s="23" t="s">
        <v>3632</v>
      </c>
      <c r="D894" s="24">
        <v>267</v>
      </c>
      <c r="E894" s="23">
        <v>2</v>
      </c>
      <c r="G894" s="23" t="s">
        <v>3510</v>
      </c>
      <c r="J894" s="23" t="s">
        <v>27</v>
      </c>
      <c r="K894" s="23" t="s">
        <v>201</v>
      </c>
      <c r="L894" s="23">
        <v>0</v>
      </c>
      <c r="N894" s="62">
        <v>0</v>
      </c>
      <c r="R894" s="66">
        <v>2</v>
      </c>
      <c r="AB894" s="23" t="s">
        <v>1095</v>
      </c>
      <c r="AD894" s="23" t="s">
        <v>372</v>
      </c>
      <c r="AF894" s="23" t="s">
        <v>3511</v>
      </c>
      <c r="AP894" s="73"/>
      <c r="AQ894" s="75"/>
      <c r="AR894" s="76"/>
      <c r="AS894" s="77"/>
      <c r="AV894" s="75"/>
      <c r="AW894" s="83"/>
      <c r="AX894" s="84"/>
      <c r="AY894" s="80"/>
      <c r="BB894" s="81"/>
    </row>
    <row r="895" spans="1:59" ht="15" customHeight="1">
      <c r="A895" s="23" t="s">
        <v>3497</v>
      </c>
      <c r="B895" s="23" t="s">
        <v>3512</v>
      </c>
      <c r="C895" s="23" t="s">
        <v>3632</v>
      </c>
      <c r="D895" s="24">
        <v>268</v>
      </c>
      <c r="E895" s="23">
        <v>2</v>
      </c>
      <c r="G895" s="23" t="s">
        <v>3513</v>
      </c>
      <c r="J895" s="23" t="s">
        <v>257</v>
      </c>
      <c r="K895" s="23" t="s">
        <v>201</v>
      </c>
      <c r="L895" s="23">
        <v>4</v>
      </c>
      <c r="N895" s="62">
        <v>3</v>
      </c>
      <c r="O895" s="63">
        <v>1</v>
      </c>
      <c r="R895" s="66">
        <v>1</v>
      </c>
      <c r="AB895" s="23" t="s">
        <v>2188</v>
      </c>
      <c r="AC895" s="23" t="s">
        <v>378</v>
      </c>
      <c r="AD895" s="23" t="s">
        <v>279</v>
      </c>
      <c r="AF895" s="23" t="s">
        <v>3514</v>
      </c>
      <c r="AP895" s="73"/>
      <c r="AQ895" s="75"/>
      <c r="AR895" s="76"/>
      <c r="AS895" s="77"/>
      <c r="AV895" s="75"/>
      <c r="AW895" s="83"/>
      <c r="AX895" s="84"/>
      <c r="AY895" s="80"/>
      <c r="BB895" s="81"/>
    </row>
    <row r="896" spans="1:59" ht="15" customHeight="1">
      <c r="A896" s="23" t="s">
        <v>3497</v>
      </c>
      <c r="B896" s="23" t="s">
        <v>3515</v>
      </c>
      <c r="C896" s="23" t="s">
        <v>3632</v>
      </c>
      <c r="D896" s="24">
        <v>269</v>
      </c>
      <c r="E896" s="23">
        <v>2</v>
      </c>
      <c r="G896" s="23" t="s">
        <v>3516</v>
      </c>
      <c r="H896" s="23" t="s">
        <v>3517</v>
      </c>
      <c r="I896" s="23" t="s">
        <v>223</v>
      </c>
      <c r="J896" s="23" t="s">
        <v>257</v>
      </c>
      <c r="K896" s="23" t="s">
        <v>200</v>
      </c>
      <c r="L896" s="23">
        <v>0</v>
      </c>
      <c r="N896" s="62">
        <v>4</v>
      </c>
      <c r="O896" s="63">
        <v>1</v>
      </c>
      <c r="AB896" s="23" t="s">
        <v>204</v>
      </c>
      <c r="AC896" s="23" t="s">
        <v>275</v>
      </c>
      <c r="AD896" s="23" t="s">
        <v>375</v>
      </c>
      <c r="AF896" s="23" t="s">
        <v>3518</v>
      </c>
      <c r="AP896" s="73"/>
      <c r="AQ896" s="75"/>
      <c r="AR896" s="76"/>
      <c r="AS896" s="77"/>
      <c r="AV896" s="75"/>
      <c r="AW896" s="83"/>
      <c r="AX896" s="84"/>
      <c r="AY896" s="80"/>
      <c r="BB896" s="81"/>
    </row>
    <row r="897" spans="1:59" ht="15" customHeight="1">
      <c r="A897" s="23" t="s">
        <v>3497</v>
      </c>
      <c r="B897" s="23" t="s">
        <v>3519</v>
      </c>
      <c r="C897" s="23" t="s">
        <v>3632</v>
      </c>
      <c r="D897" s="24">
        <v>270</v>
      </c>
      <c r="E897" s="23">
        <v>2</v>
      </c>
      <c r="G897" s="23" t="s">
        <v>673</v>
      </c>
      <c r="J897" s="23" t="s">
        <v>27</v>
      </c>
      <c r="K897" s="23" t="s">
        <v>200</v>
      </c>
      <c r="L897" s="23">
        <v>2</v>
      </c>
      <c r="N897" s="62">
        <v>1</v>
      </c>
      <c r="S897" s="113">
        <v>1</v>
      </c>
      <c r="AB897" s="23" t="s">
        <v>208</v>
      </c>
      <c r="AD897" s="23" t="s">
        <v>674</v>
      </c>
      <c r="AF897" s="23" t="s">
        <v>3520</v>
      </c>
      <c r="AP897" s="73"/>
      <c r="AQ897" s="75"/>
      <c r="AR897" s="76"/>
      <c r="AS897" s="77"/>
      <c r="AV897" s="75"/>
      <c r="AW897" s="83"/>
      <c r="AX897" s="84"/>
      <c r="AY897" s="80"/>
      <c r="BB897" s="81"/>
    </row>
    <row r="898" spans="1:59" ht="15" customHeight="1">
      <c r="A898" s="23" t="s">
        <v>3497</v>
      </c>
      <c r="B898" s="23" t="s">
        <v>3521</v>
      </c>
      <c r="C898" s="23" t="s">
        <v>3632</v>
      </c>
      <c r="D898" s="24">
        <v>271</v>
      </c>
      <c r="E898" s="23">
        <v>2</v>
      </c>
      <c r="G898" s="23" t="s">
        <v>669</v>
      </c>
      <c r="J898" s="23" t="s">
        <v>257</v>
      </c>
      <c r="K898" s="23" t="s">
        <v>200</v>
      </c>
      <c r="L898" s="23">
        <v>3</v>
      </c>
      <c r="N898" s="62">
        <v>0</v>
      </c>
      <c r="O898" s="63">
        <v>1</v>
      </c>
      <c r="Q898" s="65">
        <v>1</v>
      </c>
      <c r="T898" s="68">
        <v>1</v>
      </c>
      <c r="U898" s="63">
        <v>3</v>
      </c>
      <c r="AB898" s="23" t="s">
        <v>2179</v>
      </c>
      <c r="AC898" s="23" t="s">
        <v>25</v>
      </c>
      <c r="AD898" s="23" t="s">
        <v>670</v>
      </c>
      <c r="AF898" s="23" t="s">
        <v>3522</v>
      </c>
      <c r="AP898" s="73"/>
      <c r="AQ898" s="75"/>
      <c r="AR898" s="76"/>
      <c r="AS898" s="77"/>
      <c r="AV898" s="75"/>
      <c r="AW898" s="83"/>
      <c r="AX898" s="84"/>
      <c r="AY898" s="80"/>
      <c r="BB898" s="81"/>
    </row>
    <row r="899" spans="1:59" ht="15" customHeight="1">
      <c r="A899" s="23" t="s">
        <v>3497</v>
      </c>
      <c r="B899" s="23" t="s">
        <v>3523</v>
      </c>
      <c r="C899" s="23" t="s">
        <v>3632</v>
      </c>
      <c r="D899" s="24">
        <v>272</v>
      </c>
      <c r="E899" s="23">
        <v>2</v>
      </c>
      <c r="G899" s="23" t="s">
        <v>3524</v>
      </c>
      <c r="J899" s="23" t="s">
        <v>312</v>
      </c>
      <c r="K899" s="23" t="s">
        <v>202</v>
      </c>
      <c r="L899" s="23">
        <v>0</v>
      </c>
      <c r="O899" s="63">
        <v>1</v>
      </c>
      <c r="Q899" s="65">
        <v>1</v>
      </c>
      <c r="R899" s="66">
        <v>1</v>
      </c>
      <c r="AB899" s="23" t="s">
        <v>3396</v>
      </c>
      <c r="AD899" s="23" t="s">
        <v>412</v>
      </c>
      <c r="AF899" s="23" t="s">
        <v>3525</v>
      </c>
      <c r="AP899" s="73"/>
      <c r="AQ899" s="75"/>
      <c r="AR899" s="76"/>
      <c r="AS899" s="77"/>
      <c r="AV899" s="75"/>
      <c r="AW899" s="83"/>
      <c r="AX899" s="84"/>
      <c r="AY899" s="80"/>
      <c r="BB899" s="81"/>
    </row>
    <row r="900" spans="1:59" ht="15" customHeight="1">
      <c r="A900" s="23" t="s">
        <v>3497</v>
      </c>
      <c r="B900" s="23" t="s">
        <v>3526</v>
      </c>
      <c r="C900" s="23" t="s">
        <v>3632</v>
      </c>
      <c r="D900" s="24">
        <v>273</v>
      </c>
      <c r="E900" s="23">
        <v>2</v>
      </c>
      <c r="G900" s="23" t="s">
        <v>3527</v>
      </c>
      <c r="J900" s="23" t="s">
        <v>27</v>
      </c>
      <c r="K900" s="23" t="s">
        <v>202</v>
      </c>
      <c r="L900" s="23">
        <v>3</v>
      </c>
      <c r="N900" s="62">
        <v>3</v>
      </c>
      <c r="AD900" s="23" t="s">
        <v>1805</v>
      </c>
      <c r="AF900" s="23" t="s">
        <v>3528</v>
      </c>
      <c r="AP900" s="73"/>
      <c r="AQ900" s="75"/>
      <c r="AR900" s="76"/>
      <c r="AS900" s="77"/>
      <c r="AV900" s="75"/>
      <c r="AW900" s="83"/>
      <c r="AX900" s="84"/>
      <c r="AY900" s="80"/>
      <c r="BB900" s="81"/>
    </row>
    <row r="901" spans="1:59" ht="15" customHeight="1">
      <c r="A901" s="23" t="s">
        <v>3497</v>
      </c>
      <c r="B901" s="23" t="s">
        <v>3529</v>
      </c>
      <c r="C901" s="23" t="s">
        <v>3632</v>
      </c>
      <c r="D901" s="24">
        <v>274</v>
      </c>
      <c r="E901" s="23">
        <v>1</v>
      </c>
      <c r="F901" s="23" t="s">
        <v>2787</v>
      </c>
      <c r="G901" s="23" t="s">
        <v>2787</v>
      </c>
      <c r="J901" s="23" t="s">
        <v>618</v>
      </c>
      <c r="K901" s="23" t="s">
        <v>2426</v>
      </c>
      <c r="AF901" s="23" t="s">
        <v>3530</v>
      </c>
      <c r="AI901" s="23" t="s">
        <v>2787</v>
      </c>
      <c r="AL901" s="23" t="s">
        <v>618</v>
      </c>
      <c r="AM901" s="23" t="s">
        <v>2426</v>
      </c>
      <c r="AP901" s="73"/>
      <c r="AQ901" s="75"/>
      <c r="AR901" s="76"/>
      <c r="AS901" s="77"/>
      <c r="AV901" s="75"/>
      <c r="AW901" s="83"/>
      <c r="AX901" s="84"/>
      <c r="AY901" s="80"/>
      <c r="BB901" s="81"/>
      <c r="BG901" s="23" t="s">
        <v>3531</v>
      </c>
    </row>
    <row r="902" spans="1:59" ht="15" customHeight="1">
      <c r="A902" s="23" t="s">
        <v>3497</v>
      </c>
      <c r="B902" s="23" t="s">
        <v>3532</v>
      </c>
      <c r="C902" s="23" t="s">
        <v>3632</v>
      </c>
      <c r="D902" s="24">
        <v>275</v>
      </c>
      <c r="E902" s="23">
        <v>1</v>
      </c>
      <c r="F902" s="23" t="s">
        <v>2787</v>
      </c>
      <c r="G902" s="23" t="s">
        <v>3533</v>
      </c>
      <c r="J902" s="23" t="s">
        <v>619</v>
      </c>
      <c r="K902" s="23" t="s">
        <v>2426</v>
      </c>
      <c r="L902" s="23">
        <v>1</v>
      </c>
      <c r="Z902" s="68">
        <v>5</v>
      </c>
      <c r="AF902" s="23" t="s">
        <v>3534</v>
      </c>
      <c r="AI902" s="23" t="s">
        <v>3535</v>
      </c>
      <c r="AL902" s="23" t="s">
        <v>619</v>
      </c>
      <c r="AM902" s="23" t="s">
        <v>2426</v>
      </c>
      <c r="AN902" s="23">
        <v>1</v>
      </c>
      <c r="AP902" s="73"/>
      <c r="AQ902" s="75"/>
      <c r="AR902" s="76"/>
      <c r="AS902" s="77"/>
      <c r="AV902" s="75"/>
      <c r="AW902" s="83"/>
      <c r="AX902" s="84"/>
      <c r="AY902" s="80"/>
      <c r="BB902" s="81"/>
      <c r="BG902" s="23" t="s">
        <v>3536</v>
      </c>
    </row>
    <row r="903" spans="1:59" ht="15" customHeight="1">
      <c r="A903" s="23" t="s">
        <v>3497</v>
      </c>
      <c r="B903" s="23" t="s">
        <v>3537</v>
      </c>
      <c r="C903" s="23" t="s">
        <v>3632</v>
      </c>
      <c r="D903" s="24">
        <v>276</v>
      </c>
      <c r="E903" s="23">
        <v>1</v>
      </c>
      <c r="F903" s="23" t="s">
        <v>3538</v>
      </c>
      <c r="G903" s="23" t="s">
        <v>3539</v>
      </c>
      <c r="J903" s="23" t="s">
        <v>619</v>
      </c>
      <c r="K903" s="23" t="s">
        <v>2426</v>
      </c>
      <c r="L903" s="23">
        <v>2</v>
      </c>
      <c r="Z903" s="68">
        <v>6</v>
      </c>
      <c r="AF903" s="23" t="s">
        <v>3540</v>
      </c>
      <c r="AI903" s="23" t="s">
        <v>3541</v>
      </c>
      <c r="AL903" s="23" t="s">
        <v>619</v>
      </c>
      <c r="AM903" s="23" t="s">
        <v>2426</v>
      </c>
      <c r="AN903" s="23">
        <v>2</v>
      </c>
      <c r="AP903" s="73"/>
      <c r="AQ903" s="75"/>
      <c r="AR903" s="76"/>
      <c r="AS903" s="77"/>
      <c r="AV903" s="75"/>
      <c r="AW903" s="83"/>
      <c r="AX903" s="84"/>
      <c r="AY903" s="80"/>
      <c r="BB903" s="81"/>
      <c r="BG903" s="23" t="s">
        <v>3542</v>
      </c>
    </row>
    <row r="904" spans="1:59" ht="15" customHeight="1">
      <c r="A904" s="23" t="s">
        <v>3497</v>
      </c>
      <c r="B904" s="23" t="s">
        <v>3543</v>
      </c>
      <c r="C904" s="23" t="s">
        <v>3632</v>
      </c>
      <c r="D904" s="24">
        <v>276</v>
      </c>
      <c r="E904" s="23">
        <v>1</v>
      </c>
      <c r="F904" s="23" t="s">
        <v>3544</v>
      </c>
      <c r="G904" s="23" t="s">
        <v>3539</v>
      </c>
      <c r="J904" s="23" t="s">
        <v>619</v>
      </c>
      <c r="K904" s="23" t="s">
        <v>2426</v>
      </c>
      <c r="L904" s="23">
        <v>2</v>
      </c>
      <c r="Z904" s="68">
        <v>6</v>
      </c>
      <c r="AF904" s="23" t="s">
        <v>3540</v>
      </c>
      <c r="AI904" s="23" t="s">
        <v>2938</v>
      </c>
      <c r="AL904" s="23" t="s">
        <v>619</v>
      </c>
      <c r="AM904" s="23" t="s">
        <v>2426</v>
      </c>
      <c r="AN904" s="23">
        <v>2</v>
      </c>
      <c r="AP904" s="73"/>
      <c r="AQ904" s="75"/>
      <c r="AR904" s="76"/>
      <c r="AS904" s="77"/>
      <c r="AV904" s="75"/>
      <c r="AW904" s="83"/>
      <c r="AX904" s="84"/>
      <c r="AY904" s="80"/>
      <c r="BB904" s="81"/>
      <c r="BG904" s="23" t="s">
        <v>3545</v>
      </c>
    </row>
    <row r="905" spans="1:59" ht="15" customHeight="1">
      <c r="A905" s="23" t="s">
        <v>3497</v>
      </c>
      <c r="B905" s="23" t="s">
        <v>3546</v>
      </c>
      <c r="C905" s="23" t="s">
        <v>3632</v>
      </c>
      <c r="D905" s="24">
        <v>277</v>
      </c>
      <c r="E905" s="23">
        <v>1</v>
      </c>
      <c r="F905" s="23" t="s">
        <v>2787</v>
      </c>
      <c r="G905" s="23" t="s">
        <v>3547</v>
      </c>
      <c r="J905" s="23" t="s">
        <v>619</v>
      </c>
      <c r="K905" s="23" t="s">
        <v>2426</v>
      </c>
      <c r="L905" s="23">
        <v>3</v>
      </c>
      <c r="Z905" s="68">
        <v>8</v>
      </c>
      <c r="AF905" s="23" t="s">
        <v>3548</v>
      </c>
      <c r="AI905" s="23" t="s">
        <v>3549</v>
      </c>
      <c r="AL905" s="23" t="s">
        <v>619</v>
      </c>
      <c r="AM905" s="23" t="s">
        <v>2426</v>
      </c>
      <c r="AN905" s="23">
        <v>3</v>
      </c>
      <c r="AP905" s="73"/>
      <c r="AQ905" s="75"/>
      <c r="AR905" s="76"/>
      <c r="AS905" s="77"/>
      <c r="AV905" s="75"/>
      <c r="AW905" s="83"/>
      <c r="AX905" s="84"/>
      <c r="AY905" s="80"/>
      <c r="BB905" s="81"/>
      <c r="BG905" s="23" t="s">
        <v>1487</v>
      </c>
    </row>
    <row r="906" spans="1:59" ht="15" customHeight="1">
      <c r="A906" s="23" t="s">
        <v>3497</v>
      </c>
      <c r="B906" s="23" t="s">
        <v>3550</v>
      </c>
      <c r="C906" s="23" t="s">
        <v>3632</v>
      </c>
      <c r="D906" s="24">
        <v>278</v>
      </c>
      <c r="E906" s="23">
        <v>1</v>
      </c>
      <c r="F906" s="23" t="s">
        <v>2787</v>
      </c>
      <c r="G906" s="23" t="s">
        <v>788</v>
      </c>
      <c r="J906" s="23" t="s">
        <v>619</v>
      </c>
      <c r="K906" s="23" t="s">
        <v>2426</v>
      </c>
      <c r="L906" s="23">
        <v>1</v>
      </c>
      <c r="Z906" s="68">
        <v>5</v>
      </c>
      <c r="AF906" s="23" t="s">
        <v>3551</v>
      </c>
      <c r="AI906" s="23" t="s">
        <v>3552</v>
      </c>
      <c r="AL906" s="23" t="s">
        <v>619</v>
      </c>
      <c r="AM906" s="23" t="s">
        <v>2426</v>
      </c>
      <c r="AN906" s="23">
        <v>1</v>
      </c>
      <c r="AP906" s="73"/>
      <c r="AQ906" s="75"/>
      <c r="AR906" s="76"/>
      <c r="AS906" s="77"/>
      <c r="AV906" s="75"/>
      <c r="AW906" s="83"/>
      <c r="AX906" s="84"/>
      <c r="AY906" s="80"/>
      <c r="BB906" s="81"/>
      <c r="BG906" s="23" t="s">
        <v>3553</v>
      </c>
    </row>
    <row r="907" spans="1:59" ht="15" customHeight="1">
      <c r="A907" s="23" t="s">
        <v>3497</v>
      </c>
      <c r="B907" s="23" t="s">
        <v>3554</v>
      </c>
      <c r="C907" s="23" t="s">
        <v>3632</v>
      </c>
      <c r="D907" s="24">
        <v>279</v>
      </c>
      <c r="E907" s="23">
        <v>1</v>
      </c>
      <c r="F907" s="23" t="s">
        <v>3544</v>
      </c>
      <c r="G907" s="23" t="s">
        <v>3555</v>
      </c>
      <c r="J907" s="23" t="s">
        <v>619</v>
      </c>
      <c r="K907" s="23" t="s">
        <v>2426</v>
      </c>
      <c r="L907" s="23">
        <v>2</v>
      </c>
      <c r="Z907" s="68">
        <v>6</v>
      </c>
      <c r="AF907" s="23" t="s">
        <v>3556</v>
      </c>
      <c r="AI907" s="23" t="s">
        <v>3541</v>
      </c>
      <c r="AL907" s="23" t="s">
        <v>619</v>
      </c>
      <c r="AM907" s="23" t="s">
        <v>2426</v>
      </c>
      <c r="AN907" s="23">
        <v>2</v>
      </c>
      <c r="AP907" s="73"/>
      <c r="AQ907" s="75"/>
      <c r="AR907" s="76"/>
      <c r="AS907" s="77"/>
      <c r="AV907" s="75"/>
      <c r="AW907" s="83"/>
      <c r="AX907" s="84"/>
      <c r="AY907" s="80"/>
      <c r="BB907" s="81"/>
      <c r="BG907" s="23" t="s">
        <v>3557</v>
      </c>
    </row>
    <row r="908" spans="1:59" ht="15" customHeight="1">
      <c r="A908" s="23" t="s">
        <v>3497</v>
      </c>
      <c r="B908" s="23" t="s">
        <v>3558</v>
      </c>
      <c r="C908" s="23" t="s">
        <v>3632</v>
      </c>
      <c r="D908" s="24">
        <v>279</v>
      </c>
      <c r="E908" s="23">
        <v>1</v>
      </c>
      <c r="F908" s="23" t="s">
        <v>3538</v>
      </c>
      <c r="G908" s="23" t="s">
        <v>3555</v>
      </c>
      <c r="J908" s="23" t="s">
        <v>619</v>
      </c>
      <c r="K908" s="23" t="s">
        <v>2426</v>
      </c>
      <c r="L908" s="23">
        <v>2</v>
      </c>
      <c r="Z908" s="68">
        <v>6</v>
      </c>
      <c r="AF908" s="23" t="s">
        <v>3556</v>
      </c>
      <c r="AI908" s="23" t="s">
        <v>2938</v>
      </c>
      <c r="AL908" s="23" t="s">
        <v>619</v>
      </c>
      <c r="AM908" s="23" t="s">
        <v>2426</v>
      </c>
      <c r="AN908" s="23">
        <v>2</v>
      </c>
      <c r="AP908" s="73"/>
      <c r="AQ908" s="75"/>
      <c r="AR908" s="76"/>
      <c r="AS908" s="77"/>
      <c r="AV908" s="75"/>
      <c r="AW908" s="83"/>
      <c r="AX908" s="84"/>
      <c r="AY908" s="80"/>
      <c r="BB908" s="81"/>
      <c r="BG908" s="23" t="s">
        <v>3559</v>
      </c>
    </row>
    <row r="909" spans="1:59" ht="15" customHeight="1">
      <c r="A909" s="23" t="s">
        <v>3497</v>
      </c>
      <c r="B909" s="23" t="s">
        <v>3560</v>
      </c>
      <c r="C909" s="23" t="s">
        <v>3632</v>
      </c>
      <c r="D909" s="24">
        <v>280</v>
      </c>
      <c r="E909" s="23">
        <v>1</v>
      </c>
      <c r="F909" s="23" t="s">
        <v>2787</v>
      </c>
      <c r="G909" s="23" t="s">
        <v>3561</v>
      </c>
      <c r="J909" s="23" t="s">
        <v>619</v>
      </c>
      <c r="K909" s="23" t="s">
        <v>2426</v>
      </c>
      <c r="L909" s="23">
        <v>3</v>
      </c>
      <c r="Z909" s="68">
        <v>8</v>
      </c>
      <c r="AF909" s="23" t="s">
        <v>3562</v>
      </c>
      <c r="AI909" s="23" t="s">
        <v>3549</v>
      </c>
      <c r="AL909" s="23" t="s">
        <v>619</v>
      </c>
      <c r="AM909" s="23" t="s">
        <v>2426</v>
      </c>
      <c r="AN909" s="23">
        <v>3</v>
      </c>
      <c r="AP909" s="73"/>
      <c r="AQ909" s="75"/>
      <c r="AR909" s="76"/>
      <c r="AS909" s="77"/>
      <c r="AV909" s="75"/>
      <c r="AW909" s="83"/>
      <c r="AX909" s="84"/>
      <c r="AY909" s="80"/>
      <c r="BB909" s="81"/>
      <c r="BG909" s="23" t="s">
        <v>1487</v>
      </c>
    </row>
    <row r="910" spans="1:59" ht="15" customHeight="1">
      <c r="A910" s="23" t="s">
        <v>3497</v>
      </c>
      <c r="B910" s="23" t="s">
        <v>3563</v>
      </c>
      <c r="C910" s="23" t="s">
        <v>3632</v>
      </c>
      <c r="D910" s="24">
        <v>281</v>
      </c>
      <c r="E910" s="23">
        <v>1</v>
      </c>
      <c r="F910" s="23" t="s">
        <v>2787</v>
      </c>
      <c r="G910" s="23" t="s">
        <v>3564</v>
      </c>
      <c r="J910" s="23" t="s">
        <v>621</v>
      </c>
      <c r="K910" s="23" t="s">
        <v>2426</v>
      </c>
      <c r="L910" s="23">
        <v>3</v>
      </c>
      <c r="Y910" s="66" t="s">
        <v>38</v>
      </c>
      <c r="AF910" s="23" t="s">
        <v>3565</v>
      </c>
      <c r="AI910" s="23" t="s">
        <v>3566</v>
      </c>
      <c r="AL910" s="23" t="s">
        <v>621</v>
      </c>
      <c r="AM910" s="23" t="s">
        <v>2426</v>
      </c>
      <c r="AN910" s="23">
        <v>3</v>
      </c>
      <c r="AP910" s="73"/>
      <c r="AQ910" s="75"/>
      <c r="AR910" s="76"/>
      <c r="AS910" s="77"/>
      <c r="AV910" s="75"/>
      <c r="AW910" s="83"/>
      <c r="AX910" s="84"/>
      <c r="AY910" s="80"/>
      <c r="BB910" s="81"/>
      <c r="BG910" s="23" t="s">
        <v>1886</v>
      </c>
    </row>
    <row r="911" spans="1:59" ht="15" customHeight="1">
      <c r="A911" s="23" t="s">
        <v>3497</v>
      </c>
      <c r="B911" s="23" t="s">
        <v>3567</v>
      </c>
      <c r="C911" s="23" t="s">
        <v>3632</v>
      </c>
      <c r="D911" s="24">
        <v>282</v>
      </c>
      <c r="E911" s="23">
        <v>1</v>
      </c>
      <c r="F911" s="23" t="s">
        <v>2787</v>
      </c>
      <c r="G911" s="23" t="s">
        <v>3568</v>
      </c>
      <c r="J911" s="23" t="s">
        <v>621</v>
      </c>
      <c r="K911" s="23" t="s">
        <v>2426</v>
      </c>
      <c r="L911" s="23">
        <v>3</v>
      </c>
      <c r="Y911" s="66" t="s">
        <v>38</v>
      </c>
      <c r="AF911" s="23" t="s">
        <v>3569</v>
      </c>
      <c r="AI911" s="23" t="s">
        <v>3566</v>
      </c>
      <c r="AL911" s="23" t="s">
        <v>621</v>
      </c>
      <c r="AM911" s="23" t="s">
        <v>2426</v>
      </c>
      <c r="AN911" s="23">
        <v>3</v>
      </c>
      <c r="AP911" s="73"/>
      <c r="AQ911" s="75"/>
      <c r="AR911" s="76"/>
      <c r="AS911" s="77"/>
      <c r="AV911" s="75"/>
      <c r="AW911" s="83"/>
      <c r="AX911" s="84"/>
      <c r="AY911" s="80"/>
      <c r="BB911" s="81"/>
      <c r="BG911" s="23" t="s">
        <v>2212</v>
      </c>
    </row>
    <row r="912" spans="1:59" ht="15" customHeight="1">
      <c r="A912" s="23" t="s">
        <v>3497</v>
      </c>
      <c r="B912" s="23" t="s">
        <v>3570</v>
      </c>
      <c r="C912" s="23" t="s">
        <v>3632</v>
      </c>
      <c r="D912" s="24">
        <v>283</v>
      </c>
      <c r="E912" s="23">
        <v>1</v>
      </c>
      <c r="F912" s="23" t="s">
        <v>2787</v>
      </c>
      <c r="G912" s="23" t="s">
        <v>3571</v>
      </c>
      <c r="J912" s="23" t="s">
        <v>31</v>
      </c>
      <c r="K912" s="23" t="s">
        <v>2426</v>
      </c>
      <c r="AI912" s="23" t="s">
        <v>3571</v>
      </c>
      <c r="AL912" s="23" t="s">
        <v>31</v>
      </c>
      <c r="AM912" s="23" t="s">
        <v>2426</v>
      </c>
      <c r="AP912" s="73"/>
      <c r="AQ912" s="75"/>
      <c r="AR912" s="76"/>
      <c r="AS912" s="77"/>
      <c r="AV912" s="75"/>
      <c r="AW912" s="83"/>
      <c r="AX912" s="84"/>
      <c r="AY912" s="80">
        <v>3</v>
      </c>
      <c r="AZ912" s="66" t="s">
        <v>1073</v>
      </c>
      <c r="BB912" s="81"/>
      <c r="BG912" s="23" t="s">
        <v>3572</v>
      </c>
    </row>
    <row r="913" spans="1:59" ht="15" customHeight="1">
      <c r="A913" s="23" t="s">
        <v>3497</v>
      </c>
      <c r="B913" s="23" t="s">
        <v>3573</v>
      </c>
      <c r="C913" s="23" t="s">
        <v>3632</v>
      </c>
      <c r="D913" s="24">
        <v>284</v>
      </c>
      <c r="E913" s="23">
        <v>1</v>
      </c>
      <c r="F913" s="23" t="s">
        <v>2787</v>
      </c>
      <c r="G913" s="23" t="s">
        <v>3574</v>
      </c>
      <c r="J913" s="23" t="s">
        <v>31</v>
      </c>
      <c r="K913" s="23" t="s">
        <v>2426</v>
      </c>
      <c r="AI913" s="23" t="s">
        <v>3574</v>
      </c>
      <c r="AL913" s="23" t="s">
        <v>31</v>
      </c>
      <c r="AM913" s="23" t="s">
        <v>2426</v>
      </c>
      <c r="AP913" s="73"/>
      <c r="AQ913" s="75"/>
      <c r="AR913" s="76"/>
      <c r="AS913" s="77"/>
      <c r="AV913" s="75"/>
      <c r="AW913" s="83"/>
      <c r="AX913" s="84"/>
      <c r="AY913" s="80">
        <v>1</v>
      </c>
      <c r="AZ913" s="66" t="s">
        <v>1073</v>
      </c>
      <c r="BB913" s="81"/>
      <c r="BG913" s="23" t="s">
        <v>3575</v>
      </c>
    </row>
    <row r="914" spans="1:59" ht="15" customHeight="1">
      <c r="A914" s="23" t="s">
        <v>3497</v>
      </c>
      <c r="B914" s="23" t="s">
        <v>3576</v>
      </c>
      <c r="C914" s="23" t="s">
        <v>3632</v>
      </c>
      <c r="D914" s="24">
        <v>285</v>
      </c>
      <c r="E914" s="23">
        <v>1</v>
      </c>
      <c r="F914" s="23" t="s">
        <v>2787</v>
      </c>
      <c r="G914" s="23" t="s">
        <v>3577</v>
      </c>
      <c r="J914" s="23" t="s">
        <v>31</v>
      </c>
      <c r="K914" s="23" t="s">
        <v>2426</v>
      </c>
      <c r="AI914" s="23" t="s">
        <v>3577</v>
      </c>
      <c r="AL914" s="23" t="s">
        <v>31</v>
      </c>
      <c r="AM914" s="23" t="s">
        <v>2426</v>
      </c>
      <c r="AP914" s="73"/>
      <c r="AQ914" s="75"/>
      <c r="AR914" s="76"/>
      <c r="AS914" s="77"/>
      <c r="AV914" s="75"/>
      <c r="AW914" s="83"/>
      <c r="AX914" s="84"/>
      <c r="AY914" s="80">
        <v>2</v>
      </c>
      <c r="AZ914" s="66" t="s">
        <v>1111</v>
      </c>
      <c r="BB914" s="81">
        <v>1</v>
      </c>
      <c r="BG914" s="23" t="s">
        <v>3578</v>
      </c>
    </row>
    <row r="915" spans="1:59" ht="15" customHeight="1">
      <c r="A915" s="23" t="s">
        <v>3497</v>
      </c>
      <c r="B915" s="23" t="s">
        <v>3579</v>
      </c>
      <c r="C915" s="23" t="s">
        <v>3632</v>
      </c>
      <c r="D915" s="24">
        <v>286</v>
      </c>
      <c r="E915" s="23">
        <v>1</v>
      </c>
      <c r="F915" s="23" t="s">
        <v>2787</v>
      </c>
      <c r="G915" s="23" t="s">
        <v>3577</v>
      </c>
      <c r="J915" s="23" t="s">
        <v>31</v>
      </c>
      <c r="K915" s="23" t="s">
        <v>2426</v>
      </c>
      <c r="AI915" s="23" t="s">
        <v>3577</v>
      </c>
      <c r="AL915" s="23" t="s">
        <v>31</v>
      </c>
      <c r="AM915" s="23" t="s">
        <v>2426</v>
      </c>
      <c r="AP915" s="73"/>
      <c r="AQ915" s="75"/>
      <c r="AR915" s="76"/>
      <c r="AS915" s="77"/>
      <c r="AV915" s="75"/>
      <c r="AW915" s="83"/>
      <c r="AX915" s="84"/>
      <c r="AY915" s="80">
        <v>4</v>
      </c>
      <c r="AZ915" s="66" t="s">
        <v>1073</v>
      </c>
      <c r="BB915" s="81">
        <v>1</v>
      </c>
      <c r="BG915" s="23" t="s">
        <v>3580</v>
      </c>
    </row>
    <row r="916" spans="1:59" ht="15" customHeight="1">
      <c r="A916" s="23" t="s">
        <v>3497</v>
      </c>
      <c r="B916" s="23" t="s">
        <v>3581</v>
      </c>
      <c r="C916" s="23" t="s">
        <v>3632</v>
      </c>
      <c r="D916" s="24">
        <v>287</v>
      </c>
      <c r="E916" s="23">
        <v>1</v>
      </c>
      <c r="F916" s="23" t="s">
        <v>2787</v>
      </c>
      <c r="G916" s="23" t="s">
        <v>3582</v>
      </c>
      <c r="J916" s="23" t="s">
        <v>31</v>
      </c>
      <c r="K916" s="23" t="s">
        <v>2426</v>
      </c>
      <c r="AI916" s="23" t="s">
        <v>3582</v>
      </c>
      <c r="AL916" s="23" t="s">
        <v>31</v>
      </c>
      <c r="AM916" s="23" t="s">
        <v>2426</v>
      </c>
      <c r="AP916" s="73"/>
      <c r="AQ916" s="75"/>
      <c r="AR916" s="76"/>
      <c r="AS916" s="77"/>
      <c r="AV916" s="75"/>
      <c r="AW916" s="83"/>
      <c r="AX916" s="84"/>
      <c r="AY916" s="80">
        <v>2</v>
      </c>
      <c r="AZ916" s="66" t="s">
        <v>1111</v>
      </c>
      <c r="BB916" s="81">
        <v>1</v>
      </c>
      <c r="BG916" s="23" t="s">
        <v>3583</v>
      </c>
    </row>
    <row r="917" spans="1:59" ht="15" customHeight="1">
      <c r="A917" s="23" t="s">
        <v>3497</v>
      </c>
      <c r="B917" s="23" t="s">
        <v>3584</v>
      </c>
      <c r="C917" s="23" t="s">
        <v>3632</v>
      </c>
      <c r="D917" s="24">
        <v>288</v>
      </c>
      <c r="E917" s="23">
        <v>1</v>
      </c>
      <c r="F917" s="23" t="s">
        <v>2787</v>
      </c>
      <c r="G917" s="23" t="s">
        <v>3582</v>
      </c>
      <c r="J917" s="23" t="s">
        <v>31</v>
      </c>
      <c r="K917" s="23" t="s">
        <v>2426</v>
      </c>
      <c r="AI917" s="23" t="s">
        <v>3582</v>
      </c>
      <c r="AL917" s="23" t="s">
        <v>31</v>
      </c>
      <c r="AM917" s="23" t="s">
        <v>2426</v>
      </c>
      <c r="AP917" s="73"/>
      <c r="AQ917" s="75"/>
      <c r="AR917" s="76"/>
      <c r="AS917" s="77"/>
      <c r="AV917" s="75"/>
      <c r="AW917" s="83"/>
      <c r="AX917" s="84"/>
      <c r="AY917" s="80">
        <v>4</v>
      </c>
      <c r="AZ917" s="66" t="s">
        <v>1073</v>
      </c>
      <c r="BB917" s="81">
        <v>1</v>
      </c>
      <c r="BG917" s="23" t="s">
        <v>3585</v>
      </c>
    </row>
    <row r="918" spans="1:59" ht="15" customHeight="1">
      <c r="A918" s="23" t="s">
        <v>3497</v>
      </c>
      <c r="B918" s="23" t="s">
        <v>3586</v>
      </c>
      <c r="C918" s="23" t="s">
        <v>3632</v>
      </c>
      <c r="D918" s="24">
        <v>289</v>
      </c>
      <c r="E918" s="23">
        <v>1</v>
      </c>
      <c r="F918" s="23" t="s">
        <v>2787</v>
      </c>
      <c r="G918" s="23" t="s">
        <v>3587</v>
      </c>
      <c r="J918" s="23" t="s">
        <v>31</v>
      </c>
      <c r="K918" s="23" t="s">
        <v>2426</v>
      </c>
      <c r="AI918" s="23" t="s">
        <v>3587</v>
      </c>
      <c r="AL918" s="23" t="s">
        <v>31</v>
      </c>
      <c r="AM918" s="23" t="s">
        <v>2426</v>
      </c>
      <c r="AP918" s="73"/>
      <c r="AQ918" s="75"/>
      <c r="AR918" s="76"/>
      <c r="AS918" s="77"/>
      <c r="AV918" s="75"/>
      <c r="AW918" s="83"/>
      <c r="AX918" s="84"/>
      <c r="AY918" s="80">
        <v>4</v>
      </c>
      <c r="AZ918" s="66">
        <v>0</v>
      </c>
      <c r="BB918" s="81"/>
      <c r="BG918" s="23" t="s">
        <v>3588</v>
      </c>
    </row>
    <row r="919" spans="1:59" ht="15" customHeight="1">
      <c r="A919" s="23" t="s">
        <v>3497</v>
      </c>
      <c r="B919" s="23" t="s">
        <v>3589</v>
      </c>
      <c r="C919" s="23" t="s">
        <v>3632</v>
      </c>
      <c r="D919" s="24">
        <v>290</v>
      </c>
      <c r="E919" s="23">
        <v>1</v>
      </c>
      <c r="F919" s="23" t="s">
        <v>2787</v>
      </c>
      <c r="G919" s="23" t="s">
        <v>3587</v>
      </c>
      <c r="J919" s="23" t="s">
        <v>31</v>
      </c>
      <c r="K919" s="23" t="s">
        <v>2426</v>
      </c>
      <c r="AI919" s="23" t="s">
        <v>3587</v>
      </c>
      <c r="AL919" s="23" t="s">
        <v>31</v>
      </c>
      <c r="AM919" s="23" t="s">
        <v>2426</v>
      </c>
      <c r="AP919" s="73"/>
      <c r="AQ919" s="75"/>
      <c r="AR919" s="76"/>
      <c r="AS919" s="77"/>
      <c r="AV919" s="75"/>
      <c r="AW919" s="83"/>
      <c r="AX919" s="84"/>
      <c r="AY919" s="80">
        <v>3</v>
      </c>
      <c r="AZ919" s="66">
        <v>0</v>
      </c>
      <c r="BB919" s="81"/>
      <c r="BG919" s="23" t="s">
        <v>3590</v>
      </c>
    </row>
    <row r="920" spans="1:59" ht="15" customHeight="1">
      <c r="A920" s="23" t="s">
        <v>3497</v>
      </c>
      <c r="B920" s="23" t="s">
        <v>3591</v>
      </c>
      <c r="C920" s="23" t="s">
        <v>3632</v>
      </c>
      <c r="D920" s="24">
        <v>291</v>
      </c>
      <c r="E920" s="23">
        <v>1</v>
      </c>
      <c r="F920" s="23" t="s">
        <v>2787</v>
      </c>
      <c r="G920" s="23" t="s">
        <v>3592</v>
      </c>
      <c r="J920" s="23" t="s">
        <v>31</v>
      </c>
      <c r="K920" s="23" t="s">
        <v>2426</v>
      </c>
      <c r="AF920" s="23" t="s">
        <v>3593</v>
      </c>
      <c r="AI920" s="23" t="s">
        <v>3592</v>
      </c>
      <c r="AL920" s="23" t="s">
        <v>31</v>
      </c>
      <c r="AM920" s="23" t="s">
        <v>2426</v>
      </c>
      <c r="AP920" s="73"/>
      <c r="AQ920" s="75"/>
      <c r="AR920" s="76"/>
      <c r="AS920" s="77"/>
      <c r="AV920" s="75"/>
      <c r="AW920" s="83"/>
      <c r="AX920" s="84"/>
      <c r="AY920" s="80">
        <v>3</v>
      </c>
      <c r="AZ920" s="66" t="s">
        <v>1073</v>
      </c>
      <c r="BB920" s="81">
        <v>1</v>
      </c>
      <c r="BG920" s="23" t="s">
        <v>3594</v>
      </c>
    </row>
    <row r="921" spans="1:59" ht="15" customHeight="1">
      <c r="A921" s="23" t="s">
        <v>3497</v>
      </c>
      <c r="B921" s="23" t="s">
        <v>3595</v>
      </c>
      <c r="C921" s="23" t="s">
        <v>3632</v>
      </c>
      <c r="D921" s="24">
        <v>292</v>
      </c>
      <c r="E921" s="23">
        <v>1</v>
      </c>
      <c r="F921" s="23" t="s">
        <v>2787</v>
      </c>
      <c r="G921" s="23" t="s">
        <v>3596</v>
      </c>
      <c r="J921" s="23" t="s">
        <v>31</v>
      </c>
      <c r="K921" s="23" t="s">
        <v>2426</v>
      </c>
      <c r="AI921" s="23" t="s">
        <v>3596</v>
      </c>
      <c r="AL921" s="23" t="s">
        <v>31</v>
      </c>
      <c r="AM921" s="23" t="s">
        <v>2426</v>
      </c>
      <c r="AP921" s="73"/>
      <c r="AQ921" s="75"/>
      <c r="AR921" s="76"/>
      <c r="AS921" s="77"/>
      <c r="AV921" s="75"/>
      <c r="AW921" s="83"/>
      <c r="AX921" s="84"/>
      <c r="AY921" s="80">
        <v>3</v>
      </c>
      <c r="AZ921" s="66" t="s">
        <v>1073</v>
      </c>
      <c r="BB921" s="81"/>
      <c r="BG921" s="23" t="s">
        <v>3597</v>
      </c>
    </row>
    <row r="922" spans="1:59" ht="15" customHeight="1">
      <c r="A922" s="23" t="s">
        <v>3497</v>
      </c>
      <c r="B922" s="23" t="s">
        <v>3598</v>
      </c>
      <c r="C922" s="23" t="s">
        <v>3632</v>
      </c>
      <c r="D922" s="24">
        <v>293</v>
      </c>
      <c r="E922" s="23">
        <v>1</v>
      </c>
      <c r="F922" s="23" t="s">
        <v>2787</v>
      </c>
      <c r="G922" s="23" t="s">
        <v>3596</v>
      </c>
      <c r="J922" s="23" t="s">
        <v>31</v>
      </c>
      <c r="K922" s="23" t="s">
        <v>2426</v>
      </c>
      <c r="AI922" s="23" t="s">
        <v>3596</v>
      </c>
      <c r="AL922" s="23" t="s">
        <v>31</v>
      </c>
      <c r="AM922" s="23" t="s">
        <v>2426</v>
      </c>
      <c r="AP922" s="73"/>
      <c r="AQ922" s="75"/>
      <c r="AR922" s="76"/>
      <c r="AS922" s="77"/>
      <c r="AV922" s="75"/>
      <c r="AW922" s="83"/>
      <c r="AX922" s="84"/>
      <c r="AY922" s="80">
        <v>3</v>
      </c>
      <c r="AZ922" s="66" t="s">
        <v>1073</v>
      </c>
      <c r="BB922" s="81"/>
      <c r="BG922" s="23" t="s">
        <v>3599</v>
      </c>
    </row>
    <row r="923" spans="1:59" ht="15" customHeight="1">
      <c r="A923" s="23" t="s">
        <v>3497</v>
      </c>
      <c r="B923" s="23" t="s">
        <v>3600</v>
      </c>
      <c r="C923" s="23" t="s">
        <v>3632</v>
      </c>
      <c r="D923" s="24">
        <v>294</v>
      </c>
      <c r="E923" s="23">
        <v>1</v>
      </c>
      <c r="F923" s="23" t="s">
        <v>2787</v>
      </c>
      <c r="G923" s="23" t="s">
        <v>3601</v>
      </c>
      <c r="J923" s="23" t="s">
        <v>31</v>
      </c>
      <c r="K923" s="23" t="s">
        <v>2426</v>
      </c>
      <c r="AI923" s="23" t="s">
        <v>3601</v>
      </c>
      <c r="AL923" s="23" t="s">
        <v>31</v>
      </c>
      <c r="AM923" s="23" t="s">
        <v>2426</v>
      </c>
      <c r="AP923" s="73"/>
      <c r="AQ923" s="75"/>
      <c r="AR923" s="76"/>
      <c r="AS923" s="77"/>
      <c r="AV923" s="75"/>
      <c r="AW923" s="83"/>
      <c r="AX923" s="84"/>
      <c r="AY923" s="80">
        <v>2</v>
      </c>
      <c r="AZ923" s="66" t="s">
        <v>1073</v>
      </c>
      <c r="BB923" s="81"/>
      <c r="BG923" s="23" t="s">
        <v>3602</v>
      </c>
    </row>
    <row r="924" spans="1:59" ht="15" customHeight="1">
      <c r="A924" s="23" t="s">
        <v>3497</v>
      </c>
      <c r="B924" s="23" t="s">
        <v>3603</v>
      </c>
      <c r="C924" s="23" t="s">
        <v>3632</v>
      </c>
      <c r="D924" s="24">
        <v>295</v>
      </c>
      <c r="E924" s="23">
        <v>1</v>
      </c>
      <c r="F924" s="23" t="s">
        <v>2787</v>
      </c>
      <c r="G924" s="23" t="s">
        <v>3604</v>
      </c>
      <c r="J924" s="23" t="s">
        <v>31</v>
      </c>
      <c r="K924" s="23" t="s">
        <v>2426</v>
      </c>
      <c r="AI924" s="23" t="s">
        <v>3604</v>
      </c>
      <c r="AL924" s="23" t="s">
        <v>31</v>
      </c>
      <c r="AM924" s="23" t="s">
        <v>2426</v>
      </c>
      <c r="AP924" s="73"/>
      <c r="AQ924" s="75"/>
      <c r="AR924" s="76"/>
      <c r="AS924" s="77"/>
      <c r="AV924" s="75"/>
      <c r="AW924" s="83"/>
      <c r="AX924" s="84"/>
      <c r="AY924" s="80">
        <v>2</v>
      </c>
      <c r="AZ924" s="66" t="s">
        <v>1073</v>
      </c>
      <c r="BB924" s="81"/>
      <c r="BG924" s="23" t="s">
        <v>3605</v>
      </c>
    </row>
    <row r="925" spans="1:59" ht="15" customHeight="1">
      <c r="A925" s="23" t="s">
        <v>3497</v>
      </c>
      <c r="B925" s="23" t="s">
        <v>3606</v>
      </c>
      <c r="C925" s="23" t="s">
        <v>3632</v>
      </c>
      <c r="D925" s="24">
        <v>296</v>
      </c>
      <c r="E925" s="23">
        <v>1</v>
      </c>
      <c r="F925" s="23" t="s">
        <v>3544</v>
      </c>
      <c r="G925" s="23" t="s">
        <v>3607</v>
      </c>
      <c r="J925" s="23" t="s">
        <v>31</v>
      </c>
      <c r="K925" s="23" t="s">
        <v>2426</v>
      </c>
      <c r="AF925" s="23" t="s">
        <v>3608</v>
      </c>
      <c r="AI925" s="23" t="s">
        <v>3607</v>
      </c>
      <c r="AJ925" s="23" t="s">
        <v>3609</v>
      </c>
      <c r="AL925" s="23" t="s">
        <v>31</v>
      </c>
      <c r="AM925" s="23" t="s">
        <v>2426</v>
      </c>
      <c r="AP925" s="73"/>
      <c r="AQ925" s="75"/>
      <c r="AR925" s="76"/>
      <c r="AS925" s="77"/>
      <c r="AV925" s="75"/>
      <c r="AW925" s="83"/>
      <c r="AX925" s="84"/>
      <c r="AY925" s="80">
        <v>3</v>
      </c>
      <c r="AZ925" s="66" t="s">
        <v>1111</v>
      </c>
      <c r="BB925" s="81"/>
      <c r="BG925" s="23" t="s">
        <v>3610</v>
      </c>
    </row>
    <row r="926" spans="1:59" ht="15" customHeight="1">
      <c r="A926" s="23" t="s">
        <v>3497</v>
      </c>
      <c r="B926" s="23" t="s">
        <v>3611</v>
      </c>
      <c r="C926" s="23" t="s">
        <v>3632</v>
      </c>
      <c r="D926" s="24">
        <v>297</v>
      </c>
      <c r="E926" s="23">
        <v>1</v>
      </c>
      <c r="F926" s="23" t="s">
        <v>3538</v>
      </c>
      <c r="G926" s="23" t="s">
        <v>3607</v>
      </c>
      <c r="J926" s="23" t="s">
        <v>31</v>
      </c>
      <c r="K926" s="23" t="s">
        <v>2426</v>
      </c>
      <c r="AF926" s="23" t="s">
        <v>3608</v>
      </c>
      <c r="AI926" s="23" t="s">
        <v>3607</v>
      </c>
      <c r="AJ926" s="23" t="s">
        <v>3612</v>
      </c>
      <c r="AL926" s="23" t="s">
        <v>31</v>
      </c>
      <c r="AM926" s="23" t="s">
        <v>2426</v>
      </c>
      <c r="AP926" s="73"/>
      <c r="AQ926" s="75"/>
      <c r="AR926" s="76"/>
      <c r="AS926" s="77"/>
      <c r="AV926" s="75"/>
      <c r="AW926" s="83"/>
      <c r="AX926" s="84"/>
      <c r="AY926" s="80">
        <v>2</v>
      </c>
      <c r="AZ926" s="66" t="s">
        <v>1112</v>
      </c>
      <c r="BB926" s="81">
        <v>2</v>
      </c>
    </row>
    <row r="927" spans="1:59" ht="15" customHeight="1">
      <c r="A927" s="23" t="s">
        <v>3497</v>
      </c>
      <c r="B927" s="23" t="s">
        <v>3613</v>
      </c>
      <c r="C927" s="23" t="s">
        <v>3632</v>
      </c>
      <c r="D927" s="24">
        <v>298</v>
      </c>
      <c r="E927" s="23">
        <v>1</v>
      </c>
      <c r="F927" s="23" t="s">
        <v>3538</v>
      </c>
      <c r="G927" s="23" t="s">
        <v>3614</v>
      </c>
      <c r="J927" s="23" t="s">
        <v>31</v>
      </c>
      <c r="K927" s="23" t="s">
        <v>2426</v>
      </c>
      <c r="AF927" s="23" t="s">
        <v>3615</v>
      </c>
      <c r="AI927" s="23" t="s">
        <v>3614</v>
      </c>
      <c r="AJ927" s="23" t="s">
        <v>3609</v>
      </c>
      <c r="AL927" s="23" t="s">
        <v>31</v>
      </c>
      <c r="AM927" s="23" t="s">
        <v>2426</v>
      </c>
      <c r="AP927" s="73"/>
      <c r="AQ927" s="75"/>
      <c r="AR927" s="76"/>
      <c r="AS927" s="77"/>
      <c r="AV927" s="75"/>
      <c r="AW927" s="83"/>
      <c r="AX927" s="84"/>
      <c r="AY927" s="80">
        <v>3</v>
      </c>
      <c r="AZ927" s="66" t="s">
        <v>1111</v>
      </c>
      <c r="BB927" s="81"/>
      <c r="BG927" s="23" t="s">
        <v>3616</v>
      </c>
    </row>
    <row r="928" spans="1:59" ht="15" customHeight="1">
      <c r="A928" s="23" t="s">
        <v>3497</v>
      </c>
      <c r="B928" s="23" t="s">
        <v>3617</v>
      </c>
      <c r="C928" s="23" t="s">
        <v>3632</v>
      </c>
      <c r="D928" s="24">
        <v>299</v>
      </c>
      <c r="E928" s="23">
        <v>1</v>
      </c>
      <c r="F928" s="23" t="s">
        <v>3544</v>
      </c>
      <c r="G928" s="23" t="s">
        <v>3614</v>
      </c>
      <c r="J928" s="23" t="s">
        <v>31</v>
      </c>
      <c r="K928" s="23" t="s">
        <v>2426</v>
      </c>
      <c r="AF928" s="23" t="s">
        <v>3615</v>
      </c>
      <c r="AI928" s="23" t="s">
        <v>3614</v>
      </c>
      <c r="AJ928" s="23" t="s">
        <v>3618</v>
      </c>
      <c r="AL928" s="23" t="s">
        <v>31</v>
      </c>
      <c r="AM928" s="23" t="s">
        <v>2426</v>
      </c>
      <c r="AP928" s="73"/>
      <c r="AQ928" s="75"/>
      <c r="AR928" s="76"/>
      <c r="AS928" s="77"/>
      <c r="AV928" s="75"/>
      <c r="AW928" s="83"/>
      <c r="AX928" s="84"/>
      <c r="AY928" s="80">
        <v>2</v>
      </c>
      <c r="AZ928" s="66" t="s">
        <v>1112</v>
      </c>
      <c r="BB928" s="81">
        <v>2</v>
      </c>
    </row>
    <row r="929" spans="1:58" ht="15" customHeight="1">
      <c r="A929" s="23" t="s">
        <v>3497</v>
      </c>
      <c r="B929" s="23" t="s">
        <v>3619</v>
      </c>
      <c r="C929" s="23" t="s">
        <v>3632</v>
      </c>
      <c r="D929" s="24">
        <v>300</v>
      </c>
      <c r="E929" s="23">
        <v>2</v>
      </c>
      <c r="F929" s="23" t="s">
        <v>2787</v>
      </c>
      <c r="G929" s="23" t="s">
        <v>3620</v>
      </c>
      <c r="J929" s="23" t="s">
        <v>29</v>
      </c>
      <c r="K929" s="23" t="s">
        <v>2426</v>
      </c>
      <c r="Q929" s="65">
        <v>4</v>
      </c>
      <c r="R929" s="66">
        <v>2</v>
      </c>
      <c r="T929" s="68">
        <v>4</v>
      </c>
      <c r="V929" s="69">
        <v>1</v>
      </c>
      <c r="W929" s="70">
        <v>2</v>
      </c>
      <c r="AD929" s="23" t="s">
        <v>2784</v>
      </c>
      <c r="AF929" s="23" t="s">
        <v>3621</v>
      </c>
      <c r="AP929" s="73"/>
      <c r="AQ929" s="75"/>
      <c r="AR929" s="76"/>
      <c r="AS929" s="77"/>
      <c r="AV929" s="75"/>
      <c r="AW929" s="83"/>
      <c r="AX929" s="84"/>
      <c r="AY929" s="80"/>
      <c r="BB929" s="81"/>
    </row>
    <row r="930" spans="1:58" ht="15" customHeight="1">
      <c r="A930" s="23" t="s">
        <v>3497</v>
      </c>
      <c r="B930" s="23" t="s">
        <v>3622</v>
      </c>
      <c r="C930" s="23" t="s">
        <v>3632</v>
      </c>
      <c r="D930" s="24">
        <v>301</v>
      </c>
      <c r="E930" s="23">
        <v>2</v>
      </c>
      <c r="F930" s="23" t="s">
        <v>2787</v>
      </c>
      <c r="G930" s="23" t="s">
        <v>3623</v>
      </c>
      <c r="J930" s="23" t="s">
        <v>29</v>
      </c>
      <c r="K930" s="23" t="s">
        <v>2426</v>
      </c>
      <c r="Q930" s="65">
        <v>3</v>
      </c>
      <c r="R930" s="66">
        <v>4</v>
      </c>
      <c r="T930" s="68">
        <v>3</v>
      </c>
      <c r="V930" s="69">
        <v>1</v>
      </c>
      <c r="W930" s="70">
        <v>1</v>
      </c>
      <c r="AD930" s="23" t="s">
        <v>3624</v>
      </c>
      <c r="AF930" s="23" t="s">
        <v>3625</v>
      </c>
      <c r="AP930" s="73"/>
      <c r="AQ930" s="75"/>
      <c r="AR930" s="76"/>
      <c r="AS930" s="77"/>
      <c r="AV930" s="75"/>
      <c r="AW930" s="83"/>
      <c r="AX930" s="84"/>
      <c r="AY930" s="80"/>
      <c r="BB930" s="81"/>
    </row>
    <row r="931" spans="1:58" ht="15" customHeight="1">
      <c r="A931" s="23" t="s">
        <v>3497</v>
      </c>
      <c r="B931" s="23" t="s">
        <v>3626</v>
      </c>
      <c r="C931" s="23" t="s">
        <v>3632</v>
      </c>
      <c r="D931" s="24">
        <v>302</v>
      </c>
      <c r="E931" s="23">
        <v>3</v>
      </c>
      <c r="F931" s="23" t="s">
        <v>2787</v>
      </c>
      <c r="G931" s="23" t="s">
        <v>3627</v>
      </c>
      <c r="J931" s="23" t="s">
        <v>28</v>
      </c>
      <c r="K931" s="23" t="s">
        <v>2426</v>
      </c>
      <c r="AD931" s="23" t="s">
        <v>492</v>
      </c>
      <c r="AF931" s="23" t="s">
        <v>3628</v>
      </c>
      <c r="AP931" s="73"/>
      <c r="AQ931" s="75"/>
      <c r="AR931" s="76"/>
      <c r="AS931" s="77"/>
      <c r="AV931" s="75"/>
      <c r="AW931" s="83"/>
      <c r="AX931" s="84"/>
      <c r="AY931" s="80"/>
      <c r="BB931" s="81"/>
    </row>
    <row r="932" spans="1:58" ht="15" customHeight="1">
      <c r="A932" s="23" t="s">
        <v>3497</v>
      </c>
      <c r="B932" s="23" t="s">
        <v>3629</v>
      </c>
      <c r="C932" s="23" t="s">
        <v>3632</v>
      </c>
      <c r="D932" s="24">
        <v>303</v>
      </c>
      <c r="E932" s="23">
        <v>3</v>
      </c>
      <c r="F932" s="23" t="s">
        <v>2787</v>
      </c>
      <c r="G932" s="23" t="s">
        <v>3630</v>
      </c>
      <c r="J932" s="23" t="s">
        <v>28</v>
      </c>
      <c r="K932" s="23" t="s">
        <v>2426</v>
      </c>
      <c r="AD932" s="23" t="s">
        <v>492</v>
      </c>
      <c r="AF932" s="23" t="s">
        <v>3631</v>
      </c>
      <c r="AP932" s="73"/>
      <c r="AQ932" s="75"/>
      <c r="AR932" s="76"/>
      <c r="AS932" s="77"/>
      <c r="AV932" s="75"/>
      <c r="AW932" s="83"/>
      <c r="AX932" s="84"/>
      <c r="AY932" s="80"/>
      <c r="BB932" s="81"/>
    </row>
    <row r="933" spans="1:58" ht="15" customHeight="1">
      <c r="A933" s="28" t="s">
        <v>3634</v>
      </c>
      <c r="B933" s="28" t="s">
        <v>3635</v>
      </c>
      <c r="C933" s="28" t="s">
        <v>3636</v>
      </c>
      <c r="D933" s="31">
        <v>304</v>
      </c>
      <c r="E933" s="28">
        <v>2</v>
      </c>
      <c r="F933" s="28"/>
      <c r="G933" s="28" t="s">
        <v>3637</v>
      </c>
      <c r="H933" s="28"/>
      <c r="J933" s="23" t="s">
        <v>27</v>
      </c>
      <c r="K933" s="23" t="s">
        <v>198</v>
      </c>
      <c r="L933" s="23">
        <v>2</v>
      </c>
      <c r="N933" s="24">
        <v>0</v>
      </c>
      <c r="O933" s="118"/>
      <c r="P933" s="119"/>
      <c r="Q933" s="120">
        <v>1</v>
      </c>
      <c r="R933" s="29">
        <v>1</v>
      </c>
      <c r="S933" s="121"/>
      <c r="T933" s="122"/>
      <c r="U933" s="118"/>
      <c r="V933" s="123"/>
      <c r="W933" s="124"/>
      <c r="X933" s="125"/>
      <c r="Y933" s="29"/>
      <c r="Z933" s="122"/>
      <c r="AA933" s="126"/>
      <c r="AB933" s="16" t="s">
        <v>2181</v>
      </c>
      <c r="AD933" s="23" t="s">
        <v>307</v>
      </c>
      <c r="AF933" s="23" t="s">
        <v>3638</v>
      </c>
      <c r="AI933" s="28"/>
      <c r="AJ933" s="28"/>
      <c r="AO933" s="24"/>
      <c r="AP933" s="24"/>
      <c r="AQ933" s="118"/>
      <c r="AR933" s="119"/>
      <c r="AS933" s="120"/>
      <c r="AT933" s="29"/>
      <c r="AU933" s="122"/>
      <c r="AV933" s="118"/>
      <c r="AW933" s="123"/>
      <c r="AX933" s="124"/>
      <c r="AY933" s="125"/>
      <c r="AZ933" s="29"/>
      <c r="BA933" s="122"/>
      <c r="BB933" s="126"/>
      <c r="BE933" s="24"/>
      <c r="BF933" s="23"/>
    </row>
    <row r="934" spans="1:58" ht="15" customHeight="1">
      <c r="A934" s="28" t="s">
        <v>3634</v>
      </c>
      <c r="B934" s="23" t="s">
        <v>3639</v>
      </c>
      <c r="C934" s="23" t="s">
        <v>3636</v>
      </c>
      <c r="D934" s="31">
        <v>305</v>
      </c>
      <c r="E934" s="23">
        <v>2</v>
      </c>
      <c r="G934" s="23" t="s">
        <v>3640</v>
      </c>
      <c r="J934" s="23" t="s">
        <v>257</v>
      </c>
      <c r="K934" s="23" t="s">
        <v>198</v>
      </c>
      <c r="L934" s="23">
        <v>5</v>
      </c>
      <c r="N934" s="24">
        <v>4</v>
      </c>
      <c r="O934" s="118">
        <v>2</v>
      </c>
      <c r="P934" s="119"/>
      <c r="Q934" s="120">
        <v>2</v>
      </c>
      <c r="R934" s="29"/>
      <c r="S934" s="121"/>
      <c r="T934" s="122">
        <v>4</v>
      </c>
      <c r="U934" s="118"/>
      <c r="V934" s="123"/>
      <c r="W934" s="124"/>
      <c r="X934" s="125"/>
      <c r="Y934" s="29"/>
      <c r="Z934" s="122"/>
      <c r="AA934" s="126"/>
      <c r="AB934" s="16" t="s">
        <v>3641</v>
      </c>
      <c r="AC934" s="23" t="s">
        <v>393</v>
      </c>
      <c r="AD934" s="23" t="s">
        <v>3642</v>
      </c>
      <c r="AF934" s="23" t="s">
        <v>3643</v>
      </c>
      <c r="AO934" s="24"/>
      <c r="AP934" s="24"/>
      <c r="AQ934" s="118"/>
      <c r="AR934" s="119"/>
      <c r="AS934" s="120"/>
      <c r="AT934" s="29"/>
      <c r="AU934" s="122"/>
      <c r="AV934" s="118"/>
      <c r="AW934" s="123"/>
      <c r="AX934" s="124"/>
      <c r="AY934" s="125"/>
      <c r="AZ934" s="29"/>
      <c r="BA934" s="122"/>
      <c r="BB934" s="126"/>
      <c r="BE934" s="24"/>
      <c r="BF934" s="23"/>
    </row>
    <row r="935" spans="1:58" ht="15" customHeight="1">
      <c r="A935" s="28" t="s">
        <v>3634</v>
      </c>
      <c r="B935" s="23" t="s">
        <v>3644</v>
      </c>
      <c r="C935" s="23" t="s">
        <v>3636</v>
      </c>
      <c r="D935" s="31">
        <v>306</v>
      </c>
      <c r="E935" s="23">
        <v>2</v>
      </c>
      <c r="G935" s="23" t="s">
        <v>3645</v>
      </c>
      <c r="J935" s="23" t="s">
        <v>27</v>
      </c>
      <c r="K935" s="23" t="s">
        <v>199</v>
      </c>
      <c r="L935" s="23">
        <v>3</v>
      </c>
      <c r="N935" s="24" t="s">
        <v>38</v>
      </c>
      <c r="O935" s="118"/>
      <c r="P935" s="119">
        <v>1</v>
      </c>
      <c r="Q935" s="120"/>
      <c r="R935" s="29">
        <v>1</v>
      </c>
      <c r="S935" s="121"/>
      <c r="T935" s="122"/>
      <c r="U935" s="118"/>
      <c r="V935" s="123"/>
      <c r="W935" s="124"/>
      <c r="X935" s="125"/>
      <c r="Y935" s="29"/>
      <c r="Z935" s="122"/>
      <c r="AA935" s="126"/>
      <c r="AB935" s="16" t="s">
        <v>2315</v>
      </c>
      <c r="AD935" s="23" t="s">
        <v>1805</v>
      </c>
      <c r="AF935" s="23" t="s">
        <v>3646</v>
      </c>
      <c r="AO935" s="24"/>
      <c r="AP935" s="24"/>
      <c r="AQ935" s="118"/>
      <c r="AR935" s="119"/>
      <c r="AS935" s="120"/>
      <c r="AT935" s="29"/>
      <c r="AU935" s="122"/>
      <c r="AV935" s="118"/>
      <c r="AW935" s="123"/>
      <c r="AX935" s="124"/>
      <c r="AY935" s="125"/>
      <c r="AZ935" s="29"/>
      <c r="BA935" s="122"/>
      <c r="BB935" s="126"/>
      <c r="BE935" s="24"/>
      <c r="BF935" s="23"/>
    </row>
    <row r="936" spans="1:58" ht="15" customHeight="1">
      <c r="A936" s="28" t="s">
        <v>3634</v>
      </c>
      <c r="B936" s="23" t="s">
        <v>3647</v>
      </c>
      <c r="C936" s="23" t="s">
        <v>3636</v>
      </c>
      <c r="D936" s="31">
        <v>307</v>
      </c>
      <c r="E936" s="23">
        <v>2</v>
      </c>
      <c r="G936" s="23" t="s">
        <v>2594</v>
      </c>
      <c r="J936" s="23" t="s">
        <v>27</v>
      </c>
      <c r="K936" s="23" t="s">
        <v>199</v>
      </c>
      <c r="L936" s="23">
        <v>5</v>
      </c>
      <c r="N936" s="24">
        <v>2</v>
      </c>
      <c r="O936" s="118"/>
      <c r="P936" s="119">
        <v>1</v>
      </c>
      <c r="Q936" s="120"/>
      <c r="R936" s="29"/>
      <c r="S936" s="121">
        <v>1</v>
      </c>
      <c r="T936" s="122"/>
      <c r="U936" s="118"/>
      <c r="V936" s="123"/>
      <c r="W936" s="124"/>
      <c r="X936" s="125"/>
      <c r="Y936" s="29"/>
      <c r="Z936" s="122"/>
      <c r="AA936" s="126"/>
      <c r="AB936" s="16" t="s">
        <v>3648</v>
      </c>
      <c r="AD936" s="23" t="s">
        <v>340</v>
      </c>
      <c r="AF936" s="23" t="s">
        <v>3649</v>
      </c>
      <c r="AO936" s="24"/>
      <c r="AP936" s="24"/>
      <c r="AQ936" s="118"/>
      <c r="AR936" s="119"/>
      <c r="AS936" s="120"/>
      <c r="AT936" s="29"/>
      <c r="AU936" s="122"/>
      <c r="AV936" s="118"/>
      <c r="AW936" s="123"/>
      <c r="AX936" s="124"/>
      <c r="AY936" s="125"/>
      <c r="AZ936" s="29"/>
      <c r="BA936" s="122"/>
      <c r="BB936" s="126"/>
      <c r="BE936" s="24"/>
      <c r="BF936" s="23"/>
    </row>
    <row r="937" spans="1:58" ht="15" customHeight="1">
      <c r="A937" s="28" t="s">
        <v>3634</v>
      </c>
      <c r="B937" s="23" t="s">
        <v>3650</v>
      </c>
      <c r="C937" s="23" t="s">
        <v>3636</v>
      </c>
      <c r="D937" s="31">
        <v>308</v>
      </c>
      <c r="E937" s="23">
        <v>2</v>
      </c>
      <c r="G937" s="23" t="s">
        <v>3651</v>
      </c>
      <c r="H937" s="23" t="s">
        <v>3652</v>
      </c>
      <c r="I937" s="23" t="s">
        <v>223</v>
      </c>
      <c r="J937" s="23" t="s">
        <v>257</v>
      </c>
      <c r="K937" s="23" t="s">
        <v>201</v>
      </c>
      <c r="L937" s="23">
        <v>1</v>
      </c>
      <c r="N937" s="23" t="s">
        <v>38</v>
      </c>
      <c r="O937" s="118"/>
      <c r="P937" s="119"/>
      <c r="Q937" s="120"/>
      <c r="R937" s="29"/>
      <c r="S937" s="121"/>
      <c r="T937" s="122"/>
      <c r="U937" s="118"/>
      <c r="V937" s="123"/>
      <c r="W937" s="124"/>
      <c r="X937" s="125"/>
      <c r="Y937" s="29"/>
      <c r="Z937" s="122"/>
      <c r="AA937" s="126"/>
      <c r="AB937" s="16"/>
      <c r="AD937" s="23" t="s">
        <v>276</v>
      </c>
      <c r="AE937" s="23" t="s">
        <v>3653</v>
      </c>
      <c r="AF937" s="23" t="s">
        <v>3654</v>
      </c>
      <c r="AO937" s="24"/>
      <c r="AP937" s="23"/>
      <c r="AQ937" s="118"/>
      <c r="AR937" s="119"/>
      <c r="AS937" s="120"/>
      <c r="AT937" s="29"/>
      <c r="AU937" s="122"/>
      <c r="AV937" s="118"/>
      <c r="AW937" s="123"/>
      <c r="AX937" s="124"/>
      <c r="AY937" s="125"/>
      <c r="AZ937" s="29"/>
      <c r="BA937" s="122"/>
      <c r="BB937" s="126"/>
      <c r="BE937" s="24"/>
      <c r="BF937" s="23"/>
    </row>
    <row r="938" spans="1:58" ht="15" customHeight="1">
      <c r="A938" s="28" t="s">
        <v>3634</v>
      </c>
      <c r="B938" s="23" t="s">
        <v>3655</v>
      </c>
      <c r="C938" s="23" t="s">
        <v>3636</v>
      </c>
      <c r="D938" s="31">
        <v>309</v>
      </c>
      <c r="E938" s="23">
        <v>2</v>
      </c>
      <c r="G938" s="23" t="s">
        <v>3656</v>
      </c>
      <c r="J938" s="23" t="s">
        <v>257</v>
      </c>
      <c r="K938" s="23" t="s">
        <v>201</v>
      </c>
      <c r="L938" s="23">
        <v>3</v>
      </c>
      <c r="N938" s="23">
        <v>3</v>
      </c>
      <c r="O938" s="118"/>
      <c r="P938" s="119"/>
      <c r="Q938" s="120">
        <v>1</v>
      </c>
      <c r="R938" s="29"/>
      <c r="S938" s="121"/>
      <c r="T938" s="122"/>
      <c r="U938" s="118"/>
      <c r="V938" s="123"/>
      <c r="W938" s="124"/>
      <c r="X938" s="125"/>
      <c r="Y938" s="29"/>
      <c r="Z938" s="122"/>
      <c r="AA938" s="126"/>
      <c r="AB938" s="127" t="s">
        <v>206</v>
      </c>
      <c r="AC938" s="23" t="s">
        <v>258</v>
      </c>
      <c r="AD938" s="23" t="s">
        <v>923</v>
      </c>
      <c r="AE938" s="23" t="s">
        <v>3657</v>
      </c>
      <c r="AF938" s="23" t="s">
        <v>3658</v>
      </c>
      <c r="AO938" s="24"/>
      <c r="AP938" s="23"/>
      <c r="AQ938" s="118"/>
      <c r="AR938" s="119"/>
      <c r="AS938" s="120"/>
      <c r="AT938" s="29"/>
      <c r="AU938" s="122"/>
      <c r="AV938" s="118"/>
      <c r="AW938" s="123"/>
      <c r="AX938" s="124"/>
      <c r="AY938" s="125"/>
      <c r="AZ938" s="29"/>
      <c r="BA938" s="122"/>
      <c r="BB938" s="126"/>
      <c r="BE938" s="24"/>
      <c r="BF938" s="23"/>
    </row>
    <row r="939" spans="1:58" ht="15" customHeight="1">
      <c r="A939" s="28" t="s">
        <v>3634</v>
      </c>
      <c r="B939" s="23" t="s">
        <v>3659</v>
      </c>
      <c r="C939" s="23" t="s">
        <v>3636</v>
      </c>
      <c r="D939" s="31">
        <v>310</v>
      </c>
      <c r="E939" s="23">
        <v>2</v>
      </c>
      <c r="G939" s="23" t="s">
        <v>3660</v>
      </c>
      <c r="J939" s="23" t="s">
        <v>27</v>
      </c>
      <c r="K939" s="23" t="s">
        <v>201</v>
      </c>
      <c r="L939" s="23">
        <v>5</v>
      </c>
      <c r="N939" s="23">
        <v>1</v>
      </c>
      <c r="O939" s="118"/>
      <c r="P939" s="119"/>
      <c r="Q939" s="120"/>
      <c r="R939" s="29"/>
      <c r="S939" s="121">
        <v>1</v>
      </c>
      <c r="T939" s="122"/>
      <c r="U939" s="118"/>
      <c r="V939" s="123"/>
      <c r="W939" s="124"/>
      <c r="X939" s="125"/>
      <c r="Y939" s="29"/>
      <c r="Z939" s="122"/>
      <c r="AA939" s="126"/>
      <c r="AB939" s="16" t="s">
        <v>208</v>
      </c>
      <c r="AD939" s="23" t="s">
        <v>3661</v>
      </c>
      <c r="AE939" s="23"/>
      <c r="AF939" s="23" t="s">
        <v>3662</v>
      </c>
      <c r="AO939" s="24"/>
      <c r="AP939" s="23"/>
      <c r="AQ939" s="118"/>
      <c r="AR939" s="119"/>
      <c r="AS939" s="120"/>
      <c r="AT939" s="29"/>
      <c r="AU939" s="122"/>
      <c r="AV939" s="118"/>
      <c r="AW939" s="123"/>
      <c r="AX939" s="124"/>
      <c r="AY939" s="125"/>
      <c r="AZ939" s="29"/>
      <c r="BA939" s="122"/>
      <c r="BB939" s="126"/>
      <c r="BE939" s="24"/>
      <c r="BF939" s="23"/>
    </row>
    <row r="940" spans="1:58" ht="15" customHeight="1">
      <c r="A940" s="28" t="s">
        <v>3634</v>
      </c>
      <c r="B940" s="23" t="s">
        <v>3663</v>
      </c>
      <c r="C940" s="23" t="s">
        <v>3636</v>
      </c>
      <c r="D940" s="31">
        <v>311</v>
      </c>
      <c r="E940" s="23">
        <v>2</v>
      </c>
      <c r="G940" s="23" t="s">
        <v>3664</v>
      </c>
      <c r="J940" s="23" t="s">
        <v>27</v>
      </c>
      <c r="K940" s="23" t="s">
        <v>200</v>
      </c>
      <c r="L940" s="23">
        <v>2</v>
      </c>
      <c r="N940" s="23">
        <v>1</v>
      </c>
      <c r="O940" s="118"/>
      <c r="P940" s="119"/>
      <c r="Q940" s="120"/>
      <c r="R940" s="29"/>
      <c r="S940" s="121"/>
      <c r="T940" s="122"/>
      <c r="U940" s="118"/>
      <c r="V940" s="123"/>
      <c r="W940" s="124"/>
      <c r="X940" s="125"/>
      <c r="Y940" s="29"/>
      <c r="Z940" s="122"/>
      <c r="AA940" s="126"/>
      <c r="AB940" s="127"/>
      <c r="AD940" s="23" t="s">
        <v>3665</v>
      </c>
      <c r="AE940" s="23"/>
      <c r="AF940" s="23" t="s">
        <v>3666</v>
      </c>
      <c r="AO940" s="24"/>
      <c r="AP940" s="23"/>
      <c r="AQ940" s="118"/>
      <c r="AR940" s="119"/>
      <c r="AS940" s="120"/>
      <c r="AT940" s="29"/>
      <c r="AU940" s="122"/>
      <c r="AV940" s="118"/>
      <c r="AW940" s="123"/>
      <c r="AX940" s="124"/>
      <c r="AY940" s="125"/>
      <c r="AZ940" s="29"/>
      <c r="BA940" s="122"/>
      <c r="BB940" s="126"/>
      <c r="BE940" s="24"/>
      <c r="BF940" s="23"/>
    </row>
    <row r="941" spans="1:58" ht="15" customHeight="1">
      <c r="A941" s="28" t="s">
        <v>3634</v>
      </c>
      <c r="B941" s="23" t="s">
        <v>3667</v>
      </c>
      <c r="C941" s="23" t="s">
        <v>3636</v>
      </c>
      <c r="D941" s="31">
        <v>312</v>
      </c>
      <c r="E941" s="23">
        <v>2</v>
      </c>
      <c r="G941" s="23" t="s">
        <v>3668</v>
      </c>
      <c r="J941" s="23" t="s">
        <v>312</v>
      </c>
      <c r="K941" s="23" t="s">
        <v>200</v>
      </c>
      <c r="L941" s="23">
        <v>5</v>
      </c>
      <c r="N941" s="128"/>
      <c r="O941" s="118"/>
      <c r="P941" s="119"/>
      <c r="Q941" s="120"/>
      <c r="R941" s="29"/>
      <c r="S941" s="121">
        <v>1</v>
      </c>
      <c r="T941" s="122"/>
      <c r="U941" s="118"/>
      <c r="V941" s="123"/>
      <c r="W941" s="124"/>
      <c r="X941" s="125"/>
      <c r="Y941" s="29"/>
      <c r="Z941" s="122"/>
      <c r="AA941" s="126"/>
      <c r="AB941" s="16" t="s">
        <v>208</v>
      </c>
      <c r="AD941" s="23" t="s">
        <v>3669</v>
      </c>
      <c r="AE941" s="23"/>
      <c r="AF941" s="23" t="s">
        <v>3670</v>
      </c>
      <c r="AO941" s="24"/>
      <c r="AP941" s="23"/>
      <c r="AQ941" s="118"/>
      <c r="AR941" s="119"/>
      <c r="AS941" s="120"/>
      <c r="AT941" s="29"/>
      <c r="AU941" s="122"/>
      <c r="AV941" s="118"/>
      <c r="AW941" s="123"/>
      <c r="AX941" s="124"/>
      <c r="AY941" s="125"/>
      <c r="AZ941" s="29"/>
      <c r="BA941" s="122"/>
      <c r="BB941" s="126"/>
      <c r="BE941" s="24"/>
      <c r="BF941" s="23"/>
    </row>
    <row r="942" spans="1:58" ht="15" customHeight="1">
      <c r="A942" s="28" t="s">
        <v>3634</v>
      </c>
      <c r="B942" s="23" t="s">
        <v>3671</v>
      </c>
      <c r="C942" s="23" t="s">
        <v>3636</v>
      </c>
      <c r="D942" s="31">
        <v>313</v>
      </c>
      <c r="E942" s="23">
        <v>2</v>
      </c>
      <c r="G942" s="23" t="s">
        <v>1817</v>
      </c>
      <c r="J942" s="23" t="s">
        <v>257</v>
      </c>
      <c r="K942" s="23" t="s">
        <v>202</v>
      </c>
      <c r="L942" s="23">
        <v>2</v>
      </c>
      <c r="N942" s="23">
        <v>1</v>
      </c>
      <c r="O942" s="118"/>
      <c r="P942" s="119">
        <v>2</v>
      </c>
      <c r="Q942" s="120"/>
      <c r="R942" s="29"/>
      <c r="S942" s="121"/>
      <c r="T942" s="122"/>
      <c r="U942" s="118"/>
      <c r="V942" s="123"/>
      <c r="W942" s="124"/>
      <c r="X942" s="125"/>
      <c r="Y942" s="29"/>
      <c r="Z942" s="122"/>
      <c r="AA942" s="126"/>
      <c r="AB942" s="127" t="s">
        <v>1084</v>
      </c>
      <c r="AC942" s="23" t="s">
        <v>258</v>
      </c>
      <c r="AD942" s="23" t="s">
        <v>265</v>
      </c>
      <c r="AE942" s="23"/>
      <c r="AF942" s="23" t="s">
        <v>3672</v>
      </c>
      <c r="AO942" s="24"/>
      <c r="AP942" s="23"/>
      <c r="AQ942" s="118"/>
      <c r="AR942" s="119"/>
      <c r="AS942" s="120"/>
      <c r="AT942" s="29"/>
      <c r="AU942" s="122"/>
      <c r="AV942" s="118"/>
      <c r="AW942" s="123"/>
      <c r="AX942" s="124"/>
      <c r="AY942" s="125"/>
      <c r="AZ942" s="29"/>
      <c r="BA942" s="122"/>
      <c r="BB942" s="126"/>
      <c r="BE942" s="24"/>
      <c r="BF942" s="23"/>
    </row>
    <row r="943" spans="1:58" ht="15" customHeight="1">
      <c r="A943" s="28" t="s">
        <v>3634</v>
      </c>
      <c r="B943" s="23" t="s">
        <v>3673</v>
      </c>
      <c r="C943" s="23" t="s">
        <v>3636</v>
      </c>
      <c r="D943" s="31">
        <v>314</v>
      </c>
      <c r="E943" s="23">
        <v>2</v>
      </c>
      <c r="G943" s="23" t="s">
        <v>3674</v>
      </c>
      <c r="J943" s="23" t="s">
        <v>27</v>
      </c>
      <c r="K943" s="23" t="s">
        <v>202</v>
      </c>
      <c r="L943" s="23">
        <v>3</v>
      </c>
      <c r="N943" s="23">
        <v>1</v>
      </c>
      <c r="O943" s="118"/>
      <c r="P943" s="119">
        <v>2</v>
      </c>
      <c r="Q943" s="120"/>
      <c r="R943" s="29">
        <v>2</v>
      </c>
      <c r="S943" s="121"/>
      <c r="T943" s="122"/>
      <c r="U943" s="118"/>
      <c r="V943" s="123"/>
      <c r="W943" s="124"/>
      <c r="X943" s="125"/>
      <c r="Y943" s="29"/>
      <c r="Z943" s="122"/>
      <c r="AA943" s="126"/>
      <c r="AB943" s="16" t="s">
        <v>3675</v>
      </c>
      <c r="AD943" s="23" t="s">
        <v>1412</v>
      </c>
      <c r="AE943" s="23"/>
      <c r="AF943" s="23" t="s">
        <v>3676</v>
      </c>
      <c r="AO943" s="24"/>
      <c r="AP943" s="23"/>
      <c r="AQ943" s="118"/>
      <c r="AR943" s="119"/>
      <c r="AS943" s="120"/>
      <c r="AT943" s="29"/>
      <c r="AU943" s="122"/>
      <c r="AV943" s="118"/>
      <c r="AW943" s="123"/>
      <c r="AX943" s="124"/>
      <c r="AY943" s="125"/>
      <c r="AZ943" s="29"/>
      <c r="BA943" s="122"/>
      <c r="BB943" s="126"/>
      <c r="BE943" s="24"/>
      <c r="BF943" s="23"/>
    </row>
    <row r="944" spans="1:58" ht="15" customHeight="1">
      <c r="A944" s="28" t="s">
        <v>3634</v>
      </c>
      <c r="B944" s="23" t="s">
        <v>3677</v>
      </c>
      <c r="C944" s="23" t="s">
        <v>3636</v>
      </c>
      <c r="D944" s="24">
        <v>315</v>
      </c>
      <c r="E944" s="23">
        <v>2</v>
      </c>
      <c r="G944" s="23" t="s">
        <v>3678</v>
      </c>
      <c r="H944" s="23" t="s">
        <v>3679</v>
      </c>
      <c r="I944" s="23" t="s">
        <v>223</v>
      </c>
      <c r="J944" s="23" t="s">
        <v>257</v>
      </c>
      <c r="K944" s="23" t="s">
        <v>26</v>
      </c>
      <c r="L944" s="23">
        <v>5</v>
      </c>
      <c r="N944" s="23">
        <v>3</v>
      </c>
      <c r="O944" s="118">
        <v>1</v>
      </c>
      <c r="P944" s="119"/>
      <c r="Q944" s="120"/>
      <c r="R944" s="29"/>
      <c r="S944" s="121">
        <v>1</v>
      </c>
      <c r="T944" s="122"/>
      <c r="U944" s="118">
        <v>4</v>
      </c>
      <c r="V944" s="123"/>
      <c r="W944" s="124"/>
      <c r="X944" s="125"/>
      <c r="Y944" s="29"/>
      <c r="Z944" s="122"/>
      <c r="AA944" s="126"/>
      <c r="AB944" s="127" t="s">
        <v>3680</v>
      </c>
      <c r="AC944" s="23" t="s">
        <v>275</v>
      </c>
      <c r="AD944" s="23" t="s">
        <v>276</v>
      </c>
      <c r="AE944" s="23"/>
      <c r="AF944" s="23" t="s">
        <v>3681</v>
      </c>
      <c r="AO944" s="24"/>
      <c r="AP944" s="23"/>
      <c r="AQ944" s="118"/>
      <c r="AR944" s="119"/>
      <c r="AS944" s="120"/>
      <c r="AT944" s="29"/>
      <c r="AU944" s="122"/>
      <c r="AV944" s="118"/>
      <c r="AW944" s="123"/>
      <c r="AX944" s="124"/>
      <c r="AY944" s="125"/>
      <c r="AZ944" s="29"/>
      <c r="BA944" s="122"/>
      <c r="BB944" s="126"/>
      <c r="BE944" s="24"/>
      <c r="BF944" s="23"/>
    </row>
    <row r="945" spans="1:59" ht="15" customHeight="1">
      <c r="A945" s="28" t="s">
        <v>3634</v>
      </c>
      <c r="B945" s="23" t="s">
        <v>3682</v>
      </c>
      <c r="C945" s="23" t="s">
        <v>3636</v>
      </c>
      <c r="D945" s="31">
        <v>316</v>
      </c>
      <c r="E945" s="23">
        <v>1</v>
      </c>
      <c r="F945" s="23" t="s">
        <v>3683</v>
      </c>
      <c r="G945" s="23" t="s">
        <v>3683</v>
      </c>
      <c r="J945" s="23" t="s">
        <v>618</v>
      </c>
      <c r="K945" s="23" t="s">
        <v>2426</v>
      </c>
      <c r="N945" s="23"/>
      <c r="O945" s="118"/>
      <c r="P945" s="119"/>
      <c r="Q945" s="120"/>
      <c r="R945" s="29"/>
      <c r="S945" s="121"/>
      <c r="T945" s="122"/>
      <c r="U945" s="118"/>
      <c r="V945" s="123"/>
      <c r="W945" s="124"/>
      <c r="X945" s="125"/>
      <c r="Y945" s="29"/>
      <c r="Z945" s="122"/>
      <c r="AA945" s="126"/>
      <c r="AB945" s="16"/>
      <c r="AE945" s="23"/>
      <c r="AF945" s="23" t="s">
        <v>3684</v>
      </c>
      <c r="AI945" s="23" t="s">
        <v>3683</v>
      </c>
      <c r="AL945" s="23" t="s">
        <v>618</v>
      </c>
      <c r="AO945" s="24"/>
      <c r="AP945" s="23"/>
      <c r="AQ945" s="118"/>
      <c r="AR945" s="119"/>
      <c r="AS945" s="120"/>
      <c r="AT945" s="29"/>
      <c r="AU945" s="122"/>
      <c r="AV945" s="118"/>
      <c r="AW945" s="123"/>
      <c r="AX945" s="124"/>
      <c r="AY945" s="125"/>
      <c r="AZ945" s="29"/>
      <c r="BA945" s="122"/>
      <c r="BB945" s="126"/>
      <c r="BE945" s="24"/>
      <c r="BF945" s="23"/>
      <c r="BG945" s="23" t="s">
        <v>3685</v>
      </c>
    </row>
    <row r="946" spans="1:59" ht="15" customHeight="1">
      <c r="A946" s="28" t="s">
        <v>3634</v>
      </c>
      <c r="B946" s="23" t="s">
        <v>3686</v>
      </c>
      <c r="C946" s="23" t="s">
        <v>3636</v>
      </c>
      <c r="D946" s="24">
        <v>317</v>
      </c>
      <c r="E946" s="23">
        <v>1</v>
      </c>
      <c r="F946" s="23" t="s">
        <v>3683</v>
      </c>
      <c r="G946" s="23" t="s">
        <v>3687</v>
      </c>
      <c r="J946" s="23" t="s">
        <v>619</v>
      </c>
      <c r="K946" s="23" t="s">
        <v>2426</v>
      </c>
      <c r="L946" s="23">
        <v>1</v>
      </c>
      <c r="N946" s="23"/>
      <c r="O946" s="118"/>
      <c r="P946" s="119"/>
      <c r="Q946" s="120"/>
      <c r="R946" s="29"/>
      <c r="S946" s="121"/>
      <c r="T946" s="122"/>
      <c r="U946" s="118"/>
      <c r="V946" s="123"/>
      <c r="W946" s="124"/>
      <c r="X946" s="125"/>
      <c r="Y946" s="29"/>
      <c r="Z946" s="122">
        <v>7</v>
      </c>
      <c r="AA946" s="126"/>
      <c r="AB946" s="127"/>
      <c r="AE946" s="23"/>
      <c r="AF946" s="23" t="s">
        <v>3688</v>
      </c>
      <c r="AI946" s="23" t="s">
        <v>3689</v>
      </c>
      <c r="AL946" s="23" t="s">
        <v>619</v>
      </c>
      <c r="AN946" s="23">
        <v>1</v>
      </c>
      <c r="AO946" s="24"/>
      <c r="AP946" s="23"/>
      <c r="AQ946" s="118"/>
      <c r="AR946" s="119"/>
      <c r="AS946" s="120"/>
      <c r="AT946" s="29"/>
      <c r="AU946" s="122"/>
      <c r="AV946" s="118"/>
      <c r="AW946" s="123"/>
      <c r="AX946" s="124"/>
      <c r="AY946" s="125"/>
      <c r="AZ946" s="29"/>
      <c r="BA946" s="122"/>
      <c r="BB946" s="126"/>
      <c r="BE946" s="24"/>
      <c r="BF946" s="23"/>
      <c r="BG946" s="23" t="s">
        <v>3690</v>
      </c>
    </row>
    <row r="947" spans="1:59" ht="15" customHeight="1">
      <c r="A947" s="28" t="s">
        <v>3634</v>
      </c>
      <c r="B947" s="23" t="s">
        <v>3691</v>
      </c>
      <c r="C947" s="23" t="s">
        <v>3636</v>
      </c>
      <c r="D947" s="31">
        <v>318</v>
      </c>
      <c r="E947" s="23">
        <v>1</v>
      </c>
      <c r="F947" s="23" t="s">
        <v>3683</v>
      </c>
      <c r="G947" s="23" t="s">
        <v>3692</v>
      </c>
      <c r="J947" s="23" t="s">
        <v>619</v>
      </c>
      <c r="K947" s="23" t="s">
        <v>2426</v>
      </c>
      <c r="L947" s="23">
        <v>2</v>
      </c>
      <c r="N947" s="23"/>
      <c r="O947" s="118"/>
      <c r="P947" s="119"/>
      <c r="Q947" s="120"/>
      <c r="R947" s="29"/>
      <c r="S947" s="121"/>
      <c r="T947" s="122"/>
      <c r="U947" s="118"/>
      <c r="V947" s="123"/>
      <c r="W947" s="124"/>
      <c r="X947" s="125"/>
      <c r="Y947" s="29"/>
      <c r="Z947" s="122">
        <v>7</v>
      </c>
      <c r="AA947" s="126"/>
      <c r="AB947" s="127"/>
      <c r="AE947" s="23"/>
      <c r="AF947" s="23" t="s">
        <v>3693</v>
      </c>
      <c r="AI947" s="23" t="s">
        <v>3694</v>
      </c>
      <c r="AL947" s="23" t="s">
        <v>619</v>
      </c>
      <c r="AN947" s="23">
        <v>2</v>
      </c>
      <c r="AO947" s="24"/>
      <c r="AP947" s="23"/>
      <c r="AQ947" s="118"/>
      <c r="AR947" s="119"/>
      <c r="AS947" s="120"/>
      <c r="AT947" s="29"/>
      <c r="AU947" s="122"/>
      <c r="AV947" s="118"/>
      <c r="AW947" s="123"/>
      <c r="AX947" s="124"/>
      <c r="AY947" s="125"/>
      <c r="AZ947" s="29"/>
      <c r="BA947" s="122"/>
      <c r="BB947" s="126"/>
      <c r="BE947" s="24"/>
      <c r="BF947" s="23"/>
      <c r="BG947" s="23" t="s">
        <v>3695</v>
      </c>
    </row>
    <row r="948" spans="1:59" ht="15" customHeight="1">
      <c r="A948" s="28" t="s">
        <v>3634</v>
      </c>
      <c r="B948" s="23" t="s">
        <v>3696</v>
      </c>
      <c r="C948" s="23" t="s">
        <v>3636</v>
      </c>
      <c r="D948" s="24">
        <v>319</v>
      </c>
      <c r="E948" s="23">
        <v>1</v>
      </c>
      <c r="F948" s="23" t="s">
        <v>3683</v>
      </c>
      <c r="G948" s="23" t="s">
        <v>3697</v>
      </c>
      <c r="J948" s="23" t="s">
        <v>619</v>
      </c>
      <c r="K948" s="23" t="s">
        <v>2426</v>
      </c>
      <c r="L948" s="23">
        <v>3</v>
      </c>
      <c r="N948" s="23"/>
      <c r="O948" s="118"/>
      <c r="P948" s="119"/>
      <c r="Q948" s="120"/>
      <c r="R948" s="29"/>
      <c r="S948" s="121"/>
      <c r="T948" s="122"/>
      <c r="U948" s="118"/>
      <c r="V948" s="123"/>
      <c r="W948" s="124"/>
      <c r="X948" s="125"/>
      <c r="Y948" s="29"/>
      <c r="Z948" s="122">
        <v>9</v>
      </c>
      <c r="AA948" s="126"/>
      <c r="AB948" s="127"/>
      <c r="AE948" s="23"/>
      <c r="AF948" s="23" t="s">
        <v>3698</v>
      </c>
      <c r="AI948" s="23" t="s">
        <v>3699</v>
      </c>
      <c r="AL948" s="23" t="s">
        <v>619</v>
      </c>
      <c r="AN948" s="23">
        <v>3</v>
      </c>
      <c r="AO948" s="24"/>
      <c r="AP948" s="23"/>
      <c r="AQ948" s="118"/>
      <c r="AR948" s="119"/>
      <c r="AS948" s="120"/>
      <c r="AT948" s="29"/>
      <c r="AU948" s="122"/>
      <c r="AV948" s="118"/>
      <c r="AW948" s="123"/>
      <c r="AX948" s="124"/>
      <c r="AY948" s="125"/>
      <c r="AZ948" s="29"/>
      <c r="BA948" s="122"/>
      <c r="BB948" s="126"/>
      <c r="BE948" s="24"/>
      <c r="BF948" s="23"/>
      <c r="BG948" s="23" t="s">
        <v>3700</v>
      </c>
    </row>
    <row r="949" spans="1:59" ht="15" customHeight="1">
      <c r="A949" s="28" t="s">
        <v>3634</v>
      </c>
      <c r="B949" s="23" t="s">
        <v>3701</v>
      </c>
      <c r="C949" s="23" t="s">
        <v>3636</v>
      </c>
      <c r="D949" s="31">
        <v>320</v>
      </c>
      <c r="E949" s="23">
        <v>1</v>
      </c>
      <c r="F949" s="23" t="s">
        <v>3683</v>
      </c>
      <c r="G949" s="23" t="s">
        <v>3702</v>
      </c>
      <c r="J949" s="23" t="s">
        <v>621</v>
      </c>
      <c r="K949" s="23" t="s">
        <v>2426</v>
      </c>
      <c r="L949" s="23">
        <v>1</v>
      </c>
      <c r="N949" s="23"/>
      <c r="O949" s="118"/>
      <c r="P949" s="119"/>
      <c r="Q949" s="120"/>
      <c r="R949" s="29"/>
      <c r="S949" s="121"/>
      <c r="T949" s="122"/>
      <c r="U949" s="118"/>
      <c r="V949" s="123"/>
      <c r="W949" s="124"/>
      <c r="X949" s="125"/>
      <c r="Y949" s="29" t="s">
        <v>1697</v>
      </c>
      <c r="Z949" s="122"/>
      <c r="AA949" s="126"/>
      <c r="AB949" s="127"/>
      <c r="AE949" s="23"/>
      <c r="AF949" s="23" t="s">
        <v>3703</v>
      </c>
      <c r="AI949" s="23" t="s">
        <v>3704</v>
      </c>
      <c r="AL949" s="23" t="s">
        <v>621</v>
      </c>
      <c r="AN949" s="23">
        <v>1</v>
      </c>
      <c r="AO949" s="24"/>
      <c r="AP949" s="23"/>
      <c r="AQ949" s="118"/>
      <c r="AR949" s="119"/>
      <c r="AS949" s="120"/>
      <c r="AT949" s="29"/>
      <c r="AU949" s="122"/>
      <c r="AV949" s="118"/>
      <c r="AW949" s="123"/>
      <c r="AX949" s="124"/>
      <c r="AY949" s="125"/>
      <c r="AZ949" s="29"/>
      <c r="BA949" s="122"/>
      <c r="BB949" s="126"/>
      <c r="BE949" s="24"/>
      <c r="BF949" s="23"/>
      <c r="BG949" s="23" t="s">
        <v>3705</v>
      </c>
    </row>
    <row r="950" spans="1:59" ht="15" customHeight="1">
      <c r="A950" s="28" t="s">
        <v>3634</v>
      </c>
      <c r="B950" s="23" t="s">
        <v>3706</v>
      </c>
      <c r="C950" s="23" t="s">
        <v>3636</v>
      </c>
      <c r="D950" s="24">
        <v>321</v>
      </c>
      <c r="E950" s="23">
        <v>1</v>
      </c>
      <c r="F950" s="23" t="s">
        <v>3683</v>
      </c>
      <c r="G950" s="23" t="s">
        <v>3707</v>
      </c>
      <c r="J950" s="23" t="s">
        <v>621</v>
      </c>
      <c r="K950" s="23" t="s">
        <v>2426</v>
      </c>
      <c r="L950" s="23">
        <v>2</v>
      </c>
      <c r="N950" s="23"/>
      <c r="O950" s="118"/>
      <c r="P950" s="119"/>
      <c r="Q950" s="120"/>
      <c r="R950" s="29"/>
      <c r="S950" s="121"/>
      <c r="T950" s="122"/>
      <c r="U950" s="118"/>
      <c r="V950" s="123"/>
      <c r="W950" s="124"/>
      <c r="X950" s="125"/>
      <c r="Y950" s="29" t="s">
        <v>38</v>
      </c>
      <c r="Z950" s="122"/>
      <c r="AA950" s="126"/>
      <c r="AB950" s="127"/>
      <c r="AE950" s="23"/>
      <c r="AF950" s="23" t="s">
        <v>3708</v>
      </c>
      <c r="AI950" s="23" t="s">
        <v>3709</v>
      </c>
      <c r="AJ950" s="23" t="s">
        <v>3710</v>
      </c>
      <c r="AK950" s="23" t="s">
        <v>223</v>
      </c>
      <c r="AL950" s="23" t="s">
        <v>257</v>
      </c>
      <c r="AM950" s="23" t="s">
        <v>26</v>
      </c>
      <c r="AO950" s="24"/>
      <c r="AP950" s="23">
        <v>0</v>
      </c>
      <c r="AQ950" s="118"/>
      <c r="AR950" s="119"/>
      <c r="AS950" s="120"/>
      <c r="AT950" s="29"/>
      <c r="AU950" s="122"/>
      <c r="AV950" s="118"/>
      <c r="AW950" s="123"/>
      <c r="AX950" s="124"/>
      <c r="AY950" s="125"/>
      <c r="AZ950" s="29"/>
      <c r="BA950" s="122"/>
      <c r="BB950" s="126"/>
      <c r="BE950" s="24" t="s">
        <v>276</v>
      </c>
      <c r="BF950" s="23"/>
      <c r="BG950" s="23" t="s">
        <v>3711</v>
      </c>
    </row>
    <row r="951" spans="1:59" ht="15" customHeight="1">
      <c r="A951" s="28" t="s">
        <v>3634</v>
      </c>
      <c r="B951" s="23" t="s">
        <v>3712</v>
      </c>
      <c r="C951" s="23" t="s">
        <v>3636</v>
      </c>
      <c r="D951" s="31">
        <v>322</v>
      </c>
      <c r="E951" s="23">
        <v>1</v>
      </c>
      <c r="F951" s="23" t="s">
        <v>3683</v>
      </c>
      <c r="G951" s="23" t="s">
        <v>3713</v>
      </c>
      <c r="J951" s="23" t="s">
        <v>621</v>
      </c>
      <c r="K951" s="23" t="s">
        <v>2426</v>
      </c>
      <c r="L951" s="23">
        <v>2</v>
      </c>
      <c r="N951" s="23"/>
      <c r="O951" s="118"/>
      <c r="P951" s="119"/>
      <c r="Q951" s="120"/>
      <c r="R951" s="29"/>
      <c r="S951" s="121"/>
      <c r="T951" s="122"/>
      <c r="U951" s="118"/>
      <c r="V951" s="123"/>
      <c r="W951" s="124"/>
      <c r="X951" s="125"/>
      <c r="Y951" s="29" t="s">
        <v>38</v>
      </c>
      <c r="Z951" s="122"/>
      <c r="AA951" s="126"/>
      <c r="AB951" s="127"/>
      <c r="AE951" s="23"/>
      <c r="AF951" s="23" t="s">
        <v>3714</v>
      </c>
      <c r="AI951" s="23" t="s">
        <v>3715</v>
      </c>
      <c r="AL951" s="23" t="s">
        <v>621</v>
      </c>
      <c r="AN951" s="23">
        <v>2</v>
      </c>
      <c r="AO951" s="24"/>
      <c r="AP951" s="23"/>
      <c r="AQ951" s="118"/>
      <c r="AR951" s="119"/>
      <c r="AS951" s="120"/>
      <c r="AT951" s="29"/>
      <c r="AU951" s="122"/>
      <c r="AV951" s="118"/>
      <c r="AW951" s="123"/>
      <c r="AX951" s="124"/>
      <c r="AY951" s="125"/>
      <c r="AZ951" s="29"/>
      <c r="BA951" s="122"/>
      <c r="BB951" s="126"/>
      <c r="BE951" s="24"/>
      <c r="BF951" s="23"/>
      <c r="BG951" s="23" t="s">
        <v>3716</v>
      </c>
    </row>
    <row r="952" spans="1:59" ht="15" customHeight="1">
      <c r="A952" s="28" t="s">
        <v>3634</v>
      </c>
      <c r="B952" s="23" t="s">
        <v>3717</v>
      </c>
      <c r="C952" s="23" t="s">
        <v>3636</v>
      </c>
      <c r="D952" s="24">
        <v>323</v>
      </c>
      <c r="E952" s="23">
        <v>1</v>
      </c>
      <c r="F952" s="23" t="s">
        <v>3683</v>
      </c>
      <c r="G952" s="23" t="s">
        <v>3718</v>
      </c>
      <c r="J952" s="23" t="s">
        <v>621</v>
      </c>
      <c r="K952" s="23" t="s">
        <v>2426</v>
      </c>
      <c r="L952" s="23">
        <v>2</v>
      </c>
      <c r="N952" s="23"/>
      <c r="O952" s="118"/>
      <c r="P952" s="119"/>
      <c r="Q952" s="120"/>
      <c r="R952" s="29"/>
      <c r="S952" s="121"/>
      <c r="T952" s="122"/>
      <c r="U952" s="118"/>
      <c r="V952" s="123"/>
      <c r="W952" s="124"/>
      <c r="X952" s="125"/>
      <c r="Y952" s="29" t="s">
        <v>38</v>
      </c>
      <c r="Z952" s="122"/>
      <c r="AA952" s="126"/>
      <c r="AB952" s="127"/>
      <c r="AE952" s="23"/>
      <c r="AF952" s="23" t="s">
        <v>3719</v>
      </c>
      <c r="AI952" s="23" t="s">
        <v>3720</v>
      </c>
      <c r="AL952" s="23" t="s">
        <v>621</v>
      </c>
      <c r="AN952" s="23">
        <v>2</v>
      </c>
      <c r="AO952" s="24"/>
      <c r="AP952" s="23"/>
      <c r="AQ952" s="118"/>
      <c r="AR952" s="119"/>
      <c r="AS952" s="120"/>
      <c r="AT952" s="29"/>
      <c r="AU952" s="122"/>
      <c r="AV952" s="118"/>
      <c r="AW952" s="123"/>
      <c r="AX952" s="124"/>
      <c r="AY952" s="125"/>
      <c r="AZ952" s="29"/>
      <c r="BA952" s="122"/>
      <c r="BB952" s="126"/>
      <c r="BE952" s="24"/>
      <c r="BF952" s="23"/>
      <c r="BG952" s="23" t="s">
        <v>3721</v>
      </c>
    </row>
    <row r="953" spans="1:59" ht="15" customHeight="1">
      <c r="A953" s="28" t="s">
        <v>3634</v>
      </c>
      <c r="B953" s="23" t="s">
        <v>3722</v>
      </c>
      <c r="C953" s="23" t="s">
        <v>3636</v>
      </c>
      <c r="D953" s="31">
        <v>324</v>
      </c>
      <c r="E953" s="23">
        <v>1</v>
      </c>
      <c r="F953" s="23" t="s">
        <v>3683</v>
      </c>
      <c r="G953" s="23" t="s">
        <v>3723</v>
      </c>
      <c r="J953" s="23" t="s">
        <v>621</v>
      </c>
      <c r="K953" s="23" t="s">
        <v>2426</v>
      </c>
      <c r="L953" s="23">
        <v>3</v>
      </c>
      <c r="N953" s="23"/>
      <c r="O953" s="118"/>
      <c r="P953" s="119"/>
      <c r="Q953" s="120"/>
      <c r="R953" s="29"/>
      <c r="S953" s="121"/>
      <c r="T953" s="122"/>
      <c r="U953" s="118"/>
      <c r="V953" s="123"/>
      <c r="W953" s="124"/>
      <c r="X953" s="125"/>
      <c r="Y953" s="29" t="s">
        <v>38</v>
      </c>
      <c r="Z953" s="122"/>
      <c r="AA953" s="126"/>
      <c r="AB953" s="127"/>
      <c r="AE953" s="23"/>
      <c r="AF953" s="23" t="s">
        <v>3724</v>
      </c>
      <c r="AI953" s="23" t="s">
        <v>3725</v>
      </c>
      <c r="AL953" s="23" t="s">
        <v>621</v>
      </c>
      <c r="AN953" s="23">
        <v>3</v>
      </c>
      <c r="AO953" s="24"/>
      <c r="AP953" s="23"/>
      <c r="AQ953" s="118"/>
      <c r="AR953" s="119"/>
      <c r="AS953" s="120"/>
      <c r="AT953" s="29"/>
      <c r="AU953" s="122"/>
      <c r="AV953" s="118"/>
      <c r="AW953" s="123"/>
      <c r="AX953" s="124"/>
      <c r="AY953" s="125"/>
      <c r="AZ953" s="29"/>
      <c r="BA953" s="122"/>
      <c r="BB953" s="126"/>
      <c r="BE953" s="24"/>
      <c r="BF953" s="23"/>
      <c r="BG953" s="23" t="s">
        <v>3726</v>
      </c>
    </row>
    <row r="954" spans="1:59" ht="15" customHeight="1">
      <c r="A954" s="28" t="s">
        <v>3634</v>
      </c>
      <c r="B954" s="23" t="s">
        <v>3727</v>
      </c>
      <c r="C954" s="23" t="s">
        <v>3636</v>
      </c>
      <c r="D954" s="24">
        <v>325</v>
      </c>
      <c r="E954" s="23">
        <v>1</v>
      </c>
      <c r="F954" s="23" t="s">
        <v>3683</v>
      </c>
      <c r="G954" s="23" t="s">
        <v>3728</v>
      </c>
      <c r="J954" s="23" t="s">
        <v>31</v>
      </c>
      <c r="K954" s="23" t="s">
        <v>2426</v>
      </c>
      <c r="N954" s="23"/>
      <c r="O954" s="118"/>
      <c r="P954" s="119"/>
      <c r="Q954" s="120"/>
      <c r="R954" s="29"/>
      <c r="S954" s="121"/>
      <c r="T954" s="122"/>
      <c r="U954" s="118"/>
      <c r="V954" s="123"/>
      <c r="W954" s="124"/>
      <c r="X954" s="125">
        <v>3</v>
      </c>
      <c r="Y954" s="29" t="s">
        <v>1697</v>
      </c>
      <c r="Z954" s="122"/>
      <c r="AA954" s="126"/>
      <c r="AB954" s="127"/>
      <c r="AD954" s="23" t="s">
        <v>3729</v>
      </c>
      <c r="AE954" s="23"/>
      <c r="AI954" s="23" t="s">
        <v>3730</v>
      </c>
      <c r="AL954" s="23" t="s">
        <v>618</v>
      </c>
      <c r="AO954" s="24"/>
      <c r="AP954" s="23"/>
      <c r="AQ954" s="118"/>
      <c r="AR954" s="119"/>
      <c r="AS954" s="120"/>
      <c r="AT954" s="29"/>
      <c r="AU954" s="122"/>
      <c r="AV954" s="118"/>
      <c r="AW954" s="123"/>
      <c r="AX954" s="124"/>
      <c r="AY954" s="125"/>
      <c r="AZ954" s="29"/>
      <c r="BA954" s="122"/>
      <c r="BB954" s="126"/>
      <c r="BE954" s="24"/>
      <c r="BF954" s="23"/>
      <c r="BG954" s="23" t="s">
        <v>3731</v>
      </c>
    </row>
    <row r="955" spans="1:59" ht="15" customHeight="1">
      <c r="A955" s="28" t="s">
        <v>3634</v>
      </c>
      <c r="B955" s="23" t="s">
        <v>3732</v>
      </c>
      <c r="C955" s="23" t="s">
        <v>3636</v>
      </c>
      <c r="D955" s="24">
        <v>326</v>
      </c>
      <c r="E955" s="23">
        <v>1</v>
      </c>
      <c r="F955" s="23" t="s">
        <v>3683</v>
      </c>
      <c r="G955" s="23" t="s">
        <v>3733</v>
      </c>
      <c r="J955" s="23" t="s">
        <v>31</v>
      </c>
      <c r="K955" s="23" t="s">
        <v>2426</v>
      </c>
      <c r="N955" s="147"/>
      <c r="O955" s="118"/>
      <c r="P955" s="119"/>
      <c r="Q955" s="120"/>
      <c r="R955" s="29"/>
      <c r="S955" s="29"/>
      <c r="T955" s="122"/>
      <c r="U955" s="118"/>
      <c r="V955" s="123"/>
      <c r="W955" s="124"/>
      <c r="X955" s="125">
        <v>4</v>
      </c>
      <c r="Y955" s="29" t="s">
        <v>1071</v>
      </c>
      <c r="Z955" s="122"/>
      <c r="AA955" s="126"/>
      <c r="AB955" s="148"/>
      <c r="AD955" s="23" t="s">
        <v>3729</v>
      </c>
      <c r="AF955" s="23" t="s">
        <v>3734</v>
      </c>
      <c r="AI955" s="23" t="s">
        <v>3735</v>
      </c>
      <c r="AL955" s="23" t="s">
        <v>618</v>
      </c>
      <c r="AP955" s="24"/>
      <c r="AQ955" s="118"/>
      <c r="AR955" s="119"/>
      <c r="AS955" s="120"/>
      <c r="AT955" s="29"/>
      <c r="AU955" s="122"/>
      <c r="AV955" s="118"/>
      <c r="AW955" s="123"/>
      <c r="AX955" s="124"/>
      <c r="AY955" s="125"/>
      <c r="AZ955" s="29"/>
      <c r="BA955" s="122"/>
      <c r="BB955" s="126"/>
      <c r="BG955" s="23" t="s">
        <v>3736</v>
      </c>
    </row>
    <row r="956" spans="1:59" ht="15" customHeight="1">
      <c r="A956" s="28" t="s">
        <v>3634</v>
      </c>
      <c r="B956" s="23" t="s">
        <v>3737</v>
      </c>
      <c r="C956" s="23" t="s">
        <v>3636</v>
      </c>
      <c r="D956" s="24">
        <v>326</v>
      </c>
      <c r="E956" s="23">
        <v>1</v>
      </c>
      <c r="F956" s="23" t="s">
        <v>3683</v>
      </c>
      <c r="G956" s="23" t="s">
        <v>3733</v>
      </c>
      <c r="J956" s="23" t="s">
        <v>31</v>
      </c>
      <c r="K956" s="23" t="s">
        <v>2426</v>
      </c>
      <c r="N956" s="147"/>
      <c r="O956" s="118"/>
      <c r="P956" s="119"/>
      <c r="Q956" s="120"/>
      <c r="R956" s="29"/>
      <c r="S956" s="29"/>
      <c r="T956" s="122"/>
      <c r="U956" s="118"/>
      <c r="V956" s="123"/>
      <c r="W956" s="124"/>
      <c r="X956" s="125">
        <v>4</v>
      </c>
      <c r="Y956" s="29" t="s">
        <v>1071</v>
      </c>
      <c r="Z956" s="122"/>
      <c r="AA956" s="126"/>
      <c r="AB956" s="148"/>
      <c r="AD956" s="23" t="s">
        <v>3729</v>
      </c>
      <c r="AF956" s="23" t="s">
        <v>3734</v>
      </c>
      <c r="AI956" s="23" t="s">
        <v>3738</v>
      </c>
      <c r="AL956" s="23" t="s">
        <v>618</v>
      </c>
      <c r="AP956" s="24"/>
      <c r="AQ956" s="118"/>
      <c r="AR956" s="119"/>
      <c r="AS956" s="120"/>
      <c r="AT956" s="29"/>
      <c r="AU956" s="122"/>
      <c r="AV956" s="118"/>
      <c r="AW956" s="123"/>
      <c r="AX956" s="124"/>
      <c r="AY956" s="125"/>
      <c r="AZ956" s="29"/>
      <c r="BA956" s="122"/>
      <c r="BB956" s="126"/>
      <c r="BG956" s="23" t="s">
        <v>3739</v>
      </c>
    </row>
    <row r="957" spans="1:59" ht="15" customHeight="1">
      <c r="A957" s="28" t="s">
        <v>3634</v>
      </c>
      <c r="B957" s="23" t="s">
        <v>3740</v>
      </c>
      <c r="C957" s="23" t="s">
        <v>3636</v>
      </c>
      <c r="D957" s="24">
        <v>327</v>
      </c>
      <c r="E957" s="23">
        <v>1</v>
      </c>
      <c r="F957" s="23" t="s">
        <v>3683</v>
      </c>
      <c r="G957" s="23" t="s">
        <v>3741</v>
      </c>
      <c r="J957" s="23" t="s">
        <v>31</v>
      </c>
      <c r="K957" s="23" t="s">
        <v>2426</v>
      </c>
      <c r="N957" s="147"/>
      <c r="O957" s="118"/>
      <c r="P957" s="119"/>
      <c r="Q957" s="120"/>
      <c r="R957" s="29"/>
      <c r="S957" s="29"/>
      <c r="T957" s="122"/>
      <c r="U957" s="118"/>
      <c r="V957" s="123"/>
      <c r="W957" s="124"/>
      <c r="X957" s="125">
        <v>2</v>
      </c>
      <c r="Y957" s="29" t="s">
        <v>1071</v>
      </c>
      <c r="Z957" s="122"/>
      <c r="AA957" s="126"/>
      <c r="AB957" s="148"/>
      <c r="AD957" s="23" t="s">
        <v>3729</v>
      </c>
      <c r="AF957" s="23" t="s">
        <v>3742</v>
      </c>
      <c r="AI957" s="23" t="s">
        <v>3743</v>
      </c>
      <c r="AL957" s="23" t="s">
        <v>618</v>
      </c>
      <c r="AP957" s="24"/>
      <c r="AQ957" s="118"/>
      <c r="AR957" s="119"/>
      <c r="AS957" s="120"/>
      <c r="AT957" s="29"/>
      <c r="AU957" s="122"/>
      <c r="AV957" s="118"/>
      <c r="AW957" s="123"/>
      <c r="AX957" s="124"/>
      <c r="AY957" s="125"/>
      <c r="AZ957" s="29"/>
      <c r="BA957" s="122"/>
      <c r="BB957" s="126"/>
      <c r="BG957" s="23" t="s">
        <v>3744</v>
      </c>
    </row>
    <row r="958" spans="1:59" ht="15" customHeight="1">
      <c r="A958" s="28" t="s">
        <v>3634</v>
      </c>
      <c r="B958" s="23" t="s">
        <v>3745</v>
      </c>
      <c r="C958" s="23" t="s">
        <v>3636</v>
      </c>
      <c r="D958" s="24">
        <v>327</v>
      </c>
      <c r="E958" s="23">
        <v>1</v>
      </c>
      <c r="F958" s="23" t="s">
        <v>3683</v>
      </c>
      <c r="G958" s="23" t="s">
        <v>3741</v>
      </c>
      <c r="J958" s="23" t="s">
        <v>31</v>
      </c>
      <c r="K958" s="23" t="s">
        <v>2426</v>
      </c>
      <c r="N958" s="147"/>
      <c r="O958" s="118"/>
      <c r="P958" s="119"/>
      <c r="Q958" s="120"/>
      <c r="R958" s="29"/>
      <c r="S958" s="29"/>
      <c r="T958" s="122"/>
      <c r="U958" s="118"/>
      <c r="V958" s="123"/>
      <c r="W958" s="124"/>
      <c r="X958" s="125">
        <v>2</v>
      </c>
      <c r="Y958" s="29" t="s">
        <v>1071</v>
      </c>
      <c r="Z958" s="122"/>
      <c r="AA958" s="126"/>
      <c r="AB958" s="148"/>
      <c r="AD958" s="23" t="s">
        <v>3729</v>
      </c>
      <c r="AF958" s="23" t="s">
        <v>3742</v>
      </c>
      <c r="AI958" s="23" t="s">
        <v>3746</v>
      </c>
      <c r="AL958" s="23" t="s">
        <v>618</v>
      </c>
      <c r="AP958" s="24"/>
      <c r="AQ958" s="118"/>
      <c r="AR958" s="119"/>
      <c r="AS958" s="120"/>
      <c r="AT958" s="29"/>
      <c r="AU958" s="122"/>
      <c r="AV958" s="118"/>
      <c r="AW958" s="123"/>
      <c r="AX958" s="124"/>
      <c r="AY958" s="125"/>
      <c r="AZ958" s="29"/>
      <c r="BA958" s="122"/>
      <c r="BB958" s="126"/>
      <c r="BG958" s="23" t="s">
        <v>3747</v>
      </c>
    </row>
    <row r="959" spans="1:59" ht="15" customHeight="1">
      <c r="A959" s="28" t="s">
        <v>3634</v>
      </c>
      <c r="B959" s="23" t="s">
        <v>3748</v>
      </c>
      <c r="C959" s="23" t="s">
        <v>3636</v>
      </c>
      <c r="D959" s="24">
        <v>327</v>
      </c>
      <c r="E959" s="23">
        <v>1</v>
      </c>
      <c r="F959" s="23" t="s">
        <v>3683</v>
      </c>
      <c r="G959" s="23" t="s">
        <v>3741</v>
      </c>
      <c r="J959" s="23" t="s">
        <v>31</v>
      </c>
      <c r="K959" s="23" t="s">
        <v>2426</v>
      </c>
      <c r="N959" s="147"/>
      <c r="O959" s="118"/>
      <c r="P959" s="119"/>
      <c r="Q959" s="120"/>
      <c r="R959" s="29"/>
      <c r="S959" s="29"/>
      <c r="T959" s="122"/>
      <c r="U959" s="118"/>
      <c r="V959" s="123"/>
      <c r="W959" s="124"/>
      <c r="X959" s="125">
        <v>2</v>
      </c>
      <c r="Y959" s="29" t="s">
        <v>1071</v>
      </c>
      <c r="Z959" s="122"/>
      <c r="AA959" s="126"/>
      <c r="AB959" s="148"/>
      <c r="AD959" s="23" t="s">
        <v>3729</v>
      </c>
      <c r="AF959" s="23" t="s">
        <v>3742</v>
      </c>
      <c r="AI959" s="23" t="s">
        <v>3749</v>
      </c>
      <c r="AL959" s="23" t="s">
        <v>618</v>
      </c>
      <c r="AP959" s="24"/>
      <c r="AQ959" s="118"/>
      <c r="AR959" s="119"/>
      <c r="AS959" s="120"/>
      <c r="AT959" s="29"/>
      <c r="AU959" s="122"/>
      <c r="AV959" s="118"/>
      <c r="AW959" s="123"/>
      <c r="AX959" s="124"/>
      <c r="AY959" s="125"/>
      <c r="AZ959" s="29"/>
      <c r="BA959" s="122"/>
      <c r="BB959" s="126"/>
      <c r="BG959" s="23" t="s">
        <v>3750</v>
      </c>
    </row>
    <row r="960" spans="1:59" ht="15" customHeight="1">
      <c r="A960" s="28" t="s">
        <v>3634</v>
      </c>
      <c r="B960" s="23" t="s">
        <v>3751</v>
      </c>
      <c r="C960" s="23" t="s">
        <v>3636</v>
      </c>
      <c r="D960" s="24">
        <v>328</v>
      </c>
      <c r="E960" s="23">
        <v>1</v>
      </c>
      <c r="F960" s="23" t="s">
        <v>3683</v>
      </c>
      <c r="G960" s="23" t="s">
        <v>3752</v>
      </c>
      <c r="J960" s="23" t="s">
        <v>31</v>
      </c>
      <c r="K960" s="23" t="s">
        <v>2426</v>
      </c>
      <c r="N960" s="147"/>
      <c r="O960" s="118"/>
      <c r="P960" s="119"/>
      <c r="Q960" s="120"/>
      <c r="R960" s="29"/>
      <c r="S960" s="29"/>
      <c r="T960" s="122"/>
      <c r="U960" s="118"/>
      <c r="V960" s="123"/>
      <c r="W960" s="124"/>
      <c r="X960" s="125">
        <v>2</v>
      </c>
      <c r="Y960" s="29" t="s">
        <v>1071</v>
      </c>
      <c r="Z960" s="122"/>
      <c r="AA960" s="126"/>
      <c r="AB960" s="148"/>
      <c r="AD960" s="23" t="s">
        <v>3729</v>
      </c>
      <c r="AF960" s="23" t="s">
        <v>3753</v>
      </c>
      <c r="AI960" s="23" t="s">
        <v>3754</v>
      </c>
      <c r="AL960" s="23" t="s">
        <v>618</v>
      </c>
      <c r="AP960" s="24"/>
      <c r="AQ960" s="118"/>
      <c r="AR960" s="119"/>
      <c r="AS960" s="120"/>
      <c r="AT960" s="29"/>
      <c r="AU960" s="122"/>
      <c r="AV960" s="118"/>
      <c r="AW960" s="123"/>
      <c r="AX960" s="124"/>
      <c r="AY960" s="125"/>
      <c r="AZ960" s="29"/>
      <c r="BA960" s="122"/>
      <c r="BB960" s="126"/>
      <c r="BG960" s="23" t="s">
        <v>3755</v>
      </c>
    </row>
    <row r="961" spans="1:59" ht="15" customHeight="1">
      <c r="A961" s="28" t="s">
        <v>3634</v>
      </c>
      <c r="B961" s="23" t="s">
        <v>3756</v>
      </c>
      <c r="C961" s="23" t="s">
        <v>3636</v>
      </c>
      <c r="D961" s="24">
        <v>328</v>
      </c>
      <c r="E961" s="23">
        <v>1</v>
      </c>
      <c r="F961" s="23" t="s">
        <v>3683</v>
      </c>
      <c r="G961" s="23" t="s">
        <v>3752</v>
      </c>
      <c r="J961" s="23" t="s">
        <v>31</v>
      </c>
      <c r="K961" s="23" t="s">
        <v>2426</v>
      </c>
      <c r="N961" s="147"/>
      <c r="O961" s="118"/>
      <c r="P961" s="119"/>
      <c r="Q961" s="120"/>
      <c r="R961" s="29"/>
      <c r="S961" s="29"/>
      <c r="T961" s="122"/>
      <c r="U961" s="118"/>
      <c r="V961" s="123"/>
      <c r="W961" s="124"/>
      <c r="X961" s="125">
        <v>2</v>
      </c>
      <c r="Y961" s="29" t="s">
        <v>1071</v>
      </c>
      <c r="Z961" s="122"/>
      <c r="AA961" s="126"/>
      <c r="AB961" s="148"/>
      <c r="AD961" s="23" t="s">
        <v>3729</v>
      </c>
      <c r="AF961" s="23" t="s">
        <v>3753</v>
      </c>
      <c r="AI961" s="23" t="s">
        <v>3757</v>
      </c>
      <c r="AL961" s="23" t="s">
        <v>618</v>
      </c>
      <c r="AP961" s="24"/>
      <c r="AQ961" s="118"/>
      <c r="AR961" s="119"/>
      <c r="AS961" s="120"/>
      <c r="AT961" s="29"/>
      <c r="AU961" s="122"/>
      <c r="AV961" s="118"/>
      <c r="AW961" s="123"/>
      <c r="AX961" s="124"/>
      <c r="AY961" s="125"/>
      <c r="AZ961" s="29"/>
      <c r="BA961" s="122"/>
      <c r="BB961" s="126"/>
      <c r="BG961" s="23" t="s">
        <v>3758</v>
      </c>
    </row>
    <row r="962" spans="1:59" ht="15" customHeight="1">
      <c r="A962" s="28" t="s">
        <v>3634</v>
      </c>
      <c r="B962" s="23" t="s">
        <v>3759</v>
      </c>
      <c r="C962" s="23" t="s">
        <v>3636</v>
      </c>
      <c r="D962" s="24">
        <v>328</v>
      </c>
      <c r="E962" s="23">
        <v>1</v>
      </c>
      <c r="F962" s="23" t="s">
        <v>3683</v>
      </c>
      <c r="G962" s="23" t="s">
        <v>3752</v>
      </c>
      <c r="J962" s="23" t="s">
        <v>31</v>
      </c>
      <c r="K962" s="23" t="s">
        <v>2426</v>
      </c>
      <c r="N962" s="147"/>
      <c r="O962" s="118"/>
      <c r="P962" s="119"/>
      <c r="Q962" s="120"/>
      <c r="R962" s="29"/>
      <c r="S962" s="29"/>
      <c r="T962" s="122"/>
      <c r="U962" s="118"/>
      <c r="V962" s="123"/>
      <c r="W962" s="124"/>
      <c r="X962" s="125">
        <v>2</v>
      </c>
      <c r="Y962" s="29" t="s">
        <v>1071</v>
      </c>
      <c r="Z962" s="122"/>
      <c r="AA962" s="126"/>
      <c r="AB962" s="148"/>
      <c r="AD962" s="23" t="s">
        <v>3729</v>
      </c>
      <c r="AF962" s="23" t="s">
        <v>3753</v>
      </c>
      <c r="AI962" s="23" t="s">
        <v>3760</v>
      </c>
      <c r="AL962" s="23" t="s">
        <v>618</v>
      </c>
      <c r="AP962" s="24"/>
      <c r="AQ962" s="118"/>
      <c r="AR962" s="119"/>
      <c r="AS962" s="120"/>
      <c r="AT962" s="29"/>
      <c r="AU962" s="122"/>
      <c r="AV962" s="118"/>
      <c r="AW962" s="123"/>
      <c r="AX962" s="124"/>
      <c r="AY962" s="125"/>
      <c r="AZ962" s="29"/>
      <c r="BA962" s="122"/>
      <c r="BB962" s="126"/>
      <c r="BG962" s="23" t="s">
        <v>3761</v>
      </c>
    </row>
    <row r="963" spans="1:59" ht="15" customHeight="1">
      <c r="A963" s="28" t="s">
        <v>3634</v>
      </c>
      <c r="B963" s="23" t="s">
        <v>3762</v>
      </c>
      <c r="C963" s="23" t="s">
        <v>3636</v>
      </c>
      <c r="D963" s="24">
        <v>329</v>
      </c>
      <c r="E963" s="23">
        <v>1</v>
      </c>
      <c r="F963" s="23" t="s">
        <v>3683</v>
      </c>
      <c r="G963" s="23" t="s">
        <v>3763</v>
      </c>
      <c r="J963" s="23" t="s">
        <v>31</v>
      </c>
      <c r="K963" s="23" t="s">
        <v>2426</v>
      </c>
      <c r="N963" s="147"/>
      <c r="O963" s="118"/>
      <c r="P963" s="119"/>
      <c r="Q963" s="120"/>
      <c r="R963" s="29"/>
      <c r="S963" s="29"/>
      <c r="T963" s="122"/>
      <c r="U963" s="118"/>
      <c r="V963" s="123"/>
      <c r="W963" s="124"/>
      <c r="X963" s="125">
        <v>4</v>
      </c>
      <c r="Y963" s="29" t="s">
        <v>1071</v>
      </c>
      <c r="Z963" s="122"/>
      <c r="AA963" s="126"/>
      <c r="AB963" s="148"/>
      <c r="AD963" s="23" t="s">
        <v>3729</v>
      </c>
      <c r="AF963" s="23" t="s">
        <v>3764</v>
      </c>
      <c r="AI963" s="23" t="s">
        <v>3765</v>
      </c>
      <c r="AL963" s="23" t="s">
        <v>618</v>
      </c>
      <c r="AP963" s="24"/>
      <c r="AQ963" s="118"/>
      <c r="AR963" s="119"/>
      <c r="AS963" s="120"/>
      <c r="AT963" s="29"/>
      <c r="AU963" s="122"/>
      <c r="AV963" s="118"/>
      <c r="AW963" s="123"/>
      <c r="AX963" s="124"/>
      <c r="AY963" s="125"/>
      <c r="AZ963" s="29"/>
      <c r="BA963" s="122"/>
      <c r="BB963" s="126"/>
      <c r="BG963" s="23" t="s">
        <v>3766</v>
      </c>
    </row>
    <row r="964" spans="1:59" ht="15" customHeight="1">
      <c r="A964" s="28" t="s">
        <v>3634</v>
      </c>
      <c r="B964" s="23" t="s">
        <v>3767</v>
      </c>
      <c r="C964" s="23" t="s">
        <v>3636</v>
      </c>
      <c r="D964" s="24">
        <v>329</v>
      </c>
      <c r="E964" s="23">
        <v>1</v>
      </c>
      <c r="F964" s="23" t="s">
        <v>3683</v>
      </c>
      <c r="G964" s="23" t="s">
        <v>3763</v>
      </c>
      <c r="J964" s="23" t="s">
        <v>31</v>
      </c>
      <c r="K964" s="23" t="s">
        <v>2426</v>
      </c>
      <c r="N964" s="147"/>
      <c r="O964" s="118"/>
      <c r="P964" s="119"/>
      <c r="Q964" s="120"/>
      <c r="R964" s="29"/>
      <c r="S964" s="29"/>
      <c r="T964" s="122"/>
      <c r="U964" s="118"/>
      <c r="V964" s="123"/>
      <c r="W964" s="124"/>
      <c r="X964" s="125">
        <v>4</v>
      </c>
      <c r="Y964" s="29" t="s">
        <v>1071</v>
      </c>
      <c r="Z964" s="122"/>
      <c r="AA964" s="126"/>
      <c r="AB964" s="148"/>
      <c r="AD964" s="23" t="s">
        <v>3729</v>
      </c>
      <c r="AF964" s="23" t="s">
        <v>3764</v>
      </c>
      <c r="AI964" s="23" t="s">
        <v>3768</v>
      </c>
      <c r="AL964" s="23" t="s">
        <v>618</v>
      </c>
      <c r="AP964" s="24"/>
      <c r="AQ964" s="118"/>
      <c r="AR964" s="119"/>
      <c r="AS964" s="120"/>
      <c r="AT964" s="29"/>
      <c r="AU964" s="122"/>
      <c r="AV964" s="118"/>
      <c r="AW964" s="123"/>
      <c r="AX964" s="124"/>
      <c r="AY964" s="125"/>
      <c r="AZ964" s="29"/>
      <c r="BA964" s="122"/>
      <c r="BB964" s="126"/>
      <c r="BG964" s="23" t="s">
        <v>3731</v>
      </c>
    </row>
    <row r="965" spans="1:59" ht="15" customHeight="1">
      <c r="A965" s="28" t="s">
        <v>3634</v>
      </c>
      <c r="B965" s="23" t="s">
        <v>3769</v>
      </c>
      <c r="C965" s="23" t="s">
        <v>3636</v>
      </c>
      <c r="D965" s="24">
        <v>330</v>
      </c>
      <c r="E965" s="23">
        <v>1</v>
      </c>
      <c r="F965" s="23" t="s">
        <v>3683</v>
      </c>
      <c r="G965" s="23" t="s">
        <v>3770</v>
      </c>
      <c r="J965" s="23" t="s">
        <v>31</v>
      </c>
      <c r="K965" s="23" t="s">
        <v>2426</v>
      </c>
      <c r="N965" s="147"/>
      <c r="O965" s="118"/>
      <c r="P965" s="119"/>
      <c r="Q965" s="120"/>
      <c r="R965" s="29"/>
      <c r="S965" s="29"/>
      <c r="T965" s="122"/>
      <c r="U965" s="118"/>
      <c r="V965" s="123"/>
      <c r="W965" s="124"/>
      <c r="X965" s="125">
        <v>3</v>
      </c>
      <c r="Y965" s="29" t="s">
        <v>1697</v>
      </c>
      <c r="Z965" s="122"/>
      <c r="AA965" s="126"/>
      <c r="AB965" s="148"/>
      <c r="AD965" s="23" t="s">
        <v>3729</v>
      </c>
      <c r="AI965" s="23" t="s">
        <v>3771</v>
      </c>
      <c r="AL965" s="23" t="s">
        <v>618</v>
      </c>
      <c r="AP965" s="24"/>
      <c r="AQ965" s="118"/>
      <c r="AR965" s="119"/>
      <c r="AS965" s="120"/>
      <c r="AT965" s="29"/>
      <c r="AU965" s="122"/>
      <c r="AV965" s="118"/>
      <c r="AW965" s="123"/>
      <c r="AX965" s="124"/>
      <c r="AY965" s="125"/>
      <c r="AZ965" s="29"/>
      <c r="BA965" s="122"/>
      <c r="BB965" s="126"/>
      <c r="BG965" s="23" t="s">
        <v>3772</v>
      </c>
    </row>
    <row r="966" spans="1:59" ht="15" customHeight="1">
      <c r="A966" s="28" t="s">
        <v>3634</v>
      </c>
      <c r="B966" s="23" t="s">
        <v>3773</v>
      </c>
      <c r="C966" s="23" t="s">
        <v>3636</v>
      </c>
      <c r="D966" s="24">
        <v>331</v>
      </c>
      <c r="E966" s="23">
        <v>1</v>
      </c>
      <c r="F966" s="23" t="s">
        <v>3683</v>
      </c>
      <c r="G966" s="23" t="s">
        <v>3774</v>
      </c>
      <c r="J966" s="23" t="s">
        <v>31</v>
      </c>
      <c r="K966" s="23" t="s">
        <v>2426</v>
      </c>
      <c r="N966" s="147"/>
      <c r="O966" s="118"/>
      <c r="P966" s="119"/>
      <c r="Q966" s="120"/>
      <c r="R966" s="29"/>
      <c r="S966" s="29"/>
      <c r="T966" s="122"/>
      <c r="U966" s="118"/>
      <c r="V966" s="123"/>
      <c r="W966" s="124"/>
      <c r="X966" s="125">
        <v>2</v>
      </c>
      <c r="Y966" s="29" t="s">
        <v>1696</v>
      </c>
      <c r="Z966" s="122"/>
      <c r="AA966" s="126"/>
      <c r="AB966" s="148"/>
      <c r="AD966" s="23" t="s">
        <v>3729</v>
      </c>
      <c r="AF966" s="23" t="s">
        <v>3775</v>
      </c>
      <c r="AI966" s="23" t="s">
        <v>3776</v>
      </c>
      <c r="AL966" s="23" t="s">
        <v>618</v>
      </c>
      <c r="AP966" s="24"/>
      <c r="AQ966" s="118"/>
      <c r="AR966" s="119"/>
      <c r="AS966" s="120"/>
      <c r="AT966" s="29"/>
      <c r="AU966" s="122"/>
      <c r="AV966" s="118"/>
      <c r="AW966" s="123"/>
      <c r="AX966" s="124"/>
      <c r="AY966" s="125"/>
      <c r="AZ966" s="29"/>
      <c r="BA966" s="122"/>
      <c r="BB966" s="126"/>
      <c r="BG966" s="23" t="s">
        <v>3777</v>
      </c>
    </row>
    <row r="967" spans="1:59" ht="15" customHeight="1">
      <c r="A967" s="28" t="s">
        <v>3634</v>
      </c>
      <c r="B967" s="23" t="s">
        <v>3778</v>
      </c>
      <c r="C967" s="23" t="s">
        <v>3636</v>
      </c>
      <c r="D967" s="24">
        <v>332</v>
      </c>
      <c r="E967" s="23">
        <v>1</v>
      </c>
      <c r="F967" s="23" t="s">
        <v>3683</v>
      </c>
      <c r="G967" s="23" t="s">
        <v>3779</v>
      </c>
      <c r="H967" s="23" t="s">
        <v>2555</v>
      </c>
      <c r="I967" s="23" t="s">
        <v>223</v>
      </c>
      <c r="J967" s="23" t="s">
        <v>29</v>
      </c>
      <c r="K967" s="23" t="s">
        <v>2426</v>
      </c>
      <c r="N967" s="147"/>
      <c r="O967" s="118"/>
      <c r="P967" s="119"/>
      <c r="Q967" s="120">
        <v>4</v>
      </c>
      <c r="R967" s="29">
        <v>2</v>
      </c>
      <c r="S967" s="29"/>
      <c r="T967" s="122" t="s">
        <v>3780</v>
      </c>
      <c r="U967" s="118"/>
      <c r="V967" s="123"/>
      <c r="W967" s="124">
        <v>2</v>
      </c>
      <c r="X967" s="125"/>
      <c r="Y967" s="29"/>
      <c r="Z967" s="122"/>
      <c r="AA967" s="126"/>
      <c r="AB967" s="148"/>
      <c r="AD967" s="23" t="s">
        <v>822</v>
      </c>
      <c r="AF967" s="23" t="s">
        <v>3781</v>
      </c>
      <c r="AP967" s="24"/>
      <c r="AQ967" s="118"/>
      <c r="AR967" s="119"/>
      <c r="AS967" s="120"/>
      <c r="AT967" s="29"/>
      <c r="AU967" s="122"/>
      <c r="AV967" s="118"/>
      <c r="AW967" s="123"/>
      <c r="AX967" s="124"/>
      <c r="AY967" s="125"/>
      <c r="AZ967" s="29"/>
      <c r="BA967" s="122"/>
      <c r="BB967" s="126"/>
    </row>
    <row r="968" spans="1:59" ht="15" customHeight="1">
      <c r="A968" s="28" t="s">
        <v>3634</v>
      </c>
      <c r="B968" s="23" t="s">
        <v>3782</v>
      </c>
      <c r="C968" s="23" t="s">
        <v>3636</v>
      </c>
      <c r="D968" s="24">
        <v>333</v>
      </c>
      <c r="E968" s="23">
        <v>1</v>
      </c>
      <c r="F968" s="23" t="s">
        <v>3683</v>
      </c>
      <c r="G968" s="23" t="s">
        <v>3779</v>
      </c>
      <c r="H968" s="23" t="s">
        <v>3783</v>
      </c>
      <c r="I968" s="23" t="s">
        <v>223</v>
      </c>
      <c r="J968" s="23" t="s">
        <v>29</v>
      </c>
      <c r="K968" s="23" t="s">
        <v>2426</v>
      </c>
      <c r="N968" s="147"/>
      <c r="O968" s="118"/>
      <c r="P968" s="119"/>
      <c r="Q968" s="120">
        <v>3</v>
      </c>
      <c r="R968" s="29">
        <v>3</v>
      </c>
      <c r="S968" s="29"/>
      <c r="T968" s="122" t="s">
        <v>3784</v>
      </c>
      <c r="U968" s="118"/>
      <c r="V968" s="123"/>
      <c r="W968" s="124">
        <v>2</v>
      </c>
      <c r="X968" s="125"/>
      <c r="Y968" s="29"/>
      <c r="Z968" s="122"/>
      <c r="AA968" s="126"/>
      <c r="AB968" s="148"/>
      <c r="AD968" s="23" t="s">
        <v>822</v>
      </c>
      <c r="AE968" s="24" t="s">
        <v>3785</v>
      </c>
      <c r="AF968" s="23" t="s">
        <v>3786</v>
      </c>
      <c r="AP968" s="24"/>
      <c r="AQ968" s="118"/>
      <c r="AR968" s="119"/>
      <c r="AS968" s="120"/>
      <c r="AT968" s="29"/>
      <c r="AU968" s="122"/>
      <c r="AV968" s="118"/>
      <c r="AW968" s="123"/>
      <c r="AX968" s="124"/>
      <c r="AY968" s="125"/>
      <c r="AZ968" s="29"/>
      <c r="BA968" s="122"/>
      <c r="BB968" s="126"/>
    </row>
    <row r="969" spans="1:59" ht="15" customHeight="1">
      <c r="A969" s="28" t="s">
        <v>3634</v>
      </c>
      <c r="B969" s="23" t="s">
        <v>3787</v>
      </c>
      <c r="C969" s="23" t="s">
        <v>3636</v>
      </c>
      <c r="D969" s="24">
        <v>334</v>
      </c>
      <c r="E969" s="23">
        <v>1</v>
      </c>
      <c r="F969" s="23" t="s">
        <v>3683</v>
      </c>
      <c r="G969" s="23" t="s">
        <v>3779</v>
      </c>
      <c r="H969" s="23" t="s">
        <v>3788</v>
      </c>
      <c r="I969" s="23" t="s">
        <v>223</v>
      </c>
      <c r="J969" s="23" t="s">
        <v>29</v>
      </c>
      <c r="K969" s="23" t="s">
        <v>2426</v>
      </c>
      <c r="N969" s="147"/>
      <c r="O969" s="118"/>
      <c r="P969" s="119"/>
      <c r="Q969" s="120">
        <v>3</v>
      </c>
      <c r="R969" s="29">
        <v>2</v>
      </c>
      <c r="S969" s="29"/>
      <c r="T969" s="122" t="s">
        <v>3789</v>
      </c>
      <c r="U969" s="118"/>
      <c r="V969" s="123"/>
      <c r="W969" s="124">
        <v>4</v>
      </c>
      <c r="X969" s="125"/>
      <c r="Y969" s="29"/>
      <c r="Z969" s="122"/>
      <c r="AA969" s="126"/>
      <c r="AB969" s="148"/>
      <c r="AD969" s="23" t="s">
        <v>822</v>
      </c>
      <c r="AE969" s="24" t="s">
        <v>3790</v>
      </c>
      <c r="AF969" s="23" t="s">
        <v>3786</v>
      </c>
      <c r="AP969" s="24"/>
      <c r="AQ969" s="118"/>
      <c r="AR969" s="119"/>
      <c r="AS969" s="120"/>
      <c r="AT969" s="29"/>
      <c r="AU969" s="122"/>
      <c r="AV969" s="118"/>
      <c r="AW969" s="123"/>
      <c r="AX969" s="124"/>
      <c r="AY969" s="125"/>
      <c r="AZ969" s="29"/>
      <c r="BA969" s="122"/>
      <c r="BB969" s="126"/>
    </row>
    <row r="970" spans="1:59" ht="15" customHeight="1">
      <c r="A970" s="28" t="s">
        <v>3634</v>
      </c>
      <c r="B970" s="23" t="s">
        <v>3791</v>
      </c>
      <c r="C970" s="23" t="s">
        <v>3636</v>
      </c>
      <c r="D970" s="24">
        <v>335</v>
      </c>
      <c r="E970" s="23">
        <v>1</v>
      </c>
      <c r="F970" s="23" t="s">
        <v>3683</v>
      </c>
      <c r="G970" s="23" t="s">
        <v>3792</v>
      </c>
      <c r="J970" s="23" t="s">
        <v>29</v>
      </c>
      <c r="K970" s="23" t="s">
        <v>2426</v>
      </c>
      <c r="N970" s="147"/>
      <c r="O970" s="118"/>
      <c r="P970" s="119"/>
      <c r="Q970" s="120">
        <v>5</v>
      </c>
      <c r="R970" s="29">
        <v>2</v>
      </c>
      <c r="S970" s="29"/>
      <c r="T970" s="122">
        <v>4</v>
      </c>
      <c r="U970" s="118"/>
      <c r="V970" s="123">
        <v>1</v>
      </c>
      <c r="W970" s="124">
        <v>1</v>
      </c>
      <c r="X970" s="125"/>
      <c r="Y970" s="29"/>
      <c r="Z970" s="122"/>
      <c r="AA970" s="126"/>
      <c r="AB970" s="148"/>
      <c r="AD970" s="23" t="s">
        <v>2784</v>
      </c>
      <c r="AE970" s="23" t="s">
        <v>3793</v>
      </c>
      <c r="AF970" s="23" t="s">
        <v>3794</v>
      </c>
      <c r="AP970" s="24"/>
      <c r="AQ970" s="118"/>
      <c r="AR970" s="119"/>
      <c r="AS970" s="120"/>
      <c r="AT970" s="29"/>
      <c r="AU970" s="122"/>
      <c r="AV970" s="118"/>
      <c r="AW970" s="123"/>
      <c r="AX970" s="124"/>
      <c r="AY970" s="125"/>
      <c r="AZ970" s="29"/>
      <c r="BA970" s="122"/>
      <c r="BB970" s="126"/>
    </row>
    <row r="971" spans="1:59" ht="15" customHeight="1">
      <c r="A971" s="28" t="s">
        <v>3634</v>
      </c>
      <c r="B971" s="23" t="s">
        <v>3795</v>
      </c>
      <c r="C971" s="23" t="s">
        <v>3636</v>
      </c>
      <c r="D971" s="24">
        <v>336</v>
      </c>
      <c r="E971" s="23">
        <v>1</v>
      </c>
      <c r="F971" s="23" t="s">
        <v>3683</v>
      </c>
      <c r="G971" s="23" t="s">
        <v>3796</v>
      </c>
      <c r="J971" s="23" t="s">
        <v>29</v>
      </c>
      <c r="K971" s="23" t="s">
        <v>2426</v>
      </c>
      <c r="N971" s="147"/>
      <c r="O971" s="118"/>
      <c r="P971" s="119"/>
      <c r="Q971" s="120">
        <v>3</v>
      </c>
      <c r="R971" s="29">
        <v>4</v>
      </c>
      <c r="S971" s="29"/>
      <c r="T971" s="122">
        <v>3</v>
      </c>
      <c r="U971" s="118"/>
      <c r="V971" s="123">
        <v>3</v>
      </c>
      <c r="W971" s="124">
        <v>1</v>
      </c>
      <c r="X971" s="125"/>
      <c r="Y971" s="29"/>
      <c r="Z971" s="122"/>
      <c r="AA971" s="126"/>
      <c r="AB971" s="148"/>
      <c r="AD971" s="23" t="s">
        <v>836</v>
      </c>
      <c r="AE971" s="24" t="s">
        <v>3797</v>
      </c>
      <c r="AF971" s="23" t="s">
        <v>3798</v>
      </c>
      <c r="AP971" s="24"/>
      <c r="AQ971" s="118"/>
      <c r="AR971" s="119"/>
      <c r="AS971" s="120"/>
      <c r="AT971" s="29"/>
      <c r="AU971" s="122"/>
      <c r="AV971" s="118"/>
      <c r="AW971" s="123"/>
      <c r="AX971" s="124"/>
      <c r="AY971" s="125"/>
      <c r="AZ971" s="29"/>
      <c r="BA971" s="122"/>
      <c r="BB971" s="126"/>
    </row>
    <row r="972" spans="1:59" ht="15" customHeight="1">
      <c r="A972" s="28" t="s">
        <v>3634</v>
      </c>
      <c r="B972" s="23" t="s">
        <v>3799</v>
      </c>
      <c r="C972" s="23" t="s">
        <v>3636</v>
      </c>
      <c r="D972" s="24">
        <v>337</v>
      </c>
      <c r="E972" s="23">
        <v>3</v>
      </c>
      <c r="F972" s="23" t="s">
        <v>3683</v>
      </c>
      <c r="G972" s="23" t="s">
        <v>3800</v>
      </c>
      <c r="J972" s="23" t="s">
        <v>28</v>
      </c>
      <c r="K972" s="23" t="s">
        <v>2426</v>
      </c>
      <c r="N972" s="147"/>
      <c r="O972" s="118"/>
      <c r="P972" s="119"/>
      <c r="Q972" s="120"/>
      <c r="R972" s="29"/>
      <c r="S972" s="29"/>
      <c r="T972" s="122"/>
      <c r="U972" s="118"/>
      <c r="V972" s="123"/>
      <c r="W972" s="124"/>
      <c r="X972" s="125"/>
      <c r="Y972" s="29"/>
      <c r="Z972" s="122"/>
      <c r="AA972" s="126"/>
      <c r="AB972" s="148"/>
      <c r="AD972" s="23" t="s">
        <v>3801</v>
      </c>
      <c r="AF972" s="23" t="s">
        <v>3802</v>
      </c>
      <c r="AP972" s="24"/>
      <c r="AQ972" s="118"/>
      <c r="AR972" s="119"/>
      <c r="AS972" s="120"/>
      <c r="AT972" s="29"/>
      <c r="AU972" s="122"/>
      <c r="AV972" s="118"/>
      <c r="AW972" s="123"/>
      <c r="AX972" s="124"/>
      <c r="AY972" s="125"/>
      <c r="AZ972" s="29"/>
      <c r="BA972" s="122"/>
      <c r="BB972" s="126"/>
    </row>
    <row r="973" spans="1:59" ht="15" customHeight="1">
      <c r="A973" s="28" t="s">
        <v>3634</v>
      </c>
      <c r="B973" s="23" t="s">
        <v>3803</v>
      </c>
      <c r="C973" s="23" t="s">
        <v>3636</v>
      </c>
      <c r="D973" s="24">
        <v>338</v>
      </c>
      <c r="E973" s="23">
        <v>2</v>
      </c>
      <c r="F973" s="23" t="s">
        <v>3683</v>
      </c>
      <c r="G973" s="23" t="s">
        <v>3804</v>
      </c>
      <c r="J973" s="23" t="s">
        <v>28</v>
      </c>
      <c r="K973" s="23" t="s">
        <v>2426</v>
      </c>
      <c r="N973" s="147"/>
      <c r="O973" s="118"/>
      <c r="P973" s="119"/>
      <c r="Q973" s="120"/>
      <c r="R973" s="29"/>
      <c r="S973" s="29"/>
      <c r="T973" s="122"/>
      <c r="U973" s="118"/>
      <c r="V973" s="123"/>
      <c r="W973" s="124"/>
      <c r="X973" s="125"/>
      <c r="Y973" s="29"/>
      <c r="Z973" s="122"/>
      <c r="AA973" s="126"/>
      <c r="AB973" s="148"/>
      <c r="AD973" s="23" t="s">
        <v>481</v>
      </c>
      <c r="AF973" s="23" t="s">
        <v>3805</v>
      </c>
      <c r="AP973" s="24"/>
      <c r="AQ973" s="118"/>
      <c r="AR973" s="119"/>
      <c r="AS973" s="120"/>
      <c r="AT973" s="29"/>
      <c r="AU973" s="122"/>
      <c r="AV973" s="118"/>
      <c r="AW973" s="123"/>
      <c r="AX973" s="124"/>
      <c r="AY973" s="125"/>
      <c r="AZ973" s="29"/>
      <c r="BA973" s="122"/>
      <c r="BB973" s="126"/>
    </row>
    <row r="974" spans="1:59" ht="15" customHeight="1">
      <c r="A974" s="28" t="s">
        <v>3634</v>
      </c>
      <c r="B974" s="23" t="s">
        <v>3806</v>
      </c>
      <c r="C974" s="23" t="s">
        <v>3636</v>
      </c>
      <c r="D974" s="24">
        <v>339</v>
      </c>
      <c r="E974" s="23">
        <v>1</v>
      </c>
      <c r="F974" s="23" t="s">
        <v>3683</v>
      </c>
      <c r="G974" s="23" t="s">
        <v>3807</v>
      </c>
      <c r="J974" s="23" t="s">
        <v>28</v>
      </c>
      <c r="K974" s="23" t="s">
        <v>2426</v>
      </c>
      <c r="N974" s="147"/>
      <c r="O974" s="118"/>
      <c r="P974" s="119"/>
      <c r="Q974" s="120"/>
      <c r="R974" s="29"/>
      <c r="S974" s="29"/>
      <c r="T974" s="122"/>
      <c r="U974" s="118"/>
      <c r="V974" s="123"/>
      <c r="W974" s="124"/>
      <c r="X974" s="125"/>
      <c r="Y974" s="29"/>
      <c r="Z974" s="122"/>
      <c r="AA974" s="126"/>
      <c r="AB974" s="148"/>
      <c r="AD974" s="23" t="s">
        <v>481</v>
      </c>
      <c r="AE974" s="24" t="s">
        <v>34</v>
      </c>
      <c r="AF974" s="23" t="s">
        <v>3808</v>
      </c>
      <c r="AP974" s="24"/>
      <c r="AQ974" s="118"/>
      <c r="AR974" s="119"/>
      <c r="AS974" s="120"/>
      <c r="AT974" s="29"/>
      <c r="AU974" s="122"/>
      <c r="AV974" s="118"/>
      <c r="AW974" s="123"/>
      <c r="AX974" s="124"/>
      <c r="AY974" s="125"/>
      <c r="AZ974" s="29"/>
      <c r="BA974" s="122"/>
      <c r="BB974" s="126"/>
    </row>
    <row r="975" spans="1:59" ht="15" customHeight="1">
      <c r="A975" s="28" t="s">
        <v>3634</v>
      </c>
      <c r="B975" s="23" t="s">
        <v>3809</v>
      </c>
      <c r="C975" s="23" t="s">
        <v>3636</v>
      </c>
      <c r="D975" s="24">
        <v>340</v>
      </c>
      <c r="E975" s="23">
        <v>1</v>
      </c>
      <c r="F975" s="23" t="s">
        <v>3683</v>
      </c>
      <c r="G975" s="23" t="s">
        <v>3810</v>
      </c>
      <c r="J975" s="23" t="s">
        <v>28</v>
      </c>
      <c r="K975" s="23" t="s">
        <v>2426</v>
      </c>
      <c r="N975" s="147"/>
      <c r="O975" s="118"/>
      <c r="P975" s="119"/>
      <c r="Q975" s="120"/>
      <c r="R975" s="29"/>
      <c r="S975" s="29"/>
      <c r="T975" s="122"/>
      <c r="U975" s="118"/>
      <c r="V975" s="123"/>
      <c r="W975" s="124"/>
      <c r="X975" s="125"/>
      <c r="Y975" s="29"/>
      <c r="Z975" s="122"/>
      <c r="AA975" s="126"/>
      <c r="AB975" s="148"/>
      <c r="AD975" s="23" t="s">
        <v>1682</v>
      </c>
      <c r="AE975" s="24" t="s">
        <v>3811</v>
      </c>
      <c r="AF975" s="23" t="s">
        <v>3812</v>
      </c>
      <c r="AP975" s="24"/>
      <c r="AQ975" s="118"/>
      <c r="AR975" s="119"/>
      <c r="AS975" s="120"/>
      <c r="AT975" s="29"/>
      <c r="AU975" s="122"/>
      <c r="AV975" s="118"/>
      <c r="AW975" s="123"/>
      <c r="AX975" s="124"/>
      <c r="AY975" s="125"/>
      <c r="AZ975" s="29"/>
      <c r="BA975" s="122"/>
      <c r="BB975" s="126"/>
    </row>
    <row r="976" spans="1:59" ht="15" customHeight="1">
      <c r="A976" s="28" t="s">
        <v>3634</v>
      </c>
      <c r="B976" s="23" t="s">
        <v>3813</v>
      </c>
      <c r="C976" s="23" t="s">
        <v>3636</v>
      </c>
      <c r="D976" s="24">
        <v>341</v>
      </c>
      <c r="E976" s="23">
        <v>1</v>
      </c>
      <c r="F976" s="23" t="s">
        <v>3683</v>
      </c>
      <c r="G976" s="23" t="s">
        <v>3814</v>
      </c>
      <c r="J976" s="23" t="s">
        <v>28</v>
      </c>
      <c r="K976" s="23" t="s">
        <v>2426</v>
      </c>
      <c r="N976" s="147"/>
      <c r="O976" s="118"/>
      <c r="P976" s="119"/>
      <c r="Q976" s="120"/>
      <c r="R976" s="29"/>
      <c r="S976" s="29"/>
      <c r="T976" s="122"/>
      <c r="U976" s="118"/>
      <c r="V976" s="123"/>
      <c r="W976" s="124"/>
      <c r="X976" s="125"/>
      <c r="Y976" s="29"/>
      <c r="Z976" s="122"/>
      <c r="AA976" s="126"/>
      <c r="AB976" s="148"/>
      <c r="AD976" s="23" t="s">
        <v>1682</v>
      </c>
      <c r="AE976" s="24" t="s">
        <v>3811</v>
      </c>
      <c r="AF976" s="23" t="s">
        <v>3815</v>
      </c>
      <c r="AP976" s="24"/>
      <c r="AQ976" s="118"/>
      <c r="AR976" s="119"/>
      <c r="AS976" s="120"/>
      <c r="AT976" s="29"/>
      <c r="AU976" s="122"/>
      <c r="AV976" s="118"/>
      <c r="AW976" s="123"/>
      <c r="AX976" s="124"/>
      <c r="AY976" s="125"/>
      <c r="AZ976" s="29"/>
      <c r="BA976" s="122"/>
      <c r="BB976" s="126"/>
    </row>
    <row r="977" spans="1:59" ht="15" customHeight="1">
      <c r="A977" s="28" t="s">
        <v>3634</v>
      </c>
      <c r="B977" s="23" t="s">
        <v>3816</v>
      </c>
      <c r="C977" s="23" t="s">
        <v>3636</v>
      </c>
      <c r="D977" s="24">
        <v>342</v>
      </c>
      <c r="E977" s="23">
        <v>1</v>
      </c>
      <c r="F977" s="23" t="s">
        <v>3683</v>
      </c>
      <c r="G977" s="23" t="s">
        <v>3817</v>
      </c>
      <c r="J977" s="23" t="s">
        <v>28</v>
      </c>
      <c r="K977" s="23" t="s">
        <v>2426</v>
      </c>
      <c r="N977" s="147"/>
      <c r="O977" s="118"/>
      <c r="P977" s="119"/>
      <c r="Q977" s="120"/>
      <c r="R977" s="29"/>
      <c r="S977" s="29"/>
      <c r="T977" s="122"/>
      <c r="U977" s="118"/>
      <c r="V977" s="123"/>
      <c r="W977" s="124"/>
      <c r="X977" s="125"/>
      <c r="Y977" s="29"/>
      <c r="Z977" s="122"/>
      <c r="AA977" s="126"/>
      <c r="AB977" s="148"/>
      <c r="AD977" s="23" t="s">
        <v>1682</v>
      </c>
      <c r="AE977" s="24" t="s">
        <v>3811</v>
      </c>
      <c r="AF977" s="23" t="s">
        <v>3818</v>
      </c>
      <c r="AP977" s="24"/>
      <c r="AQ977" s="118"/>
      <c r="AR977" s="119"/>
      <c r="AS977" s="120"/>
      <c r="AT977" s="29"/>
      <c r="AU977" s="122"/>
      <c r="AV977" s="118"/>
      <c r="AW977" s="123"/>
      <c r="AX977" s="124"/>
      <c r="AY977" s="125"/>
      <c r="AZ977" s="29"/>
      <c r="BA977" s="122"/>
      <c r="BB977" s="126"/>
    </row>
    <row r="978" spans="1:59" s="171" customFormat="1" ht="15" customHeight="1">
      <c r="A978" s="168" t="s">
        <v>3819</v>
      </c>
      <c r="B978" s="28" t="s">
        <v>3820</v>
      </c>
      <c r="C978" s="28" t="s">
        <v>3821</v>
      </c>
      <c r="D978" s="170">
        <v>1</v>
      </c>
      <c r="E978" s="171">
        <v>1</v>
      </c>
      <c r="G978" s="171" t="s">
        <v>3822</v>
      </c>
      <c r="H978" s="171" t="s">
        <v>3823</v>
      </c>
      <c r="I978" s="171" t="s">
        <v>223</v>
      </c>
      <c r="J978" s="171" t="s">
        <v>203</v>
      </c>
      <c r="K978" s="171" t="s">
        <v>198</v>
      </c>
      <c r="N978" s="170"/>
      <c r="O978" s="156">
        <v>4</v>
      </c>
      <c r="P978" s="157">
        <v>3</v>
      </c>
      <c r="Q978" s="158">
        <v>4</v>
      </c>
      <c r="R978" s="159">
        <v>1</v>
      </c>
      <c r="S978" s="160"/>
      <c r="T978" s="161">
        <v>8</v>
      </c>
      <c r="U978" s="156">
        <v>6</v>
      </c>
      <c r="V978" s="162"/>
      <c r="W978" s="163"/>
      <c r="X978" s="164"/>
      <c r="Y978" s="159"/>
      <c r="Z978" s="161"/>
      <c r="AA978" s="165"/>
      <c r="AD978" s="171" t="s">
        <v>3824</v>
      </c>
      <c r="AE978" s="170"/>
      <c r="AF978" s="171" t="s">
        <v>4407</v>
      </c>
      <c r="AI978" s="171" t="s">
        <v>3822</v>
      </c>
      <c r="AJ978" s="171" t="s">
        <v>3823</v>
      </c>
      <c r="AK978" s="171" t="s">
        <v>223</v>
      </c>
      <c r="AL978" s="171" t="s">
        <v>203</v>
      </c>
      <c r="AM978" s="171" t="s">
        <v>198</v>
      </c>
      <c r="AQ978" s="156"/>
      <c r="AR978" s="157"/>
      <c r="AS978" s="158"/>
      <c r="AT978" s="159"/>
      <c r="AU978" s="161"/>
      <c r="AV978" s="156"/>
      <c r="AW978" s="162"/>
      <c r="AX978" s="163"/>
      <c r="AY978" s="164"/>
      <c r="AZ978" s="159"/>
      <c r="BA978" s="161"/>
      <c r="BB978" s="165"/>
      <c r="BE978" s="171" t="s">
        <v>3824</v>
      </c>
      <c r="BF978" s="170"/>
      <c r="BG978" s="171" t="s">
        <v>4408</v>
      </c>
    </row>
    <row r="979" spans="1:59" s="154" customFormat="1" ht="15" customHeight="1">
      <c r="A979" s="168" t="s">
        <v>3819</v>
      </c>
      <c r="B979" s="23" t="s">
        <v>3825</v>
      </c>
      <c r="C979" s="28" t="s">
        <v>3821</v>
      </c>
      <c r="D979" s="170">
        <v>2</v>
      </c>
      <c r="E979" s="154">
        <v>1</v>
      </c>
      <c r="G979" s="154" t="s">
        <v>3826</v>
      </c>
      <c r="H979" s="154" t="s">
        <v>3827</v>
      </c>
      <c r="I979" s="154" t="s">
        <v>223</v>
      </c>
      <c r="J979" s="171" t="s">
        <v>203</v>
      </c>
      <c r="K979" s="154" t="s">
        <v>199</v>
      </c>
      <c r="N979" s="155"/>
      <c r="O979" s="156">
        <v>3</v>
      </c>
      <c r="P979" s="157">
        <v>4</v>
      </c>
      <c r="Q979" s="158">
        <v>1</v>
      </c>
      <c r="R979" s="159">
        <v>4</v>
      </c>
      <c r="S979" s="160"/>
      <c r="T979" s="161">
        <v>7</v>
      </c>
      <c r="U979" s="156">
        <v>7</v>
      </c>
      <c r="V979" s="162"/>
      <c r="W979" s="163"/>
      <c r="X979" s="164"/>
      <c r="Y979" s="159"/>
      <c r="Z979" s="161"/>
      <c r="AA979" s="165"/>
      <c r="AD979" s="154" t="s">
        <v>3828</v>
      </c>
      <c r="AE979" s="155"/>
      <c r="AF979" s="154" t="s">
        <v>4409</v>
      </c>
      <c r="AI979" s="154" t="s">
        <v>3826</v>
      </c>
      <c r="AJ979" s="154" t="s">
        <v>3827</v>
      </c>
      <c r="AK979" s="154" t="s">
        <v>223</v>
      </c>
      <c r="AL979" s="171" t="s">
        <v>203</v>
      </c>
      <c r="AM979" s="154" t="s">
        <v>199</v>
      </c>
      <c r="AO979" s="155"/>
      <c r="AP979" s="155"/>
      <c r="AQ979" s="156"/>
      <c r="AR979" s="157"/>
      <c r="AS979" s="158"/>
      <c r="AT979" s="159"/>
      <c r="AU979" s="161"/>
      <c r="AV979" s="156"/>
      <c r="AW979" s="162"/>
      <c r="AX979" s="163"/>
      <c r="AY979" s="164"/>
      <c r="AZ979" s="159"/>
      <c r="BA979" s="161"/>
      <c r="BB979" s="165"/>
      <c r="BE979" s="155" t="s">
        <v>3828</v>
      </c>
      <c r="BG979" s="154" t="s">
        <v>4410</v>
      </c>
    </row>
    <row r="980" spans="1:59" s="154" customFormat="1" ht="15" customHeight="1">
      <c r="A980" s="168" t="s">
        <v>3819</v>
      </c>
      <c r="B980" s="23" t="s">
        <v>3829</v>
      </c>
      <c r="C980" s="28" t="s">
        <v>3821</v>
      </c>
      <c r="D980" s="170">
        <v>3</v>
      </c>
      <c r="E980" s="154">
        <v>1</v>
      </c>
      <c r="G980" s="154" t="s">
        <v>3830</v>
      </c>
      <c r="H980" s="154" t="s">
        <v>3831</v>
      </c>
      <c r="I980" s="154" t="s">
        <v>223</v>
      </c>
      <c r="J980" s="171" t="s">
        <v>203</v>
      </c>
      <c r="K980" s="154" t="s">
        <v>201</v>
      </c>
      <c r="N980" s="155"/>
      <c r="O980" s="156">
        <v>1</v>
      </c>
      <c r="P980" s="157">
        <v>4</v>
      </c>
      <c r="Q980" s="158">
        <v>3</v>
      </c>
      <c r="R980" s="159">
        <v>4</v>
      </c>
      <c r="S980" s="160"/>
      <c r="T980" s="161">
        <v>7</v>
      </c>
      <c r="U980" s="156">
        <v>7</v>
      </c>
      <c r="V980" s="162"/>
      <c r="W980" s="163"/>
      <c r="X980" s="164"/>
      <c r="Y980" s="159"/>
      <c r="Z980" s="161"/>
      <c r="AA980" s="165"/>
      <c r="AD980" s="154" t="s">
        <v>246</v>
      </c>
      <c r="AE980" s="155"/>
      <c r="AF980" s="154" t="s">
        <v>4411</v>
      </c>
      <c r="AI980" s="154" t="s">
        <v>3830</v>
      </c>
      <c r="AJ980" s="154" t="s">
        <v>3831</v>
      </c>
      <c r="AK980" s="154" t="s">
        <v>223</v>
      </c>
      <c r="AL980" s="171" t="s">
        <v>203</v>
      </c>
      <c r="AM980" s="154" t="s">
        <v>201</v>
      </c>
      <c r="AO980" s="155"/>
      <c r="AP980" s="155"/>
      <c r="AQ980" s="156"/>
      <c r="AR980" s="157"/>
      <c r="AS980" s="158"/>
      <c r="AT980" s="159"/>
      <c r="AU980" s="161"/>
      <c r="AV980" s="156"/>
      <c r="AW980" s="162"/>
      <c r="AX980" s="163"/>
      <c r="AY980" s="164"/>
      <c r="AZ980" s="159"/>
      <c r="BA980" s="161"/>
      <c r="BB980" s="165"/>
      <c r="BE980" s="155" t="s">
        <v>246</v>
      </c>
      <c r="BG980" s="154" t="s">
        <v>4412</v>
      </c>
    </row>
    <row r="981" spans="1:59" s="154" customFormat="1" ht="15" customHeight="1">
      <c r="A981" s="168" t="s">
        <v>3819</v>
      </c>
      <c r="B981" s="23" t="s">
        <v>3832</v>
      </c>
      <c r="C981" s="28" t="s">
        <v>3821</v>
      </c>
      <c r="D981" s="170">
        <v>4</v>
      </c>
      <c r="E981" s="154">
        <v>1</v>
      </c>
      <c r="G981" s="154" t="s">
        <v>3833</v>
      </c>
      <c r="H981" s="154" t="s">
        <v>3834</v>
      </c>
      <c r="I981" s="154" t="s">
        <v>223</v>
      </c>
      <c r="J981" s="171" t="s">
        <v>203</v>
      </c>
      <c r="K981" s="154" t="s">
        <v>200</v>
      </c>
      <c r="N981" s="155"/>
      <c r="O981" s="156">
        <v>4</v>
      </c>
      <c r="P981" s="157">
        <v>3</v>
      </c>
      <c r="Q981" s="158">
        <v>2</v>
      </c>
      <c r="R981" s="159">
        <v>3</v>
      </c>
      <c r="S981" s="160"/>
      <c r="T981" s="161">
        <v>6</v>
      </c>
      <c r="U981" s="156">
        <v>8</v>
      </c>
      <c r="V981" s="162"/>
      <c r="W981" s="163"/>
      <c r="X981" s="164"/>
      <c r="Y981" s="159"/>
      <c r="Z981" s="161"/>
      <c r="AA981" s="165"/>
      <c r="AD981" s="154" t="s">
        <v>3835</v>
      </c>
      <c r="AE981" s="155"/>
      <c r="AF981" s="154" t="s">
        <v>4413</v>
      </c>
      <c r="AI981" s="154" t="s">
        <v>3833</v>
      </c>
      <c r="AJ981" s="154" t="s">
        <v>3834</v>
      </c>
      <c r="AK981" s="154" t="s">
        <v>223</v>
      </c>
      <c r="AL981" s="171" t="s">
        <v>203</v>
      </c>
      <c r="AM981" s="154" t="s">
        <v>200</v>
      </c>
      <c r="AO981" s="155"/>
      <c r="AP981" s="155"/>
      <c r="AQ981" s="156"/>
      <c r="AR981" s="157"/>
      <c r="AS981" s="158"/>
      <c r="AT981" s="159"/>
      <c r="AU981" s="161"/>
      <c r="AV981" s="156"/>
      <c r="AW981" s="162"/>
      <c r="AX981" s="163"/>
      <c r="AY981" s="164"/>
      <c r="AZ981" s="159"/>
      <c r="BA981" s="161"/>
      <c r="BB981" s="165"/>
      <c r="BE981" s="155" t="s">
        <v>3835</v>
      </c>
      <c r="BG981" s="154" t="s">
        <v>4414</v>
      </c>
    </row>
    <row r="982" spans="1:59" s="154" customFormat="1" ht="15" customHeight="1">
      <c r="A982" s="168" t="s">
        <v>3819</v>
      </c>
      <c r="B982" s="23" t="s">
        <v>3836</v>
      </c>
      <c r="C982" s="28" t="s">
        <v>3821</v>
      </c>
      <c r="D982" s="170">
        <v>5</v>
      </c>
      <c r="E982" s="154">
        <v>1</v>
      </c>
      <c r="G982" s="154" t="s">
        <v>3837</v>
      </c>
      <c r="H982" s="154" t="s">
        <v>3838</v>
      </c>
      <c r="I982" s="154" t="s">
        <v>223</v>
      </c>
      <c r="J982" s="154" t="s">
        <v>203</v>
      </c>
      <c r="K982" s="154" t="s">
        <v>202</v>
      </c>
      <c r="O982" s="156">
        <v>0</v>
      </c>
      <c r="P982" s="157">
        <v>0</v>
      </c>
      <c r="Q982" s="158">
        <v>0</v>
      </c>
      <c r="R982" s="159">
        <v>0</v>
      </c>
      <c r="S982" s="160"/>
      <c r="T982" s="161">
        <v>6</v>
      </c>
      <c r="U982" s="156">
        <v>6</v>
      </c>
      <c r="V982" s="162"/>
      <c r="W982" s="163"/>
      <c r="X982" s="164"/>
      <c r="Y982" s="159"/>
      <c r="Z982" s="161"/>
      <c r="AA982" s="165"/>
      <c r="AD982" s="154" t="s">
        <v>3839</v>
      </c>
      <c r="AF982" s="154" t="s">
        <v>4415</v>
      </c>
      <c r="AI982" s="154" t="s">
        <v>3837</v>
      </c>
      <c r="AJ982" s="154" t="s">
        <v>3838</v>
      </c>
      <c r="AK982" s="154" t="s">
        <v>223</v>
      </c>
      <c r="AL982" s="154" t="s">
        <v>203</v>
      </c>
      <c r="AM982" s="154" t="s">
        <v>202</v>
      </c>
      <c r="AO982" s="155"/>
      <c r="AQ982" s="156"/>
      <c r="AR982" s="157"/>
      <c r="AS982" s="158"/>
      <c r="AT982" s="159"/>
      <c r="AU982" s="161"/>
      <c r="AV982" s="156"/>
      <c r="AW982" s="162"/>
      <c r="AX982" s="163"/>
      <c r="AY982" s="164"/>
      <c r="AZ982" s="159"/>
      <c r="BA982" s="161"/>
      <c r="BB982" s="165"/>
      <c r="BE982" s="155" t="s">
        <v>3839</v>
      </c>
      <c r="BG982" s="154" t="s">
        <v>4416</v>
      </c>
    </row>
    <row r="983" spans="1:59" s="154" customFormat="1" ht="15" customHeight="1">
      <c r="A983" s="168" t="s">
        <v>3819</v>
      </c>
      <c r="B983" s="23" t="s">
        <v>3840</v>
      </c>
      <c r="C983" s="28" t="s">
        <v>3821</v>
      </c>
      <c r="D983" s="170">
        <v>6</v>
      </c>
      <c r="E983" s="154">
        <v>1</v>
      </c>
      <c r="G983" s="154" t="s">
        <v>4417</v>
      </c>
      <c r="H983" s="154" t="s">
        <v>3841</v>
      </c>
      <c r="I983" s="154" t="s">
        <v>223</v>
      </c>
      <c r="J983" s="154" t="s">
        <v>257</v>
      </c>
      <c r="K983" s="154" t="s">
        <v>26</v>
      </c>
      <c r="N983" s="154">
        <v>3</v>
      </c>
      <c r="O983" s="156"/>
      <c r="P983" s="157"/>
      <c r="Q983" s="158"/>
      <c r="R983" s="159"/>
      <c r="S983" s="160">
        <v>2</v>
      </c>
      <c r="T983" s="161">
        <v>2</v>
      </c>
      <c r="U983" s="156">
        <v>2</v>
      </c>
      <c r="V983" s="162"/>
      <c r="W983" s="163"/>
      <c r="X983" s="164"/>
      <c r="Y983" s="159"/>
      <c r="Z983" s="161"/>
      <c r="AA983" s="165"/>
      <c r="AB983" s="154" t="s">
        <v>1082</v>
      </c>
      <c r="AC983" s="154" t="s">
        <v>25</v>
      </c>
      <c r="AD983" s="154" t="s">
        <v>3842</v>
      </c>
      <c r="AF983" s="154" t="s">
        <v>4418</v>
      </c>
      <c r="AO983" s="155"/>
      <c r="AQ983" s="156"/>
      <c r="AR983" s="157"/>
      <c r="AS983" s="158"/>
      <c r="AT983" s="159"/>
      <c r="AU983" s="161"/>
      <c r="AV983" s="156"/>
      <c r="AW983" s="162"/>
      <c r="AX983" s="163"/>
      <c r="AY983" s="164"/>
      <c r="AZ983" s="159"/>
      <c r="BA983" s="161"/>
      <c r="BB983" s="165"/>
      <c r="BE983" s="155"/>
    </row>
    <row r="984" spans="1:59" s="154" customFormat="1" ht="15" customHeight="1">
      <c r="A984" s="168" t="s">
        <v>3819</v>
      </c>
      <c r="B984" s="23" t="s">
        <v>3843</v>
      </c>
      <c r="C984" s="28" t="s">
        <v>3821</v>
      </c>
      <c r="D984" s="170">
        <v>7</v>
      </c>
      <c r="E984" s="154">
        <v>1</v>
      </c>
      <c r="G984" s="154" t="s">
        <v>3844</v>
      </c>
      <c r="J984" s="154" t="s">
        <v>28</v>
      </c>
      <c r="K984" s="154" t="s">
        <v>26</v>
      </c>
      <c r="M984" s="154" t="s">
        <v>648</v>
      </c>
      <c r="O984" s="156"/>
      <c r="P984" s="157"/>
      <c r="Q984" s="158"/>
      <c r="R984" s="159"/>
      <c r="S984" s="160"/>
      <c r="T984" s="161"/>
      <c r="U984" s="156"/>
      <c r="V984" s="162"/>
      <c r="W984" s="163"/>
      <c r="X984" s="164"/>
      <c r="Y984" s="159"/>
      <c r="Z984" s="161"/>
      <c r="AA984" s="165"/>
      <c r="AD984" s="154" t="s">
        <v>1449</v>
      </c>
      <c r="AF984" s="154" t="s">
        <v>4419</v>
      </c>
      <c r="AO984" s="155"/>
      <c r="AQ984" s="156"/>
      <c r="AR984" s="157"/>
      <c r="AS984" s="158"/>
      <c r="AT984" s="159"/>
      <c r="AU984" s="161"/>
      <c r="AV984" s="156"/>
      <c r="AW984" s="162"/>
      <c r="AX984" s="163"/>
      <c r="AY984" s="164"/>
      <c r="AZ984" s="159"/>
      <c r="BA984" s="161"/>
      <c r="BB984" s="165"/>
      <c r="BE984" s="155"/>
    </row>
    <row r="985" spans="1:59" s="154" customFormat="1" ht="15" customHeight="1">
      <c r="A985" s="168" t="s">
        <v>3819</v>
      </c>
      <c r="B985" s="23" t="s">
        <v>3845</v>
      </c>
      <c r="C985" s="28" t="s">
        <v>3821</v>
      </c>
      <c r="D985" s="170">
        <v>8</v>
      </c>
      <c r="E985" s="154">
        <v>1</v>
      </c>
      <c r="G985" s="154" t="s">
        <v>3846</v>
      </c>
      <c r="H985" s="154" t="s">
        <v>3847</v>
      </c>
      <c r="I985" s="154" t="s">
        <v>223</v>
      </c>
      <c r="J985" s="154" t="s">
        <v>257</v>
      </c>
      <c r="K985" s="154" t="s">
        <v>26</v>
      </c>
      <c r="N985" s="154">
        <v>3</v>
      </c>
      <c r="O985" s="156"/>
      <c r="P985" s="157">
        <v>1</v>
      </c>
      <c r="Q985" s="158"/>
      <c r="R985" s="159"/>
      <c r="S985" s="160">
        <v>1</v>
      </c>
      <c r="T985" s="161">
        <v>3</v>
      </c>
      <c r="U985" s="156">
        <v>2</v>
      </c>
      <c r="V985" s="162"/>
      <c r="W985" s="163"/>
      <c r="X985" s="164"/>
      <c r="Y985" s="159"/>
      <c r="Z985" s="161"/>
      <c r="AA985" s="165"/>
      <c r="AB985" s="154" t="s">
        <v>1178</v>
      </c>
      <c r="AC985" s="154" t="s">
        <v>25</v>
      </c>
      <c r="AD985" s="154" t="s">
        <v>3842</v>
      </c>
      <c r="AF985" s="154" t="s">
        <v>4420</v>
      </c>
      <c r="AO985" s="155"/>
      <c r="AQ985" s="156"/>
      <c r="AR985" s="157"/>
      <c r="AS985" s="158"/>
      <c r="AT985" s="159"/>
      <c r="AU985" s="161"/>
      <c r="AV985" s="156"/>
      <c r="AW985" s="162"/>
      <c r="AX985" s="163"/>
      <c r="AY985" s="164"/>
      <c r="AZ985" s="159"/>
      <c r="BA985" s="161"/>
      <c r="BB985" s="165"/>
      <c r="BE985" s="155"/>
    </row>
    <row r="986" spans="1:59" s="154" customFormat="1" ht="15" customHeight="1">
      <c r="A986" s="168" t="s">
        <v>3819</v>
      </c>
      <c r="B986" s="23" t="s">
        <v>3848</v>
      </c>
      <c r="C986" s="28" t="s">
        <v>3821</v>
      </c>
      <c r="D986" s="170">
        <v>9</v>
      </c>
      <c r="E986" s="154">
        <v>1</v>
      </c>
      <c r="G986" s="154" t="s">
        <v>3849</v>
      </c>
      <c r="J986" s="154" t="s">
        <v>28</v>
      </c>
      <c r="K986" s="154" t="s">
        <v>26</v>
      </c>
      <c r="M986" s="154" t="s">
        <v>648</v>
      </c>
      <c r="N986" s="172"/>
      <c r="O986" s="156"/>
      <c r="P986" s="157"/>
      <c r="Q986" s="158"/>
      <c r="R986" s="159"/>
      <c r="S986" s="160"/>
      <c r="T986" s="161"/>
      <c r="U986" s="156"/>
      <c r="V986" s="162"/>
      <c r="W986" s="163"/>
      <c r="X986" s="164"/>
      <c r="Y986" s="159"/>
      <c r="Z986" s="161"/>
      <c r="AA986" s="165"/>
      <c r="AD986" s="154" t="s">
        <v>262</v>
      </c>
      <c r="AF986" s="154" t="s">
        <v>4421</v>
      </c>
      <c r="AO986" s="155"/>
      <c r="AQ986" s="156"/>
      <c r="AR986" s="157"/>
      <c r="AS986" s="158"/>
      <c r="AT986" s="159"/>
      <c r="AU986" s="161"/>
      <c r="AV986" s="156"/>
      <c r="AW986" s="162"/>
      <c r="AX986" s="163"/>
      <c r="AY986" s="164"/>
      <c r="AZ986" s="159"/>
      <c r="BA986" s="161"/>
      <c r="BB986" s="165"/>
      <c r="BE986" s="155"/>
    </row>
    <row r="987" spans="1:59" s="154" customFormat="1" ht="15" customHeight="1">
      <c r="A987" s="168" t="s">
        <v>3819</v>
      </c>
      <c r="B987" s="23" t="s">
        <v>3850</v>
      </c>
      <c r="C987" s="28" t="s">
        <v>3821</v>
      </c>
      <c r="D987" s="170">
        <v>10</v>
      </c>
      <c r="E987" s="154">
        <v>1</v>
      </c>
      <c r="G987" s="154" t="s">
        <v>3851</v>
      </c>
      <c r="J987" s="154" t="s">
        <v>27</v>
      </c>
      <c r="K987" s="154" t="s">
        <v>26</v>
      </c>
      <c r="N987" s="154">
        <v>0</v>
      </c>
      <c r="O987" s="156"/>
      <c r="P987" s="157"/>
      <c r="Q987" s="158"/>
      <c r="R987" s="159"/>
      <c r="S987" s="160">
        <v>1</v>
      </c>
      <c r="T987" s="161"/>
      <c r="U987" s="156"/>
      <c r="V987" s="162"/>
      <c r="W987" s="163"/>
      <c r="X987" s="164"/>
      <c r="Y987" s="159"/>
      <c r="Z987" s="161"/>
      <c r="AA987" s="165"/>
      <c r="AB987" s="154" t="s">
        <v>208</v>
      </c>
      <c r="AD987" s="154" t="s">
        <v>1731</v>
      </c>
      <c r="AF987" s="154" t="s">
        <v>4422</v>
      </c>
      <c r="AO987" s="155"/>
      <c r="AQ987" s="156"/>
      <c r="AR987" s="157"/>
      <c r="AS987" s="158"/>
      <c r="AT987" s="159"/>
      <c r="AU987" s="161"/>
      <c r="AV987" s="156"/>
      <c r="AW987" s="162"/>
      <c r="AX987" s="163"/>
      <c r="AY987" s="164"/>
      <c r="AZ987" s="159"/>
      <c r="BA987" s="161"/>
      <c r="BB987" s="165"/>
      <c r="BE987" s="155"/>
    </row>
    <row r="988" spans="1:59" s="154" customFormat="1" ht="15" customHeight="1">
      <c r="A988" s="168" t="s">
        <v>3819</v>
      </c>
      <c r="B988" s="23" t="s">
        <v>3852</v>
      </c>
      <c r="C988" s="28" t="s">
        <v>3821</v>
      </c>
      <c r="D988" s="170">
        <v>11</v>
      </c>
      <c r="E988" s="154">
        <v>1</v>
      </c>
      <c r="G988" s="154" t="s">
        <v>3853</v>
      </c>
      <c r="H988" s="154" t="s">
        <v>4423</v>
      </c>
      <c r="I988" s="154" t="s">
        <v>223</v>
      </c>
      <c r="J988" s="154" t="s">
        <v>257</v>
      </c>
      <c r="K988" s="154" t="s">
        <v>26</v>
      </c>
      <c r="N988" s="154">
        <v>2</v>
      </c>
      <c r="O988" s="156"/>
      <c r="P988" s="157"/>
      <c r="Q988" s="158"/>
      <c r="R988" s="159">
        <v>1</v>
      </c>
      <c r="S988" s="160">
        <v>1</v>
      </c>
      <c r="T988" s="161"/>
      <c r="U988" s="156"/>
      <c r="V988" s="162"/>
      <c r="W988" s="163"/>
      <c r="X988" s="164"/>
      <c r="Y988" s="159"/>
      <c r="Z988" s="161"/>
      <c r="AA988" s="165"/>
      <c r="AB988" s="154" t="s">
        <v>1180</v>
      </c>
      <c r="AC988" s="154" t="s">
        <v>258</v>
      </c>
      <c r="AD988" s="154" t="s">
        <v>923</v>
      </c>
      <c r="AF988" s="154" t="s">
        <v>4424</v>
      </c>
      <c r="AO988" s="155"/>
      <c r="AQ988" s="156"/>
      <c r="AR988" s="157"/>
      <c r="AS988" s="158"/>
      <c r="AT988" s="159"/>
      <c r="AU988" s="161"/>
      <c r="AV988" s="156"/>
      <c r="AW988" s="162"/>
      <c r="AX988" s="163"/>
      <c r="AY988" s="164"/>
      <c r="AZ988" s="159"/>
      <c r="BA988" s="161"/>
      <c r="BB988" s="165"/>
      <c r="BE988" s="155"/>
    </row>
    <row r="989" spans="1:59" s="154" customFormat="1" ht="15" customHeight="1">
      <c r="A989" s="168" t="s">
        <v>3819</v>
      </c>
      <c r="B989" s="23" t="s">
        <v>3854</v>
      </c>
      <c r="C989" s="28" t="s">
        <v>3821</v>
      </c>
      <c r="D989" s="170">
        <v>12</v>
      </c>
      <c r="E989" s="154">
        <v>1</v>
      </c>
      <c r="G989" s="154" t="s">
        <v>3855</v>
      </c>
      <c r="J989" s="154" t="s">
        <v>28</v>
      </c>
      <c r="K989" s="154" t="s">
        <v>26</v>
      </c>
      <c r="M989" s="154" t="s">
        <v>648</v>
      </c>
      <c r="O989" s="156"/>
      <c r="P989" s="157"/>
      <c r="Q989" s="158"/>
      <c r="R989" s="159"/>
      <c r="S989" s="160"/>
      <c r="T989" s="161"/>
      <c r="U989" s="156"/>
      <c r="V989" s="162"/>
      <c r="W989" s="163"/>
      <c r="X989" s="164"/>
      <c r="Y989" s="159"/>
      <c r="Z989" s="161"/>
      <c r="AA989" s="165"/>
      <c r="AD989" s="154" t="s">
        <v>1191</v>
      </c>
      <c r="AF989" s="154" t="s">
        <v>4425</v>
      </c>
      <c r="AO989" s="155"/>
      <c r="AQ989" s="156"/>
      <c r="AR989" s="157"/>
      <c r="AS989" s="158"/>
      <c r="AT989" s="159"/>
      <c r="AU989" s="161"/>
      <c r="AV989" s="156"/>
      <c r="AW989" s="162"/>
      <c r="AX989" s="163"/>
      <c r="AY989" s="164"/>
      <c r="AZ989" s="159"/>
      <c r="BA989" s="161"/>
      <c r="BB989" s="165"/>
      <c r="BE989" s="155"/>
    </row>
    <row r="990" spans="1:59" s="154" customFormat="1" ht="15" customHeight="1">
      <c r="A990" s="168" t="s">
        <v>3819</v>
      </c>
      <c r="B990" s="23" t="s">
        <v>3856</v>
      </c>
      <c r="C990" s="28" t="s">
        <v>3821</v>
      </c>
      <c r="D990" s="170">
        <v>13</v>
      </c>
      <c r="E990" s="154">
        <v>1</v>
      </c>
      <c r="G990" s="154" t="s">
        <v>3857</v>
      </c>
      <c r="H990" s="154" t="s">
        <v>4426</v>
      </c>
      <c r="I990" s="154" t="s">
        <v>223</v>
      </c>
      <c r="J990" s="154" t="s">
        <v>257</v>
      </c>
      <c r="K990" s="154" t="s">
        <v>26</v>
      </c>
      <c r="N990" s="154">
        <v>2</v>
      </c>
      <c r="O990" s="156">
        <v>1</v>
      </c>
      <c r="P990" s="157"/>
      <c r="Q990" s="158"/>
      <c r="R990" s="159"/>
      <c r="S990" s="160">
        <v>1</v>
      </c>
      <c r="T990" s="161"/>
      <c r="U990" s="156"/>
      <c r="V990" s="162"/>
      <c r="W990" s="163"/>
      <c r="X990" s="164"/>
      <c r="Y990" s="159"/>
      <c r="Z990" s="161"/>
      <c r="AA990" s="165"/>
      <c r="AB990" s="154" t="s">
        <v>1086</v>
      </c>
      <c r="AC990" s="154" t="s">
        <v>258</v>
      </c>
      <c r="AD990" s="154" t="s">
        <v>3858</v>
      </c>
      <c r="AF990" s="154" t="s">
        <v>4427</v>
      </c>
      <c r="AO990" s="155"/>
      <c r="AQ990" s="156"/>
      <c r="AR990" s="157"/>
      <c r="AS990" s="158"/>
      <c r="AT990" s="159"/>
      <c r="AU990" s="161"/>
      <c r="AV990" s="156"/>
      <c r="AW990" s="162"/>
      <c r="AX990" s="163"/>
      <c r="AY990" s="164"/>
      <c r="AZ990" s="159"/>
      <c r="BA990" s="161"/>
      <c r="BB990" s="165"/>
      <c r="BE990" s="155"/>
    </row>
    <row r="991" spans="1:59" s="154" customFormat="1" ht="15" customHeight="1">
      <c r="A991" s="168" t="s">
        <v>3819</v>
      </c>
      <c r="B991" s="23" t="s">
        <v>3859</v>
      </c>
      <c r="C991" s="28" t="s">
        <v>3821</v>
      </c>
      <c r="D991" s="170">
        <v>14</v>
      </c>
      <c r="E991" s="154">
        <v>1</v>
      </c>
      <c r="G991" s="154" t="s">
        <v>3860</v>
      </c>
      <c r="J991" s="154" t="s">
        <v>29</v>
      </c>
      <c r="K991" s="154" t="s">
        <v>26</v>
      </c>
      <c r="M991" s="154" t="s">
        <v>648</v>
      </c>
      <c r="O991" s="156"/>
      <c r="P991" s="157"/>
      <c r="Q991" s="158">
        <v>2</v>
      </c>
      <c r="R991" s="159">
        <v>2</v>
      </c>
      <c r="S991" s="160"/>
      <c r="T991" s="161">
        <v>3</v>
      </c>
      <c r="U991" s="156"/>
      <c r="V991" s="162">
        <v>1</v>
      </c>
      <c r="W991" s="163">
        <v>1</v>
      </c>
      <c r="X991" s="164"/>
      <c r="Y991" s="159"/>
      <c r="Z991" s="161"/>
      <c r="AA991" s="165"/>
      <c r="AD991" s="154" t="s">
        <v>3861</v>
      </c>
      <c r="AF991" s="154" t="s">
        <v>4428</v>
      </c>
      <c r="AO991" s="155"/>
      <c r="AQ991" s="156"/>
      <c r="AR991" s="157"/>
      <c r="AS991" s="158"/>
      <c r="AT991" s="159"/>
      <c r="AU991" s="161"/>
      <c r="AV991" s="156"/>
      <c r="AW991" s="162"/>
      <c r="AX991" s="163"/>
      <c r="AY991" s="164"/>
      <c r="AZ991" s="159"/>
      <c r="BA991" s="161"/>
      <c r="BB991" s="165"/>
      <c r="BE991" s="155"/>
    </row>
    <row r="992" spans="1:59" s="154" customFormat="1" ht="15" customHeight="1">
      <c r="A992" s="168" t="s">
        <v>3819</v>
      </c>
      <c r="B992" s="23" t="s">
        <v>3862</v>
      </c>
      <c r="C992" s="28" t="s">
        <v>3821</v>
      </c>
      <c r="D992" s="170">
        <v>15</v>
      </c>
      <c r="E992" s="154">
        <v>1</v>
      </c>
      <c r="G992" s="154" t="s">
        <v>3863</v>
      </c>
      <c r="J992" s="154" t="s">
        <v>257</v>
      </c>
      <c r="K992" s="154" t="s">
        <v>26</v>
      </c>
      <c r="N992" s="154">
        <v>1</v>
      </c>
      <c r="O992" s="156"/>
      <c r="P992" s="157"/>
      <c r="Q992" s="158">
        <v>1</v>
      </c>
      <c r="R992" s="159"/>
      <c r="S992" s="160">
        <v>1</v>
      </c>
      <c r="T992" s="161">
        <v>2</v>
      </c>
      <c r="U992" s="156">
        <v>2</v>
      </c>
      <c r="V992" s="162"/>
      <c r="W992" s="163"/>
      <c r="X992" s="164"/>
      <c r="Y992" s="159"/>
      <c r="Z992" s="161"/>
      <c r="AA992" s="165"/>
      <c r="AB992" s="154" t="s">
        <v>1093</v>
      </c>
      <c r="AD992" s="154" t="s">
        <v>289</v>
      </c>
      <c r="AF992" s="154" t="s">
        <v>4429</v>
      </c>
      <c r="AO992" s="155"/>
      <c r="AQ992" s="156"/>
      <c r="AR992" s="157"/>
      <c r="AS992" s="158"/>
      <c r="AT992" s="159"/>
      <c r="AU992" s="161"/>
      <c r="AV992" s="156"/>
      <c r="AW992" s="162"/>
      <c r="AX992" s="163"/>
      <c r="AY992" s="164"/>
      <c r="AZ992" s="159"/>
      <c r="BA992" s="161"/>
      <c r="BB992" s="165"/>
      <c r="BE992" s="155"/>
    </row>
    <row r="993" spans="1:58" s="154" customFormat="1" ht="15" customHeight="1">
      <c r="A993" s="168" t="s">
        <v>3819</v>
      </c>
      <c r="B993" s="23" t="s">
        <v>3864</v>
      </c>
      <c r="C993" s="28" t="s">
        <v>3821</v>
      </c>
      <c r="D993" s="170">
        <v>16</v>
      </c>
      <c r="E993" s="154">
        <v>1</v>
      </c>
      <c r="G993" s="154" t="s">
        <v>3865</v>
      </c>
      <c r="J993" s="154" t="s">
        <v>28</v>
      </c>
      <c r="K993" s="154" t="s">
        <v>26</v>
      </c>
      <c r="M993" s="154" t="s">
        <v>648</v>
      </c>
      <c r="O993" s="156"/>
      <c r="P993" s="157"/>
      <c r="Q993" s="158"/>
      <c r="R993" s="159"/>
      <c r="S993" s="160"/>
      <c r="T993" s="161"/>
      <c r="U993" s="156"/>
      <c r="V993" s="162"/>
      <c r="W993" s="163"/>
      <c r="X993" s="164"/>
      <c r="Y993" s="159"/>
      <c r="Z993" s="161"/>
      <c r="AA993" s="165"/>
      <c r="AD993" s="154" t="s">
        <v>3866</v>
      </c>
      <c r="AF993" s="154" t="s">
        <v>4430</v>
      </c>
      <c r="AO993" s="155"/>
      <c r="AQ993" s="156"/>
      <c r="AR993" s="157"/>
      <c r="AS993" s="158"/>
      <c r="AT993" s="159"/>
      <c r="AU993" s="161"/>
      <c r="AV993" s="156"/>
      <c r="AW993" s="162"/>
      <c r="AX993" s="163"/>
      <c r="AY993" s="164"/>
      <c r="AZ993" s="159"/>
      <c r="BA993" s="161"/>
      <c r="BB993" s="165"/>
      <c r="BE993" s="155"/>
    </row>
    <row r="994" spans="1:58" s="154" customFormat="1" ht="15" customHeight="1">
      <c r="A994" s="168" t="s">
        <v>3819</v>
      </c>
      <c r="B994" s="23" t="s">
        <v>3867</v>
      </c>
      <c r="C994" s="28" t="s">
        <v>3821</v>
      </c>
      <c r="D994" s="170">
        <v>17</v>
      </c>
      <c r="E994" s="154">
        <v>2</v>
      </c>
      <c r="G994" s="154" t="s">
        <v>3868</v>
      </c>
      <c r="J994" s="154" t="s">
        <v>257</v>
      </c>
      <c r="K994" s="171" t="s">
        <v>198</v>
      </c>
      <c r="L994" s="154">
        <v>0</v>
      </c>
      <c r="N994" s="154">
        <v>2</v>
      </c>
      <c r="O994" s="156"/>
      <c r="P994" s="157"/>
      <c r="Q994" s="158">
        <v>1</v>
      </c>
      <c r="R994" s="159"/>
      <c r="S994" s="160"/>
      <c r="T994" s="161"/>
      <c r="U994" s="156"/>
      <c r="V994" s="162"/>
      <c r="W994" s="163"/>
      <c r="X994" s="164"/>
      <c r="Y994" s="159"/>
      <c r="Z994" s="161"/>
      <c r="AA994" s="165"/>
      <c r="AB994" s="154" t="s">
        <v>206</v>
      </c>
      <c r="AC994" s="154" t="s">
        <v>258</v>
      </c>
      <c r="AD994" s="154" t="s">
        <v>298</v>
      </c>
      <c r="AF994" s="154" t="s">
        <v>4431</v>
      </c>
      <c r="AO994" s="155"/>
      <c r="AQ994" s="156"/>
      <c r="AR994" s="157"/>
      <c r="AS994" s="158"/>
      <c r="AT994" s="159"/>
      <c r="AU994" s="161"/>
      <c r="AV994" s="156"/>
      <c r="AW994" s="162"/>
      <c r="AX994" s="163"/>
      <c r="AY994" s="164"/>
      <c r="AZ994" s="159"/>
      <c r="BA994" s="161"/>
      <c r="BB994" s="165"/>
      <c r="BE994" s="155"/>
    </row>
    <row r="995" spans="1:58" s="154" customFormat="1" ht="15" customHeight="1">
      <c r="A995" s="168" t="s">
        <v>3819</v>
      </c>
      <c r="B995" s="23" t="s">
        <v>3869</v>
      </c>
      <c r="C995" s="28" t="s">
        <v>3821</v>
      </c>
      <c r="D995" s="170">
        <v>18</v>
      </c>
      <c r="E995" s="154">
        <v>2</v>
      </c>
      <c r="G995" s="154" t="s">
        <v>3870</v>
      </c>
      <c r="J995" s="154" t="s">
        <v>257</v>
      </c>
      <c r="K995" s="171" t="s">
        <v>198</v>
      </c>
      <c r="L995" s="154">
        <v>0</v>
      </c>
      <c r="N995" s="154">
        <v>4</v>
      </c>
      <c r="O995" s="156"/>
      <c r="P995" s="157">
        <v>1</v>
      </c>
      <c r="Q995" s="158"/>
      <c r="R995" s="159"/>
      <c r="S995" s="160"/>
      <c r="T995" s="161">
        <v>2</v>
      </c>
      <c r="U995" s="156">
        <v>2</v>
      </c>
      <c r="V995" s="162"/>
      <c r="W995" s="163"/>
      <c r="X995" s="164"/>
      <c r="Y995" s="159"/>
      <c r="Z995" s="161"/>
      <c r="AA995" s="165"/>
      <c r="AB995" s="154" t="s">
        <v>205</v>
      </c>
      <c r="AC995" s="154" t="s">
        <v>25</v>
      </c>
      <c r="AD995" s="154" t="s">
        <v>3842</v>
      </c>
      <c r="AF995" s="154" t="s">
        <v>4432</v>
      </c>
      <c r="AO995" s="155"/>
      <c r="AQ995" s="156"/>
      <c r="AR995" s="157"/>
      <c r="AS995" s="158"/>
      <c r="AT995" s="159"/>
      <c r="AU995" s="161"/>
      <c r="AV995" s="156"/>
      <c r="AW995" s="162"/>
      <c r="AX995" s="163"/>
      <c r="AY995" s="164"/>
      <c r="AZ995" s="159"/>
      <c r="BA995" s="161"/>
      <c r="BB995" s="165"/>
      <c r="BE995" s="155"/>
    </row>
    <row r="996" spans="1:58" s="154" customFormat="1" ht="15" customHeight="1">
      <c r="A996" s="168" t="s">
        <v>3819</v>
      </c>
      <c r="B996" s="23" t="s">
        <v>3871</v>
      </c>
      <c r="C996" s="28" t="s">
        <v>3821</v>
      </c>
      <c r="D996" s="170">
        <v>19</v>
      </c>
      <c r="E996" s="154">
        <v>2</v>
      </c>
      <c r="G996" s="154" t="s">
        <v>3872</v>
      </c>
      <c r="J996" s="154" t="s">
        <v>27</v>
      </c>
      <c r="K996" s="171" t="s">
        <v>198</v>
      </c>
      <c r="L996" s="154">
        <v>0</v>
      </c>
      <c r="N996" s="154">
        <v>1</v>
      </c>
      <c r="O996" s="156">
        <v>1</v>
      </c>
      <c r="P996" s="157"/>
      <c r="Q996" s="158"/>
      <c r="R996" s="159"/>
      <c r="S996" s="160"/>
      <c r="T996" s="161"/>
      <c r="U996" s="156"/>
      <c r="V996" s="162"/>
      <c r="W996" s="163"/>
      <c r="X996" s="164"/>
      <c r="Y996" s="159"/>
      <c r="Z996" s="161"/>
      <c r="AA996" s="165"/>
      <c r="AB996" s="154" t="s">
        <v>204</v>
      </c>
      <c r="AD996" s="154" t="s">
        <v>3873</v>
      </c>
      <c r="AF996" s="154" t="s">
        <v>4433</v>
      </c>
      <c r="AO996" s="155"/>
      <c r="AQ996" s="156"/>
      <c r="AR996" s="157"/>
      <c r="AS996" s="158"/>
      <c r="AT996" s="159"/>
      <c r="AU996" s="161"/>
      <c r="AV996" s="156"/>
      <c r="AW996" s="162"/>
      <c r="AX996" s="163"/>
      <c r="AY996" s="164"/>
      <c r="AZ996" s="159"/>
      <c r="BA996" s="161"/>
      <c r="BB996" s="165"/>
      <c r="BE996" s="155"/>
    </row>
    <row r="997" spans="1:58" s="154" customFormat="1" ht="15" customHeight="1">
      <c r="A997" s="168" t="s">
        <v>3819</v>
      </c>
      <c r="B997" s="23" t="s">
        <v>3874</v>
      </c>
      <c r="C997" s="28" t="s">
        <v>3821</v>
      </c>
      <c r="D997" s="170">
        <v>20</v>
      </c>
      <c r="E997" s="154">
        <v>2</v>
      </c>
      <c r="G997" s="154" t="s">
        <v>3875</v>
      </c>
      <c r="J997" s="154" t="s">
        <v>27</v>
      </c>
      <c r="K997" s="171" t="s">
        <v>198</v>
      </c>
      <c r="L997" s="154">
        <v>1</v>
      </c>
      <c r="N997" s="154">
        <v>1</v>
      </c>
      <c r="O997" s="156"/>
      <c r="P997" s="157">
        <v>1</v>
      </c>
      <c r="Q997" s="158"/>
      <c r="R997" s="159"/>
      <c r="S997" s="160"/>
      <c r="T997" s="161"/>
      <c r="U997" s="156"/>
      <c r="V997" s="162"/>
      <c r="W997" s="163"/>
      <c r="X997" s="164"/>
      <c r="Y997" s="159"/>
      <c r="Z997" s="161"/>
      <c r="AA997" s="165"/>
      <c r="AB997" s="154" t="s">
        <v>205</v>
      </c>
      <c r="AD997" s="154" t="s">
        <v>3873</v>
      </c>
      <c r="AF997" s="154" t="s">
        <v>4434</v>
      </c>
      <c r="AO997" s="155"/>
      <c r="AQ997" s="156"/>
      <c r="AR997" s="157"/>
      <c r="AS997" s="158"/>
      <c r="AT997" s="159"/>
      <c r="AU997" s="161"/>
      <c r="AV997" s="156"/>
      <c r="AW997" s="162"/>
      <c r="AX997" s="163"/>
      <c r="AY997" s="164"/>
      <c r="AZ997" s="159"/>
      <c r="BA997" s="161"/>
      <c r="BB997" s="165"/>
      <c r="BE997" s="155"/>
    </row>
    <row r="998" spans="1:58" s="154" customFormat="1" ht="15" customHeight="1">
      <c r="A998" s="168" t="s">
        <v>3819</v>
      </c>
      <c r="B998" s="23" t="s">
        <v>3876</v>
      </c>
      <c r="C998" s="28" t="s">
        <v>3821</v>
      </c>
      <c r="D998" s="170">
        <v>21</v>
      </c>
      <c r="E998" s="154">
        <v>2</v>
      </c>
      <c r="G998" s="154" t="s">
        <v>3877</v>
      </c>
      <c r="H998" s="154" t="s">
        <v>3878</v>
      </c>
      <c r="I998" s="154" t="s">
        <v>223</v>
      </c>
      <c r="J998" s="154" t="s">
        <v>257</v>
      </c>
      <c r="K998" s="154" t="s">
        <v>199</v>
      </c>
      <c r="L998" s="154">
        <v>0</v>
      </c>
      <c r="N998" s="154">
        <v>3</v>
      </c>
      <c r="O998" s="156">
        <v>1</v>
      </c>
      <c r="P998" s="157"/>
      <c r="Q998" s="158"/>
      <c r="R998" s="159"/>
      <c r="S998" s="160"/>
      <c r="T998" s="161">
        <v>1</v>
      </c>
      <c r="U998" s="156">
        <v>2</v>
      </c>
      <c r="V998" s="162"/>
      <c r="W998" s="163"/>
      <c r="X998" s="164"/>
      <c r="Y998" s="159"/>
      <c r="Z998" s="161"/>
      <c r="AA998" s="165"/>
      <c r="AB998" s="154" t="s">
        <v>204</v>
      </c>
      <c r="AC998" s="154" t="s">
        <v>25</v>
      </c>
      <c r="AD998" s="154" t="s">
        <v>3879</v>
      </c>
      <c r="AF998" s="154" t="s">
        <v>4435</v>
      </c>
      <c r="AO998" s="155"/>
      <c r="AQ998" s="156"/>
      <c r="AR998" s="157"/>
      <c r="AS998" s="158"/>
      <c r="AT998" s="159"/>
      <c r="AU998" s="161"/>
      <c r="AV998" s="156"/>
      <c r="AW998" s="162"/>
      <c r="AX998" s="163"/>
      <c r="AY998" s="164"/>
      <c r="AZ998" s="159"/>
      <c r="BA998" s="161"/>
      <c r="BB998" s="165"/>
      <c r="BE998" s="155"/>
    </row>
    <row r="999" spans="1:58" s="154" customFormat="1" ht="15" customHeight="1">
      <c r="A999" s="168" t="s">
        <v>3819</v>
      </c>
      <c r="B999" s="23" t="s">
        <v>3880</v>
      </c>
      <c r="C999" s="28" t="s">
        <v>3821</v>
      </c>
      <c r="D999" s="170">
        <v>22</v>
      </c>
      <c r="E999" s="154">
        <v>2</v>
      </c>
      <c r="G999" s="154" t="s">
        <v>3881</v>
      </c>
      <c r="H999" s="154" t="s">
        <v>1397</v>
      </c>
      <c r="J999" s="154" t="s">
        <v>257</v>
      </c>
      <c r="K999" s="154" t="s">
        <v>199</v>
      </c>
      <c r="L999" s="154">
        <v>1</v>
      </c>
      <c r="N999" s="154">
        <v>1</v>
      </c>
      <c r="O999" s="156"/>
      <c r="P999" s="157">
        <v>1</v>
      </c>
      <c r="Q999" s="158"/>
      <c r="R999" s="159"/>
      <c r="S999" s="160"/>
      <c r="T999" s="161"/>
      <c r="U999" s="156"/>
      <c r="V999" s="162"/>
      <c r="W999" s="163"/>
      <c r="X999" s="164"/>
      <c r="Y999" s="159"/>
      <c r="Z999" s="161"/>
      <c r="AA999" s="165"/>
      <c r="AB999" s="154" t="s">
        <v>205</v>
      </c>
      <c r="AC999" s="154" t="s">
        <v>258</v>
      </c>
      <c r="AD999" s="154" t="s">
        <v>276</v>
      </c>
      <c r="AF999" s="154" t="s">
        <v>4436</v>
      </c>
      <c r="AO999" s="155"/>
      <c r="AQ999" s="156"/>
      <c r="AR999" s="157"/>
      <c r="AS999" s="158"/>
      <c r="AT999" s="159"/>
      <c r="AU999" s="161"/>
      <c r="AV999" s="156"/>
      <c r="AW999" s="162"/>
      <c r="AX999" s="163"/>
      <c r="AY999" s="164"/>
      <c r="AZ999" s="159"/>
      <c r="BA999" s="161"/>
      <c r="BB999" s="165"/>
      <c r="BE999" s="155"/>
    </row>
    <row r="1000" spans="1:58" s="154" customFormat="1" ht="15" customHeight="1">
      <c r="A1000" s="168" t="s">
        <v>3819</v>
      </c>
      <c r="B1000" s="23" t="s">
        <v>3882</v>
      </c>
      <c r="C1000" s="28" t="s">
        <v>3821</v>
      </c>
      <c r="D1000" s="170">
        <v>23</v>
      </c>
      <c r="E1000" s="154">
        <v>2</v>
      </c>
      <c r="G1000" s="154" t="s">
        <v>3883</v>
      </c>
      <c r="H1000" s="154" t="s">
        <v>3884</v>
      </c>
      <c r="J1000" s="154" t="s">
        <v>257</v>
      </c>
      <c r="K1000" s="154" t="s">
        <v>199</v>
      </c>
      <c r="L1000" s="154">
        <v>0</v>
      </c>
      <c r="N1000" s="155">
        <v>3</v>
      </c>
      <c r="O1000" s="156">
        <v>1</v>
      </c>
      <c r="P1000" s="157"/>
      <c r="Q1000" s="158"/>
      <c r="R1000" s="159"/>
      <c r="S1000" s="160"/>
      <c r="T1000" s="161"/>
      <c r="U1000" s="156"/>
      <c r="V1000" s="162"/>
      <c r="W1000" s="163"/>
      <c r="X1000" s="164"/>
      <c r="Y1000" s="159"/>
      <c r="Z1000" s="161"/>
      <c r="AA1000" s="165"/>
      <c r="AB1000" s="154" t="s">
        <v>204</v>
      </c>
      <c r="AC1000" s="154" t="s">
        <v>275</v>
      </c>
      <c r="AD1000" s="154" t="s">
        <v>276</v>
      </c>
      <c r="AE1000" s="155"/>
      <c r="AF1000" s="154" t="s">
        <v>4437</v>
      </c>
      <c r="AP1000" s="155"/>
      <c r="AQ1000" s="156"/>
      <c r="AR1000" s="157"/>
      <c r="AS1000" s="158"/>
      <c r="AT1000" s="159"/>
      <c r="AU1000" s="161"/>
      <c r="AV1000" s="156"/>
      <c r="AW1000" s="162"/>
      <c r="AX1000" s="163"/>
      <c r="AY1000" s="164"/>
      <c r="AZ1000" s="159"/>
      <c r="BA1000" s="161"/>
      <c r="BB1000" s="165"/>
      <c r="BF1000" s="155"/>
    </row>
    <row r="1001" spans="1:58" s="154" customFormat="1" ht="15" customHeight="1">
      <c r="A1001" s="168" t="s">
        <v>3819</v>
      </c>
      <c r="B1001" s="23" t="s">
        <v>3885</v>
      </c>
      <c r="C1001" s="28" t="s">
        <v>3821</v>
      </c>
      <c r="D1001" s="170">
        <v>24</v>
      </c>
      <c r="E1001" s="154">
        <v>2</v>
      </c>
      <c r="G1001" s="154" t="s">
        <v>3886</v>
      </c>
      <c r="J1001" s="154" t="s">
        <v>27</v>
      </c>
      <c r="K1001" s="154" t="s">
        <v>199</v>
      </c>
      <c r="L1001" s="154">
        <v>0</v>
      </c>
      <c r="N1001" s="155">
        <v>1</v>
      </c>
      <c r="O1001" s="156"/>
      <c r="P1001" s="157">
        <v>2</v>
      </c>
      <c r="Q1001" s="158"/>
      <c r="R1001" s="159"/>
      <c r="S1001" s="160"/>
      <c r="T1001" s="161"/>
      <c r="U1001" s="156"/>
      <c r="V1001" s="162"/>
      <c r="W1001" s="163"/>
      <c r="X1001" s="164"/>
      <c r="Y1001" s="159"/>
      <c r="Z1001" s="161"/>
      <c r="AA1001" s="165"/>
      <c r="AB1001" s="154" t="s">
        <v>1084</v>
      </c>
      <c r="AD1001" s="154" t="s">
        <v>340</v>
      </c>
      <c r="AE1001" s="155"/>
      <c r="AF1001" s="154" t="s">
        <v>4438</v>
      </c>
      <c r="AP1001" s="155"/>
      <c r="AQ1001" s="156"/>
      <c r="AR1001" s="157"/>
      <c r="AS1001" s="158"/>
      <c r="AT1001" s="159"/>
      <c r="AU1001" s="161"/>
      <c r="AV1001" s="156"/>
      <c r="AW1001" s="162"/>
      <c r="AX1001" s="163"/>
      <c r="AY1001" s="164"/>
      <c r="AZ1001" s="159"/>
      <c r="BA1001" s="161"/>
      <c r="BB1001" s="165"/>
      <c r="BF1001" s="155"/>
    </row>
    <row r="1002" spans="1:58" s="154" customFormat="1" ht="15" customHeight="1">
      <c r="A1002" s="168" t="s">
        <v>3819</v>
      </c>
      <c r="B1002" s="23" t="s">
        <v>3887</v>
      </c>
      <c r="C1002" s="28" t="s">
        <v>3821</v>
      </c>
      <c r="D1002" s="170">
        <v>25</v>
      </c>
      <c r="E1002" s="154">
        <v>2</v>
      </c>
      <c r="G1002" s="154" t="s">
        <v>3888</v>
      </c>
      <c r="J1002" s="154" t="s">
        <v>257</v>
      </c>
      <c r="K1002" s="154" t="s">
        <v>201</v>
      </c>
      <c r="L1002" s="154">
        <v>1</v>
      </c>
      <c r="N1002" s="155">
        <v>1</v>
      </c>
      <c r="O1002" s="156"/>
      <c r="P1002" s="157">
        <v>1</v>
      </c>
      <c r="Q1002" s="158"/>
      <c r="R1002" s="159"/>
      <c r="S1002" s="160"/>
      <c r="T1002" s="161">
        <v>2</v>
      </c>
      <c r="U1002" s="156">
        <v>2</v>
      </c>
      <c r="V1002" s="162"/>
      <c r="W1002" s="163"/>
      <c r="X1002" s="164"/>
      <c r="Y1002" s="159"/>
      <c r="Z1002" s="161"/>
      <c r="AA1002" s="165"/>
      <c r="AB1002" s="154" t="s">
        <v>205</v>
      </c>
      <c r="AC1002" s="154" t="s">
        <v>25</v>
      </c>
      <c r="AD1002" s="154" t="s">
        <v>3842</v>
      </c>
      <c r="AE1002" s="155"/>
      <c r="AF1002" s="154" t="s">
        <v>4439</v>
      </c>
      <c r="AP1002" s="155"/>
      <c r="AQ1002" s="156"/>
      <c r="AR1002" s="157"/>
      <c r="AS1002" s="158"/>
      <c r="AT1002" s="159"/>
      <c r="AU1002" s="161"/>
      <c r="AV1002" s="156"/>
      <c r="AW1002" s="162"/>
      <c r="AX1002" s="163"/>
      <c r="AY1002" s="164"/>
      <c r="AZ1002" s="159"/>
      <c r="BA1002" s="161"/>
      <c r="BB1002" s="165"/>
      <c r="BF1002" s="155"/>
    </row>
    <row r="1003" spans="1:58" s="154" customFormat="1" ht="15" customHeight="1">
      <c r="A1003" s="168" t="s">
        <v>3819</v>
      </c>
      <c r="B1003" s="23" t="s">
        <v>3889</v>
      </c>
      <c r="C1003" s="28" t="s">
        <v>3821</v>
      </c>
      <c r="D1003" s="170">
        <v>26</v>
      </c>
      <c r="E1003" s="154">
        <v>2</v>
      </c>
      <c r="G1003" s="154" t="s">
        <v>3890</v>
      </c>
      <c r="H1003" s="154" t="s">
        <v>3891</v>
      </c>
      <c r="J1003" s="154" t="s">
        <v>257</v>
      </c>
      <c r="K1003" s="154" t="s">
        <v>201</v>
      </c>
      <c r="L1003" s="154">
        <v>0</v>
      </c>
      <c r="N1003" s="155">
        <v>0</v>
      </c>
      <c r="O1003" s="156"/>
      <c r="P1003" s="157"/>
      <c r="Q1003" s="158"/>
      <c r="R1003" s="159">
        <v>1</v>
      </c>
      <c r="S1003" s="160"/>
      <c r="T1003" s="161"/>
      <c r="U1003" s="156"/>
      <c r="V1003" s="162"/>
      <c r="W1003" s="163"/>
      <c r="X1003" s="164"/>
      <c r="Y1003" s="159"/>
      <c r="Z1003" s="161"/>
      <c r="AA1003" s="165"/>
      <c r="AB1003" s="154" t="s">
        <v>207</v>
      </c>
      <c r="AC1003" s="154" t="s">
        <v>275</v>
      </c>
      <c r="AD1003" s="154" t="s">
        <v>3892</v>
      </c>
      <c r="AE1003" s="155"/>
      <c r="AF1003" s="154" t="s">
        <v>4440</v>
      </c>
      <c r="AP1003" s="155"/>
      <c r="AQ1003" s="156"/>
      <c r="AR1003" s="157"/>
      <c r="AS1003" s="158"/>
      <c r="AT1003" s="159"/>
      <c r="AU1003" s="161"/>
      <c r="AV1003" s="156"/>
      <c r="AW1003" s="162"/>
      <c r="AX1003" s="163"/>
      <c r="AY1003" s="164"/>
      <c r="AZ1003" s="159"/>
      <c r="BA1003" s="161"/>
      <c r="BB1003" s="165"/>
      <c r="BF1003" s="155"/>
    </row>
    <row r="1004" spans="1:58" s="154" customFormat="1" ht="15" customHeight="1">
      <c r="A1004" s="168" t="s">
        <v>3819</v>
      </c>
      <c r="B1004" s="23" t="s">
        <v>3893</v>
      </c>
      <c r="C1004" s="28" t="s">
        <v>3821</v>
      </c>
      <c r="D1004" s="170">
        <v>27</v>
      </c>
      <c r="E1004" s="154">
        <v>2</v>
      </c>
      <c r="G1004" s="154" t="s">
        <v>3894</v>
      </c>
      <c r="J1004" s="154" t="s">
        <v>27</v>
      </c>
      <c r="K1004" s="154" t="s">
        <v>201</v>
      </c>
      <c r="L1004" s="154">
        <v>0</v>
      </c>
      <c r="N1004" s="155">
        <v>1</v>
      </c>
      <c r="O1004" s="156"/>
      <c r="P1004" s="157">
        <v>1</v>
      </c>
      <c r="Q1004" s="158"/>
      <c r="R1004" s="159">
        <v>1</v>
      </c>
      <c r="S1004" s="160"/>
      <c r="T1004" s="161"/>
      <c r="U1004" s="156"/>
      <c r="V1004" s="162"/>
      <c r="W1004" s="163"/>
      <c r="X1004" s="164"/>
      <c r="Y1004" s="159"/>
      <c r="Z1004" s="161"/>
      <c r="AA1004" s="165"/>
      <c r="AB1004" s="154" t="s">
        <v>1089</v>
      </c>
      <c r="AD1004" s="154" t="s">
        <v>3895</v>
      </c>
      <c r="AE1004" s="155"/>
      <c r="AF1004" s="154" t="s">
        <v>3896</v>
      </c>
      <c r="AP1004" s="155"/>
      <c r="AQ1004" s="156"/>
      <c r="AR1004" s="157"/>
      <c r="AS1004" s="158"/>
      <c r="AT1004" s="159"/>
      <c r="AU1004" s="161"/>
      <c r="AV1004" s="156"/>
      <c r="AW1004" s="162"/>
      <c r="AX1004" s="163"/>
      <c r="AY1004" s="164"/>
      <c r="AZ1004" s="159"/>
      <c r="BA1004" s="161"/>
      <c r="BB1004" s="165"/>
      <c r="BF1004" s="155"/>
    </row>
    <row r="1005" spans="1:58" s="154" customFormat="1" ht="15" customHeight="1">
      <c r="A1005" s="168" t="s">
        <v>3819</v>
      </c>
      <c r="B1005" s="23" t="s">
        <v>3897</v>
      </c>
      <c r="C1005" s="28" t="s">
        <v>3821</v>
      </c>
      <c r="D1005" s="170">
        <v>28</v>
      </c>
      <c r="E1005" s="154">
        <v>2</v>
      </c>
      <c r="G1005" s="154" t="s">
        <v>3898</v>
      </c>
      <c r="J1005" s="154" t="s">
        <v>27</v>
      </c>
      <c r="K1005" s="154" t="s">
        <v>201</v>
      </c>
      <c r="L1005" s="154">
        <v>0</v>
      </c>
      <c r="N1005" s="155">
        <v>0</v>
      </c>
      <c r="O1005" s="156"/>
      <c r="P1005" s="157">
        <v>1</v>
      </c>
      <c r="Q1005" s="158"/>
      <c r="R1005" s="159">
        <v>1</v>
      </c>
      <c r="S1005" s="160"/>
      <c r="T1005" s="161"/>
      <c r="U1005" s="156"/>
      <c r="V1005" s="162"/>
      <c r="W1005" s="163"/>
      <c r="X1005" s="164"/>
      <c r="Y1005" s="159"/>
      <c r="Z1005" s="161"/>
      <c r="AA1005" s="165"/>
      <c r="AB1005" s="154" t="s">
        <v>1089</v>
      </c>
      <c r="AD1005" s="154" t="s">
        <v>1412</v>
      </c>
      <c r="AE1005" s="155"/>
      <c r="AF1005" s="154" t="s">
        <v>4441</v>
      </c>
      <c r="AP1005" s="155"/>
      <c r="AQ1005" s="156"/>
      <c r="AR1005" s="157"/>
      <c r="AS1005" s="158"/>
      <c r="AT1005" s="159"/>
      <c r="AU1005" s="161"/>
      <c r="AV1005" s="156"/>
      <c r="AW1005" s="162"/>
      <c r="AX1005" s="163"/>
      <c r="AY1005" s="164"/>
      <c r="AZ1005" s="159"/>
      <c r="BA1005" s="161"/>
      <c r="BB1005" s="165"/>
      <c r="BF1005" s="155"/>
    </row>
    <row r="1006" spans="1:58" s="154" customFormat="1" ht="15" customHeight="1">
      <c r="A1006" s="168" t="s">
        <v>3819</v>
      </c>
      <c r="B1006" s="23" t="s">
        <v>3899</v>
      </c>
      <c r="C1006" s="28" t="s">
        <v>3821</v>
      </c>
      <c r="D1006" s="170">
        <v>29</v>
      </c>
      <c r="E1006" s="154">
        <v>2</v>
      </c>
      <c r="G1006" s="154" t="s">
        <v>3900</v>
      </c>
      <c r="J1006" s="154" t="s">
        <v>257</v>
      </c>
      <c r="K1006" s="154" t="s">
        <v>200</v>
      </c>
      <c r="L1006" s="154">
        <v>0</v>
      </c>
      <c r="N1006" s="155">
        <v>2</v>
      </c>
      <c r="O1006" s="156"/>
      <c r="P1006" s="157"/>
      <c r="Q1006" s="158"/>
      <c r="R1006" s="159">
        <v>1</v>
      </c>
      <c r="S1006" s="160"/>
      <c r="T1006" s="161"/>
      <c r="U1006" s="156"/>
      <c r="V1006" s="162"/>
      <c r="W1006" s="163"/>
      <c r="X1006" s="164"/>
      <c r="Y1006" s="159"/>
      <c r="Z1006" s="161"/>
      <c r="AA1006" s="165"/>
      <c r="AB1006" s="154" t="s">
        <v>207</v>
      </c>
      <c r="AC1006" s="154" t="s">
        <v>378</v>
      </c>
      <c r="AD1006" s="154" t="s">
        <v>279</v>
      </c>
      <c r="AE1006" s="155"/>
      <c r="AF1006" s="154" t="s">
        <v>4442</v>
      </c>
      <c r="AP1006" s="155"/>
      <c r="AQ1006" s="156"/>
      <c r="AR1006" s="157"/>
      <c r="AS1006" s="158"/>
      <c r="AT1006" s="159"/>
      <c r="AU1006" s="161"/>
      <c r="AV1006" s="156"/>
      <c r="AW1006" s="162"/>
      <c r="AX1006" s="163"/>
      <c r="AY1006" s="164"/>
      <c r="AZ1006" s="159"/>
      <c r="BA1006" s="161"/>
      <c r="BB1006" s="165"/>
      <c r="BF1006" s="155"/>
    </row>
    <row r="1007" spans="1:58" s="154" customFormat="1" ht="15" customHeight="1">
      <c r="A1007" s="168" t="s">
        <v>3819</v>
      </c>
      <c r="B1007" s="23" t="s">
        <v>3901</v>
      </c>
      <c r="C1007" s="28" t="s">
        <v>3821</v>
      </c>
      <c r="D1007" s="170">
        <v>30</v>
      </c>
      <c r="E1007" s="154">
        <v>2</v>
      </c>
      <c r="G1007" s="154" t="s">
        <v>3902</v>
      </c>
      <c r="H1007" s="154" t="s">
        <v>3903</v>
      </c>
      <c r="I1007" s="154" t="s">
        <v>223</v>
      </c>
      <c r="J1007" s="154" t="s">
        <v>257</v>
      </c>
      <c r="K1007" s="154" t="s">
        <v>200</v>
      </c>
      <c r="L1007" s="154">
        <v>0</v>
      </c>
      <c r="N1007" s="155">
        <v>3</v>
      </c>
      <c r="O1007" s="156"/>
      <c r="P1007" s="157">
        <v>1</v>
      </c>
      <c r="Q1007" s="158"/>
      <c r="R1007" s="159"/>
      <c r="S1007" s="160"/>
      <c r="T1007" s="161"/>
      <c r="U1007" s="156"/>
      <c r="V1007" s="162"/>
      <c r="W1007" s="163"/>
      <c r="X1007" s="164"/>
      <c r="Y1007" s="159"/>
      <c r="Z1007" s="161"/>
      <c r="AA1007" s="165"/>
      <c r="AB1007" s="154" t="s">
        <v>205</v>
      </c>
      <c r="AC1007" s="154" t="s">
        <v>258</v>
      </c>
      <c r="AD1007" s="154" t="s">
        <v>3892</v>
      </c>
      <c r="AE1007" s="155"/>
      <c r="AF1007" s="154" t="s">
        <v>4443</v>
      </c>
      <c r="AP1007" s="155"/>
      <c r="AQ1007" s="156"/>
      <c r="AR1007" s="157"/>
      <c r="AS1007" s="158"/>
      <c r="AT1007" s="159"/>
      <c r="AU1007" s="161"/>
      <c r="AV1007" s="156"/>
      <c r="AW1007" s="162"/>
      <c r="AX1007" s="163"/>
      <c r="AY1007" s="164"/>
      <c r="AZ1007" s="159"/>
      <c r="BA1007" s="161"/>
      <c r="BB1007" s="165"/>
      <c r="BF1007" s="155"/>
    </row>
    <row r="1008" spans="1:58" s="154" customFormat="1" ht="15" customHeight="1">
      <c r="A1008" s="168" t="s">
        <v>3819</v>
      </c>
      <c r="B1008" s="23" t="s">
        <v>3904</v>
      </c>
      <c r="C1008" s="28" t="s">
        <v>3821</v>
      </c>
      <c r="D1008" s="170">
        <v>31</v>
      </c>
      <c r="E1008" s="154">
        <v>2</v>
      </c>
      <c r="G1008" s="154" t="s">
        <v>3905</v>
      </c>
      <c r="J1008" s="154" t="s">
        <v>257</v>
      </c>
      <c r="K1008" s="154" t="s">
        <v>200</v>
      </c>
      <c r="L1008" s="154">
        <v>1</v>
      </c>
      <c r="N1008" s="155">
        <v>1</v>
      </c>
      <c r="O1008" s="156">
        <v>1</v>
      </c>
      <c r="P1008" s="157"/>
      <c r="Q1008" s="158"/>
      <c r="R1008" s="159"/>
      <c r="S1008" s="160"/>
      <c r="T1008" s="161"/>
      <c r="U1008" s="156"/>
      <c r="V1008" s="162"/>
      <c r="W1008" s="163"/>
      <c r="X1008" s="164"/>
      <c r="Y1008" s="159"/>
      <c r="Z1008" s="161"/>
      <c r="AA1008" s="165"/>
      <c r="AB1008" s="154" t="s">
        <v>204</v>
      </c>
      <c r="AC1008" s="154" t="s">
        <v>378</v>
      </c>
      <c r="AD1008" s="154" t="s">
        <v>3906</v>
      </c>
      <c r="AE1008" s="155"/>
      <c r="AF1008" s="154" t="s">
        <v>4444</v>
      </c>
      <c r="AP1008" s="155"/>
      <c r="AQ1008" s="156"/>
      <c r="AR1008" s="157"/>
      <c r="AS1008" s="158"/>
      <c r="AT1008" s="159"/>
      <c r="AU1008" s="161"/>
      <c r="AV1008" s="156"/>
      <c r="AW1008" s="162"/>
      <c r="AX1008" s="163"/>
      <c r="AY1008" s="164"/>
      <c r="AZ1008" s="159"/>
      <c r="BA1008" s="161"/>
      <c r="BB1008" s="165"/>
      <c r="BF1008" s="155"/>
    </row>
    <row r="1009" spans="1:59" s="154" customFormat="1" ht="15" customHeight="1">
      <c r="A1009" s="168" t="s">
        <v>3819</v>
      </c>
      <c r="B1009" s="23" t="s">
        <v>3907</v>
      </c>
      <c r="C1009" s="28" t="s">
        <v>3821</v>
      </c>
      <c r="D1009" s="170">
        <v>32</v>
      </c>
      <c r="E1009" s="154">
        <v>2</v>
      </c>
      <c r="G1009" s="154" t="s">
        <v>3908</v>
      </c>
      <c r="J1009" s="154" t="s">
        <v>27</v>
      </c>
      <c r="K1009" s="154" t="s">
        <v>200</v>
      </c>
      <c r="L1009" s="154">
        <v>0</v>
      </c>
      <c r="N1009" s="155">
        <v>1</v>
      </c>
      <c r="O1009" s="156">
        <v>1</v>
      </c>
      <c r="P1009" s="157"/>
      <c r="Q1009" s="158"/>
      <c r="R1009" s="159">
        <v>1</v>
      </c>
      <c r="S1009" s="160"/>
      <c r="T1009" s="161"/>
      <c r="U1009" s="156"/>
      <c r="V1009" s="162"/>
      <c r="W1009" s="163"/>
      <c r="X1009" s="164"/>
      <c r="Y1009" s="159"/>
      <c r="Z1009" s="161"/>
      <c r="AA1009" s="165"/>
      <c r="AB1009" s="154" t="s">
        <v>1085</v>
      </c>
      <c r="AD1009" s="154" t="s">
        <v>3909</v>
      </c>
      <c r="AE1009" s="155"/>
      <c r="AF1009" s="154" t="s">
        <v>4445</v>
      </c>
      <c r="AP1009" s="155"/>
      <c r="AQ1009" s="156"/>
      <c r="AR1009" s="157"/>
      <c r="AS1009" s="158"/>
      <c r="AT1009" s="159"/>
      <c r="AU1009" s="161"/>
      <c r="AV1009" s="156"/>
      <c r="AW1009" s="162"/>
      <c r="AX1009" s="163"/>
      <c r="AY1009" s="164"/>
      <c r="AZ1009" s="159"/>
      <c r="BA1009" s="161"/>
      <c r="BB1009" s="165"/>
      <c r="BF1009" s="155"/>
    </row>
    <row r="1010" spans="1:59" s="154" customFormat="1" ht="15" customHeight="1">
      <c r="A1010" s="168" t="s">
        <v>3819</v>
      </c>
      <c r="B1010" s="23" t="s">
        <v>3910</v>
      </c>
      <c r="C1010" s="28" t="s">
        <v>3821</v>
      </c>
      <c r="D1010" s="170">
        <v>33</v>
      </c>
      <c r="E1010" s="154">
        <v>2</v>
      </c>
      <c r="G1010" s="154" t="s">
        <v>3911</v>
      </c>
      <c r="J1010" s="154" t="s">
        <v>27</v>
      </c>
      <c r="K1010" s="154" t="s">
        <v>202</v>
      </c>
      <c r="L1010" s="154">
        <v>0</v>
      </c>
      <c r="N1010" s="155">
        <v>1</v>
      </c>
      <c r="O1010" s="156"/>
      <c r="P1010" s="157"/>
      <c r="Q1010" s="158"/>
      <c r="R1010" s="159"/>
      <c r="S1010" s="160"/>
      <c r="T1010" s="161"/>
      <c r="U1010" s="156"/>
      <c r="V1010" s="162"/>
      <c r="W1010" s="163"/>
      <c r="X1010" s="164"/>
      <c r="Y1010" s="159"/>
      <c r="Z1010" s="161"/>
      <c r="AA1010" s="165"/>
      <c r="AD1010" s="154" t="s">
        <v>3912</v>
      </c>
      <c r="AE1010" s="155"/>
      <c r="AF1010" s="154" t="s">
        <v>4446</v>
      </c>
      <c r="AP1010" s="155"/>
      <c r="AQ1010" s="156"/>
      <c r="AR1010" s="157"/>
      <c r="AS1010" s="158"/>
      <c r="AT1010" s="159"/>
      <c r="AU1010" s="161"/>
      <c r="AV1010" s="156"/>
      <c r="AW1010" s="162"/>
      <c r="AX1010" s="163"/>
      <c r="AY1010" s="164"/>
      <c r="AZ1010" s="159"/>
      <c r="BA1010" s="161"/>
      <c r="BB1010" s="165"/>
      <c r="BF1010" s="155"/>
    </row>
    <row r="1011" spans="1:59" s="154" customFormat="1" ht="15" customHeight="1">
      <c r="A1011" s="168" t="s">
        <v>3819</v>
      </c>
      <c r="B1011" s="23" t="s">
        <v>3913</v>
      </c>
      <c r="C1011" s="28" t="s">
        <v>3821</v>
      </c>
      <c r="D1011" s="170">
        <v>34</v>
      </c>
      <c r="E1011" s="154">
        <v>2</v>
      </c>
      <c r="G1011" s="154" t="s">
        <v>3914</v>
      </c>
      <c r="J1011" s="154" t="s">
        <v>27</v>
      </c>
      <c r="K1011" s="154" t="s">
        <v>202</v>
      </c>
      <c r="L1011" s="154">
        <v>0</v>
      </c>
      <c r="N1011" s="155">
        <v>2</v>
      </c>
      <c r="O1011" s="156"/>
      <c r="P1011" s="157"/>
      <c r="Q1011" s="158"/>
      <c r="R1011" s="159">
        <v>2</v>
      </c>
      <c r="S1011" s="160"/>
      <c r="T1011" s="161"/>
      <c r="U1011" s="156"/>
      <c r="V1011" s="162"/>
      <c r="W1011" s="163"/>
      <c r="X1011" s="164"/>
      <c r="Y1011" s="159"/>
      <c r="Z1011" s="161"/>
      <c r="AA1011" s="165"/>
      <c r="AB1011" s="154" t="s">
        <v>1095</v>
      </c>
      <c r="AD1011" s="154" t="s">
        <v>372</v>
      </c>
      <c r="AE1011" s="155"/>
      <c r="AF1011" s="154" t="s">
        <v>4447</v>
      </c>
      <c r="AP1011" s="155"/>
      <c r="AQ1011" s="156"/>
      <c r="AR1011" s="157"/>
      <c r="AS1011" s="158"/>
      <c r="AT1011" s="159"/>
      <c r="AU1011" s="161"/>
      <c r="AV1011" s="156"/>
      <c r="AW1011" s="162"/>
      <c r="AX1011" s="163"/>
      <c r="AY1011" s="164"/>
      <c r="AZ1011" s="159"/>
      <c r="BA1011" s="161"/>
      <c r="BB1011" s="165"/>
      <c r="BF1011" s="155"/>
    </row>
    <row r="1012" spans="1:59" s="154" customFormat="1" ht="15" customHeight="1">
      <c r="A1012" s="168" t="s">
        <v>3819</v>
      </c>
      <c r="B1012" s="23" t="s">
        <v>3915</v>
      </c>
      <c r="C1012" s="28" t="s">
        <v>3821</v>
      </c>
      <c r="D1012" s="170">
        <v>35</v>
      </c>
      <c r="E1012" s="154">
        <v>2</v>
      </c>
      <c r="G1012" s="154" t="s">
        <v>3916</v>
      </c>
      <c r="H1012" s="154" t="s">
        <v>3917</v>
      </c>
      <c r="I1012" s="154" t="s">
        <v>223</v>
      </c>
      <c r="J1012" s="154" t="s">
        <v>257</v>
      </c>
      <c r="K1012" s="154" t="s">
        <v>202</v>
      </c>
      <c r="L1012" s="154">
        <v>1</v>
      </c>
      <c r="N1012" s="155">
        <v>3</v>
      </c>
      <c r="O1012" s="156">
        <v>1</v>
      </c>
      <c r="P1012" s="157"/>
      <c r="Q1012" s="158"/>
      <c r="R1012" s="159"/>
      <c r="S1012" s="160"/>
      <c r="T1012" s="161">
        <v>2</v>
      </c>
      <c r="U1012" s="156">
        <v>2</v>
      </c>
      <c r="V1012" s="162"/>
      <c r="W1012" s="163"/>
      <c r="X1012" s="164"/>
      <c r="Y1012" s="159"/>
      <c r="Z1012" s="161"/>
      <c r="AA1012" s="165"/>
      <c r="AB1012" s="154" t="s">
        <v>204</v>
      </c>
      <c r="AC1012" s="154" t="s">
        <v>25</v>
      </c>
      <c r="AD1012" s="154" t="s">
        <v>3842</v>
      </c>
      <c r="AE1012" s="155"/>
      <c r="AF1012" s="154" t="s">
        <v>4448</v>
      </c>
      <c r="AP1012" s="155"/>
      <c r="AQ1012" s="156"/>
      <c r="AR1012" s="157"/>
      <c r="AS1012" s="158"/>
      <c r="AT1012" s="159"/>
      <c r="AU1012" s="161"/>
      <c r="AV1012" s="156"/>
      <c r="AW1012" s="162"/>
      <c r="AX1012" s="163"/>
      <c r="AY1012" s="164"/>
      <c r="AZ1012" s="159"/>
      <c r="BA1012" s="161"/>
      <c r="BB1012" s="165"/>
      <c r="BF1012" s="155"/>
    </row>
    <row r="1013" spans="1:59" s="154" customFormat="1" ht="15" customHeight="1">
      <c r="A1013" s="168" t="s">
        <v>3819</v>
      </c>
      <c r="B1013" s="23" t="s">
        <v>3918</v>
      </c>
      <c r="C1013" s="28" t="s">
        <v>3821</v>
      </c>
      <c r="D1013" s="170">
        <v>36</v>
      </c>
      <c r="E1013" s="154">
        <v>2</v>
      </c>
      <c r="G1013" s="154" t="s">
        <v>3919</v>
      </c>
      <c r="J1013" s="154" t="s">
        <v>312</v>
      </c>
      <c r="K1013" s="154" t="s">
        <v>202</v>
      </c>
      <c r="L1013" s="154">
        <v>0</v>
      </c>
      <c r="N1013" s="155"/>
      <c r="O1013" s="156"/>
      <c r="P1013" s="157"/>
      <c r="Q1013" s="158"/>
      <c r="R1013" s="159"/>
      <c r="S1013" s="160">
        <v>5</v>
      </c>
      <c r="T1013" s="161"/>
      <c r="U1013" s="156"/>
      <c r="V1013" s="162"/>
      <c r="W1013" s="163"/>
      <c r="X1013" s="164"/>
      <c r="Y1013" s="159"/>
      <c r="Z1013" s="161"/>
      <c r="AA1013" s="165"/>
      <c r="AB1013" s="154" t="s">
        <v>3920</v>
      </c>
      <c r="AD1013" s="154" t="s">
        <v>2603</v>
      </c>
      <c r="AE1013" s="155"/>
      <c r="AF1013" s="154" t="s">
        <v>4449</v>
      </c>
      <c r="AP1013" s="155"/>
      <c r="AQ1013" s="156"/>
      <c r="AR1013" s="157"/>
      <c r="AS1013" s="158"/>
      <c r="AT1013" s="159"/>
      <c r="AU1013" s="161"/>
      <c r="AV1013" s="156"/>
      <c r="AW1013" s="162"/>
      <c r="AX1013" s="163"/>
      <c r="AY1013" s="164"/>
      <c r="AZ1013" s="159"/>
      <c r="BA1013" s="161"/>
      <c r="BB1013" s="165"/>
      <c r="BF1013" s="155"/>
    </row>
    <row r="1014" spans="1:59" s="154" customFormat="1" ht="15" customHeight="1">
      <c r="A1014" s="168" t="s">
        <v>3819</v>
      </c>
      <c r="B1014" s="23" t="s">
        <v>3921</v>
      </c>
      <c r="C1014" s="28" t="s">
        <v>3821</v>
      </c>
      <c r="D1014" s="170">
        <v>37</v>
      </c>
      <c r="E1014" s="154">
        <v>2</v>
      </c>
      <c r="G1014" s="154" t="s">
        <v>3922</v>
      </c>
      <c r="J1014" s="154" t="s">
        <v>257</v>
      </c>
      <c r="K1014" s="154" t="s">
        <v>26</v>
      </c>
      <c r="L1014" s="154">
        <v>0</v>
      </c>
      <c r="N1014" s="155">
        <v>2</v>
      </c>
      <c r="O1014" s="156"/>
      <c r="P1014" s="157"/>
      <c r="Q1014" s="158"/>
      <c r="R1014" s="159">
        <v>1</v>
      </c>
      <c r="S1014" s="160"/>
      <c r="T1014" s="161"/>
      <c r="U1014" s="156"/>
      <c r="V1014" s="162"/>
      <c r="W1014" s="163"/>
      <c r="X1014" s="164"/>
      <c r="Y1014" s="159"/>
      <c r="Z1014" s="161"/>
      <c r="AA1014" s="165"/>
      <c r="AB1014" s="154" t="s">
        <v>207</v>
      </c>
      <c r="AC1014" s="154" t="s">
        <v>393</v>
      </c>
      <c r="AD1014" s="154" t="s">
        <v>265</v>
      </c>
      <c r="AE1014" s="155"/>
      <c r="AF1014" s="154" t="s">
        <v>4450</v>
      </c>
      <c r="AP1014" s="155"/>
      <c r="AQ1014" s="156"/>
      <c r="AR1014" s="157"/>
      <c r="AS1014" s="158"/>
      <c r="AT1014" s="159"/>
      <c r="AU1014" s="161"/>
      <c r="AV1014" s="156"/>
      <c r="AW1014" s="162"/>
      <c r="AX1014" s="163"/>
      <c r="AY1014" s="164"/>
      <c r="AZ1014" s="159"/>
      <c r="BA1014" s="161"/>
      <c r="BB1014" s="165"/>
      <c r="BF1014" s="155"/>
    </row>
    <row r="1015" spans="1:59" s="154" customFormat="1" ht="15" customHeight="1">
      <c r="A1015" s="168" t="s">
        <v>3819</v>
      </c>
      <c r="B1015" s="23" t="s">
        <v>3923</v>
      </c>
      <c r="C1015" s="28" t="s">
        <v>3821</v>
      </c>
      <c r="D1015" s="170">
        <v>38</v>
      </c>
      <c r="E1015" s="154">
        <v>1</v>
      </c>
      <c r="G1015" s="154" t="s">
        <v>3924</v>
      </c>
      <c r="J1015" s="154" t="s">
        <v>27</v>
      </c>
      <c r="K1015" s="154" t="s">
        <v>26</v>
      </c>
      <c r="M1015" s="154" t="s">
        <v>691</v>
      </c>
      <c r="N1015" s="155">
        <v>2</v>
      </c>
      <c r="O1015" s="156"/>
      <c r="P1015" s="157"/>
      <c r="Q1015" s="158"/>
      <c r="R1015" s="159"/>
      <c r="S1015" s="160"/>
      <c r="T1015" s="161"/>
      <c r="U1015" s="156"/>
      <c r="V1015" s="162"/>
      <c r="W1015" s="163"/>
      <c r="X1015" s="164"/>
      <c r="Y1015" s="159"/>
      <c r="Z1015" s="161"/>
      <c r="AA1015" s="165"/>
      <c r="AD1015" s="154" t="s">
        <v>4451</v>
      </c>
      <c r="AF1015" s="154" t="s">
        <v>4452</v>
      </c>
      <c r="AP1015" s="155"/>
      <c r="AQ1015" s="156"/>
      <c r="AR1015" s="157"/>
      <c r="AS1015" s="158"/>
      <c r="AT1015" s="159"/>
      <c r="AU1015" s="161"/>
      <c r="AV1015" s="156"/>
      <c r="AW1015" s="162"/>
      <c r="AX1015" s="163"/>
      <c r="AY1015" s="164"/>
      <c r="AZ1015" s="159"/>
      <c r="BA1015" s="161"/>
      <c r="BB1015" s="165"/>
      <c r="BF1015" s="155"/>
    </row>
    <row r="1016" spans="1:59" s="154" customFormat="1" ht="15" customHeight="1">
      <c r="A1016" s="168" t="s">
        <v>3819</v>
      </c>
      <c r="B1016" s="23" t="s">
        <v>3925</v>
      </c>
      <c r="C1016" s="28" t="s">
        <v>3821</v>
      </c>
      <c r="D1016" s="170">
        <v>39</v>
      </c>
      <c r="E1016" s="154">
        <v>1</v>
      </c>
      <c r="G1016" s="154" t="s">
        <v>2435</v>
      </c>
      <c r="J1016" s="154" t="s">
        <v>28</v>
      </c>
      <c r="K1016" s="154" t="s">
        <v>26</v>
      </c>
      <c r="M1016" s="154" t="s">
        <v>648</v>
      </c>
      <c r="N1016" s="155"/>
      <c r="O1016" s="156"/>
      <c r="P1016" s="157"/>
      <c r="Q1016" s="158"/>
      <c r="R1016" s="159"/>
      <c r="S1016" s="160"/>
      <c r="T1016" s="161"/>
      <c r="U1016" s="156"/>
      <c r="V1016" s="162"/>
      <c r="W1016" s="163"/>
      <c r="X1016" s="164"/>
      <c r="Y1016" s="159"/>
      <c r="Z1016" s="161"/>
      <c r="AA1016" s="165"/>
      <c r="AD1016" s="154" t="s">
        <v>4451</v>
      </c>
      <c r="AE1016" s="155"/>
      <c r="AF1016" s="154" t="s">
        <v>4453</v>
      </c>
      <c r="AP1016" s="155"/>
      <c r="AQ1016" s="156"/>
      <c r="AR1016" s="157"/>
      <c r="AS1016" s="158"/>
      <c r="AT1016" s="159"/>
      <c r="AU1016" s="161"/>
      <c r="AV1016" s="156"/>
      <c r="AW1016" s="162"/>
      <c r="AX1016" s="163"/>
      <c r="AY1016" s="164"/>
      <c r="AZ1016" s="159"/>
      <c r="BA1016" s="161"/>
      <c r="BB1016" s="165"/>
      <c r="BF1016" s="155"/>
    </row>
    <row r="1017" spans="1:59" s="154" customFormat="1" ht="15" customHeight="1">
      <c r="A1017" s="168" t="s">
        <v>3819</v>
      </c>
      <c r="B1017" s="23" t="s">
        <v>3926</v>
      </c>
      <c r="C1017" s="28" t="s">
        <v>3821</v>
      </c>
      <c r="D1017" s="170">
        <v>40</v>
      </c>
      <c r="E1017" s="154">
        <v>1</v>
      </c>
      <c r="G1017" s="154" t="s">
        <v>3927</v>
      </c>
      <c r="J1017" s="154" t="s">
        <v>28</v>
      </c>
      <c r="K1017" s="154" t="s">
        <v>26</v>
      </c>
      <c r="M1017" s="154" t="s">
        <v>691</v>
      </c>
      <c r="N1017" s="155"/>
      <c r="O1017" s="156"/>
      <c r="P1017" s="157"/>
      <c r="Q1017" s="158"/>
      <c r="R1017" s="159"/>
      <c r="S1017" s="160"/>
      <c r="T1017" s="161"/>
      <c r="U1017" s="156"/>
      <c r="V1017" s="162"/>
      <c r="W1017" s="163"/>
      <c r="X1017" s="164"/>
      <c r="Y1017" s="159"/>
      <c r="Z1017" s="161"/>
      <c r="AA1017" s="165"/>
      <c r="AD1017" s="154" t="s">
        <v>439</v>
      </c>
      <c r="AE1017" s="155"/>
      <c r="AF1017" s="154" t="s">
        <v>4454</v>
      </c>
      <c r="AP1017" s="155"/>
      <c r="AQ1017" s="156"/>
      <c r="AR1017" s="157"/>
      <c r="AS1017" s="158"/>
      <c r="AT1017" s="159"/>
      <c r="AU1017" s="161"/>
      <c r="AV1017" s="156"/>
      <c r="AW1017" s="162"/>
      <c r="AX1017" s="163"/>
      <c r="AY1017" s="164"/>
      <c r="AZ1017" s="159"/>
      <c r="BA1017" s="161"/>
      <c r="BB1017" s="165"/>
      <c r="BF1017" s="155"/>
    </row>
    <row r="1018" spans="1:59" s="154" customFormat="1" ht="15" customHeight="1">
      <c r="A1018" s="168" t="s">
        <v>3819</v>
      </c>
      <c r="B1018" s="23" t="s">
        <v>3928</v>
      </c>
      <c r="C1018" s="28" t="s">
        <v>3821</v>
      </c>
      <c r="D1018" s="170">
        <v>41</v>
      </c>
      <c r="E1018" s="154">
        <v>1</v>
      </c>
      <c r="G1018" s="154" t="s">
        <v>3929</v>
      </c>
      <c r="J1018" s="154" t="s">
        <v>28</v>
      </c>
      <c r="K1018" s="154" t="s">
        <v>26</v>
      </c>
      <c r="M1018" s="154" t="s">
        <v>648</v>
      </c>
      <c r="N1018" s="155"/>
      <c r="O1018" s="156"/>
      <c r="P1018" s="157"/>
      <c r="Q1018" s="158"/>
      <c r="R1018" s="159"/>
      <c r="S1018" s="160"/>
      <c r="T1018" s="161"/>
      <c r="U1018" s="156"/>
      <c r="V1018" s="162"/>
      <c r="W1018" s="163"/>
      <c r="X1018" s="164"/>
      <c r="Y1018" s="159"/>
      <c r="Z1018" s="161"/>
      <c r="AA1018" s="165"/>
      <c r="AD1018" s="154" t="s">
        <v>439</v>
      </c>
      <c r="AE1018" s="155"/>
      <c r="AF1018" s="154" t="s">
        <v>4455</v>
      </c>
      <c r="AP1018" s="155"/>
      <c r="AQ1018" s="156"/>
      <c r="AR1018" s="157"/>
      <c r="AS1018" s="158"/>
      <c r="AT1018" s="159"/>
      <c r="AU1018" s="161"/>
      <c r="AV1018" s="156"/>
      <c r="AW1018" s="162"/>
      <c r="AX1018" s="163"/>
      <c r="AY1018" s="164"/>
      <c r="AZ1018" s="159"/>
      <c r="BA1018" s="161"/>
      <c r="BB1018" s="165"/>
      <c r="BF1018" s="155"/>
    </row>
    <row r="1019" spans="1:59" s="154" customFormat="1" ht="15" customHeight="1">
      <c r="A1019" s="168" t="s">
        <v>3819</v>
      </c>
      <c r="B1019" s="30" t="s">
        <v>3930</v>
      </c>
      <c r="C1019" s="28" t="s">
        <v>3821</v>
      </c>
      <c r="D1019" s="170">
        <v>42</v>
      </c>
      <c r="E1019" s="154">
        <v>1</v>
      </c>
      <c r="G1019" s="154" t="s">
        <v>3931</v>
      </c>
      <c r="J1019" s="154" t="s">
        <v>28</v>
      </c>
      <c r="K1019" s="154" t="s">
        <v>26</v>
      </c>
      <c r="M1019" s="154" t="s">
        <v>648</v>
      </c>
      <c r="N1019" s="155"/>
      <c r="O1019" s="156"/>
      <c r="P1019" s="157"/>
      <c r="Q1019" s="158"/>
      <c r="R1019" s="159"/>
      <c r="S1019" s="160"/>
      <c r="T1019" s="161"/>
      <c r="U1019" s="156"/>
      <c r="V1019" s="162"/>
      <c r="W1019" s="163"/>
      <c r="X1019" s="164"/>
      <c r="Y1019" s="159"/>
      <c r="Z1019" s="161"/>
      <c r="AA1019" s="165"/>
      <c r="AD1019" s="154" t="s">
        <v>439</v>
      </c>
      <c r="AE1019" s="155"/>
      <c r="AF1019" s="154" t="s">
        <v>4456</v>
      </c>
      <c r="AP1019" s="155"/>
      <c r="AQ1019" s="156"/>
      <c r="AR1019" s="157"/>
      <c r="AS1019" s="158"/>
      <c r="AT1019" s="159"/>
      <c r="AU1019" s="161"/>
      <c r="AV1019" s="156"/>
      <c r="AW1019" s="162"/>
      <c r="AX1019" s="163"/>
      <c r="AY1019" s="164"/>
      <c r="AZ1019" s="159"/>
      <c r="BA1019" s="161"/>
      <c r="BB1019" s="165"/>
      <c r="BF1019" s="155"/>
    </row>
    <row r="1020" spans="1:59" s="154" customFormat="1" ht="15" customHeight="1">
      <c r="A1020" s="168" t="s">
        <v>3819</v>
      </c>
      <c r="B1020" s="23" t="s">
        <v>3932</v>
      </c>
      <c r="C1020" s="28" t="s">
        <v>3821</v>
      </c>
      <c r="D1020" s="170">
        <v>43</v>
      </c>
      <c r="E1020" s="154">
        <v>1</v>
      </c>
      <c r="F1020" s="154" t="s">
        <v>3933</v>
      </c>
      <c r="G1020" s="154" t="s">
        <v>3933</v>
      </c>
      <c r="J1020" s="154" t="s">
        <v>618</v>
      </c>
      <c r="K1020" s="154" t="s">
        <v>2426</v>
      </c>
      <c r="N1020" s="155"/>
      <c r="O1020" s="156"/>
      <c r="P1020" s="157"/>
      <c r="Q1020" s="158"/>
      <c r="R1020" s="159"/>
      <c r="S1020" s="160"/>
      <c r="T1020" s="161"/>
      <c r="U1020" s="156"/>
      <c r="V1020" s="162"/>
      <c r="W1020" s="163"/>
      <c r="X1020" s="164"/>
      <c r="Y1020" s="159"/>
      <c r="Z1020" s="161"/>
      <c r="AA1020" s="165"/>
      <c r="AE1020" s="155"/>
      <c r="AF1020" s="154" t="s">
        <v>4457</v>
      </c>
      <c r="AI1020" s="171" t="s">
        <v>3933</v>
      </c>
      <c r="AJ1020" s="171"/>
      <c r="AL1020" s="154" t="s">
        <v>618</v>
      </c>
      <c r="AM1020" s="154" t="s">
        <v>2426</v>
      </c>
      <c r="AO1020" s="155"/>
      <c r="AQ1020" s="173"/>
      <c r="AR1020" s="174"/>
      <c r="AS1020" s="175"/>
      <c r="AT1020" s="159"/>
      <c r="AU1020" s="161"/>
      <c r="AV1020" s="173"/>
      <c r="AW1020" s="176"/>
      <c r="AX1020" s="177"/>
      <c r="AY1020" s="178"/>
      <c r="AZ1020" s="159"/>
      <c r="BA1020" s="161"/>
      <c r="BB1020" s="160"/>
      <c r="BE1020" s="155"/>
      <c r="BG1020" s="154" t="s">
        <v>4458</v>
      </c>
    </row>
    <row r="1021" spans="1:59" s="154" customFormat="1" ht="15" customHeight="1">
      <c r="A1021" s="168" t="s">
        <v>3819</v>
      </c>
      <c r="B1021" s="23" t="s">
        <v>3934</v>
      </c>
      <c r="C1021" s="28" t="s">
        <v>3821</v>
      </c>
      <c r="D1021" s="170">
        <v>44</v>
      </c>
      <c r="E1021" s="154">
        <v>1</v>
      </c>
      <c r="F1021" s="154" t="s">
        <v>3933</v>
      </c>
      <c r="G1021" s="154" t="s">
        <v>3935</v>
      </c>
      <c r="J1021" s="154" t="s">
        <v>619</v>
      </c>
      <c r="K1021" s="154" t="s">
        <v>2426</v>
      </c>
      <c r="L1021" s="154">
        <v>1</v>
      </c>
      <c r="N1021" s="155"/>
      <c r="O1021" s="156"/>
      <c r="P1021" s="157"/>
      <c r="Q1021" s="158"/>
      <c r="R1021" s="159"/>
      <c r="S1021" s="160"/>
      <c r="T1021" s="161"/>
      <c r="U1021" s="156"/>
      <c r="V1021" s="162"/>
      <c r="W1021" s="163"/>
      <c r="X1021" s="164"/>
      <c r="Y1021" s="159"/>
      <c r="Z1021" s="161">
        <v>6</v>
      </c>
      <c r="AA1021" s="165"/>
      <c r="AE1021" s="155"/>
      <c r="AF1021" s="154" t="s">
        <v>3936</v>
      </c>
      <c r="AI1021" s="154" t="s">
        <v>4573</v>
      </c>
      <c r="AL1021" s="154" t="s">
        <v>619</v>
      </c>
      <c r="AM1021" s="154" t="s">
        <v>2426</v>
      </c>
      <c r="AN1021" s="154">
        <v>1</v>
      </c>
      <c r="AP1021" s="155"/>
      <c r="AQ1021" s="156"/>
      <c r="AR1021" s="157"/>
      <c r="AS1021" s="158"/>
      <c r="AT1021" s="159"/>
      <c r="AU1021" s="161"/>
      <c r="AV1021" s="156"/>
      <c r="AW1021" s="162"/>
      <c r="AX1021" s="163"/>
      <c r="AY1021" s="164"/>
      <c r="AZ1021" s="159"/>
      <c r="BA1021" s="161"/>
      <c r="BB1021" s="165"/>
      <c r="BF1021" s="155"/>
      <c r="BG1021" s="154" t="s">
        <v>4459</v>
      </c>
    </row>
    <row r="1022" spans="1:59" s="154" customFormat="1" ht="15" customHeight="1">
      <c r="A1022" s="168" t="s">
        <v>3819</v>
      </c>
      <c r="B1022" s="23" t="s">
        <v>3937</v>
      </c>
      <c r="C1022" s="28" t="s">
        <v>3821</v>
      </c>
      <c r="D1022" s="170">
        <v>45</v>
      </c>
      <c r="E1022" s="154">
        <v>1</v>
      </c>
      <c r="F1022" s="154" t="s">
        <v>3933</v>
      </c>
      <c r="G1022" s="154" t="s">
        <v>3938</v>
      </c>
      <c r="J1022" s="154" t="s">
        <v>619</v>
      </c>
      <c r="K1022" s="154" t="s">
        <v>2426</v>
      </c>
      <c r="L1022" s="154">
        <v>2</v>
      </c>
      <c r="N1022" s="155"/>
      <c r="O1022" s="156"/>
      <c r="P1022" s="157"/>
      <c r="Q1022" s="158"/>
      <c r="R1022" s="159"/>
      <c r="S1022" s="160"/>
      <c r="T1022" s="161"/>
      <c r="U1022" s="156"/>
      <c r="V1022" s="162"/>
      <c r="W1022" s="163"/>
      <c r="X1022" s="164"/>
      <c r="Y1022" s="159"/>
      <c r="Z1022" s="161">
        <v>9</v>
      </c>
      <c r="AA1022" s="165"/>
      <c r="AE1022" s="155"/>
      <c r="AF1022" s="154" t="s">
        <v>3936</v>
      </c>
      <c r="AI1022" s="154" t="s">
        <v>4574</v>
      </c>
      <c r="AL1022" s="154" t="s">
        <v>619</v>
      </c>
      <c r="AM1022" s="154" t="s">
        <v>2426</v>
      </c>
      <c r="AN1022" s="154">
        <v>2</v>
      </c>
      <c r="AP1022" s="155"/>
      <c r="AQ1022" s="156"/>
      <c r="AR1022" s="157"/>
      <c r="AS1022" s="158"/>
      <c r="AT1022" s="159"/>
      <c r="AU1022" s="161"/>
      <c r="AV1022" s="156"/>
      <c r="AW1022" s="162"/>
      <c r="AX1022" s="163"/>
      <c r="AY1022" s="164"/>
      <c r="AZ1022" s="159"/>
      <c r="BA1022" s="161"/>
      <c r="BB1022" s="165"/>
      <c r="BF1022" s="155"/>
      <c r="BG1022" s="154" t="s">
        <v>3939</v>
      </c>
    </row>
    <row r="1023" spans="1:59" s="154" customFormat="1" ht="15" customHeight="1">
      <c r="A1023" s="168" t="s">
        <v>3819</v>
      </c>
      <c r="B1023" s="23" t="s">
        <v>3940</v>
      </c>
      <c r="C1023" s="28" t="s">
        <v>3821</v>
      </c>
      <c r="D1023" s="170">
        <v>46</v>
      </c>
      <c r="E1023" s="154">
        <v>1</v>
      </c>
      <c r="F1023" s="154" t="s">
        <v>3933</v>
      </c>
      <c r="G1023" s="154" t="s">
        <v>3941</v>
      </c>
      <c r="J1023" s="154" t="s">
        <v>621</v>
      </c>
      <c r="K1023" s="154" t="s">
        <v>2426</v>
      </c>
      <c r="L1023" s="154">
        <v>1</v>
      </c>
      <c r="N1023" s="155"/>
      <c r="O1023" s="156"/>
      <c r="P1023" s="157"/>
      <c r="Q1023" s="158"/>
      <c r="R1023" s="159"/>
      <c r="S1023" s="160"/>
      <c r="T1023" s="161"/>
      <c r="U1023" s="156"/>
      <c r="V1023" s="162"/>
      <c r="W1023" s="163"/>
      <c r="X1023" s="164"/>
      <c r="Y1023" s="159" t="s">
        <v>1112</v>
      </c>
      <c r="Z1023" s="161"/>
      <c r="AA1023" s="165"/>
      <c r="AE1023" s="155"/>
      <c r="AF1023" s="154" t="s">
        <v>4460</v>
      </c>
      <c r="AI1023" s="154" t="s">
        <v>4575</v>
      </c>
      <c r="AL1023" s="154" t="s">
        <v>621</v>
      </c>
      <c r="AM1023" s="154" t="s">
        <v>2426</v>
      </c>
      <c r="AN1023" s="154">
        <v>1</v>
      </c>
      <c r="AP1023" s="155"/>
      <c r="AQ1023" s="156"/>
      <c r="AR1023" s="157"/>
      <c r="AS1023" s="158"/>
      <c r="AT1023" s="159"/>
      <c r="AU1023" s="161"/>
      <c r="AV1023" s="156"/>
      <c r="AW1023" s="162"/>
      <c r="AX1023" s="163"/>
      <c r="AY1023" s="164"/>
      <c r="AZ1023" s="159"/>
      <c r="BA1023" s="161"/>
      <c r="BB1023" s="165"/>
      <c r="BF1023" s="155"/>
      <c r="BG1023" s="154" t="s">
        <v>4461</v>
      </c>
    </row>
    <row r="1024" spans="1:59" s="154" customFormat="1" ht="15" customHeight="1">
      <c r="A1024" s="168" t="s">
        <v>3819</v>
      </c>
      <c r="B1024" s="23" t="s">
        <v>3942</v>
      </c>
      <c r="C1024" s="28" t="s">
        <v>3821</v>
      </c>
      <c r="D1024" s="170">
        <v>47</v>
      </c>
      <c r="E1024" s="154">
        <v>1</v>
      </c>
      <c r="F1024" s="154" t="s">
        <v>3933</v>
      </c>
      <c r="G1024" s="154" t="s">
        <v>3943</v>
      </c>
      <c r="J1024" s="154" t="s">
        <v>621</v>
      </c>
      <c r="K1024" s="154" t="s">
        <v>2426</v>
      </c>
      <c r="L1024" s="154">
        <v>2</v>
      </c>
      <c r="N1024" s="155"/>
      <c r="O1024" s="156"/>
      <c r="P1024" s="157"/>
      <c r="Q1024" s="158"/>
      <c r="R1024" s="159"/>
      <c r="S1024" s="160"/>
      <c r="T1024" s="161"/>
      <c r="U1024" s="156"/>
      <c r="V1024" s="162"/>
      <c r="W1024" s="163"/>
      <c r="X1024" s="164"/>
      <c r="Y1024" s="159" t="s">
        <v>38</v>
      </c>
      <c r="Z1024" s="161"/>
      <c r="AA1024" s="165"/>
      <c r="AE1024" s="155"/>
      <c r="AF1024" s="154" t="s">
        <v>4554</v>
      </c>
      <c r="AI1024" s="154" t="s">
        <v>4576</v>
      </c>
      <c r="AL1024" s="154" t="s">
        <v>621</v>
      </c>
      <c r="AM1024" s="154" t="s">
        <v>2426</v>
      </c>
      <c r="AN1024" s="154">
        <v>2</v>
      </c>
      <c r="AP1024" s="155"/>
      <c r="AQ1024" s="156"/>
      <c r="AR1024" s="157"/>
      <c r="AS1024" s="158"/>
      <c r="AT1024" s="159"/>
      <c r="AU1024" s="161"/>
      <c r="AV1024" s="156"/>
      <c r="AW1024" s="162"/>
      <c r="AX1024" s="163"/>
      <c r="AY1024" s="164"/>
      <c r="AZ1024" s="159"/>
      <c r="BA1024" s="161"/>
      <c r="BB1024" s="165"/>
      <c r="BF1024" s="155"/>
      <c r="BG1024" s="154" t="s">
        <v>4559</v>
      </c>
    </row>
    <row r="1025" spans="1:59" s="154" customFormat="1" ht="15" customHeight="1">
      <c r="A1025" s="168" t="s">
        <v>3819</v>
      </c>
      <c r="B1025" s="23" t="s">
        <v>3944</v>
      </c>
      <c r="C1025" s="28" t="s">
        <v>3821</v>
      </c>
      <c r="D1025" s="170">
        <v>48</v>
      </c>
      <c r="E1025" s="154">
        <v>1</v>
      </c>
      <c r="F1025" s="154" t="s">
        <v>3933</v>
      </c>
      <c r="G1025" s="154" t="s">
        <v>3945</v>
      </c>
      <c r="J1025" s="154" t="s">
        <v>621</v>
      </c>
      <c r="K1025" s="154" t="s">
        <v>2426</v>
      </c>
      <c r="L1025" s="154">
        <v>3</v>
      </c>
      <c r="N1025" s="155"/>
      <c r="O1025" s="156"/>
      <c r="P1025" s="157"/>
      <c r="Q1025" s="158"/>
      <c r="R1025" s="159"/>
      <c r="S1025" s="160"/>
      <c r="T1025" s="161"/>
      <c r="U1025" s="156"/>
      <c r="V1025" s="162"/>
      <c r="W1025" s="163"/>
      <c r="X1025" s="164"/>
      <c r="Y1025" s="159" t="s">
        <v>1112</v>
      </c>
      <c r="Z1025" s="161"/>
      <c r="AA1025" s="165"/>
      <c r="AE1025" s="155"/>
      <c r="AF1025" s="154" t="s">
        <v>4462</v>
      </c>
      <c r="AI1025" s="154" t="s">
        <v>4577</v>
      </c>
      <c r="AL1025" s="154" t="s">
        <v>621</v>
      </c>
      <c r="AM1025" s="154" t="s">
        <v>2426</v>
      </c>
      <c r="AN1025" s="154">
        <v>3</v>
      </c>
      <c r="AP1025" s="155"/>
      <c r="AQ1025" s="156"/>
      <c r="AR1025" s="157"/>
      <c r="AS1025" s="158"/>
      <c r="AT1025" s="159"/>
      <c r="AU1025" s="161"/>
      <c r="AV1025" s="156"/>
      <c r="AW1025" s="162"/>
      <c r="AX1025" s="163"/>
      <c r="AY1025" s="164"/>
      <c r="AZ1025" s="159"/>
      <c r="BA1025" s="161"/>
      <c r="BB1025" s="165"/>
      <c r="BF1025" s="155"/>
      <c r="BG1025" s="154" t="s">
        <v>4555</v>
      </c>
    </row>
    <row r="1026" spans="1:59" s="154" customFormat="1" ht="15" customHeight="1">
      <c r="A1026" s="168" t="s">
        <v>3819</v>
      </c>
      <c r="B1026" s="23" t="s">
        <v>3946</v>
      </c>
      <c r="C1026" s="28" t="s">
        <v>3821</v>
      </c>
      <c r="D1026" s="170">
        <v>49</v>
      </c>
      <c r="E1026" s="154">
        <v>1</v>
      </c>
      <c r="F1026" s="154" t="s">
        <v>3933</v>
      </c>
      <c r="G1026" s="154" t="s">
        <v>3947</v>
      </c>
      <c r="J1026" s="154" t="s">
        <v>621</v>
      </c>
      <c r="K1026" s="154" t="s">
        <v>2426</v>
      </c>
      <c r="L1026" s="154">
        <v>3</v>
      </c>
      <c r="N1026" s="155"/>
      <c r="O1026" s="156"/>
      <c r="P1026" s="157"/>
      <c r="Q1026" s="158"/>
      <c r="R1026" s="159"/>
      <c r="S1026" s="160"/>
      <c r="T1026" s="161"/>
      <c r="U1026" s="156"/>
      <c r="V1026" s="162"/>
      <c r="W1026" s="163"/>
      <c r="X1026" s="164"/>
      <c r="Y1026" s="159" t="s">
        <v>1111</v>
      </c>
      <c r="Z1026" s="161"/>
      <c r="AA1026" s="165"/>
      <c r="AE1026" s="155"/>
      <c r="AF1026" s="154" t="s">
        <v>4463</v>
      </c>
      <c r="AI1026" s="154" t="s">
        <v>4577</v>
      </c>
      <c r="AL1026" s="154" t="s">
        <v>621</v>
      </c>
      <c r="AM1026" s="154" t="s">
        <v>2426</v>
      </c>
      <c r="AN1026" s="154">
        <v>3</v>
      </c>
      <c r="AP1026" s="155"/>
      <c r="AQ1026" s="156"/>
      <c r="AR1026" s="157"/>
      <c r="AS1026" s="158"/>
      <c r="AT1026" s="159"/>
      <c r="AU1026" s="161"/>
      <c r="AV1026" s="156"/>
      <c r="AW1026" s="162"/>
      <c r="AX1026" s="163"/>
      <c r="AY1026" s="164"/>
      <c r="AZ1026" s="159"/>
      <c r="BA1026" s="161"/>
      <c r="BB1026" s="165"/>
      <c r="BF1026" s="155"/>
      <c r="BG1026" s="154" t="s">
        <v>4556</v>
      </c>
    </row>
    <row r="1027" spans="1:59" s="154" customFormat="1" ht="15" customHeight="1">
      <c r="A1027" s="168" t="s">
        <v>3819</v>
      </c>
      <c r="B1027" s="23" t="s">
        <v>3948</v>
      </c>
      <c r="C1027" s="28" t="s">
        <v>3821</v>
      </c>
      <c r="D1027" s="155">
        <v>50</v>
      </c>
      <c r="E1027" s="154">
        <v>1</v>
      </c>
      <c r="F1027" s="154" t="s">
        <v>3933</v>
      </c>
      <c r="G1027" s="154" t="s">
        <v>3949</v>
      </c>
      <c r="J1027" s="154" t="s">
        <v>31</v>
      </c>
      <c r="K1027" s="154" t="s">
        <v>2426</v>
      </c>
      <c r="N1027" s="155"/>
      <c r="O1027" s="156"/>
      <c r="P1027" s="157"/>
      <c r="Q1027" s="158"/>
      <c r="R1027" s="159"/>
      <c r="S1027" s="160"/>
      <c r="T1027" s="161"/>
      <c r="U1027" s="156"/>
      <c r="V1027" s="162"/>
      <c r="W1027" s="163"/>
      <c r="X1027" s="164"/>
      <c r="Y1027" s="159"/>
      <c r="Z1027" s="161"/>
      <c r="AA1027" s="165"/>
      <c r="AD1027" s="154" t="s">
        <v>3950</v>
      </c>
      <c r="AE1027" s="155"/>
      <c r="AI1027" s="154" t="s">
        <v>3949</v>
      </c>
      <c r="AL1027" s="154" t="s">
        <v>31</v>
      </c>
      <c r="AM1027" s="154" t="s">
        <v>2426</v>
      </c>
      <c r="AP1027" s="155"/>
      <c r="AQ1027" s="156"/>
      <c r="AR1027" s="157"/>
      <c r="AS1027" s="158"/>
      <c r="AT1027" s="159"/>
      <c r="AU1027" s="161"/>
      <c r="AV1027" s="156"/>
      <c r="AW1027" s="162"/>
      <c r="AX1027" s="163"/>
      <c r="AY1027" s="164">
        <v>1</v>
      </c>
      <c r="AZ1027" s="159">
        <v>0</v>
      </c>
      <c r="BA1027" s="161"/>
      <c r="BB1027" s="165"/>
      <c r="BE1027" s="154" t="s">
        <v>3950</v>
      </c>
      <c r="BF1027" s="155"/>
      <c r="BG1027" s="154" t="s">
        <v>4464</v>
      </c>
    </row>
    <row r="1028" spans="1:59" s="154" customFormat="1" ht="15" customHeight="1">
      <c r="A1028" s="168" t="s">
        <v>3819</v>
      </c>
      <c r="B1028" s="23" t="s">
        <v>3951</v>
      </c>
      <c r="C1028" s="28" t="s">
        <v>3821</v>
      </c>
      <c r="D1028" s="155">
        <v>51</v>
      </c>
      <c r="E1028" s="154">
        <v>1</v>
      </c>
      <c r="F1028" s="154" t="s">
        <v>3933</v>
      </c>
      <c r="G1028" s="154" t="s">
        <v>3952</v>
      </c>
      <c r="H1028" s="154" t="s">
        <v>3953</v>
      </c>
      <c r="I1028" s="154" t="s">
        <v>223</v>
      </c>
      <c r="J1028" s="154" t="s">
        <v>257</v>
      </c>
      <c r="K1028" s="154" t="s">
        <v>26</v>
      </c>
      <c r="N1028" s="155">
        <v>2</v>
      </c>
      <c r="O1028" s="156">
        <v>1</v>
      </c>
      <c r="P1028" s="157">
        <v>1</v>
      </c>
      <c r="Q1028" s="158"/>
      <c r="R1028" s="159"/>
      <c r="S1028" s="160">
        <v>1</v>
      </c>
      <c r="T1028" s="161">
        <v>2</v>
      </c>
      <c r="U1028" s="156">
        <v>2</v>
      </c>
      <c r="V1028" s="162"/>
      <c r="W1028" s="163"/>
      <c r="X1028" s="164"/>
      <c r="Y1028" s="159"/>
      <c r="Z1028" s="161"/>
      <c r="AA1028" s="165"/>
      <c r="AB1028" s="154" t="s">
        <v>1079</v>
      </c>
      <c r="AC1028" s="154" t="s">
        <v>25</v>
      </c>
      <c r="AD1028" s="154" t="s">
        <v>3842</v>
      </c>
      <c r="AE1028" s="155"/>
      <c r="AF1028" s="154" t="s">
        <v>4465</v>
      </c>
      <c r="AP1028" s="155"/>
      <c r="AQ1028" s="156"/>
      <c r="AR1028" s="157"/>
      <c r="AS1028" s="158"/>
      <c r="AT1028" s="159"/>
      <c r="AU1028" s="161"/>
      <c r="AV1028" s="156"/>
      <c r="AW1028" s="162"/>
      <c r="AX1028" s="163"/>
      <c r="AY1028" s="164"/>
      <c r="AZ1028" s="159"/>
      <c r="BA1028" s="161"/>
      <c r="BB1028" s="165"/>
      <c r="BF1028" s="155"/>
    </row>
    <row r="1029" spans="1:59" s="154" customFormat="1" ht="15" customHeight="1">
      <c r="A1029" s="168" t="s">
        <v>3819</v>
      </c>
      <c r="B1029" s="23" t="s">
        <v>3954</v>
      </c>
      <c r="C1029" s="28" t="s">
        <v>3821</v>
      </c>
      <c r="D1029" s="155">
        <v>52</v>
      </c>
      <c r="E1029" s="154">
        <v>1</v>
      </c>
      <c r="F1029" s="154" t="s">
        <v>3933</v>
      </c>
      <c r="G1029" s="154" t="s">
        <v>3955</v>
      </c>
      <c r="H1029" s="154" t="s">
        <v>3956</v>
      </c>
      <c r="I1029" s="154" t="s">
        <v>223</v>
      </c>
      <c r="J1029" s="154" t="s">
        <v>29</v>
      </c>
      <c r="K1029" s="154" t="s">
        <v>2426</v>
      </c>
      <c r="N1029" s="155"/>
      <c r="O1029" s="156"/>
      <c r="P1029" s="157"/>
      <c r="Q1029" s="158">
        <v>5</v>
      </c>
      <c r="R1029" s="159">
        <v>4</v>
      </c>
      <c r="S1029" s="160"/>
      <c r="T1029" s="161">
        <v>4</v>
      </c>
      <c r="U1029" s="156"/>
      <c r="V1029" s="162">
        <v>2</v>
      </c>
      <c r="W1029" s="163"/>
      <c r="X1029" s="164"/>
      <c r="Y1029" s="159"/>
      <c r="Z1029" s="161"/>
      <c r="AA1029" s="165">
        <v>1</v>
      </c>
      <c r="AD1029" s="154" t="s">
        <v>3957</v>
      </c>
      <c r="AE1029" s="155"/>
      <c r="AF1029" s="154" t="s">
        <v>4466</v>
      </c>
      <c r="AP1029" s="155"/>
      <c r="AQ1029" s="156"/>
      <c r="AR1029" s="157"/>
      <c r="AS1029" s="158"/>
      <c r="AT1029" s="159"/>
      <c r="AU1029" s="161"/>
      <c r="AV1029" s="156"/>
      <c r="AW1029" s="162"/>
      <c r="AX1029" s="163"/>
      <c r="AY1029" s="164"/>
      <c r="AZ1029" s="159"/>
      <c r="BA1029" s="161"/>
      <c r="BB1029" s="165"/>
      <c r="BF1029" s="155"/>
    </row>
    <row r="1030" spans="1:59" s="154" customFormat="1" ht="15" customHeight="1">
      <c r="A1030" s="168" t="s">
        <v>3819</v>
      </c>
      <c r="B1030" s="23" t="s">
        <v>3958</v>
      </c>
      <c r="C1030" s="28" t="s">
        <v>3821</v>
      </c>
      <c r="D1030" s="155">
        <v>53</v>
      </c>
      <c r="E1030" s="154">
        <v>1</v>
      </c>
      <c r="F1030" s="154" t="s">
        <v>3933</v>
      </c>
      <c r="G1030" s="154" t="s">
        <v>3959</v>
      </c>
      <c r="J1030" s="154" t="s">
        <v>31</v>
      </c>
      <c r="K1030" s="154" t="s">
        <v>2426</v>
      </c>
      <c r="N1030" s="155"/>
      <c r="O1030" s="156"/>
      <c r="P1030" s="157"/>
      <c r="Q1030" s="158"/>
      <c r="R1030" s="159"/>
      <c r="S1030" s="160"/>
      <c r="T1030" s="161"/>
      <c r="U1030" s="156"/>
      <c r="V1030" s="162"/>
      <c r="W1030" s="163"/>
      <c r="X1030" s="164">
        <v>3</v>
      </c>
      <c r="Y1030" s="159" t="s">
        <v>1111</v>
      </c>
      <c r="Z1030" s="161"/>
      <c r="AA1030" s="165">
        <v>2</v>
      </c>
      <c r="AD1030" s="154" t="s">
        <v>3960</v>
      </c>
      <c r="AE1030" s="155"/>
      <c r="AF1030" s="154" t="s">
        <v>4467</v>
      </c>
      <c r="AP1030" s="155"/>
      <c r="AQ1030" s="156"/>
      <c r="AR1030" s="157"/>
      <c r="AS1030" s="158"/>
      <c r="AT1030" s="159"/>
      <c r="AU1030" s="161"/>
      <c r="AV1030" s="156"/>
      <c r="AW1030" s="162"/>
      <c r="AX1030" s="163"/>
      <c r="AY1030" s="164"/>
      <c r="AZ1030" s="159"/>
      <c r="BA1030" s="161"/>
      <c r="BB1030" s="165"/>
      <c r="BF1030" s="155"/>
    </row>
    <row r="1031" spans="1:59" s="154" customFormat="1" ht="15" customHeight="1">
      <c r="A1031" s="168" t="s">
        <v>3819</v>
      </c>
      <c r="B1031" s="23" t="s">
        <v>3961</v>
      </c>
      <c r="C1031" s="28" t="s">
        <v>3821</v>
      </c>
      <c r="D1031" s="155">
        <v>54</v>
      </c>
      <c r="E1031" s="154">
        <v>1</v>
      </c>
      <c r="F1031" s="154" t="s">
        <v>3962</v>
      </c>
      <c r="G1031" s="154" t="s">
        <v>3962</v>
      </c>
      <c r="J1031" s="154" t="s">
        <v>618</v>
      </c>
      <c r="K1031" s="154" t="s">
        <v>2426</v>
      </c>
      <c r="N1031" s="155"/>
      <c r="O1031" s="156"/>
      <c r="P1031" s="157"/>
      <c r="Q1031" s="158"/>
      <c r="R1031" s="159"/>
      <c r="S1031" s="160"/>
      <c r="T1031" s="161"/>
      <c r="U1031" s="156"/>
      <c r="V1031" s="162"/>
      <c r="W1031" s="163"/>
      <c r="X1031" s="164"/>
      <c r="Y1031" s="159"/>
      <c r="Z1031" s="161"/>
      <c r="AA1031" s="165"/>
      <c r="AE1031" s="155"/>
      <c r="AF1031" s="154" t="s">
        <v>4468</v>
      </c>
      <c r="AI1031" s="154" t="s">
        <v>3962</v>
      </c>
      <c r="AJ1031" s="171"/>
      <c r="AL1031" s="154" t="s">
        <v>618</v>
      </c>
      <c r="AM1031" s="154" t="s">
        <v>2426</v>
      </c>
      <c r="AP1031" s="155"/>
      <c r="AQ1031" s="156"/>
      <c r="AR1031" s="157"/>
      <c r="AS1031" s="158"/>
      <c r="AT1031" s="159"/>
      <c r="AU1031" s="161"/>
      <c r="AV1031" s="156"/>
      <c r="AW1031" s="162"/>
      <c r="AX1031" s="163"/>
      <c r="AY1031" s="164"/>
      <c r="AZ1031" s="159"/>
      <c r="BA1031" s="161"/>
      <c r="BB1031" s="165"/>
      <c r="BF1031" s="155"/>
      <c r="BG1031" s="154" t="s">
        <v>4469</v>
      </c>
    </row>
    <row r="1032" spans="1:59" s="154" customFormat="1" ht="15" customHeight="1">
      <c r="A1032" s="168" t="s">
        <v>3819</v>
      </c>
      <c r="B1032" s="23" t="s">
        <v>3963</v>
      </c>
      <c r="C1032" s="28" t="s">
        <v>3821</v>
      </c>
      <c r="D1032" s="155">
        <v>55</v>
      </c>
      <c r="E1032" s="154">
        <v>1</v>
      </c>
      <c r="F1032" s="154" t="s">
        <v>3962</v>
      </c>
      <c r="G1032" s="154" t="s">
        <v>3964</v>
      </c>
      <c r="J1032" s="154" t="s">
        <v>619</v>
      </c>
      <c r="K1032" s="154" t="s">
        <v>2426</v>
      </c>
      <c r="L1032" s="154">
        <v>1</v>
      </c>
      <c r="N1032" s="155"/>
      <c r="O1032" s="156"/>
      <c r="P1032" s="157"/>
      <c r="Q1032" s="158"/>
      <c r="R1032" s="159"/>
      <c r="S1032" s="160"/>
      <c r="T1032" s="161"/>
      <c r="U1032" s="156"/>
      <c r="V1032" s="162"/>
      <c r="W1032" s="163"/>
      <c r="X1032" s="164"/>
      <c r="Y1032" s="159"/>
      <c r="Z1032" s="161">
        <v>6</v>
      </c>
      <c r="AA1032" s="165"/>
      <c r="AE1032" s="155"/>
      <c r="AF1032" s="154" t="s">
        <v>4557</v>
      </c>
      <c r="AI1032" s="154" t="s">
        <v>4578</v>
      </c>
      <c r="AL1032" s="154" t="s">
        <v>619</v>
      </c>
      <c r="AM1032" s="154" t="s">
        <v>2426</v>
      </c>
      <c r="AN1032" s="154">
        <v>1</v>
      </c>
      <c r="AP1032" s="155"/>
      <c r="AQ1032" s="156"/>
      <c r="AR1032" s="157"/>
      <c r="AS1032" s="158"/>
      <c r="AT1032" s="159"/>
      <c r="AU1032" s="161"/>
      <c r="AV1032" s="156"/>
      <c r="AW1032" s="162"/>
      <c r="AX1032" s="163"/>
      <c r="AY1032" s="164"/>
      <c r="AZ1032" s="159"/>
      <c r="BA1032" s="161"/>
      <c r="BB1032" s="165"/>
      <c r="BF1032" s="155"/>
      <c r="BG1032" s="154" t="s">
        <v>3965</v>
      </c>
    </row>
    <row r="1033" spans="1:59" s="154" customFormat="1" ht="15" customHeight="1">
      <c r="A1033" s="168" t="s">
        <v>3819</v>
      </c>
      <c r="B1033" s="23" t="s">
        <v>3966</v>
      </c>
      <c r="C1033" s="28" t="s">
        <v>3821</v>
      </c>
      <c r="D1033" s="155">
        <v>56</v>
      </c>
      <c r="E1033" s="154">
        <v>1</v>
      </c>
      <c r="F1033" s="154" t="s">
        <v>3962</v>
      </c>
      <c r="G1033" s="154" t="s">
        <v>3967</v>
      </c>
      <c r="J1033" s="154" t="s">
        <v>619</v>
      </c>
      <c r="K1033" s="154" t="s">
        <v>2426</v>
      </c>
      <c r="L1033" s="154">
        <v>2</v>
      </c>
      <c r="N1033" s="155"/>
      <c r="O1033" s="156"/>
      <c r="P1033" s="157"/>
      <c r="Q1033" s="158"/>
      <c r="R1033" s="159"/>
      <c r="S1033" s="160"/>
      <c r="T1033" s="161"/>
      <c r="U1033" s="156"/>
      <c r="V1033" s="162"/>
      <c r="W1033" s="163"/>
      <c r="X1033" s="164"/>
      <c r="Y1033" s="159"/>
      <c r="Z1033" s="161">
        <v>12</v>
      </c>
      <c r="AA1033" s="165"/>
      <c r="AE1033" s="155"/>
      <c r="AF1033" s="154" t="s">
        <v>4558</v>
      </c>
      <c r="AI1033" s="154" t="s">
        <v>4579</v>
      </c>
      <c r="AL1033" s="154" t="s">
        <v>619</v>
      </c>
      <c r="AM1033" s="154" t="s">
        <v>2426</v>
      </c>
      <c r="AN1033" s="154">
        <v>2</v>
      </c>
      <c r="AP1033" s="155"/>
      <c r="AQ1033" s="156"/>
      <c r="AR1033" s="157"/>
      <c r="AS1033" s="158"/>
      <c r="AT1033" s="159"/>
      <c r="AU1033" s="161"/>
      <c r="AV1033" s="156"/>
      <c r="AW1033" s="162"/>
      <c r="AX1033" s="163"/>
      <c r="AY1033" s="164"/>
      <c r="AZ1033" s="159"/>
      <c r="BA1033" s="161"/>
      <c r="BB1033" s="165"/>
      <c r="BF1033" s="155"/>
      <c r="BG1033" s="154" t="s">
        <v>3968</v>
      </c>
    </row>
    <row r="1034" spans="1:59" s="154" customFormat="1" ht="15" customHeight="1">
      <c r="A1034" s="168" t="s">
        <v>3819</v>
      </c>
      <c r="B1034" s="23" t="s">
        <v>3969</v>
      </c>
      <c r="C1034" s="28" t="s">
        <v>3821</v>
      </c>
      <c r="D1034" s="155">
        <v>57</v>
      </c>
      <c r="E1034" s="154">
        <v>1</v>
      </c>
      <c r="F1034" s="154" t="s">
        <v>3962</v>
      </c>
      <c r="G1034" s="154" t="s">
        <v>3970</v>
      </c>
      <c r="J1034" s="154" t="s">
        <v>621</v>
      </c>
      <c r="K1034" s="154" t="s">
        <v>2426</v>
      </c>
      <c r="L1034" s="154">
        <v>1</v>
      </c>
      <c r="N1034" s="155"/>
      <c r="O1034" s="156"/>
      <c r="P1034" s="157"/>
      <c r="Q1034" s="158"/>
      <c r="R1034" s="159"/>
      <c r="S1034" s="160"/>
      <c r="T1034" s="161"/>
      <c r="U1034" s="156"/>
      <c r="V1034" s="162"/>
      <c r="W1034" s="163"/>
      <c r="X1034" s="164"/>
      <c r="Y1034" s="159" t="s">
        <v>1112</v>
      </c>
      <c r="Z1034" s="161"/>
      <c r="AA1034" s="165"/>
      <c r="AE1034" s="155"/>
      <c r="AF1034" s="154" t="s">
        <v>3936</v>
      </c>
      <c r="AI1034" s="154" t="s">
        <v>4580</v>
      </c>
      <c r="AL1034" s="154" t="s">
        <v>621</v>
      </c>
      <c r="AM1034" s="154" t="s">
        <v>2426</v>
      </c>
      <c r="AN1034" s="154">
        <v>1</v>
      </c>
      <c r="AP1034" s="155"/>
      <c r="AQ1034" s="156"/>
      <c r="AR1034" s="157"/>
      <c r="AS1034" s="158"/>
      <c r="AT1034" s="159"/>
      <c r="AU1034" s="161"/>
      <c r="AV1034" s="156"/>
      <c r="AW1034" s="162"/>
      <c r="AX1034" s="163"/>
      <c r="AY1034" s="164"/>
      <c r="AZ1034" s="159"/>
      <c r="BA1034" s="161"/>
      <c r="BB1034" s="165"/>
      <c r="BF1034" s="155"/>
      <c r="BG1034" s="154" t="s">
        <v>4560</v>
      </c>
    </row>
    <row r="1035" spans="1:59" s="154" customFormat="1" ht="15" customHeight="1">
      <c r="A1035" s="168" t="s">
        <v>3819</v>
      </c>
      <c r="B1035" s="23" t="s">
        <v>3971</v>
      </c>
      <c r="C1035" s="28" t="s">
        <v>3821</v>
      </c>
      <c r="D1035" s="155">
        <v>58</v>
      </c>
      <c r="E1035" s="154">
        <v>1</v>
      </c>
      <c r="F1035" s="154" t="s">
        <v>3962</v>
      </c>
      <c r="G1035" s="154" t="s">
        <v>3972</v>
      </c>
      <c r="J1035" s="154" t="s">
        <v>621</v>
      </c>
      <c r="K1035" s="154" t="s">
        <v>2426</v>
      </c>
      <c r="L1035" s="154">
        <v>2</v>
      </c>
      <c r="N1035" s="155"/>
      <c r="O1035" s="156"/>
      <c r="P1035" s="157"/>
      <c r="Q1035" s="158"/>
      <c r="R1035" s="159"/>
      <c r="S1035" s="160"/>
      <c r="T1035" s="161"/>
      <c r="U1035" s="156"/>
      <c r="V1035" s="162"/>
      <c r="W1035" s="163"/>
      <c r="X1035" s="164"/>
      <c r="Y1035" s="159" t="s">
        <v>1111</v>
      </c>
      <c r="Z1035" s="161"/>
      <c r="AA1035" s="165"/>
      <c r="AE1035" s="155"/>
      <c r="AF1035" s="154" t="s">
        <v>4470</v>
      </c>
      <c r="AI1035" s="154" t="s">
        <v>4581</v>
      </c>
      <c r="AL1035" s="154" t="s">
        <v>621</v>
      </c>
      <c r="AM1035" s="154" t="s">
        <v>2426</v>
      </c>
      <c r="AN1035" s="154">
        <v>2</v>
      </c>
      <c r="AP1035" s="155"/>
      <c r="AQ1035" s="156"/>
      <c r="AR1035" s="157"/>
      <c r="AS1035" s="158"/>
      <c r="AT1035" s="159"/>
      <c r="AU1035" s="161"/>
      <c r="AV1035" s="156"/>
      <c r="AW1035" s="162"/>
      <c r="AX1035" s="163"/>
      <c r="AY1035" s="164"/>
      <c r="AZ1035" s="159"/>
      <c r="BA1035" s="161"/>
      <c r="BB1035" s="165"/>
      <c r="BF1035" s="155"/>
      <c r="BG1035" s="154" t="s">
        <v>4471</v>
      </c>
    </row>
    <row r="1036" spans="1:59" s="154" customFormat="1" ht="15" customHeight="1">
      <c r="A1036" s="168" t="s">
        <v>3819</v>
      </c>
      <c r="B1036" s="23" t="s">
        <v>3973</v>
      </c>
      <c r="C1036" s="28" t="s">
        <v>3821</v>
      </c>
      <c r="D1036" s="155">
        <v>59</v>
      </c>
      <c r="E1036" s="154">
        <v>1</v>
      </c>
      <c r="F1036" s="154" t="s">
        <v>3962</v>
      </c>
      <c r="G1036" s="154" t="s">
        <v>3974</v>
      </c>
      <c r="J1036" s="154" t="s">
        <v>621</v>
      </c>
      <c r="K1036" s="154" t="s">
        <v>2426</v>
      </c>
      <c r="L1036" s="154">
        <v>3</v>
      </c>
      <c r="N1036" s="155"/>
      <c r="O1036" s="156"/>
      <c r="P1036" s="157"/>
      <c r="Q1036" s="158"/>
      <c r="R1036" s="159"/>
      <c r="S1036" s="160"/>
      <c r="T1036" s="161"/>
      <c r="U1036" s="156"/>
      <c r="V1036" s="162"/>
      <c r="W1036" s="163"/>
      <c r="X1036" s="164"/>
      <c r="Y1036" s="159" t="s">
        <v>38</v>
      </c>
      <c r="Z1036" s="161"/>
      <c r="AA1036" s="165"/>
      <c r="AE1036" s="155"/>
      <c r="AF1036" s="154" t="s">
        <v>4472</v>
      </c>
      <c r="AI1036" s="154" t="s">
        <v>4582</v>
      </c>
      <c r="AL1036" s="154" t="s">
        <v>621</v>
      </c>
      <c r="AM1036" s="154" t="s">
        <v>2426</v>
      </c>
      <c r="AN1036" s="154">
        <v>3</v>
      </c>
      <c r="AP1036" s="155"/>
      <c r="AQ1036" s="156"/>
      <c r="AR1036" s="157"/>
      <c r="AS1036" s="158"/>
      <c r="AT1036" s="159"/>
      <c r="AU1036" s="161"/>
      <c r="AV1036" s="156"/>
      <c r="AW1036" s="162"/>
      <c r="AX1036" s="163"/>
      <c r="AY1036" s="164"/>
      <c r="AZ1036" s="159"/>
      <c r="BA1036" s="161"/>
      <c r="BB1036" s="165"/>
      <c r="BF1036" s="155"/>
      <c r="BG1036" s="154" t="s">
        <v>4561</v>
      </c>
    </row>
    <row r="1037" spans="1:59" s="154" customFormat="1" ht="15" customHeight="1">
      <c r="A1037" s="168" t="s">
        <v>3819</v>
      </c>
      <c r="B1037" s="23" t="s">
        <v>3975</v>
      </c>
      <c r="C1037" s="28" t="s">
        <v>3821</v>
      </c>
      <c r="D1037" s="155">
        <v>60</v>
      </c>
      <c r="E1037" s="154">
        <v>1</v>
      </c>
      <c r="F1037" s="154" t="s">
        <v>3962</v>
      </c>
      <c r="G1037" s="154" t="s">
        <v>3976</v>
      </c>
      <c r="J1037" s="154" t="s">
        <v>31</v>
      </c>
      <c r="K1037" s="154" t="s">
        <v>2426</v>
      </c>
      <c r="N1037" s="155"/>
      <c r="O1037" s="156"/>
      <c r="P1037" s="157"/>
      <c r="Q1037" s="158"/>
      <c r="R1037" s="159"/>
      <c r="S1037" s="160"/>
      <c r="T1037" s="161"/>
      <c r="U1037" s="156"/>
      <c r="V1037" s="162"/>
      <c r="W1037" s="163"/>
      <c r="X1037" s="164"/>
      <c r="Y1037" s="159"/>
      <c r="Z1037" s="161"/>
      <c r="AA1037" s="165"/>
      <c r="AD1037" s="154" t="s">
        <v>3960</v>
      </c>
      <c r="AE1037" s="155"/>
      <c r="AI1037" s="154" t="s">
        <v>3976</v>
      </c>
      <c r="AL1037" s="154" t="s">
        <v>31</v>
      </c>
      <c r="AM1037" s="154" t="s">
        <v>2426</v>
      </c>
      <c r="AP1037" s="155"/>
      <c r="AQ1037" s="156"/>
      <c r="AR1037" s="157"/>
      <c r="AS1037" s="158"/>
      <c r="AT1037" s="159"/>
      <c r="AU1037" s="161"/>
      <c r="AV1037" s="156"/>
      <c r="AW1037" s="162"/>
      <c r="AX1037" s="163"/>
      <c r="AY1037" s="164">
        <v>2</v>
      </c>
      <c r="AZ1037" s="159" t="s">
        <v>1073</v>
      </c>
      <c r="BA1037" s="161"/>
      <c r="BB1037" s="165"/>
      <c r="BE1037" s="154" t="s">
        <v>3960</v>
      </c>
      <c r="BF1037" s="155"/>
      <c r="BG1037" s="154" t="s">
        <v>4473</v>
      </c>
    </row>
    <row r="1038" spans="1:59" s="154" customFormat="1" ht="15" customHeight="1">
      <c r="A1038" s="168" t="s">
        <v>3819</v>
      </c>
      <c r="B1038" s="23" t="s">
        <v>3977</v>
      </c>
      <c r="C1038" s="28" t="s">
        <v>3821</v>
      </c>
      <c r="D1038" s="155">
        <v>61</v>
      </c>
      <c r="E1038" s="154">
        <v>1</v>
      </c>
      <c r="F1038" s="154" t="s">
        <v>3962</v>
      </c>
      <c r="G1038" s="154" t="s">
        <v>3978</v>
      </c>
      <c r="H1038" s="154" t="s">
        <v>4474</v>
      </c>
      <c r="I1038" s="154" t="s">
        <v>223</v>
      </c>
      <c r="J1038" s="154" t="s">
        <v>257</v>
      </c>
      <c r="K1038" s="154" t="s">
        <v>26</v>
      </c>
      <c r="N1038" s="155">
        <v>2</v>
      </c>
      <c r="O1038" s="156"/>
      <c r="P1038" s="157"/>
      <c r="Q1038" s="158"/>
      <c r="R1038" s="159"/>
      <c r="S1038" s="160">
        <v>3</v>
      </c>
      <c r="T1038" s="161"/>
      <c r="U1038" s="156"/>
      <c r="V1038" s="162"/>
      <c r="W1038" s="163"/>
      <c r="X1038" s="164"/>
      <c r="Y1038" s="159"/>
      <c r="Z1038" s="161"/>
      <c r="AA1038" s="165"/>
      <c r="AB1038" s="154" t="s">
        <v>1996</v>
      </c>
      <c r="AD1038" s="154" t="s">
        <v>276</v>
      </c>
      <c r="AE1038" s="155"/>
      <c r="AP1038" s="155"/>
      <c r="AQ1038" s="156"/>
      <c r="AR1038" s="157"/>
      <c r="AS1038" s="158"/>
      <c r="AT1038" s="159"/>
      <c r="AU1038" s="161"/>
      <c r="AV1038" s="156"/>
      <c r="AW1038" s="162"/>
      <c r="AX1038" s="163"/>
      <c r="AY1038" s="164"/>
      <c r="AZ1038" s="159"/>
      <c r="BA1038" s="161"/>
      <c r="BB1038" s="165"/>
      <c r="BF1038" s="155"/>
    </row>
    <row r="1039" spans="1:59" s="154" customFormat="1" ht="15" customHeight="1">
      <c r="A1039" s="168" t="s">
        <v>3819</v>
      </c>
      <c r="B1039" s="23" t="s">
        <v>3979</v>
      </c>
      <c r="C1039" s="28" t="s">
        <v>3821</v>
      </c>
      <c r="D1039" s="155">
        <v>62</v>
      </c>
      <c r="E1039" s="154">
        <v>1</v>
      </c>
      <c r="F1039" s="154" t="s">
        <v>3962</v>
      </c>
      <c r="G1039" s="154" t="s">
        <v>3980</v>
      </c>
      <c r="H1039" s="154" t="s">
        <v>3981</v>
      </c>
      <c r="I1039" s="154" t="s">
        <v>223</v>
      </c>
      <c r="J1039" s="154" t="s">
        <v>29</v>
      </c>
      <c r="K1039" s="154" t="s">
        <v>2426</v>
      </c>
      <c r="N1039" s="155"/>
      <c r="O1039" s="156"/>
      <c r="P1039" s="157"/>
      <c r="Q1039" s="158">
        <v>3</v>
      </c>
      <c r="R1039" s="159">
        <v>3</v>
      </c>
      <c r="S1039" s="160"/>
      <c r="T1039" s="161" t="s">
        <v>4583</v>
      </c>
      <c r="U1039" s="156"/>
      <c r="V1039" s="162">
        <v>2</v>
      </c>
      <c r="W1039" s="163">
        <v>2</v>
      </c>
      <c r="X1039" s="164"/>
      <c r="Y1039" s="159"/>
      <c r="Z1039" s="161"/>
      <c r="AA1039" s="165"/>
      <c r="AD1039" s="154" t="s">
        <v>3982</v>
      </c>
      <c r="AE1039" s="155"/>
      <c r="AF1039" s="154" t="s">
        <v>4584</v>
      </c>
      <c r="AP1039" s="155"/>
      <c r="AQ1039" s="156"/>
      <c r="AR1039" s="157"/>
      <c r="AS1039" s="158"/>
      <c r="AT1039" s="159"/>
      <c r="AU1039" s="161"/>
      <c r="AV1039" s="156"/>
      <c r="AW1039" s="162"/>
      <c r="AX1039" s="163"/>
      <c r="AY1039" s="164"/>
      <c r="AZ1039" s="159"/>
      <c r="BA1039" s="161"/>
      <c r="BB1039" s="165"/>
      <c r="BF1039" s="155"/>
    </row>
    <row r="1040" spans="1:59" s="154" customFormat="1" ht="15" customHeight="1">
      <c r="A1040" s="168" t="s">
        <v>3819</v>
      </c>
      <c r="B1040" s="23" t="s">
        <v>3983</v>
      </c>
      <c r="C1040" s="28" t="s">
        <v>3821</v>
      </c>
      <c r="D1040" s="155">
        <v>63</v>
      </c>
      <c r="E1040" s="154">
        <v>1</v>
      </c>
      <c r="F1040" s="154" t="s">
        <v>3962</v>
      </c>
      <c r="G1040" s="154" t="s">
        <v>3984</v>
      </c>
      <c r="J1040" s="154" t="s">
        <v>31</v>
      </c>
      <c r="K1040" s="154" t="s">
        <v>2426</v>
      </c>
      <c r="N1040" s="155"/>
      <c r="O1040" s="156"/>
      <c r="P1040" s="157"/>
      <c r="Q1040" s="158"/>
      <c r="R1040" s="159"/>
      <c r="S1040" s="160"/>
      <c r="T1040" s="161"/>
      <c r="U1040" s="156"/>
      <c r="V1040" s="162"/>
      <c r="W1040" s="163"/>
      <c r="X1040" s="164">
        <v>3</v>
      </c>
      <c r="Y1040" s="159" t="s">
        <v>1111</v>
      </c>
      <c r="Z1040" s="161"/>
      <c r="AA1040" s="165"/>
      <c r="AD1040" s="154" t="s">
        <v>3960</v>
      </c>
      <c r="AE1040" s="155"/>
      <c r="AF1040" s="154" t="s">
        <v>4475</v>
      </c>
      <c r="AP1040" s="155"/>
      <c r="AQ1040" s="156"/>
      <c r="AR1040" s="157"/>
      <c r="AS1040" s="158"/>
      <c r="AT1040" s="159"/>
      <c r="AU1040" s="161"/>
      <c r="AV1040" s="156"/>
      <c r="AW1040" s="162"/>
      <c r="AX1040" s="163"/>
      <c r="AY1040" s="164"/>
      <c r="AZ1040" s="159"/>
      <c r="BA1040" s="161"/>
      <c r="BB1040" s="165"/>
      <c r="BF1040" s="155"/>
    </row>
    <row r="1041" spans="1:58" s="154" customFormat="1" ht="15" customHeight="1">
      <c r="A1041" s="168" t="s">
        <v>3819</v>
      </c>
      <c r="B1041" s="23" t="s">
        <v>3985</v>
      </c>
      <c r="C1041" s="28" t="s">
        <v>3821</v>
      </c>
      <c r="D1041" s="155">
        <v>64</v>
      </c>
      <c r="E1041" s="154">
        <v>1</v>
      </c>
      <c r="F1041" s="154" t="s">
        <v>3962</v>
      </c>
      <c r="G1041" s="154" t="s">
        <v>3986</v>
      </c>
      <c r="J1041" s="154" t="s">
        <v>31</v>
      </c>
      <c r="K1041" s="154" t="s">
        <v>2426</v>
      </c>
      <c r="N1041" s="155"/>
      <c r="O1041" s="156"/>
      <c r="P1041" s="157"/>
      <c r="Q1041" s="158"/>
      <c r="R1041" s="159"/>
      <c r="S1041" s="160"/>
      <c r="T1041" s="161"/>
      <c r="U1041" s="156"/>
      <c r="V1041" s="162"/>
      <c r="W1041" s="163"/>
      <c r="X1041" s="164">
        <v>2</v>
      </c>
      <c r="Y1041" s="159" t="s">
        <v>1073</v>
      </c>
      <c r="Z1041" s="161"/>
      <c r="AA1041" s="165">
        <v>1</v>
      </c>
      <c r="AD1041" s="154" t="s">
        <v>3960</v>
      </c>
      <c r="AE1041" s="155"/>
      <c r="AF1041" s="154" t="s">
        <v>4476</v>
      </c>
      <c r="AP1041" s="155"/>
      <c r="AQ1041" s="156"/>
      <c r="AR1041" s="157"/>
      <c r="AS1041" s="158"/>
      <c r="AT1041" s="159"/>
      <c r="AU1041" s="161"/>
      <c r="AV1041" s="156"/>
      <c r="AW1041" s="162"/>
      <c r="AX1041" s="163"/>
      <c r="AY1041" s="164"/>
      <c r="AZ1041" s="159"/>
      <c r="BA1041" s="161"/>
      <c r="BB1041" s="165"/>
      <c r="BF1041" s="155"/>
    </row>
    <row r="1042" spans="1:58" s="154" customFormat="1" ht="15" customHeight="1">
      <c r="A1042" s="168" t="s">
        <v>3819</v>
      </c>
      <c r="B1042" s="23" t="s">
        <v>3987</v>
      </c>
      <c r="C1042" s="28" t="s">
        <v>3821</v>
      </c>
      <c r="D1042" s="155">
        <v>65</v>
      </c>
      <c r="E1042" s="154">
        <v>1</v>
      </c>
      <c r="F1042" s="154" t="s">
        <v>3962</v>
      </c>
      <c r="G1042" s="154" t="s">
        <v>3988</v>
      </c>
      <c r="J1042" s="154" t="s">
        <v>31</v>
      </c>
      <c r="K1042" s="154" t="s">
        <v>2426</v>
      </c>
      <c r="N1042" s="155"/>
      <c r="O1042" s="156"/>
      <c r="P1042" s="157"/>
      <c r="Q1042" s="158"/>
      <c r="R1042" s="159"/>
      <c r="S1042" s="160"/>
      <c r="T1042" s="161"/>
      <c r="U1042" s="156"/>
      <c r="V1042" s="162"/>
      <c r="W1042" s="163"/>
      <c r="X1042" s="164">
        <v>3</v>
      </c>
      <c r="Y1042" s="159" t="s">
        <v>1073</v>
      </c>
      <c r="Z1042" s="161"/>
      <c r="AA1042" s="165">
        <v>1</v>
      </c>
      <c r="AD1042" s="154" t="s">
        <v>3960</v>
      </c>
      <c r="AE1042" s="155"/>
      <c r="AF1042" s="154" t="s">
        <v>4477</v>
      </c>
      <c r="AP1042" s="155"/>
      <c r="AQ1042" s="156"/>
      <c r="AR1042" s="157"/>
      <c r="AS1042" s="158"/>
      <c r="AT1042" s="159"/>
      <c r="AU1042" s="161"/>
      <c r="AV1042" s="156"/>
      <c r="AW1042" s="162"/>
      <c r="AX1042" s="163"/>
      <c r="AY1042" s="164"/>
      <c r="AZ1042" s="159"/>
      <c r="BA1042" s="161"/>
      <c r="BB1042" s="165"/>
      <c r="BF1042" s="155"/>
    </row>
    <row r="1043" spans="1:58" s="154" customFormat="1" ht="15" customHeight="1">
      <c r="A1043" s="168" t="s">
        <v>3819</v>
      </c>
      <c r="B1043" s="23" t="s">
        <v>3989</v>
      </c>
      <c r="C1043" s="28" t="s">
        <v>3821</v>
      </c>
      <c r="D1043" s="155">
        <v>66</v>
      </c>
      <c r="E1043" s="154">
        <v>1</v>
      </c>
      <c r="F1043" s="154" t="s">
        <v>3962</v>
      </c>
      <c r="G1043" s="154" t="s">
        <v>3990</v>
      </c>
      <c r="J1043" s="154" t="s">
        <v>31</v>
      </c>
      <c r="K1043" s="154" t="s">
        <v>2426</v>
      </c>
      <c r="N1043" s="155"/>
      <c r="O1043" s="156"/>
      <c r="P1043" s="157"/>
      <c r="Q1043" s="158"/>
      <c r="R1043" s="159"/>
      <c r="S1043" s="160"/>
      <c r="T1043" s="161"/>
      <c r="U1043" s="156"/>
      <c r="V1043" s="162"/>
      <c r="W1043" s="163"/>
      <c r="X1043" s="164">
        <v>2</v>
      </c>
      <c r="Y1043" s="159" t="s">
        <v>1073</v>
      </c>
      <c r="Z1043" s="161"/>
      <c r="AA1043" s="165"/>
      <c r="AD1043" s="154" t="s">
        <v>3960</v>
      </c>
      <c r="AE1043" s="155"/>
      <c r="AF1043" s="154" t="s">
        <v>4585</v>
      </c>
      <c r="AP1043" s="155"/>
      <c r="AQ1043" s="156"/>
      <c r="AR1043" s="157"/>
      <c r="AS1043" s="158"/>
      <c r="AT1043" s="159"/>
      <c r="AU1043" s="161"/>
      <c r="AV1043" s="156"/>
      <c r="AW1043" s="162"/>
      <c r="AX1043" s="163"/>
      <c r="AY1043" s="164"/>
      <c r="AZ1043" s="159"/>
      <c r="BA1043" s="161"/>
      <c r="BB1043" s="165"/>
      <c r="BF1043" s="155"/>
    </row>
    <row r="1044" spans="1:58" s="154" customFormat="1" ht="15" customHeight="1">
      <c r="A1044" s="168" t="s">
        <v>3819</v>
      </c>
      <c r="B1044" s="23" t="s">
        <v>3991</v>
      </c>
      <c r="C1044" s="28" t="s">
        <v>3821</v>
      </c>
      <c r="D1044" s="155">
        <v>67</v>
      </c>
      <c r="E1044" s="154">
        <v>1</v>
      </c>
      <c r="F1044" s="154" t="s">
        <v>3962</v>
      </c>
      <c r="G1044" s="154" t="s">
        <v>3992</v>
      </c>
      <c r="J1044" s="154" t="s">
        <v>31</v>
      </c>
      <c r="K1044" s="154" t="s">
        <v>2426</v>
      </c>
      <c r="N1044" s="155"/>
      <c r="O1044" s="156"/>
      <c r="P1044" s="157"/>
      <c r="Q1044" s="158"/>
      <c r="R1044" s="159"/>
      <c r="S1044" s="160"/>
      <c r="T1044" s="161"/>
      <c r="U1044" s="156"/>
      <c r="V1044" s="162"/>
      <c r="W1044" s="163"/>
      <c r="X1044" s="164">
        <v>5</v>
      </c>
      <c r="Y1044" s="159" t="s">
        <v>1073</v>
      </c>
      <c r="Z1044" s="161"/>
      <c r="AA1044" s="165">
        <v>1</v>
      </c>
      <c r="AD1044" s="154" t="s">
        <v>3960</v>
      </c>
      <c r="AE1044" s="155"/>
      <c r="AF1044" s="154" t="s">
        <v>4478</v>
      </c>
      <c r="AP1044" s="155"/>
      <c r="AQ1044" s="156"/>
      <c r="AR1044" s="157"/>
      <c r="AS1044" s="158"/>
      <c r="AT1044" s="159"/>
      <c r="AU1044" s="161"/>
      <c r="AV1044" s="156"/>
      <c r="AW1044" s="162"/>
      <c r="AX1044" s="163"/>
      <c r="AY1044" s="164"/>
      <c r="AZ1044" s="159"/>
      <c r="BA1044" s="161"/>
      <c r="BB1044" s="165"/>
      <c r="BF1044" s="155"/>
    </row>
    <row r="1045" spans="1:58" s="154" customFormat="1" ht="15" customHeight="1">
      <c r="A1045" s="168" t="s">
        <v>3819</v>
      </c>
      <c r="B1045" s="23" t="s">
        <v>3993</v>
      </c>
      <c r="C1045" s="28" t="s">
        <v>3821</v>
      </c>
      <c r="D1045" s="155">
        <v>68</v>
      </c>
      <c r="E1045" s="154">
        <v>1</v>
      </c>
      <c r="F1045" s="154" t="s">
        <v>3962</v>
      </c>
      <c r="G1045" s="154" t="s">
        <v>3994</v>
      </c>
      <c r="J1045" s="154" t="s">
        <v>31</v>
      </c>
      <c r="K1045" s="154" t="s">
        <v>2426</v>
      </c>
      <c r="N1045" s="155"/>
      <c r="O1045" s="156"/>
      <c r="P1045" s="157"/>
      <c r="Q1045" s="158"/>
      <c r="R1045" s="159"/>
      <c r="S1045" s="160"/>
      <c r="T1045" s="161"/>
      <c r="U1045" s="156"/>
      <c r="V1045" s="162"/>
      <c r="W1045" s="163"/>
      <c r="X1045" s="164">
        <v>4</v>
      </c>
      <c r="Y1045" s="159" t="s">
        <v>1111</v>
      </c>
      <c r="Z1045" s="161"/>
      <c r="AA1045" s="165">
        <v>2</v>
      </c>
      <c r="AD1045" s="154" t="s">
        <v>3995</v>
      </c>
      <c r="AE1045" s="155"/>
      <c r="AF1045" s="154" t="s">
        <v>4586</v>
      </c>
      <c r="AP1045" s="155"/>
      <c r="AQ1045" s="156"/>
      <c r="AR1045" s="157"/>
      <c r="AS1045" s="158"/>
      <c r="AT1045" s="159"/>
      <c r="AU1045" s="161"/>
      <c r="AV1045" s="156"/>
      <c r="AW1045" s="162"/>
      <c r="AX1045" s="163"/>
      <c r="AY1045" s="164"/>
      <c r="AZ1045" s="159"/>
      <c r="BA1045" s="161"/>
      <c r="BB1045" s="165"/>
      <c r="BF1045" s="155"/>
    </row>
    <row r="1046" spans="1:58" s="154" customFormat="1" ht="15" customHeight="1">
      <c r="A1046" s="168" t="s">
        <v>3819</v>
      </c>
      <c r="B1046" s="23" t="s">
        <v>3996</v>
      </c>
      <c r="C1046" s="28" t="s">
        <v>3821</v>
      </c>
      <c r="D1046" s="155">
        <v>69</v>
      </c>
      <c r="E1046" s="154">
        <v>1</v>
      </c>
      <c r="F1046" s="154" t="s">
        <v>4562</v>
      </c>
      <c r="G1046" s="154" t="s">
        <v>3997</v>
      </c>
      <c r="J1046" s="154" t="s">
        <v>31</v>
      </c>
      <c r="K1046" s="154" t="s">
        <v>2426</v>
      </c>
      <c r="N1046" s="155"/>
      <c r="O1046" s="156"/>
      <c r="P1046" s="157"/>
      <c r="Q1046" s="158"/>
      <c r="R1046" s="159"/>
      <c r="S1046" s="160"/>
      <c r="T1046" s="161"/>
      <c r="U1046" s="156"/>
      <c r="V1046" s="162"/>
      <c r="W1046" s="163"/>
      <c r="X1046" s="164">
        <v>3</v>
      </c>
      <c r="Y1046" s="159" t="s">
        <v>1073</v>
      </c>
      <c r="Z1046" s="161"/>
      <c r="AA1046" s="165"/>
      <c r="AD1046" s="154" t="s">
        <v>3998</v>
      </c>
      <c r="AE1046" s="155"/>
      <c r="AF1046" s="154" t="s">
        <v>4479</v>
      </c>
      <c r="AP1046" s="155"/>
      <c r="AQ1046" s="156"/>
      <c r="AR1046" s="157"/>
      <c r="AS1046" s="158"/>
      <c r="AT1046" s="159"/>
      <c r="AU1046" s="161"/>
      <c r="AV1046" s="156"/>
      <c r="AW1046" s="162"/>
      <c r="AX1046" s="163"/>
      <c r="AY1046" s="164"/>
      <c r="AZ1046" s="159"/>
      <c r="BA1046" s="161"/>
      <c r="BB1046" s="165"/>
      <c r="BF1046" s="155"/>
    </row>
    <row r="1047" spans="1:58" s="154" customFormat="1" ht="15" customHeight="1">
      <c r="A1047" s="168" t="s">
        <v>3819</v>
      </c>
      <c r="B1047" s="23" t="s">
        <v>3999</v>
      </c>
      <c r="C1047" s="28" t="s">
        <v>3821</v>
      </c>
      <c r="D1047" s="155">
        <v>70</v>
      </c>
      <c r="E1047" s="154">
        <v>1</v>
      </c>
      <c r="F1047" s="154" t="s">
        <v>4562</v>
      </c>
      <c r="G1047" s="154" t="s">
        <v>4000</v>
      </c>
      <c r="J1047" s="154" t="s">
        <v>31</v>
      </c>
      <c r="K1047" s="154" t="s">
        <v>2426</v>
      </c>
      <c r="N1047" s="155"/>
      <c r="O1047" s="156"/>
      <c r="P1047" s="157"/>
      <c r="Q1047" s="158"/>
      <c r="R1047" s="159"/>
      <c r="S1047" s="160"/>
      <c r="T1047" s="161"/>
      <c r="U1047" s="156"/>
      <c r="V1047" s="162"/>
      <c r="W1047" s="163"/>
      <c r="X1047" s="164">
        <v>4</v>
      </c>
      <c r="Y1047" s="159" t="s">
        <v>1073</v>
      </c>
      <c r="Z1047" s="161"/>
      <c r="AA1047" s="165"/>
      <c r="AD1047" s="154" t="s">
        <v>3998</v>
      </c>
      <c r="AE1047" s="155"/>
      <c r="AF1047" s="154" t="s">
        <v>4001</v>
      </c>
      <c r="AP1047" s="155"/>
      <c r="AQ1047" s="156"/>
      <c r="AR1047" s="157"/>
      <c r="AS1047" s="158"/>
      <c r="AT1047" s="159"/>
      <c r="AU1047" s="161"/>
      <c r="AV1047" s="156"/>
      <c r="AW1047" s="162"/>
      <c r="AX1047" s="163"/>
      <c r="AY1047" s="164"/>
      <c r="AZ1047" s="159"/>
      <c r="BA1047" s="161"/>
      <c r="BB1047" s="165"/>
      <c r="BF1047" s="155"/>
    </row>
    <row r="1048" spans="1:58" s="154" customFormat="1" ht="15" customHeight="1">
      <c r="A1048" s="168" t="s">
        <v>3819</v>
      </c>
      <c r="B1048" s="23" t="s">
        <v>4002</v>
      </c>
      <c r="C1048" s="28" t="s">
        <v>3821</v>
      </c>
      <c r="D1048" s="155">
        <v>71</v>
      </c>
      <c r="E1048" s="154">
        <v>1</v>
      </c>
      <c r="F1048" s="154" t="s">
        <v>4562</v>
      </c>
      <c r="G1048" s="154" t="s">
        <v>4003</v>
      </c>
      <c r="J1048" s="154" t="s">
        <v>31</v>
      </c>
      <c r="K1048" s="154" t="s">
        <v>2426</v>
      </c>
      <c r="N1048" s="155"/>
      <c r="O1048" s="156"/>
      <c r="P1048" s="157"/>
      <c r="Q1048" s="158"/>
      <c r="R1048" s="159"/>
      <c r="S1048" s="160"/>
      <c r="T1048" s="161"/>
      <c r="U1048" s="156"/>
      <c r="V1048" s="162"/>
      <c r="W1048" s="163"/>
      <c r="X1048" s="164">
        <v>2</v>
      </c>
      <c r="Y1048" s="159" t="s">
        <v>1073</v>
      </c>
      <c r="Z1048" s="161"/>
      <c r="AA1048" s="165"/>
      <c r="AD1048" s="154" t="s">
        <v>3998</v>
      </c>
      <c r="AE1048" s="155"/>
      <c r="AF1048" s="154" t="s">
        <v>4480</v>
      </c>
      <c r="AP1048" s="155"/>
      <c r="AQ1048" s="156"/>
      <c r="AR1048" s="157"/>
      <c r="AS1048" s="158"/>
      <c r="AT1048" s="159"/>
      <c r="AU1048" s="161"/>
      <c r="AV1048" s="156"/>
      <c r="AW1048" s="162"/>
      <c r="AX1048" s="163"/>
      <c r="AY1048" s="164"/>
      <c r="AZ1048" s="159"/>
      <c r="BA1048" s="161"/>
      <c r="BB1048" s="165"/>
      <c r="BF1048" s="155"/>
    </row>
    <row r="1049" spans="1:58" s="154" customFormat="1" ht="15" customHeight="1">
      <c r="A1049" s="168" t="s">
        <v>3819</v>
      </c>
      <c r="B1049" s="23" t="s">
        <v>4004</v>
      </c>
      <c r="C1049" s="28" t="s">
        <v>3821</v>
      </c>
      <c r="D1049" s="155">
        <v>72</v>
      </c>
      <c r="E1049" s="154">
        <v>1</v>
      </c>
      <c r="F1049" s="154" t="s">
        <v>4562</v>
      </c>
      <c r="G1049" s="154" t="s">
        <v>4005</v>
      </c>
      <c r="J1049" s="154" t="s">
        <v>31</v>
      </c>
      <c r="K1049" s="154" t="s">
        <v>2426</v>
      </c>
      <c r="N1049" s="155"/>
      <c r="O1049" s="156"/>
      <c r="P1049" s="157"/>
      <c r="Q1049" s="158"/>
      <c r="R1049" s="159"/>
      <c r="S1049" s="160"/>
      <c r="T1049" s="161"/>
      <c r="U1049" s="156"/>
      <c r="V1049" s="162"/>
      <c r="W1049" s="163"/>
      <c r="X1049" s="164">
        <v>2</v>
      </c>
      <c r="Y1049" s="159" t="s">
        <v>1111</v>
      </c>
      <c r="Z1049" s="161"/>
      <c r="AA1049" s="165">
        <v>1</v>
      </c>
      <c r="AD1049" s="154" t="s">
        <v>3998</v>
      </c>
      <c r="AE1049" s="155"/>
      <c r="AF1049" s="154" t="s">
        <v>4481</v>
      </c>
      <c r="AP1049" s="155"/>
      <c r="AQ1049" s="156"/>
      <c r="AR1049" s="157"/>
      <c r="AS1049" s="158"/>
      <c r="AT1049" s="159"/>
      <c r="AU1049" s="161"/>
      <c r="AV1049" s="156"/>
      <c r="AW1049" s="162"/>
      <c r="AX1049" s="163"/>
      <c r="AY1049" s="164"/>
      <c r="AZ1049" s="159"/>
      <c r="BA1049" s="161"/>
      <c r="BB1049" s="165"/>
      <c r="BF1049" s="155"/>
    </row>
    <row r="1050" spans="1:58" s="154" customFormat="1" ht="15" customHeight="1">
      <c r="A1050" s="168" t="s">
        <v>3819</v>
      </c>
      <c r="B1050" s="23" t="s">
        <v>4006</v>
      </c>
      <c r="C1050" s="28" t="s">
        <v>3821</v>
      </c>
      <c r="D1050" s="155">
        <v>73</v>
      </c>
      <c r="E1050" s="154">
        <v>1</v>
      </c>
      <c r="F1050" s="154" t="s">
        <v>4562</v>
      </c>
      <c r="G1050" s="154" t="s">
        <v>4007</v>
      </c>
      <c r="J1050" s="154" t="s">
        <v>31</v>
      </c>
      <c r="K1050" s="154" t="s">
        <v>2426</v>
      </c>
      <c r="N1050" s="155"/>
      <c r="O1050" s="156"/>
      <c r="P1050" s="157"/>
      <c r="Q1050" s="158"/>
      <c r="R1050" s="159"/>
      <c r="S1050" s="160"/>
      <c r="T1050" s="161"/>
      <c r="U1050" s="156"/>
      <c r="V1050" s="162"/>
      <c r="W1050" s="163"/>
      <c r="X1050" s="164">
        <v>1</v>
      </c>
      <c r="Y1050" s="159" t="s">
        <v>1073</v>
      </c>
      <c r="Z1050" s="161"/>
      <c r="AA1050" s="165">
        <v>1</v>
      </c>
      <c r="AD1050" s="154" t="s">
        <v>3998</v>
      </c>
      <c r="AE1050" s="155"/>
      <c r="AF1050" s="154" t="s">
        <v>4482</v>
      </c>
      <c r="AP1050" s="155"/>
      <c r="AQ1050" s="156"/>
      <c r="AR1050" s="157"/>
      <c r="AS1050" s="158"/>
      <c r="AT1050" s="159"/>
      <c r="AU1050" s="161"/>
      <c r="AV1050" s="156"/>
      <c r="AW1050" s="162"/>
      <c r="AX1050" s="163"/>
      <c r="AY1050" s="164"/>
      <c r="AZ1050" s="159"/>
      <c r="BA1050" s="161"/>
      <c r="BB1050" s="165"/>
      <c r="BF1050" s="155"/>
    </row>
    <row r="1051" spans="1:58" s="154" customFormat="1" ht="15" customHeight="1">
      <c r="A1051" s="168" t="s">
        <v>3819</v>
      </c>
      <c r="B1051" s="23" t="s">
        <v>4008</v>
      </c>
      <c r="C1051" s="28" t="s">
        <v>3821</v>
      </c>
      <c r="D1051" s="155">
        <v>74</v>
      </c>
      <c r="E1051" s="154">
        <v>1</v>
      </c>
      <c r="F1051" s="154" t="s">
        <v>4562</v>
      </c>
      <c r="G1051" s="154" t="s">
        <v>4009</v>
      </c>
      <c r="J1051" s="154" t="s">
        <v>31</v>
      </c>
      <c r="K1051" s="154" t="s">
        <v>2426</v>
      </c>
      <c r="N1051" s="155"/>
      <c r="O1051" s="156"/>
      <c r="P1051" s="157"/>
      <c r="Q1051" s="158"/>
      <c r="R1051" s="159"/>
      <c r="S1051" s="160"/>
      <c r="T1051" s="161"/>
      <c r="U1051" s="156"/>
      <c r="V1051" s="162"/>
      <c r="W1051" s="163"/>
      <c r="X1051" s="164">
        <v>2</v>
      </c>
      <c r="Y1051" s="159" t="s">
        <v>1073</v>
      </c>
      <c r="Z1051" s="161"/>
      <c r="AA1051" s="165">
        <v>2</v>
      </c>
      <c r="AD1051" s="154" t="s">
        <v>3960</v>
      </c>
      <c r="AE1051" s="155"/>
      <c r="AF1051" s="154" t="s">
        <v>4483</v>
      </c>
      <c r="AP1051" s="155"/>
      <c r="AQ1051" s="156"/>
      <c r="AR1051" s="157"/>
      <c r="AS1051" s="158"/>
      <c r="AT1051" s="159"/>
      <c r="AU1051" s="161"/>
      <c r="AV1051" s="156"/>
      <c r="AW1051" s="162"/>
      <c r="AX1051" s="163"/>
      <c r="AY1051" s="164"/>
      <c r="AZ1051" s="159"/>
      <c r="BA1051" s="161"/>
      <c r="BB1051" s="165"/>
      <c r="BF1051" s="155"/>
    </row>
    <row r="1052" spans="1:58" s="154" customFormat="1" ht="15" customHeight="1">
      <c r="A1052" s="168" t="s">
        <v>3819</v>
      </c>
      <c r="B1052" s="23" t="s">
        <v>4010</v>
      </c>
      <c r="C1052" s="28" t="s">
        <v>3821</v>
      </c>
      <c r="D1052" s="155">
        <v>75</v>
      </c>
      <c r="E1052" s="154">
        <v>1</v>
      </c>
      <c r="F1052" s="154" t="s">
        <v>4562</v>
      </c>
      <c r="G1052" s="154" t="s">
        <v>4011</v>
      </c>
      <c r="J1052" s="154" t="s">
        <v>31</v>
      </c>
      <c r="K1052" s="154" t="s">
        <v>2426</v>
      </c>
      <c r="N1052" s="155"/>
      <c r="O1052" s="156"/>
      <c r="P1052" s="157"/>
      <c r="Q1052" s="158"/>
      <c r="R1052" s="159"/>
      <c r="S1052" s="160"/>
      <c r="T1052" s="161"/>
      <c r="U1052" s="156"/>
      <c r="V1052" s="162"/>
      <c r="W1052" s="163"/>
      <c r="X1052" s="164">
        <v>5</v>
      </c>
      <c r="Y1052" s="159" t="s">
        <v>1073</v>
      </c>
      <c r="Z1052" s="161"/>
      <c r="AA1052" s="165">
        <v>2</v>
      </c>
      <c r="AD1052" s="154" t="s">
        <v>3960</v>
      </c>
      <c r="AE1052" s="155"/>
      <c r="AF1052" s="154" t="s">
        <v>4484</v>
      </c>
      <c r="AP1052" s="155"/>
      <c r="AQ1052" s="156"/>
      <c r="AR1052" s="157"/>
      <c r="AS1052" s="158"/>
      <c r="AT1052" s="159"/>
      <c r="AU1052" s="161"/>
      <c r="AV1052" s="156"/>
      <c r="AW1052" s="162"/>
      <c r="AX1052" s="163"/>
      <c r="AY1052" s="164"/>
      <c r="AZ1052" s="159"/>
      <c r="BA1052" s="161"/>
      <c r="BB1052" s="165"/>
      <c r="BF1052" s="155"/>
    </row>
    <row r="1053" spans="1:58" s="154" customFormat="1" ht="15" customHeight="1">
      <c r="A1053" s="168" t="s">
        <v>3819</v>
      </c>
      <c r="B1053" s="23" t="s">
        <v>4012</v>
      </c>
      <c r="C1053" s="28" t="s">
        <v>3821</v>
      </c>
      <c r="D1053" s="155">
        <v>76</v>
      </c>
      <c r="E1053" s="154">
        <v>2</v>
      </c>
      <c r="F1053" s="154" t="s">
        <v>4562</v>
      </c>
      <c r="G1053" s="154" t="s">
        <v>4013</v>
      </c>
      <c r="J1053" s="154" t="s">
        <v>28</v>
      </c>
      <c r="K1053" s="154" t="s">
        <v>2426</v>
      </c>
      <c r="N1053" s="155"/>
      <c r="O1053" s="156"/>
      <c r="P1053" s="157"/>
      <c r="Q1053" s="158"/>
      <c r="R1053" s="159"/>
      <c r="S1053" s="160"/>
      <c r="T1053" s="161"/>
      <c r="U1053" s="156"/>
      <c r="V1053" s="162"/>
      <c r="W1053" s="163"/>
      <c r="X1053" s="164"/>
      <c r="Y1053" s="159"/>
      <c r="Z1053" s="161"/>
      <c r="AA1053" s="165"/>
      <c r="AD1053" s="154" t="s">
        <v>834</v>
      </c>
      <c r="AE1053" s="155"/>
      <c r="AF1053" s="154" t="s">
        <v>4485</v>
      </c>
      <c r="AP1053" s="155"/>
      <c r="AQ1053" s="156"/>
      <c r="AR1053" s="157"/>
      <c r="AS1053" s="158"/>
      <c r="AT1053" s="159"/>
      <c r="AU1053" s="161"/>
      <c r="AV1053" s="156"/>
      <c r="AW1053" s="162"/>
      <c r="AX1053" s="163"/>
      <c r="AY1053" s="164"/>
      <c r="AZ1053" s="159"/>
      <c r="BA1053" s="161"/>
      <c r="BB1053" s="165"/>
      <c r="BF1053" s="155"/>
    </row>
    <row r="1054" spans="1:58" s="154" customFormat="1" ht="15" customHeight="1">
      <c r="A1054" s="168" t="s">
        <v>3819</v>
      </c>
      <c r="B1054" s="23" t="s">
        <v>4014</v>
      </c>
      <c r="C1054" s="28" t="s">
        <v>3821</v>
      </c>
      <c r="D1054" s="155">
        <v>77</v>
      </c>
      <c r="E1054" s="154">
        <v>2</v>
      </c>
      <c r="F1054" s="154" t="s">
        <v>4562</v>
      </c>
      <c r="G1054" s="154" t="s">
        <v>4015</v>
      </c>
      <c r="J1054" s="154" t="s">
        <v>28</v>
      </c>
      <c r="K1054" s="154" t="s">
        <v>2426</v>
      </c>
      <c r="N1054" s="155"/>
      <c r="O1054" s="156"/>
      <c r="P1054" s="157"/>
      <c r="Q1054" s="158"/>
      <c r="R1054" s="159"/>
      <c r="S1054" s="160"/>
      <c r="T1054" s="161"/>
      <c r="U1054" s="156"/>
      <c r="V1054" s="162"/>
      <c r="W1054" s="163"/>
      <c r="X1054" s="164"/>
      <c r="Y1054" s="159"/>
      <c r="Z1054" s="161"/>
      <c r="AA1054" s="165"/>
      <c r="AD1054" s="154" t="s">
        <v>1663</v>
      </c>
      <c r="AE1054" s="155"/>
      <c r="AF1054" s="154" t="s">
        <v>4486</v>
      </c>
      <c r="AP1054" s="155"/>
      <c r="AQ1054" s="156"/>
      <c r="AR1054" s="157"/>
      <c r="AS1054" s="158"/>
      <c r="AT1054" s="159"/>
      <c r="AU1054" s="161"/>
      <c r="AV1054" s="156"/>
      <c r="AW1054" s="162"/>
      <c r="AX1054" s="163"/>
      <c r="AY1054" s="164"/>
      <c r="AZ1054" s="159"/>
      <c r="BA1054" s="161"/>
      <c r="BB1054" s="165"/>
      <c r="BF1054" s="155"/>
    </row>
    <row r="1055" spans="1:58" s="154" customFormat="1" ht="15" customHeight="1">
      <c r="A1055" s="168" t="s">
        <v>3819</v>
      </c>
      <c r="B1055" s="23" t="s">
        <v>4016</v>
      </c>
      <c r="C1055" s="28" t="s">
        <v>3821</v>
      </c>
      <c r="D1055" s="155">
        <v>78</v>
      </c>
      <c r="E1055" s="154">
        <v>3</v>
      </c>
      <c r="F1055" s="154" t="s">
        <v>4563</v>
      </c>
      <c r="G1055" s="154" t="s">
        <v>4017</v>
      </c>
      <c r="J1055" s="154" t="s">
        <v>29</v>
      </c>
      <c r="K1055" s="154" t="s">
        <v>2426</v>
      </c>
      <c r="N1055" s="155"/>
      <c r="O1055" s="156"/>
      <c r="P1055" s="157"/>
      <c r="Q1055" s="158">
        <v>3</v>
      </c>
      <c r="R1055" s="159">
        <v>3</v>
      </c>
      <c r="S1055" s="160"/>
      <c r="T1055" s="161">
        <v>1</v>
      </c>
      <c r="U1055" s="156"/>
      <c r="V1055" s="162">
        <v>1</v>
      </c>
      <c r="W1055" s="163"/>
      <c r="X1055" s="164"/>
      <c r="Y1055" s="159"/>
      <c r="Z1055" s="161"/>
      <c r="AA1055" s="165"/>
      <c r="AD1055" s="154" t="s">
        <v>4018</v>
      </c>
      <c r="AE1055" s="155"/>
      <c r="AF1055" s="154" t="s">
        <v>4587</v>
      </c>
      <c r="AP1055" s="155"/>
      <c r="AQ1055" s="156"/>
      <c r="AR1055" s="157"/>
      <c r="AS1055" s="158"/>
      <c r="AT1055" s="159"/>
      <c r="AU1055" s="161"/>
      <c r="AV1055" s="156"/>
      <c r="AW1055" s="162"/>
      <c r="AX1055" s="163"/>
      <c r="AY1055" s="164"/>
      <c r="AZ1055" s="159"/>
      <c r="BA1055" s="161"/>
      <c r="BB1055" s="165"/>
      <c r="BF1055" s="155"/>
    </row>
    <row r="1056" spans="1:58" s="154" customFormat="1" ht="15" customHeight="1">
      <c r="A1056" s="168" t="s">
        <v>3819</v>
      </c>
      <c r="B1056" s="23" t="s">
        <v>4019</v>
      </c>
      <c r="C1056" s="28" t="s">
        <v>3821</v>
      </c>
      <c r="D1056" s="155">
        <v>79</v>
      </c>
      <c r="E1056" s="154">
        <v>1</v>
      </c>
      <c r="F1056" s="154" t="s">
        <v>4563</v>
      </c>
      <c r="G1056" s="154" t="s">
        <v>4020</v>
      </c>
      <c r="J1056" s="154" t="s">
        <v>29</v>
      </c>
      <c r="K1056" s="154" t="s">
        <v>2426</v>
      </c>
      <c r="N1056" s="155"/>
      <c r="O1056" s="156"/>
      <c r="P1056" s="157"/>
      <c r="Q1056" s="158">
        <v>4</v>
      </c>
      <c r="R1056" s="159">
        <v>2</v>
      </c>
      <c r="S1056" s="160"/>
      <c r="T1056" s="161">
        <v>4</v>
      </c>
      <c r="U1056" s="156"/>
      <c r="V1056" s="162">
        <v>1</v>
      </c>
      <c r="W1056" s="163">
        <v>1</v>
      </c>
      <c r="X1056" s="164"/>
      <c r="Y1056" s="159"/>
      <c r="Z1056" s="161"/>
      <c r="AA1056" s="165"/>
      <c r="AD1056" s="154" t="s">
        <v>4018</v>
      </c>
      <c r="AE1056" s="155"/>
      <c r="AF1056" s="154" t="s">
        <v>4588</v>
      </c>
      <c r="AP1056" s="155"/>
      <c r="AQ1056" s="156"/>
      <c r="AR1056" s="157"/>
      <c r="AS1056" s="158"/>
      <c r="AT1056" s="159"/>
      <c r="AU1056" s="161"/>
      <c r="AV1056" s="156"/>
      <c r="AW1056" s="162"/>
      <c r="AX1056" s="163"/>
      <c r="AY1056" s="164"/>
      <c r="AZ1056" s="159"/>
      <c r="BA1056" s="161"/>
      <c r="BB1056" s="165"/>
      <c r="BF1056" s="155"/>
    </row>
    <row r="1057" spans="1:58" s="154" customFormat="1" ht="15" customHeight="1">
      <c r="A1057" s="168" t="s">
        <v>3819</v>
      </c>
      <c r="B1057" s="23" t="s">
        <v>4021</v>
      </c>
      <c r="C1057" s="28" t="s">
        <v>3821</v>
      </c>
      <c r="D1057" s="155">
        <v>80</v>
      </c>
      <c r="E1057" s="154">
        <v>3</v>
      </c>
      <c r="F1057" s="154" t="s">
        <v>4563</v>
      </c>
      <c r="G1057" s="154" t="s">
        <v>4022</v>
      </c>
      <c r="J1057" s="154" t="s">
        <v>28</v>
      </c>
      <c r="K1057" s="154" t="s">
        <v>2426</v>
      </c>
      <c r="N1057" s="155"/>
      <c r="O1057" s="156"/>
      <c r="P1057" s="157"/>
      <c r="Q1057" s="158"/>
      <c r="R1057" s="159"/>
      <c r="S1057" s="160"/>
      <c r="T1057" s="161"/>
      <c r="U1057" s="156"/>
      <c r="V1057" s="162"/>
      <c r="W1057" s="163"/>
      <c r="X1057" s="164"/>
      <c r="Y1057" s="159"/>
      <c r="Z1057" s="161"/>
      <c r="AA1057" s="165"/>
      <c r="AD1057" s="154" t="s">
        <v>4023</v>
      </c>
      <c r="AE1057" s="155"/>
      <c r="AF1057" s="154" t="s">
        <v>4487</v>
      </c>
      <c r="AP1057" s="155"/>
      <c r="AQ1057" s="156"/>
      <c r="AR1057" s="157"/>
      <c r="AS1057" s="158"/>
      <c r="AT1057" s="159"/>
      <c r="AU1057" s="161"/>
      <c r="AV1057" s="156"/>
      <c r="AW1057" s="162"/>
      <c r="AX1057" s="163"/>
      <c r="AY1057" s="164"/>
      <c r="AZ1057" s="159"/>
      <c r="BA1057" s="161"/>
      <c r="BB1057" s="165"/>
      <c r="BF1057" s="155"/>
    </row>
    <row r="1058" spans="1:58" s="154" customFormat="1" ht="15" customHeight="1">
      <c r="A1058" s="168" t="s">
        <v>3819</v>
      </c>
      <c r="B1058" s="23" t="s">
        <v>4024</v>
      </c>
      <c r="C1058" s="28" t="s">
        <v>3821</v>
      </c>
      <c r="D1058" s="155">
        <v>81</v>
      </c>
      <c r="E1058" s="154">
        <v>3</v>
      </c>
      <c r="F1058" s="154" t="s">
        <v>4564</v>
      </c>
      <c r="G1058" s="154" t="s">
        <v>4025</v>
      </c>
      <c r="J1058" s="154" t="s">
        <v>28</v>
      </c>
      <c r="K1058" s="154" t="s">
        <v>2426</v>
      </c>
      <c r="N1058" s="155"/>
      <c r="O1058" s="156"/>
      <c r="P1058" s="157"/>
      <c r="Q1058" s="158"/>
      <c r="R1058" s="159"/>
      <c r="S1058" s="160"/>
      <c r="T1058" s="161"/>
      <c r="U1058" s="156"/>
      <c r="V1058" s="162"/>
      <c r="W1058" s="163"/>
      <c r="X1058" s="164"/>
      <c r="Y1058" s="159"/>
      <c r="Z1058" s="161"/>
      <c r="AA1058" s="165"/>
      <c r="AD1058" s="154" t="s">
        <v>1191</v>
      </c>
      <c r="AE1058" s="155"/>
      <c r="AF1058" s="154" t="s">
        <v>4488</v>
      </c>
      <c r="AP1058" s="155"/>
      <c r="AQ1058" s="156"/>
      <c r="AR1058" s="157"/>
      <c r="AS1058" s="158"/>
      <c r="AT1058" s="159"/>
      <c r="AU1058" s="161"/>
      <c r="AV1058" s="156"/>
      <c r="AW1058" s="162"/>
      <c r="AX1058" s="163"/>
      <c r="AY1058" s="164"/>
      <c r="AZ1058" s="159"/>
      <c r="BA1058" s="161"/>
      <c r="BB1058" s="165"/>
      <c r="BF1058" s="155"/>
    </row>
    <row r="1059" spans="1:58" s="154" customFormat="1" ht="15" customHeight="1">
      <c r="A1059" s="168" t="s">
        <v>3819</v>
      </c>
      <c r="B1059" s="23" t="s">
        <v>4026</v>
      </c>
      <c r="C1059" s="28" t="s">
        <v>3821</v>
      </c>
      <c r="D1059" s="155">
        <v>82</v>
      </c>
      <c r="E1059" s="154">
        <v>2</v>
      </c>
      <c r="F1059" s="154" t="s">
        <v>4564</v>
      </c>
      <c r="G1059" s="154" t="s">
        <v>4027</v>
      </c>
      <c r="J1059" s="154" t="s">
        <v>28</v>
      </c>
      <c r="K1059" s="154" t="s">
        <v>2426</v>
      </c>
      <c r="N1059" s="155"/>
      <c r="O1059" s="156"/>
      <c r="P1059" s="157"/>
      <c r="Q1059" s="158"/>
      <c r="R1059" s="159"/>
      <c r="S1059" s="160"/>
      <c r="T1059" s="161"/>
      <c r="U1059" s="156"/>
      <c r="V1059" s="162"/>
      <c r="W1059" s="163"/>
      <c r="X1059" s="164"/>
      <c r="Y1059" s="159"/>
      <c r="Z1059" s="161"/>
      <c r="AA1059" s="165"/>
      <c r="AD1059" s="154" t="s">
        <v>1191</v>
      </c>
      <c r="AE1059" s="155"/>
      <c r="AF1059" s="154" t="s">
        <v>4489</v>
      </c>
      <c r="AP1059" s="155"/>
      <c r="AQ1059" s="156"/>
      <c r="AR1059" s="157"/>
      <c r="AS1059" s="158"/>
      <c r="AT1059" s="159"/>
      <c r="AU1059" s="161"/>
      <c r="AV1059" s="156"/>
      <c r="AW1059" s="162"/>
      <c r="AX1059" s="163"/>
      <c r="AY1059" s="164"/>
      <c r="AZ1059" s="159"/>
      <c r="BA1059" s="161"/>
      <c r="BB1059" s="165"/>
      <c r="BF1059" s="155"/>
    </row>
    <row r="1060" spans="1:58" s="154" customFormat="1" ht="15" customHeight="1">
      <c r="A1060" s="168" t="s">
        <v>3819</v>
      </c>
      <c r="B1060" s="23" t="s">
        <v>4028</v>
      </c>
      <c r="C1060" s="28" t="s">
        <v>3821</v>
      </c>
      <c r="D1060" s="155">
        <v>83</v>
      </c>
      <c r="E1060" s="154">
        <v>3</v>
      </c>
      <c r="F1060" s="154" t="s">
        <v>4565</v>
      </c>
      <c r="G1060" s="154" t="s">
        <v>4029</v>
      </c>
      <c r="J1060" s="154" t="s">
        <v>29</v>
      </c>
      <c r="K1060" s="154" t="s">
        <v>2426</v>
      </c>
      <c r="N1060" s="155"/>
      <c r="O1060" s="156"/>
      <c r="P1060" s="157"/>
      <c r="Q1060" s="158">
        <v>2</v>
      </c>
      <c r="R1060" s="159">
        <v>2</v>
      </c>
      <c r="S1060" s="160"/>
      <c r="T1060" s="161">
        <v>3</v>
      </c>
      <c r="U1060" s="156"/>
      <c r="V1060" s="162">
        <v>1</v>
      </c>
      <c r="W1060" s="163">
        <v>1</v>
      </c>
      <c r="X1060" s="164"/>
      <c r="Y1060" s="159"/>
      <c r="Z1060" s="161"/>
      <c r="AA1060" s="165"/>
      <c r="AD1060" s="154" t="s">
        <v>3861</v>
      </c>
      <c r="AE1060" s="155"/>
      <c r="AF1060" s="154" t="s">
        <v>4490</v>
      </c>
      <c r="AP1060" s="155"/>
      <c r="AQ1060" s="156"/>
      <c r="AR1060" s="157"/>
      <c r="AS1060" s="158"/>
      <c r="AT1060" s="159"/>
      <c r="AU1060" s="161"/>
      <c r="AV1060" s="156"/>
      <c r="AW1060" s="162"/>
      <c r="AX1060" s="163"/>
      <c r="AY1060" s="164"/>
      <c r="AZ1060" s="159"/>
      <c r="BA1060" s="161"/>
      <c r="BB1060" s="165"/>
      <c r="BF1060" s="155"/>
    </row>
    <row r="1061" spans="1:58" s="154" customFormat="1" ht="15" customHeight="1">
      <c r="A1061" s="168" t="s">
        <v>3819</v>
      </c>
      <c r="B1061" s="23" t="s">
        <v>4030</v>
      </c>
      <c r="C1061" s="28" t="s">
        <v>3821</v>
      </c>
      <c r="D1061" s="155">
        <v>84</v>
      </c>
      <c r="E1061" s="154">
        <v>1</v>
      </c>
      <c r="F1061" s="154" t="s">
        <v>4565</v>
      </c>
      <c r="G1061" s="154" t="s">
        <v>4031</v>
      </c>
      <c r="J1061" s="154" t="s">
        <v>29</v>
      </c>
      <c r="K1061" s="154" t="s">
        <v>2426</v>
      </c>
      <c r="N1061" s="155"/>
      <c r="O1061" s="156"/>
      <c r="P1061" s="157"/>
      <c r="Q1061" s="158">
        <v>3</v>
      </c>
      <c r="R1061" s="159">
        <v>3</v>
      </c>
      <c r="S1061" s="160"/>
      <c r="T1061" s="161">
        <v>5</v>
      </c>
      <c r="U1061" s="156"/>
      <c r="V1061" s="162">
        <v>1</v>
      </c>
      <c r="W1061" s="163">
        <v>2</v>
      </c>
      <c r="X1061" s="164"/>
      <c r="Y1061" s="159"/>
      <c r="Z1061" s="161"/>
      <c r="AA1061" s="165">
        <v>1</v>
      </c>
      <c r="AD1061" s="154" t="s">
        <v>3861</v>
      </c>
      <c r="AE1061" s="155"/>
      <c r="AF1061" s="154" t="s">
        <v>4491</v>
      </c>
      <c r="AP1061" s="155"/>
      <c r="AQ1061" s="156"/>
      <c r="AR1061" s="157"/>
      <c r="AS1061" s="158"/>
      <c r="AT1061" s="159"/>
      <c r="AU1061" s="161"/>
      <c r="AV1061" s="156"/>
      <c r="AW1061" s="162"/>
      <c r="AX1061" s="163"/>
      <c r="AY1061" s="164"/>
      <c r="AZ1061" s="159"/>
      <c r="BA1061" s="161"/>
      <c r="BB1061" s="165"/>
      <c r="BF1061" s="155"/>
    </row>
    <row r="1062" spans="1:58" s="154" customFormat="1" ht="15" customHeight="1">
      <c r="A1062" s="168" t="s">
        <v>3819</v>
      </c>
      <c r="B1062" s="23" t="s">
        <v>4032</v>
      </c>
      <c r="C1062" s="28" t="s">
        <v>3821</v>
      </c>
      <c r="D1062" s="155">
        <v>85</v>
      </c>
      <c r="E1062" s="154">
        <v>2</v>
      </c>
      <c r="F1062" s="154" t="s">
        <v>4565</v>
      </c>
      <c r="G1062" s="154" t="s">
        <v>4033</v>
      </c>
      <c r="J1062" s="154" t="s">
        <v>28</v>
      </c>
      <c r="K1062" s="154" t="s">
        <v>2426</v>
      </c>
      <c r="N1062" s="155"/>
      <c r="O1062" s="156"/>
      <c r="P1062" s="157"/>
      <c r="Q1062" s="158"/>
      <c r="R1062" s="159"/>
      <c r="S1062" s="160"/>
      <c r="T1062" s="161"/>
      <c r="U1062" s="156"/>
      <c r="V1062" s="162"/>
      <c r="W1062" s="163"/>
      <c r="X1062" s="164"/>
      <c r="Y1062" s="159"/>
      <c r="Z1062" s="161"/>
      <c r="AA1062" s="165"/>
      <c r="AD1062" s="154" t="s">
        <v>439</v>
      </c>
      <c r="AE1062" s="155"/>
      <c r="AF1062" s="154" t="s">
        <v>4492</v>
      </c>
      <c r="AP1062" s="155"/>
      <c r="AQ1062" s="156"/>
      <c r="AR1062" s="157"/>
      <c r="AS1062" s="158"/>
      <c r="AT1062" s="159"/>
      <c r="AU1062" s="161"/>
      <c r="AV1062" s="156"/>
      <c r="AW1062" s="162"/>
      <c r="AX1062" s="163"/>
      <c r="AY1062" s="164"/>
      <c r="AZ1062" s="159"/>
      <c r="BA1062" s="161"/>
      <c r="BB1062" s="165"/>
      <c r="BF1062" s="155"/>
    </row>
    <row r="1063" spans="1:58" s="154" customFormat="1" ht="15" customHeight="1">
      <c r="A1063" s="168" t="s">
        <v>3819</v>
      </c>
      <c r="B1063" s="23" t="s">
        <v>4034</v>
      </c>
      <c r="C1063" s="28" t="s">
        <v>3821</v>
      </c>
      <c r="D1063" s="155">
        <v>86</v>
      </c>
      <c r="E1063" s="154">
        <v>2</v>
      </c>
      <c r="F1063" s="154" t="s">
        <v>4566</v>
      </c>
      <c r="G1063" s="154" t="s">
        <v>4035</v>
      </c>
      <c r="J1063" s="154" t="s">
        <v>29</v>
      </c>
      <c r="K1063" s="154" t="s">
        <v>2426</v>
      </c>
      <c r="N1063" s="155"/>
      <c r="O1063" s="156"/>
      <c r="P1063" s="157"/>
      <c r="Q1063" s="158">
        <v>4</v>
      </c>
      <c r="R1063" s="159">
        <v>2</v>
      </c>
      <c r="S1063" s="160"/>
      <c r="T1063" s="161">
        <v>2</v>
      </c>
      <c r="U1063" s="156"/>
      <c r="V1063" s="162">
        <v>1</v>
      </c>
      <c r="W1063" s="163"/>
      <c r="X1063" s="164"/>
      <c r="Y1063" s="159"/>
      <c r="Z1063" s="161"/>
      <c r="AA1063" s="165"/>
      <c r="AD1063" s="154" t="s">
        <v>4036</v>
      </c>
      <c r="AE1063" s="155"/>
      <c r="AF1063" s="154" t="s">
        <v>4493</v>
      </c>
      <c r="AP1063" s="155"/>
      <c r="AQ1063" s="156"/>
      <c r="AR1063" s="157"/>
      <c r="AS1063" s="158"/>
      <c r="AT1063" s="159"/>
      <c r="AU1063" s="161"/>
      <c r="AV1063" s="156"/>
      <c r="AW1063" s="162"/>
      <c r="AX1063" s="163"/>
      <c r="AY1063" s="164"/>
      <c r="AZ1063" s="159"/>
      <c r="BA1063" s="161"/>
      <c r="BB1063" s="165"/>
      <c r="BF1063" s="155"/>
    </row>
    <row r="1064" spans="1:58" s="154" customFormat="1" ht="15" customHeight="1">
      <c r="A1064" s="168" t="s">
        <v>3819</v>
      </c>
      <c r="B1064" s="23" t="s">
        <v>4037</v>
      </c>
      <c r="C1064" s="28" t="s">
        <v>3821</v>
      </c>
      <c r="D1064" s="155">
        <v>87</v>
      </c>
      <c r="E1064" s="154">
        <v>2</v>
      </c>
      <c r="F1064" s="154" t="s">
        <v>4566</v>
      </c>
      <c r="G1064" s="154" t="s">
        <v>4038</v>
      </c>
      <c r="J1064" s="154" t="s">
        <v>28</v>
      </c>
      <c r="K1064" s="154" t="s">
        <v>2426</v>
      </c>
      <c r="N1064" s="155"/>
      <c r="O1064" s="156"/>
      <c r="P1064" s="157"/>
      <c r="Q1064" s="158"/>
      <c r="R1064" s="159"/>
      <c r="S1064" s="160"/>
      <c r="T1064" s="161"/>
      <c r="U1064" s="156"/>
      <c r="V1064" s="162"/>
      <c r="W1064" s="163"/>
      <c r="X1064" s="164"/>
      <c r="Y1064" s="159"/>
      <c r="Z1064" s="161"/>
      <c r="AA1064" s="165"/>
      <c r="AD1064" s="154" t="s">
        <v>1196</v>
      </c>
      <c r="AE1064" s="155"/>
      <c r="AF1064" s="154" t="s">
        <v>4494</v>
      </c>
      <c r="AP1064" s="155"/>
      <c r="AQ1064" s="156"/>
      <c r="AR1064" s="157"/>
      <c r="AS1064" s="158"/>
      <c r="AT1064" s="159"/>
      <c r="AU1064" s="161"/>
      <c r="AV1064" s="156"/>
      <c r="AW1064" s="162"/>
      <c r="AX1064" s="163"/>
      <c r="AY1064" s="164"/>
      <c r="AZ1064" s="159"/>
      <c r="BA1064" s="161"/>
      <c r="BB1064" s="165"/>
      <c r="BF1064" s="155"/>
    </row>
    <row r="1065" spans="1:58" s="154" customFormat="1" ht="15" customHeight="1">
      <c r="A1065" s="168" t="s">
        <v>3819</v>
      </c>
      <c r="B1065" s="23" t="s">
        <v>4039</v>
      </c>
      <c r="C1065" s="28" t="s">
        <v>3821</v>
      </c>
      <c r="D1065" s="155">
        <v>88</v>
      </c>
      <c r="E1065" s="154">
        <v>3</v>
      </c>
      <c r="F1065" s="154" t="s">
        <v>4567</v>
      </c>
      <c r="G1065" s="154" t="s">
        <v>4040</v>
      </c>
      <c r="J1065" s="154" t="s">
        <v>28</v>
      </c>
      <c r="K1065" s="154" t="s">
        <v>2426</v>
      </c>
      <c r="N1065" s="155"/>
      <c r="O1065" s="156"/>
      <c r="P1065" s="157"/>
      <c r="Q1065" s="158"/>
      <c r="R1065" s="159"/>
      <c r="S1065" s="160"/>
      <c r="T1065" s="161"/>
      <c r="U1065" s="156"/>
      <c r="V1065" s="162"/>
      <c r="W1065" s="163"/>
      <c r="X1065" s="164"/>
      <c r="Y1065" s="159"/>
      <c r="Z1065" s="161"/>
      <c r="AA1065" s="165"/>
      <c r="AD1065" s="154" t="s">
        <v>1025</v>
      </c>
      <c r="AE1065" s="155"/>
      <c r="AF1065" s="154" t="s">
        <v>4495</v>
      </c>
      <c r="AP1065" s="155"/>
      <c r="AQ1065" s="156"/>
      <c r="AR1065" s="157"/>
      <c r="AS1065" s="158"/>
      <c r="AT1065" s="159"/>
      <c r="AU1065" s="161"/>
      <c r="AV1065" s="156"/>
      <c r="AW1065" s="162"/>
      <c r="AX1065" s="163"/>
      <c r="AY1065" s="164"/>
      <c r="AZ1065" s="159"/>
      <c r="BA1065" s="161"/>
      <c r="BB1065" s="165"/>
      <c r="BF1065" s="155"/>
    </row>
    <row r="1066" spans="1:58" s="154" customFormat="1" ht="15" customHeight="1">
      <c r="A1066" s="168" t="s">
        <v>3819</v>
      </c>
      <c r="B1066" s="23" t="s">
        <v>4041</v>
      </c>
      <c r="C1066" s="28" t="s">
        <v>3821</v>
      </c>
      <c r="D1066" s="155">
        <v>89</v>
      </c>
      <c r="E1066" s="154">
        <v>2</v>
      </c>
      <c r="F1066" s="154" t="s">
        <v>4567</v>
      </c>
      <c r="G1066" s="154" t="s">
        <v>4042</v>
      </c>
      <c r="J1066" s="154" t="s">
        <v>28</v>
      </c>
      <c r="K1066" s="154" t="s">
        <v>2426</v>
      </c>
      <c r="N1066" s="155"/>
      <c r="O1066" s="156"/>
      <c r="P1066" s="157"/>
      <c r="Q1066" s="158"/>
      <c r="R1066" s="159"/>
      <c r="S1066" s="160"/>
      <c r="T1066" s="161"/>
      <c r="U1066" s="156"/>
      <c r="V1066" s="162"/>
      <c r="W1066" s="163"/>
      <c r="X1066" s="164"/>
      <c r="Y1066" s="159"/>
      <c r="Z1066" s="161"/>
      <c r="AA1066" s="165"/>
      <c r="AD1066" s="154" t="s">
        <v>1025</v>
      </c>
      <c r="AE1066" s="155"/>
      <c r="AF1066" s="154" t="s">
        <v>4496</v>
      </c>
      <c r="AP1066" s="155"/>
      <c r="AQ1066" s="156"/>
      <c r="AR1066" s="157"/>
      <c r="AS1066" s="158"/>
      <c r="AT1066" s="159"/>
      <c r="AU1066" s="161"/>
      <c r="AV1066" s="156"/>
      <c r="AW1066" s="162"/>
      <c r="AX1066" s="163"/>
      <c r="AY1066" s="164"/>
      <c r="AZ1066" s="159"/>
      <c r="BA1066" s="161"/>
      <c r="BB1066" s="165"/>
      <c r="BF1066" s="155"/>
    </row>
    <row r="1067" spans="1:58" s="154" customFormat="1" ht="15" customHeight="1">
      <c r="A1067" s="168" t="s">
        <v>3819</v>
      </c>
      <c r="B1067" s="23" t="s">
        <v>4043</v>
      </c>
      <c r="C1067" s="28" t="s">
        <v>3821</v>
      </c>
      <c r="D1067" s="155">
        <v>90</v>
      </c>
      <c r="E1067" s="154">
        <v>3</v>
      </c>
      <c r="F1067" s="154" t="s">
        <v>4568</v>
      </c>
      <c r="G1067" s="154" t="s">
        <v>4044</v>
      </c>
      <c r="J1067" s="154" t="s">
        <v>28</v>
      </c>
      <c r="K1067" s="154" t="s">
        <v>2426</v>
      </c>
      <c r="N1067" s="155"/>
      <c r="O1067" s="156"/>
      <c r="P1067" s="157"/>
      <c r="Q1067" s="158"/>
      <c r="R1067" s="159"/>
      <c r="S1067" s="160"/>
      <c r="T1067" s="161"/>
      <c r="U1067" s="156"/>
      <c r="V1067" s="162"/>
      <c r="W1067" s="163"/>
      <c r="X1067" s="164"/>
      <c r="Y1067" s="159"/>
      <c r="Z1067" s="161"/>
      <c r="AA1067" s="165"/>
      <c r="AD1067" s="154" t="s">
        <v>486</v>
      </c>
      <c r="AE1067" s="155"/>
      <c r="AF1067" s="154" t="s">
        <v>4497</v>
      </c>
      <c r="AP1067" s="155"/>
      <c r="AQ1067" s="156"/>
      <c r="AR1067" s="157"/>
      <c r="AS1067" s="158"/>
      <c r="AT1067" s="159"/>
      <c r="AU1067" s="161"/>
      <c r="AV1067" s="156"/>
      <c r="AW1067" s="162"/>
      <c r="AX1067" s="163"/>
      <c r="AY1067" s="164"/>
      <c r="AZ1067" s="159"/>
      <c r="BA1067" s="161"/>
      <c r="BB1067" s="165"/>
      <c r="BF1067" s="155"/>
    </row>
    <row r="1068" spans="1:58" s="154" customFormat="1" ht="15" customHeight="1">
      <c r="A1068" s="168" t="s">
        <v>3819</v>
      </c>
      <c r="B1068" s="23" t="s">
        <v>4045</v>
      </c>
      <c r="C1068" s="28" t="s">
        <v>3821</v>
      </c>
      <c r="D1068" s="155">
        <v>91</v>
      </c>
      <c r="E1068" s="154">
        <v>2</v>
      </c>
      <c r="F1068" s="154" t="s">
        <v>4568</v>
      </c>
      <c r="G1068" s="154" t="s">
        <v>4046</v>
      </c>
      <c r="J1068" s="154" t="s">
        <v>28</v>
      </c>
      <c r="K1068" s="154" t="s">
        <v>2426</v>
      </c>
      <c r="N1068" s="155"/>
      <c r="O1068" s="156"/>
      <c r="P1068" s="157"/>
      <c r="Q1068" s="158"/>
      <c r="R1068" s="159"/>
      <c r="S1068" s="160"/>
      <c r="T1068" s="161"/>
      <c r="U1068" s="156"/>
      <c r="V1068" s="162"/>
      <c r="W1068" s="163"/>
      <c r="X1068" s="164"/>
      <c r="Y1068" s="159"/>
      <c r="Z1068" s="161"/>
      <c r="AA1068" s="165"/>
      <c r="AD1068" s="154" t="s">
        <v>486</v>
      </c>
      <c r="AE1068" s="155"/>
      <c r="AF1068" s="154" t="s">
        <v>4498</v>
      </c>
      <c r="AP1068" s="155"/>
      <c r="AQ1068" s="156"/>
      <c r="AR1068" s="157"/>
      <c r="AS1068" s="158"/>
      <c r="AT1068" s="159"/>
      <c r="AU1068" s="161"/>
      <c r="AV1068" s="156"/>
      <c r="AW1068" s="162"/>
      <c r="AX1068" s="163"/>
      <c r="AY1068" s="164"/>
      <c r="AZ1068" s="159"/>
      <c r="BA1068" s="161"/>
      <c r="BB1068" s="165"/>
      <c r="BF1068" s="155"/>
    </row>
    <row r="1069" spans="1:58" s="154" customFormat="1" ht="15" customHeight="1">
      <c r="A1069" s="168" t="s">
        <v>3819</v>
      </c>
      <c r="B1069" s="23" t="s">
        <v>4047</v>
      </c>
      <c r="C1069" s="28" t="s">
        <v>3821</v>
      </c>
      <c r="D1069" s="155">
        <v>92</v>
      </c>
      <c r="E1069" s="154">
        <v>2</v>
      </c>
      <c r="F1069" s="154" t="s">
        <v>4569</v>
      </c>
      <c r="G1069" s="154" t="s">
        <v>4048</v>
      </c>
      <c r="J1069" s="154" t="s">
        <v>28</v>
      </c>
      <c r="K1069" s="154" t="s">
        <v>2426</v>
      </c>
      <c r="N1069" s="155"/>
      <c r="O1069" s="156"/>
      <c r="P1069" s="157"/>
      <c r="Q1069" s="158"/>
      <c r="R1069" s="159"/>
      <c r="S1069" s="160"/>
      <c r="T1069" s="161"/>
      <c r="U1069" s="156"/>
      <c r="V1069" s="162"/>
      <c r="W1069" s="163"/>
      <c r="X1069" s="164"/>
      <c r="Y1069" s="159"/>
      <c r="Z1069" s="161"/>
      <c r="AA1069" s="165"/>
      <c r="AD1069" s="154" t="s">
        <v>4049</v>
      </c>
      <c r="AE1069" s="155"/>
      <c r="AF1069" s="154" t="s">
        <v>4499</v>
      </c>
      <c r="AP1069" s="155"/>
      <c r="AQ1069" s="156"/>
      <c r="AR1069" s="157"/>
      <c r="AS1069" s="158"/>
      <c r="AT1069" s="159"/>
      <c r="AU1069" s="161"/>
      <c r="AV1069" s="156"/>
      <c r="AW1069" s="162"/>
      <c r="AX1069" s="163"/>
      <c r="AY1069" s="164"/>
      <c r="AZ1069" s="159"/>
      <c r="BA1069" s="161"/>
      <c r="BB1069" s="165"/>
      <c r="BF1069" s="155"/>
    </row>
    <row r="1070" spans="1:58" s="154" customFormat="1" ht="15" customHeight="1">
      <c r="A1070" s="168" t="s">
        <v>3819</v>
      </c>
      <c r="B1070" s="23" t="s">
        <v>4050</v>
      </c>
      <c r="C1070" s="28" t="s">
        <v>3821</v>
      </c>
      <c r="D1070" s="155">
        <v>93</v>
      </c>
      <c r="E1070" s="154">
        <v>2</v>
      </c>
      <c r="F1070" s="154" t="s">
        <v>4569</v>
      </c>
      <c r="G1070" s="154" t="s">
        <v>4051</v>
      </c>
      <c r="J1070" s="154" t="s">
        <v>28</v>
      </c>
      <c r="K1070" s="154" t="s">
        <v>2426</v>
      </c>
      <c r="N1070" s="155"/>
      <c r="O1070" s="156"/>
      <c r="P1070" s="157"/>
      <c r="Q1070" s="158"/>
      <c r="R1070" s="159"/>
      <c r="S1070" s="160"/>
      <c r="T1070" s="161"/>
      <c r="U1070" s="156"/>
      <c r="V1070" s="162"/>
      <c r="W1070" s="163"/>
      <c r="X1070" s="164"/>
      <c r="Y1070" s="159"/>
      <c r="Z1070" s="161"/>
      <c r="AA1070" s="165"/>
      <c r="AD1070" s="154" t="s">
        <v>481</v>
      </c>
      <c r="AE1070" s="155"/>
      <c r="AF1070" s="154" t="s">
        <v>4589</v>
      </c>
      <c r="AP1070" s="155"/>
      <c r="AQ1070" s="156"/>
      <c r="AR1070" s="157"/>
      <c r="AS1070" s="158"/>
      <c r="AT1070" s="159"/>
      <c r="AU1070" s="161"/>
      <c r="AV1070" s="156"/>
      <c r="AW1070" s="162"/>
      <c r="AX1070" s="163"/>
      <c r="AY1070" s="164"/>
      <c r="AZ1070" s="159"/>
      <c r="BA1070" s="161"/>
      <c r="BB1070" s="165"/>
      <c r="BF1070" s="155"/>
    </row>
    <row r="1071" spans="1:58" s="154" customFormat="1" ht="15" customHeight="1">
      <c r="A1071" s="168" t="s">
        <v>3819</v>
      </c>
      <c r="B1071" s="23" t="s">
        <v>4052</v>
      </c>
      <c r="C1071" s="28" t="s">
        <v>3821</v>
      </c>
      <c r="D1071" s="155">
        <v>94</v>
      </c>
      <c r="E1071" s="154">
        <v>3</v>
      </c>
      <c r="F1071" s="154" t="s">
        <v>4569</v>
      </c>
      <c r="G1071" s="154" t="s">
        <v>4053</v>
      </c>
      <c r="J1071" s="154" t="s">
        <v>28</v>
      </c>
      <c r="K1071" s="154" t="s">
        <v>2426</v>
      </c>
      <c r="N1071" s="155"/>
      <c r="O1071" s="156"/>
      <c r="P1071" s="157"/>
      <c r="Q1071" s="158"/>
      <c r="R1071" s="159"/>
      <c r="S1071" s="160"/>
      <c r="T1071" s="161"/>
      <c r="U1071" s="156"/>
      <c r="V1071" s="162"/>
      <c r="W1071" s="163"/>
      <c r="X1071" s="164"/>
      <c r="Y1071" s="159"/>
      <c r="Z1071" s="161"/>
      <c r="AA1071" s="165"/>
      <c r="AD1071" s="154" t="s">
        <v>479</v>
      </c>
      <c r="AE1071" s="155"/>
      <c r="AF1071" s="154" t="s">
        <v>4500</v>
      </c>
      <c r="AP1071" s="155"/>
      <c r="AQ1071" s="156"/>
      <c r="AR1071" s="157"/>
      <c r="AS1071" s="158"/>
      <c r="AT1071" s="159"/>
      <c r="AU1071" s="161"/>
      <c r="AV1071" s="156"/>
      <c r="AW1071" s="162"/>
      <c r="AX1071" s="163"/>
      <c r="AY1071" s="164"/>
      <c r="AZ1071" s="159"/>
      <c r="BA1071" s="161"/>
      <c r="BB1071" s="165"/>
      <c r="BF1071" s="155"/>
    </row>
    <row r="1072" spans="1:58" s="154" customFormat="1" ht="15" customHeight="1">
      <c r="A1072" s="168" t="s">
        <v>3819</v>
      </c>
      <c r="B1072" s="23" t="s">
        <v>4054</v>
      </c>
      <c r="C1072" s="28" t="s">
        <v>3821</v>
      </c>
      <c r="D1072" s="155">
        <v>95</v>
      </c>
      <c r="E1072" s="154">
        <v>2</v>
      </c>
      <c r="F1072" s="154" t="s">
        <v>4570</v>
      </c>
      <c r="G1072" s="154" t="s">
        <v>4055</v>
      </c>
      <c r="J1072" s="154" t="s">
        <v>29</v>
      </c>
      <c r="K1072" s="154" t="s">
        <v>2426</v>
      </c>
      <c r="N1072" s="155"/>
      <c r="O1072" s="156"/>
      <c r="P1072" s="157"/>
      <c r="Q1072" s="158">
        <v>2</v>
      </c>
      <c r="R1072" s="159">
        <v>2</v>
      </c>
      <c r="S1072" s="160"/>
      <c r="T1072" s="161">
        <v>3</v>
      </c>
      <c r="U1072" s="156"/>
      <c r="V1072" s="162"/>
      <c r="W1072" s="163">
        <v>1</v>
      </c>
      <c r="X1072" s="164"/>
      <c r="Y1072" s="159"/>
      <c r="Z1072" s="161"/>
      <c r="AA1072" s="165"/>
      <c r="AD1072" s="154" t="s">
        <v>467</v>
      </c>
      <c r="AE1072" s="155"/>
      <c r="AF1072" s="154" t="s">
        <v>4501</v>
      </c>
      <c r="AP1072" s="155"/>
      <c r="AQ1072" s="156"/>
      <c r="AR1072" s="157"/>
      <c r="AS1072" s="158"/>
      <c r="AT1072" s="159"/>
      <c r="AU1072" s="161"/>
      <c r="AV1072" s="156"/>
      <c r="AW1072" s="162"/>
      <c r="AX1072" s="163"/>
      <c r="AY1072" s="164"/>
      <c r="AZ1072" s="159"/>
      <c r="BA1072" s="161"/>
      <c r="BB1072" s="165"/>
      <c r="BF1072" s="155"/>
    </row>
    <row r="1073" spans="1:58" s="154" customFormat="1" ht="15" customHeight="1">
      <c r="A1073" s="168" t="s">
        <v>3819</v>
      </c>
      <c r="B1073" s="23" t="s">
        <v>4056</v>
      </c>
      <c r="C1073" s="28" t="s">
        <v>3821</v>
      </c>
      <c r="D1073" s="155">
        <v>96</v>
      </c>
      <c r="E1073" s="154">
        <v>2</v>
      </c>
      <c r="F1073" s="154" t="s">
        <v>4570</v>
      </c>
      <c r="G1073" s="154" t="s">
        <v>4057</v>
      </c>
      <c r="J1073" s="154" t="s">
        <v>28</v>
      </c>
      <c r="K1073" s="154" t="s">
        <v>2426</v>
      </c>
      <c r="N1073" s="155"/>
      <c r="O1073" s="156"/>
      <c r="P1073" s="157"/>
      <c r="Q1073" s="158"/>
      <c r="R1073" s="159"/>
      <c r="S1073" s="160"/>
      <c r="T1073" s="161"/>
      <c r="U1073" s="156"/>
      <c r="V1073" s="162"/>
      <c r="W1073" s="163"/>
      <c r="X1073" s="164"/>
      <c r="Y1073" s="159"/>
      <c r="Z1073" s="161"/>
      <c r="AA1073" s="165"/>
      <c r="AD1073" s="154" t="s">
        <v>1196</v>
      </c>
      <c r="AE1073" s="155"/>
      <c r="AF1073" s="154" t="s">
        <v>4502</v>
      </c>
      <c r="AP1073" s="155"/>
      <c r="AQ1073" s="156"/>
      <c r="AR1073" s="157"/>
      <c r="AS1073" s="158"/>
      <c r="AT1073" s="159"/>
      <c r="AU1073" s="161"/>
      <c r="AV1073" s="156"/>
      <c r="AW1073" s="162"/>
      <c r="AX1073" s="163"/>
      <c r="AY1073" s="164"/>
      <c r="AZ1073" s="159"/>
      <c r="BA1073" s="161"/>
      <c r="BB1073" s="165"/>
      <c r="BF1073" s="155"/>
    </row>
    <row r="1074" spans="1:58" s="154" customFormat="1" ht="15" customHeight="1">
      <c r="A1074" s="168" t="s">
        <v>3819</v>
      </c>
      <c r="B1074" s="23" t="s">
        <v>4058</v>
      </c>
      <c r="C1074" s="28" t="s">
        <v>3821</v>
      </c>
      <c r="D1074" s="155">
        <v>97</v>
      </c>
      <c r="E1074" s="154">
        <v>2</v>
      </c>
      <c r="F1074" s="154" t="s">
        <v>4570</v>
      </c>
      <c r="G1074" s="154" t="s">
        <v>4059</v>
      </c>
      <c r="J1074" s="154" t="s">
        <v>28</v>
      </c>
      <c r="K1074" s="154" t="s">
        <v>2426</v>
      </c>
      <c r="N1074" s="155"/>
      <c r="O1074" s="156"/>
      <c r="P1074" s="157"/>
      <c r="Q1074" s="158"/>
      <c r="R1074" s="159"/>
      <c r="S1074" s="160"/>
      <c r="T1074" s="161"/>
      <c r="U1074" s="156"/>
      <c r="V1074" s="162"/>
      <c r="W1074" s="163"/>
      <c r="X1074" s="164"/>
      <c r="Y1074" s="159"/>
      <c r="Z1074" s="161"/>
      <c r="AA1074" s="165"/>
      <c r="AD1074" s="154" t="s">
        <v>486</v>
      </c>
      <c r="AE1074" s="155"/>
      <c r="AF1074" s="154" t="s">
        <v>4503</v>
      </c>
      <c r="AP1074" s="155"/>
      <c r="AQ1074" s="156"/>
      <c r="AR1074" s="157"/>
      <c r="AS1074" s="158"/>
      <c r="AT1074" s="159"/>
      <c r="AU1074" s="161"/>
      <c r="AV1074" s="156"/>
      <c r="AW1074" s="162"/>
      <c r="AX1074" s="163"/>
      <c r="AY1074" s="164"/>
      <c r="AZ1074" s="159"/>
      <c r="BA1074" s="161"/>
      <c r="BB1074" s="165"/>
      <c r="BF1074" s="155"/>
    </row>
    <row r="1075" spans="1:58" s="154" customFormat="1" ht="15" customHeight="1">
      <c r="A1075" s="168" t="s">
        <v>3819</v>
      </c>
      <c r="B1075" s="23" t="s">
        <v>4060</v>
      </c>
      <c r="C1075" s="28" t="s">
        <v>3821</v>
      </c>
      <c r="D1075" s="155">
        <v>98</v>
      </c>
      <c r="E1075" s="154">
        <v>2</v>
      </c>
      <c r="F1075" s="154" t="s">
        <v>4571</v>
      </c>
      <c r="G1075" s="154" t="s">
        <v>4061</v>
      </c>
      <c r="J1075" s="154" t="s">
        <v>29</v>
      </c>
      <c r="K1075" s="154" t="s">
        <v>2426</v>
      </c>
      <c r="N1075" s="155"/>
      <c r="O1075" s="156"/>
      <c r="P1075" s="157"/>
      <c r="Q1075" s="158">
        <v>3</v>
      </c>
      <c r="R1075" s="159">
        <v>3</v>
      </c>
      <c r="S1075" s="160"/>
      <c r="T1075" s="161">
        <v>3</v>
      </c>
      <c r="U1075" s="156"/>
      <c r="V1075" s="162">
        <v>1</v>
      </c>
      <c r="W1075" s="163">
        <v>1</v>
      </c>
      <c r="X1075" s="164"/>
      <c r="Y1075" s="159"/>
      <c r="Z1075" s="161"/>
      <c r="AA1075" s="165"/>
      <c r="AD1075" s="154" t="s">
        <v>3861</v>
      </c>
      <c r="AE1075" s="155"/>
      <c r="AF1075" s="154" t="s">
        <v>4504</v>
      </c>
      <c r="AP1075" s="155"/>
      <c r="AQ1075" s="156"/>
      <c r="AR1075" s="157"/>
      <c r="AS1075" s="158"/>
      <c r="AT1075" s="159"/>
      <c r="AU1075" s="161"/>
      <c r="AV1075" s="156"/>
      <c r="AW1075" s="162"/>
      <c r="AX1075" s="163"/>
      <c r="AY1075" s="164"/>
      <c r="AZ1075" s="159"/>
      <c r="BA1075" s="161"/>
      <c r="BB1075" s="165"/>
      <c r="BF1075" s="155"/>
    </row>
    <row r="1076" spans="1:58" s="154" customFormat="1" ht="15" customHeight="1">
      <c r="A1076" s="168" t="s">
        <v>3819</v>
      </c>
      <c r="B1076" s="23" t="s">
        <v>4062</v>
      </c>
      <c r="C1076" s="28" t="s">
        <v>3821</v>
      </c>
      <c r="D1076" s="155">
        <v>99</v>
      </c>
      <c r="E1076" s="154">
        <v>2</v>
      </c>
      <c r="F1076" s="154" t="s">
        <v>4571</v>
      </c>
      <c r="G1076" s="154" t="s">
        <v>4063</v>
      </c>
      <c r="J1076" s="154" t="s">
        <v>28</v>
      </c>
      <c r="K1076" s="154" t="s">
        <v>2426</v>
      </c>
      <c r="N1076" s="155"/>
      <c r="O1076" s="156"/>
      <c r="P1076" s="157"/>
      <c r="Q1076" s="158"/>
      <c r="R1076" s="159"/>
      <c r="S1076" s="160"/>
      <c r="T1076" s="161"/>
      <c r="U1076" s="156"/>
      <c r="V1076" s="162"/>
      <c r="W1076" s="163"/>
      <c r="X1076" s="164"/>
      <c r="Y1076" s="159"/>
      <c r="Z1076" s="161"/>
      <c r="AA1076" s="165"/>
      <c r="AD1076" s="154" t="s">
        <v>439</v>
      </c>
      <c r="AE1076" s="155"/>
      <c r="AF1076" s="154" t="s">
        <v>4505</v>
      </c>
      <c r="AP1076" s="155"/>
      <c r="AQ1076" s="156"/>
      <c r="AR1076" s="157"/>
      <c r="AS1076" s="158"/>
      <c r="AT1076" s="159"/>
      <c r="AU1076" s="161"/>
      <c r="AV1076" s="156"/>
      <c r="AW1076" s="162"/>
      <c r="AX1076" s="163"/>
      <c r="AY1076" s="164"/>
      <c r="AZ1076" s="159"/>
      <c r="BA1076" s="161"/>
      <c r="BB1076" s="165"/>
      <c r="BF1076" s="155"/>
    </row>
    <row r="1077" spans="1:58" s="154" customFormat="1" ht="15" customHeight="1">
      <c r="A1077" s="168" t="s">
        <v>3819</v>
      </c>
      <c r="B1077" s="23" t="s">
        <v>4064</v>
      </c>
      <c r="C1077" s="28" t="s">
        <v>3821</v>
      </c>
      <c r="D1077" s="155">
        <v>100</v>
      </c>
      <c r="E1077" s="154">
        <v>1</v>
      </c>
      <c r="F1077" s="154" t="s">
        <v>4571</v>
      </c>
      <c r="G1077" s="154" t="s">
        <v>4065</v>
      </c>
      <c r="J1077" s="154" t="s">
        <v>28</v>
      </c>
      <c r="K1077" s="154" t="s">
        <v>2426</v>
      </c>
      <c r="N1077" s="155"/>
      <c r="O1077" s="156"/>
      <c r="P1077" s="157"/>
      <c r="Q1077" s="158"/>
      <c r="R1077" s="159"/>
      <c r="S1077" s="160"/>
      <c r="T1077" s="161"/>
      <c r="U1077" s="156"/>
      <c r="V1077" s="162"/>
      <c r="W1077" s="163"/>
      <c r="X1077" s="164"/>
      <c r="Y1077" s="159"/>
      <c r="Z1077" s="161"/>
      <c r="AA1077" s="165"/>
      <c r="AD1077" s="154" t="s">
        <v>1663</v>
      </c>
      <c r="AE1077" s="155"/>
      <c r="AF1077" s="154" t="s">
        <v>4506</v>
      </c>
      <c r="AP1077" s="155"/>
      <c r="AQ1077" s="156"/>
      <c r="AR1077" s="157"/>
      <c r="AS1077" s="158"/>
      <c r="AT1077" s="159"/>
      <c r="AU1077" s="161"/>
      <c r="AV1077" s="156"/>
      <c r="AW1077" s="162"/>
      <c r="AX1077" s="163"/>
      <c r="AY1077" s="164"/>
      <c r="AZ1077" s="159"/>
      <c r="BA1077" s="161"/>
      <c r="BB1077" s="165"/>
      <c r="BF1077" s="155"/>
    </row>
    <row r="1078" spans="1:58" s="154" customFormat="1" ht="15" customHeight="1">
      <c r="A1078" s="168" t="s">
        <v>3819</v>
      </c>
      <c r="B1078" s="23" t="s">
        <v>4066</v>
      </c>
      <c r="C1078" s="28" t="s">
        <v>3821</v>
      </c>
      <c r="D1078" s="155">
        <v>101</v>
      </c>
      <c r="E1078" s="154">
        <v>2</v>
      </c>
      <c r="F1078" s="154" t="s">
        <v>4572</v>
      </c>
      <c r="G1078" s="154" t="s">
        <v>4067</v>
      </c>
      <c r="J1078" s="154" t="s">
        <v>28</v>
      </c>
      <c r="K1078" s="154" t="s">
        <v>2426</v>
      </c>
      <c r="N1078" s="155"/>
      <c r="O1078" s="156"/>
      <c r="P1078" s="157"/>
      <c r="Q1078" s="158"/>
      <c r="R1078" s="159"/>
      <c r="S1078" s="160"/>
      <c r="T1078" s="161"/>
      <c r="U1078" s="156"/>
      <c r="V1078" s="162"/>
      <c r="W1078" s="163"/>
      <c r="X1078" s="164"/>
      <c r="Y1078" s="159"/>
      <c r="Z1078" s="161"/>
      <c r="AA1078" s="165"/>
      <c r="AD1078" s="154" t="s">
        <v>4068</v>
      </c>
      <c r="AE1078" s="155"/>
      <c r="AF1078" s="154" t="s">
        <v>4507</v>
      </c>
      <c r="AP1078" s="155"/>
      <c r="AQ1078" s="156"/>
      <c r="AR1078" s="157"/>
      <c r="AS1078" s="158"/>
      <c r="AT1078" s="159"/>
      <c r="AU1078" s="161"/>
      <c r="AV1078" s="156"/>
      <c r="AW1078" s="162"/>
      <c r="AX1078" s="163"/>
      <c r="AY1078" s="164"/>
      <c r="AZ1078" s="159"/>
      <c r="BA1078" s="161"/>
      <c r="BB1078" s="165"/>
      <c r="BF1078" s="155"/>
    </row>
    <row r="1079" spans="1:58" s="154" customFormat="1" ht="15" customHeight="1">
      <c r="A1079" s="168" t="s">
        <v>3819</v>
      </c>
      <c r="B1079" s="23" t="s">
        <v>4069</v>
      </c>
      <c r="C1079" s="28" t="s">
        <v>3821</v>
      </c>
      <c r="D1079" s="155">
        <v>102</v>
      </c>
      <c r="E1079" s="154">
        <v>4</v>
      </c>
      <c r="F1079" s="154" t="s">
        <v>4572</v>
      </c>
      <c r="G1079" s="154" t="s">
        <v>4070</v>
      </c>
      <c r="J1079" s="154" t="s">
        <v>28</v>
      </c>
      <c r="K1079" s="154" t="s">
        <v>26</v>
      </c>
      <c r="M1079" s="154" t="s">
        <v>648</v>
      </c>
      <c r="N1079" s="155"/>
      <c r="O1079" s="156"/>
      <c r="P1079" s="157"/>
      <c r="Q1079" s="158"/>
      <c r="R1079" s="159"/>
      <c r="S1079" s="160"/>
      <c r="T1079" s="161"/>
      <c r="U1079" s="156"/>
      <c r="V1079" s="162"/>
      <c r="W1079" s="163"/>
      <c r="X1079" s="164"/>
      <c r="Y1079" s="159"/>
      <c r="Z1079" s="161"/>
      <c r="AA1079" s="165"/>
      <c r="AD1079" s="154" t="s">
        <v>4068</v>
      </c>
      <c r="AE1079" s="155"/>
      <c r="AF1079" s="154" t="s">
        <v>4508</v>
      </c>
      <c r="AP1079" s="155"/>
      <c r="AQ1079" s="156"/>
      <c r="AR1079" s="157"/>
      <c r="AS1079" s="158"/>
      <c r="AT1079" s="159"/>
      <c r="AU1079" s="161"/>
      <c r="AV1079" s="156"/>
      <c r="AW1079" s="162"/>
      <c r="AX1079" s="163"/>
      <c r="AY1079" s="164"/>
      <c r="AZ1079" s="159"/>
      <c r="BA1079" s="161"/>
      <c r="BB1079" s="165"/>
      <c r="BF1079" s="155"/>
    </row>
    <row r="1080" spans="1:58" ht="15" customHeight="1">
      <c r="A1080" s="168" t="s">
        <v>3819</v>
      </c>
      <c r="B1080" s="23" t="s">
        <v>4071</v>
      </c>
      <c r="C1080" s="28" t="s">
        <v>3821</v>
      </c>
      <c r="D1080" s="24">
        <v>995</v>
      </c>
      <c r="E1080" s="23">
        <v>1</v>
      </c>
      <c r="G1080" s="28" t="s">
        <v>3822</v>
      </c>
      <c r="J1080" s="23" t="s">
        <v>861</v>
      </c>
      <c r="K1080" s="28" t="s">
        <v>198</v>
      </c>
      <c r="N1080" s="147"/>
      <c r="O1080" s="118"/>
      <c r="P1080" s="119"/>
      <c r="Q1080" s="120"/>
      <c r="R1080" s="29"/>
      <c r="S1080" s="135"/>
      <c r="T1080" s="122"/>
      <c r="U1080" s="118"/>
      <c r="V1080" s="123"/>
      <c r="W1080" s="124"/>
      <c r="X1080" s="125"/>
      <c r="Y1080" s="29"/>
      <c r="Z1080" s="122"/>
      <c r="AA1080" s="126"/>
      <c r="AB1080" s="148"/>
      <c r="AI1080" s="28" t="s">
        <v>3822</v>
      </c>
      <c r="AL1080" s="23" t="s">
        <v>861</v>
      </c>
      <c r="AM1080" s="28" t="s">
        <v>198</v>
      </c>
      <c r="AP1080" s="24"/>
      <c r="AQ1080" s="118"/>
      <c r="AR1080" s="119"/>
      <c r="AS1080" s="120"/>
      <c r="AT1080" s="29"/>
      <c r="AU1080" s="122"/>
      <c r="AV1080" s="118"/>
      <c r="AW1080" s="123"/>
      <c r="AX1080" s="124"/>
      <c r="AY1080" s="125"/>
      <c r="AZ1080" s="29"/>
      <c r="BA1080" s="122"/>
      <c r="BB1080" s="126"/>
    </row>
    <row r="1081" spans="1:58" ht="15" customHeight="1">
      <c r="A1081" s="168" t="s">
        <v>3819</v>
      </c>
      <c r="B1081" s="23" t="s">
        <v>4072</v>
      </c>
      <c r="C1081" s="28" t="s">
        <v>3821</v>
      </c>
      <c r="D1081" s="24">
        <v>996</v>
      </c>
      <c r="E1081" s="23">
        <v>1</v>
      </c>
      <c r="G1081" s="23" t="s">
        <v>3826</v>
      </c>
      <c r="J1081" s="23" t="s">
        <v>861</v>
      </c>
      <c r="K1081" s="23" t="s">
        <v>199</v>
      </c>
      <c r="N1081" s="147"/>
      <c r="O1081" s="118"/>
      <c r="P1081" s="119"/>
      <c r="Q1081" s="120"/>
      <c r="R1081" s="29"/>
      <c r="S1081" s="135"/>
      <c r="T1081" s="122"/>
      <c r="U1081" s="118"/>
      <c r="V1081" s="123"/>
      <c r="W1081" s="124"/>
      <c r="X1081" s="125"/>
      <c r="Y1081" s="29"/>
      <c r="Z1081" s="122"/>
      <c r="AA1081" s="126"/>
      <c r="AB1081" s="148"/>
      <c r="AI1081" s="23" t="s">
        <v>3826</v>
      </c>
      <c r="AL1081" s="23" t="s">
        <v>861</v>
      </c>
      <c r="AM1081" s="23" t="s">
        <v>199</v>
      </c>
      <c r="AP1081" s="24"/>
      <c r="AQ1081" s="118"/>
      <c r="AR1081" s="119"/>
      <c r="AS1081" s="120"/>
      <c r="AT1081" s="29"/>
      <c r="AU1081" s="122"/>
      <c r="AV1081" s="118"/>
      <c r="AW1081" s="123"/>
      <c r="AX1081" s="124"/>
      <c r="AY1081" s="125"/>
      <c r="AZ1081" s="29"/>
      <c r="BA1081" s="122"/>
      <c r="BB1081" s="126"/>
    </row>
    <row r="1082" spans="1:58" ht="15" customHeight="1">
      <c r="A1082" s="168" t="s">
        <v>3819</v>
      </c>
      <c r="B1082" s="23" t="s">
        <v>4073</v>
      </c>
      <c r="C1082" s="28" t="s">
        <v>3821</v>
      </c>
      <c r="D1082" s="24">
        <v>997</v>
      </c>
      <c r="E1082" s="23">
        <v>1</v>
      </c>
      <c r="G1082" s="23" t="s">
        <v>3830</v>
      </c>
      <c r="J1082" s="23" t="s">
        <v>861</v>
      </c>
      <c r="K1082" s="23" t="s">
        <v>201</v>
      </c>
      <c r="N1082" s="147"/>
      <c r="O1082" s="118"/>
      <c r="P1082" s="119"/>
      <c r="Q1082" s="120"/>
      <c r="R1082" s="29"/>
      <c r="S1082" s="135"/>
      <c r="T1082" s="122"/>
      <c r="U1082" s="118"/>
      <c r="V1082" s="123"/>
      <c r="W1082" s="124"/>
      <c r="X1082" s="125"/>
      <c r="Y1082" s="29"/>
      <c r="Z1082" s="122"/>
      <c r="AA1082" s="126"/>
      <c r="AB1082" s="148"/>
      <c r="AI1082" s="23" t="s">
        <v>3830</v>
      </c>
      <c r="AL1082" s="23" t="s">
        <v>861</v>
      </c>
      <c r="AM1082" s="23" t="s">
        <v>201</v>
      </c>
      <c r="AP1082" s="24"/>
      <c r="AQ1082" s="118"/>
      <c r="AR1082" s="119"/>
      <c r="AS1082" s="120"/>
      <c r="AT1082" s="29"/>
      <c r="AU1082" s="122"/>
      <c r="AV1082" s="118"/>
      <c r="AW1082" s="123"/>
      <c r="AX1082" s="124"/>
      <c r="AY1082" s="125"/>
      <c r="AZ1082" s="29"/>
      <c r="BA1082" s="122"/>
      <c r="BB1082" s="126"/>
    </row>
    <row r="1083" spans="1:58" ht="15" customHeight="1">
      <c r="A1083" s="168" t="s">
        <v>3819</v>
      </c>
      <c r="B1083" s="23" t="s">
        <v>4074</v>
      </c>
      <c r="C1083" s="28" t="s">
        <v>3821</v>
      </c>
      <c r="D1083" s="24">
        <v>998</v>
      </c>
      <c r="E1083" s="23">
        <v>1</v>
      </c>
      <c r="G1083" s="23" t="s">
        <v>3833</v>
      </c>
      <c r="J1083" s="23" t="s">
        <v>861</v>
      </c>
      <c r="K1083" s="23" t="s">
        <v>200</v>
      </c>
      <c r="N1083" s="147"/>
      <c r="O1083" s="118"/>
      <c r="P1083" s="119"/>
      <c r="Q1083" s="120"/>
      <c r="R1083" s="29"/>
      <c r="S1083" s="135"/>
      <c r="T1083" s="122"/>
      <c r="U1083" s="118"/>
      <c r="V1083" s="123"/>
      <c r="W1083" s="124"/>
      <c r="X1083" s="125"/>
      <c r="Y1083" s="29"/>
      <c r="Z1083" s="122"/>
      <c r="AA1083" s="126"/>
      <c r="AB1083" s="148"/>
      <c r="AI1083" s="23" t="s">
        <v>3833</v>
      </c>
      <c r="AL1083" s="23" t="s">
        <v>861</v>
      </c>
      <c r="AM1083" s="23" t="s">
        <v>200</v>
      </c>
      <c r="AP1083" s="24"/>
      <c r="AQ1083" s="118"/>
      <c r="AR1083" s="119"/>
      <c r="AS1083" s="120"/>
      <c r="AT1083" s="29"/>
      <c r="AU1083" s="122"/>
      <c r="AV1083" s="118"/>
      <c r="AW1083" s="123"/>
      <c r="AX1083" s="124"/>
      <c r="AY1083" s="125"/>
      <c r="AZ1083" s="29"/>
      <c r="BA1083" s="122"/>
      <c r="BB1083" s="126"/>
    </row>
    <row r="1084" spans="1:58" ht="15" customHeight="1">
      <c r="A1084" s="168" t="s">
        <v>3819</v>
      </c>
      <c r="B1084" s="23" t="s">
        <v>4075</v>
      </c>
      <c r="C1084" s="28" t="s">
        <v>3821</v>
      </c>
      <c r="D1084" s="24">
        <v>999</v>
      </c>
      <c r="E1084" s="23">
        <v>1</v>
      </c>
      <c r="G1084" s="23" t="s">
        <v>3837</v>
      </c>
      <c r="J1084" s="23" t="s">
        <v>861</v>
      </c>
      <c r="K1084" s="23" t="s">
        <v>202</v>
      </c>
      <c r="N1084" s="147"/>
      <c r="O1084" s="118"/>
      <c r="P1084" s="119"/>
      <c r="Q1084" s="120"/>
      <c r="R1084" s="29"/>
      <c r="S1084" s="135"/>
      <c r="T1084" s="122"/>
      <c r="U1084" s="118"/>
      <c r="V1084" s="123"/>
      <c r="W1084" s="124"/>
      <c r="X1084" s="125"/>
      <c r="Y1084" s="29"/>
      <c r="Z1084" s="122"/>
      <c r="AA1084" s="126"/>
      <c r="AB1084" s="148"/>
      <c r="AI1084" s="23" t="s">
        <v>3837</v>
      </c>
      <c r="AL1084" s="23" t="s">
        <v>861</v>
      </c>
      <c r="AM1084" s="23" t="s">
        <v>202</v>
      </c>
      <c r="AP1084" s="24"/>
      <c r="AQ1084" s="118"/>
      <c r="AR1084" s="119"/>
      <c r="AS1084" s="120"/>
      <c r="AT1084" s="29"/>
      <c r="AU1084" s="122"/>
      <c r="AV1084" s="118"/>
      <c r="AW1084" s="123"/>
      <c r="AX1084" s="124"/>
      <c r="AY1084" s="125"/>
      <c r="AZ1084" s="29"/>
      <c r="BA1084" s="122"/>
      <c r="BB1084" s="126"/>
    </row>
    <row r="1085" spans="1:58" s="171" customFormat="1" ht="15" customHeight="1">
      <c r="A1085" s="168" t="s">
        <v>4078</v>
      </c>
      <c r="B1085" s="23" t="s">
        <v>4079</v>
      </c>
      <c r="C1085" s="23" t="s">
        <v>4080</v>
      </c>
      <c r="D1085" s="170">
        <v>103</v>
      </c>
      <c r="E1085" s="171">
        <v>2</v>
      </c>
      <c r="G1085" s="171" t="s">
        <v>4081</v>
      </c>
      <c r="J1085" s="171" t="s">
        <v>27</v>
      </c>
      <c r="K1085" s="171" t="s">
        <v>198</v>
      </c>
      <c r="L1085" s="171">
        <v>0</v>
      </c>
      <c r="N1085" s="170">
        <v>2</v>
      </c>
      <c r="O1085" s="156"/>
      <c r="P1085" s="157">
        <v>1</v>
      </c>
      <c r="Q1085" s="158">
        <v>1</v>
      </c>
      <c r="R1085" s="159"/>
      <c r="S1085" s="160"/>
      <c r="T1085" s="161"/>
      <c r="U1085" s="156"/>
      <c r="V1085" s="162"/>
      <c r="W1085" s="163"/>
      <c r="X1085" s="164"/>
      <c r="Y1085" s="159"/>
      <c r="Z1085" s="161"/>
      <c r="AA1085" s="165"/>
      <c r="AB1085" s="171" t="s">
        <v>1091</v>
      </c>
      <c r="AD1085" s="171" t="s">
        <v>4082</v>
      </c>
      <c r="AE1085" s="170"/>
      <c r="AF1085" s="171" t="s">
        <v>4509</v>
      </c>
      <c r="AQ1085" s="156"/>
      <c r="AR1085" s="157"/>
      <c r="AS1085" s="158"/>
      <c r="AT1085" s="159"/>
      <c r="AU1085" s="161"/>
      <c r="AV1085" s="156"/>
      <c r="AW1085" s="162"/>
      <c r="AX1085" s="163"/>
      <c r="AY1085" s="164"/>
      <c r="AZ1085" s="159"/>
      <c r="BA1085" s="161"/>
      <c r="BB1085" s="165"/>
      <c r="BF1085" s="170"/>
    </row>
    <row r="1086" spans="1:58" s="154" customFormat="1" ht="15" customHeight="1">
      <c r="A1086" s="168" t="s">
        <v>4078</v>
      </c>
      <c r="B1086" s="23" t="s">
        <v>4083</v>
      </c>
      <c r="C1086" s="23" t="s">
        <v>4080</v>
      </c>
      <c r="D1086" s="170">
        <v>104</v>
      </c>
      <c r="E1086" s="154">
        <v>2</v>
      </c>
      <c r="G1086" s="154" t="s">
        <v>4084</v>
      </c>
      <c r="J1086" s="171" t="s">
        <v>27</v>
      </c>
      <c r="K1086" s="154" t="s">
        <v>198</v>
      </c>
      <c r="L1086" s="154">
        <v>1</v>
      </c>
      <c r="N1086" s="155">
        <v>2</v>
      </c>
      <c r="O1086" s="156"/>
      <c r="P1086" s="157"/>
      <c r="Q1086" s="158">
        <v>1</v>
      </c>
      <c r="R1086" s="159">
        <v>1</v>
      </c>
      <c r="S1086" s="160"/>
      <c r="T1086" s="161"/>
      <c r="U1086" s="156"/>
      <c r="V1086" s="162"/>
      <c r="W1086" s="163"/>
      <c r="X1086" s="164"/>
      <c r="Y1086" s="159"/>
      <c r="Z1086" s="161"/>
      <c r="AA1086" s="165"/>
      <c r="AB1086" s="154" t="s">
        <v>1087</v>
      </c>
      <c r="AD1086" s="154" t="s">
        <v>307</v>
      </c>
      <c r="AE1086" s="155"/>
      <c r="AF1086" s="154" t="s">
        <v>4510</v>
      </c>
      <c r="AL1086" s="171"/>
      <c r="AO1086" s="155"/>
      <c r="AP1086" s="155"/>
      <c r="AQ1086" s="156"/>
      <c r="AR1086" s="157"/>
      <c r="AS1086" s="158"/>
      <c r="AT1086" s="159"/>
      <c r="AU1086" s="161"/>
      <c r="AV1086" s="156"/>
      <c r="AW1086" s="162"/>
      <c r="AX1086" s="163"/>
      <c r="AY1086" s="164"/>
      <c r="AZ1086" s="159"/>
      <c r="BA1086" s="161"/>
      <c r="BB1086" s="165"/>
      <c r="BE1086" s="155"/>
    </row>
    <row r="1087" spans="1:58" s="154" customFormat="1" ht="15" customHeight="1">
      <c r="A1087" s="168" t="s">
        <v>4078</v>
      </c>
      <c r="B1087" s="23" t="s">
        <v>4085</v>
      </c>
      <c r="C1087" s="23" t="s">
        <v>4080</v>
      </c>
      <c r="D1087" s="170">
        <v>105</v>
      </c>
      <c r="E1087" s="154">
        <v>2</v>
      </c>
      <c r="G1087" s="154" t="s">
        <v>4086</v>
      </c>
      <c r="J1087" s="171" t="s">
        <v>27</v>
      </c>
      <c r="K1087" s="154" t="s">
        <v>199</v>
      </c>
      <c r="L1087" s="154">
        <v>0</v>
      </c>
      <c r="N1087" s="155">
        <v>2</v>
      </c>
      <c r="O1087" s="156">
        <v>1</v>
      </c>
      <c r="P1087" s="157">
        <v>1</v>
      </c>
      <c r="Q1087" s="158"/>
      <c r="R1087" s="159"/>
      <c r="S1087" s="160"/>
      <c r="T1087" s="161"/>
      <c r="U1087" s="156"/>
      <c r="V1087" s="162"/>
      <c r="W1087" s="163"/>
      <c r="X1087" s="164"/>
      <c r="Y1087" s="159"/>
      <c r="Z1087" s="161"/>
      <c r="AA1087" s="165"/>
      <c r="AB1087" s="154" t="s">
        <v>1092</v>
      </c>
      <c r="AD1087" s="154" t="s">
        <v>3895</v>
      </c>
      <c r="AE1087" s="155"/>
      <c r="AF1087" s="154" t="s">
        <v>4511</v>
      </c>
      <c r="AL1087" s="171"/>
      <c r="AO1087" s="155"/>
      <c r="AP1087" s="155"/>
      <c r="AQ1087" s="156"/>
      <c r="AR1087" s="157"/>
      <c r="AS1087" s="158"/>
      <c r="AT1087" s="159"/>
      <c r="AU1087" s="161"/>
      <c r="AV1087" s="156"/>
      <c r="AW1087" s="162"/>
      <c r="AX1087" s="163"/>
      <c r="AY1087" s="164"/>
      <c r="AZ1087" s="159"/>
      <c r="BA1087" s="161"/>
      <c r="BB1087" s="165"/>
      <c r="BE1087" s="155"/>
    </row>
    <row r="1088" spans="1:58" s="154" customFormat="1" ht="15" customHeight="1">
      <c r="A1088" s="168" t="s">
        <v>4078</v>
      </c>
      <c r="B1088" s="23" t="s">
        <v>4087</v>
      </c>
      <c r="C1088" s="23" t="s">
        <v>4080</v>
      </c>
      <c r="D1088" s="170">
        <v>106</v>
      </c>
      <c r="E1088" s="154">
        <v>2</v>
      </c>
      <c r="G1088" s="154" t="s">
        <v>4088</v>
      </c>
      <c r="J1088" s="171" t="s">
        <v>257</v>
      </c>
      <c r="K1088" s="154" t="s">
        <v>199</v>
      </c>
      <c r="L1088" s="154">
        <v>0</v>
      </c>
      <c r="N1088" s="155"/>
      <c r="O1088" s="156"/>
      <c r="P1088" s="157"/>
      <c r="Q1088" s="158"/>
      <c r="R1088" s="159"/>
      <c r="S1088" s="160"/>
      <c r="T1088" s="161"/>
      <c r="U1088" s="156"/>
      <c r="V1088" s="162"/>
      <c r="W1088" s="163"/>
      <c r="X1088" s="164"/>
      <c r="Y1088" s="159"/>
      <c r="Z1088" s="161"/>
      <c r="AA1088" s="165"/>
      <c r="AD1088" s="154" t="s">
        <v>289</v>
      </c>
      <c r="AE1088" s="155"/>
      <c r="AF1088" s="154" t="s">
        <v>4512</v>
      </c>
      <c r="AL1088" s="171"/>
      <c r="AO1088" s="155"/>
      <c r="AP1088" s="155"/>
      <c r="AQ1088" s="156"/>
      <c r="AR1088" s="157"/>
      <c r="AS1088" s="158"/>
      <c r="AT1088" s="159"/>
      <c r="AU1088" s="161"/>
      <c r="AV1088" s="156"/>
      <c r="AW1088" s="162"/>
      <c r="AX1088" s="163"/>
      <c r="AY1088" s="164"/>
      <c r="AZ1088" s="159"/>
      <c r="BA1088" s="161"/>
      <c r="BB1088" s="165"/>
      <c r="BE1088" s="155"/>
    </row>
    <row r="1089" spans="1:59" s="154" customFormat="1" ht="15" customHeight="1">
      <c r="A1089" s="168" t="s">
        <v>4078</v>
      </c>
      <c r="B1089" s="23" t="s">
        <v>4089</v>
      </c>
      <c r="C1089" s="23" t="s">
        <v>4080</v>
      </c>
      <c r="D1089" s="170">
        <v>107</v>
      </c>
      <c r="E1089" s="154">
        <v>2</v>
      </c>
      <c r="G1089" s="154" t="s">
        <v>4090</v>
      </c>
      <c r="J1089" s="154" t="s">
        <v>257</v>
      </c>
      <c r="K1089" s="154" t="s">
        <v>201</v>
      </c>
      <c r="L1089" s="154">
        <v>0</v>
      </c>
      <c r="N1089" s="154">
        <v>2</v>
      </c>
      <c r="O1089" s="156">
        <v>1</v>
      </c>
      <c r="P1089" s="157"/>
      <c r="Q1089" s="158"/>
      <c r="R1089" s="159"/>
      <c r="S1089" s="160"/>
      <c r="T1089" s="161"/>
      <c r="U1089" s="156"/>
      <c r="V1089" s="162"/>
      <c r="W1089" s="163"/>
      <c r="X1089" s="164"/>
      <c r="Y1089" s="159"/>
      <c r="Z1089" s="161"/>
      <c r="AA1089" s="165"/>
      <c r="AB1089" s="154" t="s">
        <v>204</v>
      </c>
      <c r="AC1089" s="154" t="s">
        <v>275</v>
      </c>
      <c r="AD1089" s="154" t="s">
        <v>375</v>
      </c>
      <c r="AF1089" s="154" t="s">
        <v>4091</v>
      </c>
      <c r="AO1089" s="155"/>
      <c r="AQ1089" s="156"/>
      <c r="AR1089" s="157"/>
      <c r="AS1089" s="158"/>
      <c r="AT1089" s="159"/>
      <c r="AU1089" s="161"/>
      <c r="AV1089" s="156"/>
      <c r="AW1089" s="162"/>
      <c r="AX1089" s="163"/>
      <c r="AY1089" s="164"/>
      <c r="AZ1089" s="159"/>
      <c r="BA1089" s="161"/>
      <c r="BB1089" s="165"/>
      <c r="BE1089" s="155"/>
    </row>
    <row r="1090" spans="1:59" s="154" customFormat="1" ht="15" customHeight="1">
      <c r="A1090" s="168" t="s">
        <v>4078</v>
      </c>
      <c r="B1090" s="23" t="s">
        <v>4092</v>
      </c>
      <c r="C1090" s="23" t="s">
        <v>4080</v>
      </c>
      <c r="D1090" s="170">
        <v>108</v>
      </c>
      <c r="E1090" s="154">
        <v>2</v>
      </c>
      <c r="G1090" s="154" t="s">
        <v>4093</v>
      </c>
      <c r="J1090" s="154" t="s">
        <v>257</v>
      </c>
      <c r="K1090" s="154" t="s">
        <v>201</v>
      </c>
      <c r="L1090" s="154">
        <v>1</v>
      </c>
      <c r="N1090" s="154">
        <v>3</v>
      </c>
      <c r="O1090" s="156"/>
      <c r="P1090" s="157"/>
      <c r="Q1090" s="158"/>
      <c r="R1090" s="159">
        <v>1</v>
      </c>
      <c r="S1090" s="160"/>
      <c r="T1090" s="161"/>
      <c r="U1090" s="156"/>
      <c r="V1090" s="162"/>
      <c r="W1090" s="163"/>
      <c r="X1090" s="164"/>
      <c r="Y1090" s="159"/>
      <c r="Z1090" s="161"/>
      <c r="AA1090" s="165"/>
      <c r="AB1090" s="154" t="s">
        <v>207</v>
      </c>
      <c r="AD1090" s="154" t="s">
        <v>4094</v>
      </c>
      <c r="AF1090" s="154" t="s">
        <v>4513</v>
      </c>
      <c r="AO1090" s="155"/>
      <c r="AQ1090" s="156"/>
      <c r="AR1090" s="157"/>
      <c r="AS1090" s="158"/>
      <c r="AT1090" s="159"/>
      <c r="AU1090" s="161"/>
      <c r="AV1090" s="156"/>
      <c r="AW1090" s="162"/>
      <c r="AX1090" s="163"/>
      <c r="AY1090" s="164"/>
      <c r="AZ1090" s="159"/>
      <c r="BA1090" s="161"/>
      <c r="BB1090" s="165"/>
      <c r="BE1090" s="155"/>
    </row>
    <row r="1091" spans="1:59" s="154" customFormat="1" ht="15" customHeight="1">
      <c r="A1091" s="168" t="s">
        <v>4078</v>
      </c>
      <c r="B1091" s="23" t="s">
        <v>4095</v>
      </c>
      <c r="C1091" s="23" t="s">
        <v>4080</v>
      </c>
      <c r="D1091" s="170">
        <v>109</v>
      </c>
      <c r="E1091" s="154">
        <v>2</v>
      </c>
      <c r="G1091" s="154" t="s">
        <v>4096</v>
      </c>
      <c r="J1091" s="154" t="s">
        <v>257</v>
      </c>
      <c r="K1091" s="154" t="s">
        <v>200</v>
      </c>
      <c r="L1091" s="154">
        <v>0</v>
      </c>
      <c r="O1091" s="156"/>
      <c r="P1091" s="157"/>
      <c r="Q1091" s="158"/>
      <c r="R1091" s="159"/>
      <c r="S1091" s="160"/>
      <c r="T1091" s="161"/>
      <c r="U1091" s="156"/>
      <c r="V1091" s="162"/>
      <c r="W1091" s="163"/>
      <c r="X1091" s="164"/>
      <c r="Y1091" s="159"/>
      <c r="Z1091" s="161"/>
      <c r="AA1091" s="165"/>
      <c r="AD1091" s="154" t="s">
        <v>289</v>
      </c>
      <c r="AF1091" s="154" t="s">
        <v>4514</v>
      </c>
      <c r="AO1091" s="155"/>
      <c r="AQ1091" s="156"/>
      <c r="AR1091" s="157"/>
      <c r="AS1091" s="158"/>
      <c r="AT1091" s="159"/>
      <c r="AU1091" s="161"/>
      <c r="AV1091" s="156"/>
      <c r="AW1091" s="162"/>
      <c r="AX1091" s="163"/>
      <c r="AY1091" s="164"/>
      <c r="AZ1091" s="159"/>
      <c r="BA1091" s="161"/>
      <c r="BB1091" s="165"/>
      <c r="BE1091" s="155"/>
    </row>
    <row r="1092" spans="1:59" s="154" customFormat="1" ht="15" customHeight="1">
      <c r="A1092" s="168" t="s">
        <v>4078</v>
      </c>
      <c r="B1092" s="23" t="s">
        <v>4097</v>
      </c>
      <c r="C1092" s="23" t="s">
        <v>4080</v>
      </c>
      <c r="D1092" s="170">
        <v>110</v>
      </c>
      <c r="E1092" s="154">
        <v>2</v>
      </c>
      <c r="G1092" s="154" t="s">
        <v>4098</v>
      </c>
      <c r="J1092" s="154" t="s">
        <v>27</v>
      </c>
      <c r="K1092" s="154" t="s">
        <v>200</v>
      </c>
      <c r="L1092" s="154">
        <v>2</v>
      </c>
      <c r="N1092" s="154">
        <v>2</v>
      </c>
      <c r="O1092" s="156">
        <v>1</v>
      </c>
      <c r="P1092" s="157">
        <v>1</v>
      </c>
      <c r="Q1092" s="158"/>
      <c r="R1092" s="159"/>
      <c r="S1092" s="160"/>
      <c r="T1092" s="161"/>
      <c r="U1092" s="156"/>
      <c r="V1092" s="162"/>
      <c r="W1092" s="163"/>
      <c r="X1092" s="164"/>
      <c r="Y1092" s="159"/>
      <c r="Z1092" s="161"/>
      <c r="AA1092" s="165"/>
      <c r="AB1092" s="154" t="s">
        <v>1092</v>
      </c>
      <c r="AD1092" s="154" t="s">
        <v>4099</v>
      </c>
      <c r="AF1092" s="154" t="s">
        <v>4515</v>
      </c>
      <c r="AO1092" s="155"/>
      <c r="AQ1092" s="156"/>
      <c r="AR1092" s="157"/>
      <c r="AS1092" s="158"/>
      <c r="AT1092" s="159"/>
      <c r="AU1092" s="161"/>
      <c r="AV1092" s="156"/>
      <c r="AW1092" s="162"/>
      <c r="AX1092" s="163"/>
      <c r="AY1092" s="164"/>
      <c r="AZ1092" s="159"/>
      <c r="BA1092" s="161"/>
      <c r="BB1092" s="165"/>
      <c r="BE1092" s="155"/>
    </row>
    <row r="1093" spans="1:59" s="154" customFormat="1" ht="15" customHeight="1">
      <c r="A1093" s="168" t="s">
        <v>4078</v>
      </c>
      <c r="B1093" s="23" t="s">
        <v>4100</v>
      </c>
      <c r="C1093" s="23" t="s">
        <v>4080</v>
      </c>
      <c r="D1093" s="170">
        <v>111</v>
      </c>
      <c r="E1093" s="154">
        <v>2</v>
      </c>
      <c r="G1093" s="154" t="s">
        <v>4101</v>
      </c>
      <c r="J1093" s="154" t="s">
        <v>27</v>
      </c>
      <c r="K1093" s="154" t="s">
        <v>202</v>
      </c>
      <c r="L1093" s="154">
        <v>0</v>
      </c>
      <c r="N1093" s="172">
        <v>2</v>
      </c>
      <c r="O1093" s="156">
        <v>2</v>
      </c>
      <c r="P1093" s="157"/>
      <c r="Q1093" s="158"/>
      <c r="R1093" s="159"/>
      <c r="S1093" s="160"/>
      <c r="T1093" s="161"/>
      <c r="U1093" s="156"/>
      <c r="V1093" s="162"/>
      <c r="W1093" s="163"/>
      <c r="X1093" s="164"/>
      <c r="Y1093" s="159"/>
      <c r="Z1093" s="161"/>
      <c r="AA1093" s="165"/>
      <c r="AB1093" s="154" t="s">
        <v>1094</v>
      </c>
      <c r="AD1093" s="154" t="s">
        <v>1805</v>
      </c>
      <c r="AF1093" s="154" t="s">
        <v>4516</v>
      </c>
      <c r="AO1093" s="155"/>
      <c r="AQ1093" s="156"/>
      <c r="AR1093" s="157"/>
      <c r="AS1093" s="158"/>
      <c r="AT1093" s="159"/>
      <c r="AU1093" s="161"/>
      <c r="AV1093" s="156"/>
      <c r="AW1093" s="162"/>
      <c r="AX1093" s="163"/>
      <c r="AY1093" s="164"/>
      <c r="AZ1093" s="159"/>
      <c r="BA1093" s="161"/>
      <c r="BB1093" s="165"/>
      <c r="BE1093" s="155"/>
    </row>
    <row r="1094" spans="1:59" s="154" customFormat="1" ht="15" customHeight="1">
      <c r="A1094" s="168" t="s">
        <v>4078</v>
      </c>
      <c r="B1094" s="23" t="s">
        <v>4102</v>
      </c>
      <c r="C1094" s="23" t="s">
        <v>4080</v>
      </c>
      <c r="D1094" s="170">
        <v>112</v>
      </c>
      <c r="E1094" s="154">
        <v>2</v>
      </c>
      <c r="G1094" s="154" t="s">
        <v>4103</v>
      </c>
      <c r="J1094" s="154" t="s">
        <v>312</v>
      </c>
      <c r="K1094" s="154" t="s">
        <v>202</v>
      </c>
      <c r="L1094" s="154">
        <v>0</v>
      </c>
      <c r="O1094" s="156"/>
      <c r="P1094" s="157"/>
      <c r="Q1094" s="158">
        <v>1</v>
      </c>
      <c r="R1094" s="159"/>
      <c r="S1094" s="160"/>
      <c r="T1094" s="161"/>
      <c r="U1094" s="156"/>
      <c r="V1094" s="162"/>
      <c r="W1094" s="163"/>
      <c r="X1094" s="164"/>
      <c r="Y1094" s="159"/>
      <c r="Z1094" s="161"/>
      <c r="AA1094" s="165"/>
      <c r="AB1094" s="154" t="s">
        <v>206</v>
      </c>
      <c r="AD1094" s="154" t="s">
        <v>313</v>
      </c>
      <c r="AF1094" s="154" t="s">
        <v>4104</v>
      </c>
      <c r="AO1094" s="155"/>
      <c r="AQ1094" s="156"/>
      <c r="AR1094" s="157"/>
      <c r="AS1094" s="158"/>
      <c r="AT1094" s="159"/>
      <c r="AU1094" s="161"/>
      <c r="AV1094" s="156"/>
      <c r="AW1094" s="162"/>
      <c r="AX1094" s="163"/>
      <c r="AY1094" s="164"/>
      <c r="AZ1094" s="159"/>
      <c r="BA1094" s="161"/>
      <c r="BB1094" s="165"/>
      <c r="BE1094" s="155"/>
    </row>
    <row r="1095" spans="1:59" s="154" customFormat="1" ht="15" customHeight="1">
      <c r="A1095" s="168" t="s">
        <v>4078</v>
      </c>
      <c r="B1095" s="23" t="s">
        <v>4105</v>
      </c>
      <c r="C1095" s="23" t="s">
        <v>4080</v>
      </c>
      <c r="D1095" s="170">
        <v>113</v>
      </c>
      <c r="E1095" s="154">
        <v>1</v>
      </c>
      <c r="F1095" s="154" t="s">
        <v>4106</v>
      </c>
      <c r="G1095" s="154" t="s">
        <v>4106</v>
      </c>
      <c r="J1095" s="154" t="s">
        <v>618</v>
      </c>
      <c r="K1095" s="154" t="s">
        <v>2426</v>
      </c>
      <c r="O1095" s="156"/>
      <c r="P1095" s="157"/>
      <c r="Q1095" s="158"/>
      <c r="R1095" s="159"/>
      <c r="S1095" s="160"/>
      <c r="T1095" s="161"/>
      <c r="U1095" s="156"/>
      <c r="V1095" s="162"/>
      <c r="W1095" s="163"/>
      <c r="X1095" s="164"/>
      <c r="Y1095" s="159"/>
      <c r="Z1095" s="161"/>
      <c r="AA1095" s="165"/>
      <c r="AF1095" s="154" t="s">
        <v>4517</v>
      </c>
      <c r="AI1095" s="154" t="s">
        <v>4106</v>
      </c>
      <c r="AL1095" s="154" t="s">
        <v>618</v>
      </c>
      <c r="AM1095" s="154" t="s">
        <v>2426</v>
      </c>
      <c r="AO1095" s="155"/>
      <c r="AQ1095" s="156"/>
      <c r="AR1095" s="157"/>
      <c r="AS1095" s="158"/>
      <c r="AT1095" s="159"/>
      <c r="AU1095" s="161"/>
      <c r="AV1095" s="156"/>
      <c r="AW1095" s="162"/>
      <c r="AX1095" s="163"/>
      <c r="AY1095" s="164"/>
      <c r="AZ1095" s="159"/>
      <c r="BA1095" s="161"/>
      <c r="BB1095" s="165"/>
      <c r="BE1095" s="155"/>
      <c r="BG1095" s="154" t="s">
        <v>4518</v>
      </c>
    </row>
    <row r="1096" spans="1:59" s="154" customFormat="1" ht="15" customHeight="1">
      <c r="A1096" s="168" t="s">
        <v>4078</v>
      </c>
      <c r="B1096" s="23" t="s">
        <v>4107</v>
      </c>
      <c r="C1096" s="23" t="s">
        <v>4080</v>
      </c>
      <c r="D1096" s="170">
        <v>114</v>
      </c>
      <c r="E1096" s="154">
        <v>1</v>
      </c>
      <c r="F1096" s="154" t="s">
        <v>4106</v>
      </c>
      <c r="G1096" s="154" t="s">
        <v>4108</v>
      </c>
      <c r="J1096" s="154" t="s">
        <v>619</v>
      </c>
      <c r="K1096" s="154" t="s">
        <v>2426</v>
      </c>
      <c r="L1096" s="154">
        <v>1</v>
      </c>
      <c r="O1096" s="156"/>
      <c r="P1096" s="157"/>
      <c r="Q1096" s="158"/>
      <c r="R1096" s="159"/>
      <c r="S1096" s="160"/>
      <c r="T1096" s="161"/>
      <c r="U1096" s="156"/>
      <c r="V1096" s="162"/>
      <c r="W1096" s="163"/>
      <c r="X1096" s="164"/>
      <c r="Y1096" s="159"/>
      <c r="Z1096" s="161">
        <v>6</v>
      </c>
      <c r="AA1096" s="165"/>
      <c r="AF1096" s="154" t="s">
        <v>727</v>
      </c>
      <c r="AI1096" s="154" t="s">
        <v>4590</v>
      </c>
      <c r="AL1096" s="154" t="s">
        <v>619</v>
      </c>
      <c r="AM1096" s="154" t="s">
        <v>2426</v>
      </c>
      <c r="AN1096" s="154">
        <v>1</v>
      </c>
      <c r="AO1096" s="155"/>
      <c r="AQ1096" s="156"/>
      <c r="AR1096" s="157"/>
      <c r="AS1096" s="158"/>
      <c r="AT1096" s="159"/>
      <c r="AU1096" s="161"/>
      <c r="AV1096" s="156"/>
      <c r="AW1096" s="162"/>
      <c r="AX1096" s="163"/>
      <c r="AY1096" s="164"/>
      <c r="AZ1096" s="159"/>
      <c r="BA1096" s="161"/>
      <c r="BB1096" s="165"/>
      <c r="BE1096" s="155"/>
      <c r="BG1096" s="154" t="s">
        <v>4519</v>
      </c>
    </row>
    <row r="1097" spans="1:59" s="154" customFormat="1" ht="15" customHeight="1">
      <c r="A1097" s="168" t="s">
        <v>4078</v>
      </c>
      <c r="B1097" s="23" t="s">
        <v>4109</v>
      </c>
      <c r="C1097" s="23" t="s">
        <v>4080</v>
      </c>
      <c r="D1097" s="170">
        <v>115</v>
      </c>
      <c r="E1097" s="154">
        <v>1</v>
      </c>
      <c r="F1097" s="154" t="s">
        <v>4106</v>
      </c>
      <c r="G1097" s="154" t="s">
        <v>4110</v>
      </c>
      <c r="J1097" s="154" t="s">
        <v>619</v>
      </c>
      <c r="K1097" s="154" t="s">
        <v>2426</v>
      </c>
      <c r="L1097" s="154">
        <v>2</v>
      </c>
      <c r="O1097" s="156"/>
      <c r="P1097" s="157"/>
      <c r="Q1097" s="158"/>
      <c r="R1097" s="159"/>
      <c r="S1097" s="160"/>
      <c r="T1097" s="161"/>
      <c r="U1097" s="156"/>
      <c r="V1097" s="162"/>
      <c r="W1097" s="163"/>
      <c r="X1097" s="164"/>
      <c r="Y1097" s="159"/>
      <c r="Z1097" s="161">
        <v>6</v>
      </c>
      <c r="AA1097" s="165"/>
      <c r="AF1097" s="154" t="s">
        <v>727</v>
      </c>
      <c r="AI1097" s="154" t="s">
        <v>4591</v>
      </c>
      <c r="AL1097" s="154" t="s">
        <v>619</v>
      </c>
      <c r="AM1097" s="154" t="s">
        <v>2426</v>
      </c>
      <c r="AN1097" s="154">
        <v>2</v>
      </c>
      <c r="AO1097" s="155"/>
      <c r="AQ1097" s="156"/>
      <c r="AR1097" s="157"/>
      <c r="AS1097" s="158"/>
      <c r="AT1097" s="159"/>
      <c r="AU1097" s="161"/>
      <c r="AV1097" s="156"/>
      <c r="AW1097" s="162"/>
      <c r="AX1097" s="163"/>
      <c r="AY1097" s="164"/>
      <c r="AZ1097" s="159"/>
      <c r="BA1097" s="161"/>
      <c r="BB1097" s="165"/>
      <c r="BE1097" s="155"/>
      <c r="BG1097" s="154" t="s">
        <v>4520</v>
      </c>
    </row>
    <row r="1098" spans="1:59" s="154" customFormat="1" ht="15" customHeight="1">
      <c r="A1098" s="168" t="s">
        <v>4078</v>
      </c>
      <c r="B1098" s="23" t="s">
        <v>4111</v>
      </c>
      <c r="C1098" s="23" t="s">
        <v>4080</v>
      </c>
      <c r="D1098" s="170">
        <v>116</v>
      </c>
      <c r="E1098" s="154">
        <v>1</v>
      </c>
      <c r="F1098" s="154" t="s">
        <v>4106</v>
      </c>
      <c r="G1098" s="154" t="s">
        <v>4112</v>
      </c>
      <c r="J1098" s="154" t="s">
        <v>619</v>
      </c>
      <c r="K1098" s="154" t="s">
        <v>2426</v>
      </c>
      <c r="L1098" s="154">
        <v>3</v>
      </c>
      <c r="O1098" s="156"/>
      <c r="P1098" s="157"/>
      <c r="Q1098" s="158"/>
      <c r="R1098" s="159"/>
      <c r="S1098" s="160"/>
      <c r="T1098" s="161"/>
      <c r="U1098" s="156"/>
      <c r="V1098" s="162"/>
      <c r="W1098" s="163"/>
      <c r="X1098" s="164"/>
      <c r="Y1098" s="159"/>
      <c r="Z1098" s="161">
        <v>6</v>
      </c>
      <c r="AA1098" s="165"/>
      <c r="AF1098" s="154" t="s">
        <v>727</v>
      </c>
      <c r="AI1098" s="154" t="s">
        <v>4592</v>
      </c>
      <c r="AL1098" s="154" t="s">
        <v>619</v>
      </c>
      <c r="AM1098" s="154" t="s">
        <v>2426</v>
      </c>
      <c r="AN1098" s="154">
        <v>3</v>
      </c>
      <c r="AO1098" s="155"/>
      <c r="AQ1098" s="156"/>
      <c r="AR1098" s="157"/>
      <c r="AS1098" s="158"/>
      <c r="AT1098" s="159"/>
      <c r="AU1098" s="161"/>
      <c r="AV1098" s="156"/>
      <c r="AW1098" s="162"/>
      <c r="AX1098" s="163"/>
      <c r="AY1098" s="164"/>
      <c r="AZ1098" s="159"/>
      <c r="BA1098" s="161"/>
      <c r="BB1098" s="165"/>
      <c r="BE1098" s="155"/>
      <c r="BG1098" s="154" t="s">
        <v>4113</v>
      </c>
    </row>
    <row r="1099" spans="1:59" s="154" customFormat="1" ht="15" customHeight="1">
      <c r="A1099" s="168" t="s">
        <v>4078</v>
      </c>
      <c r="B1099" s="23" t="s">
        <v>4114</v>
      </c>
      <c r="C1099" s="23" t="s">
        <v>4080</v>
      </c>
      <c r="D1099" s="170">
        <v>117</v>
      </c>
      <c r="E1099" s="154">
        <v>1</v>
      </c>
      <c r="F1099" s="154" t="s">
        <v>4106</v>
      </c>
      <c r="G1099" s="154" t="s">
        <v>4115</v>
      </c>
      <c r="J1099" s="154" t="s">
        <v>621</v>
      </c>
      <c r="K1099" s="154" t="s">
        <v>2426</v>
      </c>
      <c r="L1099" s="154">
        <v>1</v>
      </c>
      <c r="O1099" s="156"/>
      <c r="P1099" s="157"/>
      <c r="Q1099" s="158"/>
      <c r="R1099" s="159"/>
      <c r="S1099" s="160"/>
      <c r="T1099" s="161"/>
      <c r="U1099" s="156"/>
      <c r="V1099" s="162"/>
      <c r="W1099" s="163"/>
      <c r="X1099" s="164"/>
      <c r="Y1099" s="159" t="s">
        <v>1073</v>
      </c>
      <c r="Z1099" s="161"/>
      <c r="AA1099" s="165"/>
      <c r="AF1099" s="154" t="s">
        <v>4521</v>
      </c>
      <c r="AI1099" s="154" t="s">
        <v>4116</v>
      </c>
      <c r="AL1099" s="154" t="s">
        <v>31</v>
      </c>
      <c r="AM1099" s="154" t="s">
        <v>2426</v>
      </c>
      <c r="AO1099" s="155"/>
      <c r="AQ1099" s="156"/>
      <c r="AR1099" s="157"/>
      <c r="AS1099" s="158"/>
      <c r="AT1099" s="159"/>
      <c r="AU1099" s="161"/>
      <c r="AV1099" s="156"/>
      <c r="AW1099" s="162"/>
      <c r="AX1099" s="163"/>
      <c r="AY1099" s="164">
        <v>3</v>
      </c>
      <c r="AZ1099" s="159" t="s">
        <v>1111</v>
      </c>
      <c r="BA1099" s="161"/>
      <c r="BB1099" s="165">
        <v>1</v>
      </c>
      <c r="BE1099" s="154" t="s">
        <v>1772</v>
      </c>
      <c r="BG1099" s="154" t="s">
        <v>4522</v>
      </c>
    </row>
    <row r="1100" spans="1:59" s="154" customFormat="1" ht="15" customHeight="1">
      <c r="A1100" s="168" t="s">
        <v>4078</v>
      </c>
      <c r="B1100" s="23" t="s">
        <v>4117</v>
      </c>
      <c r="C1100" s="23" t="s">
        <v>4080</v>
      </c>
      <c r="D1100" s="170">
        <v>118</v>
      </c>
      <c r="E1100" s="154">
        <v>1</v>
      </c>
      <c r="F1100" s="154" t="s">
        <v>4106</v>
      </c>
      <c r="G1100" s="154" t="s">
        <v>4118</v>
      </c>
      <c r="J1100" s="154" t="s">
        <v>621</v>
      </c>
      <c r="K1100" s="171" t="s">
        <v>2426</v>
      </c>
      <c r="L1100" s="154">
        <v>1</v>
      </c>
      <c r="O1100" s="156"/>
      <c r="P1100" s="157"/>
      <c r="Q1100" s="158"/>
      <c r="R1100" s="159"/>
      <c r="S1100" s="160"/>
      <c r="T1100" s="161"/>
      <c r="U1100" s="156"/>
      <c r="V1100" s="162"/>
      <c r="W1100" s="163"/>
      <c r="X1100" s="164"/>
      <c r="Y1100" s="159" t="s">
        <v>1111</v>
      </c>
      <c r="Z1100" s="161"/>
      <c r="AA1100" s="165"/>
      <c r="AF1100" s="154" t="s">
        <v>4521</v>
      </c>
      <c r="AI1100" s="154" t="s">
        <v>4119</v>
      </c>
      <c r="AJ1100" s="154" t="s">
        <v>4120</v>
      </c>
      <c r="AK1100" s="154" t="s">
        <v>223</v>
      </c>
      <c r="AL1100" s="154" t="s">
        <v>257</v>
      </c>
      <c r="AM1100" s="171" t="s">
        <v>26</v>
      </c>
      <c r="AO1100" s="155"/>
      <c r="AQ1100" s="156"/>
      <c r="AR1100" s="157"/>
      <c r="AS1100" s="158"/>
      <c r="AT1100" s="159"/>
      <c r="AU1100" s="161"/>
      <c r="AV1100" s="156"/>
      <c r="AW1100" s="162"/>
      <c r="AX1100" s="163"/>
      <c r="AY1100" s="164"/>
      <c r="AZ1100" s="159"/>
      <c r="BA1100" s="161"/>
      <c r="BB1100" s="165"/>
      <c r="BE1100" s="154" t="s">
        <v>4121</v>
      </c>
      <c r="BG1100" s="154" t="s">
        <v>4523</v>
      </c>
    </row>
    <row r="1101" spans="1:59" s="154" customFormat="1" ht="15" customHeight="1">
      <c r="A1101" s="168" t="s">
        <v>4078</v>
      </c>
      <c r="B1101" s="23" t="s">
        <v>4122</v>
      </c>
      <c r="C1101" s="23" t="s">
        <v>4080</v>
      </c>
      <c r="D1101" s="170">
        <v>119</v>
      </c>
      <c r="E1101" s="154">
        <v>1</v>
      </c>
      <c r="F1101" s="154" t="s">
        <v>4106</v>
      </c>
      <c r="G1101" s="154" t="s">
        <v>4123</v>
      </c>
      <c r="J1101" s="154" t="s">
        <v>621</v>
      </c>
      <c r="K1101" s="171" t="s">
        <v>2426</v>
      </c>
      <c r="L1101" s="154">
        <v>2</v>
      </c>
      <c r="O1101" s="156"/>
      <c r="P1101" s="157"/>
      <c r="Q1101" s="158"/>
      <c r="R1101" s="159"/>
      <c r="S1101" s="160"/>
      <c r="T1101" s="161"/>
      <c r="U1101" s="156"/>
      <c r="V1101" s="162"/>
      <c r="W1101" s="163"/>
      <c r="X1101" s="164"/>
      <c r="Y1101" s="159" t="s">
        <v>1111</v>
      </c>
      <c r="Z1101" s="161"/>
      <c r="AA1101" s="165"/>
      <c r="AF1101" s="154" t="s">
        <v>4524</v>
      </c>
      <c r="AI1101" s="154" t="s">
        <v>4593</v>
      </c>
      <c r="AL1101" s="154" t="s">
        <v>621</v>
      </c>
      <c r="AM1101" s="154" t="s">
        <v>2426</v>
      </c>
      <c r="AN1101" s="154">
        <v>2</v>
      </c>
      <c r="AO1101" s="155"/>
      <c r="AQ1101" s="156"/>
      <c r="AR1101" s="157"/>
      <c r="AS1101" s="158"/>
      <c r="AT1101" s="159"/>
      <c r="AU1101" s="161"/>
      <c r="AV1101" s="156"/>
      <c r="AW1101" s="162"/>
      <c r="AX1101" s="163"/>
      <c r="AY1101" s="164"/>
      <c r="AZ1101" s="159"/>
      <c r="BA1101" s="161"/>
      <c r="BB1101" s="165"/>
      <c r="BE1101" s="155"/>
      <c r="BG1101" s="154" t="s">
        <v>4594</v>
      </c>
    </row>
    <row r="1102" spans="1:59" s="154" customFormat="1" ht="15" customHeight="1">
      <c r="A1102" s="168" t="s">
        <v>4078</v>
      </c>
      <c r="B1102" s="23" t="s">
        <v>4124</v>
      </c>
      <c r="C1102" s="23" t="s">
        <v>4080</v>
      </c>
      <c r="D1102" s="170">
        <v>120</v>
      </c>
      <c r="E1102" s="154">
        <v>1</v>
      </c>
      <c r="F1102" s="154" t="s">
        <v>4106</v>
      </c>
      <c r="G1102" s="154" t="s">
        <v>4123</v>
      </c>
      <c r="J1102" s="154" t="s">
        <v>621</v>
      </c>
      <c r="K1102" s="171" t="s">
        <v>2426</v>
      </c>
      <c r="L1102" s="154">
        <v>2</v>
      </c>
      <c r="O1102" s="156"/>
      <c r="P1102" s="157"/>
      <c r="Q1102" s="158"/>
      <c r="R1102" s="159"/>
      <c r="S1102" s="160"/>
      <c r="T1102" s="161"/>
      <c r="U1102" s="156"/>
      <c r="V1102" s="162"/>
      <c r="W1102" s="163"/>
      <c r="X1102" s="164"/>
      <c r="Y1102" s="159" t="s">
        <v>1111</v>
      </c>
      <c r="Z1102" s="161"/>
      <c r="AA1102" s="165"/>
      <c r="AF1102" s="154" t="s">
        <v>4524</v>
      </c>
      <c r="AI1102" s="154" t="s">
        <v>4595</v>
      </c>
      <c r="AL1102" s="154" t="s">
        <v>621</v>
      </c>
      <c r="AM1102" s="154" t="s">
        <v>2426</v>
      </c>
      <c r="AN1102" s="154">
        <v>2</v>
      </c>
      <c r="AO1102" s="155"/>
      <c r="AQ1102" s="156"/>
      <c r="AR1102" s="157"/>
      <c r="AS1102" s="158"/>
      <c r="AT1102" s="159"/>
      <c r="AU1102" s="161"/>
      <c r="AV1102" s="156"/>
      <c r="AW1102" s="162"/>
      <c r="AX1102" s="163"/>
      <c r="AY1102" s="164"/>
      <c r="AZ1102" s="159"/>
      <c r="BA1102" s="161"/>
      <c r="BB1102" s="165"/>
      <c r="BE1102" s="155"/>
      <c r="BG1102" s="154" t="s">
        <v>4525</v>
      </c>
    </row>
    <row r="1103" spans="1:59" s="154" customFormat="1" ht="15" customHeight="1">
      <c r="A1103" s="168" t="s">
        <v>4078</v>
      </c>
      <c r="B1103" s="23" t="s">
        <v>4125</v>
      </c>
      <c r="C1103" s="23" t="s">
        <v>4080</v>
      </c>
      <c r="D1103" s="170">
        <v>121</v>
      </c>
      <c r="E1103" s="154">
        <v>1</v>
      </c>
      <c r="F1103" s="154" t="s">
        <v>4106</v>
      </c>
      <c r="G1103" s="154" t="s">
        <v>4126</v>
      </c>
      <c r="J1103" s="154" t="s">
        <v>621</v>
      </c>
      <c r="K1103" s="154" t="s">
        <v>2426</v>
      </c>
      <c r="L1103" s="154">
        <v>2</v>
      </c>
      <c r="O1103" s="156"/>
      <c r="P1103" s="157"/>
      <c r="Q1103" s="158"/>
      <c r="R1103" s="159"/>
      <c r="S1103" s="160"/>
      <c r="T1103" s="161"/>
      <c r="U1103" s="156"/>
      <c r="V1103" s="162"/>
      <c r="W1103" s="163"/>
      <c r="X1103" s="164"/>
      <c r="Y1103" s="159" t="s">
        <v>38</v>
      </c>
      <c r="Z1103" s="161"/>
      <c r="AA1103" s="165"/>
      <c r="AF1103" s="154" t="s">
        <v>4596</v>
      </c>
      <c r="AI1103" s="154" t="s">
        <v>4597</v>
      </c>
      <c r="AL1103" s="154" t="s">
        <v>621</v>
      </c>
      <c r="AM1103" s="154" t="s">
        <v>2426</v>
      </c>
      <c r="AN1103" s="154">
        <v>2</v>
      </c>
      <c r="AO1103" s="155"/>
      <c r="AQ1103" s="156"/>
      <c r="AR1103" s="157"/>
      <c r="AS1103" s="158"/>
      <c r="AT1103" s="159"/>
      <c r="AU1103" s="161"/>
      <c r="AV1103" s="156"/>
      <c r="AW1103" s="162"/>
      <c r="AX1103" s="163"/>
      <c r="AY1103" s="164"/>
      <c r="AZ1103" s="159"/>
      <c r="BA1103" s="161"/>
      <c r="BB1103" s="165"/>
      <c r="BE1103" s="155"/>
      <c r="BG1103" s="154" t="s">
        <v>4526</v>
      </c>
    </row>
    <row r="1104" spans="1:59" s="154" customFormat="1" ht="15" customHeight="1">
      <c r="A1104" s="168" t="s">
        <v>4078</v>
      </c>
      <c r="B1104" s="23" t="s">
        <v>4127</v>
      </c>
      <c r="C1104" s="23" t="s">
        <v>4080</v>
      </c>
      <c r="D1104" s="170">
        <v>122</v>
      </c>
      <c r="E1104" s="154">
        <v>1</v>
      </c>
      <c r="F1104" s="154" t="s">
        <v>4106</v>
      </c>
      <c r="G1104" s="154" t="s">
        <v>4126</v>
      </c>
      <c r="J1104" s="154" t="s">
        <v>621</v>
      </c>
      <c r="K1104" s="154" t="s">
        <v>2426</v>
      </c>
      <c r="L1104" s="154">
        <v>2</v>
      </c>
      <c r="O1104" s="156"/>
      <c r="P1104" s="157"/>
      <c r="Q1104" s="158"/>
      <c r="R1104" s="159"/>
      <c r="S1104" s="160"/>
      <c r="T1104" s="161"/>
      <c r="U1104" s="156"/>
      <c r="V1104" s="162"/>
      <c r="W1104" s="163"/>
      <c r="X1104" s="164"/>
      <c r="Y1104" s="159" t="s">
        <v>38</v>
      </c>
      <c r="Z1104" s="161"/>
      <c r="AA1104" s="165"/>
      <c r="AF1104" s="154" t="s">
        <v>4596</v>
      </c>
      <c r="AI1104" s="154" t="s">
        <v>4119</v>
      </c>
      <c r="AJ1104" s="154" t="s">
        <v>4128</v>
      </c>
      <c r="AK1104" s="154" t="s">
        <v>223</v>
      </c>
      <c r="AL1104" s="154" t="s">
        <v>29</v>
      </c>
      <c r="AM1104" s="154" t="s">
        <v>2426</v>
      </c>
      <c r="AP1104" s="155"/>
      <c r="AQ1104" s="156"/>
      <c r="AR1104" s="157"/>
      <c r="AS1104" s="158">
        <v>4</v>
      </c>
      <c r="AT1104" s="159">
        <v>3</v>
      </c>
      <c r="AU1104" s="161">
        <v>2</v>
      </c>
      <c r="AV1104" s="156"/>
      <c r="AW1104" s="162">
        <v>1</v>
      </c>
      <c r="AX1104" s="163">
        <v>1</v>
      </c>
      <c r="AY1104" s="164"/>
      <c r="AZ1104" s="159"/>
      <c r="BA1104" s="161"/>
      <c r="BB1104" s="165">
        <v>1</v>
      </c>
      <c r="BE1104" s="154" t="s">
        <v>4129</v>
      </c>
      <c r="BF1104" s="155"/>
      <c r="BG1104" s="154" t="s">
        <v>4527</v>
      </c>
    </row>
    <row r="1105" spans="1:59" s="154" customFormat="1" ht="15" customHeight="1">
      <c r="A1105" s="168" t="s">
        <v>4078</v>
      </c>
      <c r="B1105" s="23" t="s">
        <v>4130</v>
      </c>
      <c r="C1105" s="23" t="s">
        <v>4080</v>
      </c>
      <c r="D1105" s="170">
        <v>123</v>
      </c>
      <c r="E1105" s="154">
        <v>1</v>
      </c>
      <c r="F1105" s="154" t="s">
        <v>4106</v>
      </c>
      <c r="G1105" s="154" t="s">
        <v>4131</v>
      </c>
      <c r="J1105" s="154" t="s">
        <v>621</v>
      </c>
      <c r="K1105" s="154" t="s">
        <v>2426</v>
      </c>
      <c r="L1105" s="154">
        <v>3</v>
      </c>
      <c r="N1105" s="155"/>
      <c r="O1105" s="156"/>
      <c r="P1105" s="157"/>
      <c r="Q1105" s="158"/>
      <c r="R1105" s="159"/>
      <c r="S1105" s="160"/>
      <c r="T1105" s="161"/>
      <c r="U1105" s="156"/>
      <c r="V1105" s="162"/>
      <c r="W1105" s="163"/>
      <c r="X1105" s="164"/>
      <c r="Y1105" s="159" t="s">
        <v>38</v>
      </c>
      <c r="Z1105" s="161"/>
      <c r="AA1105" s="165"/>
      <c r="AE1105" s="155"/>
      <c r="AF1105" s="154" t="s">
        <v>4528</v>
      </c>
      <c r="AI1105" s="154" t="s">
        <v>4598</v>
      </c>
      <c r="AL1105" s="154" t="s">
        <v>621</v>
      </c>
      <c r="AM1105" s="154" t="s">
        <v>2426</v>
      </c>
      <c r="AN1105" s="154">
        <v>3</v>
      </c>
      <c r="AP1105" s="155"/>
      <c r="AQ1105" s="156"/>
      <c r="AR1105" s="157"/>
      <c r="AS1105" s="158"/>
      <c r="AT1105" s="159"/>
      <c r="AU1105" s="161"/>
      <c r="AV1105" s="156"/>
      <c r="AW1105" s="162"/>
      <c r="AX1105" s="163"/>
      <c r="AY1105" s="164"/>
      <c r="AZ1105" s="159"/>
      <c r="BA1105" s="161"/>
      <c r="BB1105" s="165"/>
      <c r="BF1105" s="155"/>
      <c r="BG1105" s="154" t="s">
        <v>4599</v>
      </c>
    </row>
    <row r="1106" spans="1:59" s="154" customFormat="1" ht="15" customHeight="1">
      <c r="A1106" s="168" t="s">
        <v>4078</v>
      </c>
      <c r="B1106" s="23" t="s">
        <v>4132</v>
      </c>
      <c r="C1106" s="23" t="s">
        <v>4080</v>
      </c>
      <c r="D1106" s="170">
        <v>124</v>
      </c>
      <c r="E1106" s="154">
        <v>1</v>
      </c>
      <c r="F1106" s="154" t="s">
        <v>4106</v>
      </c>
      <c r="G1106" s="154" t="s">
        <v>4133</v>
      </c>
      <c r="J1106" s="154" t="s">
        <v>621</v>
      </c>
      <c r="K1106" s="154" t="s">
        <v>2426</v>
      </c>
      <c r="L1106" s="154">
        <v>3</v>
      </c>
      <c r="N1106" s="155"/>
      <c r="O1106" s="156"/>
      <c r="P1106" s="157"/>
      <c r="Q1106" s="158"/>
      <c r="R1106" s="159"/>
      <c r="S1106" s="160"/>
      <c r="T1106" s="161"/>
      <c r="U1106" s="156"/>
      <c r="V1106" s="162"/>
      <c r="W1106" s="163"/>
      <c r="X1106" s="164"/>
      <c r="Y1106" s="159" t="s">
        <v>38</v>
      </c>
      <c r="Z1106" s="161"/>
      <c r="AA1106" s="165"/>
      <c r="AE1106" s="155"/>
      <c r="AF1106" s="154" t="s">
        <v>4600</v>
      </c>
      <c r="AI1106" s="154" t="s">
        <v>4601</v>
      </c>
      <c r="AL1106" s="154" t="s">
        <v>621</v>
      </c>
      <c r="AM1106" s="154" t="s">
        <v>2426</v>
      </c>
      <c r="AN1106" s="154">
        <v>3</v>
      </c>
      <c r="AP1106" s="155"/>
      <c r="AQ1106" s="156"/>
      <c r="AR1106" s="157"/>
      <c r="AS1106" s="158"/>
      <c r="AT1106" s="159"/>
      <c r="AU1106" s="161"/>
      <c r="AV1106" s="156"/>
      <c r="AW1106" s="162"/>
      <c r="AX1106" s="163"/>
      <c r="AY1106" s="164"/>
      <c r="AZ1106" s="159"/>
      <c r="BA1106" s="161"/>
      <c r="BB1106" s="165"/>
      <c r="BF1106" s="155"/>
      <c r="BG1106" s="154" t="s">
        <v>4602</v>
      </c>
    </row>
    <row r="1107" spans="1:59" s="154" customFormat="1" ht="15" customHeight="1">
      <c r="A1107" s="168" t="s">
        <v>4078</v>
      </c>
      <c r="B1107" s="23" t="s">
        <v>4134</v>
      </c>
      <c r="C1107" s="23" t="s">
        <v>4080</v>
      </c>
      <c r="D1107" s="170">
        <v>125</v>
      </c>
      <c r="E1107" s="154">
        <v>1</v>
      </c>
      <c r="F1107" s="154" t="s">
        <v>4106</v>
      </c>
      <c r="G1107" s="154" t="s">
        <v>4135</v>
      </c>
      <c r="J1107" s="154" t="s">
        <v>621</v>
      </c>
      <c r="K1107" s="154" t="s">
        <v>2426</v>
      </c>
      <c r="L1107" s="154">
        <v>1</v>
      </c>
      <c r="N1107" s="155"/>
      <c r="O1107" s="156"/>
      <c r="P1107" s="157"/>
      <c r="Q1107" s="158"/>
      <c r="R1107" s="159"/>
      <c r="S1107" s="160"/>
      <c r="T1107" s="161"/>
      <c r="U1107" s="156"/>
      <c r="V1107" s="162"/>
      <c r="W1107" s="163"/>
      <c r="X1107" s="164"/>
      <c r="Y1107" s="159" t="s">
        <v>1073</v>
      </c>
      <c r="Z1107" s="161"/>
      <c r="AA1107" s="165"/>
      <c r="AE1107" s="155"/>
      <c r="AF1107" s="154" t="s">
        <v>4529</v>
      </c>
      <c r="AI1107" s="154" t="s">
        <v>4136</v>
      </c>
      <c r="AJ1107" s="154" t="s">
        <v>4137</v>
      </c>
      <c r="AK1107" s="154" t="s">
        <v>223</v>
      </c>
      <c r="AL1107" s="154" t="s">
        <v>257</v>
      </c>
      <c r="AM1107" s="154" t="s">
        <v>26</v>
      </c>
      <c r="AP1107" s="155"/>
      <c r="AQ1107" s="156"/>
      <c r="AR1107" s="157"/>
      <c r="AS1107" s="158"/>
      <c r="AT1107" s="159"/>
      <c r="AU1107" s="161"/>
      <c r="AV1107" s="156"/>
      <c r="AW1107" s="162"/>
      <c r="AX1107" s="163"/>
      <c r="AY1107" s="164"/>
      <c r="AZ1107" s="159"/>
      <c r="BA1107" s="161"/>
      <c r="BB1107" s="165"/>
      <c r="BE1107" s="154" t="s">
        <v>2737</v>
      </c>
      <c r="BF1107" s="155"/>
      <c r="BG1107" s="154" t="s">
        <v>4530</v>
      </c>
    </row>
    <row r="1108" spans="1:59" s="154" customFormat="1" ht="15" customHeight="1">
      <c r="A1108" s="168" t="s">
        <v>4078</v>
      </c>
      <c r="B1108" s="23" t="s">
        <v>4138</v>
      </c>
      <c r="C1108" s="23" t="s">
        <v>4080</v>
      </c>
      <c r="D1108" s="170">
        <v>126</v>
      </c>
      <c r="E1108" s="154">
        <v>1</v>
      </c>
      <c r="F1108" s="154" t="s">
        <v>4106</v>
      </c>
      <c r="G1108" s="154" t="s">
        <v>4139</v>
      </c>
      <c r="J1108" s="154" t="s">
        <v>621</v>
      </c>
      <c r="K1108" s="154" t="s">
        <v>2426</v>
      </c>
      <c r="L1108" s="154">
        <v>1</v>
      </c>
      <c r="N1108" s="155"/>
      <c r="O1108" s="156"/>
      <c r="P1108" s="157"/>
      <c r="Q1108" s="158"/>
      <c r="R1108" s="159"/>
      <c r="S1108" s="160"/>
      <c r="T1108" s="161"/>
      <c r="U1108" s="156"/>
      <c r="V1108" s="162"/>
      <c r="W1108" s="163"/>
      <c r="X1108" s="164"/>
      <c r="Y1108" s="159" t="s">
        <v>1073</v>
      </c>
      <c r="Z1108" s="161"/>
      <c r="AA1108" s="165"/>
      <c r="AE1108" s="155"/>
      <c r="AF1108" s="154" t="s">
        <v>4529</v>
      </c>
      <c r="AI1108" s="154" t="s">
        <v>4140</v>
      </c>
      <c r="AL1108" s="154" t="s">
        <v>31</v>
      </c>
      <c r="AM1108" s="154" t="s">
        <v>2426</v>
      </c>
      <c r="AP1108" s="155"/>
      <c r="AQ1108" s="156"/>
      <c r="AR1108" s="157"/>
      <c r="AS1108" s="158"/>
      <c r="AT1108" s="159"/>
      <c r="AU1108" s="161"/>
      <c r="AV1108" s="156"/>
      <c r="AW1108" s="162"/>
      <c r="AX1108" s="163"/>
      <c r="AY1108" s="164">
        <v>3</v>
      </c>
      <c r="AZ1108" s="159" t="s">
        <v>1111</v>
      </c>
      <c r="BA1108" s="161"/>
      <c r="BB1108" s="165">
        <v>1</v>
      </c>
      <c r="BE1108" s="154" t="s">
        <v>463</v>
      </c>
      <c r="BF1108" s="155"/>
      <c r="BG1108" s="154" t="s">
        <v>4531</v>
      </c>
    </row>
    <row r="1109" spans="1:59" s="154" customFormat="1" ht="15" customHeight="1">
      <c r="A1109" s="168" t="s">
        <v>4078</v>
      </c>
      <c r="B1109" s="23" t="s">
        <v>4141</v>
      </c>
      <c r="C1109" s="23" t="s">
        <v>4080</v>
      </c>
      <c r="D1109" s="170">
        <v>127</v>
      </c>
      <c r="E1109" s="154">
        <v>1</v>
      </c>
      <c r="F1109" s="154" t="s">
        <v>4106</v>
      </c>
      <c r="G1109" s="154" t="s">
        <v>4142</v>
      </c>
      <c r="J1109" s="154" t="s">
        <v>621</v>
      </c>
      <c r="K1109" s="154" t="s">
        <v>2426</v>
      </c>
      <c r="L1109" s="154">
        <v>2</v>
      </c>
      <c r="N1109" s="155"/>
      <c r="O1109" s="156"/>
      <c r="P1109" s="157"/>
      <c r="Q1109" s="158"/>
      <c r="R1109" s="159"/>
      <c r="S1109" s="160"/>
      <c r="T1109" s="161"/>
      <c r="U1109" s="156"/>
      <c r="V1109" s="162"/>
      <c r="W1109" s="163"/>
      <c r="X1109" s="164"/>
      <c r="Y1109" s="159" t="s">
        <v>1111</v>
      </c>
      <c r="Z1109" s="161"/>
      <c r="AA1109" s="165"/>
      <c r="AE1109" s="155"/>
      <c r="AF1109" s="154" t="s">
        <v>4532</v>
      </c>
      <c r="AI1109" s="154" t="s">
        <v>4603</v>
      </c>
      <c r="AL1109" s="154" t="s">
        <v>621</v>
      </c>
      <c r="AM1109" s="154" t="s">
        <v>2426</v>
      </c>
      <c r="AN1109" s="154">
        <v>2</v>
      </c>
      <c r="AP1109" s="155"/>
      <c r="AQ1109" s="156"/>
      <c r="AR1109" s="157"/>
      <c r="AS1109" s="158"/>
      <c r="AT1109" s="159"/>
      <c r="AU1109" s="161"/>
      <c r="AV1109" s="156"/>
      <c r="AW1109" s="162"/>
      <c r="AX1109" s="163"/>
      <c r="AY1109" s="164"/>
      <c r="AZ1109" s="159"/>
      <c r="BA1109" s="161"/>
      <c r="BB1109" s="165"/>
      <c r="BF1109" s="155"/>
      <c r="BG1109" s="154" t="s">
        <v>4533</v>
      </c>
    </row>
    <row r="1110" spans="1:59" s="154" customFormat="1" ht="15" customHeight="1">
      <c r="A1110" s="168" t="s">
        <v>4078</v>
      </c>
      <c r="B1110" s="23" t="s">
        <v>4143</v>
      </c>
      <c r="C1110" s="23" t="s">
        <v>4080</v>
      </c>
      <c r="D1110" s="170">
        <v>128</v>
      </c>
      <c r="E1110" s="154">
        <v>1</v>
      </c>
      <c r="F1110" s="154" t="s">
        <v>4106</v>
      </c>
      <c r="G1110" s="154" t="s">
        <v>4142</v>
      </c>
      <c r="J1110" s="154" t="s">
        <v>621</v>
      </c>
      <c r="K1110" s="154" t="s">
        <v>2426</v>
      </c>
      <c r="L1110" s="154">
        <v>2</v>
      </c>
      <c r="N1110" s="155"/>
      <c r="O1110" s="156"/>
      <c r="P1110" s="157"/>
      <c r="Q1110" s="158"/>
      <c r="R1110" s="159"/>
      <c r="S1110" s="160"/>
      <c r="T1110" s="161"/>
      <c r="U1110" s="156"/>
      <c r="V1110" s="162"/>
      <c r="W1110" s="163"/>
      <c r="X1110" s="164"/>
      <c r="Y1110" s="159" t="s">
        <v>1111</v>
      </c>
      <c r="Z1110" s="161"/>
      <c r="AA1110" s="165"/>
      <c r="AE1110" s="155"/>
      <c r="AF1110" s="154" t="s">
        <v>4532</v>
      </c>
      <c r="AI1110" s="154" t="s">
        <v>4144</v>
      </c>
      <c r="AL1110" s="154" t="s">
        <v>31</v>
      </c>
      <c r="AM1110" s="154" t="s">
        <v>2426</v>
      </c>
      <c r="AP1110" s="155"/>
      <c r="AQ1110" s="156"/>
      <c r="AR1110" s="157"/>
      <c r="AS1110" s="158"/>
      <c r="AT1110" s="159"/>
      <c r="AU1110" s="161"/>
      <c r="AV1110" s="156"/>
      <c r="AW1110" s="162"/>
      <c r="AX1110" s="163"/>
      <c r="AY1110" s="164">
        <v>3</v>
      </c>
      <c r="AZ1110" s="159" t="s">
        <v>1073</v>
      </c>
      <c r="BA1110" s="161"/>
      <c r="BB1110" s="165"/>
      <c r="BE1110" s="154" t="s">
        <v>463</v>
      </c>
      <c r="BF1110" s="155"/>
      <c r="BG1110" s="154" t="s">
        <v>4534</v>
      </c>
    </row>
    <row r="1111" spans="1:59" s="154" customFormat="1" ht="15" customHeight="1">
      <c r="A1111" s="168" t="s">
        <v>4078</v>
      </c>
      <c r="B1111" s="23" t="s">
        <v>4145</v>
      </c>
      <c r="C1111" s="23" t="s">
        <v>4080</v>
      </c>
      <c r="D1111" s="170">
        <v>129</v>
      </c>
      <c r="E1111" s="154">
        <v>1</v>
      </c>
      <c r="F1111" s="154" t="s">
        <v>4106</v>
      </c>
      <c r="G1111" s="154" t="s">
        <v>4146</v>
      </c>
      <c r="J1111" s="154" t="s">
        <v>621</v>
      </c>
      <c r="K1111" s="154" t="s">
        <v>2426</v>
      </c>
      <c r="L1111" s="154">
        <v>2</v>
      </c>
      <c r="N1111" s="155"/>
      <c r="O1111" s="156"/>
      <c r="P1111" s="157"/>
      <c r="Q1111" s="158"/>
      <c r="R1111" s="159"/>
      <c r="S1111" s="160"/>
      <c r="T1111" s="161"/>
      <c r="U1111" s="156"/>
      <c r="V1111" s="162"/>
      <c r="W1111" s="163"/>
      <c r="X1111" s="164"/>
      <c r="Y1111" s="159" t="s">
        <v>38</v>
      </c>
      <c r="Z1111" s="161"/>
      <c r="AA1111" s="165"/>
      <c r="AE1111" s="155"/>
      <c r="AF1111" s="154" t="s">
        <v>4604</v>
      </c>
      <c r="AI1111" s="154" t="s">
        <v>4605</v>
      </c>
      <c r="AL1111" s="154" t="s">
        <v>621</v>
      </c>
      <c r="AM1111" s="154" t="s">
        <v>2426</v>
      </c>
      <c r="AN1111" s="154">
        <v>2</v>
      </c>
      <c r="AP1111" s="155"/>
      <c r="AQ1111" s="156"/>
      <c r="AR1111" s="157"/>
      <c r="AS1111" s="158"/>
      <c r="AT1111" s="159"/>
      <c r="AU1111" s="161"/>
      <c r="AV1111" s="156"/>
      <c r="AW1111" s="162"/>
      <c r="AX1111" s="163"/>
      <c r="AY1111" s="164"/>
      <c r="AZ1111" s="159"/>
      <c r="BA1111" s="161"/>
      <c r="BB1111" s="165"/>
      <c r="BF1111" s="155"/>
      <c r="BG1111" s="154" t="s">
        <v>4535</v>
      </c>
    </row>
    <row r="1112" spans="1:59" s="154" customFormat="1" ht="15" customHeight="1">
      <c r="A1112" s="168" t="s">
        <v>4078</v>
      </c>
      <c r="B1112" s="23" t="s">
        <v>4147</v>
      </c>
      <c r="C1112" s="23" t="s">
        <v>4080</v>
      </c>
      <c r="D1112" s="170">
        <v>130</v>
      </c>
      <c r="E1112" s="154">
        <v>1</v>
      </c>
      <c r="F1112" s="154" t="s">
        <v>4106</v>
      </c>
      <c r="G1112" s="154" t="s">
        <v>4146</v>
      </c>
      <c r="J1112" s="154" t="s">
        <v>621</v>
      </c>
      <c r="K1112" s="154" t="s">
        <v>2426</v>
      </c>
      <c r="L1112" s="154">
        <v>2</v>
      </c>
      <c r="N1112" s="155"/>
      <c r="O1112" s="156"/>
      <c r="P1112" s="157"/>
      <c r="Q1112" s="158"/>
      <c r="R1112" s="159"/>
      <c r="S1112" s="160"/>
      <c r="T1112" s="161"/>
      <c r="U1112" s="156"/>
      <c r="V1112" s="162"/>
      <c r="W1112" s="163"/>
      <c r="X1112" s="164"/>
      <c r="Y1112" s="159" t="s">
        <v>38</v>
      </c>
      <c r="Z1112" s="161"/>
      <c r="AA1112" s="165"/>
      <c r="AE1112" s="155"/>
      <c r="AF1112" s="154" t="s">
        <v>4604</v>
      </c>
      <c r="AI1112" s="154" t="s">
        <v>4136</v>
      </c>
      <c r="AJ1112" s="154" t="s">
        <v>4148</v>
      </c>
      <c r="AK1112" s="154" t="s">
        <v>223</v>
      </c>
      <c r="AL1112" s="154" t="s">
        <v>29</v>
      </c>
      <c r="AM1112" s="154" t="s">
        <v>2426</v>
      </c>
      <c r="AP1112" s="155"/>
      <c r="AQ1112" s="156"/>
      <c r="AR1112" s="157"/>
      <c r="AS1112" s="158">
        <v>4</v>
      </c>
      <c r="AT1112" s="159">
        <v>2</v>
      </c>
      <c r="AU1112" s="161">
        <v>3</v>
      </c>
      <c r="AV1112" s="156"/>
      <c r="AW1112" s="162">
        <v>1</v>
      </c>
      <c r="AX1112" s="163">
        <v>1</v>
      </c>
      <c r="AY1112" s="164"/>
      <c r="AZ1112" s="159"/>
      <c r="BA1112" s="161"/>
      <c r="BB1112" s="165">
        <v>1</v>
      </c>
      <c r="BE1112" s="154" t="s">
        <v>4149</v>
      </c>
      <c r="BF1112" s="155"/>
      <c r="BG1112" s="154" t="s">
        <v>4536</v>
      </c>
    </row>
    <row r="1113" spans="1:59" s="154" customFormat="1" ht="15" customHeight="1">
      <c r="A1113" s="168" t="s">
        <v>4078</v>
      </c>
      <c r="B1113" s="23" t="s">
        <v>4150</v>
      </c>
      <c r="C1113" s="23" t="s">
        <v>4080</v>
      </c>
      <c r="D1113" s="170">
        <v>131</v>
      </c>
      <c r="E1113" s="154">
        <v>1</v>
      </c>
      <c r="F1113" s="154" t="s">
        <v>4106</v>
      </c>
      <c r="G1113" s="154" t="s">
        <v>4537</v>
      </c>
      <c r="J1113" s="154" t="s">
        <v>621</v>
      </c>
      <c r="K1113" s="154" t="s">
        <v>2426</v>
      </c>
      <c r="L1113" s="154">
        <v>3</v>
      </c>
      <c r="N1113" s="155"/>
      <c r="O1113" s="156"/>
      <c r="P1113" s="157"/>
      <c r="Q1113" s="158"/>
      <c r="R1113" s="159"/>
      <c r="S1113" s="160"/>
      <c r="T1113" s="161"/>
      <c r="U1113" s="156"/>
      <c r="V1113" s="162"/>
      <c r="W1113" s="163"/>
      <c r="X1113" s="164"/>
      <c r="Y1113" s="159" t="s">
        <v>38</v>
      </c>
      <c r="Z1113" s="161"/>
      <c r="AA1113" s="165"/>
      <c r="AE1113" s="155"/>
      <c r="AF1113" s="154" t="s">
        <v>4538</v>
      </c>
      <c r="AI1113" s="154" t="s">
        <v>4606</v>
      </c>
      <c r="AL1113" s="154" t="s">
        <v>621</v>
      </c>
      <c r="AM1113" s="154" t="s">
        <v>2426</v>
      </c>
      <c r="AN1113" s="154">
        <v>3</v>
      </c>
      <c r="AP1113" s="155"/>
      <c r="AQ1113" s="156"/>
      <c r="AR1113" s="157"/>
      <c r="AS1113" s="158"/>
      <c r="AT1113" s="159"/>
      <c r="AU1113" s="161"/>
      <c r="AV1113" s="156"/>
      <c r="AW1113" s="162"/>
      <c r="AX1113" s="163"/>
      <c r="AY1113" s="164"/>
      <c r="AZ1113" s="159"/>
      <c r="BA1113" s="161"/>
      <c r="BB1113" s="165"/>
      <c r="BF1113" s="155"/>
      <c r="BG1113" s="154" t="s">
        <v>4607</v>
      </c>
    </row>
    <row r="1114" spans="1:59" s="154" customFormat="1" ht="15" customHeight="1">
      <c r="A1114" s="168" t="s">
        <v>4078</v>
      </c>
      <c r="B1114" s="23" t="s">
        <v>4151</v>
      </c>
      <c r="C1114" s="23" t="s">
        <v>4080</v>
      </c>
      <c r="D1114" s="170">
        <v>132</v>
      </c>
      <c r="E1114" s="154">
        <v>1</v>
      </c>
      <c r="F1114" s="154" t="s">
        <v>4106</v>
      </c>
      <c r="G1114" s="154" t="s">
        <v>4539</v>
      </c>
      <c r="J1114" s="154" t="s">
        <v>621</v>
      </c>
      <c r="K1114" s="154" t="s">
        <v>2426</v>
      </c>
      <c r="L1114" s="154">
        <v>3</v>
      </c>
      <c r="N1114" s="155"/>
      <c r="O1114" s="156"/>
      <c r="P1114" s="157"/>
      <c r="Q1114" s="158"/>
      <c r="R1114" s="159"/>
      <c r="S1114" s="160"/>
      <c r="T1114" s="161"/>
      <c r="U1114" s="156"/>
      <c r="V1114" s="162"/>
      <c r="W1114" s="163"/>
      <c r="X1114" s="164"/>
      <c r="Y1114" s="159" t="s">
        <v>38</v>
      </c>
      <c r="Z1114" s="161"/>
      <c r="AA1114" s="165"/>
      <c r="AE1114" s="155"/>
      <c r="AF1114" s="154" t="s">
        <v>4608</v>
      </c>
      <c r="AI1114" s="154" t="s">
        <v>4609</v>
      </c>
      <c r="AL1114" s="154" t="s">
        <v>621</v>
      </c>
      <c r="AM1114" s="154" t="s">
        <v>2426</v>
      </c>
      <c r="AN1114" s="154">
        <v>3</v>
      </c>
      <c r="AP1114" s="155"/>
      <c r="AQ1114" s="156"/>
      <c r="AR1114" s="157"/>
      <c r="AS1114" s="158"/>
      <c r="AT1114" s="159"/>
      <c r="AU1114" s="161"/>
      <c r="AV1114" s="156"/>
      <c r="AW1114" s="162"/>
      <c r="AX1114" s="163"/>
      <c r="AY1114" s="164"/>
      <c r="AZ1114" s="159"/>
      <c r="BA1114" s="161"/>
      <c r="BB1114" s="165"/>
      <c r="BF1114" s="155"/>
      <c r="BG1114" s="154" t="s">
        <v>4610</v>
      </c>
    </row>
    <row r="1115" spans="1:59" s="154" customFormat="1" ht="15" customHeight="1">
      <c r="A1115" s="168" t="s">
        <v>4078</v>
      </c>
      <c r="B1115" s="23" t="s">
        <v>4152</v>
      </c>
      <c r="C1115" s="23" t="s">
        <v>4080</v>
      </c>
      <c r="D1115" s="170">
        <v>133</v>
      </c>
      <c r="E1115" s="154">
        <v>1</v>
      </c>
      <c r="F1115" s="154" t="s">
        <v>4106</v>
      </c>
      <c r="G1115" s="154" t="s">
        <v>4153</v>
      </c>
      <c r="J1115" s="154" t="s">
        <v>621</v>
      </c>
      <c r="K1115" s="154" t="s">
        <v>2426</v>
      </c>
      <c r="L1115" s="154">
        <v>1</v>
      </c>
      <c r="N1115" s="155"/>
      <c r="O1115" s="156"/>
      <c r="P1115" s="157"/>
      <c r="Q1115" s="158"/>
      <c r="R1115" s="159"/>
      <c r="S1115" s="160"/>
      <c r="T1115" s="161"/>
      <c r="U1115" s="156"/>
      <c r="V1115" s="162"/>
      <c r="W1115" s="163"/>
      <c r="X1115" s="164"/>
      <c r="Y1115" s="159" t="s">
        <v>1111</v>
      </c>
      <c r="Z1115" s="161"/>
      <c r="AA1115" s="165"/>
      <c r="AF1115" s="154" t="s">
        <v>4540</v>
      </c>
      <c r="AI1115" s="154" t="s">
        <v>4154</v>
      </c>
      <c r="AL1115" s="154" t="s">
        <v>31</v>
      </c>
      <c r="AM1115" s="154" t="s">
        <v>2426</v>
      </c>
      <c r="AP1115" s="155"/>
      <c r="AQ1115" s="156"/>
      <c r="AR1115" s="157"/>
      <c r="AS1115" s="158"/>
      <c r="AT1115" s="159"/>
      <c r="AU1115" s="161"/>
      <c r="AV1115" s="156"/>
      <c r="AW1115" s="162"/>
      <c r="AX1115" s="163"/>
      <c r="AY1115" s="164">
        <v>3</v>
      </c>
      <c r="AZ1115" s="159" t="s">
        <v>1111</v>
      </c>
      <c r="BA1115" s="161"/>
      <c r="BB1115" s="165">
        <v>1</v>
      </c>
      <c r="BE1115" s="154" t="s">
        <v>819</v>
      </c>
      <c r="BF1115" s="155"/>
      <c r="BG1115" s="154" t="s">
        <v>4541</v>
      </c>
    </row>
    <row r="1116" spans="1:59" s="154" customFormat="1" ht="15" customHeight="1">
      <c r="A1116" s="168" t="s">
        <v>4078</v>
      </c>
      <c r="B1116" s="23" t="s">
        <v>4155</v>
      </c>
      <c r="C1116" s="23" t="s">
        <v>4080</v>
      </c>
      <c r="D1116" s="170">
        <v>134</v>
      </c>
      <c r="E1116" s="154">
        <v>1</v>
      </c>
      <c r="F1116" s="154" t="s">
        <v>4106</v>
      </c>
      <c r="G1116" s="154" t="s">
        <v>4156</v>
      </c>
      <c r="J1116" s="154" t="s">
        <v>621</v>
      </c>
      <c r="K1116" s="154" t="s">
        <v>2426</v>
      </c>
      <c r="L1116" s="154">
        <v>1</v>
      </c>
      <c r="N1116" s="155"/>
      <c r="O1116" s="156"/>
      <c r="P1116" s="157"/>
      <c r="Q1116" s="158"/>
      <c r="R1116" s="159"/>
      <c r="S1116" s="160"/>
      <c r="T1116" s="161"/>
      <c r="U1116" s="156"/>
      <c r="V1116" s="162"/>
      <c r="W1116" s="163"/>
      <c r="X1116" s="164"/>
      <c r="Y1116" s="159" t="s">
        <v>1073</v>
      </c>
      <c r="Z1116" s="161"/>
      <c r="AA1116" s="165"/>
      <c r="AE1116" s="155"/>
      <c r="AF1116" s="154" t="s">
        <v>4542</v>
      </c>
      <c r="AI1116" s="154" t="s">
        <v>4157</v>
      </c>
      <c r="AJ1116" s="154" t="s">
        <v>4158</v>
      </c>
      <c r="AK1116" s="154" t="s">
        <v>223</v>
      </c>
      <c r="AL1116" s="154" t="s">
        <v>257</v>
      </c>
      <c r="AM1116" s="154" t="s">
        <v>26</v>
      </c>
      <c r="AP1116" s="155"/>
      <c r="AQ1116" s="156"/>
      <c r="AR1116" s="157"/>
      <c r="AS1116" s="158"/>
      <c r="AT1116" s="159"/>
      <c r="AU1116" s="161"/>
      <c r="AV1116" s="156"/>
      <c r="AW1116" s="162"/>
      <c r="AX1116" s="163"/>
      <c r="AY1116" s="164"/>
      <c r="AZ1116" s="159"/>
      <c r="BA1116" s="161"/>
      <c r="BB1116" s="165"/>
      <c r="BE1116" s="154" t="s">
        <v>2737</v>
      </c>
      <c r="BF1116" s="155"/>
      <c r="BG1116" s="154" t="s">
        <v>4543</v>
      </c>
    </row>
    <row r="1117" spans="1:59" s="154" customFormat="1" ht="15" customHeight="1">
      <c r="A1117" s="168" t="s">
        <v>4078</v>
      </c>
      <c r="B1117" s="23" t="s">
        <v>4159</v>
      </c>
      <c r="C1117" s="23" t="s">
        <v>4080</v>
      </c>
      <c r="D1117" s="170">
        <v>135</v>
      </c>
      <c r="E1117" s="154">
        <v>1</v>
      </c>
      <c r="F1117" s="154" t="s">
        <v>4106</v>
      </c>
      <c r="G1117" s="154" t="s">
        <v>4160</v>
      </c>
      <c r="J1117" s="154" t="s">
        <v>621</v>
      </c>
      <c r="K1117" s="154" t="s">
        <v>2426</v>
      </c>
      <c r="L1117" s="154">
        <v>2</v>
      </c>
      <c r="N1117" s="155"/>
      <c r="O1117" s="156"/>
      <c r="P1117" s="157"/>
      <c r="Q1117" s="158"/>
      <c r="R1117" s="159"/>
      <c r="S1117" s="160"/>
      <c r="T1117" s="161"/>
      <c r="U1117" s="156"/>
      <c r="V1117" s="162"/>
      <c r="W1117" s="163"/>
      <c r="X1117" s="164"/>
      <c r="Y1117" s="159" t="s">
        <v>1111</v>
      </c>
      <c r="Z1117" s="161"/>
      <c r="AA1117" s="165"/>
      <c r="AE1117" s="155"/>
      <c r="AF1117" s="154" t="s">
        <v>4544</v>
      </c>
      <c r="AI1117" s="154" t="s">
        <v>4611</v>
      </c>
      <c r="AL1117" s="154" t="s">
        <v>621</v>
      </c>
      <c r="AM1117" s="154" t="s">
        <v>2426</v>
      </c>
      <c r="AN1117" s="154">
        <v>2</v>
      </c>
      <c r="AP1117" s="155"/>
      <c r="AQ1117" s="156"/>
      <c r="AR1117" s="157"/>
      <c r="AS1117" s="158"/>
      <c r="AT1117" s="159"/>
      <c r="AU1117" s="161"/>
      <c r="AV1117" s="156"/>
      <c r="AW1117" s="162"/>
      <c r="AX1117" s="163"/>
      <c r="AY1117" s="164"/>
      <c r="AZ1117" s="159"/>
      <c r="BA1117" s="161"/>
      <c r="BB1117" s="165"/>
      <c r="BF1117" s="155"/>
      <c r="BG1117" s="154" t="s">
        <v>4617</v>
      </c>
    </row>
    <row r="1118" spans="1:59" s="154" customFormat="1" ht="15" customHeight="1">
      <c r="A1118" s="168" t="s">
        <v>4078</v>
      </c>
      <c r="B1118" s="23" t="s">
        <v>4161</v>
      </c>
      <c r="C1118" s="23" t="s">
        <v>4080</v>
      </c>
      <c r="D1118" s="170">
        <v>136</v>
      </c>
      <c r="E1118" s="154">
        <v>1</v>
      </c>
      <c r="F1118" s="154" t="s">
        <v>4106</v>
      </c>
      <c r="G1118" s="154" t="s">
        <v>4160</v>
      </c>
      <c r="J1118" s="154" t="s">
        <v>621</v>
      </c>
      <c r="K1118" s="154" t="s">
        <v>2426</v>
      </c>
      <c r="L1118" s="154">
        <v>2</v>
      </c>
      <c r="N1118" s="155"/>
      <c r="O1118" s="156"/>
      <c r="P1118" s="157"/>
      <c r="Q1118" s="158"/>
      <c r="R1118" s="159"/>
      <c r="S1118" s="160"/>
      <c r="T1118" s="161"/>
      <c r="U1118" s="156"/>
      <c r="V1118" s="162"/>
      <c r="W1118" s="163"/>
      <c r="X1118" s="164"/>
      <c r="Y1118" s="159" t="s">
        <v>1111</v>
      </c>
      <c r="Z1118" s="161"/>
      <c r="AA1118" s="165"/>
      <c r="AE1118" s="155"/>
      <c r="AF1118" s="154" t="s">
        <v>4544</v>
      </c>
      <c r="AI1118" s="171" t="s">
        <v>4612</v>
      </c>
      <c r="AJ1118" s="171"/>
      <c r="AL1118" s="154" t="s">
        <v>621</v>
      </c>
      <c r="AM1118" s="154" t="s">
        <v>2426</v>
      </c>
      <c r="AN1118" s="154">
        <v>2</v>
      </c>
      <c r="AO1118" s="155"/>
      <c r="AQ1118" s="173"/>
      <c r="AR1118" s="174"/>
      <c r="AS1118" s="175"/>
      <c r="AT1118" s="159"/>
      <c r="AU1118" s="161"/>
      <c r="AV1118" s="173"/>
      <c r="AW1118" s="176"/>
      <c r="AX1118" s="177"/>
      <c r="AY1118" s="178"/>
      <c r="AZ1118" s="159"/>
      <c r="BA1118" s="161"/>
      <c r="BB1118" s="160"/>
      <c r="BE1118" s="155"/>
      <c r="BG1118" s="154" t="s">
        <v>4545</v>
      </c>
    </row>
    <row r="1119" spans="1:59" s="154" customFormat="1" ht="15" customHeight="1">
      <c r="A1119" s="168" t="s">
        <v>4078</v>
      </c>
      <c r="B1119" s="23" t="s">
        <v>4162</v>
      </c>
      <c r="C1119" s="23" t="s">
        <v>4080</v>
      </c>
      <c r="D1119" s="170">
        <v>137</v>
      </c>
      <c r="E1119" s="154">
        <v>1</v>
      </c>
      <c r="F1119" s="154" t="s">
        <v>4106</v>
      </c>
      <c r="G1119" s="154" t="s">
        <v>4163</v>
      </c>
      <c r="J1119" s="154" t="s">
        <v>621</v>
      </c>
      <c r="K1119" s="154" t="s">
        <v>2426</v>
      </c>
      <c r="L1119" s="154">
        <v>2</v>
      </c>
      <c r="N1119" s="155"/>
      <c r="O1119" s="156"/>
      <c r="P1119" s="157"/>
      <c r="Q1119" s="158"/>
      <c r="R1119" s="159"/>
      <c r="S1119" s="160"/>
      <c r="T1119" s="161"/>
      <c r="U1119" s="156"/>
      <c r="V1119" s="162"/>
      <c r="W1119" s="163"/>
      <c r="X1119" s="164"/>
      <c r="Y1119" s="159" t="s">
        <v>38</v>
      </c>
      <c r="Z1119" s="161"/>
      <c r="AA1119" s="165"/>
      <c r="AE1119" s="155"/>
      <c r="AF1119" s="154" t="s">
        <v>4613</v>
      </c>
      <c r="AI1119" s="154" t="s">
        <v>4157</v>
      </c>
      <c r="AJ1119" s="154" t="s">
        <v>4164</v>
      </c>
      <c r="AK1119" s="154" t="s">
        <v>223</v>
      </c>
      <c r="AL1119" s="154" t="s">
        <v>29</v>
      </c>
      <c r="AM1119" s="154" t="s">
        <v>2426</v>
      </c>
      <c r="AP1119" s="155"/>
      <c r="AQ1119" s="156"/>
      <c r="AR1119" s="157"/>
      <c r="AS1119" s="158">
        <v>3</v>
      </c>
      <c r="AT1119" s="159">
        <v>2</v>
      </c>
      <c r="AU1119" s="161">
        <v>4</v>
      </c>
      <c r="AV1119" s="156"/>
      <c r="AW1119" s="162">
        <v>1</v>
      </c>
      <c r="AX1119" s="163">
        <v>1</v>
      </c>
      <c r="AY1119" s="164"/>
      <c r="AZ1119" s="159"/>
      <c r="BA1119" s="161"/>
      <c r="BB1119" s="165">
        <v>1</v>
      </c>
      <c r="BE1119" s="154" t="s">
        <v>4149</v>
      </c>
      <c r="BF1119" s="155"/>
      <c r="BG1119" s="154" t="s">
        <v>4546</v>
      </c>
    </row>
    <row r="1120" spans="1:59" s="154" customFormat="1" ht="15" customHeight="1">
      <c r="A1120" s="168" t="s">
        <v>4078</v>
      </c>
      <c r="B1120" s="23" t="s">
        <v>4165</v>
      </c>
      <c r="C1120" s="23" t="s">
        <v>4080</v>
      </c>
      <c r="D1120" s="170">
        <v>138</v>
      </c>
      <c r="E1120" s="154">
        <v>1</v>
      </c>
      <c r="F1120" s="154" t="s">
        <v>4106</v>
      </c>
      <c r="G1120" s="154" t="s">
        <v>4163</v>
      </c>
      <c r="J1120" s="154" t="s">
        <v>621</v>
      </c>
      <c r="K1120" s="154" t="s">
        <v>2426</v>
      </c>
      <c r="L1120" s="154">
        <v>2</v>
      </c>
      <c r="N1120" s="155"/>
      <c r="O1120" s="156"/>
      <c r="P1120" s="157"/>
      <c r="Q1120" s="158"/>
      <c r="R1120" s="159"/>
      <c r="S1120" s="160"/>
      <c r="T1120" s="161"/>
      <c r="U1120" s="156"/>
      <c r="V1120" s="162"/>
      <c r="W1120" s="163"/>
      <c r="X1120" s="164"/>
      <c r="Y1120" s="159" t="s">
        <v>38</v>
      </c>
      <c r="Z1120" s="161"/>
      <c r="AA1120" s="165"/>
      <c r="AE1120" s="155"/>
      <c r="AF1120" s="154" t="s">
        <v>4613</v>
      </c>
      <c r="AI1120" s="154" t="s">
        <v>4614</v>
      </c>
      <c r="AL1120" s="154" t="s">
        <v>621</v>
      </c>
      <c r="AM1120" s="154" t="s">
        <v>2426</v>
      </c>
      <c r="AN1120" s="154">
        <v>2</v>
      </c>
      <c r="AP1120" s="155"/>
      <c r="AQ1120" s="156"/>
      <c r="AR1120" s="157"/>
      <c r="AS1120" s="158"/>
      <c r="AT1120" s="159"/>
      <c r="AU1120" s="161"/>
      <c r="AV1120" s="156"/>
      <c r="AW1120" s="162"/>
      <c r="AX1120" s="163"/>
      <c r="AY1120" s="164"/>
      <c r="AZ1120" s="159"/>
      <c r="BA1120" s="161"/>
      <c r="BB1120" s="165"/>
      <c r="BF1120" s="155"/>
      <c r="BG1120" s="154" t="s">
        <v>4547</v>
      </c>
    </row>
    <row r="1121" spans="1:59" s="154" customFormat="1" ht="15" customHeight="1">
      <c r="A1121" s="168" t="s">
        <v>4078</v>
      </c>
      <c r="B1121" s="23" t="s">
        <v>4166</v>
      </c>
      <c r="C1121" s="23" t="s">
        <v>4080</v>
      </c>
      <c r="D1121" s="170">
        <v>139</v>
      </c>
      <c r="E1121" s="154">
        <v>1</v>
      </c>
      <c r="F1121" s="154" t="s">
        <v>4106</v>
      </c>
      <c r="G1121" s="154" t="s">
        <v>4167</v>
      </c>
      <c r="J1121" s="154" t="s">
        <v>621</v>
      </c>
      <c r="K1121" s="154" t="s">
        <v>2426</v>
      </c>
      <c r="L1121" s="154">
        <v>3</v>
      </c>
      <c r="N1121" s="155"/>
      <c r="O1121" s="156"/>
      <c r="P1121" s="157"/>
      <c r="Q1121" s="158"/>
      <c r="R1121" s="159"/>
      <c r="S1121" s="160"/>
      <c r="T1121" s="161"/>
      <c r="U1121" s="156"/>
      <c r="V1121" s="162"/>
      <c r="W1121" s="163"/>
      <c r="X1121" s="164"/>
      <c r="Y1121" s="159" t="s">
        <v>38</v>
      </c>
      <c r="Z1121" s="161"/>
      <c r="AA1121" s="165"/>
      <c r="AE1121" s="155"/>
      <c r="AF1121" s="154" t="s">
        <v>4548</v>
      </c>
      <c r="AI1121" s="154" t="s">
        <v>735</v>
      </c>
      <c r="AL1121" s="154" t="s">
        <v>621</v>
      </c>
      <c r="AM1121" s="154" t="s">
        <v>2426</v>
      </c>
      <c r="AN1121" s="154">
        <v>3</v>
      </c>
      <c r="AP1121" s="155"/>
      <c r="AQ1121" s="156"/>
      <c r="AR1121" s="157"/>
      <c r="AS1121" s="158"/>
      <c r="AT1121" s="159"/>
      <c r="AU1121" s="161"/>
      <c r="AV1121" s="156"/>
      <c r="AW1121" s="162"/>
      <c r="AX1121" s="163"/>
      <c r="AY1121" s="164"/>
      <c r="AZ1121" s="159"/>
      <c r="BA1121" s="161"/>
      <c r="BB1121" s="165"/>
      <c r="BF1121" s="155"/>
      <c r="BG1121" s="154" t="s">
        <v>4615</v>
      </c>
    </row>
    <row r="1122" spans="1:59" s="154" customFormat="1" ht="15" customHeight="1">
      <c r="A1122" s="168" t="s">
        <v>4078</v>
      </c>
      <c r="B1122" s="23" t="s">
        <v>4168</v>
      </c>
      <c r="C1122" s="23" t="s">
        <v>4080</v>
      </c>
      <c r="D1122" s="170">
        <v>140</v>
      </c>
      <c r="E1122" s="154">
        <v>1</v>
      </c>
      <c r="F1122" s="154" t="s">
        <v>4106</v>
      </c>
      <c r="G1122" s="154" t="s">
        <v>4169</v>
      </c>
      <c r="J1122" s="154" t="s">
        <v>621</v>
      </c>
      <c r="K1122" s="154" t="s">
        <v>2426</v>
      </c>
      <c r="L1122" s="154">
        <v>3</v>
      </c>
      <c r="N1122" s="155"/>
      <c r="O1122" s="156"/>
      <c r="P1122" s="157"/>
      <c r="Q1122" s="158"/>
      <c r="R1122" s="159"/>
      <c r="S1122" s="160"/>
      <c r="T1122" s="161"/>
      <c r="U1122" s="156"/>
      <c r="V1122" s="162"/>
      <c r="W1122" s="163"/>
      <c r="X1122" s="164"/>
      <c r="Y1122" s="159" t="s">
        <v>38</v>
      </c>
      <c r="Z1122" s="161"/>
      <c r="AA1122" s="165"/>
      <c r="AE1122" s="155"/>
      <c r="AF1122" s="154" t="s">
        <v>4616</v>
      </c>
      <c r="AI1122" s="154" t="s">
        <v>414</v>
      </c>
      <c r="AL1122" s="154" t="s">
        <v>621</v>
      </c>
      <c r="AM1122" s="154" t="s">
        <v>2426</v>
      </c>
      <c r="AN1122" s="154">
        <v>3</v>
      </c>
      <c r="AP1122" s="155"/>
      <c r="AQ1122" s="156"/>
      <c r="AR1122" s="157"/>
      <c r="AS1122" s="158"/>
      <c r="AT1122" s="159"/>
      <c r="AU1122" s="161"/>
      <c r="AV1122" s="156"/>
      <c r="AW1122" s="162"/>
      <c r="AX1122" s="163"/>
      <c r="AY1122" s="164"/>
      <c r="AZ1122" s="159"/>
      <c r="BA1122" s="161"/>
      <c r="BB1122" s="165"/>
      <c r="BF1122" s="155"/>
      <c r="BG1122" s="154" t="s">
        <v>4618</v>
      </c>
    </row>
    <row r="1123" spans="1:59" s="154" customFormat="1" ht="15" customHeight="1">
      <c r="A1123" s="168" t="s">
        <v>4078</v>
      </c>
      <c r="B1123" s="23" t="s">
        <v>4170</v>
      </c>
      <c r="C1123" s="23" t="s">
        <v>4080</v>
      </c>
      <c r="D1123" s="170">
        <v>141</v>
      </c>
      <c r="E1123" s="154">
        <v>1</v>
      </c>
      <c r="F1123" s="154" t="s">
        <v>4106</v>
      </c>
      <c r="G1123" s="154" t="s">
        <v>4171</v>
      </c>
      <c r="J1123" s="154" t="s">
        <v>31</v>
      </c>
      <c r="K1123" s="154" t="s">
        <v>2426</v>
      </c>
      <c r="N1123" s="155"/>
      <c r="O1123" s="156"/>
      <c r="P1123" s="157"/>
      <c r="Q1123" s="158"/>
      <c r="R1123" s="159"/>
      <c r="S1123" s="160"/>
      <c r="T1123" s="161"/>
      <c r="U1123" s="156"/>
      <c r="V1123" s="162"/>
      <c r="W1123" s="163"/>
      <c r="X1123" s="164"/>
      <c r="Y1123" s="159"/>
      <c r="Z1123" s="161"/>
      <c r="AA1123" s="165"/>
      <c r="AD1123" s="154" t="s">
        <v>463</v>
      </c>
      <c r="AE1123" s="155"/>
      <c r="AF1123" s="154" t="s">
        <v>4549</v>
      </c>
      <c r="AI1123" s="154" t="s">
        <v>4171</v>
      </c>
      <c r="AL1123" s="154" t="s">
        <v>31</v>
      </c>
      <c r="AM1123" s="154" t="s">
        <v>2426</v>
      </c>
      <c r="AP1123" s="155"/>
      <c r="AQ1123" s="156"/>
      <c r="AR1123" s="157"/>
      <c r="AS1123" s="158"/>
      <c r="AT1123" s="159"/>
      <c r="AU1123" s="161"/>
      <c r="AV1123" s="156"/>
      <c r="AW1123" s="162"/>
      <c r="AX1123" s="163"/>
      <c r="AY1123" s="164">
        <v>2</v>
      </c>
      <c r="AZ1123" s="159">
        <v>0</v>
      </c>
      <c r="BA1123" s="161"/>
      <c r="BB1123" s="165"/>
      <c r="BE1123" s="154" t="s">
        <v>463</v>
      </c>
      <c r="BF1123" s="155"/>
      <c r="BG1123" s="154" t="s">
        <v>4619</v>
      </c>
    </row>
    <row r="1124" spans="1:59" s="154" customFormat="1" ht="15" customHeight="1">
      <c r="A1124" s="168" t="s">
        <v>4078</v>
      </c>
      <c r="B1124" s="23" t="s">
        <v>4172</v>
      </c>
      <c r="C1124" s="23" t="s">
        <v>4080</v>
      </c>
      <c r="D1124" s="155">
        <v>142</v>
      </c>
      <c r="E1124" s="154">
        <v>1</v>
      </c>
      <c r="F1124" s="154" t="s">
        <v>4106</v>
      </c>
      <c r="G1124" s="154" t="s">
        <v>4173</v>
      </c>
      <c r="J1124" s="154" t="s">
        <v>31</v>
      </c>
      <c r="K1124" s="154" t="s">
        <v>2426</v>
      </c>
      <c r="N1124" s="155"/>
      <c r="O1124" s="156"/>
      <c r="P1124" s="157"/>
      <c r="Q1124" s="158"/>
      <c r="R1124" s="159"/>
      <c r="S1124" s="160"/>
      <c r="T1124" s="161"/>
      <c r="U1124" s="156"/>
      <c r="V1124" s="162"/>
      <c r="W1124" s="163"/>
      <c r="X1124" s="164"/>
      <c r="Y1124" s="159"/>
      <c r="Z1124" s="161"/>
      <c r="AA1124" s="165"/>
      <c r="AD1124" s="154" t="s">
        <v>463</v>
      </c>
      <c r="AE1124" s="155"/>
      <c r="AF1124" s="154" t="s">
        <v>4174</v>
      </c>
      <c r="AI1124" s="154" t="s">
        <v>4173</v>
      </c>
      <c r="AL1124" s="154" t="s">
        <v>31</v>
      </c>
      <c r="AM1124" s="154" t="s">
        <v>2426</v>
      </c>
      <c r="AP1124" s="155"/>
      <c r="AQ1124" s="156"/>
      <c r="AR1124" s="157"/>
      <c r="AS1124" s="158"/>
      <c r="AT1124" s="159"/>
      <c r="AU1124" s="161"/>
      <c r="AV1124" s="156"/>
      <c r="AW1124" s="162"/>
      <c r="AX1124" s="163"/>
      <c r="AY1124" s="164">
        <v>2</v>
      </c>
      <c r="AZ1124" s="159" t="s">
        <v>1111</v>
      </c>
      <c r="BA1124" s="161"/>
      <c r="BB1124" s="165">
        <v>1</v>
      </c>
      <c r="BE1124" s="154" t="s">
        <v>463</v>
      </c>
      <c r="BF1124" s="155"/>
      <c r="BG1124" s="154" t="s">
        <v>4620</v>
      </c>
    </row>
    <row r="1125" spans="1:59" s="154" customFormat="1" ht="15" customHeight="1">
      <c r="A1125" s="168" t="s">
        <v>4078</v>
      </c>
      <c r="B1125" s="23" t="s">
        <v>4175</v>
      </c>
      <c r="C1125" s="23" t="s">
        <v>4080</v>
      </c>
      <c r="D1125" s="155">
        <v>143</v>
      </c>
      <c r="E1125" s="154">
        <v>1</v>
      </c>
      <c r="F1125" s="154" t="s">
        <v>4106</v>
      </c>
      <c r="G1125" s="154" t="s">
        <v>4176</v>
      </c>
      <c r="J1125" s="154" t="s">
        <v>31</v>
      </c>
      <c r="K1125" s="154" t="s">
        <v>2426</v>
      </c>
      <c r="N1125" s="155"/>
      <c r="O1125" s="156"/>
      <c r="P1125" s="157"/>
      <c r="Q1125" s="158"/>
      <c r="R1125" s="159"/>
      <c r="S1125" s="160"/>
      <c r="T1125" s="161"/>
      <c r="U1125" s="156"/>
      <c r="V1125" s="162"/>
      <c r="W1125" s="163"/>
      <c r="X1125" s="164"/>
      <c r="Y1125" s="159"/>
      <c r="Z1125" s="161"/>
      <c r="AA1125" s="165"/>
      <c r="AD1125" s="154" t="s">
        <v>463</v>
      </c>
      <c r="AE1125" s="155"/>
      <c r="AF1125" s="154" t="s">
        <v>4177</v>
      </c>
      <c r="AI1125" s="154" t="s">
        <v>4176</v>
      </c>
      <c r="AL1125" s="154" t="s">
        <v>31</v>
      </c>
      <c r="AM1125" s="154" t="s">
        <v>2426</v>
      </c>
      <c r="AP1125" s="155"/>
      <c r="AQ1125" s="156"/>
      <c r="AR1125" s="157"/>
      <c r="AS1125" s="158"/>
      <c r="AT1125" s="159"/>
      <c r="AU1125" s="161"/>
      <c r="AV1125" s="156"/>
      <c r="AW1125" s="162"/>
      <c r="AX1125" s="163"/>
      <c r="AY1125" s="164">
        <v>4</v>
      </c>
      <c r="AZ1125" s="159" t="s">
        <v>1073</v>
      </c>
      <c r="BA1125" s="161"/>
      <c r="BB1125" s="165">
        <v>1</v>
      </c>
      <c r="BE1125" s="154" t="s">
        <v>463</v>
      </c>
      <c r="BF1125" s="155"/>
      <c r="BG1125" s="154" t="s">
        <v>4621</v>
      </c>
    </row>
    <row r="1126" spans="1:59" s="154" customFormat="1" ht="15" customHeight="1">
      <c r="A1126" s="168" t="s">
        <v>4078</v>
      </c>
      <c r="B1126" s="23" t="s">
        <v>4178</v>
      </c>
      <c r="C1126" s="23" t="s">
        <v>4080</v>
      </c>
      <c r="D1126" s="155">
        <v>144</v>
      </c>
      <c r="E1126" s="154">
        <v>3</v>
      </c>
      <c r="F1126" s="154" t="s">
        <v>4106</v>
      </c>
      <c r="G1126" s="154" t="s">
        <v>4179</v>
      </c>
      <c r="J1126" s="154" t="s">
        <v>28</v>
      </c>
      <c r="K1126" s="154" t="s">
        <v>2426</v>
      </c>
      <c r="N1126" s="155"/>
      <c r="O1126" s="156"/>
      <c r="P1126" s="157"/>
      <c r="Q1126" s="158"/>
      <c r="R1126" s="159"/>
      <c r="S1126" s="160"/>
      <c r="T1126" s="161"/>
      <c r="U1126" s="156"/>
      <c r="V1126" s="162"/>
      <c r="W1126" s="163"/>
      <c r="X1126" s="164"/>
      <c r="Y1126" s="159"/>
      <c r="Z1126" s="161"/>
      <c r="AA1126" s="165"/>
      <c r="AD1126" s="154" t="s">
        <v>1196</v>
      </c>
      <c r="AE1126" s="155"/>
      <c r="AF1126" s="154" t="s">
        <v>4550</v>
      </c>
      <c r="AP1126" s="155"/>
      <c r="AQ1126" s="156"/>
      <c r="AR1126" s="157"/>
      <c r="AS1126" s="158"/>
      <c r="AT1126" s="159"/>
      <c r="AU1126" s="161"/>
      <c r="AV1126" s="156"/>
      <c r="AW1126" s="162"/>
      <c r="AX1126" s="163"/>
      <c r="AY1126" s="164"/>
      <c r="AZ1126" s="159"/>
      <c r="BA1126" s="161"/>
      <c r="BB1126" s="165"/>
      <c r="BF1126" s="155"/>
    </row>
    <row r="1127" spans="1:59" s="154" customFormat="1" ht="15" customHeight="1">
      <c r="A1127" s="168" t="s">
        <v>4078</v>
      </c>
      <c r="B1127" s="23" t="s">
        <v>4180</v>
      </c>
      <c r="C1127" s="23" t="s">
        <v>4080</v>
      </c>
      <c r="D1127" s="155">
        <v>145</v>
      </c>
      <c r="E1127" s="154">
        <v>2</v>
      </c>
      <c r="F1127" s="154" t="s">
        <v>4106</v>
      </c>
      <c r="G1127" s="154" t="s">
        <v>4181</v>
      </c>
      <c r="J1127" s="154" t="s">
        <v>28</v>
      </c>
      <c r="K1127" s="154" t="s">
        <v>2426</v>
      </c>
      <c r="N1127" s="155"/>
      <c r="O1127" s="156"/>
      <c r="P1127" s="157"/>
      <c r="Q1127" s="158"/>
      <c r="R1127" s="159"/>
      <c r="S1127" s="160"/>
      <c r="T1127" s="161"/>
      <c r="U1127" s="156"/>
      <c r="V1127" s="162"/>
      <c r="W1127" s="163"/>
      <c r="X1127" s="164"/>
      <c r="Y1127" s="159"/>
      <c r="Z1127" s="161"/>
      <c r="AA1127" s="165"/>
      <c r="AD1127" s="154" t="s">
        <v>4182</v>
      </c>
      <c r="AE1127" s="155"/>
      <c r="AF1127" s="154" t="s">
        <v>4551</v>
      </c>
      <c r="AP1127" s="155"/>
      <c r="AQ1127" s="156"/>
      <c r="AR1127" s="157"/>
      <c r="AS1127" s="158"/>
      <c r="AT1127" s="159"/>
      <c r="AU1127" s="161"/>
      <c r="AV1127" s="156"/>
      <c r="AW1127" s="162"/>
      <c r="AX1127" s="163"/>
      <c r="AY1127" s="164"/>
      <c r="AZ1127" s="159"/>
      <c r="BA1127" s="161"/>
      <c r="BB1127" s="165"/>
      <c r="BF1127" s="155"/>
    </row>
    <row r="1128" spans="1:59" s="154" customFormat="1" ht="15" customHeight="1">
      <c r="A1128" s="168" t="s">
        <v>4078</v>
      </c>
      <c r="B1128" s="23" t="s">
        <v>4183</v>
      </c>
      <c r="C1128" s="23" t="s">
        <v>4080</v>
      </c>
      <c r="D1128" s="155">
        <v>146</v>
      </c>
      <c r="E1128" s="154">
        <v>2</v>
      </c>
      <c r="F1128" s="154" t="s">
        <v>4106</v>
      </c>
      <c r="G1128" s="154" t="s">
        <v>4184</v>
      </c>
      <c r="J1128" s="154" t="s">
        <v>28</v>
      </c>
      <c r="K1128" s="154" t="s">
        <v>2426</v>
      </c>
      <c r="N1128" s="155"/>
      <c r="O1128" s="156"/>
      <c r="P1128" s="157"/>
      <c r="Q1128" s="158"/>
      <c r="R1128" s="159"/>
      <c r="S1128" s="160"/>
      <c r="T1128" s="161"/>
      <c r="U1128" s="156"/>
      <c r="V1128" s="162"/>
      <c r="W1128" s="163"/>
      <c r="X1128" s="164"/>
      <c r="Y1128" s="159"/>
      <c r="Z1128" s="161"/>
      <c r="AA1128" s="165"/>
      <c r="AD1128" s="154" t="s">
        <v>486</v>
      </c>
      <c r="AE1128" s="155"/>
      <c r="AF1128" s="154" t="s">
        <v>4622</v>
      </c>
      <c r="AJ1128" s="171"/>
      <c r="AP1128" s="155"/>
      <c r="AQ1128" s="156"/>
      <c r="AR1128" s="157"/>
      <c r="AS1128" s="158"/>
      <c r="AT1128" s="159"/>
      <c r="AU1128" s="161"/>
      <c r="AV1128" s="156"/>
      <c r="AW1128" s="162"/>
      <c r="AX1128" s="163"/>
      <c r="AY1128" s="164"/>
      <c r="AZ1128" s="159"/>
      <c r="BA1128" s="161"/>
      <c r="BB1128" s="165"/>
      <c r="BF1128" s="155"/>
    </row>
    <row r="1129" spans="1:59" s="154" customFormat="1" ht="15" customHeight="1">
      <c r="A1129" s="168" t="s">
        <v>4078</v>
      </c>
      <c r="B1129" s="23" t="s">
        <v>4185</v>
      </c>
      <c r="C1129" s="23" t="s">
        <v>4080</v>
      </c>
      <c r="D1129" s="155">
        <v>147</v>
      </c>
      <c r="E1129" s="154">
        <v>1</v>
      </c>
      <c r="F1129" s="154" t="s">
        <v>4106</v>
      </c>
      <c r="G1129" s="154" t="s">
        <v>3955</v>
      </c>
      <c r="H1129" s="154" t="s">
        <v>4552</v>
      </c>
      <c r="I1129" s="154" t="s">
        <v>223</v>
      </c>
      <c r="J1129" s="154" t="s">
        <v>257</v>
      </c>
      <c r="K1129" s="154" t="s">
        <v>26</v>
      </c>
      <c r="N1129" s="155">
        <v>4</v>
      </c>
      <c r="O1129" s="156"/>
      <c r="P1129" s="157"/>
      <c r="Q1129" s="158">
        <v>1</v>
      </c>
      <c r="R1129" s="159">
        <v>1</v>
      </c>
      <c r="S1129" s="160">
        <v>1</v>
      </c>
      <c r="T1129" s="161">
        <v>3</v>
      </c>
      <c r="U1129" s="156">
        <v>2</v>
      </c>
      <c r="V1129" s="162"/>
      <c r="W1129" s="163"/>
      <c r="X1129" s="164"/>
      <c r="Y1129" s="159"/>
      <c r="Z1129" s="161"/>
      <c r="AA1129" s="165"/>
      <c r="AB1129" s="154" t="s">
        <v>1078</v>
      </c>
      <c r="AC1129" s="154" t="s">
        <v>25</v>
      </c>
      <c r="AD1129" s="154" t="s">
        <v>4186</v>
      </c>
      <c r="AE1129" s="155"/>
      <c r="AF1129" s="154" t="s">
        <v>4553</v>
      </c>
      <c r="AP1129" s="155"/>
      <c r="AQ1129" s="156"/>
      <c r="AR1129" s="157"/>
      <c r="AS1129" s="158"/>
      <c r="AT1129" s="159"/>
      <c r="AU1129" s="161"/>
      <c r="AV1129" s="156"/>
      <c r="AW1129" s="162"/>
      <c r="AX1129" s="163"/>
      <c r="AY1129" s="164"/>
      <c r="AZ1129" s="159"/>
      <c r="BA1129" s="161"/>
      <c r="BB1129" s="165"/>
      <c r="BF1129" s="155"/>
    </row>
    <row r="1130" spans="1:59" s="154" customFormat="1" ht="15" customHeight="1">
      <c r="A1130" s="168" t="s">
        <v>4078</v>
      </c>
      <c r="B1130" s="30" t="s">
        <v>4187</v>
      </c>
      <c r="C1130" s="23" t="s">
        <v>4080</v>
      </c>
      <c r="D1130" s="155">
        <v>148</v>
      </c>
      <c r="E1130" s="154">
        <v>1</v>
      </c>
      <c r="F1130" s="154" t="s">
        <v>4106</v>
      </c>
      <c r="G1130" s="154" t="s">
        <v>4188</v>
      </c>
      <c r="I1130" s="154" t="s">
        <v>223</v>
      </c>
      <c r="J1130" s="154" t="s">
        <v>257</v>
      </c>
      <c r="K1130" s="154" t="s">
        <v>26</v>
      </c>
      <c r="N1130" s="155">
        <v>2</v>
      </c>
      <c r="O1130" s="156"/>
      <c r="P1130" s="157">
        <v>2</v>
      </c>
      <c r="Q1130" s="158"/>
      <c r="R1130" s="159"/>
      <c r="S1130" s="160"/>
      <c r="T1130" s="161"/>
      <c r="U1130" s="156"/>
      <c r="V1130" s="162"/>
      <c r="W1130" s="163"/>
      <c r="X1130" s="164"/>
      <c r="Y1130" s="159"/>
      <c r="Z1130" s="161"/>
      <c r="AA1130" s="165"/>
      <c r="AB1130" s="154" t="s">
        <v>1084</v>
      </c>
      <c r="AD1130" s="154" t="s">
        <v>269</v>
      </c>
      <c r="AE1130" s="155"/>
      <c r="AF1130" s="154" t="s">
        <v>4189</v>
      </c>
      <c r="AP1130" s="155"/>
      <c r="AQ1130" s="156"/>
      <c r="AR1130" s="157"/>
      <c r="AS1130" s="158"/>
      <c r="AT1130" s="159"/>
      <c r="AU1130" s="161"/>
      <c r="AV1130" s="156"/>
      <c r="AW1130" s="162"/>
      <c r="AX1130" s="163"/>
      <c r="AY1130" s="164"/>
      <c r="AZ1130" s="159"/>
      <c r="BA1130" s="161"/>
      <c r="BB1130" s="165"/>
      <c r="BF1130" s="155"/>
    </row>
    <row r="1131" spans="1:59" s="171" customFormat="1" ht="15" customHeight="1">
      <c r="A1131" s="153" t="s">
        <v>4192</v>
      </c>
      <c r="B1131" s="154" t="s">
        <v>4193</v>
      </c>
      <c r="C1131" s="154" t="s">
        <v>4194</v>
      </c>
      <c r="D1131" s="170">
        <v>1</v>
      </c>
      <c r="E1131" s="171">
        <v>2</v>
      </c>
      <c r="F1131" s="154"/>
      <c r="G1131" s="171" t="s">
        <v>288</v>
      </c>
      <c r="J1131" s="171" t="s">
        <v>257</v>
      </c>
      <c r="K1131" s="171" t="s">
        <v>198</v>
      </c>
      <c r="L1131" s="171">
        <v>2</v>
      </c>
      <c r="N1131" s="170">
        <v>0</v>
      </c>
      <c r="O1131" s="156">
        <v>2</v>
      </c>
      <c r="P1131" s="157"/>
      <c r="Q1131" s="158">
        <v>2</v>
      </c>
      <c r="R1131" s="159"/>
      <c r="S1131" s="160"/>
      <c r="T1131" s="161"/>
      <c r="U1131" s="156"/>
      <c r="V1131" s="162"/>
      <c r="W1131" s="163"/>
      <c r="X1131" s="164"/>
      <c r="Y1131" s="159"/>
      <c r="Z1131" s="161"/>
      <c r="AA1131" s="165"/>
      <c r="AB1131" s="171" t="s">
        <v>4623</v>
      </c>
      <c r="AD1131" s="171" t="s">
        <v>289</v>
      </c>
      <c r="AE1131" s="170"/>
      <c r="AF1131" s="171" t="s">
        <v>290</v>
      </c>
      <c r="AQ1131" s="156"/>
      <c r="AR1131" s="157"/>
      <c r="AS1131" s="158"/>
      <c r="AT1131" s="159"/>
      <c r="AU1131" s="161"/>
      <c r="AV1131" s="156"/>
      <c r="AW1131" s="162"/>
      <c r="AX1131" s="163"/>
      <c r="AY1131" s="164"/>
      <c r="AZ1131" s="159"/>
      <c r="BA1131" s="161"/>
      <c r="BB1131" s="165"/>
      <c r="BF1131" s="170"/>
    </row>
    <row r="1132" spans="1:59" s="154" customFormat="1" ht="15" customHeight="1">
      <c r="A1132" s="153" t="s">
        <v>4192</v>
      </c>
      <c r="B1132" s="154" t="s">
        <v>4195</v>
      </c>
      <c r="C1132" s="154" t="s">
        <v>4194</v>
      </c>
      <c r="D1132" s="170">
        <v>2</v>
      </c>
      <c r="E1132" s="154">
        <v>2</v>
      </c>
      <c r="G1132" s="154" t="s">
        <v>309</v>
      </c>
      <c r="J1132" s="171" t="s">
        <v>27</v>
      </c>
      <c r="K1132" s="154" t="s">
        <v>198</v>
      </c>
      <c r="L1132" s="154">
        <v>2</v>
      </c>
      <c r="N1132" s="155">
        <v>4</v>
      </c>
      <c r="O1132" s="156">
        <v>1</v>
      </c>
      <c r="P1132" s="157"/>
      <c r="Q1132" s="158">
        <v>1</v>
      </c>
      <c r="R1132" s="159"/>
      <c r="S1132" s="160"/>
      <c r="T1132" s="161"/>
      <c r="U1132" s="156"/>
      <c r="V1132" s="162"/>
      <c r="W1132" s="163"/>
      <c r="X1132" s="164"/>
      <c r="Y1132" s="159"/>
      <c r="Z1132" s="161"/>
      <c r="AA1132" s="165"/>
      <c r="AB1132" s="154" t="s">
        <v>1083</v>
      </c>
      <c r="AD1132" s="154" t="s">
        <v>307</v>
      </c>
      <c r="AE1132" s="155"/>
      <c r="AF1132" s="154" t="s">
        <v>4196</v>
      </c>
      <c r="AL1132" s="171"/>
      <c r="AO1132" s="155"/>
      <c r="AP1132" s="155"/>
      <c r="AQ1132" s="156"/>
      <c r="AR1132" s="157"/>
      <c r="AS1132" s="158"/>
      <c r="AT1132" s="159"/>
      <c r="AU1132" s="161"/>
      <c r="AV1132" s="156"/>
      <c r="AW1132" s="162"/>
      <c r="AX1132" s="163"/>
      <c r="AY1132" s="164"/>
      <c r="AZ1132" s="159"/>
      <c r="BA1132" s="161"/>
      <c r="BB1132" s="165"/>
      <c r="BE1132" s="155"/>
    </row>
    <row r="1133" spans="1:59" s="154" customFormat="1" ht="15" customHeight="1">
      <c r="A1133" s="153" t="s">
        <v>4192</v>
      </c>
      <c r="B1133" s="154" t="s">
        <v>4197</v>
      </c>
      <c r="C1133" s="154" t="s">
        <v>4194</v>
      </c>
      <c r="D1133" s="170">
        <v>3</v>
      </c>
      <c r="E1133" s="154">
        <v>2</v>
      </c>
      <c r="G1133" s="154" t="s">
        <v>335</v>
      </c>
      <c r="J1133" s="171" t="s">
        <v>257</v>
      </c>
      <c r="K1133" s="154" t="s">
        <v>199</v>
      </c>
      <c r="L1133" s="154">
        <v>2</v>
      </c>
      <c r="N1133" s="155">
        <v>0</v>
      </c>
      <c r="O1133" s="156"/>
      <c r="P1133" s="157">
        <v>2</v>
      </c>
      <c r="Q1133" s="158"/>
      <c r="R1133" s="159">
        <v>2</v>
      </c>
      <c r="S1133" s="160"/>
      <c r="T1133" s="161"/>
      <c r="U1133" s="156"/>
      <c r="V1133" s="162"/>
      <c r="W1133" s="163"/>
      <c r="X1133" s="164"/>
      <c r="Y1133" s="159"/>
      <c r="Z1133" s="161"/>
      <c r="AA1133" s="165"/>
      <c r="AB1133" s="154" t="s">
        <v>4624</v>
      </c>
      <c r="AD1133" s="154" t="s">
        <v>289</v>
      </c>
      <c r="AE1133" s="155"/>
      <c r="AF1133" s="154" t="s">
        <v>336</v>
      </c>
      <c r="AL1133" s="171"/>
      <c r="AO1133" s="155"/>
      <c r="AP1133" s="155"/>
      <c r="AQ1133" s="156"/>
      <c r="AR1133" s="157"/>
      <c r="AS1133" s="158"/>
      <c r="AT1133" s="159"/>
      <c r="AU1133" s="161"/>
      <c r="AV1133" s="156"/>
      <c r="AW1133" s="162"/>
      <c r="AX1133" s="163"/>
      <c r="AY1133" s="164"/>
      <c r="AZ1133" s="159"/>
      <c r="BA1133" s="161"/>
      <c r="BB1133" s="165"/>
      <c r="BE1133" s="155"/>
    </row>
    <row r="1134" spans="1:59" s="154" customFormat="1" ht="15" customHeight="1">
      <c r="A1134" s="153" t="s">
        <v>4192</v>
      </c>
      <c r="B1134" s="154" t="s">
        <v>4198</v>
      </c>
      <c r="C1134" s="154" t="s">
        <v>4194</v>
      </c>
      <c r="D1134" s="170">
        <v>4</v>
      </c>
      <c r="E1134" s="154">
        <v>2</v>
      </c>
      <c r="G1134" s="154" t="s">
        <v>343</v>
      </c>
      <c r="J1134" s="171" t="s">
        <v>27</v>
      </c>
      <c r="K1134" s="154" t="s">
        <v>199</v>
      </c>
      <c r="L1134" s="154">
        <v>3</v>
      </c>
      <c r="N1134" s="155">
        <v>0</v>
      </c>
      <c r="O1134" s="156">
        <v>1</v>
      </c>
      <c r="P1134" s="157">
        <v>1</v>
      </c>
      <c r="Q1134" s="158"/>
      <c r="R1134" s="159">
        <v>1</v>
      </c>
      <c r="S1134" s="160"/>
      <c r="T1134" s="161"/>
      <c r="U1134" s="156"/>
      <c r="V1134" s="162"/>
      <c r="W1134" s="163"/>
      <c r="X1134" s="164"/>
      <c r="Y1134" s="159"/>
      <c r="Z1134" s="161"/>
      <c r="AA1134" s="165"/>
      <c r="AB1134" s="154" t="s">
        <v>1090</v>
      </c>
      <c r="AD1134" s="154" t="s">
        <v>344</v>
      </c>
      <c r="AE1134" s="155"/>
      <c r="AF1134" s="154" t="s">
        <v>4625</v>
      </c>
      <c r="AL1134" s="171"/>
      <c r="AO1134" s="155"/>
      <c r="AP1134" s="155"/>
      <c r="AQ1134" s="156"/>
      <c r="AR1134" s="157"/>
      <c r="AS1134" s="158"/>
      <c r="AT1134" s="159"/>
      <c r="AU1134" s="161"/>
      <c r="AV1134" s="156"/>
      <c r="AW1134" s="162"/>
      <c r="AX1134" s="163"/>
      <c r="AY1134" s="164"/>
      <c r="AZ1134" s="159"/>
      <c r="BA1134" s="161"/>
      <c r="BB1134" s="165"/>
      <c r="BE1134" s="155"/>
    </row>
    <row r="1135" spans="1:59" s="154" customFormat="1" ht="15" customHeight="1">
      <c r="A1135" s="153" t="s">
        <v>4192</v>
      </c>
      <c r="B1135" s="154" t="s">
        <v>4199</v>
      </c>
      <c r="C1135" s="154" t="s">
        <v>4194</v>
      </c>
      <c r="D1135" s="170">
        <v>5</v>
      </c>
      <c r="E1135" s="154">
        <v>2</v>
      </c>
      <c r="G1135" s="154" t="s">
        <v>364</v>
      </c>
      <c r="J1135" s="154" t="s">
        <v>257</v>
      </c>
      <c r="K1135" s="154" t="s">
        <v>201</v>
      </c>
      <c r="L1135" s="154">
        <v>2</v>
      </c>
      <c r="N1135" s="154">
        <v>0</v>
      </c>
      <c r="O1135" s="156"/>
      <c r="P1135" s="157"/>
      <c r="Q1135" s="158">
        <v>2</v>
      </c>
      <c r="R1135" s="159">
        <v>2</v>
      </c>
      <c r="S1135" s="160"/>
      <c r="T1135" s="161"/>
      <c r="U1135" s="156"/>
      <c r="V1135" s="162"/>
      <c r="W1135" s="163"/>
      <c r="X1135" s="164"/>
      <c r="Y1135" s="159"/>
      <c r="Z1135" s="161"/>
      <c r="AA1135" s="165"/>
      <c r="AB1135" s="154" t="s">
        <v>4626</v>
      </c>
      <c r="AD1135" s="154" t="s">
        <v>289</v>
      </c>
      <c r="AF1135" s="154" t="s">
        <v>365</v>
      </c>
      <c r="AO1135" s="155"/>
      <c r="AQ1135" s="156"/>
      <c r="AR1135" s="157"/>
      <c r="AS1135" s="158"/>
      <c r="AT1135" s="159"/>
      <c r="AU1135" s="161"/>
      <c r="AV1135" s="156"/>
      <c r="AW1135" s="162"/>
      <c r="AX1135" s="163"/>
      <c r="AY1135" s="164"/>
      <c r="AZ1135" s="159"/>
      <c r="BA1135" s="161"/>
      <c r="BB1135" s="165"/>
      <c r="BE1135" s="155"/>
    </row>
    <row r="1136" spans="1:59" s="154" customFormat="1" ht="15" customHeight="1">
      <c r="A1136" s="153" t="s">
        <v>4192</v>
      </c>
      <c r="B1136" s="154" t="s">
        <v>4200</v>
      </c>
      <c r="C1136" s="154" t="s">
        <v>4194</v>
      </c>
      <c r="D1136" s="170">
        <v>6</v>
      </c>
      <c r="E1136" s="154">
        <v>2</v>
      </c>
      <c r="G1136" s="154" t="s">
        <v>371</v>
      </c>
      <c r="J1136" s="154" t="s">
        <v>27</v>
      </c>
      <c r="K1136" s="154" t="s">
        <v>201</v>
      </c>
      <c r="L1136" s="154">
        <v>2</v>
      </c>
      <c r="N1136" s="154">
        <v>5</v>
      </c>
      <c r="O1136" s="156">
        <v>1</v>
      </c>
      <c r="P1136" s="157"/>
      <c r="Q1136" s="158"/>
      <c r="R1136" s="159"/>
      <c r="S1136" s="160"/>
      <c r="T1136" s="161"/>
      <c r="U1136" s="156"/>
      <c r="V1136" s="162"/>
      <c r="W1136" s="163"/>
      <c r="X1136" s="164"/>
      <c r="Y1136" s="159"/>
      <c r="Z1136" s="161"/>
      <c r="AA1136" s="165"/>
      <c r="AB1136" s="154" t="s">
        <v>204</v>
      </c>
      <c r="AD1136" s="154" t="s">
        <v>372</v>
      </c>
      <c r="AF1136" s="154" t="s">
        <v>373</v>
      </c>
      <c r="AO1136" s="155"/>
      <c r="AQ1136" s="156"/>
      <c r="AR1136" s="157"/>
      <c r="AS1136" s="158"/>
      <c r="AT1136" s="159"/>
      <c r="AU1136" s="161"/>
      <c r="AV1136" s="156"/>
      <c r="AW1136" s="162"/>
      <c r="AX1136" s="163"/>
      <c r="AY1136" s="164"/>
      <c r="AZ1136" s="159"/>
      <c r="BA1136" s="161"/>
      <c r="BB1136" s="165"/>
      <c r="BE1136" s="155"/>
    </row>
    <row r="1137" spans="1:59" s="154" customFormat="1" ht="15" customHeight="1">
      <c r="A1137" s="153" t="s">
        <v>4192</v>
      </c>
      <c r="B1137" s="154" t="s">
        <v>4201</v>
      </c>
      <c r="C1137" s="154" t="s">
        <v>4194</v>
      </c>
      <c r="D1137" s="170">
        <v>7</v>
      </c>
      <c r="E1137" s="154">
        <v>2</v>
      </c>
      <c r="G1137" s="154" t="s">
        <v>382</v>
      </c>
      <c r="J1137" s="154" t="s">
        <v>257</v>
      </c>
      <c r="K1137" s="154" t="s">
        <v>200</v>
      </c>
      <c r="L1137" s="154">
        <v>2</v>
      </c>
      <c r="N1137" s="154">
        <v>0</v>
      </c>
      <c r="O1137" s="156">
        <v>2</v>
      </c>
      <c r="P1137" s="157">
        <v>2</v>
      </c>
      <c r="Q1137" s="158"/>
      <c r="R1137" s="159"/>
      <c r="S1137" s="160"/>
      <c r="T1137" s="161"/>
      <c r="U1137" s="156"/>
      <c r="V1137" s="162"/>
      <c r="W1137" s="163"/>
      <c r="X1137" s="164"/>
      <c r="Y1137" s="159"/>
      <c r="Z1137" s="161"/>
      <c r="AA1137" s="165"/>
      <c r="AB1137" s="154" t="s">
        <v>4627</v>
      </c>
      <c r="AD1137" s="154" t="s">
        <v>289</v>
      </c>
      <c r="AF1137" s="154" t="s">
        <v>383</v>
      </c>
      <c r="AO1137" s="155"/>
      <c r="AQ1137" s="156"/>
      <c r="AR1137" s="157"/>
      <c r="AS1137" s="158"/>
      <c r="AT1137" s="159"/>
      <c r="AU1137" s="161"/>
      <c r="AV1137" s="156"/>
      <c r="AW1137" s="162"/>
      <c r="AX1137" s="163"/>
      <c r="AY1137" s="164"/>
      <c r="AZ1137" s="159"/>
      <c r="BA1137" s="161"/>
      <c r="BB1137" s="165"/>
      <c r="BE1137" s="155"/>
    </row>
    <row r="1138" spans="1:59" s="154" customFormat="1" ht="15" customHeight="1">
      <c r="A1138" s="153" t="s">
        <v>4192</v>
      </c>
      <c r="B1138" s="154" t="s">
        <v>4202</v>
      </c>
      <c r="C1138" s="154" t="s">
        <v>4194</v>
      </c>
      <c r="D1138" s="170">
        <v>8</v>
      </c>
      <c r="E1138" s="154">
        <v>2</v>
      </c>
      <c r="G1138" s="154" t="s">
        <v>680</v>
      </c>
      <c r="J1138" s="154" t="s">
        <v>27</v>
      </c>
      <c r="K1138" s="154" t="s">
        <v>200</v>
      </c>
      <c r="L1138" s="154">
        <v>3</v>
      </c>
      <c r="N1138" s="154">
        <v>1</v>
      </c>
      <c r="O1138" s="156">
        <v>1</v>
      </c>
      <c r="P1138" s="157"/>
      <c r="Q1138" s="158">
        <v>1</v>
      </c>
      <c r="R1138" s="159"/>
      <c r="S1138" s="160"/>
      <c r="T1138" s="161"/>
      <c r="U1138" s="156"/>
      <c r="V1138" s="162"/>
      <c r="W1138" s="163"/>
      <c r="X1138" s="164"/>
      <c r="Y1138" s="159"/>
      <c r="Z1138" s="161"/>
      <c r="AA1138" s="165"/>
      <c r="AB1138" s="154" t="s">
        <v>1083</v>
      </c>
      <c r="AD1138" s="154" t="s">
        <v>279</v>
      </c>
      <c r="AF1138" s="154" t="s">
        <v>4628</v>
      </c>
      <c r="AO1138" s="155"/>
      <c r="AQ1138" s="156"/>
      <c r="AR1138" s="157"/>
      <c r="AS1138" s="158"/>
      <c r="AT1138" s="159"/>
      <c r="AU1138" s="161"/>
      <c r="AV1138" s="156"/>
      <c r="AW1138" s="162"/>
      <c r="AX1138" s="163"/>
      <c r="AY1138" s="164"/>
      <c r="AZ1138" s="159"/>
      <c r="BA1138" s="161"/>
      <c r="BB1138" s="165"/>
      <c r="BE1138" s="155"/>
    </row>
    <row r="1139" spans="1:59" s="154" customFormat="1" ht="15" customHeight="1">
      <c r="A1139" s="153" t="s">
        <v>4192</v>
      </c>
      <c r="B1139" s="154" t="s">
        <v>4203</v>
      </c>
      <c r="C1139" s="154" t="s">
        <v>4194</v>
      </c>
      <c r="D1139" s="170">
        <v>9</v>
      </c>
      <c r="E1139" s="154">
        <v>2</v>
      </c>
      <c r="G1139" s="154" t="s">
        <v>403</v>
      </c>
      <c r="J1139" s="154" t="s">
        <v>257</v>
      </c>
      <c r="K1139" s="154" t="s">
        <v>202</v>
      </c>
      <c r="L1139" s="154">
        <v>2</v>
      </c>
      <c r="N1139" s="172">
        <v>0</v>
      </c>
      <c r="O1139" s="156">
        <v>2</v>
      </c>
      <c r="P1139" s="157"/>
      <c r="Q1139" s="158"/>
      <c r="R1139" s="159">
        <v>2</v>
      </c>
      <c r="S1139" s="160"/>
      <c r="T1139" s="161"/>
      <c r="U1139" s="156"/>
      <c r="V1139" s="162"/>
      <c r="W1139" s="163"/>
      <c r="X1139" s="164"/>
      <c r="Y1139" s="159"/>
      <c r="Z1139" s="161"/>
      <c r="AA1139" s="165"/>
      <c r="AB1139" s="154" t="s">
        <v>4629</v>
      </c>
      <c r="AD1139" s="154" t="s">
        <v>289</v>
      </c>
      <c r="AF1139" s="154" t="s">
        <v>404</v>
      </c>
      <c r="AO1139" s="155"/>
      <c r="AQ1139" s="156"/>
      <c r="AR1139" s="157"/>
      <c r="AS1139" s="158"/>
      <c r="AT1139" s="159"/>
      <c r="AU1139" s="161"/>
      <c r="AV1139" s="156"/>
      <c r="AW1139" s="162"/>
      <c r="AX1139" s="163"/>
      <c r="AY1139" s="164"/>
      <c r="AZ1139" s="159"/>
      <c r="BA1139" s="161"/>
      <c r="BB1139" s="165"/>
      <c r="BE1139" s="155"/>
    </row>
    <row r="1140" spans="1:59" s="154" customFormat="1" ht="15" customHeight="1">
      <c r="A1140" s="153" t="s">
        <v>4192</v>
      </c>
      <c r="B1140" s="154" t="s">
        <v>4204</v>
      </c>
      <c r="C1140" s="154" t="s">
        <v>4194</v>
      </c>
      <c r="D1140" s="170">
        <v>10</v>
      </c>
      <c r="E1140" s="154">
        <v>2</v>
      </c>
      <c r="G1140" s="154" t="s">
        <v>399</v>
      </c>
      <c r="J1140" s="154" t="s">
        <v>257</v>
      </c>
      <c r="K1140" s="154" t="s">
        <v>202</v>
      </c>
      <c r="L1140" s="154">
        <v>3</v>
      </c>
      <c r="N1140" s="154">
        <v>1</v>
      </c>
      <c r="O1140" s="156"/>
      <c r="P1140" s="157"/>
      <c r="Q1140" s="158"/>
      <c r="R1140" s="159"/>
      <c r="S1140" s="160">
        <v>1</v>
      </c>
      <c r="T1140" s="161"/>
      <c r="U1140" s="156"/>
      <c r="V1140" s="162"/>
      <c r="W1140" s="163"/>
      <c r="X1140" s="164"/>
      <c r="Y1140" s="159"/>
      <c r="Z1140" s="161"/>
      <c r="AA1140" s="165"/>
      <c r="AB1140" s="154" t="s">
        <v>208</v>
      </c>
      <c r="AC1140" s="154" t="s">
        <v>275</v>
      </c>
      <c r="AD1140" s="154" t="s">
        <v>375</v>
      </c>
      <c r="AF1140" s="154" t="s">
        <v>4630</v>
      </c>
      <c r="AO1140" s="155"/>
      <c r="AQ1140" s="156"/>
      <c r="AR1140" s="157"/>
      <c r="AS1140" s="158"/>
      <c r="AT1140" s="159"/>
      <c r="AU1140" s="161"/>
      <c r="AV1140" s="156"/>
      <c r="AW1140" s="162"/>
      <c r="AX1140" s="163"/>
      <c r="AY1140" s="164"/>
      <c r="AZ1140" s="159"/>
      <c r="BA1140" s="161"/>
      <c r="BB1140" s="165"/>
      <c r="BE1140" s="155"/>
    </row>
    <row r="1141" spans="1:59" s="154" customFormat="1" ht="15" customHeight="1">
      <c r="A1141" s="153" t="s">
        <v>4192</v>
      </c>
      <c r="B1141" s="154" t="s">
        <v>4205</v>
      </c>
      <c r="C1141" s="154" t="s">
        <v>4194</v>
      </c>
      <c r="D1141" s="170">
        <v>11</v>
      </c>
      <c r="E1141" s="154">
        <v>1</v>
      </c>
      <c r="F1141" s="154" t="s">
        <v>4206</v>
      </c>
      <c r="G1141" s="154" t="s">
        <v>4206</v>
      </c>
      <c r="J1141" s="154" t="s">
        <v>618</v>
      </c>
      <c r="K1141" s="154" t="s">
        <v>2426</v>
      </c>
      <c r="O1141" s="156"/>
      <c r="P1141" s="157"/>
      <c r="Q1141" s="158"/>
      <c r="R1141" s="159"/>
      <c r="S1141" s="160"/>
      <c r="T1141" s="161"/>
      <c r="U1141" s="156"/>
      <c r="V1141" s="162"/>
      <c r="W1141" s="163"/>
      <c r="X1141" s="164"/>
      <c r="Y1141" s="159"/>
      <c r="Z1141" s="161"/>
      <c r="AA1141" s="165"/>
      <c r="AF1141" s="154" t="s">
        <v>4631</v>
      </c>
      <c r="AI1141" s="154" t="s">
        <v>4206</v>
      </c>
      <c r="AL1141" s="154" t="s">
        <v>618</v>
      </c>
      <c r="AM1141" s="154" t="s">
        <v>2426</v>
      </c>
      <c r="AO1141" s="155"/>
      <c r="AQ1141" s="156"/>
      <c r="AR1141" s="157"/>
      <c r="AS1141" s="158"/>
      <c r="AT1141" s="159"/>
      <c r="AU1141" s="161"/>
      <c r="AV1141" s="156"/>
      <c r="AW1141" s="162"/>
      <c r="AX1141" s="163"/>
      <c r="AY1141" s="164"/>
      <c r="AZ1141" s="159"/>
      <c r="BA1141" s="161"/>
      <c r="BB1141" s="165"/>
      <c r="BE1141" s="155"/>
      <c r="BG1141" s="154" t="s">
        <v>4686</v>
      </c>
    </row>
    <row r="1142" spans="1:59" s="154" customFormat="1" ht="15" customHeight="1">
      <c r="A1142" s="153" t="s">
        <v>4192</v>
      </c>
      <c r="B1142" s="153" t="s">
        <v>4207</v>
      </c>
      <c r="C1142" s="153" t="s">
        <v>4194</v>
      </c>
      <c r="D1142" s="170">
        <v>12</v>
      </c>
      <c r="E1142" s="154">
        <v>1</v>
      </c>
      <c r="F1142" s="153" t="s">
        <v>4206</v>
      </c>
      <c r="G1142" s="154" t="s">
        <v>4208</v>
      </c>
      <c r="J1142" s="154" t="s">
        <v>621</v>
      </c>
      <c r="K1142" s="154" t="s">
        <v>2426</v>
      </c>
      <c r="L1142" s="154">
        <v>1</v>
      </c>
      <c r="O1142" s="156"/>
      <c r="P1142" s="157"/>
      <c r="Q1142" s="158"/>
      <c r="R1142" s="159"/>
      <c r="S1142" s="160"/>
      <c r="T1142" s="161"/>
      <c r="U1142" s="156"/>
      <c r="V1142" s="162"/>
      <c r="W1142" s="163"/>
      <c r="X1142" s="164"/>
      <c r="Y1142" s="159" t="s">
        <v>1112</v>
      </c>
      <c r="Z1142" s="161"/>
      <c r="AA1142" s="165"/>
      <c r="AF1142" s="154" t="s">
        <v>4209</v>
      </c>
      <c r="AI1142" s="154" t="s">
        <v>4210</v>
      </c>
      <c r="AL1142" s="154" t="s">
        <v>621</v>
      </c>
      <c r="AM1142" s="154" t="s">
        <v>2426</v>
      </c>
      <c r="AN1142" s="154">
        <v>1</v>
      </c>
      <c r="AO1142" s="155"/>
      <c r="AQ1142" s="156"/>
      <c r="AR1142" s="157"/>
      <c r="AS1142" s="158"/>
      <c r="AT1142" s="159"/>
      <c r="AU1142" s="161"/>
      <c r="AV1142" s="156"/>
      <c r="AW1142" s="162"/>
      <c r="AX1142" s="163"/>
      <c r="AY1142" s="164"/>
      <c r="AZ1142" s="159"/>
      <c r="BA1142" s="161"/>
      <c r="BB1142" s="165"/>
      <c r="BE1142" s="155"/>
      <c r="BG1142" s="154" t="s">
        <v>4211</v>
      </c>
    </row>
    <row r="1143" spans="1:59" s="154" customFormat="1" ht="15" customHeight="1">
      <c r="A1143" s="153" t="s">
        <v>4192</v>
      </c>
      <c r="B1143" s="153" t="s">
        <v>4212</v>
      </c>
      <c r="C1143" s="153" t="s">
        <v>4194</v>
      </c>
      <c r="D1143" s="170">
        <v>13</v>
      </c>
      <c r="E1143" s="154">
        <v>1</v>
      </c>
      <c r="F1143" s="153" t="s">
        <v>4206</v>
      </c>
      <c r="G1143" s="154" t="s">
        <v>449</v>
      </c>
      <c r="J1143" s="154" t="s">
        <v>31</v>
      </c>
      <c r="K1143" s="154" t="s">
        <v>2426</v>
      </c>
      <c r="O1143" s="156"/>
      <c r="P1143" s="157"/>
      <c r="Q1143" s="158"/>
      <c r="R1143" s="159"/>
      <c r="S1143" s="160"/>
      <c r="T1143" s="161"/>
      <c r="U1143" s="156"/>
      <c r="V1143" s="162"/>
      <c r="W1143" s="163"/>
      <c r="X1143" s="164"/>
      <c r="Y1143" s="159"/>
      <c r="Z1143" s="161"/>
      <c r="AA1143" s="165"/>
      <c r="AI1143" s="154" t="s">
        <v>449</v>
      </c>
      <c r="AJ1143" s="154" t="s">
        <v>4213</v>
      </c>
      <c r="AL1143" s="154" t="s">
        <v>31</v>
      </c>
      <c r="AM1143" s="154" t="s">
        <v>2426</v>
      </c>
      <c r="AO1143" s="155"/>
      <c r="AQ1143" s="156"/>
      <c r="AR1143" s="157"/>
      <c r="AS1143" s="158"/>
      <c r="AT1143" s="159"/>
      <c r="AU1143" s="161"/>
      <c r="AV1143" s="156"/>
      <c r="AW1143" s="162"/>
      <c r="AX1143" s="163"/>
      <c r="AY1143" s="164">
        <v>3</v>
      </c>
      <c r="AZ1143" s="159" t="s">
        <v>1073</v>
      </c>
      <c r="BA1143" s="161"/>
      <c r="BB1143" s="165"/>
      <c r="BE1143" s="155"/>
      <c r="BG1143" s="154" t="s">
        <v>4632</v>
      </c>
    </row>
    <row r="1144" spans="1:59" s="154" customFormat="1" ht="15" customHeight="1">
      <c r="A1144" s="153" t="s">
        <v>4192</v>
      </c>
      <c r="B1144" s="153" t="s">
        <v>4214</v>
      </c>
      <c r="C1144" s="153" t="s">
        <v>4194</v>
      </c>
      <c r="D1144" s="170">
        <v>14</v>
      </c>
      <c r="E1144" s="154">
        <v>1</v>
      </c>
      <c r="F1144" s="153" t="s">
        <v>4206</v>
      </c>
      <c r="G1144" s="154" t="s">
        <v>4215</v>
      </c>
      <c r="J1144" s="154" t="s">
        <v>31</v>
      </c>
      <c r="K1144" s="154" t="s">
        <v>2426</v>
      </c>
      <c r="O1144" s="156"/>
      <c r="P1144" s="157"/>
      <c r="Q1144" s="158"/>
      <c r="R1144" s="159"/>
      <c r="S1144" s="160"/>
      <c r="T1144" s="161"/>
      <c r="U1144" s="156"/>
      <c r="V1144" s="162"/>
      <c r="W1144" s="163"/>
      <c r="X1144" s="164"/>
      <c r="Y1144" s="159"/>
      <c r="Z1144" s="161"/>
      <c r="AA1144" s="165"/>
      <c r="AI1144" s="154" t="s">
        <v>4215</v>
      </c>
      <c r="AL1144" s="154" t="s">
        <v>31</v>
      </c>
      <c r="AM1144" s="154" t="s">
        <v>2426</v>
      </c>
      <c r="AO1144" s="155"/>
      <c r="AQ1144" s="156"/>
      <c r="AR1144" s="157"/>
      <c r="AS1144" s="158"/>
      <c r="AT1144" s="159"/>
      <c r="AU1144" s="161"/>
      <c r="AV1144" s="156"/>
      <c r="AW1144" s="162"/>
      <c r="AX1144" s="163"/>
      <c r="AY1144" s="164">
        <v>1</v>
      </c>
      <c r="AZ1144" s="159">
        <v>0</v>
      </c>
      <c r="BA1144" s="161"/>
      <c r="BB1144" s="165"/>
      <c r="BE1144" s="155"/>
      <c r="BG1144" s="154" t="s">
        <v>4216</v>
      </c>
    </row>
    <row r="1145" spans="1:59" s="154" customFormat="1" ht="15" customHeight="1">
      <c r="A1145" s="153" t="s">
        <v>4192</v>
      </c>
      <c r="B1145" s="153" t="s">
        <v>4217</v>
      </c>
      <c r="C1145" s="153" t="s">
        <v>4194</v>
      </c>
      <c r="D1145" s="170">
        <v>15</v>
      </c>
      <c r="E1145" s="154">
        <v>1</v>
      </c>
      <c r="F1145" s="153" t="s">
        <v>4206</v>
      </c>
      <c r="G1145" s="154" t="s">
        <v>4218</v>
      </c>
      <c r="J1145" s="154" t="s">
        <v>31</v>
      </c>
      <c r="K1145" s="154" t="s">
        <v>2426</v>
      </c>
      <c r="O1145" s="156"/>
      <c r="P1145" s="157"/>
      <c r="Q1145" s="158"/>
      <c r="R1145" s="159"/>
      <c r="S1145" s="160"/>
      <c r="T1145" s="161"/>
      <c r="U1145" s="156"/>
      <c r="V1145" s="162"/>
      <c r="W1145" s="163"/>
      <c r="X1145" s="164"/>
      <c r="Y1145" s="159"/>
      <c r="Z1145" s="161"/>
      <c r="AA1145" s="165"/>
      <c r="AI1145" s="154" t="s">
        <v>4218</v>
      </c>
      <c r="AL1145" s="154" t="s">
        <v>31</v>
      </c>
      <c r="AM1145" s="154" t="s">
        <v>2426</v>
      </c>
      <c r="AO1145" s="155"/>
      <c r="AQ1145" s="156"/>
      <c r="AR1145" s="157"/>
      <c r="AS1145" s="158"/>
      <c r="AT1145" s="159"/>
      <c r="AU1145" s="161"/>
      <c r="AV1145" s="156"/>
      <c r="AW1145" s="162"/>
      <c r="AX1145" s="163"/>
      <c r="AY1145" s="164">
        <v>2</v>
      </c>
      <c r="AZ1145" s="159" t="s">
        <v>1073</v>
      </c>
      <c r="BA1145" s="161"/>
      <c r="BB1145" s="165"/>
      <c r="BG1145" s="154" t="s">
        <v>4633</v>
      </c>
    </row>
    <row r="1146" spans="1:59" s="154" customFormat="1" ht="15" customHeight="1">
      <c r="A1146" s="153" t="s">
        <v>4192</v>
      </c>
      <c r="B1146" s="153" t="s">
        <v>4219</v>
      </c>
      <c r="C1146" s="153" t="s">
        <v>4194</v>
      </c>
      <c r="D1146" s="170">
        <v>16</v>
      </c>
      <c r="E1146" s="154">
        <v>1</v>
      </c>
      <c r="F1146" s="153" t="s">
        <v>4206</v>
      </c>
      <c r="G1146" s="154" t="s">
        <v>4220</v>
      </c>
      <c r="J1146" s="154" t="s">
        <v>31</v>
      </c>
      <c r="K1146" s="171" t="s">
        <v>2426</v>
      </c>
      <c r="O1146" s="156"/>
      <c r="P1146" s="157"/>
      <c r="Q1146" s="158"/>
      <c r="R1146" s="159"/>
      <c r="S1146" s="160"/>
      <c r="T1146" s="161"/>
      <c r="U1146" s="156"/>
      <c r="V1146" s="162"/>
      <c r="W1146" s="163"/>
      <c r="X1146" s="164"/>
      <c r="Y1146" s="159"/>
      <c r="Z1146" s="161"/>
      <c r="AA1146" s="165"/>
      <c r="AI1146" s="154" t="s">
        <v>4220</v>
      </c>
      <c r="AL1146" s="154" t="s">
        <v>31</v>
      </c>
      <c r="AM1146" s="171" t="s">
        <v>2426</v>
      </c>
      <c r="AO1146" s="155"/>
      <c r="AQ1146" s="156"/>
      <c r="AR1146" s="157"/>
      <c r="AS1146" s="158"/>
      <c r="AT1146" s="159"/>
      <c r="AU1146" s="161"/>
      <c r="AV1146" s="156"/>
      <c r="AW1146" s="162"/>
      <c r="AX1146" s="163"/>
      <c r="AY1146" s="164">
        <v>1</v>
      </c>
      <c r="AZ1146" s="159" t="s">
        <v>1073</v>
      </c>
      <c r="BA1146" s="161"/>
      <c r="BB1146" s="165"/>
      <c r="BG1146" s="154" t="s">
        <v>4634</v>
      </c>
    </row>
    <row r="1147" spans="1:59" s="154" customFormat="1" ht="15" customHeight="1">
      <c r="A1147" s="153" t="s">
        <v>4192</v>
      </c>
      <c r="B1147" s="153" t="s">
        <v>4221</v>
      </c>
      <c r="C1147" s="153" t="s">
        <v>4194</v>
      </c>
      <c r="D1147" s="170">
        <v>17</v>
      </c>
      <c r="E1147" s="154">
        <v>1</v>
      </c>
      <c r="F1147" s="153" t="s">
        <v>4206</v>
      </c>
      <c r="G1147" s="154" t="s">
        <v>450</v>
      </c>
      <c r="J1147" s="154" t="s">
        <v>31</v>
      </c>
      <c r="K1147" s="171" t="s">
        <v>2426</v>
      </c>
      <c r="O1147" s="156"/>
      <c r="P1147" s="157"/>
      <c r="Q1147" s="158"/>
      <c r="R1147" s="159"/>
      <c r="S1147" s="160"/>
      <c r="T1147" s="161"/>
      <c r="U1147" s="156"/>
      <c r="V1147" s="162"/>
      <c r="W1147" s="163"/>
      <c r="X1147" s="164"/>
      <c r="Y1147" s="159"/>
      <c r="Z1147" s="161"/>
      <c r="AA1147" s="165"/>
      <c r="AI1147" s="154" t="s">
        <v>4222</v>
      </c>
      <c r="AL1147" s="154" t="s">
        <v>31</v>
      </c>
      <c r="AM1147" s="154" t="s">
        <v>2426</v>
      </c>
      <c r="AO1147" s="155"/>
      <c r="AQ1147" s="156"/>
      <c r="AR1147" s="157"/>
      <c r="AS1147" s="158"/>
      <c r="AT1147" s="159"/>
      <c r="AU1147" s="161"/>
      <c r="AV1147" s="156"/>
      <c r="AW1147" s="162"/>
      <c r="AX1147" s="163"/>
      <c r="AY1147" s="164">
        <v>1</v>
      </c>
      <c r="AZ1147" s="159">
        <v>0</v>
      </c>
      <c r="BA1147" s="161"/>
      <c r="BB1147" s="165"/>
      <c r="BE1147" s="155"/>
      <c r="BG1147" s="154" t="s">
        <v>4635</v>
      </c>
    </row>
    <row r="1148" spans="1:59" s="154" customFormat="1" ht="15" customHeight="1">
      <c r="A1148" s="153" t="s">
        <v>4192</v>
      </c>
      <c r="B1148" s="153" t="s">
        <v>4223</v>
      </c>
      <c r="C1148" s="153" t="s">
        <v>4194</v>
      </c>
      <c r="D1148" s="170">
        <v>18</v>
      </c>
      <c r="E1148" s="154">
        <v>1</v>
      </c>
      <c r="F1148" s="153" t="s">
        <v>4206</v>
      </c>
      <c r="G1148" s="154" t="s">
        <v>451</v>
      </c>
      <c r="J1148" s="154" t="s">
        <v>31</v>
      </c>
      <c r="K1148" s="171" t="s">
        <v>2426</v>
      </c>
      <c r="O1148" s="156"/>
      <c r="P1148" s="157"/>
      <c r="Q1148" s="158"/>
      <c r="R1148" s="159"/>
      <c r="S1148" s="160"/>
      <c r="T1148" s="161"/>
      <c r="U1148" s="156"/>
      <c r="V1148" s="162"/>
      <c r="W1148" s="163"/>
      <c r="X1148" s="164"/>
      <c r="Y1148" s="159"/>
      <c r="Z1148" s="161"/>
      <c r="AA1148" s="165"/>
      <c r="AI1148" s="154" t="s">
        <v>451</v>
      </c>
      <c r="AL1148" s="154" t="s">
        <v>31</v>
      </c>
      <c r="AM1148" s="154" t="s">
        <v>2426</v>
      </c>
      <c r="AO1148" s="155"/>
      <c r="AQ1148" s="156"/>
      <c r="AR1148" s="157"/>
      <c r="AS1148" s="158"/>
      <c r="AT1148" s="159"/>
      <c r="AU1148" s="161"/>
      <c r="AV1148" s="156"/>
      <c r="AW1148" s="162"/>
      <c r="AX1148" s="163"/>
      <c r="AY1148" s="164">
        <v>3</v>
      </c>
      <c r="AZ1148" s="159" t="s">
        <v>1073</v>
      </c>
      <c r="BA1148" s="161"/>
      <c r="BB1148" s="165"/>
      <c r="BE1148" s="155"/>
      <c r="BG1148" s="154" t="s">
        <v>4636</v>
      </c>
    </row>
    <row r="1149" spans="1:59" s="154" customFormat="1" ht="15" customHeight="1">
      <c r="A1149" s="153" t="s">
        <v>4192</v>
      </c>
      <c r="B1149" s="153" t="s">
        <v>4224</v>
      </c>
      <c r="C1149" s="153" t="s">
        <v>4194</v>
      </c>
      <c r="D1149" s="170">
        <v>19</v>
      </c>
      <c r="E1149" s="154">
        <v>1</v>
      </c>
      <c r="F1149" s="153" t="s">
        <v>4206</v>
      </c>
      <c r="G1149" s="154" t="s">
        <v>4225</v>
      </c>
      <c r="J1149" s="154" t="s">
        <v>31</v>
      </c>
      <c r="K1149" s="154" t="s">
        <v>2426</v>
      </c>
      <c r="O1149" s="156"/>
      <c r="P1149" s="157"/>
      <c r="Q1149" s="158"/>
      <c r="R1149" s="159"/>
      <c r="S1149" s="160"/>
      <c r="T1149" s="161"/>
      <c r="U1149" s="156"/>
      <c r="V1149" s="162"/>
      <c r="W1149" s="163"/>
      <c r="X1149" s="164"/>
      <c r="Y1149" s="159"/>
      <c r="Z1149" s="161"/>
      <c r="AA1149" s="165"/>
      <c r="AI1149" s="154" t="s">
        <v>4227</v>
      </c>
      <c r="AL1149" s="154" t="s">
        <v>31</v>
      </c>
      <c r="AM1149" s="154" t="s">
        <v>2426</v>
      </c>
      <c r="AO1149" s="155"/>
      <c r="AQ1149" s="156"/>
      <c r="AR1149" s="157"/>
      <c r="AS1149" s="158"/>
      <c r="AT1149" s="159"/>
      <c r="AU1149" s="161"/>
      <c r="AV1149" s="156"/>
      <c r="AW1149" s="162"/>
      <c r="AX1149" s="163"/>
      <c r="AY1149" s="164">
        <v>2</v>
      </c>
      <c r="AZ1149" s="159" t="s">
        <v>1073</v>
      </c>
      <c r="BA1149" s="161"/>
      <c r="BB1149" s="165">
        <v>1</v>
      </c>
      <c r="BE1149" s="155"/>
      <c r="BG1149" s="154" t="s">
        <v>4637</v>
      </c>
    </row>
    <row r="1150" spans="1:59" s="154" customFormat="1" ht="15" customHeight="1">
      <c r="A1150" s="153" t="s">
        <v>4192</v>
      </c>
      <c r="B1150" s="153" t="s">
        <v>4226</v>
      </c>
      <c r="C1150" s="153" t="s">
        <v>4194</v>
      </c>
      <c r="D1150" s="170">
        <v>20</v>
      </c>
      <c r="E1150" s="154">
        <v>1</v>
      </c>
      <c r="F1150" s="153" t="s">
        <v>4206</v>
      </c>
      <c r="G1150" s="154" t="s">
        <v>452</v>
      </c>
      <c r="J1150" s="154" t="s">
        <v>31</v>
      </c>
      <c r="K1150" s="154" t="s">
        <v>2426</v>
      </c>
      <c r="O1150" s="156"/>
      <c r="P1150" s="157"/>
      <c r="Q1150" s="158"/>
      <c r="R1150" s="159"/>
      <c r="S1150" s="160"/>
      <c r="T1150" s="161"/>
      <c r="U1150" s="156"/>
      <c r="V1150" s="162"/>
      <c r="W1150" s="163"/>
      <c r="X1150" s="164"/>
      <c r="Y1150" s="159"/>
      <c r="Z1150" s="161"/>
      <c r="AA1150" s="165"/>
      <c r="AI1150" s="154" t="s">
        <v>452</v>
      </c>
      <c r="AL1150" s="154" t="s">
        <v>31</v>
      </c>
      <c r="AM1150" s="154" t="s">
        <v>2426</v>
      </c>
      <c r="AP1150" s="155"/>
      <c r="AQ1150" s="156"/>
      <c r="AR1150" s="157"/>
      <c r="AS1150" s="158"/>
      <c r="AT1150" s="159"/>
      <c r="AU1150" s="161"/>
      <c r="AV1150" s="156"/>
      <c r="AW1150" s="162"/>
      <c r="AX1150" s="163"/>
      <c r="AY1150" s="164">
        <v>2</v>
      </c>
      <c r="AZ1150" s="159" t="s">
        <v>1073</v>
      </c>
      <c r="BA1150" s="161"/>
      <c r="BB1150" s="165"/>
      <c r="BF1150" s="155"/>
      <c r="BG1150" s="154" t="s">
        <v>4638</v>
      </c>
    </row>
    <row r="1151" spans="1:59" s="154" customFormat="1" ht="15" customHeight="1">
      <c r="A1151" s="153" t="s">
        <v>4192</v>
      </c>
      <c r="B1151" s="153" t="s">
        <v>4228</v>
      </c>
      <c r="C1151" s="153" t="s">
        <v>4194</v>
      </c>
      <c r="D1151" s="170">
        <v>21</v>
      </c>
      <c r="E1151" s="154">
        <v>1</v>
      </c>
      <c r="F1151" s="153" t="s">
        <v>4206</v>
      </c>
      <c r="G1151" s="154" t="s">
        <v>4229</v>
      </c>
      <c r="J1151" s="154" t="s">
        <v>31</v>
      </c>
      <c r="K1151" s="154" t="s">
        <v>2426</v>
      </c>
      <c r="N1151" s="155"/>
      <c r="O1151" s="156"/>
      <c r="P1151" s="157"/>
      <c r="Q1151" s="158"/>
      <c r="R1151" s="159"/>
      <c r="S1151" s="160"/>
      <c r="T1151" s="161"/>
      <c r="U1151" s="156"/>
      <c r="V1151" s="162"/>
      <c r="W1151" s="163"/>
      <c r="X1151" s="164"/>
      <c r="Y1151" s="159"/>
      <c r="Z1151" s="161"/>
      <c r="AA1151" s="165"/>
      <c r="AE1151" s="155"/>
      <c r="AI1151" s="154" t="s">
        <v>4230</v>
      </c>
      <c r="AL1151" s="154" t="s">
        <v>31</v>
      </c>
      <c r="AM1151" s="154" t="s">
        <v>2426</v>
      </c>
      <c r="AP1151" s="155"/>
      <c r="AQ1151" s="156"/>
      <c r="AR1151" s="157"/>
      <c r="AS1151" s="158"/>
      <c r="AT1151" s="159"/>
      <c r="AU1151" s="161"/>
      <c r="AV1151" s="156"/>
      <c r="AW1151" s="162"/>
      <c r="AX1151" s="163"/>
      <c r="AY1151" s="164">
        <v>4</v>
      </c>
      <c r="AZ1151" s="159" t="s">
        <v>1073</v>
      </c>
      <c r="BA1151" s="161"/>
      <c r="BB1151" s="165">
        <v>1</v>
      </c>
      <c r="BF1151" s="155"/>
      <c r="BG1151" s="154" t="s">
        <v>4639</v>
      </c>
    </row>
    <row r="1152" spans="1:59" s="154" customFormat="1" ht="15" customHeight="1">
      <c r="A1152" s="153" t="s">
        <v>4192</v>
      </c>
      <c r="B1152" s="153" t="s">
        <v>4231</v>
      </c>
      <c r="C1152" s="153" t="s">
        <v>4194</v>
      </c>
      <c r="D1152" s="170">
        <v>22</v>
      </c>
      <c r="E1152" s="154">
        <v>1</v>
      </c>
      <c r="F1152" s="153" t="s">
        <v>4206</v>
      </c>
      <c r="G1152" s="154" t="s">
        <v>4640</v>
      </c>
      <c r="J1152" s="154" t="s">
        <v>29</v>
      </c>
      <c r="K1152" s="154" t="s">
        <v>2426</v>
      </c>
      <c r="N1152" s="155"/>
      <c r="O1152" s="156"/>
      <c r="P1152" s="157"/>
      <c r="Q1152" s="158">
        <v>4</v>
      </c>
      <c r="R1152" s="159">
        <v>3</v>
      </c>
      <c r="S1152" s="160"/>
      <c r="T1152" s="161">
        <v>3</v>
      </c>
      <c r="U1152" s="156"/>
      <c r="V1152" s="162">
        <v>2</v>
      </c>
      <c r="W1152" s="163">
        <v>2</v>
      </c>
      <c r="X1152" s="164"/>
      <c r="Y1152" s="159"/>
      <c r="Z1152" s="161"/>
      <c r="AA1152" s="165">
        <v>1</v>
      </c>
      <c r="AD1152" s="154" t="s">
        <v>460</v>
      </c>
      <c r="AE1152" s="155"/>
      <c r="AF1152" s="154" t="s">
        <v>4641</v>
      </c>
      <c r="AP1152" s="155"/>
      <c r="AQ1152" s="156"/>
      <c r="AR1152" s="157"/>
      <c r="AS1152" s="158"/>
      <c r="AT1152" s="159"/>
      <c r="AU1152" s="161"/>
      <c r="AV1152" s="156"/>
      <c r="AW1152" s="162"/>
      <c r="AX1152" s="163"/>
      <c r="AY1152" s="164"/>
      <c r="AZ1152" s="159"/>
      <c r="BA1152" s="161"/>
      <c r="BB1152" s="165"/>
      <c r="BF1152" s="155"/>
    </row>
    <row r="1153" spans="1:59" s="154" customFormat="1" ht="15" customHeight="1">
      <c r="A1153" s="153" t="s">
        <v>4192</v>
      </c>
      <c r="B1153" s="153" t="s">
        <v>4232</v>
      </c>
      <c r="C1153" s="153" t="s">
        <v>4194</v>
      </c>
      <c r="D1153" s="170">
        <v>23</v>
      </c>
      <c r="E1153" s="154">
        <v>1</v>
      </c>
      <c r="F1153" s="153" t="s">
        <v>4206</v>
      </c>
      <c r="G1153" s="154" t="s">
        <v>4233</v>
      </c>
      <c r="J1153" s="154" t="s">
        <v>29</v>
      </c>
      <c r="K1153" s="154" t="s">
        <v>2426</v>
      </c>
      <c r="N1153" s="155"/>
      <c r="O1153" s="156"/>
      <c r="P1153" s="157"/>
      <c r="Q1153" s="158">
        <v>3</v>
      </c>
      <c r="R1153" s="159">
        <v>2</v>
      </c>
      <c r="S1153" s="160"/>
      <c r="T1153" s="161">
        <v>4</v>
      </c>
      <c r="U1153" s="156"/>
      <c r="V1153" s="162">
        <v>1</v>
      </c>
      <c r="W1153" s="163">
        <v>1</v>
      </c>
      <c r="X1153" s="164"/>
      <c r="Y1153" s="159"/>
      <c r="Z1153" s="161"/>
      <c r="AA1153" s="165">
        <v>1</v>
      </c>
      <c r="AD1153" s="154" t="s">
        <v>460</v>
      </c>
      <c r="AE1153" s="155"/>
      <c r="AF1153" s="154" t="s">
        <v>4642</v>
      </c>
      <c r="AP1153" s="155"/>
      <c r="AQ1153" s="156"/>
      <c r="AR1153" s="157"/>
      <c r="AS1153" s="158"/>
      <c r="AT1153" s="159"/>
      <c r="AU1153" s="161"/>
      <c r="AV1153" s="156"/>
      <c r="AW1153" s="162"/>
      <c r="AX1153" s="163"/>
      <c r="AY1153" s="164"/>
      <c r="AZ1153" s="159"/>
      <c r="BA1153" s="161"/>
      <c r="BB1153" s="165"/>
      <c r="BF1153" s="155"/>
    </row>
    <row r="1154" spans="1:59" s="154" customFormat="1" ht="15" customHeight="1">
      <c r="A1154" s="153" t="s">
        <v>4192</v>
      </c>
      <c r="B1154" s="153" t="s">
        <v>4234</v>
      </c>
      <c r="C1154" s="153" t="s">
        <v>4194</v>
      </c>
      <c r="D1154" s="170">
        <v>24</v>
      </c>
      <c r="E1154" s="154">
        <v>2</v>
      </c>
      <c r="F1154" s="153" t="s">
        <v>4206</v>
      </c>
      <c r="G1154" s="154" t="s">
        <v>4235</v>
      </c>
      <c r="J1154" s="154" t="s">
        <v>28</v>
      </c>
      <c r="K1154" s="154" t="s">
        <v>2426</v>
      </c>
      <c r="N1154" s="155"/>
      <c r="O1154" s="156"/>
      <c r="P1154" s="157"/>
      <c r="Q1154" s="158"/>
      <c r="R1154" s="159"/>
      <c r="S1154" s="160"/>
      <c r="T1154" s="161"/>
      <c r="U1154" s="156"/>
      <c r="V1154" s="162"/>
      <c r="W1154" s="163"/>
      <c r="X1154" s="164"/>
      <c r="Y1154" s="159"/>
      <c r="Z1154" s="161"/>
      <c r="AA1154" s="165"/>
      <c r="AD1154" s="154" t="s">
        <v>486</v>
      </c>
      <c r="AE1154" s="155"/>
      <c r="AF1154" s="154" t="s">
        <v>4236</v>
      </c>
      <c r="AP1154" s="155"/>
      <c r="AQ1154" s="156"/>
      <c r="AR1154" s="157"/>
      <c r="AS1154" s="158"/>
      <c r="AT1154" s="159"/>
      <c r="AU1154" s="161"/>
      <c r="AV1154" s="156"/>
      <c r="AW1154" s="162"/>
      <c r="AX1154" s="163"/>
      <c r="AY1154" s="164"/>
      <c r="AZ1154" s="159"/>
      <c r="BA1154" s="161"/>
      <c r="BB1154" s="165"/>
      <c r="BF1154" s="155"/>
    </row>
    <row r="1155" spans="1:59" s="154" customFormat="1" ht="15" customHeight="1">
      <c r="A1155" s="153" t="s">
        <v>4192</v>
      </c>
      <c r="B1155" s="153" t="s">
        <v>4237</v>
      </c>
      <c r="C1155" s="153" t="s">
        <v>4194</v>
      </c>
      <c r="D1155" s="170">
        <v>25</v>
      </c>
      <c r="E1155" s="154">
        <v>1</v>
      </c>
      <c r="F1155" s="153" t="s">
        <v>4238</v>
      </c>
      <c r="G1155" s="154" t="s">
        <v>4238</v>
      </c>
      <c r="J1155" s="154" t="s">
        <v>618</v>
      </c>
      <c r="K1155" s="154" t="s">
        <v>2426</v>
      </c>
      <c r="N1155" s="155"/>
      <c r="O1155" s="156"/>
      <c r="P1155" s="157"/>
      <c r="Q1155" s="158"/>
      <c r="R1155" s="159"/>
      <c r="S1155" s="160"/>
      <c r="T1155" s="161"/>
      <c r="U1155" s="156"/>
      <c r="V1155" s="162"/>
      <c r="W1155" s="163"/>
      <c r="X1155" s="164"/>
      <c r="Y1155" s="159"/>
      <c r="Z1155" s="161"/>
      <c r="AA1155" s="165"/>
      <c r="AE1155" s="155"/>
      <c r="AF1155" s="154" t="s">
        <v>4643</v>
      </c>
      <c r="AI1155" s="154" t="s">
        <v>4238</v>
      </c>
      <c r="AL1155" s="154" t="s">
        <v>618</v>
      </c>
      <c r="AM1155" s="154" t="s">
        <v>2426</v>
      </c>
      <c r="AP1155" s="155"/>
      <c r="AQ1155" s="156"/>
      <c r="AR1155" s="157"/>
      <c r="AS1155" s="158"/>
      <c r="AT1155" s="159"/>
      <c r="AU1155" s="161"/>
      <c r="AV1155" s="156"/>
      <c r="AW1155" s="162"/>
      <c r="AX1155" s="163"/>
      <c r="AY1155" s="164"/>
      <c r="AZ1155" s="159"/>
      <c r="BA1155" s="161"/>
      <c r="BB1155" s="165"/>
      <c r="BF1155" s="155"/>
      <c r="BG1155" s="154" t="s">
        <v>4644</v>
      </c>
    </row>
    <row r="1156" spans="1:59" s="154" customFormat="1" ht="15" customHeight="1">
      <c r="A1156" s="153" t="s">
        <v>4192</v>
      </c>
      <c r="B1156" s="153" t="s">
        <v>4239</v>
      </c>
      <c r="C1156" s="153" t="s">
        <v>4194</v>
      </c>
      <c r="D1156" s="170">
        <v>26</v>
      </c>
      <c r="E1156" s="154">
        <v>1</v>
      </c>
      <c r="F1156" s="153" t="s">
        <v>4238</v>
      </c>
      <c r="G1156" s="154" t="s">
        <v>4645</v>
      </c>
      <c r="J1156" s="154" t="s">
        <v>619</v>
      </c>
      <c r="K1156" s="154" t="s">
        <v>2426</v>
      </c>
      <c r="L1156" s="154">
        <v>1</v>
      </c>
      <c r="N1156" s="155"/>
      <c r="O1156" s="156"/>
      <c r="P1156" s="157"/>
      <c r="Q1156" s="158"/>
      <c r="R1156" s="159"/>
      <c r="S1156" s="160"/>
      <c r="T1156" s="161"/>
      <c r="U1156" s="156"/>
      <c r="V1156" s="162"/>
      <c r="W1156" s="163"/>
      <c r="X1156" s="164"/>
      <c r="Y1156" s="159"/>
      <c r="Z1156" s="161">
        <v>6</v>
      </c>
      <c r="AA1156" s="165"/>
      <c r="AE1156" s="155"/>
      <c r="AF1156" s="154" t="s">
        <v>727</v>
      </c>
      <c r="AI1156" s="153" t="s">
        <v>4240</v>
      </c>
      <c r="AJ1156" s="154" t="s">
        <v>4241</v>
      </c>
      <c r="AK1156" s="154" t="s">
        <v>223</v>
      </c>
      <c r="AL1156" s="154" t="s">
        <v>29</v>
      </c>
      <c r="AM1156" s="154" t="s">
        <v>2426</v>
      </c>
      <c r="AP1156" s="155"/>
      <c r="AQ1156" s="156"/>
      <c r="AR1156" s="157"/>
      <c r="AS1156" s="158">
        <v>3</v>
      </c>
      <c r="AT1156" s="159">
        <v>3</v>
      </c>
      <c r="AU1156" s="161">
        <v>4</v>
      </c>
      <c r="AV1156" s="156"/>
      <c r="AW1156" s="162">
        <v>1</v>
      </c>
      <c r="AX1156" s="163">
        <v>2</v>
      </c>
      <c r="AY1156" s="164"/>
      <c r="AZ1156" s="159"/>
      <c r="BA1156" s="161"/>
      <c r="BB1156" s="165">
        <v>2</v>
      </c>
      <c r="BE1156" s="154" t="s">
        <v>4646</v>
      </c>
      <c r="BF1156" s="155"/>
      <c r="BG1156" s="154" t="s">
        <v>4647</v>
      </c>
    </row>
    <row r="1157" spans="1:59" s="154" customFormat="1" ht="15" customHeight="1">
      <c r="A1157" s="153" t="s">
        <v>4192</v>
      </c>
      <c r="B1157" s="153" t="s">
        <v>4242</v>
      </c>
      <c r="C1157" s="153" t="s">
        <v>4194</v>
      </c>
      <c r="D1157" s="170">
        <v>27</v>
      </c>
      <c r="E1157" s="154">
        <v>1</v>
      </c>
      <c r="F1157" s="153" t="s">
        <v>4238</v>
      </c>
      <c r="G1157" s="154" t="s">
        <v>4243</v>
      </c>
      <c r="J1157" s="154" t="s">
        <v>31</v>
      </c>
      <c r="K1157" s="154" t="s">
        <v>2426</v>
      </c>
      <c r="N1157" s="155"/>
      <c r="O1157" s="156"/>
      <c r="P1157" s="157"/>
      <c r="Q1157" s="158"/>
      <c r="R1157" s="159"/>
      <c r="S1157" s="160"/>
      <c r="T1157" s="161"/>
      <c r="U1157" s="156"/>
      <c r="V1157" s="162"/>
      <c r="W1157" s="163"/>
      <c r="X1157" s="164"/>
      <c r="Y1157" s="159"/>
      <c r="Z1157" s="161"/>
      <c r="AA1157" s="165"/>
      <c r="AD1157" s="154" t="s">
        <v>463</v>
      </c>
      <c r="AE1157" s="155"/>
      <c r="AI1157" s="154" t="s">
        <v>4243</v>
      </c>
      <c r="AJ1157" s="154" t="s">
        <v>4140</v>
      </c>
      <c r="AL1157" s="154" t="s">
        <v>31</v>
      </c>
      <c r="AM1157" s="154" t="s">
        <v>2426</v>
      </c>
      <c r="AP1157" s="155"/>
      <c r="AQ1157" s="156"/>
      <c r="AR1157" s="157"/>
      <c r="AS1157" s="158"/>
      <c r="AT1157" s="159"/>
      <c r="AU1157" s="161"/>
      <c r="AV1157" s="156"/>
      <c r="AW1157" s="162"/>
      <c r="AX1157" s="163"/>
      <c r="AY1157" s="164">
        <v>4</v>
      </c>
      <c r="AZ1157" s="159" t="s">
        <v>1111</v>
      </c>
      <c r="BA1157" s="161"/>
      <c r="BB1157" s="165">
        <v>1</v>
      </c>
      <c r="BE1157" s="154" t="s">
        <v>463</v>
      </c>
      <c r="BF1157" s="155"/>
      <c r="BG1157" s="154" t="s">
        <v>4648</v>
      </c>
    </row>
    <row r="1158" spans="1:59" s="154" customFormat="1" ht="15" customHeight="1">
      <c r="A1158" s="153" t="s">
        <v>4192</v>
      </c>
      <c r="B1158" s="153" t="s">
        <v>4244</v>
      </c>
      <c r="C1158" s="153" t="s">
        <v>4194</v>
      </c>
      <c r="D1158" s="170">
        <v>28</v>
      </c>
      <c r="E1158" s="154">
        <v>1</v>
      </c>
      <c r="F1158" s="153" t="s">
        <v>4238</v>
      </c>
      <c r="G1158" s="154" t="s">
        <v>758</v>
      </c>
      <c r="J1158" s="154" t="s">
        <v>31</v>
      </c>
      <c r="K1158" s="154" t="s">
        <v>2426</v>
      </c>
      <c r="N1158" s="155"/>
      <c r="O1158" s="156"/>
      <c r="P1158" s="157"/>
      <c r="Q1158" s="158"/>
      <c r="R1158" s="159"/>
      <c r="S1158" s="160"/>
      <c r="T1158" s="161"/>
      <c r="U1158" s="156"/>
      <c r="V1158" s="162"/>
      <c r="W1158" s="163"/>
      <c r="X1158" s="164"/>
      <c r="Y1158" s="159"/>
      <c r="Z1158" s="161"/>
      <c r="AA1158" s="165"/>
      <c r="AD1158" s="154" t="s">
        <v>463</v>
      </c>
      <c r="AE1158" s="155"/>
      <c r="AI1158" s="154" t="s">
        <v>758</v>
      </c>
      <c r="AJ1158" s="154" t="s">
        <v>4649</v>
      </c>
      <c r="AL1158" s="154" t="s">
        <v>31</v>
      </c>
      <c r="AM1158" s="154" t="s">
        <v>2426</v>
      </c>
      <c r="AP1158" s="155"/>
      <c r="AQ1158" s="156"/>
      <c r="AR1158" s="157"/>
      <c r="AS1158" s="158"/>
      <c r="AT1158" s="159"/>
      <c r="AU1158" s="161"/>
      <c r="AV1158" s="156"/>
      <c r="AW1158" s="162"/>
      <c r="AX1158" s="163"/>
      <c r="AY1158" s="164">
        <v>2</v>
      </c>
      <c r="AZ1158" s="159" t="s">
        <v>1073</v>
      </c>
      <c r="BA1158" s="161"/>
      <c r="BB1158" s="165"/>
      <c r="BE1158" s="154" t="s">
        <v>463</v>
      </c>
      <c r="BF1158" s="155"/>
      <c r="BG1158" s="154" t="s">
        <v>4650</v>
      </c>
    </row>
    <row r="1159" spans="1:59" s="154" customFormat="1" ht="15" customHeight="1">
      <c r="A1159" s="153" t="s">
        <v>4192</v>
      </c>
      <c r="B1159" s="153" t="s">
        <v>4245</v>
      </c>
      <c r="C1159" s="153" t="s">
        <v>4194</v>
      </c>
      <c r="D1159" s="170">
        <v>29</v>
      </c>
      <c r="E1159" s="154">
        <v>1</v>
      </c>
      <c r="F1159" s="153" t="s">
        <v>4238</v>
      </c>
      <c r="G1159" s="154" t="s">
        <v>464</v>
      </c>
      <c r="J1159" s="154" t="s">
        <v>31</v>
      </c>
      <c r="K1159" s="154" t="s">
        <v>2426</v>
      </c>
      <c r="N1159" s="155"/>
      <c r="O1159" s="156"/>
      <c r="P1159" s="157"/>
      <c r="Q1159" s="158"/>
      <c r="R1159" s="159"/>
      <c r="S1159" s="160"/>
      <c r="T1159" s="161"/>
      <c r="U1159" s="156"/>
      <c r="V1159" s="162"/>
      <c r="W1159" s="163"/>
      <c r="X1159" s="164"/>
      <c r="Y1159" s="159"/>
      <c r="Z1159" s="161"/>
      <c r="AA1159" s="165"/>
      <c r="AD1159" s="154" t="s">
        <v>463</v>
      </c>
      <c r="AE1159" s="155"/>
      <c r="AI1159" s="154" t="s">
        <v>464</v>
      </c>
      <c r="AJ1159" s="154" t="s">
        <v>4651</v>
      </c>
      <c r="AL1159" s="154" t="s">
        <v>31</v>
      </c>
      <c r="AM1159" s="154" t="s">
        <v>2426</v>
      </c>
      <c r="AP1159" s="155"/>
      <c r="AQ1159" s="156"/>
      <c r="AR1159" s="157"/>
      <c r="AS1159" s="158"/>
      <c r="AT1159" s="159"/>
      <c r="AU1159" s="161"/>
      <c r="AV1159" s="156"/>
      <c r="AW1159" s="162"/>
      <c r="AX1159" s="163"/>
      <c r="AY1159" s="164">
        <v>3</v>
      </c>
      <c r="AZ1159" s="159" t="s">
        <v>1073</v>
      </c>
      <c r="BA1159" s="161"/>
      <c r="BB1159" s="165"/>
      <c r="BE1159" s="154" t="s">
        <v>463</v>
      </c>
      <c r="BF1159" s="155"/>
      <c r="BG1159" s="154" t="s">
        <v>4246</v>
      </c>
    </row>
    <row r="1160" spans="1:59" s="154" customFormat="1" ht="15" customHeight="1">
      <c r="A1160" s="153" t="s">
        <v>4192</v>
      </c>
      <c r="B1160" s="153" t="s">
        <v>4247</v>
      </c>
      <c r="C1160" s="153" t="s">
        <v>4194</v>
      </c>
      <c r="D1160" s="170">
        <v>30</v>
      </c>
      <c r="E1160" s="154">
        <v>1</v>
      </c>
      <c r="F1160" s="153" t="s">
        <v>4238</v>
      </c>
      <c r="G1160" s="154" t="s">
        <v>741</v>
      </c>
      <c r="J1160" s="154" t="s">
        <v>31</v>
      </c>
      <c r="K1160" s="154" t="s">
        <v>2426</v>
      </c>
      <c r="N1160" s="155"/>
      <c r="O1160" s="156"/>
      <c r="P1160" s="157"/>
      <c r="Q1160" s="158"/>
      <c r="R1160" s="159"/>
      <c r="S1160" s="160"/>
      <c r="T1160" s="161"/>
      <c r="U1160" s="156"/>
      <c r="V1160" s="162"/>
      <c r="W1160" s="163"/>
      <c r="X1160" s="164"/>
      <c r="Y1160" s="159"/>
      <c r="Z1160" s="161"/>
      <c r="AA1160" s="165"/>
      <c r="AD1160" s="154" t="s">
        <v>742</v>
      </c>
      <c r="AI1160" s="154" t="s">
        <v>741</v>
      </c>
      <c r="AJ1160" s="154" t="s">
        <v>4652</v>
      </c>
      <c r="AL1160" s="154" t="s">
        <v>31</v>
      </c>
      <c r="AM1160" s="154" t="s">
        <v>2426</v>
      </c>
      <c r="AP1160" s="155"/>
      <c r="AQ1160" s="156"/>
      <c r="AR1160" s="157"/>
      <c r="AS1160" s="158"/>
      <c r="AT1160" s="159"/>
      <c r="AU1160" s="161"/>
      <c r="AV1160" s="156"/>
      <c r="AW1160" s="162"/>
      <c r="AX1160" s="163"/>
      <c r="AY1160" s="164">
        <v>4</v>
      </c>
      <c r="AZ1160" s="159" t="s">
        <v>1073</v>
      </c>
      <c r="BA1160" s="161"/>
      <c r="BB1160" s="165"/>
      <c r="BE1160" s="154" t="s">
        <v>742</v>
      </c>
      <c r="BF1160" s="155"/>
      <c r="BG1160" s="154" t="s">
        <v>4653</v>
      </c>
    </row>
    <row r="1161" spans="1:59" s="154" customFormat="1" ht="15" customHeight="1">
      <c r="A1161" s="153" t="s">
        <v>4192</v>
      </c>
      <c r="B1161" s="153" t="s">
        <v>4248</v>
      </c>
      <c r="C1161" s="153" t="s">
        <v>4194</v>
      </c>
      <c r="D1161" s="170">
        <v>31</v>
      </c>
      <c r="E1161" s="154">
        <v>2</v>
      </c>
      <c r="F1161" s="153" t="s">
        <v>4238</v>
      </c>
      <c r="G1161" s="154" t="s">
        <v>4249</v>
      </c>
      <c r="J1161" s="154" t="s">
        <v>28</v>
      </c>
      <c r="K1161" s="154" t="s">
        <v>2426</v>
      </c>
      <c r="N1161" s="155"/>
      <c r="O1161" s="156"/>
      <c r="P1161" s="157"/>
      <c r="Q1161" s="158"/>
      <c r="R1161" s="159"/>
      <c r="S1161" s="160"/>
      <c r="T1161" s="161"/>
      <c r="U1161" s="156"/>
      <c r="V1161" s="162"/>
      <c r="W1161" s="163"/>
      <c r="X1161" s="164"/>
      <c r="Y1161" s="159"/>
      <c r="Z1161" s="161"/>
      <c r="AA1161" s="165"/>
      <c r="AD1161" s="154" t="s">
        <v>4250</v>
      </c>
      <c r="AE1161" s="155"/>
      <c r="AF1161" s="154" t="s">
        <v>4654</v>
      </c>
      <c r="AP1161" s="155"/>
      <c r="AQ1161" s="156"/>
      <c r="AR1161" s="157"/>
      <c r="AS1161" s="158"/>
      <c r="AT1161" s="159"/>
      <c r="AU1161" s="161"/>
      <c r="AV1161" s="156"/>
      <c r="AW1161" s="162"/>
      <c r="AX1161" s="163"/>
      <c r="AY1161" s="164"/>
      <c r="AZ1161" s="159"/>
      <c r="BA1161" s="161"/>
      <c r="BB1161" s="165"/>
      <c r="BF1161" s="155"/>
    </row>
    <row r="1162" spans="1:59" s="154" customFormat="1" ht="15" customHeight="1">
      <c r="A1162" s="153" t="s">
        <v>4192</v>
      </c>
      <c r="B1162" s="153" t="s">
        <v>4251</v>
      </c>
      <c r="C1162" s="153" t="s">
        <v>4194</v>
      </c>
      <c r="D1162" s="170">
        <v>32</v>
      </c>
      <c r="E1162" s="154">
        <v>1</v>
      </c>
      <c r="F1162" s="153" t="s">
        <v>4252</v>
      </c>
      <c r="G1162" s="154" t="s">
        <v>4252</v>
      </c>
      <c r="J1162" s="154" t="s">
        <v>618</v>
      </c>
      <c r="K1162" s="154" t="s">
        <v>2426</v>
      </c>
      <c r="N1162" s="155"/>
      <c r="O1162" s="156"/>
      <c r="P1162" s="157"/>
      <c r="Q1162" s="158"/>
      <c r="R1162" s="159"/>
      <c r="S1162" s="160"/>
      <c r="T1162" s="161"/>
      <c r="U1162" s="156"/>
      <c r="V1162" s="162"/>
      <c r="W1162" s="163"/>
      <c r="X1162" s="164"/>
      <c r="Y1162" s="159"/>
      <c r="Z1162" s="161"/>
      <c r="AA1162" s="165"/>
      <c r="AE1162" s="155"/>
      <c r="AF1162" s="154" t="s">
        <v>4655</v>
      </c>
      <c r="AI1162" s="154" t="s">
        <v>4253</v>
      </c>
      <c r="AL1162" s="154" t="s">
        <v>28</v>
      </c>
      <c r="AM1162" s="154" t="s">
        <v>2426</v>
      </c>
      <c r="AP1162" s="155"/>
      <c r="AQ1162" s="156"/>
      <c r="AR1162" s="157"/>
      <c r="AS1162" s="158"/>
      <c r="AT1162" s="159"/>
      <c r="AU1162" s="161"/>
      <c r="AV1162" s="156"/>
      <c r="AW1162" s="162"/>
      <c r="AX1162" s="163"/>
      <c r="AY1162" s="164"/>
      <c r="AZ1162" s="159"/>
      <c r="BA1162" s="161"/>
      <c r="BB1162" s="165"/>
      <c r="BE1162" s="154" t="s">
        <v>4254</v>
      </c>
      <c r="BF1162" s="155"/>
      <c r="BG1162" s="154" t="s">
        <v>4656</v>
      </c>
    </row>
    <row r="1163" spans="1:59" s="154" customFormat="1" ht="15" customHeight="1">
      <c r="A1163" s="153" t="s">
        <v>4192</v>
      </c>
      <c r="B1163" s="153" t="s">
        <v>4255</v>
      </c>
      <c r="C1163" s="153" t="s">
        <v>4194</v>
      </c>
      <c r="D1163" s="170">
        <v>33</v>
      </c>
      <c r="E1163" s="154">
        <v>1</v>
      </c>
      <c r="F1163" s="153" t="s">
        <v>4252</v>
      </c>
      <c r="G1163" s="154" t="s">
        <v>805</v>
      </c>
      <c r="J1163" s="154" t="s">
        <v>31</v>
      </c>
      <c r="K1163" s="154" t="s">
        <v>2426</v>
      </c>
      <c r="N1163" s="155"/>
      <c r="O1163" s="156"/>
      <c r="P1163" s="157"/>
      <c r="Q1163" s="158"/>
      <c r="R1163" s="159"/>
      <c r="S1163" s="160"/>
      <c r="T1163" s="161"/>
      <c r="U1163" s="156"/>
      <c r="V1163" s="162"/>
      <c r="W1163" s="163"/>
      <c r="X1163" s="164"/>
      <c r="Y1163" s="159"/>
      <c r="Z1163" s="161"/>
      <c r="AA1163" s="165"/>
      <c r="AD1163" s="154" t="s">
        <v>472</v>
      </c>
      <c r="AE1163" s="155"/>
      <c r="AI1163" s="154" t="s">
        <v>805</v>
      </c>
      <c r="AJ1163" s="154" t="s">
        <v>4657</v>
      </c>
      <c r="AL1163" s="154" t="s">
        <v>31</v>
      </c>
      <c r="AM1163" s="154" t="s">
        <v>2426</v>
      </c>
      <c r="AP1163" s="155"/>
      <c r="AQ1163" s="156"/>
      <c r="AR1163" s="157"/>
      <c r="AS1163" s="158"/>
      <c r="AT1163" s="159"/>
      <c r="AU1163" s="161"/>
      <c r="AV1163" s="156"/>
      <c r="AW1163" s="162"/>
      <c r="AX1163" s="163"/>
      <c r="AY1163" s="164">
        <v>4</v>
      </c>
      <c r="AZ1163" s="159" t="s">
        <v>1073</v>
      </c>
      <c r="BA1163" s="161"/>
      <c r="BB1163" s="165"/>
      <c r="BE1163" s="154" t="s">
        <v>472</v>
      </c>
      <c r="BF1163" s="155"/>
      <c r="BG1163" s="154" t="s">
        <v>4658</v>
      </c>
    </row>
    <row r="1164" spans="1:59" s="154" customFormat="1" ht="15" customHeight="1">
      <c r="A1164" s="153" t="s">
        <v>4192</v>
      </c>
      <c r="B1164" s="153" t="s">
        <v>4256</v>
      </c>
      <c r="C1164" s="153" t="s">
        <v>4194</v>
      </c>
      <c r="D1164" s="170">
        <v>34</v>
      </c>
      <c r="E1164" s="154">
        <v>1</v>
      </c>
      <c r="F1164" s="153" t="s">
        <v>4252</v>
      </c>
      <c r="G1164" s="154" t="s">
        <v>805</v>
      </c>
      <c r="J1164" s="154" t="s">
        <v>31</v>
      </c>
      <c r="K1164" s="154" t="s">
        <v>2426</v>
      </c>
      <c r="N1164" s="155"/>
      <c r="O1164" s="156"/>
      <c r="P1164" s="157"/>
      <c r="Q1164" s="158"/>
      <c r="R1164" s="159"/>
      <c r="S1164" s="160"/>
      <c r="T1164" s="161"/>
      <c r="U1164" s="156"/>
      <c r="V1164" s="162"/>
      <c r="W1164" s="163"/>
      <c r="X1164" s="164"/>
      <c r="Y1164" s="159"/>
      <c r="Z1164" s="161"/>
      <c r="AA1164" s="165"/>
      <c r="AD1164" s="154" t="s">
        <v>472</v>
      </c>
      <c r="AE1164" s="155"/>
      <c r="AI1164" s="154" t="s">
        <v>805</v>
      </c>
      <c r="AJ1164" s="154" t="s">
        <v>4659</v>
      </c>
      <c r="AL1164" s="154" t="s">
        <v>31</v>
      </c>
      <c r="AM1164" s="154" t="s">
        <v>2426</v>
      </c>
      <c r="AP1164" s="155"/>
      <c r="AQ1164" s="156"/>
      <c r="AR1164" s="157"/>
      <c r="AS1164" s="158"/>
      <c r="AT1164" s="159"/>
      <c r="AU1164" s="161"/>
      <c r="AV1164" s="156"/>
      <c r="AW1164" s="162"/>
      <c r="AX1164" s="163"/>
      <c r="AY1164" s="164">
        <v>2</v>
      </c>
      <c r="AZ1164" s="159" t="s">
        <v>1073</v>
      </c>
      <c r="BA1164" s="161"/>
      <c r="BB1164" s="165"/>
      <c r="BE1164" s="154" t="s">
        <v>472</v>
      </c>
      <c r="BF1164" s="155"/>
      <c r="BG1164" s="154" t="s">
        <v>4660</v>
      </c>
    </row>
    <row r="1165" spans="1:59" s="154" customFormat="1" ht="15" customHeight="1">
      <c r="A1165" s="153" t="s">
        <v>4192</v>
      </c>
      <c r="B1165" s="153" t="s">
        <v>4257</v>
      </c>
      <c r="C1165" s="153" t="s">
        <v>4194</v>
      </c>
      <c r="D1165" s="170">
        <v>35</v>
      </c>
      <c r="E1165" s="154">
        <v>1</v>
      </c>
      <c r="F1165" s="153" t="s">
        <v>4252</v>
      </c>
      <c r="G1165" s="154" t="s">
        <v>805</v>
      </c>
      <c r="J1165" s="154" t="s">
        <v>31</v>
      </c>
      <c r="K1165" s="154" t="s">
        <v>2426</v>
      </c>
      <c r="N1165" s="155"/>
      <c r="O1165" s="156"/>
      <c r="P1165" s="157"/>
      <c r="Q1165" s="158"/>
      <c r="R1165" s="159"/>
      <c r="S1165" s="160"/>
      <c r="T1165" s="161"/>
      <c r="U1165" s="156"/>
      <c r="V1165" s="162"/>
      <c r="W1165" s="163"/>
      <c r="X1165" s="164"/>
      <c r="Y1165" s="159"/>
      <c r="Z1165" s="161"/>
      <c r="AA1165" s="165"/>
      <c r="AD1165" s="154" t="s">
        <v>472</v>
      </c>
      <c r="AE1165" s="155"/>
      <c r="AI1165" s="154" t="s">
        <v>805</v>
      </c>
      <c r="AJ1165" s="154" t="s">
        <v>4661</v>
      </c>
      <c r="AL1165" s="154" t="s">
        <v>31</v>
      </c>
      <c r="AM1165" s="154" t="s">
        <v>2426</v>
      </c>
      <c r="AP1165" s="155"/>
      <c r="AQ1165" s="156"/>
      <c r="AR1165" s="157"/>
      <c r="AS1165" s="158"/>
      <c r="AT1165" s="159"/>
      <c r="AU1165" s="161"/>
      <c r="AV1165" s="156"/>
      <c r="AW1165" s="162"/>
      <c r="AX1165" s="163"/>
      <c r="AY1165" s="164">
        <v>3</v>
      </c>
      <c r="AZ1165" s="159" t="s">
        <v>1073</v>
      </c>
      <c r="BA1165" s="161"/>
      <c r="BB1165" s="165"/>
      <c r="BE1165" s="154" t="s">
        <v>472</v>
      </c>
      <c r="BF1165" s="155"/>
      <c r="BG1165" s="154" t="s">
        <v>4258</v>
      </c>
    </row>
    <row r="1166" spans="1:59" s="154" customFormat="1" ht="15" customHeight="1">
      <c r="A1166" s="153" t="s">
        <v>4192</v>
      </c>
      <c r="B1166" s="153" t="s">
        <v>4259</v>
      </c>
      <c r="C1166" s="153" t="s">
        <v>4194</v>
      </c>
      <c r="D1166" s="170">
        <v>36</v>
      </c>
      <c r="E1166" s="154">
        <v>1</v>
      </c>
      <c r="F1166" s="153" t="s">
        <v>4252</v>
      </c>
      <c r="G1166" s="154" t="s">
        <v>805</v>
      </c>
      <c r="J1166" s="154" t="s">
        <v>31</v>
      </c>
      <c r="K1166" s="154" t="s">
        <v>2426</v>
      </c>
      <c r="N1166" s="155"/>
      <c r="O1166" s="156"/>
      <c r="P1166" s="157"/>
      <c r="Q1166" s="158"/>
      <c r="R1166" s="159"/>
      <c r="S1166" s="160"/>
      <c r="T1166" s="161"/>
      <c r="U1166" s="156"/>
      <c r="V1166" s="162"/>
      <c r="W1166" s="163"/>
      <c r="X1166" s="164"/>
      <c r="Y1166" s="159"/>
      <c r="Z1166" s="161"/>
      <c r="AA1166" s="165"/>
      <c r="AD1166" s="154" t="s">
        <v>472</v>
      </c>
      <c r="AE1166" s="155"/>
      <c r="AI1166" s="154" t="s">
        <v>805</v>
      </c>
      <c r="AJ1166" s="154" t="s">
        <v>4662</v>
      </c>
      <c r="AL1166" s="154" t="s">
        <v>31</v>
      </c>
      <c r="AM1166" s="154" t="s">
        <v>2426</v>
      </c>
      <c r="AP1166" s="155"/>
      <c r="AQ1166" s="156"/>
      <c r="AR1166" s="157"/>
      <c r="AS1166" s="158"/>
      <c r="AT1166" s="159"/>
      <c r="AU1166" s="161"/>
      <c r="AV1166" s="156"/>
      <c r="AW1166" s="162"/>
      <c r="AX1166" s="163"/>
      <c r="AY1166" s="164">
        <v>3</v>
      </c>
      <c r="AZ1166" s="159" t="s">
        <v>1073</v>
      </c>
      <c r="BA1166" s="161"/>
      <c r="BB1166" s="165"/>
      <c r="BE1166" s="154" t="s">
        <v>472</v>
      </c>
      <c r="BF1166" s="155"/>
      <c r="BG1166" s="154" t="s">
        <v>4663</v>
      </c>
    </row>
    <row r="1167" spans="1:59" s="154" customFormat="1" ht="15" customHeight="1">
      <c r="A1167" s="153" t="s">
        <v>4192</v>
      </c>
      <c r="B1167" s="153" t="s">
        <v>4260</v>
      </c>
      <c r="C1167" s="153" t="s">
        <v>4194</v>
      </c>
      <c r="D1167" s="170">
        <v>37</v>
      </c>
      <c r="E1167" s="154">
        <v>2</v>
      </c>
      <c r="F1167" s="153" t="s">
        <v>4252</v>
      </c>
      <c r="G1167" s="154" t="s">
        <v>4664</v>
      </c>
      <c r="J1167" s="154" t="s">
        <v>28</v>
      </c>
      <c r="K1167" s="154" t="s">
        <v>2426</v>
      </c>
      <c r="N1167" s="155"/>
      <c r="O1167" s="156"/>
      <c r="P1167" s="157"/>
      <c r="Q1167" s="158"/>
      <c r="R1167" s="159"/>
      <c r="S1167" s="160"/>
      <c r="T1167" s="161"/>
      <c r="U1167" s="156"/>
      <c r="V1167" s="162"/>
      <c r="W1167" s="163"/>
      <c r="X1167" s="164"/>
      <c r="Y1167" s="159"/>
      <c r="Z1167" s="161"/>
      <c r="AA1167" s="165"/>
      <c r="AD1167" s="154" t="s">
        <v>1663</v>
      </c>
      <c r="AE1167" s="155"/>
      <c r="AF1167" s="154" t="s">
        <v>4665</v>
      </c>
      <c r="AP1167" s="155"/>
      <c r="AQ1167" s="156"/>
      <c r="AR1167" s="157"/>
      <c r="AS1167" s="158"/>
      <c r="AT1167" s="159"/>
      <c r="AU1167" s="161"/>
      <c r="AV1167" s="156"/>
      <c r="AW1167" s="162"/>
      <c r="AX1167" s="163"/>
      <c r="AY1167" s="164"/>
      <c r="AZ1167" s="159"/>
      <c r="BA1167" s="161"/>
      <c r="BB1167" s="165"/>
      <c r="BF1167" s="155"/>
    </row>
    <row r="1168" spans="1:59" s="154" customFormat="1" ht="15" customHeight="1">
      <c r="A1168" s="153" t="s">
        <v>4192</v>
      </c>
      <c r="B1168" s="153" t="s">
        <v>4261</v>
      </c>
      <c r="C1168" s="153" t="s">
        <v>4194</v>
      </c>
      <c r="D1168" s="155">
        <v>38</v>
      </c>
      <c r="E1168" s="154">
        <v>3</v>
      </c>
      <c r="F1168" s="153" t="s">
        <v>4262</v>
      </c>
      <c r="G1168" s="154" t="s">
        <v>4263</v>
      </c>
      <c r="J1168" s="154" t="s">
        <v>29</v>
      </c>
      <c r="K1168" s="154" t="s">
        <v>2426</v>
      </c>
      <c r="N1168" s="155"/>
      <c r="O1168" s="156"/>
      <c r="P1168" s="157"/>
      <c r="Q1168" s="158">
        <v>2</v>
      </c>
      <c r="R1168" s="159">
        <v>2</v>
      </c>
      <c r="S1168" s="160"/>
      <c r="T1168" s="161">
        <v>2</v>
      </c>
      <c r="U1168" s="156"/>
      <c r="V1168" s="162">
        <v>1</v>
      </c>
      <c r="W1168" s="163">
        <v>1</v>
      </c>
      <c r="X1168" s="164"/>
      <c r="Y1168" s="159"/>
      <c r="Z1168" s="161"/>
      <c r="AA1168" s="165"/>
      <c r="AD1168" s="154" t="s">
        <v>460</v>
      </c>
      <c r="AE1168" s="155"/>
      <c r="AF1168" s="154" t="s">
        <v>4666</v>
      </c>
      <c r="AP1168" s="155"/>
      <c r="AQ1168" s="156"/>
      <c r="AR1168" s="157"/>
      <c r="AS1168" s="158"/>
      <c r="AT1168" s="159"/>
      <c r="AU1168" s="161"/>
      <c r="AV1168" s="156"/>
      <c r="AW1168" s="162"/>
      <c r="AX1168" s="163"/>
      <c r="AY1168" s="164"/>
      <c r="AZ1168" s="159"/>
      <c r="BA1168" s="161"/>
      <c r="BB1168" s="165"/>
      <c r="BF1168" s="155"/>
    </row>
    <row r="1169" spans="1:58" s="154" customFormat="1" ht="15" customHeight="1">
      <c r="A1169" s="153" t="s">
        <v>4192</v>
      </c>
      <c r="B1169" s="153" t="s">
        <v>4264</v>
      </c>
      <c r="C1169" s="153" t="s">
        <v>4194</v>
      </c>
      <c r="D1169" s="155">
        <v>39</v>
      </c>
      <c r="E1169" s="154">
        <v>1</v>
      </c>
      <c r="F1169" s="153" t="s">
        <v>4262</v>
      </c>
      <c r="G1169" s="154" t="s">
        <v>4265</v>
      </c>
      <c r="J1169" s="154" t="s">
        <v>29</v>
      </c>
      <c r="K1169" s="154" t="s">
        <v>2426</v>
      </c>
      <c r="N1169" s="155"/>
      <c r="O1169" s="156"/>
      <c r="P1169" s="157"/>
      <c r="Q1169" s="158">
        <v>3</v>
      </c>
      <c r="R1169" s="159">
        <v>2</v>
      </c>
      <c r="S1169" s="160"/>
      <c r="T1169" s="161">
        <v>3</v>
      </c>
      <c r="U1169" s="156"/>
      <c r="V1169" s="162">
        <v>1</v>
      </c>
      <c r="W1169" s="163">
        <v>1</v>
      </c>
      <c r="X1169" s="164"/>
      <c r="Y1169" s="159"/>
      <c r="Z1169" s="161"/>
      <c r="AA1169" s="165"/>
      <c r="AD1169" s="154" t="s">
        <v>460</v>
      </c>
      <c r="AE1169" s="155"/>
      <c r="AF1169" s="154" t="s">
        <v>4667</v>
      </c>
      <c r="AP1169" s="155"/>
      <c r="AQ1169" s="156"/>
      <c r="AR1169" s="157"/>
      <c r="AS1169" s="158"/>
      <c r="AT1169" s="159"/>
      <c r="AU1169" s="161"/>
      <c r="AV1169" s="156"/>
      <c r="AW1169" s="162"/>
      <c r="AX1169" s="163"/>
      <c r="AY1169" s="164"/>
      <c r="AZ1169" s="159"/>
      <c r="BA1169" s="161"/>
      <c r="BB1169" s="165"/>
      <c r="BF1169" s="155"/>
    </row>
    <row r="1170" spans="1:58" s="154" customFormat="1" ht="15" customHeight="1">
      <c r="A1170" s="153" t="s">
        <v>4192</v>
      </c>
      <c r="B1170" s="153" t="s">
        <v>4266</v>
      </c>
      <c r="C1170" s="153" t="s">
        <v>4194</v>
      </c>
      <c r="D1170" s="155">
        <v>40</v>
      </c>
      <c r="E1170" s="154">
        <v>3</v>
      </c>
      <c r="F1170" s="153" t="s">
        <v>4262</v>
      </c>
      <c r="G1170" s="154" t="s">
        <v>4267</v>
      </c>
      <c r="J1170" s="154" t="s">
        <v>28</v>
      </c>
      <c r="K1170" s="154" t="s">
        <v>2426</v>
      </c>
      <c r="N1170" s="155"/>
      <c r="O1170" s="156"/>
      <c r="P1170" s="157"/>
      <c r="Q1170" s="158"/>
      <c r="R1170" s="159"/>
      <c r="S1170" s="160"/>
      <c r="T1170" s="161"/>
      <c r="U1170" s="156"/>
      <c r="V1170" s="162"/>
      <c r="W1170" s="163"/>
      <c r="X1170" s="164"/>
      <c r="Y1170" s="159"/>
      <c r="Z1170" s="161"/>
      <c r="AA1170" s="165"/>
      <c r="AD1170" s="154" t="s">
        <v>479</v>
      </c>
      <c r="AE1170" s="155"/>
      <c r="AF1170" s="154" t="s">
        <v>4668</v>
      </c>
      <c r="AP1170" s="155"/>
      <c r="AQ1170" s="156"/>
      <c r="AR1170" s="157"/>
      <c r="AS1170" s="158"/>
      <c r="AT1170" s="159"/>
      <c r="AU1170" s="161"/>
      <c r="AV1170" s="156"/>
      <c r="AW1170" s="162"/>
      <c r="AX1170" s="163"/>
      <c r="AY1170" s="164"/>
      <c r="AZ1170" s="159"/>
      <c r="BA1170" s="161"/>
      <c r="BB1170" s="165"/>
      <c r="BF1170" s="155"/>
    </row>
    <row r="1171" spans="1:58" s="154" customFormat="1" ht="15" customHeight="1">
      <c r="A1171" s="153" t="s">
        <v>4192</v>
      </c>
      <c r="B1171" s="153" t="s">
        <v>4268</v>
      </c>
      <c r="C1171" s="153" t="s">
        <v>4194</v>
      </c>
      <c r="D1171" s="155">
        <v>41</v>
      </c>
      <c r="E1171" s="154">
        <v>3</v>
      </c>
      <c r="F1171" s="153" t="s">
        <v>4269</v>
      </c>
      <c r="G1171" s="154" t="s">
        <v>4270</v>
      </c>
      <c r="J1171" s="154" t="s">
        <v>29</v>
      </c>
      <c r="K1171" s="154" t="s">
        <v>2426</v>
      </c>
      <c r="N1171" s="155"/>
      <c r="O1171" s="156"/>
      <c r="P1171" s="157"/>
      <c r="Q1171" s="158">
        <v>3</v>
      </c>
      <c r="R1171" s="159">
        <v>1</v>
      </c>
      <c r="S1171" s="160"/>
      <c r="T1171" s="161">
        <v>1</v>
      </c>
      <c r="U1171" s="156"/>
      <c r="V1171" s="162">
        <v>1</v>
      </c>
      <c r="W1171" s="163"/>
      <c r="X1171" s="164"/>
      <c r="Y1171" s="159"/>
      <c r="Z1171" s="161"/>
      <c r="AA1171" s="165"/>
      <c r="AD1171" s="154" t="s">
        <v>467</v>
      </c>
      <c r="AE1171" s="155"/>
      <c r="AF1171" s="154" t="s">
        <v>4669</v>
      </c>
      <c r="AP1171" s="155"/>
      <c r="AQ1171" s="156"/>
      <c r="AR1171" s="157"/>
      <c r="AS1171" s="158"/>
      <c r="AT1171" s="159"/>
      <c r="AU1171" s="161"/>
      <c r="AV1171" s="156"/>
      <c r="AW1171" s="162"/>
      <c r="AX1171" s="163"/>
      <c r="AY1171" s="164"/>
      <c r="AZ1171" s="159"/>
      <c r="BA1171" s="161"/>
      <c r="BB1171" s="165"/>
      <c r="BF1171" s="155"/>
    </row>
    <row r="1172" spans="1:58" s="154" customFormat="1" ht="15" customHeight="1">
      <c r="A1172" s="153" t="s">
        <v>4192</v>
      </c>
      <c r="B1172" s="153" t="s">
        <v>4271</v>
      </c>
      <c r="C1172" s="153" t="s">
        <v>4194</v>
      </c>
      <c r="D1172" s="155">
        <v>42</v>
      </c>
      <c r="E1172" s="154">
        <v>1</v>
      </c>
      <c r="F1172" s="153" t="s">
        <v>4269</v>
      </c>
      <c r="G1172" s="154" t="s">
        <v>4272</v>
      </c>
      <c r="J1172" s="154" t="s">
        <v>29</v>
      </c>
      <c r="K1172" s="154" t="s">
        <v>2426</v>
      </c>
      <c r="N1172" s="155"/>
      <c r="O1172" s="156"/>
      <c r="P1172" s="157"/>
      <c r="Q1172" s="158">
        <v>4</v>
      </c>
      <c r="R1172" s="159">
        <v>3</v>
      </c>
      <c r="S1172" s="160"/>
      <c r="T1172" s="161">
        <v>3</v>
      </c>
      <c r="U1172" s="156"/>
      <c r="V1172" s="162">
        <v>1</v>
      </c>
      <c r="W1172" s="163">
        <v>2</v>
      </c>
      <c r="X1172" s="164"/>
      <c r="Y1172" s="159"/>
      <c r="Z1172" s="161"/>
      <c r="AA1172" s="165"/>
      <c r="AD1172" s="154" t="s">
        <v>4670</v>
      </c>
      <c r="AE1172" s="155"/>
      <c r="AF1172" s="154" t="s">
        <v>4671</v>
      </c>
      <c r="AJ1172" s="171"/>
      <c r="AP1172" s="155"/>
      <c r="AQ1172" s="156"/>
      <c r="AR1172" s="157"/>
      <c r="AS1172" s="158"/>
      <c r="AT1172" s="159"/>
      <c r="AU1172" s="161"/>
      <c r="AV1172" s="156"/>
      <c r="AW1172" s="162"/>
      <c r="AX1172" s="163"/>
      <c r="AY1172" s="164"/>
      <c r="AZ1172" s="159"/>
      <c r="BA1172" s="161"/>
      <c r="BB1172" s="165"/>
      <c r="BF1172" s="155"/>
    </row>
    <row r="1173" spans="1:58" s="154" customFormat="1" ht="15" customHeight="1">
      <c r="A1173" s="153" t="s">
        <v>4192</v>
      </c>
      <c r="B1173" s="153" t="s">
        <v>4273</v>
      </c>
      <c r="C1173" s="153" t="s">
        <v>4194</v>
      </c>
      <c r="D1173" s="155">
        <v>43</v>
      </c>
      <c r="E1173" s="154">
        <v>2</v>
      </c>
      <c r="F1173" s="153" t="s">
        <v>4269</v>
      </c>
      <c r="G1173" s="154" t="s">
        <v>4274</v>
      </c>
      <c r="J1173" s="154" t="s">
        <v>28</v>
      </c>
      <c r="K1173" s="154" t="s">
        <v>2426</v>
      </c>
      <c r="N1173" s="155"/>
      <c r="O1173" s="156"/>
      <c r="P1173" s="157"/>
      <c r="Q1173" s="158"/>
      <c r="R1173" s="159"/>
      <c r="S1173" s="160"/>
      <c r="T1173" s="161"/>
      <c r="U1173" s="156"/>
      <c r="V1173" s="162"/>
      <c r="W1173" s="163"/>
      <c r="X1173" s="164"/>
      <c r="Y1173" s="159"/>
      <c r="Z1173" s="161"/>
      <c r="AA1173" s="165"/>
      <c r="AD1173" s="154" t="s">
        <v>1175</v>
      </c>
      <c r="AE1173" s="155"/>
      <c r="AF1173" s="154" t="s">
        <v>4672</v>
      </c>
      <c r="AP1173" s="155"/>
      <c r="AQ1173" s="156"/>
      <c r="AR1173" s="157"/>
      <c r="AS1173" s="158"/>
      <c r="AT1173" s="159"/>
      <c r="AU1173" s="161"/>
      <c r="AV1173" s="156"/>
      <c r="AW1173" s="162"/>
      <c r="AX1173" s="163"/>
      <c r="AY1173" s="164"/>
      <c r="AZ1173" s="159"/>
      <c r="BA1173" s="161"/>
      <c r="BB1173" s="165"/>
      <c r="BF1173" s="155"/>
    </row>
    <row r="1174" spans="1:58" s="154" customFormat="1" ht="15" customHeight="1">
      <c r="A1174" s="153" t="s">
        <v>4192</v>
      </c>
      <c r="B1174" s="153" t="s">
        <v>4275</v>
      </c>
      <c r="C1174" s="153" t="s">
        <v>4194</v>
      </c>
      <c r="D1174" s="155">
        <v>44</v>
      </c>
      <c r="E1174" s="154">
        <v>1</v>
      </c>
      <c r="F1174" s="153" t="s">
        <v>4276</v>
      </c>
      <c r="G1174" s="154" t="s">
        <v>4277</v>
      </c>
      <c r="H1174" s="154" t="s">
        <v>4673</v>
      </c>
      <c r="I1174" s="154" t="s">
        <v>223</v>
      </c>
      <c r="J1174" s="154" t="s">
        <v>29</v>
      </c>
      <c r="K1174" s="154" t="s">
        <v>2426</v>
      </c>
      <c r="N1174" s="155"/>
      <c r="O1174" s="156"/>
      <c r="P1174" s="157"/>
      <c r="Q1174" s="158">
        <v>4</v>
      </c>
      <c r="R1174" s="159">
        <v>4</v>
      </c>
      <c r="S1174" s="160"/>
      <c r="T1174" s="161">
        <v>3</v>
      </c>
      <c r="U1174" s="156"/>
      <c r="V1174" s="162">
        <v>1</v>
      </c>
      <c r="W1174" s="163">
        <v>1</v>
      </c>
      <c r="X1174" s="164"/>
      <c r="Y1174" s="159"/>
      <c r="Z1174" s="161"/>
      <c r="AA1174" s="165">
        <v>1</v>
      </c>
      <c r="AD1174" s="154" t="s">
        <v>467</v>
      </c>
      <c r="AE1174" s="155"/>
      <c r="AF1174" s="154" t="s">
        <v>4674</v>
      </c>
      <c r="AP1174" s="155"/>
      <c r="AQ1174" s="156"/>
      <c r="AR1174" s="157"/>
      <c r="AS1174" s="158"/>
      <c r="AT1174" s="159"/>
      <c r="AU1174" s="161"/>
      <c r="AV1174" s="156"/>
      <c r="AW1174" s="162"/>
      <c r="AX1174" s="163"/>
      <c r="AY1174" s="164"/>
      <c r="AZ1174" s="159"/>
      <c r="BA1174" s="161"/>
      <c r="BB1174" s="165"/>
      <c r="BF1174" s="155"/>
    </row>
    <row r="1175" spans="1:58" s="154" customFormat="1" ht="15" customHeight="1">
      <c r="A1175" s="153" t="s">
        <v>4192</v>
      </c>
      <c r="B1175" s="153" t="s">
        <v>4278</v>
      </c>
      <c r="C1175" s="153" t="s">
        <v>4194</v>
      </c>
      <c r="D1175" s="155">
        <v>45</v>
      </c>
      <c r="E1175" s="154">
        <v>1</v>
      </c>
      <c r="F1175" s="153" t="s">
        <v>4276</v>
      </c>
      <c r="G1175" s="154" t="s">
        <v>4279</v>
      </c>
      <c r="H1175" s="154" t="s">
        <v>4675</v>
      </c>
      <c r="I1175" s="154" t="s">
        <v>223</v>
      </c>
      <c r="J1175" s="154" t="s">
        <v>29</v>
      </c>
      <c r="K1175" s="154" t="s">
        <v>2426</v>
      </c>
      <c r="N1175" s="155"/>
      <c r="O1175" s="156"/>
      <c r="P1175" s="157"/>
      <c r="Q1175" s="158">
        <v>5</v>
      </c>
      <c r="R1175" s="159">
        <v>2</v>
      </c>
      <c r="S1175" s="160"/>
      <c r="T1175" s="161">
        <v>4</v>
      </c>
      <c r="U1175" s="156"/>
      <c r="V1175" s="162">
        <v>2</v>
      </c>
      <c r="W1175" s="163"/>
      <c r="X1175" s="164"/>
      <c r="Y1175" s="159"/>
      <c r="Z1175" s="161"/>
      <c r="AA1175" s="165">
        <v>1</v>
      </c>
      <c r="AD1175" s="154" t="s">
        <v>467</v>
      </c>
      <c r="AE1175" s="155"/>
      <c r="AF1175" s="154" t="s">
        <v>4676</v>
      </c>
      <c r="AP1175" s="155"/>
      <c r="AQ1175" s="156"/>
      <c r="AR1175" s="157"/>
      <c r="AS1175" s="158"/>
      <c r="AT1175" s="159"/>
      <c r="AU1175" s="161"/>
      <c r="AV1175" s="156"/>
      <c r="AW1175" s="162"/>
      <c r="AX1175" s="163"/>
      <c r="AY1175" s="164"/>
      <c r="AZ1175" s="159"/>
      <c r="BA1175" s="161"/>
      <c r="BB1175" s="165"/>
      <c r="BF1175" s="155"/>
    </row>
    <row r="1176" spans="1:58" s="154" customFormat="1" ht="15" customHeight="1">
      <c r="A1176" s="153" t="s">
        <v>4192</v>
      </c>
      <c r="B1176" s="153" t="s">
        <v>4280</v>
      </c>
      <c r="C1176" s="153" t="s">
        <v>4194</v>
      </c>
      <c r="D1176" s="155">
        <v>46</v>
      </c>
      <c r="E1176" s="154">
        <v>1</v>
      </c>
      <c r="F1176" s="153" t="s">
        <v>4276</v>
      </c>
      <c r="G1176" s="154" t="s">
        <v>4281</v>
      </c>
      <c r="H1176" s="154" t="s">
        <v>4677</v>
      </c>
      <c r="I1176" s="154" t="s">
        <v>223</v>
      </c>
      <c r="J1176" s="154" t="s">
        <v>29</v>
      </c>
      <c r="K1176" s="154" t="s">
        <v>2426</v>
      </c>
      <c r="N1176" s="155"/>
      <c r="O1176" s="156"/>
      <c r="P1176" s="157"/>
      <c r="Q1176" s="158">
        <v>3</v>
      </c>
      <c r="R1176" s="159">
        <v>3</v>
      </c>
      <c r="S1176" s="160"/>
      <c r="T1176" s="161">
        <v>3</v>
      </c>
      <c r="U1176" s="156"/>
      <c r="V1176" s="162"/>
      <c r="W1176" s="163">
        <v>2</v>
      </c>
      <c r="X1176" s="164"/>
      <c r="Y1176" s="159"/>
      <c r="Z1176" s="161"/>
      <c r="AA1176" s="165">
        <v>1</v>
      </c>
      <c r="AD1176" s="154" t="s">
        <v>467</v>
      </c>
      <c r="AE1176" s="155"/>
      <c r="AF1176" s="154" t="s">
        <v>4678</v>
      </c>
      <c r="AP1176" s="155"/>
      <c r="AQ1176" s="156"/>
      <c r="AR1176" s="157"/>
      <c r="AS1176" s="158"/>
      <c r="AT1176" s="159"/>
      <c r="AU1176" s="161"/>
      <c r="AV1176" s="156"/>
      <c r="AW1176" s="162"/>
      <c r="AX1176" s="163"/>
      <c r="AY1176" s="164"/>
      <c r="AZ1176" s="159"/>
      <c r="BA1176" s="161"/>
      <c r="BB1176" s="165"/>
      <c r="BF1176" s="155"/>
    </row>
    <row r="1177" spans="1:58" s="171" customFormat="1" ht="15" customHeight="1">
      <c r="A1177" s="168" t="s">
        <v>4285</v>
      </c>
      <c r="B1177" s="154" t="s">
        <v>4288</v>
      </c>
      <c r="C1177" s="154" t="s">
        <v>4289</v>
      </c>
      <c r="D1177" s="170">
        <v>149</v>
      </c>
      <c r="E1177" s="171">
        <v>2</v>
      </c>
      <c r="F1177" s="154"/>
      <c r="G1177" s="171" t="s">
        <v>4290</v>
      </c>
      <c r="J1177" s="171" t="s">
        <v>27</v>
      </c>
      <c r="K1177" s="171" t="s">
        <v>198</v>
      </c>
      <c r="L1177" s="171">
        <v>0</v>
      </c>
      <c r="N1177" s="170">
        <v>1</v>
      </c>
      <c r="O1177" s="156">
        <v>1</v>
      </c>
      <c r="P1177" s="157"/>
      <c r="Q1177" s="158"/>
      <c r="R1177" s="159"/>
      <c r="S1177" s="160"/>
      <c r="T1177" s="161"/>
      <c r="U1177" s="156"/>
      <c r="V1177" s="162"/>
      <c r="W1177" s="163"/>
      <c r="X1177" s="164"/>
      <c r="Y1177" s="159"/>
      <c r="Z1177" s="161"/>
      <c r="AA1177" s="165"/>
      <c r="AB1177" s="171" t="s">
        <v>204</v>
      </c>
      <c r="AD1177" s="171" t="s">
        <v>3384</v>
      </c>
      <c r="AE1177" s="170"/>
      <c r="AF1177" s="171" t="s">
        <v>4687</v>
      </c>
      <c r="AQ1177" s="156"/>
      <c r="AR1177" s="157"/>
      <c r="AS1177" s="158"/>
      <c r="AT1177" s="159"/>
      <c r="AU1177" s="161"/>
      <c r="AV1177" s="156"/>
      <c r="AW1177" s="162"/>
      <c r="AX1177" s="163"/>
      <c r="AY1177" s="164"/>
      <c r="AZ1177" s="159"/>
      <c r="BA1177" s="161"/>
      <c r="BB1177" s="165"/>
      <c r="BF1177" s="170"/>
    </row>
    <row r="1178" spans="1:58" s="154" customFormat="1" ht="15" customHeight="1">
      <c r="A1178" s="153" t="s">
        <v>4285</v>
      </c>
      <c r="B1178" s="154" t="s">
        <v>4291</v>
      </c>
      <c r="C1178" s="154" t="s">
        <v>4289</v>
      </c>
      <c r="D1178" s="170">
        <v>150</v>
      </c>
      <c r="E1178" s="154">
        <v>2</v>
      </c>
      <c r="G1178" s="154" t="s">
        <v>4292</v>
      </c>
      <c r="J1178" s="171" t="s">
        <v>312</v>
      </c>
      <c r="K1178" s="154" t="s">
        <v>198</v>
      </c>
      <c r="L1178" s="154">
        <v>0</v>
      </c>
      <c r="N1178" s="155"/>
      <c r="O1178" s="156"/>
      <c r="P1178" s="157"/>
      <c r="Q1178" s="158"/>
      <c r="R1178" s="159"/>
      <c r="S1178" s="160">
        <v>3</v>
      </c>
      <c r="T1178" s="161"/>
      <c r="U1178" s="156"/>
      <c r="V1178" s="162"/>
      <c r="W1178" s="163"/>
      <c r="X1178" s="164"/>
      <c r="Y1178" s="159"/>
      <c r="Z1178" s="161"/>
      <c r="AA1178" s="165"/>
      <c r="AB1178" s="154" t="s">
        <v>1996</v>
      </c>
      <c r="AD1178" s="154" t="s">
        <v>4293</v>
      </c>
      <c r="AE1178" s="155"/>
      <c r="AF1178" s="154" t="s">
        <v>4688</v>
      </c>
      <c r="AL1178" s="171"/>
      <c r="AO1178" s="155"/>
      <c r="AP1178" s="155"/>
      <c r="AQ1178" s="156"/>
      <c r="AR1178" s="157"/>
      <c r="AS1178" s="158"/>
      <c r="AT1178" s="159"/>
      <c r="AU1178" s="161"/>
      <c r="AV1178" s="156"/>
      <c r="AW1178" s="162"/>
      <c r="AX1178" s="163"/>
      <c r="AY1178" s="164"/>
      <c r="AZ1178" s="159"/>
      <c r="BA1178" s="161"/>
      <c r="BB1178" s="165"/>
      <c r="BE1178" s="155"/>
    </row>
    <row r="1179" spans="1:58" s="154" customFormat="1" ht="15" customHeight="1">
      <c r="A1179" s="168" t="s">
        <v>4285</v>
      </c>
      <c r="B1179" s="154" t="s">
        <v>4294</v>
      </c>
      <c r="C1179" s="154" t="s">
        <v>4289</v>
      </c>
      <c r="D1179" s="170">
        <v>151</v>
      </c>
      <c r="E1179" s="154">
        <v>2</v>
      </c>
      <c r="G1179" s="154" t="s">
        <v>4295</v>
      </c>
      <c r="J1179" s="171" t="s">
        <v>257</v>
      </c>
      <c r="K1179" s="154" t="s">
        <v>198</v>
      </c>
      <c r="L1179" s="154">
        <v>2</v>
      </c>
      <c r="N1179" s="155">
        <v>2</v>
      </c>
      <c r="O1179" s="156"/>
      <c r="P1179" s="157"/>
      <c r="Q1179" s="158"/>
      <c r="R1179" s="159"/>
      <c r="S1179" s="160"/>
      <c r="T1179" s="161"/>
      <c r="U1179" s="156"/>
      <c r="V1179" s="162"/>
      <c r="W1179" s="163"/>
      <c r="X1179" s="164"/>
      <c r="Y1179" s="159"/>
      <c r="Z1179" s="161"/>
      <c r="AA1179" s="165"/>
      <c r="AD1179" s="154" t="s">
        <v>289</v>
      </c>
      <c r="AE1179" s="155"/>
      <c r="AF1179" s="154" t="s">
        <v>4296</v>
      </c>
      <c r="AL1179" s="171"/>
      <c r="AO1179" s="155"/>
      <c r="AP1179" s="155"/>
      <c r="AQ1179" s="156"/>
      <c r="AR1179" s="157"/>
      <c r="AS1179" s="158"/>
      <c r="AT1179" s="159"/>
      <c r="AU1179" s="161"/>
      <c r="AV1179" s="156"/>
      <c r="AW1179" s="162"/>
      <c r="AX1179" s="163"/>
      <c r="AY1179" s="164"/>
      <c r="AZ1179" s="159"/>
      <c r="BA1179" s="161"/>
      <c r="BB1179" s="165"/>
      <c r="BE1179" s="155"/>
    </row>
    <row r="1180" spans="1:58" s="154" customFormat="1" ht="15" customHeight="1">
      <c r="A1180" s="153" t="s">
        <v>4285</v>
      </c>
      <c r="B1180" s="154" t="s">
        <v>4297</v>
      </c>
      <c r="C1180" s="154" t="s">
        <v>4289</v>
      </c>
      <c r="D1180" s="170">
        <v>152</v>
      </c>
      <c r="E1180" s="154">
        <v>2</v>
      </c>
      <c r="G1180" s="154" t="s">
        <v>4298</v>
      </c>
      <c r="J1180" s="171" t="s">
        <v>27</v>
      </c>
      <c r="K1180" s="154" t="s">
        <v>199</v>
      </c>
      <c r="L1180" s="154">
        <v>0</v>
      </c>
      <c r="N1180" s="155">
        <v>2</v>
      </c>
      <c r="O1180" s="156"/>
      <c r="P1180" s="157">
        <v>2</v>
      </c>
      <c r="Q1180" s="158"/>
      <c r="R1180" s="159"/>
      <c r="S1180" s="160"/>
      <c r="T1180" s="161"/>
      <c r="U1180" s="156"/>
      <c r="V1180" s="162"/>
      <c r="W1180" s="163"/>
      <c r="X1180" s="164"/>
      <c r="Y1180" s="159"/>
      <c r="Z1180" s="161"/>
      <c r="AA1180" s="165"/>
      <c r="AB1180" s="154" t="s">
        <v>1084</v>
      </c>
      <c r="AD1180" s="154" t="s">
        <v>340</v>
      </c>
      <c r="AE1180" s="155"/>
      <c r="AF1180" s="154" t="s">
        <v>4689</v>
      </c>
      <c r="AL1180" s="171"/>
      <c r="AO1180" s="155"/>
      <c r="AP1180" s="155"/>
      <c r="AQ1180" s="156"/>
      <c r="AR1180" s="157"/>
      <c r="AS1180" s="158"/>
      <c r="AT1180" s="159"/>
      <c r="AU1180" s="161"/>
      <c r="AV1180" s="156"/>
      <c r="AW1180" s="162"/>
      <c r="AX1180" s="163"/>
      <c r="AY1180" s="164"/>
      <c r="AZ1180" s="159"/>
      <c r="BA1180" s="161"/>
      <c r="BB1180" s="165"/>
      <c r="BE1180" s="155"/>
    </row>
    <row r="1181" spans="1:58" s="154" customFormat="1" ht="15" customHeight="1">
      <c r="A1181" s="168" t="s">
        <v>4285</v>
      </c>
      <c r="B1181" s="154" t="s">
        <v>4299</v>
      </c>
      <c r="C1181" s="154" t="s">
        <v>4289</v>
      </c>
      <c r="D1181" s="170">
        <v>153</v>
      </c>
      <c r="E1181" s="154">
        <v>2</v>
      </c>
      <c r="G1181" s="154" t="s">
        <v>4300</v>
      </c>
      <c r="J1181" s="154" t="s">
        <v>312</v>
      </c>
      <c r="K1181" s="154" t="s">
        <v>199</v>
      </c>
      <c r="L1181" s="154">
        <v>0</v>
      </c>
      <c r="O1181" s="156"/>
      <c r="P1181" s="157"/>
      <c r="Q1181" s="158"/>
      <c r="R1181" s="159"/>
      <c r="S1181" s="160">
        <v>1</v>
      </c>
      <c r="T1181" s="161"/>
      <c r="U1181" s="156"/>
      <c r="V1181" s="162"/>
      <c r="W1181" s="163"/>
      <c r="X1181" s="164"/>
      <c r="Y1181" s="159"/>
      <c r="Z1181" s="161"/>
      <c r="AA1181" s="165"/>
      <c r="AB1181" s="154" t="s">
        <v>208</v>
      </c>
      <c r="AD1181" s="154" t="s">
        <v>412</v>
      </c>
      <c r="AF1181" s="154" t="s">
        <v>4690</v>
      </c>
      <c r="AO1181" s="155"/>
      <c r="AQ1181" s="156"/>
      <c r="AR1181" s="157"/>
      <c r="AS1181" s="158"/>
      <c r="AT1181" s="159"/>
      <c r="AU1181" s="161"/>
      <c r="AV1181" s="156"/>
      <c r="AW1181" s="162"/>
      <c r="AX1181" s="163"/>
      <c r="AY1181" s="164"/>
      <c r="AZ1181" s="159"/>
      <c r="BA1181" s="161"/>
      <c r="BB1181" s="165"/>
      <c r="BE1181" s="155"/>
    </row>
    <row r="1182" spans="1:58" s="154" customFormat="1" ht="15" customHeight="1">
      <c r="A1182" s="153" t="s">
        <v>4285</v>
      </c>
      <c r="B1182" s="154" t="s">
        <v>4301</v>
      </c>
      <c r="C1182" s="154" t="s">
        <v>4289</v>
      </c>
      <c r="D1182" s="170">
        <v>154</v>
      </c>
      <c r="E1182" s="154">
        <v>2</v>
      </c>
      <c r="G1182" s="154" t="s">
        <v>4302</v>
      </c>
      <c r="J1182" s="154" t="s">
        <v>257</v>
      </c>
      <c r="K1182" s="154" t="s">
        <v>199</v>
      </c>
      <c r="L1182" s="154">
        <v>2</v>
      </c>
      <c r="N1182" s="154">
        <v>2</v>
      </c>
      <c r="O1182" s="156">
        <v>1</v>
      </c>
      <c r="P1182" s="157"/>
      <c r="Q1182" s="158"/>
      <c r="R1182" s="159">
        <v>1</v>
      </c>
      <c r="S1182" s="160"/>
      <c r="T1182" s="161"/>
      <c r="U1182" s="156"/>
      <c r="V1182" s="162"/>
      <c r="W1182" s="163"/>
      <c r="X1182" s="164"/>
      <c r="Y1182" s="159"/>
      <c r="Z1182" s="161"/>
      <c r="AA1182" s="165"/>
      <c r="AB1182" s="154" t="s">
        <v>1085</v>
      </c>
      <c r="AD1182" s="154" t="s">
        <v>289</v>
      </c>
      <c r="AF1182" s="154" t="s">
        <v>4303</v>
      </c>
      <c r="AO1182" s="155"/>
      <c r="AQ1182" s="156"/>
      <c r="AR1182" s="157"/>
      <c r="AS1182" s="158"/>
      <c r="AT1182" s="159"/>
      <c r="AU1182" s="161"/>
      <c r="AV1182" s="156"/>
      <c r="AW1182" s="162"/>
      <c r="AX1182" s="163"/>
      <c r="AY1182" s="164"/>
      <c r="AZ1182" s="159"/>
      <c r="BA1182" s="161"/>
      <c r="BB1182" s="165"/>
      <c r="BE1182" s="155"/>
    </row>
    <row r="1183" spans="1:58" s="154" customFormat="1" ht="15" customHeight="1">
      <c r="A1183" s="168" t="s">
        <v>4285</v>
      </c>
      <c r="B1183" s="153" t="s">
        <v>4304</v>
      </c>
      <c r="C1183" s="154" t="s">
        <v>4289</v>
      </c>
      <c r="D1183" s="170">
        <v>155</v>
      </c>
      <c r="E1183" s="154">
        <v>2</v>
      </c>
      <c r="G1183" s="154" t="s">
        <v>4305</v>
      </c>
      <c r="J1183" s="154" t="s">
        <v>312</v>
      </c>
      <c r="K1183" s="154" t="s">
        <v>201</v>
      </c>
      <c r="L1183" s="154">
        <v>0</v>
      </c>
      <c r="O1183" s="156"/>
      <c r="P1183" s="157"/>
      <c r="Q1183" s="158"/>
      <c r="R1183" s="159">
        <v>1</v>
      </c>
      <c r="S1183" s="160"/>
      <c r="T1183" s="161"/>
      <c r="U1183" s="156"/>
      <c r="V1183" s="162"/>
      <c r="W1183" s="163"/>
      <c r="X1183" s="164"/>
      <c r="Y1183" s="159"/>
      <c r="Z1183" s="161"/>
      <c r="AA1183" s="165"/>
      <c r="AB1183" s="154" t="s">
        <v>207</v>
      </c>
      <c r="AD1183" s="154" t="s">
        <v>313</v>
      </c>
      <c r="AF1183" s="154" t="s">
        <v>4306</v>
      </c>
      <c r="AO1183" s="155"/>
      <c r="AQ1183" s="156"/>
      <c r="AR1183" s="157"/>
      <c r="AS1183" s="158"/>
      <c r="AT1183" s="159"/>
      <c r="AU1183" s="161"/>
      <c r="AV1183" s="156"/>
      <c r="AW1183" s="162"/>
      <c r="AX1183" s="163"/>
      <c r="AY1183" s="164"/>
      <c r="AZ1183" s="159"/>
      <c r="BA1183" s="161"/>
      <c r="BB1183" s="165"/>
      <c r="BE1183" s="155"/>
    </row>
    <row r="1184" spans="1:58" s="154" customFormat="1" ht="15" customHeight="1">
      <c r="A1184" s="153" t="s">
        <v>4285</v>
      </c>
      <c r="B1184" s="153" t="s">
        <v>4307</v>
      </c>
      <c r="C1184" s="154" t="s">
        <v>4289</v>
      </c>
      <c r="D1184" s="170">
        <v>156</v>
      </c>
      <c r="E1184" s="154">
        <v>2</v>
      </c>
      <c r="G1184" s="154" t="s">
        <v>1704</v>
      </c>
      <c r="J1184" s="154" t="s">
        <v>257</v>
      </c>
      <c r="K1184" s="154" t="s">
        <v>201</v>
      </c>
      <c r="L1184" s="154">
        <v>2</v>
      </c>
      <c r="N1184" s="154">
        <v>2</v>
      </c>
      <c r="O1184" s="156"/>
      <c r="P1184" s="157">
        <v>1</v>
      </c>
      <c r="Q1184" s="158">
        <v>1</v>
      </c>
      <c r="R1184" s="159"/>
      <c r="S1184" s="160"/>
      <c r="T1184" s="161"/>
      <c r="U1184" s="156"/>
      <c r="V1184" s="162"/>
      <c r="W1184" s="163"/>
      <c r="X1184" s="164"/>
      <c r="Y1184" s="159"/>
      <c r="Z1184" s="161"/>
      <c r="AA1184" s="165"/>
      <c r="AB1184" s="154" t="s">
        <v>1091</v>
      </c>
      <c r="AD1184" s="154" t="s">
        <v>289</v>
      </c>
      <c r="AF1184" s="154" t="s">
        <v>4308</v>
      </c>
      <c r="AO1184" s="155"/>
      <c r="AQ1184" s="156"/>
      <c r="AR1184" s="157"/>
      <c r="AS1184" s="158"/>
      <c r="AT1184" s="159"/>
      <c r="AU1184" s="161"/>
      <c r="AV1184" s="156"/>
      <c r="AW1184" s="162"/>
      <c r="AX1184" s="163"/>
      <c r="AY1184" s="164"/>
      <c r="AZ1184" s="159"/>
      <c r="BA1184" s="161"/>
      <c r="BB1184" s="165"/>
      <c r="BE1184" s="155"/>
    </row>
    <row r="1185" spans="1:59" s="154" customFormat="1" ht="15" customHeight="1">
      <c r="A1185" s="168" t="s">
        <v>4285</v>
      </c>
      <c r="B1185" s="153" t="s">
        <v>4309</v>
      </c>
      <c r="C1185" s="154" t="s">
        <v>4289</v>
      </c>
      <c r="D1185" s="170">
        <v>157</v>
      </c>
      <c r="E1185" s="154">
        <v>2</v>
      </c>
      <c r="G1185" s="154" t="s">
        <v>4310</v>
      </c>
      <c r="J1185" s="154" t="s">
        <v>312</v>
      </c>
      <c r="K1185" s="154" t="s">
        <v>200</v>
      </c>
      <c r="L1185" s="154">
        <v>0</v>
      </c>
      <c r="N1185" s="172"/>
      <c r="O1185" s="156"/>
      <c r="P1185" s="157">
        <v>1</v>
      </c>
      <c r="Q1185" s="158"/>
      <c r="R1185" s="159"/>
      <c r="S1185" s="160"/>
      <c r="T1185" s="161"/>
      <c r="U1185" s="156"/>
      <c r="V1185" s="162"/>
      <c r="W1185" s="163"/>
      <c r="X1185" s="164"/>
      <c r="Y1185" s="159"/>
      <c r="Z1185" s="161"/>
      <c r="AA1185" s="165"/>
      <c r="AB1185" s="154" t="s">
        <v>205</v>
      </c>
      <c r="AD1185" s="154" t="s">
        <v>313</v>
      </c>
      <c r="AF1185" s="154" t="s">
        <v>4311</v>
      </c>
      <c r="AO1185" s="155"/>
      <c r="AQ1185" s="156"/>
      <c r="AR1185" s="157"/>
      <c r="AS1185" s="158"/>
      <c r="AT1185" s="159"/>
      <c r="AU1185" s="161"/>
      <c r="AV1185" s="156"/>
      <c r="AW1185" s="162"/>
      <c r="AX1185" s="163"/>
      <c r="AY1185" s="164"/>
      <c r="AZ1185" s="159"/>
      <c r="BA1185" s="161"/>
      <c r="BB1185" s="165"/>
      <c r="BE1185" s="155"/>
    </row>
    <row r="1186" spans="1:59" s="154" customFormat="1" ht="15" customHeight="1">
      <c r="A1186" s="153" t="s">
        <v>4285</v>
      </c>
      <c r="B1186" s="153" t="s">
        <v>4312</v>
      </c>
      <c r="C1186" s="154" t="s">
        <v>4289</v>
      </c>
      <c r="D1186" s="170">
        <v>158</v>
      </c>
      <c r="E1186" s="154">
        <v>2</v>
      </c>
      <c r="G1186" s="154" t="s">
        <v>4313</v>
      </c>
      <c r="J1186" s="154" t="s">
        <v>257</v>
      </c>
      <c r="K1186" s="154" t="s">
        <v>200</v>
      </c>
      <c r="L1186" s="154">
        <v>2</v>
      </c>
      <c r="N1186" s="154">
        <v>2</v>
      </c>
      <c r="O1186" s="156"/>
      <c r="P1186" s="157">
        <v>1</v>
      </c>
      <c r="Q1186" s="158"/>
      <c r="R1186" s="159">
        <v>1</v>
      </c>
      <c r="S1186" s="160"/>
      <c r="T1186" s="161"/>
      <c r="U1186" s="156"/>
      <c r="V1186" s="162"/>
      <c r="W1186" s="163"/>
      <c r="X1186" s="164"/>
      <c r="Y1186" s="159"/>
      <c r="Z1186" s="161"/>
      <c r="AA1186" s="165"/>
      <c r="AB1186" s="154" t="s">
        <v>1089</v>
      </c>
      <c r="AD1186" s="154" t="s">
        <v>4314</v>
      </c>
      <c r="AF1186" s="154" t="s">
        <v>4315</v>
      </c>
      <c r="AO1186" s="155"/>
      <c r="AQ1186" s="156"/>
      <c r="AR1186" s="157"/>
      <c r="AS1186" s="158"/>
      <c r="AT1186" s="159"/>
      <c r="AU1186" s="161"/>
      <c r="AV1186" s="156"/>
      <c r="AW1186" s="162"/>
      <c r="AX1186" s="163"/>
      <c r="AY1186" s="164"/>
      <c r="AZ1186" s="159"/>
      <c r="BA1186" s="161"/>
      <c r="BB1186" s="165"/>
      <c r="BE1186" s="155"/>
    </row>
    <row r="1187" spans="1:59" s="154" customFormat="1" ht="15" customHeight="1">
      <c r="A1187" s="168" t="s">
        <v>4285</v>
      </c>
      <c r="B1187" s="153" t="s">
        <v>4316</v>
      </c>
      <c r="C1187" s="154" t="s">
        <v>4289</v>
      </c>
      <c r="D1187" s="170">
        <v>159</v>
      </c>
      <c r="E1187" s="154">
        <v>2</v>
      </c>
      <c r="G1187" s="154" t="s">
        <v>2416</v>
      </c>
      <c r="J1187" s="154" t="s">
        <v>257</v>
      </c>
      <c r="K1187" s="154" t="s">
        <v>202</v>
      </c>
      <c r="L1187" s="154">
        <v>1</v>
      </c>
      <c r="N1187" s="154">
        <v>2</v>
      </c>
      <c r="O1187" s="156">
        <v>1</v>
      </c>
      <c r="P1187" s="157"/>
      <c r="Q1187" s="158"/>
      <c r="R1187" s="159"/>
      <c r="S1187" s="160"/>
      <c r="T1187" s="161"/>
      <c r="U1187" s="156"/>
      <c r="V1187" s="162"/>
      <c r="W1187" s="163"/>
      <c r="X1187" s="164"/>
      <c r="Y1187" s="159"/>
      <c r="Z1187" s="161"/>
      <c r="AA1187" s="165"/>
      <c r="AB1187" s="154" t="s">
        <v>204</v>
      </c>
      <c r="AD1187" s="154" t="s">
        <v>289</v>
      </c>
      <c r="AF1187" s="154" t="s">
        <v>4691</v>
      </c>
      <c r="AO1187" s="155"/>
      <c r="AQ1187" s="156"/>
      <c r="AR1187" s="157"/>
      <c r="AS1187" s="158"/>
      <c r="AT1187" s="159"/>
      <c r="AU1187" s="161"/>
      <c r="AV1187" s="156"/>
      <c r="AW1187" s="162"/>
      <c r="AX1187" s="163"/>
      <c r="AY1187" s="164"/>
      <c r="AZ1187" s="159"/>
      <c r="BA1187" s="161"/>
      <c r="BB1187" s="165"/>
      <c r="BE1187" s="155"/>
    </row>
    <row r="1188" spans="1:59" s="154" customFormat="1" ht="15" customHeight="1">
      <c r="A1188" s="153" t="s">
        <v>4285</v>
      </c>
      <c r="B1188" s="153" t="s">
        <v>4317</v>
      </c>
      <c r="C1188" s="154" t="s">
        <v>4289</v>
      </c>
      <c r="D1188" s="170">
        <v>160</v>
      </c>
      <c r="E1188" s="154">
        <v>2</v>
      </c>
      <c r="F1188" s="153"/>
      <c r="G1188" s="154" t="s">
        <v>4318</v>
      </c>
      <c r="J1188" s="154" t="s">
        <v>257</v>
      </c>
      <c r="K1188" s="154" t="s">
        <v>202</v>
      </c>
      <c r="L1188" s="154">
        <v>2</v>
      </c>
      <c r="N1188" s="154">
        <v>2</v>
      </c>
      <c r="O1188" s="156">
        <v>1</v>
      </c>
      <c r="P1188" s="157"/>
      <c r="Q1188" s="158">
        <v>1</v>
      </c>
      <c r="R1188" s="159"/>
      <c r="S1188" s="160"/>
      <c r="T1188" s="161"/>
      <c r="U1188" s="156"/>
      <c r="V1188" s="162"/>
      <c r="W1188" s="163"/>
      <c r="X1188" s="164"/>
      <c r="Y1188" s="159"/>
      <c r="Z1188" s="161"/>
      <c r="AA1188" s="165"/>
      <c r="AB1188" s="154" t="s">
        <v>1083</v>
      </c>
      <c r="AD1188" s="154" t="s">
        <v>289</v>
      </c>
      <c r="AF1188" s="154" t="s">
        <v>4319</v>
      </c>
      <c r="AO1188" s="155"/>
      <c r="AQ1188" s="156"/>
      <c r="AR1188" s="157"/>
      <c r="AS1188" s="158"/>
      <c r="AT1188" s="159"/>
      <c r="AU1188" s="161"/>
      <c r="AV1188" s="156"/>
      <c r="AW1188" s="162"/>
      <c r="AX1188" s="163"/>
      <c r="AY1188" s="164"/>
      <c r="AZ1188" s="159"/>
      <c r="BA1188" s="161"/>
      <c r="BB1188" s="165"/>
      <c r="BE1188" s="155"/>
    </row>
    <row r="1189" spans="1:59" s="154" customFormat="1" ht="15" customHeight="1">
      <c r="A1189" s="168" t="s">
        <v>4285</v>
      </c>
      <c r="B1189" s="153" t="s">
        <v>4320</v>
      </c>
      <c r="C1189" s="154" t="s">
        <v>4289</v>
      </c>
      <c r="D1189" s="170">
        <v>161</v>
      </c>
      <c r="E1189" s="154">
        <v>1</v>
      </c>
      <c r="F1189" s="154" t="s">
        <v>4286</v>
      </c>
      <c r="G1189" s="154" t="s">
        <v>4286</v>
      </c>
      <c r="J1189" s="154" t="s">
        <v>618</v>
      </c>
      <c r="K1189" s="154" t="s">
        <v>2426</v>
      </c>
      <c r="O1189" s="156"/>
      <c r="P1189" s="157"/>
      <c r="Q1189" s="158"/>
      <c r="R1189" s="159"/>
      <c r="S1189" s="160"/>
      <c r="T1189" s="161"/>
      <c r="U1189" s="156"/>
      <c r="V1189" s="162"/>
      <c r="W1189" s="163"/>
      <c r="X1189" s="164"/>
      <c r="Y1189" s="159"/>
      <c r="Z1189" s="161"/>
      <c r="AA1189" s="165"/>
      <c r="AF1189" s="154" t="s">
        <v>4692</v>
      </c>
      <c r="AI1189" s="154" t="s">
        <v>4286</v>
      </c>
      <c r="AL1189" s="154" t="s">
        <v>618</v>
      </c>
      <c r="AM1189" s="154" t="s">
        <v>2426</v>
      </c>
      <c r="AO1189" s="155"/>
      <c r="AQ1189" s="156"/>
      <c r="AR1189" s="157"/>
      <c r="AS1189" s="158"/>
      <c r="AT1189" s="159"/>
      <c r="AU1189" s="161"/>
      <c r="AV1189" s="156"/>
      <c r="AW1189" s="162"/>
      <c r="AX1189" s="163"/>
      <c r="AY1189" s="164"/>
      <c r="AZ1189" s="159"/>
      <c r="BA1189" s="161"/>
      <c r="BB1189" s="165"/>
      <c r="BE1189" s="155"/>
      <c r="BG1189" s="154" t="s">
        <v>4693</v>
      </c>
    </row>
    <row r="1190" spans="1:59" s="154" customFormat="1" ht="15" customHeight="1">
      <c r="A1190" s="153" t="s">
        <v>4285</v>
      </c>
      <c r="B1190" s="153" t="s">
        <v>4321</v>
      </c>
      <c r="C1190" s="154" t="s">
        <v>4289</v>
      </c>
      <c r="D1190" s="170">
        <v>162</v>
      </c>
      <c r="E1190" s="154">
        <v>1</v>
      </c>
      <c r="F1190" s="154" t="s">
        <v>4286</v>
      </c>
      <c r="G1190" s="154" t="s">
        <v>4322</v>
      </c>
      <c r="J1190" s="154" t="s">
        <v>619</v>
      </c>
      <c r="K1190" s="154" t="s">
        <v>2426</v>
      </c>
      <c r="L1190" s="154">
        <v>1</v>
      </c>
      <c r="O1190" s="156"/>
      <c r="P1190" s="157"/>
      <c r="Q1190" s="158"/>
      <c r="R1190" s="159"/>
      <c r="S1190" s="160"/>
      <c r="T1190" s="161"/>
      <c r="U1190" s="156"/>
      <c r="V1190" s="162"/>
      <c r="W1190" s="163"/>
      <c r="X1190" s="164"/>
      <c r="Y1190" s="159"/>
      <c r="Z1190" s="161">
        <v>8</v>
      </c>
      <c r="AA1190" s="165"/>
      <c r="AI1190" s="154" t="s">
        <v>4679</v>
      </c>
      <c r="AL1190" s="154" t="s">
        <v>619</v>
      </c>
      <c r="AM1190" s="154" t="s">
        <v>2426</v>
      </c>
      <c r="AN1190" s="154">
        <v>1</v>
      </c>
      <c r="AO1190" s="155"/>
      <c r="AQ1190" s="156"/>
      <c r="AR1190" s="157"/>
      <c r="AS1190" s="158"/>
      <c r="AT1190" s="159"/>
      <c r="AU1190" s="161"/>
      <c r="AV1190" s="156"/>
      <c r="AW1190" s="162"/>
      <c r="AX1190" s="163"/>
      <c r="AY1190" s="164"/>
      <c r="AZ1190" s="159"/>
      <c r="BA1190" s="161"/>
      <c r="BB1190" s="165"/>
      <c r="BE1190" s="155"/>
      <c r="BG1190" s="154" t="s">
        <v>4680</v>
      </c>
    </row>
    <row r="1191" spans="1:59" s="154" customFormat="1" ht="15" customHeight="1">
      <c r="A1191" s="168" t="s">
        <v>4285</v>
      </c>
      <c r="B1191" s="153" t="s">
        <v>4323</v>
      </c>
      <c r="C1191" s="154" t="s">
        <v>4289</v>
      </c>
      <c r="D1191" s="170">
        <v>163</v>
      </c>
      <c r="E1191" s="154">
        <v>1</v>
      </c>
      <c r="F1191" s="154" t="s">
        <v>4286</v>
      </c>
      <c r="G1191" s="154" t="s">
        <v>4324</v>
      </c>
      <c r="J1191" s="154" t="s">
        <v>619</v>
      </c>
      <c r="K1191" s="154" t="s">
        <v>2426</v>
      </c>
      <c r="L1191" s="154">
        <v>2</v>
      </c>
      <c r="O1191" s="156"/>
      <c r="P1191" s="157"/>
      <c r="Q1191" s="158"/>
      <c r="R1191" s="159"/>
      <c r="S1191" s="160"/>
      <c r="T1191" s="161"/>
      <c r="U1191" s="156"/>
      <c r="V1191" s="162"/>
      <c r="W1191" s="163"/>
      <c r="X1191" s="164"/>
      <c r="Y1191" s="159"/>
      <c r="Z1191" s="161">
        <v>5</v>
      </c>
      <c r="AA1191" s="165"/>
      <c r="AI1191" s="154" t="s">
        <v>4681</v>
      </c>
      <c r="AL1191" s="154" t="s">
        <v>619</v>
      </c>
      <c r="AM1191" s="154" t="s">
        <v>2426</v>
      </c>
      <c r="AN1191" s="154">
        <v>2</v>
      </c>
      <c r="AO1191" s="155"/>
      <c r="AQ1191" s="156"/>
      <c r="AR1191" s="157"/>
      <c r="AS1191" s="158"/>
      <c r="AT1191" s="159"/>
      <c r="AU1191" s="161"/>
      <c r="AV1191" s="156"/>
      <c r="AW1191" s="162"/>
      <c r="AX1191" s="163"/>
      <c r="AY1191" s="164"/>
      <c r="AZ1191" s="159"/>
      <c r="BA1191" s="161"/>
      <c r="BB1191" s="165"/>
      <c r="BG1191" s="154" t="s">
        <v>4325</v>
      </c>
    </row>
    <row r="1192" spans="1:59" s="154" customFormat="1" ht="15" customHeight="1">
      <c r="A1192" s="153" t="s">
        <v>4285</v>
      </c>
      <c r="B1192" s="153" t="s">
        <v>4326</v>
      </c>
      <c r="C1192" s="154" t="s">
        <v>4289</v>
      </c>
      <c r="D1192" s="170">
        <v>164</v>
      </c>
      <c r="E1192" s="154">
        <v>1</v>
      </c>
      <c r="F1192" s="154" t="s">
        <v>4286</v>
      </c>
      <c r="G1192" s="154" t="s">
        <v>4327</v>
      </c>
      <c r="J1192" s="154" t="s">
        <v>619</v>
      </c>
      <c r="K1192" s="171" t="s">
        <v>2426</v>
      </c>
      <c r="L1192" s="154">
        <v>3</v>
      </c>
      <c r="O1192" s="156"/>
      <c r="P1192" s="157"/>
      <c r="Q1192" s="158"/>
      <c r="R1192" s="159"/>
      <c r="S1192" s="160"/>
      <c r="T1192" s="161"/>
      <c r="U1192" s="156"/>
      <c r="V1192" s="162"/>
      <c r="W1192" s="163"/>
      <c r="X1192" s="164"/>
      <c r="Y1192" s="159"/>
      <c r="Z1192" s="161">
        <v>6</v>
      </c>
      <c r="AA1192" s="165"/>
      <c r="AI1192" s="154" t="s">
        <v>4682</v>
      </c>
      <c r="AL1192" s="154" t="s">
        <v>619</v>
      </c>
      <c r="AM1192" s="171" t="s">
        <v>2426</v>
      </c>
      <c r="AN1192" s="154">
        <v>3</v>
      </c>
      <c r="AO1192" s="155"/>
      <c r="AQ1192" s="156"/>
      <c r="AR1192" s="157"/>
      <c r="AS1192" s="158"/>
      <c r="AT1192" s="159"/>
      <c r="AU1192" s="161"/>
      <c r="AV1192" s="156"/>
      <c r="AW1192" s="162"/>
      <c r="AX1192" s="163"/>
      <c r="AY1192" s="164"/>
      <c r="AZ1192" s="159"/>
      <c r="BA1192" s="161"/>
      <c r="BB1192" s="165"/>
      <c r="BG1192" s="154" t="s">
        <v>4556</v>
      </c>
    </row>
    <row r="1193" spans="1:59" s="154" customFormat="1" ht="15" customHeight="1">
      <c r="A1193" s="168" t="s">
        <v>4285</v>
      </c>
      <c r="B1193" s="153" t="s">
        <v>4328</v>
      </c>
      <c r="C1193" s="154" t="s">
        <v>4289</v>
      </c>
      <c r="D1193" s="170">
        <v>165</v>
      </c>
      <c r="E1193" s="154">
        <v>1</v>
      </c>
      <c r="F1193" s="154" t="s">
        <v>4286</v>
      </c>
      <c r="G1193" s="154" t="s">
        <v>4329</v>
      </c>
      <c r="J1193" s="154" t="s">
        <v>621</v>
      </c>
      <c r="K1193" s="171" t="s">
        <v>2426</v>
      </c>
      <c r="L1193" s="154">
        <v>1</v>
      </c>
      <c r="O1193" s="156"/>
      <c r="P1193" s="157"/>
      <c r="Q1193" s="158"/>
      <c r="R1193" s="159"/>
      <c r="S1193" s="160"/>
      <c r="T1193" s="161"/>
      <c r="U1193" s="156"/>
      <c r="V1193" s="162"/>
      <c r="W1193" s="163"/>
      <c r="X1193" s="164"/>
      <c r="Y1193" s="159" t="s">
        <v>38</v>
      </c>
      <c r="Z1193" s="161"/>
      <c r="AA1193" s="165"/>
      <c r="AF1193" s="154" t="s">
        <v>4330</v>
      </c>
      <c r="AI1193" s="154" t="s">
        <v>4683</v>
      </c>
      <c r="AL1193" s="154" t="s">
        <v>621</v>
      </c>
      <c r="AM1193" s="154" t="s">
        <v>2426</v>
      </c>
      <c r="AN1193" s="154">
        <v>1</v>
      </c>
      <c r="AO1193" s="155"/>
      <c r="AQ1193" s="156"/>
      <c r="AR1193" s="157"/>
      <c r="AS1193" s="158"/>
      <c r="AT1193" s="159"/>
      <c r="AU1193" s="161"/>
      <c r="AV1193" s="156"/>
      <c r="AW1193" s="162"/>
      <c r="AX1193" s="163"/>
      <c r="AY1193" s="164"/>
      <c r="AZ1193" s="159"/>
      <c r="BA1193" s="161"/>
      <c r="BB1193" s="165"/>
      <c r="BE1193" s="155"/>
      <c r="BG1193" s="154" t="s">
        <v>4331</v>
      </c>
    </row>
    <row r="1194" spans="1:59" s="154" customFormat="1" ht="15" customHeight="1">
      <c r="A1194" s="153" t="s">
        <v>4285</v>
      </c>
      <c r="B1194" s="153" t="s">
        <v>4332</v>
      </c>
      <c r="C1194" s="154" t="s">
        <v>4289</v>
      </c>
      <c r="D1194" s="170">
        <v>166</v>
      </c>
      <c r="E1194" s="154">
        <v>1</v>
      </c>
      <c r="F1194" s="154" t="s">
        <v>4286</v>
      </c>
      <c r="G1194" s="154" t="s">
        <v>4333</v>
      </c>
      <c r="J1194" s="154" t="s">
        <v>621</v>
      </c>
      <c r="K1194" s="171" t="s">
        <v>2426</v>
      </c>
      <c r="L1194" s="154">
        <v>2</v>
      </c>
      <c r="O1194" s="156"/>
      <c r="P1194" s="157"/>
      <c r="Q1194" s="158"/>
      <c r="R1194" s="159"/>
      <c r="S1194" s="160"/>
      <c r="T1194" s="161"/>
      <c r="U1194" s="156"/>
      <c r="V1194" s="162"/>
      <c r="W1194" s="163"/>
      <c r="X1194" s="164"/>
      <c r="Y1194" s="159" t="s">
        <v>38</v>
      </c>
      <c r="Z1194" s="161"/>
      <c r="AA1194" s="165"/>
      <c r="AF1194" s="154" t="s">
        <v>4334</v>
      </c>
      <c r="AI1194" s="154" t="s">
        <v>4681</v>
      </c>
      <c r="AL1194" s="154" t="s">
        <v>621</v>
      </c>
      <c r="AM1194" s="154" t="s">
        <v>2426</v>
      </c>
      <c r="AN1194" s="154">
        <v>2</v>
      </c>
      <c r="AO1194" s="155"/>
      <c r="AQ1194" s="156"/>
      <c r="AR1194" s="157"/>
      <c r="AS1194" s="158"/>
      <c r="AT1194" s="159"/>
      <c r="AU1194" s="161"/>
      <c r="AV1194" s="156"/>
      <c r="AW1194" s="162"/>
      <c r="AX1194" s="163"/>
      <c r="AY1194" s="164"/>
      <c r="AZ1194" s="159"/>
      <c r="BA1194" s="161"/>
      <c r="BB1194" s="165"/>
      <c r="BE1194" s="155"/>
      <c r="BG1194" s="154" t="s">
        <v>4335</v>
      </c>
    </row>
    <row r="1195" spans="1:59" s="154" customFormat="1" ht="15" customHeight="1">
      <c r="A1195" s="168" t="s">
        <v>4285</v>
      </c>
      <c r="B1195" s="153" t="s">
        <v>4336</v>
      </c>
      <c r="C1195" s="154" t="s">
        <v>4289</v>
      </c>
      <c r="D1195" s="170">
        <v>167</v>
      </c>
      <c r="E1195" s="154">
        <v>1</v>
      </c>
      <c r="F1195" s="154" t="s">
        <v>4286</v>
      </c>
      <c r="G1195" s="154" t="s">
        <v>4337</v>
      </c>
      <c r="J1195" s="154" t="s">
        <v>621</v>
      </c>
      <c r="K1195" s="154" t="s">
        <v>2426</v>
      </c>
      <c r="L1195" s="154">
        <v>3</v>
      </c>
      <c r="O1195" s="156"/>
      <c r="P1195" s="157"/>
      <c r="Q1195" s="158"/>
      <c r="R1195" s="159"/>
      <c r="S1195" s="160"/>
      <c r="T1195" s="161"/>
      <c r="U1195" s="156"/>
      <c r="V1195" s="162"/>
      <c r="W1195" s="163"/>
      <c r="X1195" s="164"/>
      <c r="Y1195" s="159" t="s">
        <v>1111</v>
      </c>
      <c r="Z1195" s="161"/>
      <c r="AA1195" s="165"/>
      <c r="AF1195" s="154" t="s">
        <v>4338</v>
      </c>
      <c r="AI1195" s="154" t="s">
        <v>4684</v>
      </c>
      <c r="AL1195" s="154" t="s">
        <v>621</v>
      </c>
      <c r="AM1195" s="154" t="s">
        <v>2426</v>
      </c>
      <c r="AN1195" s="154">
        <v>3</v>
      </c>
      <c r="AO1195" s="155"/>
      <c r="AQ1195" s="156"/>
      <c r="AR1195" s="157"/>
      <c r="AS1195" s="158"/>
      <c r="AT1195" s="159"/>
      <c r="AU1195" s="161"/>
      <c r="AV1195" s="156"/>
      <c r="AW1195" s="162"/>
      <c r="AX1195" s="163"/>
      <c r="AY1195" s="164"/>
      <c r="AZ1195" s="159"/>
      <c r="BA1195" s="161"/>
      <c r="BB1195" s="165"/>
      <c r="BE1195" s="155"/>
      <c r="BG1195" s="154" t="s">
        <v>4685</v>
      </c>
    </row>
    <row r="1196" spans="1:59" s="154" customFormat="1" ht="15" customHeight="1">
      <c r="A1196" s="153" t="s">
        <v>4285</v>
      </c>
      <c r="B1196" s="153" t="s">
        <v>4339</v>
      </c>
      <c r="C1196" s="154" t="s">
        <v>4289</v>
      </c>
      <c r="D1196" s="170">
        <v>168</v>
      </c>
      <c r="E1196" s="154">
        <v>1</v>
      </c>
      <c r="F1196" s="154" t="s">
        <v>4286</v>
      </c>
      <c r="G1196" s="154" t="s">
        <v>4340</v>
      </c>
      <c r="J1196" s="154" t="s">
        <v>31</v>
      </c>
      <c r="K1196" s="154" t="s">
        <v>2426</v>
      </c>
      <c r="O1196" s="156"/>
      <c r="P1196" s="157"/>
      <c r="Q1196" s="158"/>
      <c r="R1196" s="159"/>
      <c r="S1196" s="160"/>
      <c r="T1196" s="161"/>
      <c r="U1196" s="156"/>
      <c r="V1196" s="162"/>
      <c r="W1196" s="163"/>
      <c r="X1196" s="164"/>
      <c r="Y1196" s="159"/>
      <c r="Z1196" s="161"/>
      <c r="AA1196" s="165"/>
      <c r="AD1196" s="154" t="s">
        <v>4341</v>
      </c>
      <c r="AI1196" s="154" t="s">
        <v>4340</v>
      </c>
      <c r="AL1196" s="154" t="s">
        <v>31</v>
      </c>
      <c r="AM1196" s="154" t="s">
        <v>2426</v>
      </c>
      <c r="AP1196" s="155"/>
      <c r="AQ1196" s="156"/>
      <c r="AR1196" s="157"/>
      <c r="AS1196" s="158"/>
      <c r="AT1196" s="159"/>
      <c r="AU1196" s="161"/>
      <c r="AV1196" s="156"/>
      <c r="AW1196" s="162"/>
      <c r="AX1196" s="163"/>
      <c r="AY1196" s="164">
        <v>4</v>
      </c>
      <c r="AZ1196" s="159">
        <v>0</v>
      </c>
      <c r="BA1196" s="161"/>
      <c r="BB1196" s="165"/>
      <c r="BE1196" s="154" t="s">
        <v>4341</v>
      </c>
      <c r="BF1196" s="155"/>
      <c r="BG1196" s="154" t="s">
        <v>4342</v>
      </c>
    </row>
    <row r="1197" spans="1:59" s="154" customFormat="1" ht="15" customHeight="1">
      <c r="A1197" s="168" t="s">
        <v>4285</v>
      </c>
      <c r="B1197" s="153" t="s">
        <v>4343</v>
      </c>
      <c r="C1197" s="154" t="s">
        <v>4289</v>
      </c>
      <c r="D1197" s="170">
        <v>169</v>
      </c>
      <c r="E1197" s="154">
        <v>1</v>
      </c>
      <c r="F1197" s="154" t="s">
        <v>4286</v>
      </c>
      <c r="G1197" s="154" t="s">
        <v>4344</v>
      </c>
      <c r="J1197" s="154" t="s">
        <v>31</v>
      </c>
      <c r="K1197" s="154" t="s">
        <v>2426</v>
      </c>
      <c r="N1197" s="155"/>
      <c r="O1197" s="156"/>
      <c r="P1197" s="157"/>
      <c r="Q1197" s="158"/>
      <c r="R1197" s="159"/>
      <c r="S1197" s="160"/>
      <c r="T1197" s="161"/>
      <c r="U1197" s="156"/>
      <c r="V1197" s="162"/>
      <c r="W1197" s="163"/>
      <c r="X1197" s="164"/>
      <c r="Y1197" s="159"/>
      <c r="Z1197" s="161"/>
      <c r="AA1197" s="165"/>
      <c r="AD1197" s="154" t="s">
        <v>4341</v>
      </c>
      <c r="AE1197" s="155"/>
      <c r="AI1197" s="154" t="s">
        <v>4344</v>
      </c>
      <c r="AL1197" s="154" t="s">
        <v>31</v>
      </c>
      <c r="AM1197" s="154" t="s">
        <v>2426</v>
      </c>
      <c r="AP1197" s="155"/>
      <c r="AQ1197" s="156"/>
      <c r="AR1197" s="157"/>
      <c r="AS1197" s="158"/>
      <c r="AT1197" s="159"/>
      <c r="AU1197" s="161"/>
      <c r="AV1197" s="156"/>
      <c r="AW1197" s="162"/>
      <c r="AX1197" s="163"/>
      <c r="AY1197" s="164">
        <v>3</v>
      </c>
      <c r="AZ1197" s="159">
        <v>0</v>
      </c>
      <c r="BA1197" s="161"/>
      <c r="BB1197" s="165"/>
      <c r="BE1197" s="154" t="s">
        <v>4341</v>
      </c>
      <c r="BF1197" s="155"/>
      <c r="BG1197" s="154" t="s">
        <v>4345</v>
      </c>
    </row>
    <row r="1198" spans="1:59" s="154" customFormat="1" ht="15" customHeight="1">
      <c r="A1198" s="153" t="s">
        <v>4285</v>
      </c>
      <c r="B1198" s="153" t="s">
        <v>4346</v>
      </c>
      <c r="C1198" s="154" t="s">
        <v>4289</v>
      </c>
      <c r="D1198" s="170">
        <v>170</v>
      </c>
      <c r="E1198" s="154">
        <v>1</v>
      </c>
      <c r="F1198" s="154" t="s">
        <v>4286</v>
      </c>
      <c r="G1198" s="154" t="s">
        <v>4347</v>
      </c>
      <c r="J1198" s="154" t="s">
        <v>31</v>
      </c>
      <c r="K1198" s="154" t="s">
        <v>2426</v>
      </c>
      <c r="N1198" s="155"/>
      <c r="O1198" s="156"/>
      <c r="P1198" s="157"/>
      <c r="Q1198" s="158"/>
      <c r="R1198" s="159"/>
      <c r="S1198" s="160"/>
      <c r="T1198" s="161"/>
      <c r="U1198" s="156"/>
      <c r="V1198" s="162"/>
      <c r="W1198" s="163"/>
      <c r="X1198" s="164"/>
      <c r="Y1198" s="159"/>
      <c r="Z1198" s="161"/>
      <c r="AA1198" s="165"/>
      <c r="AD1198" s="154" t="s">
        <v>4341</v>
      </c>
      <c r="AE1198" s="155"/>
      <c r="AI1198" s="154" t="s">
        <v>4347</v>
      </c>
      <c r="AL1198" s="154" t="s">
        <v>31</v>
      </c>
      <c r="AM1198" s="154" t="s">
        <v>2426</v>
      </c>
      <c r="AP1198" s="155"/>
      <c r="AQ1198" s="156"/>
      <c r="AR1198" s="157"/>
      <c r="AS1198" s="158"/>
      <c r="AT1198" s="159"/>
      <c r="AU1198" s="161"/>
      <c r="AV1198" s="156"/>
      <c r="AW1198" s="162"/>
      <c r="AX1198" s="163"/>
      <c r="AY1198" s="164">
        <v>1</v>
      </c>
      <c r="AZ1198" s="159">
        <v>0</v>
      </c>
      <c r="BA1198" s="161"/>
      <c r="BB1198" s="165"/>
      <c r="BE1198" s="154" t="s">
        <v>4341</v>
      </c>
      <c r="BF1198" s="155"/>
      <c r="BG1198" s="154" t="s">
        <v>4348</v>
      </c>
    </row>
    <row r="1199" spans="1:59" s="154" customFormat="1" ht="15" customHeight="1">
      <c r="A1199" s="168" t="s">
        <v>4285</v>
      </c>
      <c r="B1199" s="153" t="s">
        <v>4349</v>
      </c>
      <c r="C1199" s="154" t="s">
        <v>4289</v>
      </c>
      <c r="D1199" s="170">
        <v>171</v>
      </c>
      <c r="E1199" s="154">
        <v>1</v>
      </c>
      <c r="F1199" s="154" t="s">
        <v>4286</v>
      </c>
      <c r="G1199" s="154" t="s">
        <v>4350</v>
      </c>
      <c r="J1199" s="154" t="s">
        <v>31</v>
      </c>
      <c r="K1199" s="154" t="s">
        <v>2426</v>
      </c>
      <c r="N1199" s="155"/>
      <c r="O1199" s="156"/>
      <c r="P1199" s="157"/>
      <c r="Q1199" s="158"/>
      <c r="R1199" s="159"/>
      <c r="S1199" s="160"/>
      <c r="T1199" s="161"/>
      <c r="U1199" s="156"/>
      <c r="V1199" s="162"/>
      <c r="W1199" s="163"/>
      <c r="X1199" s="164"/>
      <c r="Y1199" s="159"/>
      <c r="Z1199" s="161"/>
      <c r="AA1199" s="165"/>
      <c r="AD1199" s="154" t="s">
        <v>4341</v>
      </c>
      <c r="AE1199" s="155"/>
      <c r="AI1199" s="154" t="s">
        <v>4350</v>
      </c>
      <c r="AL1199" s="154" t="s">
        <v>31</v>
      </c>
      <c r="AM1199" s="154" t="s">
        <v>2426</v>
      </c>
      <c r="AP1199" s="155"/>
      <c r="AQ1199" s="156"/>
      <c r="AR1199" s="157"/>
      <c r="AS1199" s="158"/>
      <c r="AT1199" s="159"/>
      <c r="AU1199" s="161"/>
      <c r="AV1199" s="156"/>
      <c r="AW1199" s="162"/>
      <c r="AX1199" s="163"/>
      <c r="AY1199" s="164">
        <v>3</v>
      </c>
      <c r="AZ1199" s="159">
        <v>0</v>
      </c>
      <c r="BA1199" s="161"/>
      <c r="BB1199" s="165"/>
      <c r="BE1199" s="154" t="s">
        <v>4341</v>
      </c>
      <c r="BF1199" s="155"/>
      <c r="BG1199" s="154" t="s">
        <v>4351</v>
      </c>
    </row>
    <row r="1200" spans="1:59" s="154" customFormat="1" ht="15" customHeight="1">
      <c r="A1200" s="153" t="s">
        <v>4285</v>
      </c>
      <c r="B1200" s="153" t="s">
        <v>4352</v>
      </c>
      <c r="C1200" s="154" t="s">
        <v>4289</v>
      </c>
      <c r="D1200" s="170">
        <v>172</v>
      </c>
      <c r="E1200" s="154">
        <v>1</v>
      </c>
      <c r="F1200" s="154" t="s">
        <v>4286</v>
      </c>
      <c r="G1200" s="154" t="s">
        <v>4353</v>
      </c>
      <c r="J1200" s="154" t="s">
        <v>31</v>
      </c>
      <c r="K1200" s="154" t="s">
        <v>2426</v>
      </c>
      <c r="N1200" s="155"/>
      <c r="O1200" s="156"/>
      <c r="P1200" s="157"/>
      <c r="Q1200" s="158"/>
      <c r="R1200" s="159"/>
      <c r="S1200" s="160"/>
      <c r="T1200" s="161"/>
      <c r="U1200" s="156"/>
      <c r="V1200" s="162"/>
      <c r="W1200" s="163"/>
      <c r="X1200" s="164"/>
      <c r="Y1200" s="159"/>
      <c r="Z1200" s="161"/>
      <c r="AA1200" s="165"/>
      <c r="AD1200" s="154" t="s">
        <v>4341</v>
      </c>
      <c r="AE1200" s="155"/>
      <c r="AI1200" s="154" t="s">
        <v>4353</v>
      </c>
      <c r="AL1200" s="154" t="s">
        <v>31</v>
      </c>
      <c r="AM1200" s="154" t="s">
        <v>2426</v>
      </c>
      <c r="AP1200" s="155"/>
      <c r="AQ1200" s="156"/>
      <c r="AR1200" s="157"/>
      <c r="AS1200" s="158"/>
      <c r="AT1200" s="159"/>
      <c r="AU1200" s="161"/>
      <c r="AV1200" s="156"/>
      <c r="AW1200" s="162"/>
      <c r="AX1200" s="163"/>
      <c r="AY1200" s="164">
        <v>4</v>
      </c>
      <c r="AZ1200" s="159">
        <v>0</v>
      </c>
      <c r="BA1200" s="161"/>
      <c r="BB1200" s="165"/>
      <c r="BE1200" s="154" t="s">
        <v>4341</v>
      </c>
      <c r="BF1200" s="155"/>
      <c r="BG1200" s="154" t="s">
        <v>4354</v>
      </c>
    </row>
    <row r="1201" spans="1:59" s="154" customFormat="1" ht="15" customHeight="1">
      <c r="A1201" s="168" t="s">
        <v>4285</v>
      </c>
      <c r="B1201" s="153" t="s">
        <v>4355</v>
      </c>
      <c r="C1201" s="154" t="s">
        <v>4289</v>
      </c>
      <c r="D1201" s="170">
        <v>173</v>
      </c>
      <c r="E1201" s="154">
        <v>1</v>
      </c>
      <c r="F1201" s="154" t="s">
        <v>4286</v>
      </c>
      <c r="G1201" s="154" t="s">
        <v>4356</v>
      </c>
      <c r="J1201" s="154" t="s">
        <v>31</v>
      </c>
      <c r="K1201" s="154" t="s">
        <v>2426</v>
      </c>
      <c r="N1201" s="155"/>
      <c r="O1201" s="156"/>
      <c r="P1201" s="157"/>
      <c r="Q1201" s="158"/>
      <c r="R1201" s="159"/>
      <c r="S1201" s="160"/>
      <c r="T1201" s="161"/>
      <c r="U1201" s="156"/>
      <c r="V1201" s="162"/>
      <c r="W1201" s="163"/>
      <c r="X1201" s="164"/>
      <c r="Y1201" s="159"/>
      <c r="Z1201" s="161"/>
      <c r="AA1201" s="165"/>
      <c r="AD1201" s="154" t="s">
        <v>4341</v>
      </c>
      <c r="AE1201" s="155"/>
      <c r="AI1201" s="154" t="s">
        <v>4356</v>
      </c>
      <c r="AL1201" s="154" t="s">
        <v>31</v>
      </c>
      <c r="AM1201" s="154" t="s">
        <v>2426</v>
      </c>
      <c r="AP1201" s="155"/>
      <c r="AQ1201" s="156"/>
      <c r="AR1201" s="157"/>
      <c r="AS1201" s="158"/>
      <c r="AT1201" s="159"/>
      <c r="AU1201" s="161"/>
      <c r="AV1201" s="156"/>
      <c r="AW1201" s="162"/>
      <c r="AX1201" s="163"/>
      <c r="AY1201" s="164">
        <v>2</v>
      </c>
      <c r="AZ1201" s="159">
        <v>0</v>
      </c>
      <c r="BA1201" s="161"/>
      <c r="BB1201" s="165"/>
      <c r="BE1201" s="154" t="s">
        <v>4341</v>
      </c>
      <c r="BF1201" s="155"/>
      <c r="BG1201" s="154" t="s">
        <v>4357</v>
      </c>
    </row>
    <row r="1202" spans="1:59" s="154" customFormat="1" ht="15" customHeight="1">
      <c r="A1202" s="153" t="s">
        <v>4285</v>
      </c>
      <c r="B1202" s="153" t="s">
        <v>4358</v>
      </c>
      <c r="C1202" s="154" t="s">
        <v>4289</v>
      </c>
      <c r="D1202" s="170">
        <v>174</v>
      </c>
      <c r="E1202" s="154">
        <v>1</v>
      </c>
      <c r="F1202" s="154" t="s">
        <v>4286</v>
      </c>
      <c r="G1202" s="154" t="s">
        <v>4359</v>
      </c>
      <c r="J1202" s="154" t="s">
        <v>31</v>
      </c>
      <c r="K1202" s="154" t="s">
        <v>2426</v>
      </c>
      <c r="N1202" s="155"/>
      <c r="O1202" s="156"/>
      <c r="P1202" s="157"/>
      <c r="Q1202" s="158"/>
      <c r="R1202" s="159"/>
      <c r="S1202" s="160"/>
      <c r="T1202" s="161"/>
      <c r="U1202" s="156"/>
      <c r="V1202" s="162"/>
      <c r="W1202" s="163"/>
      <c r="X1202" s="164">
        <v>4</v>
      </c>
      <c r="Y1202" s="159" t="s">
        <v>1073</v>
      </c>
      <c r="Z1202" s="161"/>
      <c r="AA1202" s="165"/>
      <c r="AD1202" s="154" t="s">
        <v>4360</v>
      </c>
      <c r="AE1202" s="155"/>
      <c r="AF1202" s="154" t="s">
        <v>4361</v>
      </c>
      <c r="AI1202" s="153"/>
      <c r="AP1202" s="155"/>
      <c r="AQ1202" s="156"/>
      <c r="AR1202" s="157"/>
      <c r="AS1202" s="158"/>
      <c r="AT1202" s="159"/>
      <c r="AU1202" s="161"/>
      <c r="AV1202" s="156"/>
      <c r="AW1202" s="162"/>
      <c r="AX1202" s="163"/>
      <c r="AY1202" s="164"/>
      <c r="AZ1202" s="159"/>
      <c r="BA1202" s="161"/>
      <c r="BB1202" s="165"/>
      <c r="BF1202" s="155"/>
    </row>
    <row r="1203" spans="1:59" s="154" customFormat="1" ht="15" customHeight="1">
      <c r="A1203" s="168" t="s">
        <v>4285</v>
      </c>
      <c r="B1203" s="153" t="s">
        <v>4362</v>
      </c>
      <c r="C1203" s="154" t="s">
        <v>4289</v>
      </c>
      <c r="D1203" s="170">
        <v>175</v>
      </c>
      <c r="E1203" s="154">
        <v>1</v>
      </c>
      <c r="F1203" s="154" t="s">
        <v>4286</v>
      </c>
      <c r="G1203" s="154" t="s">
        <v>4359</v>
      </c>
      <c r="J1203" s="154" t="s">
        <v>31</v>
      </c>
      <c r="K1203" s="154" t="s">
        <v>2426</v>
      </c>
      <c r="N1203" s="155"/>
      <c r="O1203" s="156"/>
      <c r="P1203" s="157"/>
      <c r="Q1203" s="158"/>
      <c r="R1203" s="159"/>
      <c r="S1203" s="160"/>
      <c r="T1203" s="161"/>
      <c r="U1203" s="156"/>
      <c r="V1203" s="162"/>
      <c r="W1203" s="163"/>
      <c r="X1203" s="164">
        <v>2</v>
      </c>
      <c r="Y1203" s="159" t="s">
        <v>1111</v>
      </c>
      <c r="Z1203" s="161"/>
      <c r="AA1203" s="165"/>
      <c r="AD1203" s="154" t="s">
        <v>4360</v>
      </c>
      <c r="AE1203" s="155"/>
      <c r="AF1203" s="154" t="s">
        <v>4363</v>
      </c>
      <c r="AP1203" s="155"/>
      <c r="AQ1203" s="156"/>
      <c r="AR1203" s="157"/>
      <c r="AS1203" s="158"/>
      <c r="AT1203" s="159"/>
      <c r="AU1203" s="161"/>
      <c r="AV1203" s="156"/>
      <c r="AW1203" s="162"/>
      <c r="AX1203" s="163"/>
      <c r="AY1203" s="164"/>
      <c r="AZ1203" s="159"/>
      <c r="BA1203" s="161"/>
      <c r="BB1203" s="165"/>
      <c r="BF1203" s="155"/>
    </row>
    <row r="1204" spans="1:59" s="154" customFormat="1" ht="15" customHeight="1">
      <c r="A1204" s="153" t="s">
        <v>4285</v>
      </c>
      <c r="B1204" s="153" t="s">
        <v>4364</v>
      </c>
      <c r="C1204" s="154" t="s">
        <v>4289</v>
      </c>
      <c r="D1204" s="170">
        <v>176</v>
      </c>
      <c r="E1204" s="154">
        <v>1</v>
      </c>
      <c r="F1204" s="154" t="s">
        <v>4286</v>
      </c>
      <c r="G1204" s="154" t="s">
        <v>4365</v>
      </c>
      <c r="J1204" s="154" t="s">
        <v>31</v>
      </c>
      <c r="K1204" s="154" t="s">
        <v>2426</v>
      </c>
      <c r="N1204" s="155"/>
      <c r="O1204" s="156"/>
      <c r="P1204" s="157"/>
      <c r="Q1204" s="158"/>
      <c r="R1204" s="159"/>
      <c r="S1204" s="160"/>
      <c r="T1204" s="161"/>
      <c r="U1204" s="156"/>
      <c r="V1204" s="162"/>
      <c r="W1204" s="163"/>
      <c r="X1204" s="164">
        <v>3</v>
      </c>
      <c r="Y1204" s="159" t="s">
        <v>1073</v>
      </c>
      <c r="Z1204" s="161"/>
      <c r="AA1204" s="165"/>
      <c r="AD1204" s="154" t="s">
        <v>4360</v>
      </c>
      <c r="AE1204" s="155"/>
      <c r="AF1204" s="154" t="s">
        <v>4366</v>
      </c>
      <c r="AP1204" s="155"/>
      <c r="AQ1204" s="156"/>
      <c r="AR1204" s="157"/>
      <c r="AS1204" s="158"/>
      <c r="AT1204" s="159"/>
      <c r="AU1204" s="161"/>
      <c r="AV1204" s="156"/>
      <c r="AW1204" s="162"/>
      <c r="AX1204" s="163"/>
      <c r="AY1204" s="164"/>
      <c r="AZ1204" s="159"/>
      <c r="BA1204" s="161"/>
      <c r="BB1204" s="165"/>
      <c r="BF1204" s="155"/>
    </row>
    <row r="1205" spans="1:59" s="154" customFormat="1" ht="15" customHeight="1">
      <c r="A1205" s="168" t="s">
        <v>4285</v>
      </c>
      <c r="B1205" s="153" t="s">
        <v>4367</v>
      </c>
      <c r="C1205" s="154" t="s">
        <v>4289</v>
      </c>
      <c r="D1205" s="170">
        <v>177</v>
      </c>
      <c r="E1205" s="154">
        <v>1</v>
      </c>
      <c r="F1205" s="154" t="s">
        <v>4286</v>
      </c>
      <c r="G1205" s="154" t="s">
        <v>4365</v>
      </c>
      <c r="J1205" s="154" t="s">
        <v>31</v>
      </c>
      <c r="K1205" s="154" t="s">
        <v>2426</v>
      </c>
      <c r="N1205" s="155"/>
      <c r="O1205" s="156"/>
      <c r="P1205" s="157"/>
      <c r="Q1205" s="158"/>
      <c r="R1205" s="159"/>
      <c r="S1205" s="160"/>
      <c r="T1205" s="161"/>
      <c r="U1205" s="156"/>
      <c r="V1205" s="162"/>
      <c r="W1205" s="163"/>
      <c r="X1205" s="164">
        <v>2</v>
      </c>
      <c r="Y1205" s="159" t="s">
        <v>1111</v>
      </c>
      <c r="Z1205" s="161"/>
      <c r="AA1205" s="165"/>
      <c r="AD1205" s="154" t="s">
        <v>4360</v>
      </c>
      <c r="AE1205" s="155"/>
      <c r="AF1205" s="154" t="s">
        <v>4368</v>
      </c>
      <c r="AP1205" s="155"/>
      <c r="AQ1205" s="156"/>
      <c r="AR1205" s="157"/>
      <c r="AS1205" s="158"/>
      <c r="AT1205" s="159"/>
      <c r="AU1205" s="161"/>
      <c r="AV1205" s="156"/>
      <c r="AW1205" s="162"/>
      <c r="AX1205" s="163"/>
      <c r="AY1205" s="164"/>
      <c r="AZ1205" s="159"/>
      <c r="BA1205" s="161"/>
      <c r="BB1205" s="165"/>
      <c r="BF1205" s="155"/>
    </row>
    <row r="1206" spans="1:59" s="154" customFormat="1" ht="15" customHeight="1">
      <c r="A1206" s="153" t="s">
        <v>4285</v>
      </c>
      <c r="B1206" s="153" t="s">
        <v>4369</v>
      </c>
      <c r="C1206" s="154" t="s">
        <v>4289</v>
      </c>
      <c r="D1206" s="170">
        <v>178</v>
      </c>
      <c r="E1206" s="154">
        <v>1</v>
      </c>
      <c r="F1206" s="154" t="s">
        <v>4286</v>
      </c>
      <c r="G1206" s="154" t="s">
        <v>4370</v>
      </c>
      <c r="J1206" s="154" t="s">
        <v>31</v>
      </c>
      <c r="K1206" s="154" t="s">
        <v>2426</v>
      </c>
      <c r="N1206" s="155"/>
      <c r="O1206" s="156"/>
      <c r="P1206" s="157"/>
      <c r="Q1206" s="158"/>
      <c r="R1206" s="159"/>
      <c r="S1206" s="160"/>
      <c r="T1206" s="161"/>
      <c r="U1206" s="156"/>
      <c r="V1206" s="162"/>
      <c r="W1206" s="163"/>
      <c r="X1206" s="164">
        <v>2</v>
      </c>
      <c r="Y1206" s="159" t="s">
        <v>1111</v>
      </c>
      <c r="Z1206" s="161"/>
      <c r="AA1206" s="165"/>
      <c r="AD1206" s="154" t="s">
        <v>4360</v>
      </c>
      <c r="AF1206" s="154" t="s">
        <v>4371</v>
      </c>
      <c r="AP1206" s="155"/>
      <c r="AQ1206" s="156"/>
      <c r="AR1206" s="157"/>
      <c r="AS1206" s="158"/>
      <c r="AT1206" s="159"/>
      <c r="AU1206" s="161"/>
      <c r="AV1206" s="156"/>
      <c r="AW1206" s="162"/>
      <c r="AX1206" s="163"/>
      <c r="AY1206" s="164"/>
      <c r="AZ1206" s="159"/>
      <c r="BA1206" s="161"/>
      <c r="BB1206" s="165"/>
      <c r="BF1206" s="155"/>
    </row>
    <row r="1207" spans="1:59" s="154" customFormat="1" ht="15" customHeight="1">
      <c r="A1207" s="168" t="s">
        <v>4285</v>
      </c>
      <c r="B1207" s="153" t="s">
        <v>4372</v>
      </c>
      <c r="C1207" s="154" t="s">
        <v>4289</v>
      </c>
      <c r="D1207" s="170">
        <v>179</v>
      </c>
      <c r="E1207" s="154">
        <v>1</v>
      </c>
      <c r="F1207" s="154" t="s">
        <v>4286</v>
      </c>
      <c r="G1207" s="154" t="s">
        <v>4370</v>
      </c>
      <c r="J1207" s="154" t="s">
        <v>31</v>
      </c>
      <c r="K1207" s="154" t="s">
        <v>2426</v>
      </c>
      <c r="N1207" s="155"/>
      <c r="O1207" s="156"/>
      <c r="P1207" s="157"/>
      <c r="Q1207" s="158"/>
      <c r="R1207" s="159"/>
      <c r="S1207" s="160"/>
      <c r="T1207" s="161"/>
      <c r="U1207" s="156"/>
      <c r="V1207" s="162"/>
      <c r="W1207" s="163"/>
      <c r="X1207" s="164">
        <v>4</v>
      </c>
      <c r="Y1207" s="159" t="s">
        <v>1073</v>
      </c>
      <c r="Z1207" s="161"/>
      <c r="AA1207" s="165"/>
      <c r="AD1207" s="154" t="s">
        <v>4360</v>
      </c>
      <c r="AE1207" s="155"/>
      <c r="AF1207" s="154" t="s">
        <v>4373</v>
      </c>
      <c r="AP1207" s="155"/>
      <c r="AQ1207" s="156"/>
      <c r="AR1207" s="157"/>
      <c r="AS1207" s="158"/>
      <c r="AT1207" s="159"/>
      <c r="AU1207" s="161"/>
      <c r="AV1207" s="156"/>
      <c r="AW1207" s="162"/>
      <c r="AX1207" s="163"/>
      <c r="AY1207" s="164"/>
      <c r="AZ1207" s="159"/>
      <c r="BA1207" s="161"/>
      <c r="BB1207" s="165"/>
      <c r="BF1207" s="155"/>
    </row>
    <row r="1208" spans="1:59" s="154" customFormat="1" ht="15" customHeight="1">
      <c r="A1208" s="153" t="s">
        <v>4285</v>
      </c>
      <c r="B1208" s="153" t="s">
        <v>4374</v>
      </c>
      <c r="C1208" s="154" t="s">
        <v>4289</v>
      </c>
      <c r="D1208" s="170">
        <v>180</v>
      </c>
      <c r="E1208" s="154">
        <v>1</v>
      </c>
      <c r="F1208" s="154" t="s">
        <v>4286</v>
      </c>
      <c r="G1208" s="154" t="s">
        <v>4375</v>
      </c>
      <c r="J1208" s="154" t="s">
        <v>31</v>
      </c>
      <c r="K1208" s="154" t="s">
        <v>2426</v>
      </c>
      <c r="N1208" s="155"/>
      <c r="O1208" s="156"/>
      <c r="P1208" s="157"/>
      <c r="Q1208" s="158"/>
      <c r="R1208" s="159"/>
      <c r="S1208" s="160"/>
      <c r="T1208" s="161"/>
      <c r="U1208" s="156"/>
      <c r="V1208" s="162"/>
      <c r="W1208" s="163"/>
      <c r="X1208" s="164">
        <v>5</v>
      </c>
      <c r="Y1208" s="159" t="s">
        <v>1073</v>
      </c>
      <c r="Z1208" s="161"/>
      <c r="AA1208" s="165"/>
      <c r="AD1208" s="154" t="s">
        <v>4360</v>
      </c>
      <c r="AE1208" s="155"/>
      <c r="AF1208" s="154" t="s">
        <v>4376</v>
      </c>
      <c r="AP1208" s="155"/>
      <c r="AQ1208" s="156"/>
      <c r="AR1208" s="157"/>
      <c r="AS1208" s="158"/>
      <c r="AT1208" s="159"/>
      <c r="AU1208" s="161"/>
      <c r="AV1208" s="156"/>
      <c r="AW1208" s="162"/>
      <c r="AX1208" s="163"/>
      <c r="AY1208" s="164"/>
      <c r="AZ1208" s="159"/>
      <c r="BA1208" s="161"/>
      <c r="BB1208" s="165"/>
      <c r="BF1208" s="155"/>
    </row>
    <row r="1209" spans="1:59" s="154" customFormat="1" ht="15" customHeight="1">
      <c r="A1209" s="168" t="s">
        <v>4285</v>
      </c>
      <c r="B1209" s="153" t="s">
        <v>4377</v>
      </c>
      <c r="C1209" s="154" t="s">
        <v>4289</v>
      </c>
      <c r="D1209" s="170">
        <v>181</v>
      </c>
      <c r="E1209" s="154">
        <v>1</v>
      </c>
      <c r="F1209" s="154" t="s">
        <v>4286</v>
      </c>
      <c r="G1209" s="154" t="s">
        <v>4375</v>
      </c>
      <c r="J1209" s="154" t="s">
        <v>31</v>
      </c>
      <c r="K1209" s="154" t="s">
        <v>2426</v>
      </c>
      <c r="N1209" s="155"/>
      <c r="O1209" s="156"/>
      <c r="P1209" s="157"/>
      <c r="Q1209" s="158"/>
      <c r="R1209" s="159"/>
      <c r="S1209" s="160"/>
      <c r="T1209" s="161"/>
      <c r="U1209" s="156"/>
      <c r="V1209" s="162"/>
      <c r="W1209" s="163"/>
      <c r="X1209" s="164">
        <v>2</v>
      </c>
      <c r="Y1209" s="159" t="s">
        <v>1073</v>
      </c>
      <c r="Z1209" s="161"/>
      <c r="AA1209" s="165"/>
      <c r="AD1209" s="154" t="s">
        <v>4360</v>
      </c>
      <c r="AE1209" s="155"/>
      <c r="AF1209" s="154" t="s">
        <v>4378</v>
      </c>
      <c r="AP1209" s="155"/>
      <c r="AQ1209" s="156"/>
      <c r="AR1209" s="157"/>
      <c r="AS1209" s="158"/>
      <c r="AT1209" s="159"/>
      <c r="AU1209" s="161"/>
      <c r="AV1209" s="156"/>
      <c r="AW1209" s="162"/>
      <c r="AX1209" s="163"/>
      <c r="AY1209" s="164"/>
      <c r="AZ1209" s="159"/>
      <c r="BA1209" s="161"/>
      <c r="BB1209" s="165"/>
      <c r="BF1209" s="155"/>
    </row>
    <row r="1210" spans="1:59" s="154" customFormat="1" ht="15" customHeight="1">
      <c r="A1210" s="153" t="s">
        <v>4285</v>
      </c>
      <c r="B1210" s="153" t="s">
        <v>4379</v>
      </c>
      <c r="C1210" s="154" t="s">
        <v>4289</v>
      </c>
      <c r="D1210" s="170">
        <v>182</v>
      </c>
      <c r="E1210" s="154">
        <v>1</v>
      </c>
      <c r="F1210" s="154" t="s">
        <v>4286</v>
      </c>
      <c r="G1210" s="154" t="s">
        <v>4380</v>
      </c>
      <c r="J1210" s="154" t="s">
        <v>31</v>
      </c>
      <c r="K1210" s="154" t="s">
        <v>2426</v>
      </c>
      <c r="N1210" s="155"/>
      <c r="O1210" s="156"/>
      <c r="P1210" s="157"/>
      <c r="Q1210" s="158"/>
      <c r="R1210" s="159"/>
      <c r="S1210" s="160"/>
      <c r="T1210" s="161"/>
      <c r="U1210" s="156"/>
      <c r="V1210" s="162"/>
      <c r="W1210" s="163"/>
      <c r="X1210" s="164">
        <v>2</v>
      </c>
      <c r="Y1210" s="159" t="s">
        <v>1073</v>
      </c>
      <c r="Z1210" s="161"/>
      <c r="AA1210" s="165"/>
      <c r="AD1210" s="154" t="s">
        <v>4360</v>
      </c>
      <c r="AE1210" s="155"/>
      <c r="AF1210" s="154" t="s">
        <v>4381</v>
      </c>
      <c r="AP1210" s="155"/>
      <c r="AQ1210" s="156"/>
      <c r="AR1210" s="157"/>
      <c r="AS1210" s="158"/>
      <c r="AT1210" s="159"/>
      <c r="AU1210" s="161"/>
      <c r="AV1210" s="156"/>
      <c r="AW1210" s="162"/>
      <c r="AX1210" s="163"/>
      <c r="AY1210" s="164"/>
      <c r="AZ1210" s="159"/>
      <c r="BA1210" s="161"/>
      <c r="BB1210" s="165"/>
      <c r="BF1210" s="155"/>
    </row>
    <row r="1211" spans="1:59" s="154" customFormat="1" ht="15" customHeight="1">
      <c r="A1211" s="168" t="s">
        <v>4285</v>
      </c>
      <c r="B1211" s="153" t="s">
        <v>4382</v>
      </c>
      <c r="C1211" s="154" t="s">
        <v>4289</v>
      </c>
      <c r="D1211" s="170">
        <v>183</v>
      </c>
      <c r="E1211" s="154">
        <v>1</v>
      </c>
      <c r="F1211" s="154" t="s">
        <v>4286</v>
      </c>
      <c r="G1211" s="154" t="s">
        <v>4380</v>
      </c>
      <c r="J1211" s="154" t="s">
        <v>31</v>
      </c>
      <c r="K1211" s="154" t="s">
        <v>2426</v>
      </c>
      <c r="N1211" s="155"/>
      <c r="O1211" s="156"/>
      <c r="P1211" s="157"/>
      <c r="Q1211" s="158"/>
      <c r="R1211" s="159"/>
      <c r="S1211" s="160"/>
      <c r="T1211" s="161"/>
      <c r="U1211" s="156"/>
      <c r="V1211" s="162"/>
      <c r="W1211" s="163"/>
      <c r="X1211" s="164">
        <v>4</v>
      </c>
      <c r="Y1211" s="159" t="s">
        <v>1111</v>
      </c>
      <c r="Z1211" s="161"/>
      <c r="AA1211" s="165"/>
      <c r="AD1211" s="154" t="s">
        <v>4360</v>
      </c>
      <c r="AE1211" s="155"/>
      <c r="AF1211" s="154" t="s">
        <v>4383</v>
      </c>
      <c r="AP1211" s="155"/>
      <c r="AQ1211" s="156"/>
      <c r="AR1211" s="157"/>
      <c r="AS1211" s="158"/>
      <c r="AT1211" s="159"/>
      <c r="AU1211" s="161"/>
      <c r="AV1211" s="156"/>
      <c r="AW1211" s="162"/>
      <c r="AX1211" s="163"/>
      <c r="AY1211" s="164"/>
      <c r="AZ1211" s="159"/>
      <c r="BA1211" s="161"/>
      <c r="BB1211" s="165"/>
      <c r="BF1211" s="155"/>
    </row>
    <row r="1212" spans="1:59" s="154" customFormat="1" ht="15" customHeight="1">
      <c r="A1212" s="153" t="s">
        <v>4285</v>
      </c>
      <c r="B1212" s="153" t="s">
        <v>4384</v>
      </c>
      <c r="C1212" s="154" t="s">
        <v>4289</v>
      </c>
      <c r="D1212" s="170">
        <v>184</v>
      </c>
      <c r="E1212" s="154">
        <v>1</v>
      </c>
      <c r="F1212" s="154" t="s">
        <v>4286</v>
      </c>
      <c r="G1212" s="154" t="s">
        <v>4385</v>
      </c>
      <c r="J1212" s="154" t="s">
        <v>31</v>
      </c>
      <c r="K1212" s="154" t="s">
        <v>2426</v>
      </c>
      <c r="N1212" s="155"/>
      <c r="O1212" s="156"/>
      <c r="P1212" s="157"/>
      <c r="Q1212" s="158"/>
      <c r="R1212" s="159"/>
      <c r="S1212" s="160"/>
      <c r="T1212" s="161"/>
      <c r="U1212" s="156"/>
      <c r="V1212" s="162"/>
      <c r="W1212" s="163"/>
      <c r="X1212" s="164">
        <v>4</v>
      </c>
      <c r="Y1212" s="159" t="s">
        <v>1073</v>
      </c>
      <c r="Z1212" s="161"/>
      <c r="AA1212" s="165"/>
      <c r="AD1212" s="154" t="s">
        <v>4360</v>
      </c>
      <c r="AE1212" s="155"/>
      <c r="AF1212" s="154" t="s">
        <v>4386</v>
      </c>
      <c r="AP1212" s="155"/>
      <c r="AQ1212" s="156"/>
      <c r="AR1212" s="157"/>
      <c r="AS1212" s="158"/>
      <c r="AT1212" s="159"/>
      <c r="AU1212" s="161"/>
      <c r="AV1212" s="156"/>
      <c r="AW1212" s="162"/>
      <c r="AX1212" s="163"/>
      <c r="AY1212" s="164"/>
      <c r="AZ1212" s="159"/>
      <c r="BA1212" s="161"/>
      <c r="BB1212" s="165"/>
      <c r="BF1212" s="155"/>
    </row>
    <row r="1213" spans="1:59" s="154" customFormat="1" ht="15" customHeight="1">
      <c r="A1213" s="168" t="s">
        <v>4285</v>
      </c>
      <c r="B1213" s="169" t="s">
        <v>4387</v>
      </c>
      <c r="C1213" s="154" t="s">
        <v>4289</v>
      </c>
      <c r="D1213" s="170">
        <v>185</v>
      </c>
      <c r="E1213" s="154">
        <v>1</v>
      </c>
      <c r="F1213" s="154" t="s">
        <v>4286</v>
      </c>
      <c r="G1213" s="154" t="s">
        <v>4385</v>
      </c>
      <c r="J1213" s="154" t="s">
        <v>31</v>
      </c>
      <c r="K1213" s="154" t="s">
        <v>2426</v>
      </c>
      <c r="N1213" s="155"/>
      <c r="O1213" s="156"/>
      <c r="P1213" s="157"/>
      <c r="Q1213" s="158"/>
      <c r="R1213" s="159"/>
      <c r="S1213" s="160"/>
      <c r="T1213" s="161"/>
      <c r="U1213" s="156"/>
      <c r="V1213" s="162"/>
      <c r="W1213" s="163"/>
      <c r="X1213" s="164">
        <v>6</v>
      </c>
      <c r="Y1213" s="159" t="s">
        <v>1073</v>
      </c>
      <c r="Z1213" s="161"/>
      <c r="AA1213" s="165"/>
      <c r="AD1213" s="154" t="s">
        <v>4360</v>
      </c>
      <c r="AE1213" s="155"/>
      <c r="AF1213" s="154" t="s">
        <v>4388</v>
      </c>
      <c r="AP1213" s="155"/>
      <c r="AQ1213" s="156"/>
      <c r="AR1213" s="157"/>
      <c r="AS1213" s="158"/>
      <c r="AT1213" s="159"/>
      <c r="AU1213" s="161"/>
      <c r="AV1213" s="156"/>
      <c r="AW1213" s="162"/>
      <c r="AX1213" s="163"/>
      <c r="AY1213" s="164"/>
      <c r="AZ1213" s="159"/>
      <c r="BA1213" s="161"/>
      <c r="BB1213" s="165"/>
      <c r="BF1213" s="155"/>
    </row>
    <row r="1214" spans="1:59" s="154" customFormat="1" ht="15" customHeight="1">
      <c r="A1214" s="153" t="s">
        <v>4285</v>
      </c>
      <c r="B1214" s="153" t="s">
        <v>4389</v>
      </c>
      <c r="C1214" s="154" t="s">
        <v>4289</v>
      </c>
      <c r="D1214" s="155">
        <v>186</v>
      </c>
      <c r="E1214" s="154">
        <v>1</v>
      </c>
      <c r="F1214" s="154" t="s">
        <v>4286</v>
      </c>
      <c r="G1214" s="154" t="s">
        <v>4390</v>
      </c>
      <c r="H1214" s="154" t="s">
        <v>4391</v>
      </c>
      <c r="I1214" s="154" t="s">
        <v>223</v>
      </c>
      <c r="J1214" s="154" t="s">
        <v>29</v>
      </c>
      <c r="K1214" s="154" t="s">
        <v>2426</v>
      </c>
      <c r="N1214" s="155"/>
      <c r="O1214" s="156"/>
      <c r="P1214" s="157"/>
      <c r="Q1214" s="158">
        <v>5</v>
      </c>
      <c r="R1214" s="159">
        <v>3</v>
      </c>
      <c r="S1214" s="160"/>
      <c r="T1214" s="161" t="s">
        <v>1112</v>
      </c>
      <c r="U1214" s="156"/>
      <c r="V1214" s="162"/>
      <c r="W1214" s="163"/>
      <c r="X1214" s="164"/>
      <c r="Y1214" s="159"/>
      <c r="Z1214" s="161"/>
      <c r="AA1214" s="165">
        <v>2</v>
      </c>
      <c r="AD1214" s="154" t="s">
        <v>4392</v>
      </c>
      <c r="AE1214" s="155"/>
      <c r="AF1214" s="154" t="s">
        <v>4694</v>
      </c>
      <c r="AP1214" s="155"/>
      <c r="AQ1214" s="156"/>
      <c r="AR1214" s="157"/>
      <c r="AS1214" s="158"/>
      <c r="AT1214" s="159"/>
      <c r="AU1214" s="161"/>
      <c r="AV1214" s="156"/>
      <c r="AW1214" s="162"/>
      <c r="AX1214" s="163"/>
      <c r="AY1214" s="164"/>
      <c r="AZ1214" s="159"/>
      <c r="BA1214" s="161"/>
      <c r="BB1214" s="165"/>
      <c r="BF1214" s="155"/>
    </row>
    <row r="1215" spans="1:59" s="154" customFormat="1" ht="15" customHeight="1">
      <c r="A1215" s="168" t="s">
        <v>4285</v>
      </c>
      <c r="B1215" s="153" t="s">
        <v>4393</v>
      </c>
      <c r="C1215" s="154" t="s">
        <v>4289</v>
      </c>
      <c r="D1215" s="155">
        <v>187</v>
      </c>
      <c r="E1215" s="154">
        <v>1</v>
      </c>
      <c r="F1215" s="154" t="s">
        <v>4286</v>
      </c>
      <c r="G1215" s="154" t="s">
        <v>4394</v>
      </c>
      <c r="J1215" s="154" t="s">
        <v>29</v>
      </c>
      <c r="K1215" s="154" t="s">
        <v>2426</v>
      </c>
      <c r="N1215" s="155"/>
      <c r="O1215" s="156"/>
      <c r="P1215" s="157"/>
      <c r="Q1215" s="158">
        <v>3</v>
      </c>
      <c r="R1215" s="159">
        <v>3</v>
      </c>
      <c r="S1215" s="160"/>
      <c r="T1215" s="161">
        <v>5</v>
      </c>
      <c r="U1215" s="156"/>
      <c r="V1215" s="162">
        <v>1</v>
      </c>
      <c r="W1215" s="163">
        <v>1</v>
      </c>
      <c r="X1215" s="164"/>
      <c r="Y1215" s="159"/>
      <c r="Z1215" s="161"/>
      <c r="AA1215" s="165">
        <v>1</v>
      </c>
      <c r="AD1215" s="154" t="s">
        <v>3861</v>
      </c>
      <c r="AE1215" s="155"/>
      <c r="AF1215" s="154" t="s">
        <v>4695</v>
      </c>
      <c r="AP1215" s="155"/>
      <c r="AQ1215" s="156"/>
      <c r="AR1215" s="157"/>
      <c r="AS1215" s="158"/>
      <c r="AT1215" s="159"/>
      <c r="AU1215" s="161"/>
      <c r="AV1215" s="156"/>
      <c r="AW1215" s="162"/>
      <c r="AX1215" s="163"/>
      <c r="AY1215" s="164"/>
      <c r="AZ1215" s="159"/>
      <c r="BA1215" s="161"/>
      <c r="BB1215" s="165"/>
      <c r="BF1215" s="155"/>
    </row>
    <row r="1216" spans="1:59" s="154" customFormat="1" ht="15" customHeight="1">
      <c r="A1216" s="153" t="s">
        <v>4285</v>
      </c>
      <c r="B1216" s="153" t="s">
        <v>4395</v>
      </c>
      <c r="C1216" s="154" t="s">
        <v>4289</v>
      </c>
      <c r="D1216" s="155">
        <v>188</v>
      </c>
      <c r="E1216" s="154">
        <v>2</v>
      </c>
      <c r="F1216" s="154" t="s">
        <v>4286</v>
      </c>
      <c r="G1216" s="154" t="s">
        <v>4396</v>
      </c>
      <c r="J1216" s="154" t="s">
        <v>29</v>
      </c>
      <c r="K1216" s="154" t="s">
        <v>2426</v>
      </c>
      <c r="N1216" s="155"/>
      <c r="O1216" s="156"/>
      <c r="P1216" s="157"/>
      <c r="Q1216" s="158">
        <v>2</v>
      </c>
      <c r="R1216" s="159">
        <v>2</v>
      </c>
      <c r="S1216" s="160"/>
      <c r="T1216" s="161">
        <v>2</v>
      </c>
      <c r="U1216" s="156"/>
      <c r="V1216" s="162"/>
      <c r="W1216" s="163">
        <v>1</v>
      </c>
      <c r="X1216" s="164"/>
      <c r="Y1216" s="159"/>
      <c r="Z1216" s="161"/>
      <c r="AA1216" s="165"/>
      <c r="AD1216" s="154" t="s">
        <v>467</v>
      </c>
      <c r="AE1216" s="155"/>
      <c r="AF1216" s="154" t="s">
        <v>4397</v>
      </c>
      <c r="AP1216" s="155"/>
      <c r="AQ1216" s="156"/>
      <c r="AR1216" s="157"/>
      <c r="AS1216" s="158"/>
      <c r="AT1216" s="159"/>
      <c r="AU1216" s="161"/>
      <c r="AV1216" s="156"/>
      <c r="AW1216" s="162"/>
      <c r="AX1216" s="163"/>
      <c r="AY1216" s="164"/>
      <c r="AZ1216" s="159"/>
      <c r="BA1216" s="161"/>
      <c r="BB1216" s="165"/>
      <c r="BF1216" s="155"/>
    </row>
    <row r="1217" spans="1:58" s="154" customFormat="1" ht="15" customHeight="1">
      <c r="A1217" s="168" t="s">
        <v>4285</v>
      </c>
      <c r="B1217" s="153" t="s">
        <v>4398</v>
      </c>
      <c r="C1217" s="154" t="s">
        <v>4289</v>
      </c>
      <c r="D1217" s="155">
        <v>189</v>
      </c>
      <c r="E1217" s="154">
        <v>3</v>
      </c>
      <c r="F1217" s="154" t="s">
        <v>4286</v>
      </c>
      <c r="G1217" s="154" t="s">
        <v>4399</v>
      </c>
      <c r="J1217" s="154" t="s">
        <v>28</v>
      </c>
      <c r="K1217" s="154" t="s">
        <v>2426</v>
      </c>
      <c r="N1217" s="155"/>
      <c r="O1217" s="156"/>
      <c r="P1217" s="157"/>
      <c r="Q1217" s="158"/>
      <c r="R1217" s="159"/>
      <c r="S1217" s="160"/>
      <c r="T1217" s="161"/>
      <c r="U1217" s="156"/>
      <c r="V1217" s="162"/>
      <c r="W1217" s="163"/>
      <c r="X1217" s="164"/>
      <c r="Y1217" s="159"/>
      <c r="Z1217" s="161"/>
      <c r="AA1217" s="165"/>
      <c r="AD1217" s="154" t="s">
        <v>486</v>
      </c>
      <c r="AE1217" s="155"/>
      <c r="AF1217" s="154" t="s">
        <v>4400</v>
      </c>
      <c r="AP1217" s="155"/>
      <c r="AQ1217" s="156"/>
      <c r="AR1217" s="157"/>
      <c r="AS1217" s="158"/>
      <c r="AT1217" s="159"/>
      <c r="AU1217" s="161"/>
      <c r="AV1217" s="156"/>
      <c r="AW1217" s="162"/>
      <c r="AX1217" s="163"/>
      <c r="AY1217" s="164"/>
      <c r="AZ1217" s="159"/>
      <c r="BA1217" s="161"/>
      <c r="BB1217" s="165"/>
      <c r="BF1217" s="155"/>
    </row>
    <row r="1218" spans="1:58" s="154" customFormat="1" ht="15" customHeight="1">
      <c r="A1218" s="153" t="s">
        <v>4285</v>
      </c>
      <c r="B1218" s="153" t="s">
        <v>4401</v>
      </c>
      <c r="C1218" s="154" t="s">
        <v>4289</v>
      </c>
      <c r="D1218" s="155">
        <v>190</v>
      </c>
      <c r="E1218" s="154">
        <v>3</v>
      </c>
      <c r="F1218" s="154" t="s">
        <v>4286</v>
      </c>
      <c r="G1218" s="154" t="s">
        <v>4402</v>
      </c>
      <c r="J1218" s="154" t="s">
        <v>28</v>
      </c>
      <c r="K1218" s="154" t="s">
        <v>2426</v>
      </c>
      <c r="N1218" s="155"/>
      <c r="O1218" s="156"/>
      <c r="P1218" s="157"/>
      <c r="Q1218" s="158"/>
      <c r="R1218" s="159"/>
      <c r="S1218" s="160"/>
      <c r="T1218" s="161"/>
      <c r="U1218" s="156"/>
      <c r="V1218" s="162"/>
      <c r="W1218" s="163"/>
      <c r="X1218" s="164"/>
      <c r="Y1218" s="159"/>
      <c r="Z1218" s="161"/>
      <c r="AA1218" s="165"/>
      <c r="AD1218" s="154" t="s">
        <v>486</v>
      </c>
      <c r="AE1218" s="155"/>
      <c r="AF1218" s="154" t="s">
        <v>4403</v>
      </c>
      <c r="AJ1218" s="171"/>
      <c r="AP1218" s="155"/>
      <c r="AQ1218" s="156"/>
      <c r="AR1218" s="157"/>
      <c r="AS1218" s="158"/>
      <c r="AT1218" s="159"/>
      <c r="AU1218" s="161"/>
      <c r="AV1218" s="156"/>
      <c r="AW1218" s="162"/>
      <c r="AX1218" s="163"/>
      <c r="AY1218" s="164"/>
      <c r="AZ1218" s="159"/>
      <c r="BA1218" s="161"/>
      <c r="BB1218" s="165"/>
      <c r="BF1218" s="155"/>
    </row>
    <row r="1219" spans="1:58" s="154" customFormat="1" ht="15" customHeight="1">
      <c r="A1219" s="168" t="s">
        <v>4285</v>
      </c>
      <c r="B1219" s="153" t="s">
        <v>4404</v>
      </c>
      <c r="C1219" s="154" t="s">
        <v>4289</v>
      </c>
      <c r="D1219" s="155">
        <v>191</v>
      </c>
      <c r="E1219" s="154">
        <v>1</v>
      </c>
      <c r="F1219" s="154" t="s">
        <v>4286</v>
      </c>
      <c r="G1219" s="154" t="s">
        <v>3978</v>
      </c>
      <c r="H1219" s="154" t="s">
        <v>4405</v>
      </c>
      <c r="I1219" s="154" t="s">
        <v>223</v>
      </c>
      <c r="J1219" s="154" t="s">
        <v>257</v>
      </c>
      <c r="K1219" s="154" t="s">
        <v>26</v>
      </c>
      <c r="N1219" s="155">
        <v>2</v>
      </c>
      <c r="O1219" s="156"/>
      <c r="P1219" s="157"/>
      <c r="Q1219" s="158"/>
      <c r="R1219" s="159"/>
      <c r="S1219" s="160">
        <v>3</v>
      </c>
      <c r="T1219" s="161"/>
      <c r="U1219" s="156"/>
      <c r="V1219" s="162"/>
      <c r="W1219" s="163"/>
      <c r="X1219" s="164"/>
      <c r="Y1219" s="159"/>
      <c r="Z1219" s="161"/>
      <c r="AA1219" s="165"/>
      <c r="AB1219" s="154" t="s">
        <v>1996</v>
      </c>
      <c r="AD1219" s="154" t="s">
        <v>276</v>
      </c>
      <c r="AE1219" s="155"/>
      <c r="AF1219" s="154" t="s">
        <v>4406</v>
      </c>
      <c r="AP1219" s="155"/>
      <c r="AQ1219" s="156"/>
      <c r="AR1219" s="157"/>
      <c r="AS1219" s="158"/>
      <c r="AT1219" s="159"/>
      <c r="AU1219" s="161"/>
      <c r="AV1219" s="156"/>
      <c r="AW1219" s="162"/>
      <c r="AX1219" s="163"/>
      <c r="AY1219" s="164"/>
      <c r="AZ1219" s="159"/>
      <c r="BA1219" s="161"/>
      <c r="BB1219" s="165"/>
      <c r="BF1219" s="155"/>
    </row>
    <row r="1220" spans="1:58" s="171" customFormat="1" ht="15" customHeight="1">
      <c r="A1220" s="168" t="s">
        <v>4696</v>
      </c>
      <c r="B1220" s="154" t="s">
        <v>4699</v>
      </c>
      <c r="C1220" s="154" t="s">
        <v>4700</v>
      </c>
      <c r="D1220" s="170">
        <v>192</v>
      </c>
      <c r="E1220" s="171">
        <v>2</v>
      </c>
      <c r="F1220" s="154"/>
      <c r="G1220" s="171" t="s">
        <v>4701</v>
      </c>
      <c r="J1220" s="171" t="s">
        <v>312</v>
      </c>
      <c r="K1220" s="171" t="s">
        <v>198</v>
      </c>
      <c r="L1220" s="171">
        <v>0</v>
      </c>
      <c r="N1220" s="170"/>
      <c r="O1220" s="156">
        <v>1</v>
      </c>
      <c r="P1220" s="157"/>
      <c r="Q1220" s="158"/>
      <c r="R1220" s="159"/>
      <c r="S1220" s="160"/>
      <c r="T1220" s="161"/>
      <c r="U1220" s="156"/>
      <c r="V1220" s="162"/>
      <c r="W1220" s="163"/>
      <c r="X1220" s="164"/>
      <c r="Y1220" s="159"/>
      <c r="Z1220" s="161"/>
      <c r="AA1220" s="165"/>
      <c r="AB1220" s="171" t="s">
        <v>204</v>
      </c>
      <c r="AD1220" s="171" t="s">
        <v>412</v>
      </c>
      <c r="AE1220" s="170"/>
      <c r="AF1220" s="171" t="s">
        <v>4702</v>
      </c>
      <c r="AQ1220" s="156"/>
      <c r="AR1220" s="157"/>
      <c r="AS1220" s="158"/>
      <c r="AT1220" s="159"/>
      <c r="AU1220" s="161"/>
      <c r="AV1220" s="156"/>
      <c r="AW1220" s="162"/>
      <c r="AX1220" s="163"/>
      <c r="AY1220" s="164"/>
      <c r="AZ1220" s="159"/>
      <c r="BA1220" s="161"/>
      <c r="BB1220" s="165"/>
      <c r="BF1220" s="170"/>
    </row>
    <row r="1221" spans="1:58" s="154" customFormat="1" ht="15" customHeight="1">
      <c r="A1221" s="168" t="s">
        <v>4696</v>
      </c>
      <c r="B1221" s="154" t="s">
        <v>4703</v>
      </c>
      <c r="C1221" s="154" t="s">
        <v>4700</v>
      </c>
      <c r="D1221" s="170">
        <v>193</v>
      </c>
      <c r="E1221" s="154">
        <v>2</v>
      </c>
      <c r="G1221" s="154" t="s">
        <v>4704</v>
      </c>
      <c r="J1221" s="171" t="s">
        <v>27</v>
      </c>
      <c r="K1221" s="154" t="s">
        <v>198</v>
      </c>
      <c r="L1221" s="154">
        <v>3</v>
      </c>
      <c r="N1221" s="155">
        <v>3</v>
      </c>
      <c r="O1221" s="156"/>
      <c r="P1221" s="157"/>
      <c r="Q1221" s="158">
        <v>1</v>
      </c>
      <c r="R1221" s="159">
        <v>1</v>
      </c>
      <c r="S1221" s="160"/>
      <c r="T1221" s="161"/>
      <c r="U1221" s="156"/>
      <c r="V1221" s="162"/>
      <c r="W1221" s="163"/>
      <c r="X1221" s="164"/>
      <c r="Y1221" s="159"/>
      <c r="Z1221" s="161"/>
      <c r="AA1221" s="165"/>
      <c r="AB1221" s="154" t="s">
        <v>1087</v>
      </c>
      <c r="AD1221" s="154" t="s">
        <v>4705</v>
      </c>
      <c r="AE1221" s="155"/>
      <c r="AF1221" s="154" t="s">
        <v>4706</v>
      </c>
      <c r="AL1221" s="171"/>
      <c r="AO1221" s="155"/>
      <c r="AP1221" s="155"/>
      <c r="AQ1221" s="156"/>
      <c r="AR1221" s="157"/>
      <c r="AS1221" s="158"/>
      <c r="AT1221" s="159"/>
      <c r="AU1221" s="161"/>
      <c r="AV1221" s="156"/>
      <c r="AW1221" s="162"/>
      <c r="AX1221" s="163"/>
      <c r="AY1221" s="164"/>
      <c r="AZ1221" s="159"/>
      <c r="BA1221" s="161"/>
      <c r="BB1221" s="165"/>
      <c r="BE1221" s="155"/>
    </row>
    <row r="1222" spans="1:58" s="154" customFormat="1" ht="15" customHeight="1">
      <c r="A1222" s="168" t="s">
        <v>4696</v>
      </c>
      <c r="B1222" s="154" t="s">
        <v>4707</v>
      </c>
      <c r="C1222" s="154" t="s">
        <v>4700</v>
      </c>
      <c r="D1222" s="170">
        <v>194</v>
      </c>
      <c r="E1222" s="154">
        <v>2</v>
      </c>
      <c r="G1222" s="154" t="s">
        <v>4708</v>
      </c>
      <c r="J1222" s="171" t="s">
        <v>257</v>
      </c>
      <c r="K1222" s="154" t="s">
        <v>199</v>
      </c>
      <c r="L1222" s="154">
        <v>2</v>
      </c>
      <c r="N1222" s="155">
        <v>2</v>
      </c>
      <c r="O1222" s="156"/>
      <c r="P1222" s="157">
        <v>2</v>
      </c>
      <c r="Q1222" s="158"/>
      <c r="R1222" s="159"/>
      <c r="S1222" s="160"/>
      <c r="T1222" s="161"/>
      <c r="U1222" s="156"/>
      <c r="V1222" s="162"/>
      <c r="W1222" s="163"/>
      <c r="X1222" s="164"/>
      <c r="Y1222" s="159"/>
      <c r="Z1222" s="161"/>
      <c r="AA1222" s="165"/>
      <c r="AB1222" s="154" t="s">
        <v>1084</v>
      </c>
      <c r="AC1222" s="154" t="s">
        <v>258</v>
      </c>
      <c r="AD1222" s="154" t="s">
        <v>4709</v>
      </c>
      <c r="AE1222" s="155"/>
      <c r="AF1222" s="154" t="s">
        <v>4710</v>
      </c>
      <c r="AL1222" s="171"/>
      <c r="AO1222" s="155"/>
      <c r="AP1222" s="155"/>
      <c r="AQ1222" s="156"/>
      <c r="AR1222" s="157"/>
      <c r="AS1222" s="158"/>
      <c r="AT1222" s="159"/>
      <c r="AU1222" s="161"/>
      <c r="AV1222" s="156"/>
      <c r="AW1222" s="162"/>
      <c r="AX1222" s="163"/>
      <c r="AY1222" s="164"/>
      <c r="AZ1222" s="159"/>
      <c r="BA1222" s="161"/>
      <c r="BB1222" s="165"/>
      <c r="BE1222" s="155"/>
    </row>
    <row r="1223" spans="1:58" s="154" customFormat="1" ht="15" customHeight="1">
      <c r="A1223" s="168" t="s">
        <v>4696</v>
      </c>
      <c r="B1223" s="154" t="s">
        <v>4711</v>
      </c>
      <c r="C1223" s="154" t="s">
        <v>4700</v>
      </c>
      <c r="D1223" s="170">
        <v>195</v>
      </c>
      <c r="E1223" s="154">
        <v>2</v>
      </c>
      <c r="G1223" s="154" t="s">
        <v>2126</v>
      </c>
      <c r="J1223" s="171" t="s">
        <v>27</v>
      </c>
      <c r="K1223" s="154" t="s">
        <v>199</v>
      </c>
      <c r="L1223" s="154">
        <v>3</v>
      </c>
      <c r="N1223" s="155">
        <v>0</v>
      </c>
      <c r="O1223" s="156"/>
      <c r="P1223" s="157">
        <v>1</v>
      </c>
      <c r="Q1223" s="158">
        <v>1</v>
      </c>
      <c r="R1223" s="159"/>
      <c r="S1223" s="160">
        <v>1</v>
      </c>
      <c r="T1223" s="161"/>
      <c r="U1223" s="156"/>
      <c r="V1223" s="162"/>
      <c r="W1223" s="163"/>
      <c r="X1223" s="164"/>
      <c r="Y1223" s="159"/>
      <c r="Z1223" s="161"/>
      <c r="AA1223" s="165"/>
      <c r="AB1223" s="154" t="s">
        <v>4712</v>
      </c>
      <c r="AD1223" s="154" t="s">
        <v>340</v>
      </c>
      <c r="AE1223" s="155"/>
      <c r="AF1223" s="154" t="s">
        <v>4713</v>
      </c>
      <c r="AL1223" s="171"/>
      <c r="AO1223" s="155"/>
      <c r="AP1223" s="155"/>
      <c r="AQ1223" s="156"/>
      <c r="AR1223" s="157"/>
      <c r="AS1223" s="158"/>
      <c r="AT1223" s="159"/>
      <c r="AU1223" s="161"/>
      <c r="AV1223" s="156"/>
      <c r="AW1223" s="162"/>
      <c r="AX1223" s="163"/>
      <c r="AY1223" s="164"/>
      <c r="AZ1223" s="159"/>
      <c r="BA1223" s="161"/>
      <c r="BB1223" s="165"/>
      <c r="BE1223" s="155"/>
    </row>
    <row r="1224" spans="1:58" s="154" customFormat="1" ht="15" customHeight="1">
      <c r="A1224" s="168" t="s">
        <v>4696</v>
      </c>
      <c r="B1224" s="154" t="s">
        <v>4714</v>
      </c>
      <c r="C1224" s="154" t="s">
        <v>4700</v>
      </c>
      <c r="D1224" s="170">
        <v>196</v>
      </c>
      <c r="E1224" s="154">
        <v>2</v>
      </c>
      <c r="G1224" s="154" t="s">
        <v>4715</v>
      </c>
      <c r="H1224" s="154" t="s">
        <v>4716</v>
      </c>
      <c r="I1224" s="154" t="s">
        <v>223</v>
      </c>
      <c r="J1224" s="154" t="s">
        <v>257</v>
      </c>
      <c r="K1224" s="154" t="s">
        <v>201</v>
      </c>
      <c r="L1224" s="154">
        <v>3</v>
      </c>
      <c r="N1224" s="154">
        <v>3</v>
      </c>
      <c r="O1224" s="156"/>
      <c r="P1224" s="157">
        <v>2</v>
      </c>
      <c r="Q1224" s="158"/>
      <c r="R1224" s="159"/>
      <c r="S1224" s="160"/>
      <c r="T1224" s="161">
        <v>2</v>
      </c>
      <c r="U1224" s="156">
        <v>2</v>
      </c>
      <c r="V1224" s="162"/>
      <c r="W1224" s="163"/>
      <c r="X1224" s="164"/>
      <c r="Y1224" s="159"/>
      <c r="Z1224" s="161"/>
      <c r="AA1224" s="165"/>
      <c r="AB1224" s="154" t="s">
        <v>1084</v>
      </c>
      <c r="AC1224" s="154" t="s">
        <v>25</v>
      </c>
      <c r="AD1224" s="154" t="s">
        <v>3842</v>
      </c>
      <c r="AF1224" s="154" t="s">
        <v>4717</v>
      </c>
      <c r="AO1224" s="155"/>
      <c r="AQ1224" s="156"/>
      <c r="AR1224" s="157"/>
      <c r="AS1224" s="158"/>
      <c r="AT1224" s="159"/>
      <c r="AU1224" s="161"/>
      <c r="AV1224" s="156"/>
      <c r="AW1224" s="162"/>
      <c r="AX1224" s="163"/>
      <c r="AY1224" s="164"/>
      <c r="AZ1224" s="159"/>
      <c r="BA1224" s="161"/>
      <c r="BB1224" s="165"/>
      <c r="BE1224" s="155"/>
    </row>
    <row r="1225" spans="1:58" s="154" customFormat="1" ht="15" customHeight="1">
      <c r="A1225" s="168" t="s">
        <v>4696</v>
      </c>
      <c r="B1225" s="154" t="s">
        <v>4718</v>
      </c>
      <c r="C1225" s="154" t="s">
        <v>4700</v>
      </c>
      <c r="D1225" s="170">
        <v>197</v>
      </c>
      <c r="E1225" s="154">
        <v>2</v>
      </c>
      <c r="G1225" s="154" t="s">
        <v>4719</v>
      </c>
      <c r="H1225" s="154" t="s">
        <v>4720</v>
      </c>
      <c r="I1225" s="154" t="s">
        <v>223</v>
      </c>
      <c r="J1225" s="154" t="s">
        <v>257</v>
      </c>
      <c r="K1225" s="154" t="s">
        <v>200</v>
      </c>
      <c r="L1225" s="154">
        <v>0</v>
      </c>
      <c r="N1225" s="154">
        <v>2</v>
      </c>
      <c r="O1225" s="156">
        <v>1</v>
      </c>
      <c r="P1225" s="157"/>
      <c r="Q1225" s="158"/>
      <c r="R1225" s="159"/>
      <c r="S1225" s="160"/>
      <c r="T1225" s="161">
        <v>1</v>
      </c>
      <c r="U1225" s="156">
        <v>3</v>
      </c>
      <c r="V1225" s="162"/>
      <c r="W1225" s="163"/>
      <c r="X1225" s="164"/>
      <c r="Y1225" s="159"/>
      <c r="Z1225" s="161"/>
      <c r="AA1225" s="165"/>
      <c r="AB1225" s="154" t="s">
        <v>204</v>
      </c>
      <c r="AC1225" s="154" t="s">
        <v>25</v>
      </c>
      <c r="AD1225" s="154" t="s">
        <v>4721</v>
      </c>
      <c r="AF1225" s="154" t="s">
        <v>4722</v>
      </c>
      <c r="AO1225" s="155"/>
      <c r="AQ1225" s="156"/>
      <c r="AR1225" s="157"/>
      <c r="AS1225" s="158"/>
      <c r="AT1225" s="159"/>
      <c r="AU1225" s="161"/>
      <c r="AV1225" s="156"/>
      <c r="AW1225" s="162"/>
      <c r="AX1225" s="163"/>
      <c r="AY1225" s="164"/>
      <c r="AZ1225" s="159"/>
      <c r="BA1225" s="161"/>
      <c r="BB1225" s="165"/>
      <c r="BE1225" s="155"/>
    </row>
    <row r="1226" spans="1:58" s="154" customFormat="1" ht="15" customHeight="1">
      <c r="A1226" s="168" t="s">
        <v>4696</v>
      </c>
      <c r="B1226" s="153" t="s">
        <v>4723</v>
      </c>
      <c r="C1226" s="154" t="s">
        <v>4700</v>
      </c>
      <c r="D1226" s="170">
        <v>198</v>
      </c>
      <c r="E1226" s="154">
        <v>2</v>
      </c>
      <c r="G1226" s="154" t="s">
        <v>1991</v>
      </c>
      <c r="J1226" s="154" t="s">
        <v>312</v>
      </c>
      <c r="K1226" s="154" t="s">
        <v>200</v>
      </c>
      <c r="L1226" s="154">
        <v>2</v>
      </c>
      <c r="O1226" s="156"/>
      <c r="P1226" s="157"/>
      <c r="Q1226" s="158"/>
      <c r="R1226" s="159"/>
      <c r="S1226" s="160">
        <v>1</v>
      </c>
      <c r="T1226" s="161"/>
      <c r="U1226" s="156"/>
      <c r="V1226" s="162"/>
      <c r="W1226" s="163"/>
      <c r="X1226" s="164"/>
      <c r="Y1226" s="159"/>
      <c r="Z1226" s="161"/>
      <c r="AA1226" s="165"/>
      <c r="AB1226" s="154" t="s">
        <v>208</v>
      </c>
      <c r="AD1226" s="154" t="s">
        <v>2190</v>
      </c>
      <c r="AF1226" s="154" t="s">
        <v>4724</v>
      </c>
      <c r="AO1226" s="155"/>
      <c r="AQ1226" s="156"/>
      <c r="AR1226" s="157"/>
      <c r="AS1226" s="158"/>
      <c r="AT1226" s="159"/>
      <c r="AU1226" s="161"/>
      <c r="AV1226" s="156"/>
      <c r="AW1226" s="162"/>
      <c r="AX1226" s="163"/>
      <c r="AY1226" s="164"/>
      <c r="AZ1226" s="159"/>
      <c r="BA1226" s="161"/>
      <c r="BB1226" s="165"/>
      <c r="BE1226" s="155"/>
    </row>
    <row r="1227" spans="1:58" s="154" customFormat="1" ht="15" customHeight="1">
      <c r="A1227" s="168" t="s">
        <v>4696</v>
      </c>
      <c r="B1227" s="153" t="s">
        <v>4725</v>
      </c>
      <c r="C1227" s="154" t="s">
        <v>4700</v>
      </c>
      <c r="D1227" s="170">
        <v>199</v>
      </c>
      <c r="E1227" s="154">
        <v>2</v>
      </c>
      <c r="G1227" s="154" t="s">
        <v>4726</v>
      </c>
      <c r="J1227" s="154" t="s">
        <v>27</v>
      </c>
      <c r="K1227" s="154" t="s">
        <v>200</v>
      </c>
      <c r="L1227" s="154">
        <v>0</v>
      </c>
      <c r="N1227" s="154">
        <v>0</v>
      </c>
      <c r="O1227" s="156"/>
      <c r="P1227" s="157">
        <v>1</v>
      </c>
      <c r="Q1227" s="158"/>
      <c r="R1227" s="159">
        <v>1</v>
      </c>
      <c r="S1227" s="160"/>
      <c r="T1227" s="161"/>
      <c r="U1227" s="156"/>
      <c r="V1227" s="162"/>
      <c r="W1227" s="163"/>
      <c r="X1227" s="164"/>
      <c r="Y1227" s="159"/>
      <c r="Z1227" s="161"/>
      <c r="AA1227" s="165"/>
      <c r="AB1227" s="154" t="s">
        <v>1089</v>
      </c>
      <c r="AD1227" s="154" t="s">
        <v>3909</v>
      </c>
      <c r="AF1227" s="154" t="s">
        <v>4727</v>
      </c>
      <c r="AO1227" s="155"/>
      <c r="AQ1227" s="156"/>
      <c r="AR1227" s="157"/>
      <c r="AS1227" s="158"/>
      <c r="AT1227" s="159"/>
      <c r="AU1227" s="161"/>
      <c r="AV1227" s="156"/>
      <c r="AW1227" s="162"/>
      <c r="AX1227" s="163"/>
      <c r="AY1227" s="164"/>
      <c r="AZ1227" s="159"/>
      <c r="BA1227" s="161"/>
      <c r="BB1227" s="165"/>
      <c r="BE1227" s="155"/>
    </row>
    <row r="1228" spans="1:58" s="154" customFormat="1" ht="15" customHeight="1">
      <c r="A1228" s="168" t="s">
        <v>4696</v>
      </c>
      <c r="B1228" s="153" t="s">
        <v>4728</v>
      </c>
      <c r="C1228" s="154" t="s">
        <v>4700</v>
      </c>
      <c r="D1228" s="170">
        <v>200</v>
      </c>
      <c r="E1228" s="154">
        <v>2</v>
      </c>
      <c r="G1228" s="154" t="s">
        <v>4729</v>
      </c>
      <c r="J1228" s="154" t="s">
        <v>27</v>
      </c>
      <c r="K1228" s="154" t="s">
        <v>202</v>
      </c>
      <c r="L1228" s="154">
        <v>0</v>
      </c>
      <c r="N1228" s="172">
        <v>0</v>
      </c>
      <c r="O1228" s="156"/>
      <c r="P1228" s="157"/>
      <c r="Q1228" s="158"/>
      <c r="R1228" s="159"/>
      <c r="S1228" s="160">
        <v>1</v>
      </c>
      <c r="T1228" s="161"/>
      <c r="U1228" s="156"/>
      <c r="V1228" s="162"/>
      <c r="W1228" s="163"/>
      <c r="X1228" s="164"/>
      <c r="Y1228" s="159"/>
      <c r="Z1228" s="161"/>
      <c r="AA1228" s="165"/>
      <c r="AB1228" s="154" t="s">
        <v>208</v>
      </c>
      <c r="AD1228" s="154" t="s">
        <v>1805</v>
      </c>
      <c r="AF1228" s="154" t="s">
        <v>4730</v>
      </c>
      <c r="AO1228" s="155"/>
      <c r="AQ1228" s="156"/>
      <c r="AR1228" s="157"/>
      <c r="AS1228" s="158"/>
      <c r="AT1228" s="159"/>
      <c r="AU1228" s="161"/>
      <c r="AV1228" s="156"/>
      <c r="AW1228" s="162"/>
      <c r="AX1228" s="163"/>
      <c r="AY1228" s="164"/>
      <c r="AZ1228" s="159"/>
      <c r="BA1228" s="161"/>
      <c r="BB1228" s="165"/>
      <c r="BE1228" s="155"/>
    </row>
    <row r="1229" spans="1:58" s="154" customFormat="1" ht="15" customHeight="1">
      <c r="A1229" s="168" t="s">
        <v>4696</v>
      </c>
      <c r="B1229" s="153" t="s">
        <v>4731</v>
      </c>
      <c r="C1229" s="154" t="s">
        <v>4700</v>
      </c>
      <c r="D1229" s="170">
        <v>201</v>
      </c>
      <c r="E1229" s="154">
        <v>2</v>
      </c>
      <c r="G1229" s="154" t="s">
        <v>4732</v>
      </c>
      <c r="J1229" s="154" t="s">
        <v>312</v>
      </c>
      <c r="K1229" s="154" t="s">
        <v>202</v>
      </c>
      <c r="L1229" s="154">
        <v>0</v>
      </c>
      <c r="O1229" s="156"/>
      <c r="P1229" s="157"/>
      <c r="Q1229" s="158"/>
      <c r="R1229" s="159"/>
      <c r="S1229" s="160"/>
      <c r="T1229" s="161"/>
      <c r="U1229" s="156"/>
      <c r="V1229" s="162"/>
      <c r="W1229" s="163"/>
      <c r="X1229" s="164"/>
      <c r="Y1229" s="159"/>
      <c r="Z1229" s="161"/>
      <c r="AA1229" s="165"/>
      <c r="AD1229" s="154" t="s">
        <v>412</v>
      </c>
      <c r="AF1229" s="154" t="s">
        <v>4733</v>
      </c>
      <c r="AO1229" s="155"/>
      <c r="AQ1229" s="156"/>
      <c r="AR1229" s="157"/>
      <c r="AS1229" s="158"/>
      <c r="AT1229" s="159"/>
      <c r="AU1229" s="161"/>
      <c r="AV1229" s="156"/>
      <c r="AW1229" s="162"/>
      <c r="AX1229" s="163"/>
      <c r="AY1229" s="164"/>
      <c r="AZ1229" s="159"/>
      <c r="BA1229" s="161"/>
      <c r="BB1229" s="165"/>
      <c r="BE1229" s="155"/>
    </row>
    <row r="1230" spans="1:58" s="154" customFormat="1" ht="15" customHeight="1">
      <c r="A1230" s="168" t="s">
        <v>4696</v>
      </c>
      <c r="B1230" s="153" t="s">
        <v>4734</v>
      </c>
      <c r="C1230" s="154" t="s">
        <v>4700</v>
      </c>
      <c r="D1230" s="170">
        <v>202</v>
      </c>
      <c r="E1230" s="154">
        <v>2</v>
      </c>
      <c r="G1230" s="154" t="s">
        <v>4735</v>
      </c>
      <c r="J1230" s="154" t="s">
        <v>27</v>
      </c>
      <c r="K1230" s="154" t="s">
        <v>202</v>
      </c>
      <c r="L1230" s="154">
        <v>2</v>
      </c>
      <c r="N1230" s="154">
        <v>2</v>
      </c>
      <c r="O1230" s="156">
        <v>1</v>
      </c>
      <c r="P1230" s="157"/>
      <c r="Q1230" s="158">
        <v>1</v>
      </c>
      <c r="R1230" s="159">
        <v>1</v>
      </c>
      <c r="S1230" s="160"/>
      <c r="T1230" s="161"/>
      <c r="U1230" s="156"/>
      <c r="V1230" s="162"/>
      <c r="W1230" s="163"/>
      <c r="X1230" s="164"/>
      <c r="Y1230" s="159"/>
      <c r="Z1230" s="161"/>
      <c r="AA1230" s="165"/>
      <c r="AB1230" s="154" t="s">
        <v>1389</v>
      </c>
      <c r="AD1230" s="154" t="s">
        <v>1805</v>
      </c>
      <c r="AF1230" s="154" t="s">
        <v>4736</v>
      </c>
      <c r="AO1230" s="155"/>
      <c r="AQ1230" s="156"/>
      <c r="AR1230" s="157"/>
      <c r="AS1230" s="158"/>
      <c r="AT1230" s="159"/>
      <c r="AU1230" s="161"/>
      <c r="AV1230" s="156"/>
      <c r="AW1230" s="162"/>
      <c r="AX1230" s="163"/>
      <c r="AY1230" s="164"/>
      <c r="AZ1230" s="159"/>
      <c r="BA1230" s="161"/>
      <c r="BB1230" s="165"/>
      <c r="BE1230" s="155"/>
    </row>
    <row r="1231" spans="1:58" s="154" customFormat="1" ht="15" customHeight="1">
      <c r="A1231" s="168" t="s">
        <v>4696</v>
      </c>
      <c r="B1231" s="153" t="s">
        <v>4737</v>
      </c>
      <c r="C1231" s="154" t="s">
        <v>4700</v>
      </c>
      <c r="D1231" s="170">
        <v>203</v>
      </c>
      <c r="E1231" s="154">
        <v>2</v>
      </c>
      <c r="F1231" s="153"/>
      <c r="G1231" s="154" t="s">
        <v>4738</v>
      </c>
      <c r="J1231" s="154" t="s">
        <v>257</v>
      </c>
      <c r="K1231" s="154" t="s">
        <v>26</v>
      </c>
      <c r="L1231" s="154">
        <v>0</v>
      </c>
      <c r="N1231" s="154">
        <v>3</v>
      </c>
      <c r="O1231" s="156"/>
      <c r="P1231" s="157"/>
      <c r="Q1231" s="158"/>
      <c r="R1231" s="159">
        <v>1</v>
      </c>
      <c r="S1231" s="160"/>
      <c r="T1231" s="161">
        <v>2</v>
      </c>
      <c r="U1231" s="156"/>
      <c r="V1231" s="162"/>
      <c r="W1231" s="163"/>
      <c r="X1231" s="164"/>
      <c r="Y1231" s="159"/>
      <c r="Z1231" s="161"/>
      <c r="AA1231" s="165"/>
      <c r="AB1231" s="154" t="s">
        <v>207</v>
      </c>
      <c r="AC1231" s="154" t="s">
        <v>393</v>
      </c>
      <c r="AD1231" s="154" t="s">
        <v>2325</v>
      </c>
      <c r="AF1231" s="154" t="s">
        <v>4739</v>
      </c>
      <c r="AO1231" s="155"/>
      <c r="AQ1231" s="156"/>
      <c r="AR1231" s="157"/>
      <c r="AS1231" s="158"/>
      <c r="AT1231" s="159"/>
      <c r="AU1231" s="161"/>
      <c r="AV1231" s="156"/>
      <c r="AW1231" s="162"/>
      <c r="AX1231" s="163"/>
      <c r="AY1231" s="164"/>
      <c r="AZ1231" s="159"/>
      <c r="BA1231" s="161"/>
      <c r="BB1231" s="165"/>
      <c r="BE1231" s="155"/>
    </row>
    <row r="1232" spans="1:58" s="154" customFormat="1" ht="15" customHeight="1">
      <c r="A1232" s="168" t="s">
        <v>4696</v>
      </c>
      <c r="B1232" s="153" t="s">
        <v>4740</v>
      </c>
      <c r="C1232" s="154" t="s">
        <v>4700</v>
      </c>
      <c r="D1232" s="170">
        <v>204</v>
      </c>
      <c r="E1232" s="154">
        <v>2</v>
      </c>
      <c r="G1232" s="154" t="s">
        <v>4741</v>
      </c>
      <c r="J1232" s="154" t="s">
        <v>257</v>
      </c>
      <c r="K1232" s="154" t="s">
        <v>26</v>
      </c>
      <c r="L1232" s="154">
        <v>3</v>
      </c>
      <c r="N1232" s="154">
        <v>4</v>
      </c>
      <c r="O1232" s="156"/>
      <c r="P1232" s="157"/>
      <c r="Q1232" s="158">
        <v>1</v>
      </c>
      <c r="R1232" s="159">
        <v>1</v>
      </c>
      <c r="S1232" s="160"/>
      <c r="T1232" s="161"/>
      <c r="U1232" s="156"/>
      <c r="V1232" s="162"/>
      <c r="W1232" s="163"/>
      <c r="X1232" s="164"/>
      <c r="Y1232" s="159"/>
      <c r="Z1232" s="161"/>
      <c r="AA1232" s="165"/>
      <c r="AB1232" s="154" t="s">
        <v>1087</v>
      </c>
      <c r="AC1232" s="154" t="s">
        <v>322</v>
      </c>
      <c r="AD1232" s="154" t="s">
        <v>4742</v>
      </c>
      <c r="AF1232" s="154" t="s">
        <v>4743</v>
      </c>
      <c r="AO1232" s="155"/>
      <c r="AQ1232" s="156"/>
      <c r="AR1232" s="157"/>
      <c r="AS1232" s="158"/>
      <c r="AT1232" s="159"/>
      <c r="AU1232" s="161"/>
      <c r="AV1232" s="156"/>
      <c r="AW1232" s="162"/>
      <c r="AX1232" s="163"/>
      <c r="AY1232" s="164"/>
      <c r="AZ1232" s="159"/>
      <c r="BA1232" s="161"/>
      <c r="BB1232" s="165"/>
      <c r="BE1232" s="155"/>
    </row>
    <row r="1233" spans="1:59" s="171" customFormat="1" ht="15" customHeight="1">
      <c r="A1233" s="168" t="s">
        <v>4696</v>
      </c>
      <c r="B1233" s="154" t="s">
        <v>4747</v>
      </c>
      <c r="C1233" s="154" t="s">
        <v>4700</v>
      </c>
      <c r="D1233" s="170">
        <v>205</v>
      </c>
      <c r="E1233" s="171">
        <v>1</v>
      </c>
      <c r="F1233" s="154" t="s">
        <v>4698</v>
      </c>
      <c r="G1233" s="171" t="s">
        <v>4698</v>
      </c>
      <c r="J1233" s="171" t="s">
        <v>618</v>
      </c>
      <c r="K1233" s="171" t="s">
        <v>2426</v>
      </c>
      <c r="N1233" s="170"/>
      <c r="O1233" s="156"/>
      <c r="P1233" s="157"/>
      <c r="Q1233" s="158"/>
      <c r="R1233" s="159"/>
      <c r="S1233" s="160"/>
      <c r="T1233" s="161"/>
      <c r="U1233" s="156"/>
      <c r="V1233" s="162"/>
      <c r="W1233" s="163"/>
      <c r="X1233" s="164"/>
      <c r="Y1233" s="159"/>
      <c r="Z1233" s="161"/>
      <c r="AA1233" s="165"/>
      <c r="AE1233" s="170"/>
      <c r="AF1233" s="171" t="s">
        <v>4748</v>
      </c>
      <c r="AI1233" s="171" t="s">
        <v>4698</v>
      </c>
      <c r="AL1233" s="171" t="s">
        <v>618</v>
      </c>
      <c r="AM1233" s="171" t="s">
        <v>2426</v>
      </c>
      <c r="AQ1233" s="156"/>
      <c r="AR1233" s="157"/>
      <c r="AS1233" s="158"/>
      <c r="AT1233" s="159"/>
      <c r="AU1233" s="161"/>
      <c r="AV1233" s="156"/>
      <c r="AW1233" s="162"/>
      <c r="AX1233" s="163"/>
      <c r="AY1233" s="164"/>
      <c r="AZ1233" s="159"/>
      <c r="BA1233" s="161"/>
      <c r="BB1233" s="165"/>
      <c r="BF1233" s="170"/>
      <c r="BG1233" s="171" t="s">
        <v>4749</v>
      </c>
    </row>
    <row r="1234" spans="1:59" s="154" customFormat="1" ht="15" customHeight="1">
      <c r="A1234" s="168" t="s">
        <v>4696</v>
      </c>
      <c r="B1234" s="154" t="s">
        <v>4750</v>
      </c>
      <c r="C1234" s="154" t="s">
        <v>4700</v>
      </c>
      <c r="D1234" s="170">
        <v>206</v>
      </c>
      <c r="E1234" s="154">
        <v>1</v>
      </c>
      <c r="F1234" s="154" t="s">
        <v>4698</v>
      </c>
      <c r="G1234" s="154" t="s">
        <v>4751</v>
      </c>
      <c r="H1234" s="154" t="s">
        <v>4929</v>
      </c>
      <c r="J1234" s="171" t="s">
        <v>31</v>
      </c>
      <c r="K1234" s="154" t="s">
        <v>2426</v>
      </c>
      <c r="N1234" s="155"/>
      <c r="O1234" s="156"/>
      <c r="P1234" s="157"/>
      <c r="Q1234" s="158"/>
      <c r="R1234" s="159"/>
      <c r="S1234" s="160"/>
      <c r="T1234" s="161"/>
      <c r="U1234" s="156"/>
      <c r="V1234" s="162"/>
      <c r="W1234" s="163"/>
      <c r="X1234" s="164">
        <v>2</v>
      </c>
      <c r="Y1234" s="159">
        <v>0</v>
      </c>
      <c r="Z1234" s="161"/>
      <c r="AA1234" s="165"/>
      <c r="AD1234" s="154" t="s">
        <v>819</v>
      </c>
      <c r="AE1234" s="155"/>
      <c r="AF1234" s="154" t="s">
        <v>4752</v>
      </c>
      <c r="AI1234" s="154" t="s">
        <v>4751</v>
      </c>
      <c r="AJ1234" s="154" t="s">
        <v>4949</v>
      </c>
      <c r="AL1234" s="171" t="s">
        <v>31</v>
      </c>
      <c r="AM1234" s="154" t="s">
        <v>2426</v>
      </c>
      <c r="AO1234" s="155"/>
      <c r="AP1234" s="155"/>
      <c r="AQ1234" s="156"/>
      <c r="AR1234" s="157"/>
      <c r="AS1234" s="158"/>
      <c r="AT1234" s="159"/>
      <c r="AU1234" s="161"/>
      <c r="AV1234" s="156"/>
      <c r="AW1234" s="162"/>
      <c r="AX1234" s="163"/>
      <c r="AY1234" s="164">
        <v>2</v>
      </c>
      <c r="AZ1234" s="159" t="s">
        <v>1073</v>
      </c>
      <c r="BA1234" s="161"/>
      <c r="BB1234" s="165"/>
      <c r="BE1234" s="155" t="s">
        <v>819</v>
      </c>
      <c r="BG1234" s="154" t="s">
        <v>4950</v>
      </c>
    </row>
    <row r="1235" spans="1:59" s="154" customFormat="1" ht="15" customHeight="1">
      <c r="A1235" s="168" t="s">
        <v>4696</v>
      </c>
      <c r="B1235" s="154" t="s">
        <v>4753</v>
      </c>
      <c r="C1235" s="154" t="s">
        <v>4700</v>
      </c>
      <c r="D1235" s="170">
        <v>207</v>
      </c>
      <c r="E1235" s="154">
        <v>1</v>
      </c>
      <c r="F1235" s="154" t="s">
        <v>4947</v>
      </c>
      <c r="G1235" s="154" t="s">
        <v>4754</v>
      </c>
      <c r="J1235" s="171" t="s">
        <v>619</v>
      </c>
      <c r="K1235" s="154" t="s">
        <v>2426</v>
      </c>
      <c r="N1235" s="155"/>
      <c r="O1235" s="156"/>
      <c r="P1235" s="157"/>
      <c r="Q1235" s="158"/>
      <c r="R1235" s="159"/>
      <c r="S1235" s="160"/>
      <c r="T1235" s="161"/>
      <c r="U1235" s="156"/>
      <c r="V1235" s="162"/>
      <c r="W1235" s="163"/>
      <c r="X1235" s="164"/>
      <c r="Y1235" s="159"/>
      <c r="Z1235" s="161">
        <v>5</v>
      </c>
      <c r="AA1235" s="165"/>
      <c r="AE1235" s="155"/>
      <c r="AF1235" s="154" t="s">
        <v>3936</v>
      </c>
      <c r="AI1235" s="154" t="s">
        <v>4754</v>
      </c>
      <c r="AL1235" s="171" t="s">
        <v>619</v>
      </c>
      <c r="AM1235" s="154" t="s">
        <v>2426</v>
      </c>
      <c r="AO1235" s="155"/>
      <c r="AP1235" s="155"/>
      <c r="AQ1235" s="156"/>
      <c r="AR1235" s="157"/>
      <c r="AS1235" s="158"/>
      <c r="AT1235" s="159"/>
      <c r="AU1235" s="161"/>
      <c r="AV1235" s="156"/>
      <c r="AW1235" s="162"/>
      <c r="AX1235" s="163"/>
      <c r="AY1235" s="164"/>
      <c r="AZ1235" s="159"/>
      <c r="BA1235" s="161"/>
      <c r="BB1235" s="165"/>
      <c r="BE1235" s="155"/>
      <c r="BG1235" s="154" t="s">
        <v>4930</v>
      </c>
    </row>
    <row r="1236" spans="1:59" s="154" customFormat="1" ht="15" customHeight="1">
      <c r="A1236" s="168" t="s">
        <v>4696</v>
      </c>
      <c r="B1236" s="154" t="s">
        <v>4755</v>
      </c>
      <c r="C1236" s="154" t="s">
        <v>4700</v>
      </c>
      <c r="D1236" s="170">
        <v>208</v>
      </c>
      <c r="E1236" s="154">
        <v>1</v>
      </c>
      <c r="F1236" s="154" t="s">
        <v>4947</v>
      </c>
      <c r="G1236" s="154" t="s">
        <v>4756</v>
      </c>
      <c r="J1236" s="171" t="s">
        <v>619</v>
      </c>
      <c r="K1236" s="154" t="s">
        <v>2426</v>
      </c>
      <c r="N1236" s="155"/>
      <c r="O1236" s="156"/>
      <c r="P1236" s="157"/>
      <c r="Q1236" s="158"/>
      <c r="R1236" s="159"/>
      <c r="S1236" s="160"/>
      <c r="T1236" s="161"/>
      <c r="U1236" s="156"/>
      <c r="V1236" s="162"/>
      <c r="W1236" s="163"/>
      <c r="X1236" s="164"/>
      <c r="Y1236" s="159"/>
      <c r="Z1236" s="161">
        <v>5</v>
      </c>
      <c r="AA1236" s="165"/>
      <c r="AE1236" s="155"/>
      <c r="AF1236" s="154" t="s">
        <v>3936</v>
      </c>
      <c r="AI1236" s="154" t="s">
        <v>4756</v>
      </c>
      <c r="AL1236" s="171" t="s">
        <v>619</v>
      </c>
      <c r="AM1236" s="154" t="s">
        <v>2426</v>
      </c>
      <c r="AO1236" s="155"/>
      <c r="AP1236" s="155"/>
      <c r="AQ1236" s="156"/>
      <c r="AR1236" s="157"/>
      <c r="AS1236" s="158"/>
      <c r="AT1236" s="159"/>
      <c r="AU1236" s="161"/>
      <c r="AV1236" s="156"/>
      <c r="AW1236" s="162"/>
      <c r="AX1236" s="163"/>
      <c r="AY1236" s="164"/>
      <c r="AZ1236" s="159"/>
      <c r="BA1236" s="161"/>
      <c r="BB1236" s="165"/>
      <c r="BE1236" s="155"/>
      <c r="BG1236" s="154" t="s">
        <v>4931</v>
      </c>
    </row>
    <row r="1237" spans="1:59" s="154" customFormat="1" ht="15" customHeight="1">
      <c r="A1237" s="168" t="s">
        <v>4696</v>
      </c>
      <c r="B1237" s="154" t="s">
        <v>4757</v>
      </c>
      <c r="C1237" s="154" t="s">
        <v>4700</v>
      </c>
      <c r="D1237" s="170">
        <v>209</v>
      </c>
      <c r="E1237" s="154">
        <v>1</v>
      </c>
      <c r="F1237" s="154" t="s">
        <v>4947</v>
      </c>
      <c r="G1237" s="154" t="s">
        <v>4758</v>
      </c>
      <c r="J1237" s="154" t="s">
        <v>621</v>
      </c>
      <c r="K1237" s="154" t="s">
        <v>2426</v>
      </c>
      <c r="O1237" s="156"/>
      <c r="P1237" s="157"/>
      <c r="Q1237" s="158"/>
      <c r="R1237" s="159"/>
      <c r="S1237" s="160"/>
      <c r="T1237" s="161"/>
      <c r="U1237" s="156"/>
      <c r="V1237" s="162"/>
      <c r="W1237" s="163"/>
      <c r="X1237" s="164"/>
      <c r="Y1237" s="159" t="s">
        <v>1111</v>
      </c>
      <c r="Z1237" s="161"/>
      <c r="AA1237" s="165"/>
      <c r="AI1237" s="154" t="s">
        <v>4758</v>
      </c>
      <c r="AL1237" s="154" t="s">
        <v>621</v>
      </c>
      <c r="AM1237" s="154" t="s">
        <v>2426</v>
      </c>
      <c r="AO1237" s="155"/>
      <c r="AQ1237" s="156"/>
      <c r="AR1237" s="157"/>
      <c r="AS1237" s="158"/>
      <c r="AT1237" s="159"/>
      <c r="AU1237" s="161"/>
      <c r="AV1237" s="156"/>
      <c r="AW1237" s="162"/>
      <c r="AX1237" s="163"/>
      <c r="AY1237" s="164"/>
      <c r="AZ1237" s="159"/>
      <c r="BA1237" s="161"/>
      <c r="BB1237" s="165"/>
      <c r="BE1237" s="155"/>
      <c r="BG1237" s="154" t="s">
        <v>4759</v>
      </c>
    </row>
    <row r="1238" spans="1:59" s="154" customFormat="1" ht="15" customHeight="1">
      <c r="A1238" s="168" t="s">
        <v>4696</v>
      </c>
      <c r="B1238" s="154" t="s">
        <v>4760</v>
      </c>
      <c r="C1238" s="154" t="s">
        <v>4700</v>
      </c>
      <c r="D1238" s="170">
        <v>210</v>
      </c>
      <c r="E1238" s="154">
        <v>1</v>
      </c>
      <c r="F1238" s="154" t="s">
        <v>4947</v>
      </c>
      <c r="G1238" s="154" t="s">
        <v>4761</v>
      </c>
      <c r="J1238" s="154" t="s">
        <v>621</v>
      </c>
      <c r="K1238" s="154" t="s">
        <v>2426</v>
      </c>
      <c r="O1238" s="156"/>
      <c r="P1238" s="157"/>
      <c r="Q1238" s="158"/>
      <c r="R1238" s="159"/>
      <c r="S1238" s="160"/>
      <c r="T1238" s="161"/>
      <c r="U1238" s="156"/>
      <c r="V1238" s="162"/>
      <c r="W1238" s="163"/>
      <c r="X1238" s="164"/>
      <c r="Y1238" s="159">
        <v>0</v>
      </c>
      <c r="Z1238" s="161"/>
      <c r="AA1238" s="165"/>
      <c r="AF1238" s="154" t="s">
        <v>4762</v>
      </c>
      <c r="AI1238" s="154" t="s">
        <v>4761</v>
      </c>
      <c r="AL1238" s="154" t="s">
        <v>621</v>
      </c>
      <c r="AM1238" s="154" t="s">
        <v>2426</v>
      </c>
      <c r="AO1238" s="155"/>
      <c r="AQ1238" s="156"/>
      <c r="AR1238" s="157"/>
      <c r="AS1238" s="158"/>
      <c r="AT1238" s="159"/>
      <c r="AU1238" s="161"/>
      <c r="AV1238" s="156"/>
      <c r="AW1238" s="162"/>
      <c r="AX1238" s="163"/>
      <c r="AY1238" s="164"/>
      <c r="AZ1238" s="159"/>
      <c r="BA1238" s="161"/>
      <c r="BB1238" s="165"/>
      <c r="BE1238" s="155"/>
      <c r="BG1238" s="154" t="s">
        <v>4932</v>
      </c>
    </row>
    <row r="1239" spans="1:59" s="154" customFormat="1" ht="15" customHeight="1">
      <c r="A1239" s="168" t="s">
        <v>4696</v>
      </c>
      <c r="B1239" s="153" t="s">
        <v>4763</v>
      </c>
      <c r="C1239" s="154" t="s">
        <v>4700</v>
      </c>
      <c r="D1239" s="170">
        <v>211</v>
      </c>
      <c r="E1239" s="154">
        <v>1</v>
      </c>
      <c r="F1239" s="154" t="s">
        <v>4948</v>
      </c>
      <c r="G1239" s="154" t="s">
        <v>4764</v>
      </c>
      <c r="J1239" s="154" t="s">
        <v>619</v>
      </c>
      <c r="K1239" s="154" t="s">
        <v>2426</v>
      </c>
      <c r="O1239" s="156"/>
      <c r="P1239" s="157"/>
      <c r="Q1239" s="158"/>
      <c r="R1239" s="159"/>
      <c r="S1239" s="160"/>
      <c r="T1239" s="161"/>
      <c r="U1239" s="156"/>
      <c r="V1239" s="162"/>
      <c r="W1239" s="163"/>
      <c r="X1239" s="164"/>
      <c r="Y1239" s="159"/>
      <c r="Z1239" s="161">
        <v>7</v>
      </c>
      <c r="AA1239" s="165"/>
      <c r="AF1239" s="154" t="s">
        <v>4765</v>
      </c>
      <c r="AI1239" s="154" t="s">
        <v>4764</v>
      </c>
      <c r="AL1239" s="154" t="s">
        <v>619</v>
      </c>
      <c r="AM1239" s="154" t="s">
        <v>2426</v>
      </c>
      <c r="AO1239" s="155"/>
      <c r="AQ1239" s="156"/>
      <c r="AR1239" s="157"/>
      <c r="AS1239" s="158"/>
      <c r="AT1239" s="159"/>
      <c r="AU1239" s="161"/>
      <c r="AV1239" s="156"/>
      <c r="AW1239" s="162"/>
      <c r="AX1239" s="163"/>
      <c r="AY1239" s="164"/>
      <c r="AZ1239" s="159"/>
      <c r="BA1239" s="161"/>
      <c r="BB1239" s="165"/>
      <c r="BE1239" s="155"/>
      <c r="BG1239" s="154" t="s">
        <v>4933</v>
      </c>
    </row>
    <row r="1240" spans="1:59" s="154" customFormat="1" ht="15" customHeight="1">
      <c r="A1240" s="168" t="s">
        <v>4696</v>
      </c>
      <c r="B1240" s="153" t="s">
        <v>4766</v>
      </c>
      <c r="C1240" s="154" t="s">
        <v>4700</v>
      </c>
      <c r="D1240" s="170">
        <v>212</v>
      </c>
      <c r="E1240" s="154">
        <v>1</v>
      </c>
      <c r="F1240" s="154" t="s">
        <v>4948</v>
      </c>
      <c r="G1240" s="154" t="s">
        <v>4767</v>
      </c>
      <c r="J1240" s="154" t="s">
        <v>619</v>
      </c>
      <c r="K1240" s="154" t="s">
        <v>2426</v>
      </c>
      <c r="O1240" s="156"/>
      <c r="P1240" s="157"/>
      <c r="Q1240" s="158"/>
      <c r="R1240" s="159"/>
      <c r="S1240" s="160"/>
      <c r="T1240" s="161"/>
      <c r="U1240" s="156"/>
      <c r="V1240" s="162"/>
      <c r="W1240" s="163"/>
      <c r="X1240" s="164"/>
      <c r="Y1240" s="159"/>
      <c r="Z1240" s="161">
        <v>12</v>
      </c>
      <c r="AA1240" s="165"/>
      <c r="AF1240" s="154" t="s">
        <v>4934</v>
      </c>
      <c r="AI1240" s="154" t="s">
        <v>4767</v>
      </c>
      <c r="AL1240" s="154" t="s">
        <v>619</v>
      </c>
      <c r="AM1240" s="154" t="s">
        <v>2426</v>
      </c>
      <c r="AO1240" s="155"/>
      <c r="AQ1240" s="156"/>
      <c r="AR1240" s="157"/>
      <c r="AS1240" s="158"/>
      <c r="AT1240" s="159"/>
      <c r="AU1240" s="161"/>
      <c r="AV1240" s="156"/>
      <c r="AW1240" s="162"/>
      <c r="AX1240" s="163"/>
      <c r="AY1240" s="164"/>
      <c r="AZ1240" s="159"/>
      <c r="BA1240" s="161"/>
      <c r="BB1240" s="165"/>
      <c r="BE1240" s="155"/>
      <c r="BG1240" s="154" t="s">
        <v>4935</v>
      </c>
    </row>
    <row r="1241" spans="1:59" s="154" customFormat="1" ht="15" customHeight="1">
      <c r="A1241" s="168" t="s">
        <v>4696</v>
      </c>
      <c r="B1241" s="153" t="s">
        <v>4768</v>
      </c>
      <c r="C1241" s="154" t="s">
        <v>4700</v>
      </c>
      <c r="D1241" s="170">
        <v>213</v>
      </c>
      <c r="E1241" s="154">
        <v>1</v>
      </c>
      <c r="F1241" s="154" t="s">
        <v>4948</v>
      </c>
      <c r="G1241" s="154" t="s">
        <v>4769</v>
      </c>
      <c r="J1241" s="154" t="s">
        <v>621</v>
      </c>
      <c r="K1241" s="154" t="s">
        <v>2426</v>
      </c>
      <c r="N1241" s="172"/>
      <c r="O1241" s="156"/>
      <c r="P1241" s="157"/>
      <c r="Q1241" s="158"/>
      <c r="R1241" s="159"/>
      <c r="S1241" s="160"/>
      <c r="T1241" s="161"/>
      <c r="U1241" s="156"/>
      <c r="V1241" s="162"/>
      <c r="W1241" s="163"/>
      <c r="X1241" s="164"/>
      <c r="Y1241" s="159" t="s">
        <v>1112</v>
      </c>
      <c r="Z1241" s="161"/>
      <c r="AA1241" s="165"/>
      <c r="AI1241" s="154" t="s">
        <v>4769</v>
      </c>
      <c r="AL1241" s="154" t="s">
        <v>621</v>
      </c>
      <c r="AM1241" s="154" t="s">
        <v>2426</v>
      </c>
      <c r="AO1241" s="155"/>
      <c r="AQ1241" s="156"/>
      <c r="AR1241" s="157"/>
      <c r="AS1241" s="158"/>
      <c r="AT1241" s="159"/>
      <c r="AU1241" s="161"/>
      <c r="AV1241" s="156"/>
      <c r="AW1241" s="162"/>
      <c r="AX1241" s="163"/>
      <c r="AY1241" s="164"/>
      <c r="AZ1241" s="159"/>
      <c r="BA1241" s="161"/>
      <c r="BB1241" s="165"/>
      <c r="BE1241" s="155"/>
      <c r="BG1241" s="154" t="s">
        <v>4936</v>
      </c>
    </row>
    <row r="1242" spans="1:59" s="154" customFormat="1" ht="15" customHeight="1">
      <c r="A1242" s="168" t="s">
        <v>4696</v>
      </c>
      <c r="B1242" s="153" t="s">
        <v>4770</v>
      </c>
      <c r="C1242" s="154" t="s">
        <v>4700</v>
      </c>
      <c r="D1242" s="170">
        <v>214</v>
      </c>
      <c r="E1242" s="154">
        <v>1</v>
      </c>
      <c r="F1242" s="154" t="s">
        <v>4948</v>
      </c>
      <c r="G1242" s="154" t="s">
        <v>4771</v>
      </c>
      <c r="J1242" s="154" t="s">
        <v>621</v>
      </c>
      <c r="K1242" s="154" t="s">
        <v>2426</v>
      </c>
      <c r="O1242" s="156"/>
      <c r="P1242" s="157"/>
      <c r="Q1242" s="158"/>
      <c r="R1242" s="159"/>
      <c r="S1242" s="160"/>
      <c r="T1242" s="161"/>
      <c r="U1242" s="156"/>
      <c r="V1242" s="162"/>
      <c r="W1242" s="163"/>
      <c r="X1242" s="164"/>
      <c r="Y1242" s="159">
        <v>0</v>
      </c>
      <c r="Z1242" s="161"/>
      <c r="AA1242" s="165"/>
      <c r="AF1242" s="154" t="s">
        <v>4772</v>
      </c>
      <c r="AI1242" s="154" t="s">
        <v>4771</v>
      </c>
      <c r="AL1242" s="154" t="s">
        <v>621</v>
      </c>
      <c r="AM1242" s="154" t="s">
        <v>2426</v>
      </c>
      <c r="AO1242" s="155"/>
      <c r="AQ1242" s="156"/>
      <c r="AR1242" s="157"/>
      <c r="AS1242" s="158"/>
      <c r="AT1242" s="159"/>
      <c r="AU1242" s="161"/>
      <c r="AV1242" s="156"/>
      <c r="AW1242" s="162"/>
      <c r="AX1242" s="163"/>
      <c r="AY1242" s="164"/>
      <c r="AZ1242" s="159"/>
      <c r="BA1242" s="161"/>
      <c r="BB1242" s="165"/>
      <c r="BE1242" s="155"/>
      <c r="BG1242" s="154" t="s">
        <v>4937</v>
      </c>
    </row>
    <row r="1243" spans="1:59" s="154" customFormat="1" ht="15" customHeight="1">
      <c r="A1243" s="168" t="s">
        <v>4696</v>
      </c>
      <c r="B1243" s="153" t="s">
        <v>4773</v>
      </c>
      <c r="C1243" s="154" t="s">
        <v>4700</v>
      </c>
      <c r="D1243" s="170">
        <v>215</v>
      </c>
      <c r="E1243" s="154">
        <v>3</v>
      </c>
      <c r="F1243" s="154" t="s">
        <v>4698</v>
      </c>
      <c r="G1243" s="154" t="s">
        <v>4774</v>
      </c>
      <c r="J1243" s="154" t="s">
        <v>28</v>
      </c>
      <c r="K1243" s="154" t="s">
        <v>2426</v>
      </c>
      <c r="O1243" s="156"/>
      <c r="P1243" s="157"/>
      <c r="Q1243" s="158"/>
      <c r="R1243" s="159"/>
      <c r="S1243" s="160"/>
      <c r="T1243" s="161"/>
      <c r="U1243" s="156"/>
      <c r="V1243" s="162"/>
      <c r="W1243" s="163"/>
      <c r="X1243" s="164"/>
      <c r="Y1243" s="159"/>
      <c r="Z1243" s="161"/>
      <c r="AA1243" s="165"/>
      <c r="AD1243" s="154" t="s">
        <v>1025</v>
      </c>
      <c r="AF1243" s="154" t="s">
        <v>4775</v>
      </c>
      <c r="AO1243" s="155"/>
      <c r="AQ1243" s="156"/>
      <c r="AR1243" s="157"/>
      <c r="AS1243" s="158"/>
      <c r="AT1243" s="159"/>
      <c r="AU1243" s="161"/>
      <c r="AV1243" s="156"/>
      <c r="AW1243" s="162"/>
      <c r="AX1243" s="163"/>
      <c r="AY1243" s="164"/>
      <c r="AZ1243" s="159"/>
      <c r="BA1243" s="161"/>
      <c r="BB1243" s="165"/>
      <c r="BE1243" s="155"/>
    </row>
    <row r="1244" spans="1:59" s="154" customFormat="1" ht="15" customHeight="1">
      <c r="A1244" s="168" t="s">
        <v>4696</v>
      </c>
      <c r="B1244" s="153" t="s">
        <v>4776</v>
      </c>
      <c r="C1244" s="154" t="s">
        <v>4700</v>
      </c>
      <c r="D1244" s="170">
        <v>216</v>
      </c>
      <c r="E1244" s="154">
        <v>3</v>
      </c>
      <c r="F1244" s="154" t="s">
        <v>4698</v>
      </c>
      <c r="G1244" s="154" t="s">
        <v>4777</v>
      </c>
      <c r="J1244" s="154" t="s">
        <v>28</v>
      </c>
      <c r="K1244" s="154" t="s">
        <v>2426</v>
      </c>
      <c r="O1244" s="156"/>
      <c r="P1244" s="157"/>
      <c r="Q1244" s="158"/>
      <c r="R1244" s="159"/>
      <c r="S1244" s="160"/>
      <c r="T1244" s="161"/>
      <c r="U1244" s="156"/>
      <c r="V1244" s="162"/>
      <c r="W1244" s="163"/>
      <c r="X1244" s="164"/>
      <c r="Y1244" s="159"/>
      <c r="Z1244" s="161"/>
      <c r="AA1244" s="165"/>
      <c r="AD1244" s="154" t="s">
        <v>479</v>
      </c>
      <c r="AF1244" s="154" t="s">
        <v>4778</v>
      </c>
      <c r="AO1244" s="155"/>
      <c r="AQ1244" s="156"/>
      <c r="AR1244" s="157"/>
      <c r="AS1244" s="158"/>
      <c r="AT1244" s="159"/>
      <c r="AU1244" s="161"/>
      <c r="AV1244" s="156"/>
      <c r="AW1244" s="162"/>
      <c r="AX1244" s="163"/>
      <c r="AY1244" s="164"/>
      <c r="AZ1244" s="159"/>
      <c r="BA1244" s="161"/>
      <c r="BB1244" s="165"/>
      <c r="BE1244" s="155"/>
    </row>
    <row r="1245" spans="1:59" s="154" customFormat="1" ht="15" customHeight="1">
      <c r="A1245" s="168" t="s">
        <v>4696</v>
      </c>
      <c r="B1245" s="153" t="s">
        <v>4779</v>
      </c>
      <c r="C1245" s="154" t="s">
        <v>4700</v>
      </c>
      <c r="D1245" s="170">
        <v>217</v>
      </c>
      <c r="E1245" s="154">
        <v>1</v>
      </c>
      <c r="F1245" s="154" t="s">
        <v>4947</v>
      </c>
      <c r="G1245" s="154" t="s">
        <v>4780</v>
      </c>
      <c r="J1245" s="154" t="s">
        <v>31</v>
      </c>
      <c r="K1245" s="154" t="s">
        <v>2426</v>
      </c>
      <c r="O1245" s="156"/>
      <c r="P1245" s="157"/>
      <c r="Q1245" s="158"/>
      <c r="R1245" s="159"/>
      <c r="S1245" s="160"/>
      <c r="T1245" s="161"/>
      <c r="U1245" s="156"/>
      <c r="V1245" s="162"/>
      <c r="W1245" s="163"/>
      <c r="X1245" s="164">
        <v>4</v>
      </c>
      <c r="Y1245" s="159" t="s">
        <v>1111</v>
      </c>
      <c r="Z1245" s="161"/>
      <c r="AA1245" s="165">
        <v>1</v>
      </c>
      <c r="AD1245" s="155" t="s">
        <v>3998</v>
      </c>
      <c r="AF1245" s="154" t="s">
        <v>4781</v>
      </c>
      <c r="AO1245" s="155"/>
      <c r="AQ1245" s="156"/>
      <c r="AR1245" s="157"/>
      <c r="AS1245" s="158"/>
      <c r="AT1245" s="159"/>
      <c r="AU1245" s="161"/>
      <c r="AV1245" s="156"/>
      <c r="AW1245" s="162"/>
      <c r="AX1245" s="163"/>
      <c r="AY1245" s="164"/>
      <c r="AZ1245" s="159"/>
      <c r="BA1245" s="161"/>
      <c r="BB1245" s="165"/>
      <c r="BE1245" s="155"/>
    </row>
    <row r="1246" spans="1:59" s="154" customFormat="1" ht="15" customHeight="1">
      <c r="A1246" s="168" t="s">
        <v>4696</v>
      </c>
      <c r="B1246" s="153" t="s">
        <v>4782</v>
      </c>
      <c r="C1246" s="154" t="s">
        <v>4700</v>
      </c>
      <c r="D1246" s="170">
        <v>218</v>
      </c>
      <c r="E1246" s="154">
        <v>1</v>
      </c>
      <c r="F1246" s="154" t="s">
        <v>4947</v>
      </c>
      <c r="G1246" s="154" t="s">
        <v>4783</v>
      </c>
      <c r="J1246" s="154" t="s">
        <v>31</v>
      </c>
      <c r="K1246" s="154" t="s">
        <v>2426</v>
      </c>
      <c r="O1246" s="156"/>
      <c r="P1246" s="157"/>
      <c r="Q1246" s="158"/>
      <c r="R1246" s="159"/>
      <c r="S1246" s="160"/>
      <c r="T1246" s="161"/>
      <c r="U1246" s="156"/>
      <c r="V1246" s="162"/>
      <c r="W1246" s="163"/>
      <c r="X1246" s="164">
        <v>3</v>
      </c>
      <c r="Y1246" s="159" t="s">
        <v>1073</v>
      </c>
      <c r="Z1246" s="161"/>
      <c r="AA1246" s="165">
        <v>1</v>
      </c>
      <c r="AD1246" s="155" t="s">
        <v>3960</v>
      </c>
      <c r="AF1246" s="154" t="s">
        <v>4784</v>
      </c>
      <c r="AO1246" s="155"/>
      <c r="AQ1246" s="156"/>
      <c r="AR1246" s="157"/>
      <c r="AS1246" s="158"/>
      <c r="AT1246" s="159"/>
      <c r="AU1246" s="161"/>
      <c r="AV1246" s="156"/>
      <c r="AW1246" s="162"/>
      <c r="AX1246" s="163"/>
      <c r="AY1246" s="164"/>
      <c r="AZ1246" s="159"/>
      <c r="BA1246" s="161"/>
      <c r="BB1246" s="165"/>
    </row>
    <row r="1247" spans="1:59" s="154" customFormat="1" ht="15" customHeight="1">
      <c r="A1247" s="168" t="s">
        <v>4696</v>
      </c>
      <c r="B1247" s="153" t="s">
        <v>4785</v>
      </c>
      <c r="C1247" s="154" t="s">
        <v>4700</v>
      </c>
      <c r="D1247" s="170">
        <v>219</v>
      </c>
      <c r="E1247" s="154">
        <v>2</v>
      </c>
      <c r="F1247" s="154" t="s">
        <v>4947</v>
      </c>
      <c r="G1247" s="154" t="s">
        <v>4786</v>
      </c>
      <c r="J1247" s="154" t="s">
        <v>29</v>
      </c>
      <c r="K1247" s="154" t="s">
        <v>2426</v>
      </c>
      <c r="O1247" s="156"/>
      <c r="P1247" s="157"/>
      <c r="Q1247" s="158">
        <v>3</v>
      </c>
      <c r="R1247" s="159">
        <v>3</v>
      </c>
      <c r="S1247" s="160"/>
      <c r="T1247" s="161">
        <v>6</v>
      </c>
      <c r="U1247" s="156"/>
      <c r="V1247" s="162">
        <v>1</v>
      </c>
      <c r="W1247" s="163">
        <v>1</v>
      </c>
      <c r="X1247" s="164"/>
      <c r="Y1247" s="159"/>
      <c r="Z1247" s="161"/>
      <c r="AA1247" s="165">
        <v>1</v>
      </c>
      <c r="AD1247" s="154" t="s">
        <v>4787</v>
      </c>
      <c r="AF1247" s="154" t="s">
        <v>4788</v>
      </c>
      <c r="AO1247" s="155"/>
      <c r="AQ1247" s="156"/>
      <c r="AR1247" s="157"/>
      <c r="AS1247" s="158"/>
      <c r="AT1247" s="159"/>
      <c r="AU1247" s="161"/>
      <c r="AV1247" s="156"/>
      <c r="AW1247" s="162"/>
      <c r="AX1247" s="163"/>
      <c r="AY1247" s="164"/>
      <c r="AZ1247" s="159"/>
      <c r="BA1247" s="161"/>
      <c r="BB1247" s="165"/>
    </row>
    <row r="1248" spans="1:59" s="154" customFormat="1" ht="15" customHeight="1">
      <c r="A1248" s="168" t="s">
        <v>4696</v>
      </c>
      <c r="B1248" s="153" t="s">
        <v>4789</v>
      </c>
      <c r="C1248" s="154" t="s">
        <v>4700</v>
      </c>
      <c r="D1248" s="170">
        <v>220</v>
      </c>
      <c r="E1248" s="154">
        <v>2</v>
      </c>
      <c r="F1248" s="154" t="s">
        <v>4947</v>
      </c>
      <c r="G1248" s="154" t="s">
        <v>4790</v>
      </c>
      <c r="J1248" s="154" t="s">
        <v>29</v>
      </c>
      <c r="K1248" s="171" t="s">
        <v>2426</v>
      </c>
      <c r="O1248" s="156"/>
      <c r="P1248" s="157"/>
      <c r="Q1248" s="158">
        <v>4</v>
      </c>
      <c r="R1248" s="159">
        <v>4</v>
      </c>
      <c r="S1248" s="160"/>
      <c r="T1248" s="161">
        <v>4</v>
      </c>
      <c r="U1248" s="156"/>
      <c r="V1248" s="162">
        <v>2</v>
      </c>
      <c r="W1248" s="163"/>
      <c r="X1248" s="164"/>
      <c r="Y1248" s="159"/>
      <c r="Z1248" s="161"/>
      <c r="AA1248" s="165"/>
      <c r="AD1248" s="154" t="s">
        <v>4791</v>
      </c>
      <c r="AF1248" s="154" t="s">
        <v>4792</v>
      </c>
      <c r="AM1248" s="171"/>
      <c r="AO1248" s="155"/>
      <c r="AQ1248" s="156"/>
      <c r="AR1248" s="157"/>
      <c r="AS1248" s="158"/>
      <c r="AT1248" s="159"/>
      <c r="AU1248" s="161"/>
      <c r="AV1248" s="156"/>
      <c r="AW1248" s="162"/>
      <c r="AX1248" s="163"/>
      <c r="AY1248" s="164"/>
      <c r="AZ1248" s="159"/>
      <c r="BA1248" s="161"/>
      <c r="BB1248" s="165"/>
    </row>
    <row r="1249" spans="1:58" s="154" customFormat="1" ht="15" customHeight="1">
      <c r="A1249" s="168" t="s">
        <v>4696</v>
      </c>
      <c r="B1249" s="153" t="s">
        <v>4793</v>
      </c>
      <c r="C1249" s="154" t="s">
        <v>4700</v>
      </c>
      <c r="D1249" s="170">
        <v>221</v>
      </c>
      <c r="E1249" s="154">
        <v>3</v>
      </c>
      <c r="F1249" s="154" t="s">
        <v>4947</v>
      </c>
      <c r="G1249" s="154" t="s">
        <v>4794</v>
      </c>
      <c r="J1249" s="154" t="s">
        <v>28</v>
      </c>
      <c r="K1249" s="171" t="s">
        <v>2426</v>
      </c>
      <c r="O1249" s="156"/>
      <c r="P1249" s="157"/>
      <c r="Q1249" s="158"/>
      <c r="R1249" s="159"/>
      <c r="S1249" s="160"/>
      <c r="T1249" s="161"/>
      <c r="U1249" s="156"/>
      <c r="V1249" s="162"/>
      <c r="W1249" s="163"/>
      <c r="X1249" s="164"/>
      <c r="Y1249" s="159"/>
      <c r="Z1249" s="161"/>
      <c r="AA1249" s="165"/>
      <c r="AD1249" s="154" t="s">
        <v>479</v>
      </c>
      <c r="AF1249" s="154" t="s">
        <v>4795</v>
      </c>
      <c r="AO1249" s="155"/>
      <c r="AQ1249" s="156"/>
      <c r="AR1249" s="157"/>
      <c r="AS1249" s="158"/>
      <c r="AT1249" s="159"/>
      <c r="AU1249" s="161"/>
      <c r="AV1249" s="156"/>
      <c r="AW1249" s="162"/>
      <c r="AX1249" s="163"/>
      <c r="AY1249" s="164"/>
      <c r="AZ1249" s="159"/>
      <c r="BA1249" s="161"/>
      <c r="BB1249" s="165"/>
      <c r="BE1249" s="155"/>
    </row>
    <row r="1250" spans="1:58" s="154" customFormat="1" ht="15" customHeight="1">
      <c r="A1250" s="168" t="s">
        <v>4696</v>
      </c>
      <c r="B1250" s="153" t="s">
        <v>4796</v>
      </c>
      <c r="C1250" s="154" t="s">
        <v>4700</v>
      </c>
      <c r="D1250" s="170">
        <v>222</v>
      </c>
      <c r="E1250" s="154">
        <v>1</v>
      </c>
      <c r="F1250" s="154" t="s">
        <v>4948</v>
      </c>
      <c r="G1250" s="154" t="s">
        <v>4797</v>
      </c>
      <c r="J1250" s="154" t="s">
        <v>31</v>
      </c>
      <c r="K1250" s="171" t="s">
        <v>2426</v>
      </c>
      <c r="O1250" s="156"/>
      <c r="P1250" s="157"/>
      <c r="Q1250" s="158"/>
      <c r="R1250" s="159"/>
      <c r="S1250" s="160"/>
      <c r="T1250" s="161"/>
      <c r="U1250" s="156"/>
      <c r="V1250" s="162"/>
      <c r="W1250" s="163"/>
      <c r="X1250" s="164">
        <v>2</v>
      </c>
      <c r="Y1250" s="159" t="s">
        <v>1073</v>
      </c>
      <c r="Z1250" s="161"/>
      <c r="AA1250" s="165"/>
      <c r="AD1250" s="155" t="s">
        <v>4798</v>
      </c>
      <c r="AF1250" s="154" t="s">
        <v>4799</v>
      </c>
      <c r="AO1250" s="155"/>
      <c r="AQ1250" s="156"/>
      <c r="AR1250" s="157"/>
      <c r="AS1250" s="158"/>
      <c r="AT1250" s="159"/>
      <c r="AU1250" s="161"/>
      <c r="AV1250" s="156"/>
      <c r="AW1250" s="162"/>
      <c r="AX1250" s="163"/>
      <c r="AY1250" s="164"/>
      <c r="AZ1250" s="159"/>
      <c r="BA1250" s="161"/>
      <c r="BB1250" s="165"/>
    </row>
    <row r="1251" spans="1:58" s="154" customFormat="1" ht="15" customHeight="1">
      <c r="A1251" s="168" t="s">
        <v>4696</v>
      </c>
      <c r="B1251" s="153" t="s">
        <v>4800</v>
      </c>
      <c r="C1251" s="154" t="s">
        <v>4700</v>
      </c>
      <c r="D1251" s="170">
        <v>223</v>
      </c>
      <c r="E1251" s="154">
        <v>1</v>
      </c>
      <c r="F1251" s="154" t="s">
        <v>4948</v>
      </c>
      <c r="G1251" s="154" t="s">
        <v>4801</v>
      </c>
      <c r="J1251" s="154" t="s">
        <v>31</v>
      </c>
      <c r="K1251" s="154" t="s">
        <v>2426</v>
      </c>
      <c r="O1251" s="156"/>
      <c r="P1251" s="157"/>
      <c r="Q1251" s="158"/>
      <c r="R1251" s="159"/>
      <c r="S1251" s="160"/>
      <c r="T1251" s="161"/>
      <c r="U1251" s="156"/>
      <c r="V1251" s="162"/>
      <c r="W1251" s="163"/>
      <c r="X1251" s="164">
        <v>3</v>
      </c>
      <c r="Y1251" s="159" t="s">
        <v>1111</v>
      </c>
      <c r="Z1251" s="161"/>
      <c r="AA1251" s="165">
        <v>1</v>
      </c>
      <c r="AD1251" s="155" t="s">
        <v>4798</v>
      </c>
      <c r="AF1251" s="154" t="s">
        <v>4802</v>
      </c>
      <c r="AO1251" s="155"/>
      <c r="AQ1251" s="156"/>
      <c r="AR1251" s="157"/>
      <c r="AS1251" s="158"/>
      <c r="AT1251" s="159"/>
      <c r="AU1251" s="161"/>
      <c r="AV1251" s="156"/>
      <c r="AW1251" s="162"/>
      <c r="AX1251" s="163"/>
      <c r="AY1251" s="164"/>
      <c r="AZ1251" s="159"/>
      <c r="BA1251" s="161"/>
      <c r="BB1251" s="165"/>
    </row>
    <row r="1252" spans="1:58" s="154" customFormat="1" ht="15" customHeight="1">
      <c r="A1252" s="168" t="s">
        <v>4696</v>
      </c>
      <c r="B1252" s="153" t="s">
        <v>4803</v>
      </c>
      <c r="C1252" s="154" t="s">
        <v>4700</v>
      </c>
      <c r="D1252" s="170">
        <v>224</v>
      </c>
      <c r="E1252" s="154">
        <v>1</v>
      </c>
      <c r="F1252" s="154" t="s">
        <v>4948</v>
      </c>
      <c r="G1252" s="154" t="s">
        <v>4804</v>
      </c>
      <c r="J1252" s="154" t="s">
        <v>31</v>
      </c>
      <c r="K1252" s="154" t="s">
        <v>2426</v>
      </c>
      <c r="O1252" s="156"/>
      <c r="P1252" s="157"/>
      <c r="Q1252" s="158"/>
      <c r="R1252" s="159"/>
      <c r="S1252" s="160"/>
      <c r="T1252" s="161"/>
      <c r="U1252" s="156"/>
      <c r="V1252" s="162"/>
      <c r="W1252" s="163"/>
      <c r="X1252" s="164">
        <v>3</v>
      </c>
      <c r="Y1252" s="159" t="s">
        <v>1073</v>
      </c>
      <c r="Z1252" s="161"/>
      <c r="AA1252" s="165">
        <v>1</v>
      </c>
      <c r="AD1252" s="154" t="s">
        <v>4798</v>
      </c>
      <c r="AE1252" s="155"/>
      <c r="AF1252" s="154" t="s">
        <v>4805</v>
      </c>
      <c r="AP1252" s="155"/>
      <c r="AQ1252" s="156"/>
      <c r="AR1252" s="157"/>
      <c r="AS1252" s="158"/>
      <c r="AT1252" s="159"/>
      <c r="AU1252" s="161"/>
      <c r="AV1252" s="156"/>
      <c r="AW1252" s="162"/>
      <c r="AX1252" s="163"/>
      <c r="AY1252" s="164"/>
      <c r="AZ1252" s="159"/>
      <c r="BA1252" s="161"/>
      <c r="BB1252" s="165"/>
    </row>
    <row r="1253" spans="1:58" s="154" customFormat="1" ht="15" customHeight="1">
      <c r="A1253" s="168" t="s">
        <v>4696</v>
      </c>
      <c r="B1253" s="153" t="s">
        <v>4806</v>
      </c>
      <c r="C1253" s="154" t="s">
        <v>4700</v>
      </c>
      <c r="D1253" s="170">
        <v>225</v>
      </c>
      <c r="E1253" s="154">
        <v>1</v>
      </c>
      <c r="F1253" s="154" t="s">
        <v>4948</v>
      </c>
      <c r="G1253" s="154" t="s">
        <v>4807</v>
      </c>
      <c r="J1253" s="154" t="s">
        <v>31</v>
      </c>
      <c r="K1253" s="154" t="s">
        <v>2426</v>
      </c>
      <c r="N1253" s="155"/>
      <c r="O1253" s="156"/>
      <c r="P1253" s="157"/>
      <c r="Q1253" s="158"/>
      <c r="R1253" s="159"/>
      <c r="S1253" s="160"/>
      <c r="T1253" s="161"/>
      <c r="U1253" s="156"/>
      <c r="V1253" s="162"/>
      <c r="W1253" s="163"/>
      <c r="X1253" s="164">
        <v>4</v>
      </c>
      <c r="Y1253" s="159" t="s">
        <v>1073</v>
      </c>
      <c r="Z1253" s="161"/>
      <c r="AA1253" s="165">
        <v>1</v>
      </c>
      <c r="AD1253" s="154" t="s">
        <v>4798</v>
      </c>
      <c r="AE1253" s="155"/>
      <c r="AF1253" s="154" t="s">
        <v>4808</v>
      </c>
      <c r="AP1253" s="155"/>
      <c r="AQ1253" s="156"/>
      <c r="AR1253" s="157"/>
      <c r="AS1253" s="158"/>
      <c r="AT1253" s="159"/>
      <c r="AU1253" s="161"/>
      <c r="AV1253" s="156"/>
      <c r="AW1253" s="162"/>
      <c r="AX1253" s="163"/>
      <c r="AY1253" s="164"/>
      <c r="AZ1253" s="159"/>
      <c r="BA1253" s="161"/>
      <c r="BB1253" s="165"/>
    </row>
    <row r="1254" spans="1:58" s="154" customFormat="1" ht="15" customHeight="1">
      <c r="A1254" s="168" t="s">
        <v>4696</v>
      </c>
      <c r="B1254" s="153" t="s">
        <v>4809</v>
      </c>
      <c r="C1254" s="154" t="s">
        <v>4700</v>
      </c>
      <c r="D1254" s="170">
        <v>226</v>
      </c>
      <c r="E1254" s="154">
        <v>1</v>
      </c>
      <c r="F1254" s="154" t="s">
        <v>4948</v>
      </c>
      <c r="G1254" s="154" t="s">
        <v>4810</v>
      </c>
      <c r="J1254" s="154" t="s">
        <v>31</v>
      </c>
      <c r="K1254" s="154" t="s">
        <v>2426</v>
      </c>
      <c r="N1254" s="155"/>
      <c r="O1254" s="156"/>
      <c r="P1254" s="157"/>
      <c r="Q1254" s="158"/>
      <c r="R1254" s="159"/>
      <c r="S1254" s="160"/>
      <c r="T1254" s="161"/>
      <c r="U1254" s="156"/>
      <c r="V1254" s="162"/>
      <c r="W1254" s="163"/>
      <c r="X1254" s="164">
        <v>1</v>
      </c>
      <c r="Y1254" s="159" t="s">
        <v>1111</v>
      </c>
      <c r="Z1254" s="161"/>
      <c r="AA1254" s="165">
        <v>1</v>
      </c>
      <c r="AD1254" s="154" t="s">
        <v>4798</v>
      </c>
      <c r="AE1254" s="155"/>
      <c r="AF1254" s="154" t="s">
        <v>4811</v>
      </c>
      <c r="AP1254" s="155"/>
      <c r="AQ1254" s="156"/>
      <c r="AR1254" s="157"/>
      <c r="AS1254" s="158"/>
      <c r="AT1254" s="159"/>
      <c r="AU1254" s="161"/>
      <c r="AV1254" s="156"/>
      <c r="AW1254" s="162"/>
      <c r="AX1254" s="163"/>
      <c r="AY1254" s="164"/>
      <c r="AZ1254" s="159"/>
      <c r="BA1254" s="161"/>
      <c r="BB1254" s="165"/>
    </row>
    <row r="1255" spans="1:58" s="154" customFormat="1" ht="15" customHeight="1">
      <c r="A1255" s="168" t="s">
        <v>4696</v>
      </c>
      <c r="B1255" s="153" t="s">
        <v>4812</v>
      </c>
      <c r="C1255" s="154" t="s">
        <v>4700</v>
      </c>
      <c r="D1255" s="170">
        <v>227</v>
      </c>
      <c r="E1255" s="154">
        <v>1</v>
      </c>
      <c r="F1255" s="154" t="s">
        <v>4948</v>
      </c>
      <c r="G1255" s="154" t="s">
        <v>4813</v>
      </c>
      <c r="J1255" s="154" t="s">
        <v>31</v>
      </c>
      <c r="K1255" s="154" t="s">
        <v>2426</v>
      </c>
      <c r="N1255" s="155"/>
      <c r="O1255" s="156"/>
      <c r="P1255" s="157"/>
      <c r="Q1255" s="158"/>
      <c r="R1255" s="159"/>
      <c r="S1255" s="160"/>
      <c r="T1255" s="161"/>
      <c r="U1255" s="156"/>
      <c r="V1255" s="162"/>
      <c r="W1255" s="163"/>
      <c r="X1255" s="164">
        <v>3</v>
      </c>
      <c r="Y1255" s="159"/>
      <c r="Z1255" s="161"/>
      <c r="AA1255" s="165">
        <v>2</v>
      </c>
      <c r="AD1255" s="154" t="s">
        <v>4798</v>
      </c>
      <c r="AE1255" s="155"/>
      <c r="AF1255" s="154" t="s">
        <v>4814</v>
      </c>
      <c r="AP1255" s="155"/>
      <c r="AQ1255" s="156"/>
      <c r="AR1255" s="157"/>
      <c r="AS1255" s="158"/>
      <c r="AT1255" s="159"/>
      <c r="AU1255" s="161"/>
      <c r="AV1255" s="156"/>
      <c r="AW1255" s="162"/>
      <c r="AX1255" s="163"/>
      <c r="AY1255" s="164"/>
      <c r="AZ1255" s="159"/>
      <c r="BA1255" s="161"/>
      <c r="BB1255" s="165"/>
    </row>
    <row r="1256" spans="1:58" s="154" customFormat="1" ht="15" customHeight="1">
      <c r="A1256" s="168" t="s">
        <v>4696</v>
      </c>
      <c r="B1256" s="153" t="s">
        <v>4815</v>
      </c>
      <c r="C1256" s="154" t="s">
        <v>4700</v>
      </c>
      <c r="D1256" s="170">
        <v>228</v>
      </c>
      <c r="E1256" s="154">
        <v>3</v>
      </c>
      <c r="F1256" s="154" t="s">
        <v>4948</v>
      </c>
      <c r="G1256" s="154" t="s">
        <v>4816</v>
      </c>
      <c r="J1256" s="154" t="s">
        <v>28</v>
      </c>
      <c r="K1256" s="154" t="s">
        <v>2426</v>
      </c>
      <c r="N1256" s="155"/>
      <c r="O1256" s="156"/>
      <c r="P1256" s="157"/>
      <c r="Q1256" s="158"/>
      <c r="R1256" s="159"/>
      <c r="S1256" s="160"/>
      <c r="T1256" s="161"/>
      <c r="U1256" s="156"/>
      <c r="V1256" s="162"/>
      <c r="W1256" s="163"/>
      <c r="X1256" s="164"/>
      <c r="Y1256" s="159"/>
      <c r="Z1256" s="161"/>
      <c r="AA1256" s="165"/>
      <c r="AD1256" s="154" t="s">
        <v>479</v>
      </c>
      <c r="AE1256" s="155"/>
      <c r="AF1256" s="154" t="s">
        <v>4817</v>
      </c>
      <c r="AP1256" s="155"/>
      <c r="AQ1256" s="156"/>
      <c r="AR1256" s="157"/>
      <c r="AS1256" s="158"/>
      <c r="AT1256" s="159"/>
      <c r="AU1256" s="161"/>
      <c r="AV1256" s="156"/>
      <c r="AW1256" s="162"/>
      <c r="AX1256" s="163"/>
      <c r="AY1256" s="164"/>
      <c r="AZ1256" s="159"/>
      <c r="BA1256" s="161"/>
      <c r="BB1256" s="165"/>
      <c r="BF1256" s="155"/>
    </row>
    <row r="1257" spans="1:58" s="154" customFormat="1" ht="15" customHeight="1">
      <c r="A1257" s="168" t="s">
        <v>4744</v>
      </c>
      <c r="B1257" s="153" t="s">
        <v>4818</v>
      </c>
      <c r="C1257" s="154" t="s">
        <v>4819</v>
      </c>
      <c r="D1257" s="170">
        <v>229</v>
      </c>
      <c r="E1257" s="154">
        <v>2</v>
      </c>
      <c r="G1257" s="154" t="s">
        <v>4820</v>
      </c>
      <c r="J1257" s="154" t="s">
        <v>257</v>
      </c>
      <c r="K1257" s="154" t="s">
        <v>198</v>
      </c>
      <c r="L1257" s="154">
        <v>4</v>
      </c>
      <c r="N1257" s="155">
        <v>5</v>
      </c>
      <c r="O1257" s="156"/>
      <c r="P1257" s="157"/>
      <c r="Q1257" s="158">
        <v>2</v>
      </c>
      <c r="R1257" s="159"/>
      <c r="S1257" s="160"/>
      <c r="T1257" s="161"/>
      <c r="U1257" s="156"/>
      <c r="V1257" s="162"/>
      <c r="W1257" s="163"/>
      <c r="X1257" s="164"/>
      <c r="Y1257" s="159"/>
      <c r="Z1257" s="161"/>
      <c r="AA1257" s="165"/>
      <c r="AB1257" s="154" t="s">
        <v>1088</v>
      </c>
      <c r="AC1257" s="154" t="s">
        <v>322</v>
      </c>
      <c r="AD1257" s="154" t="s">
        <v>259</v>
      </c>
      <c r="AE1257" s="155"/>
      <c r="AF1257" s="154" t="s">
        <v>4821</v>
      </c>
      <c r="AP1257" s="155"/>
      <c r="AQ1257" s="156"/>
      <c r="AR1257" s="157"/>
      <c r="AS1257" s="158"/>
      <c r="AT1257" s="159"/>
      <c r="AU1257" s="161"/>
      <c r="AV1257" s="156"/>
      <c r="AW1257" s="162"/>
      <c r="AX1257" s="163"/>
      <c r="AY1257" s="164"/>
      <c r="AZ1257" s="159"/>
      <c r="BA1257" s="161"/>
      <c r="BB1257" s="165"/>
      <c r="BF1257" s="155"/>
    </row>
    <row r="1258" spans="1:58" s="154" customFormat="1" ht="15" customHeight="1">
      <c r="A1258" s="153" t="s">
        <v>4744</v>
      </c>
      <c r="B1258" s="153" t="s">
        <v>4822</v>
      </c>
      <c r="C1258" s="154" t="s">
        <v>4819</v>
      </c>
      <c r="D1258" s="170">
        <v>230</v>
      </c>
      <c r="E1258" s="154">
        <v>2</v>
      </c>
      <c r="G1258" s="154" t="s">
        <v>3881</v>
      </c>
      <c r="H1258" s="154" t="s">
        <v>4823</v>
      </c>
      <c r="J1258" s="154" t="s">
        <v>257</v>
      </c>
      <c r="K1258" s="154" t="s">
        <v>199</v>
      </c>
      <c r="L1258" s="154">
        <v>4</v>
      </c>
      <c r="N1258" s="155">
        <v>2</v>
      </c>
      <c r="O1258" s="156"/>
      <c r="P1258" s="157">
        <v>2</v>
      </c>
      <c r="Q1258" s="158"/>
      <c r="R1258" s="159"/>
      <c r="S1258" s="160"/>
      <c r="T1258" s="161"/>
      <c r="U1258" s="156"/>
      <c r="V1258" s="162"/>
      <c r="W1258" s="163"/>
      <c r="X1258" s="164"/>
      <c r="Y1258" s="159"/>
      <c r="Z1258" s="161"/>
      <c r="AA1258" s="165"/>
      <c r="AB1258" s="154" t="s">
        <v>1084</v>
      </c>
      <c r="AC1258" s="154" t="s">
        <v>258</v>
      </c>
      <c r="AD1258" s="154" t="s">
        <v>276</v>
      </c>
      <c r="AE1258" s="155"/>
      <c r="AF1258" s="154" t="s">
        <v>4824</v>
      </c>
      <c r="AI1258" s="153"/>
      <c r="AP1258" s="155"/>
      <c r="AQ1258" s="156"/>
      <c r="AR1258" s="157"/>
      <c r="AS1258" s="158"/>
      <c r="AT1258" s="159"/>
      <c r="AU1258" s="161"/>
      <c r="AV1258" s="156"/>
      <c r="AW1258" s="162"/>
      <c r="AX1258" s="163"/>
      <c r="AY1258" s="164"/>
      <c r="AZ1258" s="159"/>
      <c r="BA1258" s="161"/>
      <c r="BB1258" s="165"/>
      <c r="BF1258" s="155"/>
    </row>
    <row r="1259" spans="1:58" s="154" customFormat="1" ht="15" customHeight="1">
      <c r="A1259" s="168" t="s">
        <v>4744</v>
      </c>
      <c r="B1259" s="153" t="s">
        <v>4825</v>
      </c>
      <c r="C1259" s="154" t="s">
        <v>4819</v>
      </c>
      <c r="D1259" s="170">
        <v>231</v>
      </c>
      <c r="E1259" s="154">
        <v>2</v>
      </c>
      <c r="G1259" s="154" t="s">
        <v>3881</v>
      </c>
      <c r="H1259" s="154" t="s">
        <v>4826</v>
      </c>
      <c r="J1259" s="154" t="s">
        <v>257</v>
      </c>
      <c r="K1259" s="154" t="s">
        <v>199</v>
      </c>
      <c r="L1259" s="154">
        <v>4</v>
      </c>
      <c r="N1259" s="155">
        <v>2</v>
      </c>
      <c r="O1259" s="156">
        <v>2</v>
      </c>
      <c r="P1259" s="157"/>
      <c r="Q1259" s="158"/>
      <c r="R1259" s="159"/>
      <c r="S1259" s="160"/>
      <c r="T1259" s="161"/>
      <c r="U1259" s="156"/>
      <c r="V1259" s="162"/>
      <c r="W1259" s="163"/>
      <c r="X1259" s="164"/>
      <c r="Y1259" s="159"/>
      <c r="Z1259" s="161"/>
      <c r="AA1259" s="165"/>
      <c r="AB1259" s="154" t="s">
        <v>1094</v>
      </c>
      <c r="AC1259" s="154" t="s">
        <v>258</v>
      </c>
      <c r="AD1259" s="154" t="s">
        <v>276</v>
      </c>
      <c r="AE1259" s="155"/>
      <c r="AF1259" s="154" t="s">
        <v>4827</v>
      </c>
      <c r="AP1259" s="155"/>
      <c r="AQ1259" s="156"/>
      <c r="AR1259" s="157"/>
      <c r="AS1259" s="158"/>
      <c r="AT1259" s="159"/>
      <c r="AU1259" s="161"/>
      <c r="AV1259" s="156"/>
      <c r="AW1259" s="162"/>
      <c r="AX1259" s="163"/>
      <c r="AY1259" s="164"/>
      <c r="AZ1259" s="159"/>
      <c r="BA1259" s="161"/>
      <c r="BB1259" s="165"/>
      <c r="BF1259" s="155"/>
    </row>
    <row r="1260" spans="1:58" s="154" customFormat="1" ht="15" customHeight="1">
      <c r="A1260" s="168" t="s">
        <v>4744</v>
      </c>
      <c r="B1260" s="169" t="s">
        <v>4828</v>
      </c>
      <c r="C1260" s="154" t="s">
        <v>4819</v>
      </c>
      <c r="D1260" s="170">
        <v>232</v>
      </c>
      <c r="E1260" s="154">
        <v>2</v>
      </c>
      <c r="G1260" s="154" t="s">
        <v>4829</v>
      </c>
      <c r="J1260" s="154" t="s">
        <v>27</v>
      </c>
      <c r="K1260" s="154" t="s">
        <v>201</v>
      </c>
      <c r="N1260" s="155">
        <v>2</v>
      </c>
      <c r="O1260" s="156"/>
      <c r="P1260" s="157">
        <v>1</v>
      </c>
      <c r="Q1260" s="158"/>
      <c r="R1260" s="159">
        <v>1</v>
      </c>
      <c r="S1260" s="160"/>
      <c r="T1260" s="161"/>
      <c r="U1260" s="156"/>
      <c r="V1260" s="162"/>
      <c r="W1260" s="163"/>
      <c r="X1260" s="164"/>
      <c r="Y1260" s="159"/>
      <c r="Z1260" s="161"/>
      <c r="AA1260" s="165"/>
      <c r="AB1260" s="154" t="s">
        <v>1089</v>
      </c>
      <c r="AD1260" s="154" t="s">
        <v>1412</v>
      </c>
      <c r="AE1260" s="155"/>
      <c r="AF1260" s="154" t="s">
        <v>4830</v>
      </c>
      <c r="AP1260" s="155"/>
      <c r="AQ1260" s="156"/>
      <c r="AR1260" s="157"/>
      <c r="AS1260" s="158"/>
      <c r="AT1260" s="159"/>
      <c r="AU1260" s="161"/>
      <c r="AV1260" s="156"/>
      <c r="AW1260" s="162"/>
      <c r="AX1260" s="163"/>
      <c r="AY1260" s="164"/>
      <c r="AZ1260" s="159"/>
      <c r="BA1260" s="161"/>
      <c r="BB1260" s="165"/>
      <c r="BF1260" s="155"/>
    </row>
    <row r="1261" spans="1:58" s="154" customFormat="1" ht="15" customHeight="1">
      <c r="A1261" s="153" t="s">
        <v>4744</v>
      </c>
      <c r="B1261" s="153" t="s">
        <v>4831</v>
      </c>
      <c r="C1261" s="154" t="s">
        <v>4819</v>
      </c>
      <c r="D1261" s="170">
        <v>233</v>
      </c>
      <c r="E1261" s="154">
        <v>2</v>
      </c>
      <c r="G1261" s="154" t="s">
        <v>4832</v>
      </c>
      <c r="J1261" s="154" t="s">
        <v>27</v>
      </c>
      <c r="K1261" s="154" t="s">
        <v>201</v>
      </c>
      <c r="L1261" s="154">
        <v>1</v>
      </c>
      <c r="N1261" s="155">
        <v>0</v>
      </c>
      <c r="O1261" s="156"/>
      <c r="P1261" s="157"/>
      <c r="Q1261" s="158"/>
      <c r="R1261" s="159"/>
      <c r="S1261" s="160"/>
      <c r="T1261" s="161"/>
      <c r="U1261" s="156"/>
      <c r="V1261" s="162"/>
      <c r="W1261" s="163"/>
      <c r="X1261" s="164"/>
      <c r="Y1261" s="159"/>
      <c r="Z1261" s="161"/>
      <c r="AA1261" s="165"/>
      <c r="AD1261" s="154" t="s">
        <v>4833</v>
      </c>
      <c r="AE1261" s="155"/>
      <c r="AF1261" s="154" t="s">
        <v>4834</v>
      </c>
      <c r="AP1261" s="155"/>
      <c r="AQ1261" s="156"/>
      <c r="AR1261" s="157"/>
      <c r="AS1261" s="158"/>
      <c r="AT1261" s="159"/>
      <c r="AU1261" s="161"/>
      <c r="AV1261" s="156"/>
      <c r="AW1261" s="162"/>
      <c r="AX1261" s="163"/>
      <c r="AY1261" s="164"/>
      <c r="AZ1261" s="159"/>
      <c r="BA1261" s="161"/>
      <c r="BB1261" s="165"/>
      <c r="BF1261" s="155"/>
    </row>
    <row r="1262" spans="1:58" s="154" customFormat="1" ht="15" customHeight="1">
      <c r="A1262" s="168" t="s">
        <v>4744</v>
      </c>
      <c r="B1262" s="153" t="s">
        <v>4835</v>
      </c>
      <c r="C1262" s="154" t="s">
        <v>4819</v>
      </c>
      <c r="D1262" s="170">
        <v>234</v>
      </c>
      <c r="E1262" s="154">
        <v>2</v>
      </c>
      <c r="G1262" s="154" t="s">
        <v>4836</v>
      </c>
      <c r="J1262" s="154" t="s">
        <v>27</v>
      </c>
      <c r="K1262" s="154" t="s">
        <v>200</v>
      </c>
      <c r="L1262" s="154">
        <v>1</v>
      </c>
      <c r="N1262" s="155">
        <v>0</v>
      </c>
      <c r="O1262" s="156">
        <v>1</v>
      </c>
      <c r="P1262" s="157"/>
      <c r="Q1262" s="158"/>
      <c r="R1262" s="159"/>
      <c r="S1262" s="160"/>
      <c r="T1262" s="161"/>
      <c r="U1262" s="156"/>
      <c r="V1262" s="162"/>
      <c r="W1262" s="163"/>
      <c r="X1262" s="164"/>
      <c r="Y1262" s="159"/>
      <c r="Z1262" s="161"/>
      <c r="AA1262" s="165"/>
      <c r="AB1262" s="154" t="s">
        <v>204</v>
      </c>
      <c r="AD1262" s="154" t="s">
        <v>2567</v>
      </c>
      <c r="AF1262" s="154" t="s">
        <v>4837</v>
      </c>
      <c r="AP1262" s="155"/>
      <c r="AQ1262" s="156"/>
      <c r="AR1262" s="157"/>
      <c r="AS1262" s="158"/>
      <c r="AT1262" s="159"/>
      <c r="AU1262" s="161"/>
      <c r="AV1262" s="156"/>
      <c r="AW1262" s="162"/>
      <c r="AX1262" s="163"/>
      <c r="AY1262" s="164"/>
      <c r="AZ1262" s="159"/>
      <c r="BA1262" s="161"/>
      <c r="BB1262" s="165"/>
      <c r="BF1262" s="155"/>
    </row>
    <row r="1263" spans="1:58" s="154" customFormat="1" ht="15" customHeight="1">
      <c r="A1263" s="168" t="s">
        <v>4744</v>
      </c>
      <c r="B1263" s="153" t="s">
        <v>4838</v>
      </c>
      <c r="C1263" s="154" t="s">
        <v>4819</v>
      </c>
      <c r="D1263" s="170">
        <v>235</v>
      </c>
      <c r="E1263" s="154">
        <v>2</v>
      </c>
      <c r="G1263" s="154" t="s">
        <v>4839</v>
      </c>
      <c r="J1263" s="154" t="s">
        <v>257</v>
      </c>
      <c r="K1263" s="154" t="s">
        <v>200</v>
      </c>
      <c r="L1263" s="154">
        <v>3</v>
      </c>
      <c r="N1263" s="155">
        <v>3</v>
      </c>
      <c r="O1263" s="156"/>
      <c r="P1263" s="157"/>
      <c r="Q1263" s="158"/>
      <c r="R1263" s="159"/>
      <c r="S1263" s="160">
        <v>1</v>
      </c>
      <c r="T1263" s="161"/>
      <c r="U1263" s="156"/>
      <c r="V1263" s="162"/>
      <c r="W1263" s="163"/>
      <c r="X1263" s="164"/>
      <c r="Y1263" s="159"/>
      <c r="Z1263" s="161"/>
      <c r="AA1263" s="165"/>
      <c r="AB1263" s="154" t="s">
        <v>208</v>
      </c>
      <c r="AC1263" s="154" t="s">
        <v>275</v>
      </c>
      <c r="AD1263" s="154" t="s">
        <v>4840</v>
      </c>
      <c r="AE1263" s="155"/>
      <c r="AF1263" s="154" t="s">
        <v>4841</v>
      </c>
      <c r="AP1263" s="155"/>
      <c r="AQ1263" s="156"/>
      <c r="AR1263" s="157"/>
      <c r="AS1263" s="158"/>
      <c r="AT1263" s="159"/>
      <c r="AU1263" s="161"/>
      <c r="AV1263" s="156"/>
      <c r="AW1263" s="162"/>
      <c r="AX1263" s="163"/>
      <c r="AY1263" s="164"/>
      <c r="AZ1263" s="159"/>
      <c r="BA1263" s="161"/>
      <c r="BB1263" s="165"/>
      <c r="BF1263" s="155"/>
    </row>
    <row r="1264" spans="1:58" s="154" customFormat="1" ht="15" customHeight="1">
      <c r="A1264" s="153" t="s">
        <v>4744</v>
      </c>
      <c r="B1264" s="153" t="s">
        <v>4842</v>
      </c>
      <c r="C1264" s="154" t="s">
        <v>4819</v>
      </c>
      <c r="D1264" s="170">
        <v>236</v>
      </c>
      <c r="E1264" s="154">
        <v>2</v>
      </c>
      <c r="G1264" s="154" t="s">
        <v>4843</v>
      </c>
      <c r="J1264" s="154" t="s">
        <v>257</v>
      </c>
      <c r="K1264" s="154" t="s">
        <v>202</v>
      </c>
      <c r="L1264" s="154">
        <v>3</v>
      </c>
      <c r="N1264" s="155">
        <v>2</v>
      </c>
      <c r="O1264" s="156">
        <v>1</v>
      </c>
      <c r="P1264" s="157"/>
      <c r="Q1264" s="158"/>
      <c r="R1264" s="159"/>
      <c r="S1264" s="160"/>
      <c r="T1264" s="161"/>
      <c r="U1264" s="156"/>
      <c r="V1264" s="162"/>
      <c r="W1264" s="163"/>
      <c r="X1264" s="164"/>
      <c r="Y1264" s="159"/>
      <c r="Z1264" s="161"/>
      <c r="AA1264" s="165"/>
      <c r="AB1264" s="154" t="s">
        <v>204</v>
      </c>
      <c r="AD1264" s="154" t="s">
        <v>289</v>
      </c>
      <c r="AE1264" s="155"/>
      <c r="AF1264" s="154" t="s">
        <v>4844</v>
      </c>
      <c r="AP1264" s="155"/>
      <c r="AQ1264" s="156"/>
      <c r="AR1264" s="157"/>
      <c r="AS1264" s="158"/>
      <c r="AT1264" s="159"/>
      <c r="AU1264" s="161"/>
      <c r="AV1264" s="156"/>
      <c r="AW1264" s="162"/>
      <c r="AX1264" s="163"/>
      <c r="AY1264" s="164"/>
      <c r="AZ1264" s="159"/>
      <c r="BA1264" s="161"/>
      <c r="BB1264" s="165"/>
      <c r="BF1264" s="155"/>
    </row>
    <row r="1265" spans="1:59" s="154" customFormat="1" ht="15" customHeight="1">
      <c r="A1265" s="168" t="s">
        <v>4744</v>
      </c>
      <c r="B1265" s="153" t="s">
        <v>4845</v>
      </c>
      <c r="C1265" s="154" t="s">
        <v>4819</v>
      </c>
      <c r="D1265" s="170">
        <v>237</v>
      </c>
      <c r="E1265" s="154">
        <v>1</v>
      </c>
      <c r="F1265" s="154" t="s">
        <v>4745</v>
      </c>
      <c r="G1265" s="154" t="s">
        <v>4745</v>
      </c>
      <c r="J1265" s="154" t="s">
        <v>618</v>
      </c>
      <c r="K1265" s="154" t="s">
        <v>2426</v>
      </c>
      <c r="N1265" s="155"/>
      <c r="O1265" s="156"/>
      <c r="P1265" s="157"/>
      <c r="Q1265" s="158"/>
      <c r="R1265" s="159"/>
      <c r="S1265" s="160"/>
      <c r="T1265" s="161"/>
      <c r="U1265" s="156"/>
      <c r="V1265" s="162"/>
      <c r="W1265" s="163"/>
      <c r="X1265" s="164"/>
      <c r="Y1265" s="159"/>
      <c r="Z1265" s="161"/>
      <c r="AA1265" s="165"/>
      <c r="AE1265" s="155"/>
      <c r="AF1265" s="154" t="s">
        <v>4846</v>
      </c>
      <c r="AI1265" s="154" t="s">
        <v>4745</v>
      </c>
      <c r="AL1265" s="154" t="s">
        <v>618</v>
      </c>
      <c r="AM1265" s="154" t="s">
        <v>2426</v>
      </c>
      <c r="AP1265" s="155"/>
      <c r="AQ1265" s="156"/>
      <c r="AR1265" s="157"/>
      <c r="AS1265" s="158"/>
      <c r="AT1265" s="159"/>
      <c r="AU1265" s="161"/>
      <c r="AV1265" s="156"/>
      <c r="AW1265" s="162"/>
      <c r="AX1265" s="163"/>
      <c r="AY1265" s="164"/>
      <c r="AZ1265" s="159"/>
      <c r="BA1265" s="161"/>
      <c r="BB1265" s="165"/>
      <c r="BF1265" s="155"/>
      <c r="BG1265" s="154" t="s">
        <v>4847</v>
      </c>
    </row>
    <row r="1266" spans="1:59" s="154" customFormat="1" ht="15" customHeight="1">
      <c r="A1266" s="168" t="s">
        <v>4744</v>
      </c>
      <c r="B1266" s="153" t="s">
        <v>4848</v>
      </c>
      <c r="C1266" s="154" t="s">
        <v>4819</v>
      </c>
      <c r="D1266" s="170">
        <v>238</v>
      </c>
      <c r="E1266" s="154">
        <v>1</v>
      </c>
      <c r="F1266" s="154" t="s">
        <v>4745</v>
      </c>
      <c r="G1266" s="154" t="s">
        <v>4849</v>
      </c>
      <c r="J1266" s="154" t="s">
        <v>619</v>
      </c>
      <c r="K1266" s="154" t="s">
        <v>2426</v>
      </c>
      <c r="N1266" s="155"/>
      <c r="O1266" s="156"/>
      <c r="P1266" s="157"/>
      <c r="Q1266" s="158"/>
      <c r="R1266" s="159"/>
      <c r="S1266" s="160"/>
      <c r="T1266" s="161"/>
      <c r="U1266" s="156"/>
      <c r="V1266" s="162"/>
      <c r="W1266" s="163"/>
      <c r="X1266" s="164"/>
      <c r="Y1266" s="159"/>
      <c r="Z1266" s="161">
        <v>5</v>
      </c>
      <c r="AA1266" s="165"/>
      <c r="AE1266" s="155"/>
      <c r="AF1266" s="154" t="s">
        <v>4850</v>
      </c>
      <c r="AI1266" s="154" t="s">
        <v>4849</v>
      </c>
      <c r="AL1266" s="154" t="s">
        <v>619</v>
      </c>
      <c r="AM1266" s="154" t="s">
        <v>2426</v>
      </c>
      <c r="AP1266" s="155"/>
      <c r="AQ1266" s="156"/>
      <c r="AR1266" s="157"/>
      <c r="AS1266" s="158"/>
      <c r="AT1266" s="159"/>
      <c r="AU1266" s="161"/>
      <c r="AV1266" s="156"/>
      <c r="AW1266" s="162"/>
      <c r="AX1266" s="163"/>
      <c r="AY1266" s="164"/>
      <c r="AZ1266" s="159"/>
      <c r="BA1266" s="161"/>
      <c r="BB1266" s="165"/>
      <c r="BF1266" s="155"/>
      <c r="BG1266" s="154" t="s">
        <v>4938</v>
      </c>
    </row>
    <row r="1267" spans="1:59" s="154" customFormat="1" ht="15" customHeight="1">
      <c r="A1267" s="153" t="s">
        <v>4744</v>
      </c>
      <c r="B1267" s="153" t="s">
        <v>4851</v>
      </c>
      <c r="C1267" s="154" t="s">
        <v>4819</v>
      </c>
      <c r="D1267" s="170">
        <v>239</v>
      </c>
      <c r="E1267" s="154">
        <v>1</v>
      </c>
      <c r="F1267" s="154" t="s">
        <v>4745</v>
      </c>
      <c r="G1267" s="154" t="s">
        <v>2294</v>
      </c>
      <c r="J1267" s="154" t="s">
        <v>619</v>
      </c>
      <c r="K1267" s="154" t="s">
        <v>2426</v>
      </c>
      <c r="N1267" s="155"/>
      <c r="O1267" s="156"/>
      <c r="P1267" s="157"/>
      <c r="Q1267" s="158"/>
      <c r="R1267" s="159"/>
      <c r="S1267" s="160"/>
      <c r="T1267" s="161"/>
      <c r="U1267" s="156"/>
      <c r="V1267" s="162"/>
      <c r="W1267" s="163"/>
      <c r="X1267" s="164"/>
      <c r="Y1267" s="159"/>
      <c r="Z1267" s="161">
        <v>7</v>
      </c>
      <c r="AA1267" s="165"/>
      <c r="AE1267" s="155"/>
      <c r="AF1267" s="154" t="s">
        <v>4852</v>
      </c>
      <c r="AI1267" s="154" t="s">
        <v>2294</v>
      </c>
      <c r="AL1267" s="154" t="s">
        <v>619</v>
      </c>
      <c r="AM1267" s="154" t="s">
        <v>2426</v>
      </c>
      <c r="AP1267" s="155"/>
      <c r="AQ1267" s="156"/>
      <c r="AR1267" s="157"/>
      <c r="AS1267" s="158"/>
      <c r="AT1267" s="159"/>
      <c r="AU1267" s="161"/>
      <c r="AV1267" s="156"/>
      <c r="AW1267" s="162"/>
      <c r="AX1267" s="163"/>
      <c r="AY1267" s="164"/>
      <c r="AZ1267" s="159"/>
      <c r="BA1267" s="161"/>
      <c r="BB1267" s="165"/>
      <c r="BF1267" s="155"/>
      <c r="BG1267" s="154" t="s">
        <v>4939</v>
      </c>
    </row>
    <row r="1268" spans="1:59" s="154" customFormat="1" ht="15" customHeight="1">
      <c r="A1268" s="168" t="s">
        <v>4744</v>
      </c>
      <c r="B1268" s="153" t="s">
        <v>4853</v>
      </c>
      <c r="C1268" s="154" t="s">
        <v>4819</v>
      </c>
      <c r="D1268" s="170">
        <v>240</v>
      </c>
      <c r="E1268" s="154">
        <v>1</v>
      </c>
      <c r="F1268" s="154" t="s">
        <v>4745</v>
      </c>
      <c r="G1268" s="154" t="s">
        <v>4854</v>
      </c>
      <c r="J1268" s="154" t="s">
        <v>619</v>
      </c>
      <c r="K1268" s="154" t="s">
        <v>2426</v>
      </c>
      <c r="N1268" s="155"/>
      <c r="O1268" s="156"/>
      <c r="P1268" s="157"/>
      <c r="Q1268" s="158"/>
      <c r="R1268" s="159"/>
      <c r="S1268" s="160"/>
      <c r="T1268" s="161"/>
      <c r="U1268" s="156"/>
      <c r="V1268" s="162"/>
      <c r="W1268" s="163"/>
      <c r="X1268" s="164"/>
      <c r="Y1268" s="159"/>
      <c r="Z1268" s="161">
        <v>7</v>
      </c>
      <c r="AA1268" s="165"/>
      <c r="AE1268" s="155"/>
      <c r="AF1268" s="154" t="s">
        <v>4855</v>
      </c>
      <c r="AI1268" s="154" t="s">
        <v>4854</v>
      </c>
      <c r="AL1268" s="154" t="s">
        <v>619</v>
      </c>
      <c r="AM1268" s="154" t="s">
        <v>2426</v>
      </c>
      <c r="AP1268" s="155"/>
      <c r="AQ1268" s="156"/>
      <c r="AR1268" s="157"/>
      <c r="AS1268" s="158"/>
      <c r="AT1268" s="159"/>
      <c r="AU1268" s="161"/>
      <c r="AV1268" s="156"/>
      <c r="AW1268" s="162"/>
      <c r="AX1268" s="163"/>
      <c r="AY1268" s="164"/>
      <c r="AZ1268" s="159"/>
      <c r="BA1268" s="161"/>
      <c r="BB1268" s="165"/>
      <c r="BF1268" s="155"/>
      <c r="BG1268" s="154" t="s">
        <v>4940</v>
      </c>
    </row>
    <row r="1269" spans="1:59" s="154" customFormat="1" ht="15" customHeight="1">
      <c r="A1269" s="168" t="s">
        <v>4744</v>
      </c>
      <c r="B1269" s="169" t="s">
        <v>4856</v>
      </c>
      <c r="C1269" s="154" t="s">
        <v>4819</v>
      </c>
      <c r="D1269" s="170">
        <v>241</v>
      </c>
      <c r="E1269" s="154">
        <v>1</v>
      </c>
      <c r="F1269" s="154" t="s">
        <v>4745</v>
      </c>
      <c r="G1269" s="154" t="s">
        <v>4857</v>
      </c>
      <c r="J1269" s="154" t="s">
        <v>621</v>
      </c>
      <c r="K1269" s="154" t="s">
        <v>2426</v>
      </c>
      <c r="N1269" s="155"/>
      <c r="O1269" s="156"/>
      <c r="P1269" s="157"/>
      <c r="Q1269" s="158"/>
      <c r="R1269" s="159"/>
      <c r="S1269" s="160"/>
      <c r="T1269" s="161"/>
      <c r="U1269" s="156"/>
      <c r="V1269" s="162"/>
      <c r="W1269" s="163"/>
      <c r="X1269" s="164"/>
      <c r="Y1269" s="159" t="s">
        <v>1111</v>
      </c>
      <c r="Z1269" s="161"/>
      <c r="AA1269" s="165"/>
      <c r="AE1269" s="155"/>
      <c r="AF1269" s="154" t="s">
        <v>4858</v>
      </c>
      <c r="AI1269" s="154" t="s">
        <v>4857</v>
      </c>
      <c r="AL1269" s="154" t="s">
        <v>621</v>
      </c>
      <c r="AM1269" s="154" t="s">
        <v>2426</v>
      </c>
      <c r="AP1269" s="155"/>
      <c r="AQ1269" s="156"/>
      <c r="AR1269" s="157"/>
      <c r="AS1269" s="158"/>
      <c r="AT1269" s="159"/>
      <c r="AU1269" s="161"/>
      <c r="AV1269" s="156"/>
      <c r="AW1269" s="162"/>
      <c r="AX1269" s="163"/>
      <c r="AY1269" s="164"/>
      <c r="AZ1269" s="159"/>
      <c r="BA1269" s="161"/>
      <c r="BB1269" s="165"/>
      <c r="BF1269" s="155"/>
      <c r="BG1269" s="154" t="s">
        <v>4941</v>
      </c>
    </row>
    <row r="1270" spans="1:59" s="154" customFormat="1" ht="15" customHeight="1">
      <c r="A1270" s="153" t="s">
        <v>4744</v>
      </c>
      <c r="B1270" s="153" t="s">
        <v>4859</v>
      </c>
      <c r="C1270" s="154" t="s">
        <v>4819</v>
      </c>
      <c r="D1270" s="155">
        <v>242</v>
      </c>
      <c r="E1270" s="154">
        <v>1</v>
      </c>
      <c r="F1270" s="154" t="s">
        <v>4745</v>
      </c>
      <c r="G1270" s="154" t="s">
        <v>1750</v>
      </c>
      <c r="J1270" s="154" t="s">
        <v>621</v>
      </c>
      <c r="K1270" s="154" t="s">
        <v>2426</v>
      </c>
      <c r="N1270" s="155"/>
      <c r="O1270" s="156"/>
      <c r="P1270" s="157"/>
      <c r="Q1270" s="158"/>
      <c r="R1270" s="159"/>
      <c r="S1270" s="160"/>
      <c r="T1270" s="161"/>
      <c r="U1270" s="156"/>
      <c r="V1270" s="162"/>
      <c r="W1270" s="163"/>
      <c r="X1270" s="164"/>
      <c r="Y1270" s="159">
        <v>0</v>
      </c>
      <c r="Z1270" s="161"/>
      <c r="AA1270" s="165"/>
      <c r="AE1270" s="155"/>
      <c r="AF1270" s="154" t="s">
        <v>4942</v>
      </c>
      <c r="AI1270" s="154" t="s">
        <v>1750</v>
      </c>
      <c r="AL1270" s="154" t="s">
        <v>621</v>
      </c>
      <c r="AM1270" s="154" t="s">
        <v>2426</v>
      </c>
      <c r="AP1270" s="155"/>
      <c r="AQ1270" s="156"/>
      <c r="AR1270" s="157"/>
      <c r="AS1270" s="158"/>
      <c r="AT1270" s="159"/>
      <c r="AU1270" s="161"/>
      <c r="AV1270" s="156"/>
      <c r="AW1270" s="162"/>
      <c r="AX1270" s="163"/>
      <c r="AY1270" s="164"/>
      <c r="AZ1270" s="159"/>
      <c r="BA1270" s="161"/>
      <c r="BB1270" s="165"/>
      <c r="BF1270" s="155"/>
      <c r="BG1270" s="154" t="s">
        <v>4943</v>
      </c>
    </row>
    <row r="1271" spans="1:59" s="154" customFormat="1" ht="15" customHeight="1">
      <c r="A1271" s="168" t="s">
        <v>4744</v>
      </c>
      <c r="B1271" s="153" t="s">
        <v>4860</v>
      </c>
      <c r="C1271" s="154" t="s">
        <v>4819</v>
      </c>
      <c r="D1271" s="155">
        <v>243</v>
      </c>
      <c r="E1271" s="154">
        <v>1</v>
      </c>
      <c r="F1271" s="154" t="s">
        <v>4745</v>
      </c>
      <c r="G1271" s="154" t="s">
        <v>4861</v>
      </c>
      <c r="J1271" s="154" t="s">
        <v>621</v>
      </c>
      <c r="K1271" s="154" t="s">
        <v>2426</v>
      </c>
      <c r="N1271" s="155"/>
      <c r="O1271" s="156"/>
      <c r="P1271" s="157"/>
      <c r="Q1271" s="158"/>
      <c r="R1271" s="159"/>
      <c r="S1271" s="160"/>
      <c r="T1271" s="161"/>
      <c r="U1271" s="156"/>
      <c r="V1271" s="162"/>
      <c r="W1271" s="163"/>
      <c r="X1271" s="164"/>
      <c r="Y1271" s="159">
        <v>0</v>
      </c>
      <c r="Z1271" s="161"/>
      <c r="AA1271" s="165"/>
      <c r="AE1271" s="155"/>
      <c r="AF1271" s="154" t="s">
        <v>4944</v>
      </c>
      <c r="AI1271" s="154" t="s">
        <v>4861</v>
      </c>
      <c r="AL1271" s="154" t="s">
        <v>621</v>
      </c>
      <c r="AM1271" s="154" t="s">
        <v>2426</v>
      </c>
      <c r="AP1271" s="155"/>
      <c r="AQ1271" s="156"/>
      <c r="AR1271" s="157"/>
      <c r="AS1271" s="158"/>
      <c r="AT1271" s="159"/>
      <c r="AU1271" s="161"/>
      <c r="AV1271" s="156"/>
      <c r="AW1271" s="162"/>
      <c r="AX1271" s="163"/>
      <c r="AY1271" s="164"/>
      <c r="AZ1271" s="159"/>
      <c r="BA1271" s="161"/>
      <c r="BB1271" s="165"/>
      <c r="BF1271" s="155"/>
      <c r="BG1271" s="154" t="s">
        <v>4945</v>
      </c>
    </row>
    <row r="1272" spans="1:59" s="154" customFormat="1" ht="15" customHeight="1">
      <c r="A1272" s="168" t="s">
        <v>4744</v>
      </c>
      <c r="B1272" s="153" t="s">
        <v>4862</v>
      </c>
      <c r="C1272" s="154" t="s">
        <v>4819</v>
      </c>
      <c r="D1272" s="155">
        <v>244</v>
      </c>
      <c r="E1272" s="154">
        <v>4</v>
      </c>
      <c r="F1272" s="154" t="s">
        <v>4745</v>
      </c>
      <c r="G1272" s="154" t="s">
        <v>4863</v>
      </c>
      <c r="J1272" s="154" t="s">
        <v>203</v>
      </c>
      <c r="K1272" s="154" t="s">
        <v>2426</v>
      </c>
      <c r="N1272" s="155"/>
      <c r="O1272" s="156">
        <v>2</v>
      </c>
      <c r="P1272" s="157">
        <v>2</v>
      </c>
      <c r="Q1272" s="158">
        <v>2</v>
      </c>
      <c r="R1272" s="159">
        <v>2</v>
      </c>
      <c r="S1272" s="160"/>
      <c r="T1272" s="161">
        <v>7</v>
      </c>
      <c r="U1272" s="156">
        <v>7</v>
      </c>
      <c r="V1272" s="162"/>
      <c r="W1272" s="163"/>
      <c r="X1272" s="164"/>
      <c r="Y1272" s="159"/>
      <c r="Z1272" s="161"/>
      <c r="AA1272" s="165"/>
      <c r="AD1272" s="154" t="s">
        <v>490</v>
      </c>
      <c r="AE1272" s="155"/>
      <c r="AF1272" s="154" t="s">
        <v>4864</v>
      </c>
      <c r="AI1272" s="154" t="s">
        <v>4863</v>
      </c>
      <c r="AL1272" s="154" t="s">
        <v>203</v>
      </c>
      <c r="AM1272" s="154" t="s">
        <v>2426</v>
      </c>
      <c r="AP1272" s="155"/>
      <c r="AQ1272" s="156"/>
      <c r="AR1272" s="157"/>
      <c r="AS1272" s="158"/>
      <c r="AT1272" s="159"/>
      <c r="AU1272" s="161"/>
      <c r="AV1272" s="156"/>
      <c r="AW1272" s="162"/>
      <c r="AX1272" s="163"/>
      <c r="AY1272" s="164"/>
      <c r="AZ1272" s="159"/>
      <c r="BA1272" s="161"/>
      <c r="BB1272" s="165"/>
      <c r="BE1272" s="154" t="s">
        <v>490</v>
      </c>
      <c r="BF1272" s="155"/>
      <c r="BG1272" s="154" t="s">
        <v>4946</v>
      </c>
    </row>
    <row r="1273" spans="1:59" s="154" customFormat="1" ht="15" customHeight="1">
      <c r="A1273" s="153" t="s">
        <v>4744</v>
      </c>
      <c r="B1273" s="153" t="s">
        <v>4865</v>
      </c>
      <c r="C1273" s="154" t="s">
        <v>4819</v>
      </c>
      <c r="D1273" s="155">
        <v>245</v>
      </c>
      <c r="E1273" s="154">
        <v>1</v>
      </c>
      <c r="F1273" s="154" t="s">
        <v>4745</v>
      </c>
      <c r="G1273" s="154" t="s">
        <v>4866</v>
      </c>
      <c r="J1273" s="154" t="s">
        <v>31</v>
      </c>
      <c r="K1273" s="154" t="s">
        <v>2426</v>
      </c>
      <c r="N1273" s="155"/>
      <c r="O1273" s="156"/>
      <c r="P1273" s="157"/>
      <c r="Q1273" s="158"/>
      <c r="R1273" s="159"/>
      <c r="S1273" s="160"/>
      <c r="T1273" s="161"/>
      <c r="U1273" s="156"/>
      <c r="V1273" s="162"/>
      <c r="W1273" s="163"/>
      <c r="X1273" s="164"/>
      <c r="Y1273" s="159"/>
      <c r="Z1273" s="161"/>
      <c r="AA1273" s="165"/>
      <c r="AD1273" s="154" t="s">
        <v>4867</v>
      </c>
      <c r="AE1273" s="155"/>
      <c r="AI1273" s="154" t="s">
        <v>4866</v>
      </c>
      <c r="AL1273" s="154" t="s">
        <v>31</v>
      </c>
      <c r="AM1273" s="154" t="s">
        <v>2426</v>
      </c>
      <c r="AP1273" s="155"/>
      <c r="AQ1273" s="156"/>
      <c r="AR1273" s="157"/>
      <c r="AS1273" s="158"/>
      <c r="AT1273" s="159"/>
      <c r="AU1273" s="161"/>
      <c r="AV1273" s="156"/>
      <c r="AW1273" s="162"/>
      <c r="AX1273" s="163"/>
      <c r="AY1273" s="164"/>
      <c r="AZ1273" s="159">
        <v>0</v>
      </c>
      <c r="BA1273" s="161"/>
      <c r="BB1273" s="165"/>
      <c r="BE1273" s="154" t="s">
        <v>4867</v>
      </c>
      <c r="BF1273" s="155"/>
      <c r="BG1273" s="154" t="s">
        <v>4868</v>
      </c>
    </row>
    <row r="1274" spans="1:59" s="154" customFormat="1" ht="15" customHeight="1">
      <c r="A1274" s="168" t="s">
        <v>4744</v>
      </c>
      <c r="B1274" s="153" t="s">
        <v>4869</v>
      </c>
      <c r="C1274" s="154" t="s">
        <v>4819</v>
      </c>
      <c r="D1274" s="155">
        <v>246</v>
      </c>
      <c r="E1274" s="154">
        <v>1</v>
      </c>
      <c r="F1274" s="154" t="s">
        <v>4745</v>
      </c>
      <c r="G1274" s="154" t="s">
        <v>4866</v>
      </c>
      <c r="J1274" s="154" t="s">
        <v>31</v>
      </c>
      <c r="K1274" s="154" t="s">
        <v>2426</v>
      </c>
      <c r="N1274" s="155"/>
      <c r="O1274" s="156"/>
      <c r="P1274" s="157"/>
      <c r="Q1274" s="158"/>
      <c r="R1274" s="159"/>
      <c r="S1274" s="160"/>
      <c r="T1274" s="161"/>
      <c r="U1274" s="156"/>
      <c r="V1274" s="162"/>
      <c r="W1274" s="163"/>
      <c r="X1274" s="164"/>
      <c r="Y1274" s="159"/>
      <c r="Z1274" s="161"/>
      <c r="AA1274" s="165"/>
      <c r="AD1274" s="154" t="s">
        <v>4867</v>
      </c>
      <c r="AE1274" s="155"/>
      <c r="AI1274" s="154" t="s">
        <v>4866</v>
      </c>
      <c r="AJ1274" s="171"/>
      <c r="AL1274" s="154" t="s">
        <v>31</v>
      </c>
      <c r="AM1274" s="154" t="s">
        <v>2426</v>
      </c>
      <c r="AP1274" s="155"/>
      <c r="AQ1274" s="156"/>
      <c r="AR1274" s="157"/>
      <c r="AS1274" s="158"/>
      <c r="AT1274" s="159"/>
      <c r="AU1274" s="161"/>
      <c r="AV1274" s="156"/>
      <c r="AW1274" s="162"/>
      <c r="AX1274" s="163"/>
      <c r="AY1274" s="164"/>
      <c r="AZ1274" s="159" t="s">
        <v>1073</v>
      </c>
      <c r="BA1274" s="161"/>
      <c r="BB1274" s="165">
        <v>1</v>
      </c>
      <c r="BE1274" s="154" t="s">
        <v>4867</v>
      </c>
      <c r="BF1274" s="155"/>
      <c r="BG1274" s="154" t="s">
        <v>4870</v>
      </c>
    </row>
    <row r="1275" spans="1:59" s="154" customFormat="1" ht="15" customHeight="1">
      <c r="A1275" s="168" t="s">
        <v>4744</v>
      </c>
      <c r="B1275" s="153" t="s">
        <v>4871</v>
      </c>
      <c r="C1275" s="154" t="s">
        <v>4819</v>
      </c>
      <c r="D1275" s="155">
        <v>247</v>
      </c>
      <c r="E1275" s="154">
        <v>1</v>
      </c>
      <c r="F1275" s="154" t="s">
        <v>4745</v>
      </c>
      <c r="G1275" s="154" t="s">
        <v>4866</v>
      </c>
      <c r="J1275" s="154" t="s">
        <v>31</v>
      </c>
      <c r="K1275" s="154" t="s">
        <v>2426</v>
      </c>
      <c r="N1275" s="155"/>
      <c r="O1275" s="156"/>
      <c r="P1275" s="157"/>
      <c r="Q1275" s="158"/>
      <c r="R1275" s="159"/>
      <c r="S1275" s="160"/>
      <c r="T1275" s="161"/>
      <c r="U1275" s="156"/>
      <c r="V1275" s="162"/>
      <c r="W1275" s="163"/>
      <c r="X1275" s="164"/>
      <c r="Y1275" s="159"/>
      <c r="Z1275" s="161"/>
      <c r="AA1275" s="165"/>
      <c r="AD1275" s="154" t="s">
        <v>4867</v>
      </c>
      <c r="AE1275" s="155"/>
      <c r="AI1275" s="154" t="s">
        <v>4866</v>
      </c>
      <c r="AL1275" s="154" t="s">
        <v>31</v>
      </c>
      <c r="AM1275" s="154" t="s">
        <v>2426</v>
      </c>
      <c r="AP1275" s="155"/>
      <c r="AQ1275" s="156"/>
      <c r="AR1275" s="157"/>
      <c r="AS1275" s="158"/>
      <c r="AT1275" s="159"/>
      <c r="AU1275" s="161"/>
      <c r="AV1275" s="156"/>
      <c r="AW1275" s="162"/>
      <c r="AX1275" s="163"/>
      <c r="AY1275" s="164"/>
      <c r="AZ1275" s="159" t="s">
        <v>1073</v>
      </c>
      <c r="BA1275" s="161"/>
      <c r="BB1275" s="165">
        <v>1</v>
      </c>
      <c r="BE1275" s="154" t="s">
        <v>4867</v>
      </c>
      <c r="BF1275" s="155"/>
      <c r="BG1275" s="154" t="s">
        <v>4872</v>
      </c>
    </row>
    <row r="1276" spans="1:59" s="154" customFormat="1" ht="15" customHeight="1">
      <c r="A1276" s="153" t="s">
        <v>4744</v>
      </c>
      <c r="B1276" s="153" t="s">
        <v>4873</v>
      </c>
      <c r="C1276" s="154" t="s">
        <v>4819</v>
      </c>
      <c r="D1276" s="155">
        <v>248</v>
      </c>
      <c r="E1276" s="154">
        <v>1</v>
      </c>
      <c r="F1276" s="154" t="s">
        <v>4745</v>
      </c>
      <c r="G1276" s="154" t="s">
        <v>4874</v>
      </c>
      <c r="J1276" s="154" t="s">
        <v>31</v>
      </c>
      <c r="K1276" s="154" t="s">
        <v>2426</v>
      </c>
      <c r="N1276" s="155"/>
      <c r="O1276" s="156"/>
      <c r="P1276" s="157"/>
      <c r="Q1276" s="158"/>
      <c r="R1276" s="159"/>
      <c r="S1276" s="160"/>
      <c r="T1276" s="161"/>
      <c r="U1276" s="156"/>
      <c r="V1276" s="162"/>
      <c r="W1276" s="163"/>
      <c r="X1276" s="164"/>
      <c r="Y1276" s="159"/>
      <c r="Z1276" s="161"/>
      <c r="AA1276" s="165"/>
      <c r="AD1276" s="154" t="s">
        <v>4867</v>
      </c>
      <c r="AE1276" s="155"/>
      <c r="AI1276" s="154" t="s">
        <v>4874</v>
      </c>
      <c r="AJ1276" s="154" t="s">
        <v>4875</v>
      </c>
      <c r="AL1276" s="154" t="s">
        <v>31</v>
      </c>
      <c r="AM1276" s="154" t="s">
        <v>2426</v>
      </c>
      <c r="AP1276" s="155"/>
      <c r="AQ1276" s="156"/>
      <c r="AR1276" s="157"/>
      <c r="AS1276" s="158"/>
      <c r="AT1276" s="159"/>
      <c r="AU1276" s="161"/>
      <c r="AV1276" s="156"/>
      <c r="AW1276" s="162"/>
      <c r="AX1276" s="163"/>
      <c r="AY1276" s="164"/>
      <c r="AZ1276" s="159" t="s">
        <v>1073</v>
      </c>
      <c r="BA1276" s="161"/>
      <c r="BB1276" s="165"/>
      <c r="BE1276" s="154" t="s">
        <v>4867</v>
      </c>
      <c r="BF1276" s="155"/>
      <c r="BG1276" s="154" t="s">
        <v>4876</v>
      </c>
    </row>
    <row r="1277" spans="1:59" s="154" customFormat="1" ht="15" customHeight="1">
      <c r="A1277" s="168" t="s">
        <v>4744</v>
      </c>
      <c r="B1277" s="153" t="s">
        <v>4877</v>
      </c>
      <c r="C1277" s="154" t="s">
        <v>4819</v>
      </c>
      <c r="D1277" s="155">
        <v>249</v>
      </c>
      <c r="E1277" s="154">
        <v>1</v>
      </c>
      <c r="F1277" s="154" t="s">
        <v>4745</v>
      </c>
      <c r="G1277" s="154" t="s">
        <v>4874</v>
      </c>
      <c r="J1277" s="154" t="s">
        <v>31</v>
      </c>
      <c r="K1277" s="154" t="s">
        <v>2426</v>
      </c>
      <c r="N1277" s="155"/>
      <c r="O1277" s="156"/>
      <c r="P1277" s="157"/>
      <c r="Q1277" s="158"/>
      <c r="R1277" s="159"/>
      <c r="S1277" s="160"/>
      <c r="T1277" s="161"/>
      <c r="U1277" s="156"/>
      <c r="V1277" s="162"/>
      <c r="W1277" s="163"/>
      <c r="X1277" s="164"/>
      <c r="Y1277" s="159"/>
      <c r="Z1277" s="161"/>
      <c r="AA1277" s="165"/>
      <c r="AD1277" s="154" t="s">
        <v>4867</v>
      </c>
      <c r="AE1277" s="155"/>
      <c r="AI1277" s="154" t="s">
        <v>4874</v>
      </c>
      <c r="AJ1277" s="154" t="s">
        <v>4878</v>
      </c>
      <c r="AL1277" s="154" t="s">
        <v>31</v>
      </c>
      <c r="AM1277" s="154" t="s">
        <v>2426</v>
      </c>
      <c r="AP1277" s="155"/>
      <c r="AQ1277" s="156"/>
      <c r="AR1277" s="157"/>
      <c r="AS1277" s="158"/>
      <c r="AT1277" s="159"/>
      <c r="AU1277" s="161"/>
      <c r="AV1277" s="156"/>
      <c r="AW1277" s="162"/>
      <c r="AX1277" s="163"/>
      <c r="AY1277" s="164"/>
      <c r="AZ1277" s="159" t="s">
        <v>1073</v>
      </c>
      <c r="BA1277" s="161"/>
      <c r="BB1277" s="165"/>
      <c r="BE1277" s="154" t="s">
        <v>4867</v>
      </c>
      <c r="BF1277" s="155"/>
      <c r="BG1277" s="154" t="s">
        <v>4876</v>
      </c>
    </row>
    <row r="1278" spans="1:59" s="154" customFormat="1" ht="15" customHeight="1">
      <c r="A1278" s="168" t="s">
        <v>4744</v>
      </c>
      <c r="B1278" s="153" t="s">
        <v>4879</v>
      </c>
      <c r="C1278" s="154" t="s">
        <v>4819</v>
      </c>
      <c r="D1278" s="155">
        <v>250</v>
      </c>
      <c r="E1278" s="154">
        <v>1</v>
      </c>
      <c r="F1278" s="154" t="s">
        <v>4745</v>
      </c>
      <c r="G1278" s="154" t="s">
        <v>4874</v>
      </c>
      <c r="J1278" s="154" t="s">
        <v>31</v>
      </c>
      <c r="K1278" s="154" t="s">
        <v>2426</v>
      </c>
      <c r="N1278" s="155"/>
      <c r="O1278" s="156"/>
      <c r="P1278" s="157"/>
      <c r="Q1278" s="158"/>
      <c r="R1278" s="159"/>
      <c r="S1278" s="160"/>
      <c r="T1278" s="161"/>
      <c r="U1278" s="156"/>
      <c r="V1278" s="162"/>
      <c r="W1278" s="163"/>
      <c r="X1278" s="164"/>
      <c r="Y1278" s="159"/>
      <c r="Z1278" s="161"/>
      <c r="AA1278" s="165"/>
      <c r="AD1278" s="154" t="s">
        <v>4867</v>
      </c>
      <c r="AE1278" s="155"/>
      <c r="AI1278" s="154" t="s">
        <v>4874</v>
      </c>
      <c r="AJ1278" s="154" t="s">
        <v>4880</v>
      </c>
      <c r="AL1278" s="154" t="s">
        <v>31</v>
      </c>
      <c r="AM1278" s="154" t="s">
        <v>2426</v>
      </c>
      <c r="AP1278" s="155"/>
      <c r="AQ1278" s="156"/>
      <c r="AR1278" s="157"/>
      <c r="AS1278" s="158"/>
      <c r="AT1278" s="159"/>
      <c r="AU1278" s="161"/>
      <c r="AV1278" s="156"/>
      <c r="AW1278" s="162"/>
      <c r="AX1278" s="163"/>
      <c r="AY1278" s="164"/>
      <c r="AZ1278" s="159" t="s">
        <v>1073</v>
      </c>
      <c r="BA1278" s="161"/>
      <c r="BB1278" s="165"/>
      <c r="BE1278" s="154" t="s">
        <v>4867</v>
      </c>
      <c r="BF1278" s="155"/>
      <c r="BG1278" s="154" t="s">
        <v>4876</v>
      </c>
    </row>
    <row r="1279" spans="1:59" s="154" customFormat="1" ht="15" customHeight="1">
      <c r="A1279" s="153" t="s">
        <v>4744</v>
      </c>
      <c r="B1279" s="23" t="s">
        <v>4881</v>
      </c>
      <c r="C1279" s="154" t="s">
        <v>4819</v>
      </c>
      <c r="D1279" s="155">
        <v>251</v>
      </c>
      <c r="E1279" s="154">
        <v>1</v>
      </c>
      <c r="F1279" s="154" t="s">
        <v>4745</v>
      </c>
      <c r="G1279" s="154" t="s">
        <v>4882</v>
      </c>
      <c r="J1279" s="154" t="s">
        <v>31</v>
      </c>
      <c r="K1279" s="154" t="s">
        <v>2426</v>
      </c>
      <c r="N1279" s="155"/>
      <c r="O1279" s="156"/>
      <c r="P1279" s="157"/>
      <c r="Q1279" s="158"/>
      <c r="R1279" s="159"/>
      <c r="S1279" s="160"/>
      <c r="T1279" s="161"/>
      <c r="U1279" s="156"/>
      <c r="V1279" s="162"/>
      <c r="W1279" s="163"/>
      <c r="X1279" s="164"/>
      <c r="Y1279" s="159"/>
      <c r="Z1279" s="161"/>
      <c r="AA1279" s="165"/>
      <c r="AD1279" s="154" t="s">
        <v>4867</v>
      </c>
      <c r="AE1279" s="155"/>
      <c r="AI1279" s="154" t="s">
        <v>4882</v>
      </c>
      <c r="AL1279" s="154" t="s">
        <v>31</v>
      </c>
      <c r="AM1279" s="154" t="s">
        <v>2426</v>
      </c>
      <c r="AP1279" s="155"/>
      <c r="AQ1279" s="156"/>
      <c r="AR1279" s="157"/>
      <c r="AS1279" s="158"/>
      <c r="AT1279" s="159"/>
      <c r="AU1279" s="161"/>
      <c r="AV1279" s="156"/>
      <c r="AW1279" s="162"/>
      <c r="AX1279" s="163"/>
      <c r="AY1279" s="164"/>
      <c r="AZ1279" s="159" t="s">
        <v>4883</v>
      </c>
      <c r="BA1279" s="161"/>
      <c r="BB1279" s="165"/>
      <c r="BE1279" s="154" t="s">
        <v>4867</v>
      </c>
      <c r="BF1279" s="155"/>
      <c r="BG1279" s="154" t="s">
        <v>4884</v>
      </c>
    </row>
    <row r="1280" spans="1:59" s="154" customFormat="1" ht="15" customHeight="1">
      <c r="A1280" s="168" t="s">
        <v>4744</v>
      </c>
      <c r="B1280" s="23" t="s">
        <v>4885</v>
      </c>
      <c r="C1280" s="154" t="s">
        <v>4819</v>
      </c>
      <c r="D1280" s="155">
        <v>252</v>
      </c>
      <c r="E1280" s="154">
        <v>1</v>
      </c>
      <c r="F1280" s="154" t="s">
        <v>4745</v>
      </c>
      <c r="G1280" s="154" t="s">
        <v>4886</v>
      </c>
      <c r="J1280" s="154" t="s">
        <v>31</v>
      </c>
      <c r="K1280" s="154" t="s">
        <v>2426</v>
      </c>
      <c r="N1280" s="155"/>
      <c r="O1280" s="156"/>
      <c r="P1280" s="157"/>
      <c r="Q1280" s="158"/>
      <c r="R1280" s="159"/>
      <c r="S1280" s="160"/>
      <c r="T1280" s="161"/>
      <c r="U1280" s="156"/>
      <c r="V1280" s="162"/>
      <c r="W1280" s="163"/>
      <c r="X1280" s="164"/>
      <c r="Y1280" s="159"/>
      <c r="Z1280" s="161"/>
      <c r="AA1280" s="165"/>
      <c r="AD1280" s="154" t="s">
        <v>4867</v>
      </c>
      <c r="AE1280" s="155"/>
      <c r="AI1280" s="154" t="s">
        <v>4886</v>
      </c>
      <c r="AL1280" s="154" t="s">
        <v>31</v>
      </c>
      <c r="AM1280" s="154" t="s">
        <v>2426</v>
      </c>
      <c r="AP1280" s="155"/>
      <c r="AQ1280" s="156"/>
      <c r="AR1280" s="157"/>
      <c r="AS1280" s="158"/>
      <c r="AT1280" s="159"/>
      <c r="AU1280" s="161"/>
      <c r="AV1280" s="156"/>
      <c r="AW1280" s="162"/>
      <c r="AX1280" s="163"/>
      <c r="AY1280" s="164"/>
      <c r="AZ1280" s="159" t="s">
        <v>1073</v>
      </c>
      <c r="BA1280" s="161"/>
      <c r="BB1280" s="165">
        <v>1</v>
      </c>
      <c r="BE1280" s="154" t="s">
        <v>4867</v>
      </c>
      <c r="BF1280" s="155"/>
      <c r="BG1280" s="154" t="s">
        <v>4887</v>
      </c>
    </row>
    <row r="1281" spans="1:59" s="154" customFormat="1" ht="15" customHeight="1">
      <c r="A1281" s="168" t="s">
        <v>4744</v>
      </c>
      <c r="B1281" s="23" t="s">
        <v>4888</v>
      </c>
      <c r="C1281" s="154" t="s">
        <v>4819</v>
      </c>
      <c r="D1281" s="155">
        <v>253</v>
      </c>
      <c r="E1281" s="154">
        <v>1</v>
      </c>
      <c r="F1281" s="154" t="s">
        <v>4745</v>
      </c>
      <c r="G1281" s="154" t="s">
        <v>4889</v>
      </c>
      <c r="J1281" s="154" t="s">
        <v>31</v>
      </c>
      <c r="K1281" s="154" t="s">
        <v>2426</v>
      </c>
      <c r="N1281" s="155"/>
      <c r="O1281" s="156"/>
      <c r="P1281" s="157"/>
      <c r="Q1281" s="158"/>
      <c r="R1281" s="159"/>
      <c r="S1281" s="160"/>
      <c r="T1281" s="161"/>
      <c r="U1281" s="156"/>
      <c r="V1281" s="162"/>
      <c r="W1281" s="163"/>
      <c r="X1281" s="164"/>
      <c r="Y1281" s="159"/>
      <c r="Z1281" s="161"/>
      <c r="AA1281" s="165"/>
      <c r="AD1281" s="154" t="s">
        <v>4867</v>
      </c>
      <c r="AE1281" s="155"/>
      <c r="AI1281" s="154" t="s">
        <v>4889</v>
      </c>
      <c r="AL1281" s="154" t="s">
        <v>31</v>
      </c>
      <c r="AM1281" s="154" t="s">
        <v>2426</v>
      </c>
      <c r="AP1281" s="155"/>
      <c r="AQ1281" s="156"/>
      <c r="AR1281" s="157"/>
      <c r="AS1281" s="158"/>
      <c r="AT1281" s="159"/>
      <c r="AU1281" s="161"/>
      <c r="AV1281" s="156"/>
      <c r="AW1281" s="162"/>
      <c r="AX1281" s="163"/>
      <c r="AY1281" s="164"/>
      <c r="AZ1281" s="159" t="s">
        <v>1073</v>
      </c>
      <c r="BA1281" s="161"/>
      <c r="BB1281" s="165"/>
      <c r="BE1281" s="154" t="s">
        <v>4867</v>
      </c>
      <c r="BF1281" s="155"/>
      <c r="BG1281" s="154" t="s">
        <v>4890</v>
      </c>
    </row>
    <row r="1282" spans="1:59" s="154" customFormat="1" ht="15" customHeight="1">
      <c r="A1282" s="153" t="s">
        <v>4744</v>
      </c>
      <c r="B1282" s="23" t="s">
        <v>4891</v>
      </c>
      <c r="C1282" s="154" t="s">
        <v>4819</v>
      </c>
      <c r="D1282" s="155">
        <v>254</v>
      </c>
      <c r="E1282" s="154">
        <v>1</v>
      </c>
      <c r="F1282" s="154" t="s">
        <v>4745</v>
      </c>
      <c r="G1282" s="154" t="s">
        <v>4892</v>
      </c>
      <c r="J1282" s="154" t="s">
        <v>31</v>
      </c>
      <c r="K1282" s="154" t="s">
        <v>2426</v>
      </c>
      <c r="N1282" s="155"/>
      <c r="O1282" s="156"/>
      <c r="P1282" s="157"/>
      <c r="Q1282" s="158"/>
      <c r="R1282" s="159"/>
      <c r="S1282" s="160"/>
      <c r="T1282" s="161"/>
      <c r="U1282" s="156"/>
      <c r="V1282" s="162"/>
      <c r="W1282" s="163"/>
      <c r="X1282" s="164"/>
      <c r="Y1282" s="159"/>
      <c r="Z1282" s="161"/>
      <c r="AA1282" s="165"/>
      <c r="AD1282" s="154" t="s">
        <v>4867</v>
      </c>
      <c r="AE1282" s="155"/>
      <c r="AI1282" s="154" t="s">
        <v>4892</v>
      </c>
      <c r="AL1282" s="154" t="s">
        <v>31</v>
      </c>
      <c r="AM1282" s="154" t="s">
        <v>2426</v>
      </c>
      <c r="AP1282" s="155"/>
      <c r="AQ1282" s="156"/>
      <c r="AR1282" s="157"/>
      <c r="AS1282" s="158"/>
      <c r="AT1282" s="159"/>
      <c r="AU1282" s="161"/>
      <c r="AV1282" s="156"/>
      <c r="AW1282" s="162"/>
      <c r="AX1282" s="163"/>
      <c r="AY1282" s="164"/>
      <c r="AZ1282" s="159" t="s">
        <v>1073</v>
      </c>
      <c r="BA1282" s="161"/>
      <c r="BB1282" s="165">
        <v>1</v>
      </c>
      <c r="BE1282" s="154" t="s">
        <v>4867</v>
      </c>
      <c r="BF1282" s="155"/>
      <c r="BG1282" s="154" t="s">
        <v>4893</v>
      </c>
    </row>
    <row r="1283" spans="1:59" s="154" customFormat="1" ht="15" customHeight="1">
      <c r="A1283" s="168" t="s">
        <v>4744</v>
      </c>
      <c r="B1283" s="23" t="s">
        <v>4894</v>
      </c>
      <c r="C1283" s="154" t="s">
        <v>4819</v>
      </c>
      <c r="D1283" s="155">
        <v>255</v>
      </c>
      <c r="E1283" s="154">
        <v>1</v>
      </c>
      <c r="F1283" s="154" t="s">
        <v>4745</v>
      </c>
      <c r="G1283" s="154" t="s">
        <v>4895</v>
      </c>
      <c r="J1283" s="154" t="s">
        <v>31</v>
      </c>
      <c r="K1283" s="154" t="s">
        <v>2426</v>
      </c>
      <c r="N1283" s="155"/>
      <c r="O1283" s="156"/>
      <c r="P1283" s="157"/>
      <c r="Q1283" s="158"/>
      <c r="R1283" s="159"/>
      <c r="S1283" s="160"/>
      <c r="T1283" s="161"/>
      <c r="U1283" s="156"/>
      <c r="V1283" s="162"/>
      <c r="W1283" s="163"/>
      <c r="X1283" s="164"/>
      <c r="Y1283" s="159"/>
      <c r="Z1283" s="161"/>
      <c r="AA1283" s="165"/>
      <c r="AD1283" s="154" t="s">
        <v>4867</v>
      </c>
      <c r="AE1283" s="155"/>
      <c r="AI1283" s="154" t="s">
        <v>4895</v>
      </c>
      <c r="AL1283" s="154" t="s">
        <v>31</v>
      </c>
      <c r="AM1283" s="154" t="s">
        <v>2426</v>
      </c>
      <c r="AP1283" s="155"/>
      <c r="AQ1283" s="156"/>
      <c r="AR1283" s="157"/>
      <c r="AS1283" s="158"/>
      <c r="AT1283" s="159"/>
      <c r="AU1283" s="161"/>
      <c r="AV1283" s="156"/>
      <c r="AW1283" s="162"/>
      <c r="AX1283" s="163"/>
      <c r="AY1283" s="164"/>
      <c r="AZ1283" s="159" t="s">
        <v>1111</v>
      </c>
      <c r="BA1283" s="161"/>
      <c r="BB1283" s="165">
        <v>2</v>
      </c>
      <c r="BE1283" s="154" t="s">
        <v>4867</v>
      </c>
      <c r="BF1283" s="155"/>
      <c r="BG1283" s="154" t="s">
        <v>4896</v>
      </c>
    </row>
    <row r="1284" spans="1:59" s="154" customFormat="1" ht="15" customHeight="1">
      <c r="A1284" s="168" t="s">
        <v>4744</v>
      </c>
      <c r="B1284" s="23" t="s">
        <v>4897</v>
      </c>
      <c r="C1284" s="154" t="s">
        <v>4819</v>
      </c>
      <c r="D1284" s="155">
        <v>256</v>
      </c>
      <c r="E1284" s="154">
        <v>1</v>
      </c>
      <c r="F1284" s="154" t="s">
        <v>4745</v>
      </c>
      <c r="G1284" s="154" t="s">
        <v>4898</v>
      </c>
      <c r="H1284" s="154" t="s">
        <v>4899</v>
      </c>
      <c r="I1284" s="154" t="s">
        <v>223</v>
      </c>
      <c r="J1284" s="154" t="s">
        <v>257</v>
      </c>
      <c r="K1284" s="154" t="s">
        <v>26</v>
      </c>
      <c r="N1284" s="155">
        <v>0</v>
      </c>
      <c r="O1284" s="156"/>
      <c r="P1284" s="157"/>
      <c r="Q1284" s="158"/>
      <c r="R1284" s="159"/>
      <c r="S1284" s="160"/>
      <c r="T1284" s="161"/>
      <c r="U1284" s="156"/>
      <c r="V1284" s="162"/>
      <c r="W1284" s="163"/>
      <c r="X1284" s="164"/>
      <c r="Y1284" s="159"/>
      <c r="Z1284" s="161"/>
      <c r="AA1284" s="165"/>
      <c r="AD1284" s="154" t="s">
        <v>4900</v>
      </c>
      <c r="AE1284" s="155"/>
      <c r="AF1284" s="154" t="s">
        <v>4901</v>
      </c>
      <c r="AP1284" s="155"/>
      <c r="AQ1284" s="156"/>
      <c r="AR1284" s="157"/>
      <c r="AS1284" s="158"/>
      <c r="AT1284" s="159"/>
      <c r="AU1284" s="161"/>
      <c r="AV1284" s="156"/>
      <c r="AW1284" s="162"/>
      <c r="AX1284" s="163"/>
      <c r="AY1284" s="164"/>
      <c r="AZ1284" s="159"/>
      <c r="BA1284" s="161"/>
      <c r="BB1284" s="165"/>
      <c r="BF1284" s="155"/>
    </row>
    <row r="1285" spans="1:59" s="154" customFormat="1" ht="15" customHeight="1">
      <c r="A1285" s="153" t="s">
        <v>4744</v>
      </c>
      <c r="B1285" s="23" t="s">
        <v>4902</v>
      </c>
      <c r="C1285" s="154" t="s">
        <v>4819</v>
      </c>
      <c r="D1285" s="155">
        <v>257</v>
      </c>
      <c r="E1285" s="154">
        <v>2</v>
      </c>
      <c r="F1285" s="154" t="s">
        <v>4745</v>
      </c>
      <c r="G1285" s="154" t="s">
        <v>4903</v>
      </c>
      <c r="J1285" s="154" t="s">
        <v>29</v>
      </c>
      <c r="K1285" s="154" t="s">
        <v>2426</v>
      </c>
      <c r="N1285" s="155"/>
      <c r="O1285" s="156"/>
      <c r="P1285" s="157"/>
      <c r="Q1285" s="158">
        <v>3</v>
      </c>
      <c r="R1285" s="159">
        <v>3</v>
      </c>
      <c r="S1285" s="160"/>
      <c r="T1285" s="161">
        <v>4</v>
      </c>
      <c r="U1285" s="156"/>
      <c r="V1285" s="162">
        <v>1</v>
      </c>
      <c r="W1285" s="163">
        <v>1</v>
      </c>
      <c r="X1285" s="164"/>
      <c r="Y1285" s="159"/>
      <c r="Z1285" s="161"/>
      <c r="AA1285" s="165"/>
      <c r="AD1285" s="154" t="s">
        <v>490</v>
      </c>
      <c r="AE1285" s="155"/>
      <c r="AF1285" s="154" t="s">
        <v>4904</v>
      </c>
      <c r="AP1285" s="155"/>
      <c r="AQ1285" s="156"/>
      <c r="AR1285" s="157"/>
      <c r="AS1285" s="158"/>
      <c r="AT1285" s="159"/>
      <c r="AU1285" s="161"/>
      <c r="AV1285" s="156"/>
      <c r="AW1285" s="162"/>
      <c r="AX1285" s="163"/>
      <c r="AY1285" s="164"/>
      <c r="AZ1285" s="159"/>
      <c r="BA1285" s="161"/>
      <c r="BB1285" s="165"/>
      <c r="BF1285" s="155"/>
    </row>
    <row r="1286" spans="1:59" s="154" customFormat="1" ht="15" customHeight="1">
      <c r="A1286" s="168" t="s">
        <v>4744</v>
      </c>
      <c r="B1286" s="23" t="s">
        <v>4905</v>
      </c>
      <c r="C1286" s="154" t="s">
        <v>4819</v>
      </c>
      <c r="D1286" s="155">
        <v>258</v>
      </c>
      <c r="E1286" s="154">
        <v>2</v>
      </c>
      <c r="F1286" s="154" t="s">
        <v>4745</v>
      </c>
      <c r="G1286" s="154" t="s">
        <v>4906</v>
      </c>
      <c r="J1286" s="154" t="s">
        <v>29</v>
      </c>
      <c r="K1286" s="154" t="s">
        <v>2426</v>
      </c>
      <c r="N1286" s="155"/>
      <c r="O1286" s="156"/>
      <c r="P1286" s="157"/>
      <c r="Q1286" s="158">
        <v>4</v>
      </c>
      <c r="R1286" s="159">
        <v>1</v>
      </c>
      <c r="S1286" s="160"/>
      <c r="T1286" s="161">
        <v>3</v>
      </c>
      <c r="U1286" s="156"/>
      <c r="V1286" s="162">
        <v>2</v>
      </c>
      <c r="W1286" s="163"/>
      <c r="X1286" s="164"/>
      <c r="Y1286" s="159"/>
      <c r="Z1286" s="161"/>
      <c r="AA1286" s="165"/>
      <c r="AD1286" s="154" t="s">
        <v>490</v>
      </c>
      <c r="AE1286" s="155"/>
      <c r="AF1286" s="154" t="s">
        <v>4907</v>
      </c>
      <c r="AP1286" s="155"/>
      <c r="AQ1286" s="156"/>
      <c r="AR1286" s="157"/>
      <c r="AS1286" s="158"/>
      <c r="AT1286" s="159"/>
      <c r="AU1286" s="161"/>
      <c r="AV1286" s="156"/>
      <c r="AW1286" s="162"/>
      <c r="AX1286" s="163"/>
      <c r="AY1286" s="164"/>
      <c r="AZ1286" s="159"/>
      <c r="BA1286" s="161"/>
      <c r="BB1286" s="165"/>
      <c r="BF1286" s="155"/>
    </row>
    <row r="1287" spans="1:59" s="154" customFormat="1" ht="15" customHeight="1">
      <c r="A1287" s="168" t="s">
        <v>4744</v>
      </c>
      <c r="B1287" s="23" t="s">
        <v>4908</v>
      </c>
      <c r="C1287" s="154" t="s">
        <v>4819</v>
      </c>
      <c r="D1287" s="155">
        <v>259</v>
      </c>
      <c r="E1287" s="154">
        <v>3</v>
      </c>
      <c r="F1287" s="154" t="s">
        <v>4745</v>
      </c>
      <c r="G1287" s="154" t="s">
        <v>4909</v>
      </c>
      <c r="J1287" s="154" t="s">
        <v>29</v>
      </c>
      <c r="K1287" s="154" t="s">
        <v>2426</v>
      </c>
      <c r="N1287" s="155"/>
      <c r="O1287" s="156"/>
      <c r="P1287" s="157"/>
      <c r="Q1287" s="158">
        <v>2</v>
      </c>
      <c r="R1287" s="159">
        <v>2</v>
      </c>
      <c r="S1287" s="160"/>
      <c r="T1287" s="161">
        <v>2</v>
      </c>
      <c r="U1287" s="156"/>
      <c r="V1287" s="162"/>
      <c r="W1287" s="163">
        <v>1</v>
      </c>
      <c r="X1287" s="164"/>
      <c r="Y1287" s="159"/>
      <c r="Z1287" s="161"/>
      <c r="AA1287" s="165"/>
      <c r="AD1287" s="154" t="s">
        <v>490</v>
      </c>
      <c r="AE1287" s="155"/>
      <c r="AF1287" s="154" t="s">
        <v>4910</v>
      </c>
      <c r="AP1287" s="155"/>
      <c r="AQ1287" s="156"/>
      <c r="AR1287" s="157"/>
      <c r="AS1287" s="158"/>
      <c r="AT1287" s="159"/>
      <c r="AU1287" s="161"/>
      <c r="AV1287" s="156"/>
      <c r="AW1287" s="162"/>
      <c r="AX1287" s="163"/>
      <c r="AY1287" s="164"/>
      <c r="AZ1287" s="159"/>
      <c r="BA1287" s="161"/>
      <c r="BB1287" s="165"/>
      <c r="BF1287" s="155"/>
    </row>
    <row r="1288" spans="1:59" s="154" customFormat="1" ht="15" customHeight="1">
      <c r="A1288" s="153" t="s">
        <v>4744</v>
      </c>
      <c r="B1288" s="23" t="s">
        <v>4911</v>
      </c>
      <c r="C1288" s="154" t="s">
        <v>4819</v>
      </c>
      <c r="D1288" s="155">
        <v>260</v>
      </c>
      <c r="E1288" s="154">
        <v>3</v>
      </c>
      <c r="F1288" s="154" t="s">
        <v>4745</v>
      </c>
      <c r="G1288" s="154" t="s">
        <v>4912</v>
      </c>
      <c r="J1288" s="154" t="s">
        <v>28</v>
      </c>
      <c r="K1288" s="154" t="s">
        <v>2426</v>
      </c>
      <c r="N1288" s="155"/>
      <c r="O1288" s="156"/>
      <c r="P1288" s="157"/>
      <c r="Q1288" s="158"/>
      <c r="R1288" s="159"/>
      <c r="S1288" s="160"/>
      <c r="T1288" s="161"/>
      <c r="U1288" s="156"/>
      <c r="V1288" s="162"/>
      <c r="W1288" s="163"/>
      <c r="X1288" s="164"/>
      <c r="Y1288" s="159"/>
      <c r="Z1288" s="161"/>
      <c r="AA1288" s="165"/>
      <c r="AD1288" s="154" t="s">
        <v>4913</v>
      </c>
      <c r="AE1288" s="155"/>
      <c r="AF1288" s="154" t="s">
        <v>4914</v>
      </c>
      <c r="AP1288" s="155"/>
      <c r="AQ1288" s="156"/>
      <c r="AR1288" s="157"/>
      <c r="AS1288" s="158"/>
      <c r="AT1288" s="159"/>
      <c r="AU1288" s="161"/>
      <c r="AV1288" s="156"/>
      <c r="AW1288" s="162"/>
      <c r="AX1288" s="163"/>
      <c r="AY1288" s="164"/>
      <c r="AZ1288" s="159"/>
      <c r="BA1288" s="161"/>
      <c r="BB1288" s="165"/>
      <c r="BF1288" s="155"/>
    </row>
    <row r="1289" spans="1:59" s="154" customFormat="1" ht="15" customHeight="1">
      <c r="A1289" s="168" t="s">
        <v>4744</v>
      </c>
      <c r="B1289" s="23" t="s">
        <v>4915</v>
      </c>
      <c r="C1289" s="154" t="s">
        <v>4819</v>
      </c>
      <c r="D1289" s="155">
        <v>261</v>
      </c>
      <c r="E1289" s="154">
        <v>3</v>
      </c>
      <c r="F1289" s="154" t="s">
        <v>4745</v>
      </c>
      <c r="G1289" s="154" t="s">
        <v>4916</v>
      </c>
      <c r="J1289" s="154" t="s">
        <v>28</v>
      </c>
      <c r="K1289" s="154" t="s">
        <v>2426</v>
      </c>
      <c r="N1289" s="155"/>
      <c r="O1289" s="156"/>
      <c r="P1289" s="157"/>
      <c r="Q1289" s="158"/>
      <c r="R1289" s="159"/>
      <c r="S1289" s="160"/>
      <c r="T1289" s="161"/>
      <c r="U1289" s="156"/>
      <c r="V1289" s="162"/>
      <c r="W1289" s="163"/>
      <c r="X1289" s="164"/>
      <c r="Y1289" s="159"/>
      <c r="Z1289" s="161"/>
      <c r="AA1289" s="165"/>
      <c r="AD1289" s="154" t="s">
        <v>4917</v>
      </c>
      <c r="AE1289" s="155"/>
      <c r="AF1289" s="154" t="s">
        <v>4918</v>
      </c>
      <c r="AP1289" s="155"/>
      <c r="AQ1289" s="156"/>
      <c r="AR1289" s="157"/>
      <c r="AS1289" s="158"/>
      <c r="AT1289" s="159"/>
      <c r="AU1289" s="161"/>
      <c r="AV1289" s="156"/>
      <c r="AW1289" s="162"/>
      <c r="AX1289" s="163"/>
      <c r="AY1289" s="164"/>
      <c r="AZ1289" s="159"/>
      <c r="BA1289" s="161"/>
      <c r="BB1289" s="165"/>
      <c r="BF1289" s="155"/>
    </row>
    <row r="1290" spans="1:59" s="154" customFormat="1" ht="15" customHeight="1">
      <c r="A1290" s="168" t="s">
        <v>4744</v>
      </c>
      <c r="B1290" s="23" t="s">
        <v>4919</v>
      </c>
      <c r="C1290" s="154" t="s">
        <v>4819</v>
      </c>
      <c r="D1290" s="155">
        <v>262</v>
      </c>
      <c r="E1290" s="154">
        <v>2</v>
      </c>
      <c r="F1290" s="154" t="s">
        <v>4745</v>
      </c>
      <c r="G1290" s="154" t="s">
        <v>4920</v>
      </c>
      <c r="J1290" s="154" t="s">
        <v>28</v>
      </c>
      <c r="K1290" s="154" t="s">
        <v>2426</v>
      </c>
      <c r="N1290" s="155"/>
      <c r="O1290" s="156"/>
      <c r="P1290" s="157"/>
      <c r="Q1290" s="158"/>
      <c r="R1290" s="159"/>
      <c r="S1290" s="160"/>
      <c r="T1290" s="161"/>
      <c r="U1290" s="156"/>
      <c r="V1290" s="162"/>
      <c r="W1290" s="163"/>
      <c r="X1290" s="164"/>
      <c r="Y1290" s="159"/>
      <c r="Z1290" s="161"/>
      <c r="AA1290" s="165"/>
      <c r="AD1290" s="154" t="s">
        <v>481</v>
      </c>
      <c r="AE1290" s="155"/>
      <c r="AF1290" s="154" t="s">
        <v>4921</v>
      </c>
      <c r="AP1290" s="155"/>
      <c r="AQ1290" s="156"/>
      <c r="AR1290" s="157"/>
      <c r="AS1290" s="158"/>
      <c r="AT1290" s="159"/>
      <c r="AU1290" s="161"/>
      <c r="AV1290" s="156"/>
      <c r="AW1290" s="162"/>
      <c r="AX1290" s="163"/>
      <c r="AY1290" s="164"/>
      <c r="AZ1290" s="159"/>
      <c r="BA1290" s="161"/>
      <c r="BB1290" s="165"/>
      <c r="BF1290" s="155"/>
    </row>
    <row r="1291" spans="1:59" s="154" customFormat="1" ht="15" customHeight="1">
      <c r="A1291" s="153" t="s">
        <v>4744</v>
      </c>
      <c r="B1291" s="23" t="s">
        <v>4922</v>
      </c>
      <c r="C1291" s="154" t="s">
        <v>4819</v>
      </c>
      <c r="D1291" s="155">
        <v>263</v>
      </c>
      <c r="E1291" s="154">
        <v>2</v>
      </c>
      <c r="F1291" s="154" t="s">
        <v>4745</v>
      </c>
      <c r="G1291" s="154" t="s">
        <v>4923</v>
      </c>
      <c r="J1291" s="154" t="s">
        <v>28</v>
      </c>
      <c r="K1291" s="154" t="s">
        <v>2426</v>
      </c>
      <c r="N1291" s="155"/>
      <c r="O1291" s="156"/>
      <c r="P1291" s="157"/>
      <c r="Q1291" s="158"/>
      <c r="R1291" s="159"/>
      <c r="S1291" s="160"/>
      <c r="T1291" s="161"/>
      <c r="U1291" s="156"/>
      <c r="V1291" s="162"/>
      <c r="W1291" s="163"/>
      <c r="X1291" s="164"/>
      <c r="Y1291" s="159"/>
      <c r="Z1291" s="161"/>
      <c r="AA1291" s="165"/>
      <c r="AD1291" s="154" t="s">
        <v>486</v>
      </c>
      <c r="AE1291" s="155"/>
      <c r="AF1291" s="154" t="s">
        <v>4924</v>
      </c>
      <c r="AP1291" s="155"/>
      <c r="AQ1291" s="156"/>
      <c r="AR1291" s="157"/>
      <c r="AS1291" s="158"/>
      <c r="AT1291" s="159"/>
      <c r="AU1291" s="161"/>
      <c r="AV1291" s="156"/>
      <c r="AW1291" s="162"/>
      <c r="AX1291" s="163"/>
      <c r="AY1291" s="164"/>
      <c r="AZ1291" s="159"/>
      <c r="BA1291" s="161"/>
      <c r="BB1291" s="165"/>
      <c r="BF1291" s="155"/>
    </row>
    <row r="1292" spans="1:59" s="154" customFormat="1" ht="15" customHeight="1">
      <c r="A1292" s="168" t="s">
        <v>4744</v>
      </c>
      <c r="B1292" s="23" t="s">
        <v>4925</v>
      </c>
      <c r="C1292" s="154" t="s">
        <v>4819</v>
      </c>
      <c r="D1292" s="155">
        <v>264</v>
      </c>
      <c r="E1292" s="154">
        <v>4</v>
      </c>
      <c r="F1292" s="154" t="s">
        <v>4745</v>
      </c>
      <c r="G1292" s="154" t="s">
        <v>4926</v>
      </c>
      <c r="J1292" s="154" t="s">
        <v>28</v>
      </c>
      <c r="K1292" s="154" t="s">
        <v>2426</v>
      </c>
      <c r="N1292" s="155"/>
      <c r="O1292" s="156"/>
      <c r="P1292" s="157"/>
      <c r="Q1292" s="158"/>
      <c r="R1292" s="159"/>
      <c r="S1292" s="160"/>
      <c r="T1292" s="161"/>
      <c r="U1292" s="156"/>
      <c r="V1292" s="162"/>
      <c r="W1292" s="163"/>
      <c r="X1292" s="164"/>
      <c r="Y1292" s="159"/>
      <c r="Z1292" s="161"/>
      <c r="AA1292" s="165"/>
      <c r="AD1292" s="154" t="s">
        <v>4927</v>
      </c>
      <c r="AE1292" s="155"/>
      <c r="AF1292" s="154" t="s">
        <v>4928</v>
      </c>
      <c r="AP1292" s="155"/>
      <c r="AQ1292" s="156"/>
      <c r="AR1292" s="157"/>
      <c r="AS1292" s="158"/>
      <c r="AT1292" s="159"/>
      <c r="AU1292" s="161"/>
      <c r="AV1292" s="156"/>
      <c r="AW1292" s="162"/>
      <c r="AX1292" s="163"/>
      <c r="AY1292" s="164"/>
      <c r="AZ1292" s="159"/>
      <c r="BA1292" s="161"/>
      <c r="BB1292" s="165"/>
      <c r="BF1292" s="155"/>
    </row>
    <row r="1293" spans="1:59" s="171" customFormat="1" ht="15" customHeight="1">
      <c r="A1293" s="168" t="s">
        <v>4951</v>
      </c>
      <c r="B1293" s="154" t="s">
        <v>4954</v>
      </c>
      <c r="C1293" s="154" t="s">
        <v>4955</v>
      </c>
      <c r="D1293" s="170">
        <v>265</v>
      </c>
      <c r="E1293" s="171">
        <v>2</v>
      </c>
      <c r="F1293" s="154"/>
      <c r="G1293" s="171" t="s">
        <v>4956</v>
      </c>
      <c r="J1293" s="171" t="s">
        <v>257</v>
      </c>
      <c r="K1293" s="171" t="s">
        <v>198</v>
      </c>
      <c r="L1293" s="171">
        <v>0</v>
      </c>
      <c r="N1293" s="170">
        <v>2</v>
      </c>
      <c r="O1293" s="156"/>
      <c r="P1293" s="157"/>
      <c r="Q1293" s="158"/>
      <c r="R1293" s="159">
        <v>1</v>
      </c>
      <c r="S1293" s="160"/>
      <c r="T1293" s="161"/>
      <c r="U1293" s="156"/>
      <c r="V1293" s="162"/>
      <c r="W1293" s="163"/>
      <c r="X1293" s="164"/>
      <c r="Y1293" s="159"/>
      <c r="Z1293" s="161"/>
      <c r="AA1293" s="165"/>
      <c r="AB1293" s="171" t="s">
        <v>207</v>
      </c>
      <c r="AD1293" s="171" t="s">
        <v>4957</v>
      </c>
      <c r="AE1293" s="170"/>
      <c r="AF1293" s="171" t="s">
        <v>4958</v>
      </c>
      <c r="AQ1293" s="156"/>
      <c r="AR1293" s="157"/>
      <c r="AS1293" s="158"/>
      <c r="AT1293" s="159"/>
      <c r="AU1293" s="161"/>
      <c r="AV1293" s="156"/>
      <c r="AW1293" s="162"/>
      <c r="AX1293" s="163"/>
      <c r="AY1293" s="164"/>
      <c r="AZ1293" s="159"/>
      <c r="BA1293" s="161"/>
      <c r="BB1293" s="165"/>
      <c r="BF1293" s="170"/>
    </row>
    <row r="1294" spans="1:59" s="154" customFormat="1" ht="15" customHeight="1">
      <c r="A1294" s="168" t="s">
        <v>4951</v>
      </c>
      <c r="B1294" s="154" t="s">
        <v>4959</v>
      </c>
      <c r="C1294" s="154" t="s">
        <v>4955</v>
      </c>
      <c r="D1294" s="170">
        <v>266</v>
      </c>
      <c r="E1294" s="154">
        <v>2</v>
      </c>
      <c r="G1294" s="154" t="s">
        <v>4960</v>
      </c>
      <c r="J1294" s="171" t="s">
        <v>27</v>
      </c>
      <c r="K1294" s="154" t="s">
        <v>198</v>
      </c>
      <c r="L1294" s="154">
        <v>3</v>
      </c>
      <c r="N1294" s="155">
        <v>1</v>
      </c>
      <c r="O1294" s="156">
        <v>1</v>
      </c>
      <c r="P1294" s="157"/>
      <c r="Q1294" s="158">
        <v>1</v>
      </c>
      <c r="R1294" s="159"/>
      <c r="S1294" s="160"/>
      <c r="T1294" s="161"/>
      <c r="U1294" s="156"/>
      <c r="V1294" s="162"/>
      <c r="W1294" s="163"/>
      <c r="X1294" s="164"/>
      <c r="Y1294" s="159"/>
      <c r="Z1294" s="161"/>
      <c r="AA1294" s="165"/>
      <c r="AB1294" s="154" t="s">
        <v>1083</v>
      </c>
      <c r="AD1294" s="154" t="s">
        <v>674</v>
      </c>
      <c r="AE1294" s="155"/>
      <c r="AF1294" s="154" t="s">
        <v>4961</v>
      </c>
      <c r="AL1294" s="171"/>
      <c r="AO1294" s="155"/>
      <c r="AP1294" s="155"/>
      <c r="AQ1294" s="156"/>
      <c r="AR1294" s="157"/>
      <c r="AS1294" s="158"/>
      <c r="AT1294" s="159"/>
      <c r="AU1294" s="161"/>
      <c r="AV1294" s="156"/>
      <c r="AW1294" s="162"/>
      <c r="AX1294" s="163"/>
      <c r="AY1294" s="164"/>
      <c r="AZ1294" s="159"/>
      <c r="BA1294" s="161"/>
      <c r="BB1294" s="165"/>
      <c r="BE1294" s="155"/>
    </row>
    <row r="1295" spans="1:59" s="154" customFormat="1" ht="15" customHeight="1">
      <c r="A1295" s="168" t="s">
        <v>4951</v>
      </c>
      <c r="B1295" s="153" t="s">
        <v>4962</v>
      </c>
      <c r="C1295" s="154" t="s">
        <v>4955</v>
      </c>
      <c r="D1295" s="170">
        <v>267</v>
      </c>
      <c r="E1295" s="154">
        <v>2</v>
      </c>
      <c r="G1295" s="154" t="s">
        <v>4963</v>
      </c>
      <c r="J1295" s="171" t="s">
        <v>257</v>
      </c>
      <c r="K1295" s="154" t="s">
        <v>199</v>
      </c>
      <c r="L1295" s="154">
        <v>3</v>
      </c>
      <c r="N1295" s="155">
        <v>2</v>
      </c>
      <c r="O1295" s="156"/>
      <c r="P1295" s="157">
        <v>1</v>
      </c>
      <c r="Q1295" s="158"/>
      <c r="R1295" s="159"/>
      <c r="S1295" s="160"/>
      <c r="T1295" s="161"/>
      <c r="U1295" s="156"/>
      <c r="V1295" s="162"/>
      <c r="W1295" s="163"/>
      <c r="X1295" s="164"/>
      <c r="Y1295" s="159"/>
      <c r="Z1295" s="161"/>
      <c r="AA1295" s="165"/>
      <c r="AB1295" s="154" t="s">
        <v>205</v>
      </c>
      <c r="AC1295" s="154" t="s">
        <v>378</v>
      </c>
      <c r="AD1295" s="154" t="s">
        <v>279</v>
      </c>
      <c r="AE1295" s="155"/>
      <c r="AF1295" s="154" t="s">
        <v>4964</v>
      </c>
      <c r="AL1295" s="171"/>
      <c r="AO1295" s="155"/>
      <c r="AP1295" s="155"/>
      <c r="AQ1295" s="156"/>
      <c r="AR1295" s="157"/>
      <c r="AS1295" s="158"/>
      <c r="AT1295" s="159"/>
      <c r="AU1295" s="161"/>
      <c r="AV1295" s="156"/>
      <c r="AW1295" s="162"/>
      <c r="AX1295" s="163"/>
      <c r="AY1295" s="164"/>
      <c r="AZ1295" s="159"/>
      <c r="BA1295" s="161"/>
      <c r="BB1295" s="165"/>
      <c r="BE1295" s="155"/>
    </row>
    <row r="1296" spans="1:59" s="154" customFormat="1" ht="15" customHeight="1">
      <c r="A1296" s="168" t="s">
        <v>4951</v>
      </c>
      <c r="B1296" s="153" t="s">
        <v>4965</v>
      </c>
      <c r="C1296" s="154" t="s">
        <v>4955</v>
      </c>
      <c r="D1296" s="170">
        <v>268</v>
      </c>
      <c r="E1296" s="154">
        <v>2</v>
      </c>
      <c r="G1296" s="154" t="s">
        <v>4966</v>
      </c>
      <c r="J1296" s="171" t="s">
        <v>257</v>
      </c>
      <c r="K1296" s="154" t="s">
        <v>201</v>
      </c>
      <c r="L1296" s="154">
        <v>0</v>
      </c>
      <c r="N1296" s="155">
        <v>2</v>
      </c>
      <c r="O1296" s="156"/>
      <c r="P1296" s="157"/>
      <c r="Q1296" s="158"/>
      <c r="R1296" s="159">
        <v>1</v>
      </c>
      <c r="S1296" s="160"/>
      <c r="T1296" s="161"/>
      <c r="U1296" s="156"/>
      <c r="V1296" s="162"/>
      <c r="W1296" s="163"/>
      <c r="X1296" s="164"/>
      <c r="Y1296" s="159"/>
      <c r="Z1296" s="161"/>
      <c r="AA1296" s="165"/>
      <c r="AB1296" s="154" t="s">
        <v>207</v>
      </c>
      <c r="AC1296" s="154" t="s">
        <v>258</v>
      </c>
      <c r="AD1296" s="154" t="s">
        <v>923</v>
      </c>
      <c r="AE1296" s="155"/>
      <c r="AF1296" s="154" t="s">
        <v>4967</v>
      </c>
      <c r="AL1296" s="171"/>
      <c r="AO1296" s="155"/>
      <c r="AP1296" s="155"/>
      <c r="AQ1296" s="156"/>
      <c r="AR1296" s="157"/>
      <c r="AS1296" s="158"/>
      <c r="AT1296" s="159"/>
      <c r="AU1296" s="161"/>
      <c r="AV1296" s="156"/>
      <c r="AW1296" s="162"/>
      <c r="AX1296" s="163"/>
      <c r="AY1296" s="164"/>
      <c r="AZ1296" s="159"/>
      <c r="BA1296" s="161"/>
      <c r="BB1296" s="165"/>
      <c r="BE1296" s="155"/>
    </row>
    <row r="1297" spans="1:59" s="154" customFormat="1" ht="15" customHeight="1">
      <c r="A1297" s="168" t="s">
        <v>4951</v>
      </c>
      <c r="B1297" s="153" t="s">
        <v>4968</v>
      </c>
      <c r="C1297" s="154" t="s">
        <v>4955</v>
      </c>
      <c r="D1297" s="170">
        <v>269</v>
      </c>
      <c r="E1297" s="154">
        <v>2</v>
      </c>
      <c r="G1297" s="154" t="s">
        <v>4969</v>
      </c>
      <c r="J1297" s="154" t="s">
        <v>27</v>
      </c>
      <c r="K1297" s="154" t="s">
        <v>201</v>
      </c>
      <c r="L1297" s="154">
        <v>0</v>
      </c>
      <c r="N1297" s="154">
        <v>2</v>
      </c>
      <c r="O1297" s="156"/>
      <c r="P1297" s="157"/>
      <c r="Q1297" s="158">
        <v>2</v>
      </c>
      <c r="R1297" s="159"/>
      <c r="S1297" s="160"/>
      <c r="T1297" s="161"/>
      <c r="U1297" s="156"/>
      <c r="V1297" s="162"/>
      <c r="W1297" s="163"/>
      <c r="X1297" s="164"/>
      <c r="Y1297" s="159"/>
      <c r="Z1297" s="161"/>
      <c r="AA1297" s="165"/>
      <c r="AB1297" s="154" t="s">
        <v>1088</v>
      </c>
      <c r="AD1297" s="154" t="s">
        <v>4970</v>
      </c>
      <c r="AF1297" s="154" t="s">
        <v>4971</v>
      </c>
      <c r="AO1297" s="155"/>
      <c r="AQ1297" s="156"/>
      <c r="AR1297" s="157"/>
      <c r="AS1297" s="158"/>
      <c r="AT1297" s="159"/>
      <c r="AU1297" s="161"/>
      <c r="AV1297" s="156"/>
      <c r="AW1297" s="162"/>
      <c r="AX1297" s="163"/>
      <c r="AY1297" s="164"/>
      <c r="AZ1297" s="159"/>
      <c r="BA1297" s="161"/>
      <c r="BB1297" s="165"/>
      <c r="BE1297" s="155"/>
    </row>
    <row r="1298" spans="1:59" s="154" customFormat="1" ht="15" customHeight="1">
      <c r="A1298" s="168" t="s">
        <v>4951</v>
      </c>
      <c r="B1298" s="169" t="s">
        <v>4972</v>
      </c>
      <c r="C1298" s="154" t="s">
        <v>4955</v>
      </c>
      <c r="D1298" s="170">
        <v>270</v>
      </c>
      <c r="E1298" s="154">
        <v>2</v>
      </c>
      <c r="G1298" s="154" t="s">
        <v>4973</v>
      </c>
      <c r="I1298" s="154" t="s">
        <v>223</v>
      </c>
      <c r="J1298" s="154" t="s">
        <v>257</v>
      </c>
      <c r="K1298" s="154" t="s">
        <v>201</v>
      </c>
      <c r="L1298" s="154">
        <v>2</v>
      </c>
      <c r="N1298" s="154">
        <v>3</v>
      </c>
      <c r="O1298" s="156"/>
      <c r="P1298" s="157">
        <v>2</v>
      </c>
      <c r="Q1298" s="158"/>
      <c r="R1298" s="159"/>
      <c r="S1298" s="160"/>
      <c r="T1298" s="161"/>
      <c r="U1298" s="156"/>
      <c r="V1298" s="162"/>
      <c r="W1298" s="163"/>
      <c r="X1298" s="164"/>
      <c r="Y1298" s="159"/>
      <c r="Z1298" s="161"/>
      <c r="AA1298" s="165"/>
      <c r="AB1298" s="154" t="s">
        <v>1084</v>
      </c>
      <c r="AD1298" s="154" t="s">
        <v>3892</v>
      </c>
      <c r="AF1298" s="154" t="s">
        <v>4974</v>
      </c>
      <c r="AO1298" s="155"/>
      <c r="AQ1298" s="156"/>
      <c r="AR1298" s="157"/>
      <c r="AS1298" s="158"/>
      <c r="AT1298" s="159"/>
      <c r="AU1298" s="161"/>
      <c r="AV1298" s="156"/>
      <c r="AW1298" s="162"/>
      <c r="AX1298" s="163"/>
      <c r="AY1298" s="164"/>
      <c r="AZ1298" s="159"/>
      <c r="BA1298" s="161"/>
      <c r="BB1298" s="165"/>
      <c r="BE1298" s="155"/>
    </row>
    <row r="1299" spans="1:59" s="154" customFormat="1" ht="15" customHeight="1">
      <c r="A1299" s="168" t="s">
        <v>4951</v>
      </c>
      <c r="B1299" s="153" t="s">
        <v>4975</v>
      </c>
      <c r="C1299" s="154" t="s">
        <v>4955</v>
      </c>
      <c r="D1299" s="170">
        <v>271</v>
      </c>
      <c r="E1299" s="154">
        <v>2</v>
      </c>
      <c r="G1299" s="154" t="s">
        <v>3900</v>
      </c>
      <c r="J1299" s="154" t="s">
        <v>257</v>
      </c>
      <c r="K1299" s="154" t="s">
        <v>200</v>
      </c>
      <c r="L1299" s="154">
        <v>4</v>
      </c>
      <c r="N1299" s="154">
        <v>2</v>
      </c>
      <c r="O1299" s="156">
        <v>1</v>
      </c>
      <c r="P1299" s="157"/>
      <c r="Q1299" s="158"/>
      <c r="R1299" s="159">
        <v>1</v>
      </c>
      <c r="S1299" s="160"/>
      <c r="T1299" s="161"/>
      <c r="U1299" s="156"/>
      <c r="V1299" s="162"/>
      <c r="W1299" s="163"/>
      <c r="X1299" s="164"/>
      <c r="Y1299" s="159"/>
      <c r="Z1299" s="161"/>
      <c r="AA1299" s="165"/>
      <c r="AB1299" s="154" t="s">
        <v>1085</v>
      </c>
      <c r="AC1299" s="154" t="s">
        <v>378</v>
      </c>
      <c r="AD1299" s="154" t="s">
        <v>279</v>
      </c>
      <c r="AF1299" s="154" t="s">
        <v>4976</v>
      </c>
      <c r="AO1299" s="155"/>
      <c r="AQ1299" s="156"/>
      <c r="AR1299" s="157"/>
      <c r="AS1299" s="158"/>
      <c r="AT1299" s="159"/>
      <c r="AU1299" s="161"/>
      <c r="AV1299" s="156"/>
      <c r="AW1299" s="162"/>
      <c r="AX1299" s="163"/>
      <c r="AY1299" s="164"/>
      <c r="AZ1299" s="159"/>
      <c r="BA1299" s="161"/>
      <c r="BB1299" s="165"/>
      <c r="BE1299" s="155"/>
    </row>
    <row r="1300" spans="1:59" s="154" customFormat="1" ht="15" customHeight="1">
      <c r="A1300" s="168" t="s">
        <v>4951</v>
      </c>
      <c r="B1300" s="153" t="s">
        <v>4977</v>
      </c>
      <c r="C1300" s="154" t="s">
        <v>4955</v>
      </c>
      <c r="D1300" s="170">
        <v>272</v>
      </c>
      <c r="E1300" s="154">
        <v>2</v>
      </c>
      <c r="G1300" s="154" t="s">
        <v>4978</v>
      </c>
      <c r="J1300" s="154" t="s">
        <v>27</v>
      </c>
      <c r="K1300" s="154" t="s">
        <v>202</v>
      </c>
      <c r="L1300" s="154">
        <v>0</v>
      </c>
      <c r="N1300" s="154">
        <v>1</v>
      </c>
      <c r="O1300" s="156"/>
      <c r="P1300" s="157"/>
      <c r="Q1300" s="158"/>
      <c r="R1300" s="159"/>
      <c r="S1300" s="160"/>
      <c r="T1300" s="161"/>
      <c r="U1300" s="156"/>
      <c r="V1300" s="162"/>
      <c r="W1300" s="163"/>
      <c r="X1300" s="164"/>
      <c r="Y1300" s="159"/>
      <c r="Z1300" s="161"/>
      <c r="AA1300" s="165"/>
      <c r="AD1300" s="154" t="s">
        <v>3912</v>
      </c>
      <c r="AF1300" s="154" t="s">
        <v>4979</v>
      </c>
      <c r="AO1300" s="155"/>
      <c r="AQ1300" s="156"/>
      <c r="AR1300" s="157"/>
      <c r="AS1300" s="158"/>
      <c r="AT1300" s="159"/>
      <c r="AU1300" s="161"/>
      <c r="AV1300" s="156"/>
      <c r="AW1300" s="162"/>
      <c r="AX1300" s="163"/>
      <c r="AY1300" s="164"/>
      <c r="AZ1300" s="159"/>
      <c r="BA1300" s="161"/>
      <c r="BB1300" s="165"/>
      <c r="BE1300" s="155"/>
    </row>
    <row r="1301" spans="1:59" s="154" customFormat="1" ht="15" customHeight="1">
      <c r="A1301" s="168" t="s">
        <v>4951</v>
      </c>
      <c r="B1301" s="153" t="s">
        <v>4980</v>
      </c>
      <c r="C1301" s="154" t="s">
        <v>4955</v>
      </c>
      <c r="D1301" s="170">
        <v>273</v>
      </c>
      <c r="E1301" s="154">
        <v>2</v>
      </c>
      <c r="G1301" s="154" t="s">
        <v>4981</v>
      </c>
      <c r="J1301" s="154" t="s">
        <v>257</v>
      </c>
      <c r="K1301" s="154" t="s">
        <v>202</v>
      </c>
      <c r="L1301" s="154">
        <v>3</v>
      </c>
      <c r="N1301" s="172">
        <v>3</v>
      </c>
      <c r="O1301" s="156"/>
      <c r="P1301" s="157"/>
      <c r="Q1301" s="158">
        <v>1</v>
      </c>
      <c r="R1301" s="159">
        <v>1</v>
      </c>
      <c r="S1301" s="160"/>
      <c r="T1301" s="161"/>
      <c r="U1301" s="156"/>
      <c r="V1301" s="162"/>
      <c r="W1301" s="163"/>
      <c r="X1301" s="164"/>
      <c r="Y1301" s="159"/>
      <c r="Z1301" s="161"/>
      <c r="AA1301" s="165"/>
      <c r="AB1301" s="154" t="s">
        <v>1087</v>
      </c>
      <c r="AC1301" s="154" t="s">
        <v>322</v>
      </c>
      <c r="AD1301" s="154" t="s">
        <v>259</v>
      </c>
      <c r="AF1301" s="154" t="s">
        <v>4982</v>
      </c>
      <c r="AO1301" s="155"/>
      <c r="AQ1301" s="156"/>
      <c r="AR1301" s="157"/>
      <c r="AS1301" s="158"/>
      <c r="AT1301" s="159"/>
      <c r="AU1301" s="161"/>
      <c r="AV1301" s="156"/>
      <c r="AW1301" s="162"/>
      <c r="AX1301" s="163"/>
      <c r="AY1301" s="164"/>
      <c r="AZ1301" s="159"/>
      <c r="BA1301" s="161"/>
      <c r="BB1301" s="165"/>
      <c r="BE1301" s="155"/>
    </row>
    <row r="1302" spans="1:59" s="154" customFormat="1" ht="15" customHeight="1">
      <c r="A1302" s="168" t="s">
        <v>4951</v>
      </c>
      <c r="B1302" s="153" t="s">
        <v>4983</v>
      </c>
      <c r="C1302" s="154" t="s">
        <v>4955</v>
      </c>
      <c r="D1302" s="170">
        <v>274</v>
      </c>
      <c r="E1302" s="154">
        <v>2</v>
      </c>
      <c r="G1302" s="154" t="s">
        <v>4984</v>
      </c>
      <c r="J1302" s="154" t="s">
        <v>257</v>
      </c>
      <c r="K1302" s="154" t="s">
        <v>26</v>
      </c>
      <c r="L1302" s="154">
        <v>0</v>
      </c>
      <c r="N1302" s="154">
        <v>4</v>
      </c>
      <c r="O1302" s="156">
        <v>1</v>
      </c>
      <c r="P1302" s="157"/>
      <c r="Q1302" s="158"/>
      <c r="R1302" s="159"/>
      <c r="S1302" s="160"/>
      <c r="T1302" s="161"/>
      <c r="U1302" s="156"/>
      <c r="V1302" s="162"/>
      <c r="W1302" s="163"/>
      <c r="X1302" s="164"/>
      <c r="Y1302" s="159"/>
      <c r="Z1302" s="161"/>
      <c r="AA1302" s="165"/>
      <c r="AB1302" s="154" t="s">
        <v>204</v>
      </c>
      <c r="AD1302" s="154" t="s">
        <v>265</v>
      </c>
      <c r="AF1302" s="154" t="s">
        <v>4985</v>
      </c>
      <c r="AO1302" s="155"/>
      <c r="AQ1302" s="156"/>
      <c r="AR1302" s="157"/>
      <c r="AS1302" s="158"/>
      <c r="AT1302" s="159"/>
      <c r="AU1302" s="161"/>
      <c r="AV1302" s="156"/>
      <c r="AW1302" s="162"/>
      <c r="AX1302" s="163"/>
      <c r="AY1302" s="164"/>
      <c r="AZ1302" s="159"/>
      <c r="BA1302" s="161"/>
      <c r="BB1302" s="165"/>
      <c r="BE1302" s="155"/>
    </row>
    <row r="1303" spans="1:59" s="154" customFormat="1" ht="15" customHeight="1">
      <c r="A1303" s="168" t="s">
        <v>4951</v>
      </c>
      <c r="B1303" s="153" t="s">
        <v>4986</v>
      </c>
      <c r="C1303" s="154" t="s">
        <v>4955</v>
      </c>
      <c r="D1303" s="170">
        <v>275</v>
      </c>
      <c r="E1303" s="154">
        <v>2</v>
      </c>
      <c r="G1303" s="154" t="s">
        <v>4987</v>
      </c>
      <c r="J1303" s="154" t="s">
        <v>257</v>
      </c>
      <c r="K1303" s="154" t="s">
        <v>26</v>
      </c>
      <c r="L1303" s="154">
        <v>3</v>
      </c>
      <c r="N1303" s="154">
        <v>2</v>
      </c>
      <c r="O1303" s="156">
        <v>1</v>
      </c>
      <c r="P1303" s="157">
        <v>1</v>
      </c>
      <c r="Q1303" s="158"/>
      <c r="R1303" s="159"/>
      <c r="S1303" s="160"/>
      <c r="T1303" s="161"/>
      <c r="U1303" s="156"/>
      <c r="V1303" s="162"/>
      <c r="W1303" s="163"/>
      <c r="X1303" s="164"/>
      <c r="Y1303" s="159"/>
      <c r="Z1303" s="161"/>
      <c r="AA1303" s="165"/>
      <c r="AB1303" s="154" t="s">
        <v>1092</v>
      </c>
      <c r="AD1303" s="154" t="s">
        <v>276</v>
      </c>
      <c r="AF1303" s="154" t="s">
        <v>4988</v>
      </c>
      <c r="AO1303" s="155"/>
      <c r="AQ1303" s="156"/>
      <c r="AR1303" s="157"/>
      <c r="AS1303" s="158"/>
      <c r="AT1303" s="159"/>
      <c r="AU1303" s="161"/>
      <c r="AV1303" s="156"/>
      <c r="AW1303" s="162"/>
      <c r="AX1303" s="163"/>
      <c r="AY1303" s="164"/>
      <c r="AZ1303" s="159"/>
      <c r="BA1303" s="161"/>
      <c r="BB1303" s="165"/>
      <c r="BE1303" s="155"/>
    </row>
    <row r="1304" spans="1:59" s="154" customFormat="1" ht="15" customHeight="1">
      <c r="A1304" s="168" t="s">
        <v>4951</v>
      </c>
      <c r="B1304" s="153" t="s">
        <v>4989</v>
      </c>
      <c r="C1304" s="154" t="s">
        <v>4955</v>
      </c>
      <c r="D1304" s="170">
        <v>276</v>
      </c>
      <c r="E1304" s="154">
        <v>2</v>
      </c>
      <c r="G1304" s="154" t="s">
        <v>4990</v>
      </c>
      <c r="J1304" s="154" t="s">
        <v>257</v>
      </c>
      <c r="K1304" s="154" t="s">
        <v>26</v>
      </c>
      <c r="L1304" s="154">
        <v>5</v>
      </c>
      <c r="N1304" s="154">
        <v>5</v>
      </c>
      <c r="O1304" s="156">
        <v>1</v>
      </c>
      <c r="P1304" s="157"/>
      <c r="Q1304" s="158">
        <v>1</v>
      </c>
      <c r="R1304" s="159"/>
      <c r="S1304" s="160"/>
      <c r="T1304" s="161"/>
      <c r="U1304" s="156"/>
      <c r="V1304" s="162"/>
      <c r="W1304" s="163"/>
      <c r="X1304" s="164"/>
      <c r="Y1304" s="159"/>
      <c r="Z1304" s="161"/>
      <c r="AA1304" s="165"/>
      <c r="AB1304" s="154" t="s">
        <v>1083</v>
      </c>
      <c r="AC1304" s="154" t="s">
        <v>258</v>
      </c>
      <c r="AD1304" s="154" t="s">
        <v>2615</v>
      </c>
      <c r="AF1304" s="154" t="s">
        <v>4991</v>
      </c>
      <c r="AO1304" s="155"/>
      <c r="AQ1304" s="156"/>
      <c r="AR1304" s="157"/>
      <c r="AS1304" s="158"/>
      <c r="AT1304" s="159"/>
      <c r="AU1304" s="161"/>
      <c r="AV1304" s="156"/>
      <c r="AW1304" s="162"/>
      <c r="AX1304" s="163"/>
      <c r="AY1304" s="164"/>
      <c r="AZ1304" s="159"/>
      <c r="BA1304" s="161"/>
      <c r="BB1304" s="165"/>
      <c r="BE1304" s="155"/>
    </row>
    <row r="1305" spans="1:59" s="154" customFormat="1" ht="15" customHeight="1">
      <c r="A1305" s="168" t="s">
        <v>4951</v>
      </c>
      <c r="B1305" s="153" t="s">
        <v>4992</v>
      </c>
      <c r="C1305" s="154" t="s">
        <v>4955</v>
      </c>
      <c r="D1305" s="170">
        <v>277</v>
      </c>
      <c r="E1305" s="154">
        <v>1</v>
      </c>
      <c r="F1305" s="154" t="s">
        <v>4952</v>
      </c>
      <c r="G1305" s="154" t="s">
        <v>4952</v>
      </c>
      <c r="J1305" s="154" t="s">
        <v>618</v>
      </c>
      <c r="K1305" s="154" t="s">
        <v>2426</v>
      </c>
      <c r="O1305" s="156"/>
      <c r="P1305" s="157"/>
      <c r="Q1305" s="158"/>
      <c r="R1305" s="159"/>
      <c r="S1305" s="160"/>
      <c r="T1305" s="161"/>
      <c r="U1305" s="156"/>
      <c r="V1305" s="162"/>
      <c r="W1305" s="163"/>
      <c r="X1305" s="164"/>
      <c r="Y1305" s="159"/>
      <c r="Z1305" s="161"/>
      <c r="AA1305" s="165"/>
      <c r="AF1305" s="154" t="s">
        <v>4993</v>
      </c>
      <c r="AI1305" s="154" t="s">
        <v>4952</v>
      </c>
      <c r="AL1305" s="154" t="s">
        <v>618</v>
      </c>
      <c r="AM1305" s="154" t="s">
        <v>2426</v>
      </c>
      <c r="AO1305" s="155"/>
      <c r="AQ1305" s="156"/>
      <c r="AR1305" s="157"/>
      <c r="AS1305" s="158"/>
      <c r="AT1305" s="159"/>
      <c r="AU1305" s="161"/>
      <c r="AV1305" s="156"/>
      <c r="AW1305" s="162"/>
      <c r="AX1305" s="163"/>
      <c r="AY1305" s="164"/>
      <c r="AZ1305" s="159"/>
      <c r="BA1305" s="161"/>
      <c r="BB1305" s="165"/>
      <c r="BE1305" s="155"/>
      <c r="BG1305" s="154" t="s">
        <v>4994</v>
      </c>
    </row>
    <row r="1306" spans="1:59" s="154" customFormat="1" ht="15" customHeight="1">
      <c r="A1306" s="168" t="s">
        <v>4951</v>
      </c>
      <c r="B1306" s="153" t="s">
        <v>4995</v>
      </c>
      <c r="C1306" s="154" t="s">
        <v>4955</v>
      </c>
      <c r="D1306" s="170">
        <v>278</v>
      </c>
      <c r="E1306" s="154">
        <v>1</v>
      </c>
      <c r="F1306" s="154" t="s">
        <v>4952</v>
      </c>
      <c r="G1306" s="154" t="s">
        <v>4996</v>
      </c>
      <c r="J1306" s="154" t="s">
        <v>619</v>
      </c>
      <c r="K1306" s="154" t="s">
        <v>2426</v>
      </c>
      <c r="L1306" s="154">
        <v>1</v>
      </c>
      <c r="O1306" s="156"/>
      <c r="P1306" s="157"/>
      <c r="Q1306" s="158"/>
      <c r="R1306" s="159"/>
      <c r="S1306" s="160"/>
      <c r="T1306" s="161"/>
      <c r="U1306" s="156"/>
      <c r="V1306" s="162"/>
      <c r="W1306" s="163"/>
      <c r="X1306" s="164"/>
      <c r="Y1306" s="159"/>
      <c r="Z1306" s="161">
        <v>3</v>
      </c>
      <c r="AA1306" s="165"/>
      <c r="AI1306" s="154" t="s">
        <v>4997</v>
      </c>
      <c r="AL1306" s="154" t="s">
        <v>619</v>
      </c>
      <c r="AM1306" s="154" t="s">
        <v>2426</v>
      </c>
      <c r="AN1306" s="154">
        <v>1</v>
      </c>
      <c r="AO1306" s="155"/>
      <c r="AQ1306" s="156"/>
      <c r="AR1306" s="157"/>
      <c r="AS1306" s="158"/>
      <c r="AT1306" s="159"/>
      <c r="AU1306" s="161"/>
      <c r="AV1306" s="156"/>
      <c r="AW1306" s="162"/>
      <c r="AX1306" s="163"/>
      <c r="AY1306" s="164"/>
      <c r="AZ1306" s="159"/>
      <c r="BA1306" s="161"/>
      <c r="BB1306" s="165"/>
      <c r="BE1306" s="155"/>
      <c r="BG1306" s="154" t="s">
        <v>4998</v>
      </c>
    </row>
    <row r="1307" spans="1:59" s="154" customFormat="1" ht="15" customHeight="1">
      <c r="A1307" s="168" t="s">
        <v>4951</v>
      </c>
      <c r="B1307" s="153" t="s">
        <v>4999</v>
      </c>
      <c r="C1307" s="154" t="s">
        <v>4955</v>
      </c>
      <c r="D1307" s="170">
        <v>279</v>
      </c>
      <c r="E1307" s="154">
        <v>1</v>
      </c>
      <c r="F1307" s="154" t="s">
        <v>4952</v>
      </c>
      <c r="G1307" s="154" t="s">
        <v>5000</v>
      </c>
      <c r="J1307" s="154" t="s">
        <v>619</v>
      </c>
      <c r="K1307" s="154" t="s">
        <v>2426</v>
      </c>
      <c r="L1307" s="154">
        <v>2</v>
      </c>
      <c r="O1307" s="156"/>
      <c r="P1307" s="157"/>
      <c r="Q1307" s="158"/>
      <c r="R1307" s="159"/>
      <c r="S1307" s="160"/>
      <c r="T1307" s="161"/>
      <c r="U1307" s="156"/>
      <c r="V1307" s="162"/>
      <c r="W1307" s="163"/>
      <c r="X1307" s="164"/>
      <c r="Y1307" s="159"/>
      <c r="Z1307" s="161">
        <v>3</v>
      </c>
      <c r="AA1307" s="165"/>
      <c r="AI1307" s="154" t="s">
        <v>5001</v>
      </c>
      <c r="AL1307" s="154" t="s">
        <v>619</v>
      </c>
      <c r="AM1307" s="154" t="s">
        <v>2426</v>
      </c>
      <c r="AN1307" s="154">
        <v>2</v>
      </c>
      <c r="AO1307" s="155"/>
      <c r="AQ1307" s="156"/>
      <c r="AR1307" s="157"/>
      <c r="AS1307" s="158"/>
      <c r="AT1307" s="159"/>
      <c r="AU1307" s="161"/>
      <c r="AV1307" s="156"/>
      <c r="AW1307" s="162"/>
      <c r="AX1307" s="163"/>
      <c r="AY1307" s="164"/>
      <c r="AZ1307" s="159"/>
      <c r="BA1307" s="161"/>
      <c r="BB1307" s="165"/>
      <c r="BG1307" s="154" t="s">
        <v>5002</v>
      </c>
    </row>
    <row r="1308" spans="1:59" s="154" customFormat="1" ht="15" customHeight="1">
      <c r="A1308" s="168" t="s">
        <v>4951</v>
      </c>
      <c r="B1308" s="153" t="s">
        <v>5003</v>
      </c>
      <c r="C1308" s="154" t="s">
        <v>4955</v>
      </c>
      <c r="D1308" s="170">
        <v>280</v>
      </c>
      <c r="E1308" s="154">
        <v>1</v>
      </c>
      <c r="F1308" s="154" t="s">
        <v>4952</v>
      </c>
      <c r="G1308" s="154" t="s">
        <v>5004</v>
      </c>
      <c r="J1308" s="154" t="s">
        <v>619</v>
      </c>
      <c r="K1308" s="171" t="s">
        <v>2426</v>
      </c>
      <c r="L1308" s="154">
        <v>3</v>
      </c>
      <c r="O1308" s="156"/>
      <c r="P1308" s="157"/>
      <c r="Q1308" s="158"/>
      <c r="R1308" s="159"/>
      <c r="S1308" s="160"/>
      <c r="T1308" s="161"/>
      <c r="U1308" s="156"/>
      <c r="V1308" s="162"/>
      <c r="W1308" s="163"/>
      <c r="X1308" s="164"/>
      <c r="Y1308" s="159"/>
      <c r="Z1308" s="161">
        <v>4</v>
      </c>
      <c r="AA1308" s="165"/>
      <c r="AI1308" s="154" t="s">
        <v>5005</v>
      </c>
      <c r="AL1308" s="154" t="s">
        <v>619</v>
      </c>
      <c r="AM1308" s="171" t="s">
        <v>2426</v>
      </c>
      <c r="AN1308" s="154">
        <v>3</v>
      </c>
      <c r="AO1308" s="155"/>
      <c r="AQ1308" s="156"/>
      <c r="AR1308" s="157"/>
      <c r="AS1308" s="158"/>
      <c r="AT1308" s="159"/>
      <c r="AU1308" s="161"/>
      <c r="AV1308" s="156"/>
      <c r="AW1308" s="162"/>
      <c r="AX1308" s="163"/>
      <c r="AY1308" s="164"/>
      <c r="AZ1308" s="159"/>
      <c r="BA1308" s="161"/>
      <c r="BB1308" s="165"/>
      <c r="BG1308" s="154" t="s">
        <v>5006</v>
      </c>
    </row>
    <row r="1309" spans="1:59" s="154" customFormat="1" ht="15" customHeight="1">
      <c r="A1309" s="168" t="s">
        <v>4951</v>
      </c>
      <c r="B1309" s="153" t="s">
        <v>5007</v>
      </c>
      <c r="C1309" s="154" t="s">
        <v>4955</v>
      </c>
      <c r="D1309" s="170">
        <v>281</v>
      </c>
      <c r="E1309" s="154">
        <v>1</v>
      </c>
      <c r="F1309" s="154" t="s">
        <v>4952</v>
      </c>
      <c r="G1309" s="154" t="s">
        <v>5008</v>
      </c>
      <c r="J1309" s="154" t="s">
        <v>619</v>
      </c>
      <c r="K1309" s="171" t="s">
        <v>2426</v>
      </c>
      <c r="L1309" s="154">
        <v>4</v>
      </c>
      <c r="O1309" s="156"/>
      <c r="P1309" s="157"/>
      <c r="Q1309" s="158"/>
      <c r="R1309" s="159"/>
      <c r="S1309" s="160"/>
      <c r="T1309" s="161"/>
      <c r="U1309" s="156"/>
      <c r="V1309" s="162"/>
      <c r="W1309" s="163"/>
      <c r="X1309" s="164"/>
      <c r="Y1309" s="159"/>
      <c r="Z1309" s="161">
        <v>4</v>
      </c>
      <c r="AA1309" s="165"/>
      <c r="AI1309" s="154" t="s">
        <v>5009</v>
      </c>
      <c r="AL1309" s="154" t="s">
        <v>619</v>
      </c>
      <c r="AM1309" s="154" t="s">
        <v>2426</v>
      </c>
      <c r="AN1309" s="154">
        <v>4</v>
      </c>
      <c r="AO1309" s="155"/>
      <c r="AQ1309" s="156"/>
      <c r="AR1309" s="157"/>
      <c r="AS1309" s="158"/>
      <c r="AT1309" s="159"/>
      <c r="AU1309" s="161"/>
      <c r="AV1309" s="156"/>
      <c r="AW1309" s="162"/>
      <c r="AX1309" s="163"/>
      <c r="AY1309" s="164"/>
      <c r="AZ1309" s="159"/>
      <c r="BA1309" s="161"/>
      <c r="BB1309" s="165"/>
      <c r="BE1309" s="155"/>
      <c r="BG1309" s="154" t="s">
        <v>5010</v>
      </c>
    </row>
    <row r="1310" spans="1:59" s="154" customFormat="1" ht="15" customHeight="1">
      <c r="A1310" s="168" t="s">
        <v>4951</v>
      </c>
      <c r="B1310" s="153" t="s">
        <v>5011</v>
      </c>
      <c r="C1310" s="154" t="s">
        <v>4955</v>
      </c>
      <c r="D1310" s="170">
        <v>282</v>
      </c>
      <c r="E1310" s="154">
        <v>1</v>
      </c>
      <c r="F1310" s="154" t="s">
        <v>4952</v>
      </c>
      <c r="G1310" s="154" t="s">
        <v>5012</v>
      </c>
      <c r="J1310" s="154" t="s">
        <v>619</v>
      </c>
      <c r="K1310" s="171" t="s">
        <v>2426</v>
      </c>
      <c r="L1310" s="154">
        <v>5</v>
      </c>
      <c r="O1310" s="156"/>
      <c r="P1310" s="157"/>
      <c r="Q1310" s="158"/>
      <c r="R1310" s="159"/>
      <c r="S1310" s="160"/>
      <c r="T1310" s="161"/>
      <c r="U1310" s="156"/>
      <c r="V1310" s="162"/>
      <c r="W1310" s="163"/>
      <c r="X1310" s="164"/>
      <c r="Y1310" s="159"/>
      <c r="Z1310" s="161">
        <v>5</v>
      </c>
      <c r="AA1310" s="165"/>
      <c r="AF1310" s="154" t="s">
        <v>5013</v>
      </c>
      <c r="AI1310" s="154" t="s">
        <v>5014</v>
      </c>
      <c r="AL1310" s="154" t="s">
        <v>619</v>
      </c>
      <c r="AM1310" s="154" t="s">
        <v>2426</v>
      </c>
      <c r="AN1310" s="154">
        <v>5</v>
      </c>
      <c r="AO1310" s="155"/>
      <c r="AQ1310" s="156"/>
      <c r="AR1310" s="157"/>
      <c r="AS1310" s="158"/>
      <c r="AT1310" s="159"/>
      <c r="AU1310" s="161"/>
      <c r="AV1310" s="156"/>
      <c r="AW1310" s="162"/>
      <c r="AX1310" s="163"/>
      <c r="AY1310" s="164"/>
      <c r="AZ1310" s="159"/>
      <c r="BA1310" s="161"/>
      <c r="BB1310" s="165"/>
      <c r="BE1310" s="155"/>
      <c r="BG1310" s="154" t="s">
        <v>5015</v>
      </c>
    </row>
    <row r="1311" spans="1:59" s="154" customFormat="1" ht="15" customHeight="1">
      <c r="A1311" s="168" t="s">
        <v>4951</v>
      </c>
      <c r="B1311" s="153" t="s">
        <v>5016</v>
      </c>
      <c r="C1311" s="154" t="s">
        <v>4955</v>
      </c>
      <c r="D1311" s="170">
        <v>283</v>
      </c>
      <c r="E1311" s="154">
        <v>1</v>
      </c>
      <c r="F1311" s="154" t="s">
        <v>4952</v>
      </c>
      <c r="G1311" s="154" t="s">
        <v>5017</v>
      </c>
      <c r="J1311" s="154" t="s">
        <v>619</v>
      </c>
      <c r="K1311" s="154" t="s">
        <v>2426</v>
      </c>
      <c r="L1311" s="154">
        <v>6</v>
      </c>
      <c r="O1311" s="156"/>
      <c r="P1311" s="157"/>
      <c r="Q1311" s="158"/>
      <c r="R1311" s="159"/>
      <c r="S1311" s="160"/>
      <c r="T1311" s="161"/>
      <c r="U1311" s="156"/>
      <c r="V1311" s="162"/>
      <c r="W1311" s="163"/>
      <c r="X1311" s="164"/>
      <c r="Y1311" s="159"/>
      <c r="Z1311" s="161">
        <v>5</v>
      </c>
      <c r="AA1311" s="165"/>
      <c r="AF1311" s="154" t="s">
        <v>5018</v>
      </c>
      <c r="AI1311" s="154" t="s">
        <v>5019</v>
      </c>
      <c r="AL1311" s="154" t="s">
        <v>619</v>
      </c>
      <c r="AM1311" s="154" t="s">
        <v>2426</v>
      </c>
      <c r="AN1311" s="154">
        <v>6</v>
      </c>
      <c r="AO1311" s="155"/>
      <c r="AQ1311" s="156"/>
      <c r="AR1311" s="157"/>
      <c r="AS1311" s="158"/>
      <c r="AT1311" s="159"/>
      <c r="AU1311" s="161"/>
      <c r="AV1311" s="156"/>
      <c r="AW1311" s="162"/>
      <c r="AX1311" s="163"/>
      <c r="AY1311" s="164"/>
      <c r="AZ1311" s="159"/>
      <c r="BA1311" s="161"/>
      <c r="BB1311" s="165"/>
      <c r="BE1311" s="155"/>
      <c r="BG1311" s="154" t="s">
        <v>5020</v>
      </c>
    </row>
    <row r="1312" spans="1:59" s="154" customFormat="1" ht="15" customHeight="1">
      <c r="A1312" s="168" t="s">
        <v>4951</v>
      </c>
      <c r="B1312" s="153" t="s">
        <v>5021</v>
      </c>
      <c r="C1312" s="154" t="s">
        <v>4955</v>
      </c>
      <c r="D1312" s="170">
        <v>284</v>
      </c>
      <c r="E1312" s="154">
        <v>1</v>
      </c>
      <c r="F1312" s="154" t="s">
        <v>4952</v>
      </c>
      <c r="G1312" s="154" t="s">
        <v>5022</v>
      </c>
      <c r="J1312" s="154" t="s">
        <v>619</v>
      </c>
      <c r="K1312" s="154" t="s">
        <v>2426</v>
      </c>
      <c r="L1312" s="154">
        <v>7</v>
      </c>
      <c r="O1312" s="156"/>
      <c r="P1312" s="157"/>
      <c r="Q1312" s="158"/>
      <c r="R1312" s="159"/>
      <c r="S1312" s="160"/>
      <c r="T1312" s="161"/>
      <c r="U1312" s="156"/>
      <c r="V1312" s="162"/>
      <c r="W1312" s="163"/>
      <c r="X1312" s="164"/>
      <c r="Y1312" s="159"/>
      <c r="Z1312" s="161"/>
      <c r="AA1312" s="165"/>
      <c r="AF1312" s="154" t="s">
        <v>5023</v>
      </c>
      <c r="AI1312" s="154" t="s">
        <v>5024</v>
      </c>
      <c r="AL1312" s="154" t="s">
        <v>619</v>
      </c>
      <c r="AM1312" s="154" t="s">
        <v>2426</v>
      </c>
      <c r="AN1312" s="154">
        <v>7</v>
      </c>
      <c r="AP1312" s="155"/>
      <c r="AQ1312" s="156"/>
      <c r="AR1312" s="157"/>
      <c r="AS1312" s="158"/>
      <c r="AT1312" s="159"/>
      <c r="AU1312" s="161"/>
      <c r="AV1312" s="156"/>
      <c r="AW1312" s="162"/>
      <c r="AX1312" s="163"/>
      <c r="AY1312" s="164"/>
      <c r="AZ1312" s="159"/>
      <c r="BA1312" s="161"/>
      <c r="BB1312" s="165"/>
      <c r="BF1312" s="155"/>
      <c r="BG1312" s="154" t="s">
        <v>4555</v>
      </c>
    </row>
    <row r="1313" spans="1:59" s="154" customFormat="1" ht="15" customHeight="1">
      <c r="A1313" s="168" t="s">
        <v>4951</v>
      </c>
      <c r="B1313" s="153" t="s">
        <v>5025</v>
      </c>
      <c r="C1313" s="154" t="s">
        <v>4955</v>
      </c>
      <c r="D1313" s="170">
        <v>285</v>
      </c>
      <c r="E1313" s="154">
        <v>1</v>
      </c>
      <c r="F1313" s="154" t="s">
        <v>4952</v>
      </c>
      <c r="G1313" s="154" t="s">
        <v>5026</v>
      </c>
      <c r="J1313" s="154" t="s">
        <v>621</v>
      </c>
      <c r="K1313" s="154" t="s">
        <v>2426</v>
      </c>
      <c r="L1313" s="154">
        <v>1</v>
      </c>
      <c r="N1313" s="155"/>
      <c r="O1313" s="156"/>
      <c r="P1313" s="157"/>
      <c r="Q1313" s="158"/>
      <c r="R1313" s="159"/>
      <c r="S1313" s="160"/>
      <c r="T1313" s="161"/>
      <c r="U1313" s="156"/>
      <c r="V1313" s="162"/>
      <c r="W1313" s="163"/>
      <c r="X1313" s="164"/>
      <c r="Y1313" s="159" t="s">
        <v>1112</v>
      </c>
      <c r="Z1313" s="161"/>
      <c r="AA1313" s="165"/>
      <c r="AE1313" s="155"/>
      <c r="AF1313" s="154" t="s">
        <v>5027</v>
      </c>
      <c r="AI1313" s="154" t="s">
        <v>5028</v>
      </c>
      <c r="AL1313" s="154" t="s">
        <v>621</v>
      </c>
      <c r="AM1313" s="154" t="s">
        <v>2426</v>
      </c>
      <c r="AN1313" s="154">
        <v>1</v>
      </c>
      <c r="AP1313" s="155"/>
      <c r="AQ1313" s="156"/>
      <c r="AR1313" s="157"/>
      <c r="AS1313" s="158"/>
      <c r="AT1313" s="159"/>
      <c r="AU1313" s="161"/>
      <c r="AV1313" s="156"/>
      <c r="AW1313" s="162"/>
      <c r="AX1313" s="163"/>
      <c r="AY1313" s="164"/>
      <c r="AZ1313" s="159"/>
      <c r="BA1313" s="161"/>
      <c r="BB1313" s="165"/>
      <c r="BF1313" s="155"/>
      <c r="BG1313" s="154" t="s">
        <v>5029</v>
      </c>
    </row>
    <row r="1314" spans="1:59" s="154" customFormat="1" ht="15" customHeight="1">
      <c r="A1314" s="168" t="s">
        <v>4951</v>
      </c>
      <c r="B1314" s="153" t="s">
        <v>5030</v>
      </c>
      <c r="C1314" s="154" t="s">
        <v>4955</v>
      </c>
      <c r="D1314" s="170">
        <v>286</v>
      </c>
      <c r="E1314" s="154">
        <v>1</v>
      </c>
      <c r="F1314" s="154" t="s">
        <v>4952</v>
      </c>
      <c r="G1314" s="154" t="s">
        <v>5031</v>
      </c>
      <c r="J1314" s="154" t="s">
        <v>31</v>
      </c>
      <c r="K1314" s="154" t="s">
        <v>2426</v>
      </c>
      <c r="N1314" s="155"/>
      <c r="O1314" s="156"/>
      <c r="P1314" s="157"/>
      <c r="Q1314" s="158"/>
      <c r="R1314" s="159"/>
      <c r="S1314" s="160"/>
      <c r="T1314" s="161"/>
      <c r="U1314" s="156"/>
      <c r="V1314" s="162"/>
      <c r="W1314" s="163"/>
      <c r="X1314" s="164">
        <v>3</v>
      </c>
      <c r="Y1314" s="159">
        <v>0</v>
      </c>
      <c r="Z1314" s="161"/>
      <c r="AA1314" s="165"/>
      <c r="AD1314" s="154" t="s">
        <v>5032</v>
      </c>
      <c r="AE1314" s="155"/>
      <c r="AF1314" s="154" t="s">
        <v>5033</v>
      </c>
      <c r="AP1314" s="155"/>
      <c r="AQ1314" s="156"/>
      <c r="AR1314" s="157"/>
      <c r="AS1314" s="158"/>
      <c r="AT1314" s="159"/>
      <c r="AU1314" s="161"/>
      <c r="AV1314" s="156"/>
      <c r="AW1314" s="162"/>
      <c r="AX1314" s="163"/>
      <c r="AY1314" s="164"/>
      <c r="AZ1314" s="159"/>
      <c r="BA1314" s="161"/>
      <c r="BB1314" s="165"/>
      <c r="BF1314" s="155"/>
    </row>
    <row r="1315" spans="1:59" s="154" customFormat="1" ht="15" customHeight="1">
      <c r="A1315" s="168" t="s">
        <v>4951</v>
      </c>
      <c r="B1315" s="153" t="s">
        <v>5034</v>
      </c>
      <c r="C1315" s="154" t="s">
        <v>4955</v>
      </c>
      <c r="D1315" s="170">
        <v>287</v>
      </c>
      <c r="E1315" s="154">
        <v>1</v>
      </c>
      <c r="F1315" s="154" t="s">
        <v>4952</v>
      </c>
      <c r="G1315" s="154" t="s">
        <v>5035</v>
      </c>
      <c r="J1315" s="154" t="s">
        <v>31</v>
      </c>
      <c r="K1315" s="154" t="s">
        <v>2426</v>
      </c>
      <c r="N1315" s="155"/>
      <c r="O1315" s="156"/>
      <c r="P1315" s="157"/>
      <c r="Q1315" s="158"/>
      <c r="R1315" s="159"/>
      <c r="S1315" s="160"/>
      <c r="T1315" s="161"/>
      <c r="U1315" s="156"/>
      <c r="V1315" s="162"/>
      <c r="W1315" s="163"/>
      <c r="X1315" s="164">
        <v>3</v>
      </c>
      <c r="Y1315" s="159" t="s">
        <v>1073</v>
      </c>
      <c r="Z1315" s="161"/>
      <c r="AA1315" s="165"/>
      <c r="AD1315" s="154" t="s">
        <v>5036</v>
      </c>
      <c r="AE1315" s="155"/>
      <c r="AF1315" s="154" t="s">
        <v>5037</v>
      </c>
      <c r="AP1315" s="155"/>
      <c r="AQ1315" s="156"/>
      <c r="AR1315" s="157"/>
      <c r="AS1315" s="158"/>
      <c r="AT1315" s="159"/>
      <c r="AU1315" s="161"/>
      <c r="AV1315" s="156"/>
      <c r="AW1315" s="162"/>
      <c r="AX1315" s="163"/>
      <c r="AY1315" s="164"/>
      <c r="AZ1315" s="159"/>
      <c r="BA1315" s="161"/>
      <c r="BB1315" s="165"/>
      <c r="BF1315" s="155"/>
    </row>
    <row r="1316" spans="1:59" s="154" customFormat="1" ht="15" customHeight="1">
      <c r="A1316" s="168" t="s">
        <v>4951</v>
      </c>
      <c r="B1316" s="169" t="s">
        <v>5038</v>
      </c>
      <c r="C1316" s="154" t="s">
        <v>4955</v>
      </c>
      <c r="D1316" s="170">
        <v>288</v>
      </c>
      <c r="E1316" s="154">
        <v>1</v>
      </c>
      <c r="F1316" s="154" t="s">
        <v>4952</v>
      </c>
      <c r="G1316" s="154" t="s">
        <v>5039</v>
      </c>
      <c r="J1316" s="154" t="s">
        <v>31</v>
      </c>
      <c r="K1316" s="154" t="s">
        <v>2426</v>
      </c>
      <c r="N1316" s="155"/>
      <c r="O1316" s="156"/>
      <c r="P1316" s="157"/>
      <c r="Q1316" s="158"/>
      <c r="R1316" s="159"/>
      <c r="S1316" s="160"/>
      <c r="T1316" s="161"/>
      <c r="U1316" s="156"/>
      <c r="V1316" s="162"/>
      <c r="W1316" s="163"/>
      <c r="X1316" s="164">
        <v>4</v>
      </c>
      <c r="Y1316" s="159" t="s">
        <v>1073</v>
      </c>
      <c r="Z1316" s="161"/>
      <c r="AA1316" s="165"/>
      <c r="AD1316" s="154" t="s">
        <v>5036</v>
      </c>
      <c r="AE1316" s="155"/>
      <c r="AF1316" s="154" t="s">
        <v>5040</v>
      </c>
      <c r="AP1316" s="155"/>
      <c r="AQ1316" s="156"/>
      <c r="AR1316" s="157"/>
      <c r="AS1316" s="158"/>
      <c r="AT1316" s="159"/>
      <c r="AU1316" s="161"/>
      <c r="AV1316" s="156"/>
      <c r="AW1316" s="162"/>
      <c r="AX1316" s="163"/>
      <c r="AY1316" s="164"/>
      <c r="AZ1316" s="159"/>
      <c r="BA1316" s="161"/>
      <c r="BB1316" s="165"/>
      <c r="BF1316" s="155"/>
    </row>
    <row r="1317" spans="1:59" s="154" customFormat="1" ht="15" customHeight="1">
      <c r="A1317" s="168" t="s">
        <v>4951</v>
      </c>
      <c r="B1317" s="153" t="s">
        <v>5041</v>
      </c>
      <c r="C1317" s="154" t="s">
        <v>4955</v>
      </c>
      <c r="D1317" s="170">
        <v>289</v>
      </c>
      <c r="E1317" s="154">
        <v>1</v>
      </c>
      <c r="F1317" s="154" t="s">
        <v>4952</v>
      </c>
      <c r="G1317" s="154" t="s">
        <v>5042</v>
      </c>
      <c r="J1317" s="154" t="s">
        <v>31</v>
      </c>
      <c r="K1317" s="154" t="s">
        <v>2426</v>
      </c>
      <c r="N1317" s="155"/>
      <c r="O1317" s="156"/>
      <c r="P1317" s="157"/>
      <c r="Q1317" s="158"/>
      <c r="R1317" s="159"/>
      <c r="S1317" s="160"/>
      <c r="T1317" s="161"/>
      <c r="U1317" s="156"/>
      <c r="V1317" s="162"/>
      <c r="W1317" s="163"/>
      <c r="X1317" s="164">
        <v>4</v>
      </c>
      <c r="Y1317" s="159">
        <v>0</v>
      </c>
      <c r="Z1317" s="161"/>
      <c r="AA1317" s="165"/>
      <c r="AD1317" s="154" t="s">
        <v>5036</v>
      </c>
      <c r="AE1317" s="155"/>
      <c r="AF1317" s="154" t="s">
        <v>5043</v>
      </c>
      <c r="AP1317" s="155"/>
      <c r="AQ1317" s="156"/>
      <c r="AR1317" s="157"/>
      <c r="AS1317" s="158"/>
      <c r="AT1317" s="159"/>
      <c r="AU1317" s="161"/>
      <c r="AV1317" s="156"/>
      <c r="AW1317" s="162"/>
      <c r="AX1317" s="163"/>
      <c r="AY1317" s="164"/>
      <c r="AZ1317" s="159"/>
      <c r="BA1317" s="161"/>
      <c r="BB1317" s="165"/>
      <c r="BF1317" s="155"/>
    </row>
    <row r="1318" spans="1:59" s="154" customFormat="1" ht="15" customHeight="1">
      <c r="A1318" s="168" t="s">
        <v>4951</v>
      </c>
      <c r="B1318" s="153" t="s">
        <v>5044</v>
      </c>
      <c r="C1318" s="154" t="s">
        <v>4955</v>
      </c>
      <c r="D1318" s="170">
        <v>290</v>
      </c>
      <c r="E1318" s="154">
        <v>1</v>
      </c>
      <c r="F1318" s="154" t="s">
        <v>4952</v>
      </c>
      <c r="G1318" s="154" t="s">
        <v>5045</v>
      </c>
      <c r="J1318" s="154" t="s">
        <v>31</v>
      </c>
      <c r="K1318" s="154" t="s">
        <v>2426</v>
      </c>
      <c r="N1318" s="155"/>
      <c r="O1318" s="156"/>
      <c r="P1318" s="157"/>
      <c r="Q1318" s="158"/>
      <c r="R1318" s="159"/>
      <c r="S1318" s="160"/>
      <c r="T1318" s="161"/>
      <c r="U1318" s="156"/>
      <c r="V1318" s="162"/>
      <c r="W1318" s="163"/>
      <c r="X1318" s="164">
        <v>1</v>
      </c>
      <c r="Y1318" s="159" t="s">
        <v>1073</v>
      </c>
      <c r="Z1318" s="161"/>
      <c r="AA1318" s="165"/>
      <c r="AD1318" s="154" t="s">
        <v>5036</v>
      </c>
      <c r="AE1318" s="155"/>
      <c r="AF1318" s="154" t="s">
        <v>5046</v>
      </c>
      <c r="AI1318" s="153"/>
      <c r="AP1318" s="155"/>
      <c r="AQ1318" s="156"/>
      <c r="AR1318" s="157"/>
      <c r="AS1318" s="158"/>
      <c r="AT1318" s="159"/>
      <c r="AU1318" s="161"/>
      <c r="AV1318" s="156"/>
      <c r="AW1318" s="162"/>
      <c r="AX1318" s="163"/>
      <c r="AY1318" s="164"/>
      <c r="AZ1318" s="159"/>
      <c r="BA1318" s="161"/>
      <c r="BB1318" s="165"/>
      <c r="BF1318" s="155"/>
    </row>
    <row r="1319" spans="1:59" s="154" customFormat="1" ht="15" customHeight="1">
      <c r="A1319" s="168" t="s">
        <v>4951</v>
      </c>
      <c r="B1319" s="153" t="s">
        <v>5047</v>
      </c>
      <c r="C1319" s="154" t="s">
        <v>4955</v>
      </c>
      <c r="D1319" s="170">
        <v>291</v>
      </c>
      <c r="E1319" s="154">
        <v>1</v>
      </c>
      <c r="F1319" s="154" t="s">
        <v>4952</v>
      </c>
      <c r="G1319" s="154" t="s">
        <v>5048</v>
      </c>
      <c r="J1319" s="154" t="s">
        <v>31</v>
      </c>
      <c r="K1319" s="154" t="s">
        <v>2426</v>
      </c>
      <c r="N1319" s="155"/>
      <c r="O1319" s="156"/>
      <c r="P1319" s="157"/>
      <c r="Q1319" s="158"/>
      <c r="R1319" s="159"/>
      <c r="S1319" s="160"/>
      <c r="T1319" s="161"/>
      <c r="U1319" s="156"/>
      <c r="V1319" s="162"/>
      <c r="W1319" s="163"/>
      <c r="X1319" s="164">
        <v>2</v>
      </c>
      <c r="Y1319" s="159" t="s">
        <v>1111</v>
      </c>
      <c r="Z1319" s="161"/>
      <c r="AA1319" s="165"/>
      <c r="AD1319" s="154" t="s">
        <v>5036</v>
      </c>
      <c r="AE1319" s="155"/>
      <c r="AF1319" s="154" t="s">
        <v>5049</v>
      </c>
      <c r="AP1319" s="155"/>
      <c r="AQ1319" s="156"/>
      <c r="AR1319" s="157"/>
      <c r="AS1319" s="158"/>
      <c r="AT1319" s="159"/>
      <c r="AU1319" s="161"/>
      <c r="AV1319" s="156"/>
      <c r="AW1319" s="162"/>
      <c r="AX1319" s="163"/>
      <c r="AY1319" s="164"/>
      <c r="AZ1319" s="159"/>
      <c r="BA1319" s="161"/>
      <c r="BB1319" s="165"/>
      <c r="BF1319" s="155"/>
    </row>
    <row r="1320" spans="1:59" s="154" customFormat="1" ht="15" customHeight="1">
      <c r="A1320" s="168" t="s">
        <v>4951</v>
      </c>
      <c r="B1320" s="153" t="s">
        <v>5050</v>
      </c>
      <c r="C1320" s="154" t="s">
        <v>4955</v>
      </c>
      <c r="D1320" s="170">
        <v>292</v>
      </c>
      <c r="E1320" s="154">
        <v>1</v>
      </c>
      <c r="F1320" s="154" t="s">
        <v>4952</v>
      </c>
      <c r="G1320" s="154" t="s">
        <v>5051</v>
      </c>
      <c r="J1320" s="154" t="s">
        <v>31</v>
      </c>
      <c r="K1320" s="154" t="s">
        <v>2426</v>
      </c>
      <c r="N1320" s="155"/>
      <c r="O1320" s="156"/>
      <c r="P1320" s="157"/>
      <c r="Q1320" s="158"/>
      <c r="R1320" s="159"/>
      <c r="S1320" s="160"/>
      <c r="T1320" s="161"/>
      <c r="U1320" s="156"/>
      <c r="V1320" s="162"/>
      <c r="W1320" s="163"/>
      <c r="X1320" s="164">
        <v>2</v>
      </c>
      <c r="Y1320" s="159" t="s">
        <v>1073</v>
      </c>
      <c r="Z1320" s="161"/>
      <c r="AA1320" s="165"/>
      <c r="AD1320" s="154" t="s">
        <v>5036</v>
      </c>
      <c r="AE1320" s="155"/>
      <c r="AF1320" s="154" t="s">
        <v>5052</v>
      </c>
      <c r="AP1320" s="155"/>
      <c r="AQ1320" s="156"/>
      <c r="AR1320" s="157"/>
      <c r="AS1320" s="158"/>
      <c r="AT1320" s="159"/>
      <c r="AU1320" s="161"/>
      <c r="AV1320" s="156"/>
      <c r="AW1320" s="162"/>
      <c r="AX1320" s="163"/>
      <c r="AY1320" s="164"/>
      <c r="AZ1320" s="159"/>
      <c r="BA1320" s="161"/>
      <c r="BB1320" s="165"/>
      <c r="BF1320" s="155"/>
    </row>
    <row r="1321" spans="1:59" s="154" customFormat="1" ht="15" customHeight="1">
      <c r="A1321" s="168" t="s">
        <v>4951</v>
      </c>
      <c r="B1321" s="153" t="s">
        <v>5053</v>
      </c>
      <c r="C1321" s="154" t="s">
        <v>4955</v>
      </c>
      <c r="D1321" s="170">
        <v>293</v>
      </c>
      <c r="E1321" s="154">
        <v>1</v>
      </c>
      <c r="F1321" s="154" t="s">
        <v>4952</v>
      </c>
      <c r="G1321" s="154" t="s">
        <v>5054</v>
      </c>
      <c r="J1321" s="154" t="s">
        <v>31</v>
      </c>
      <c r="K1321" s="154" t="s">
        <v>2426</v>
      </c>
      <c r="N1321" s="155"/>
      <c r="O1321" s="156"/>
      <c r="P1321" s="157"/>
      <c r="Q1321" s="158"/>
      <c r="R1321" s="159"/>
      <c r="S1321" s="160"/>
      <c r="T1321" s="161"/>
      <c r="U1321" s="156"/>
      <c r="V1321" s="162"/>
      <c r="W1321" s="163"/>
      <c r="X1321" s="164">
        <v>3</v>
      </c>
      <c r="Y1321" s="159">
        <v>0</v>
      </c>
      <c r="Z1321" s="161"/>
      <c r="AA1321" s="165"/>
      <c r="AD1321" s="154" t="s">
        <v>5036</v>
      </c>
      <c r="AE1321" s="155"/>
      <c r="AF1321" s="154" t="s">
        <v>5055</v>
      </c>
      <c r="AP1321" s="155"/>
      <c r="AQ1321" s="156"/>
      <c r="AR1321" s="157"/>
      <c r="AS1321" s="158"/>
      <c r="AT1321" s="159"/>
      <c r="AU1321" s="161"/>
      <c r="AV1321" s="156"/>
      <c r="AW1321" s="162"/>
      <c r="AX1321" s="163"/>
      <c r="AY1321" s="164"/>
      <c r="AZ1321" s="159"/>
      <c r="BA1321" s="161"/>
      <c r="BB1321" s="165"/>
      <c r="BF1321" s="155"/>
    </row>
    <row r="1322" spans="1:59" s="154" customFormat="1" ht="15" customHeight="1">
      <c r="A1322" s="168" t="s">
        <v>4951</v>
      </c>
      <c r="B1322" s="153" t="s">
        <v>5056</v>
      </c>
      <c r="C1322" s="154" t="s">
        <v>4955</v>
      </c>
      <c r="D1322" s="170">
        <v>294</v>
      </c>
      <c r="E1322" s="154">
        <v>1</v>
      </c>
      <c r="F1322" s="154" t="s">
        <v>4952</v>
      </c>
      <c r="G1322" s="154" t="s">
        <v>5057</v>
      </c>
      <c r="J1322" s="154" t="s">
        <v>31</v>
      </c>
      <c r="K1322" s="154" t="s">
        <v>2426</v>
      </c>
      <c r="N1322" s="155"/>
      <c r="O1322" s="156"/>
      <c r="P1322" s="157"/>
      <c r="Q1322" s="158"/>
      <c r="R1322" s="159"/>
      <c r="S1322" s="160"/>
      <c r="T1322" s="161"/>
      <c r="U1322" s="156"/>
      <c r="V1322" s="162"/>
      <c r="W1322" s="163"/>
      <c r="X1322" s="164">
        <v>-2</v>
      </c>
      <c r="Y1322" s="159" t="s">
        <v>1073</v>
      </c>
      <c r="Z1322" s="161"/>
      <c r="AA1322" s="165"/>
      <c r="AD1322" s="154" t="s">
        <v>5036</v>
      </c>
      <c r="AF1322" s="154" t="s">
        <v>5058</v>
      </c>
      <c r="AP1322" s="155"/>
      <c r="AQ1322" s="156"/>
      <c r="AR1322" s="157"/>
      <c r="AS1322" s="158"/>
      <c r="AT1322" s="159"/>
      <c r="AU1322" s="161"/>
      <c r="AV1322" s="156"/>
      <c r="AW1322" s="162"/>
      <c r="AX1322" s="163"/>
      <c r="AY1322" s="164"/>
      <c r="AZ1322" s="159"/>
      <c r="BA1322" s="161"/>
      <c r="BB1322" s="165"/>
      <c r="BF1322" s="155"/>
    </row>
    <row r="1323" spans="1:59" s="154" customFormat="1" ht="15" customHeight="1">
      <c r="A1323" s="168" t="s">
        <v>4951</v>
      </c>
      <c r="B1323" s="169" t="s">
        <v>5059</v>
      </c>
      <c r="C1323" s="154" t="s">
        <v>4955</v>
      </c>
      <c r="D1323" s="170">
        <v>295</v>
      </c>
      <c r="E1323" s="154">
        <v>1</v>
      </c>
      <c r="F1323" s="154" t="s">
        <v>4952</v>
      </c>
      <c r="G1323" s="154" t="s">
        <v>5060</v>
      </c>
      <c r="J1323" s="154" t="s">
        <v>31</v>
      </c>
      <c r="K1323" s="154" t="s">
        <v>2426</v>
      </c>
      <c r="N1323" s="155"/>
      <c r="O1323" s="156"/>
      <c r="P1323" s="157"/>
      <c r="Q1323" s="158"/>
      <c r="R1323" s="159"/>
      <c r="S1323" s="160"/>
      <c r="T1323" s="161"/>
      <c r="U1323" s="156"/>
      <c r="V1323" s="162"/>
      <c r="W1323" s="163"/>
      <c r="X1323" s="164">
        <v>2</v>
      </c>
      <c r="Y1323" s="159" t="s">
        <v>1111</v>
      </c>
      <c r="Z1323" s="161"/>
      <c r="AA1323" s="165"/>
      <c r="AD1323" s="154" t="s">
        <v>5036</v>
      </c>
      <c r="AE1323" s="155"/>
      <c r="AF1323" s="154" t="s">
        <v>5061</v>
      </c>
      <c r="AP1323" s="155"/>
      <c r="AQ1323" s="156"/>
      <c r="AR1323" s="157"/>
      <c r="AS1323" s="158"/>
      <c r="AT1323" s="159"/>
      <c r="AU1323" s="161"/>
      <c r="AV1323" s="156"/>
      <c r="AW1323" s="162"/>
      <c r="AX1323" s="163"/>
      <c r="AY1323" s="164"/>
      <c r="AZ1323" s="159"/>
      <c r="BA1323" s="161"/>
      <c r="BB1323" s="165"/>
      <c r="BF1323" s="155"/>
    </row>
    <row r="1324" spans="1:59" s="154" customFormat="1" ht="15" customHeight="1">
      <c r="A1324" s="168" t="s">
        <v>4951</v>
      </c>
      <c r="B1324" s="153" t="s">
        <v>5062</v>
      </c>
      <c r="C1324" s="154" t="s">
        <v>4955</v>
      </c>
      <c r="D1324" s="170">
        <v>296</v>
      </c>
      <c r="E1324" s="154">
        <v>1</v>
      </c>
      <c r="F1324" s="154" t="s">
        <v>4952</v>
      </c>
      <c r="G1324" s="154" t="s">
        <v>5063</v>
      </c>
      <c r="H1324" s="154" t="s">
        <v>5064</v>
      </c>
      <c r="I1324" s="154" t="s">
        <v>223</v>
      </c>
      <c r="J1324" s="154" t="s">
        <v>29</v>
      </c>
      <c r="K1324" s="154" t="s">
        <v>2426</v>
      </c>
      <c r="N1324" s="155"/>
      <c r="O1324" s="156"/>
      <c r="P1324" s="157"/>
      <c r="Q1324" s="158">
        <v>4</v>
      </c>
      <c r="R1324" s="159">
        <v>4</v>
      </c>
      <c r="S1324" s="160"/>
      <c r="T1324" s="161">
        <v>6</v>
      </c>
      <c r="U1324" s="156"/>
      <c r="V1324" s="162">
        <v>3</v>
      </c>
      <c r="W1324" s="163">
        <v>3</v>
      </c>
      <c r="X1324" s="164"/>
      <c r="Y1324" s="159"/>
      <c r="Z1324" s="161"/>
      <c r="AA1324" s="165">
        <v>5</v>
      </c>
      <c r="AD1324" s="154" t="s">
        <v>5065</v>
      </c>
      <c r="AE1324" s="155"/>
      <c r="AF1324" s="154" t="s">
        <v>5066</v>
      </c>
      <c r="AP1324" s="155"/>
      <c r="AQ1324" s="156"/>
      <c r="AR1324" s="157"/>
      <c r="AS1324" s="158"/>
      <c r="AT1324" s="159"/>
      <c r="AU1324" s="161"/>
      <c r="AV1324" s="156"/>
      <c r="AW1324" s="162"/>
      <c r="AX1324" s="163"/>
      <c r="AY1324" s="164"/>
      <c r="AZ1324" s="159"/>
      <c r="BA1324" s="161"/>
      <c r="BB1324" s="165"/>
      <c r="BF1324" s="155"/>
    </row>
    <row r="1325" spans="1:59" s="154" customFormat="1" ht="15" customHeight="1">
      <c r="A1325" s="168" t="s">
        <v>4951</v>
      </c>
      <c r="B1325" s="169" t="s">
        <v>5067</v>
      </c>
      <c r="C1325" s="154" t="s">
        <v>4955</v>
      </c>
      <c r="D1325" s="170">
        <v>297</v>
      </c>
      <c r="E1325" s="154">
        <v>3</v>
      </c>
      <c r="F1325" s="154" t="s">
        <v>4952</v>
      </c>
      <c r="G1325" s="154" t="s">
        <v>5068</v>
      </c>
      <c r="J1325" s="154" t="s">
        <v>29</v>
      </c>
      <c r="K1325" s="154" t="s">
        <v>2426</v>
      </c>
      <c r="N1325" s="155"/>
      <c r="O1325" s="156"/>
      <c r="P1325" s="157"/>
      <c r="Q1325" s="158">
        <v>4</v>
      </c>
      <c r="R1325" s="159">
        <v>1</v>
      </c>
      <c r="S1325" s="160"/>
      <c r="T1325" s="161">
        <v>4</v>
      </c>
      <c r="U1325" s="156"/>
      <c r="V1325" s="162">
        <v>1</v>
      </c>
      <c r="W1325" s="163">
        <v>1</v>
      </c>
      <c r="X1325" s="164"/>
      <c r="Y1325" s="159"/>
      <c r="Z1325" s="161"/>
      <c r="AA1325" s="165"/>
      <c r="AD1325" s="154" t="s">
        <v>3861</v>
      </c>
      <c r="AE1325" s="155"/>
      <c r="AF1325" s="154" t="s">
        <v>5069</v>
      </c>
      <c r="AP1325" s="155"/>
      <c r="AQ1325" s="156"/>
      <c r="AR1325" s="157"/>
      <c r="AS1325" s="158"/>
      <c r="AT1325" s="159"/>
      <c r="AU1325" s="161"/>
      <c r="AV1325" s="156"/>
      <c r="AW1325" s="162"/>
      <c r="AX1325" s="163"/>
      <c r="AY1325" s="164"/>
      <c r="AZ1325" s="159"/>
      <c r="BA1325" s="161"/>
      <c r="BB1325" s="165"/>
      <c r="BF1325" s="155"/>
    </row>
    <row r="1326" spans="1:59" s="154" customFormat="1" ht="15" customHeight="1">
      <c r="A1326" s="168" t="s">
        <v>4951</v>
      </c>
      <c r="B1326" s="153" t="s">
        <v>5070</v>
      </c>
      <c r="C1326" s="154" t="s">
        <v>4955</v>
      </c>
      <c r="D1326" s="170">
        <v>298</v>
      </c>
      <c r="E1326" s="154">
        <v>1</v>
      </c>
      <c r="F1326" s="154" t="s">
        <v>4952</v>
      </c>
      <c r="G1326" s="154" t="s">
        <v>5071</v>
      </c>
      <c r="J1326" s="154" t="s">
        <v>29</v>
      </c>
      <c r="K1326" s="154" t="s">
        <v>2426</v>
      </c>
      <c r="N1326" s="155"/>
      <c r="O1326" s="156"/>
      <c r="P1326" s="157"/>
      <c r="Q1326" s="158">
        <v>5</v>
      </c>
      <c r="R1326" s="159" t="s">
        <v>32</v>
      </c>
      <c r="S1326" s="160"/>
      <c r="T1326" s="161">
        <v>6</v>
      </c>
      <c r="U1326" s="156"/>
      <c r="V1326" s="162">
        <v>3</v>
      </c>
      <c r="W1326" s="163">
        <v>2</v>
      </c>
      <c r="X1326" s="164"/>
      <c r="Y1326" s="159"/>
      <c r="Z1326" s="161"/>
      <c r="AA1326" s="165">
        <v>2</v>
      </c>
      <c r="AD1326" s="154" t="s">
        <v>2784</v>
      </c>
      <c r="AE1326" s="155"/>
      <c r="AF1326" s="154" t="s">
        <v>5072</v>
      </c>
      <c r="AP1326" s="155"/>
      <c r="AQ1326" s="156"/>
      <c r="AR1326" s="157"/>
      <c r="AS1326" s="158"/>
      <c r="AT1326" s="159"/>
      <c r="AU1326" s="161"/>
      <c r="AV1326" s="156"/>
      <c r="AW1326" s="162"/>
      <c r="AX1326" s="163"/>
      <c r="AY1326" s="164"/>
      <c r="AZ1326" s="159"/>
      <c r="BA1326" s="161"/>
      <c r="BB1326" s="165"/>
      <c r="BF1326" s="155"/>
    </row>
    <row r="1327" spans="1:59" s="154" customFormat="1" ht="15" customHeight="1">
      <c r="A1327" s="168" t="s">
        <v>4951</v>
      </c>
      <c r="B1327" s="153" t="s">
        <v>5073</v>
      </c>
      <c r="C1327" s="154" t="s">
        <v>4955</v>
      </c>
      <c r="D1327" s="170">
        <v>299</v>
      </c>
      <c r="E1327" s="154">
        <v>3</v>
      </c>
      <c r="F1327" s="154" t="s">
        <v>4952</v>
      </c>
      <c r="G1327" s="154" t="s">
        <v>5074</v>
      </c>
      <c r="J1327" s="154" t="s">
        <v>28</v>
      </c>
      <c r="K1327" s="154" t="s">
        <v>2426</v>
      </c>
      <c r="N1327" s="155"/>
      <c r="O1327" s="156"/>
      <c r="P1327" s="157"/>
      <c r="Q1327" s="158"/>
      <c r="R1327" s="159"/>
      <c r="S1327" s="160"/>
      <c r="T1327" s="161"/>
      <c r="U1327" s="156"/>
      <c r="V1327" s="162"/>
      <c r="W1327" s="163"/>
      <c r="X1327" s="164"/>
      <c r="Y1327" s="159"/>
      <c r="Z1327" s="161"/>
      <c r="AA1327" s="165"/>
      <c r="AD1327" s="154" t="s">
        <v>1196</v>
      </c>
      <c r="AE1327" s="155"/>
      <c r="AF1327" s="154" t="s">
        <v>5075</v>
      </c>
      <c r="AP1327" s="155"/>
      <c r="AQ1327" s="156"/>
      <c r="AR1327" s="157"/>
      <c r="AS1327" s="158"/>
      <c r="AT1327" s="159"/>
      <c r="AU1327" s="161"/>
      <c r="AV1327" s="156"/>
      <c r="AW1327" s="162"/>
      <c r="AX1327" s="163"/>
      <c r="AY1327" s="164"/>
      <c r="AZ1327" s="159"/>
      <c r="BA1327" s="161"/>
      <c r="BB1327" s="165"/>
      <c r="BF1327" s="155"/>
    </row>
    <row r="1328" spans="1:59" s="154" customFormat="1" ht="15" customHeight="1">
      <c r="A1328" s="168" t="s">
        <v>4951</v>
      </c>
      <c r="B1328" s="153" t="s">
        <v>5076</v>
      </c>
      <c r="C1328" s="154" t="s">
        <v>4955</v>
      </c>
      <c r="D1328" s="170">
        <v>300</v>
      </c>
      <c r="E1328" s="154">
        <v>3</v>
      </c>
      <c r="F1328" s="154" t="s">
        <v>4952</v>
      </c>
      <c r="G1328" s="154" t="s">
        <v>5077</v>
      </c>
      <c r="J1328" s="154" t="s">
        <v>28</v>
      </c>
      <c r="K1328" s="154" t="s">
        <v>2426</v>
      </c>
      <c r="N1328" s="155"/>
      <c r="O1328" s="156"/>
      <c r="P1328" s="157"/>
      <c r="Q1328" s="158"/>
      <c r="R1328" s="159"/>
      <c r="S1328" s="160"/>
      <c r="T1328" s="161"/>
      <c r="U1328" s="156"/>
      <c r="V1328" s="162"/>
      <c r="W1328" s="163"/>
      <c r="X1328" s="164"/>
      <c r="Y1328" s="159"/>
      <c r="Z1328" s="161"/>
      <c r="AA1328" s="165"/>
      <c r="AD1328" s="154" t="s">
        <v>481</v>
      </c>
      <c r="AE1328" s="155"/>
      <c r="AF1328" s="154" t="s">
        <v>5078</v>
      </c>
      <c r="AP1328" s="155"/>
      <c r="AQ1328" s="156"/>
      <c r="AR1328" s="157"/>
      <c r="AS1328" s="158"/>
      <c r="AT1328" s="159"/>
      <c r="AU1328" s="161"/>
      <c r="AV1328" s="156"/>
      <c r="AW1328" s="162"/>
      <c r="AX1328" s="163"/>
      <c r="AY1328" s="164"/>
      <c r="AZ1328" s="159"/>
      <c r="BA1328" s="161"/>
      <c r="BB1328" s="165"/>
      <c r="BF1328" s="155"/>
    </row>
    <row r="1329" spans="1:58" s="154" customFormat="1" ht="15" customHeight="1">
      <c r="A1329" s="168" t="s">
        <v>4951</v>
      </c>
      <c r="B1329" s="153" t="s">
        <v>5079</v>
      </c>
      <c r="C1329" s="154" t="s">
        <v>4955</v>
      </c>
      <c r="D1329" s="170">
        <v>301</v>
      </c>
      <c r="E1329" s="154">
        <v>3</v>
      </c>
      <c r="F1329" s="154" t="s">
        <v>4952</v>
      </c>
      <c r="G1329" s="154" t="s">
        <v>5080</v>
      </c>
      <c r="J1329" s="154" t="s">
        <v>28</v>
      </c>
      <c r="K1329" s="154" t="s">
        <v>2426</v>
      </c>
      <c r="N1329" s="155"/>
      <c r="O1329" s="156"/>
      <c r="P1329" s="157"/>
      <c r="Q1329" s="158"/>
      <c r="R1329" s="159"/>
      <c r="S1329" s="160"/>
      <c r="T1329" s="161"/>
      <c r="U1329" s="156"/>
      <c r="V1329" s="162"/>
      <c r="W1329" s="163"/>
      <c r="X1329" s="164"/>
      <c r="Y1329" s="159"/>
      <c r="Z1329" s="161"/>
      <c r="AA1329" s="165"/>
      <c r="AD1329" s="154" t="s">
        <v>481</v>
      </c>
      <c r="AE1329" s="155"/>
      <c r="AF1329" s="154" t="s">
        <v>5081</v>
      </c>
      <c r="AP1329" s="155"/>
      <c r="AQ1329" s="156"/>
      <c r="AR1329" s="157"/>
      <c r="AS1329" s="158"/>
      <c r="AT1329" s="159"/>
      <c r="AU1329" s="161"/>
      <c r="AV1329" s="156"/>
      <c r="AW1329" s="162"/>
      <c r="AX1329" s="163"/>
      <c r="AY1329" s="164"/>
      <c r="AZ1329" s="159"/>
      <c r="BA1329" s="161"/>
      <c r="BB1329" s="165"/>
      <c r="BF1329" s="155"/>
    </row>
    <row r="1330" spans="1:58" s="154" customFormat="1" ht="15" customHeight="1">
      <c r="A1330" s="168" t="s">
        <v>4951</v>
      </c>
      <c r="B1330" s="153" t="s">
        <v>5082</v>
      </c>
      <c r="C1330" s="154" t="s">
        <v>4955</v>
      </c>
      <c r="D1330" s="155">
        <v>302</v>
      </c>
      <c r="E1330" s="154">
        <v>2</v>
      </c>
      <c r="F1330" s="154" t="s">
        <v>4952</v>
      </c>
      <c r="G1330" s="154" t="s">
        <v>5083</v>
      </c>
      <c r="J1330" s="154" t="s">
        <v>28</v>
      </c>
      <c r="K1330" s="154" t="s">
        <v>2426</v>
      </c>
      <c r="N1330" s="155"/>
      <c r="O1330" s="156"/>
      <c r="P1330" s="157"/>
      <c r="Q1330" s="158"/>
      <c r="R1330" s="159"/>
      <c r="S1330" s="160"/>
      <c r="T1330" s="161"/>
      <c r="U1330" s="156"/>
      <c r="V1330" s="162"/>
      <c r="W1330" s="163"/>
      <c r="X1330" s="164"/>
      <c r="Y1330" s="159"/>
      <c r="Z1330" s="161"/>
      <c r="AA1330" s="165"/>
      <c r="AD1330" s="154" t="s">
        <v>1196</v>
      </c>
      <c r="AE1330" s="155"/>
      <c r="AF1330" s="154" t="s">
        <v>5084</v>
      </c>
      <c r="AP1330" s="155"/>
      <c r="AQ1330" s="156"/>
      <c r="AR1330" s="157"/>
      <c r="AS1330" s="158"/>
      <c r="AT1330" s="159"/>
      <c r="AU1330" s="161"/>
      <c r="AV1330" s="156"/>
      <c r="AW1330" s="162"/>
      <c r="AX1330" s="163"/>
      <c r="AY1330" s="164"/>
      <c r="AZ1330" s="159"/>
      <c r="BA1330" s="161"/>
      <c r="BB1330" s="165"/>
      <c r="BF1330" s="155"/>
    </row>
    <row r="1331" spans="1:58" s="154" customFormat="1" ht="15" customHeight="1">
      <c r="A1331" s="168" t="s">
        <v>4951</v>
      </c>
      <c r="B1331" s="153" t="s">
        <v>5085</v>
      </c>
      <c r="C1331" s="154" t="s">
        <v>4955</v>
      </c>
      <c r="D1331" s="155">
        <v>303</v>
      </c>
      <c r="E1331" s="154">
        <v>1</v>
      </c>
      <c r="F1331" s="154" t="s">
        <v>4952</v>
      </c>
      <c r="G1331" s="154" t="s">
        <v>3978</v>
      </c>
      <c r="H1331" s="154" t="s">
        <v>5086</v>
      </c>
      <c r="I1331" s="154" t="s">
        <v>223</v>
      </c>
      <c r="J1331" s="154" t="s">
        <v>257</v>
      </c>
      <c r="K1331" s="154" t="s">
        <v>26</v>
      </c>
      <c r="N1331" s="155">
        <v>2</v>
      </c>
      <c r="O1331" s="156"/>
      <c r="P1331" s="157"/>
      <c r="Q1331" s="158"/>
      <c r="R1331" s="159"/>
      <c r="S1331" s="160">
        <v>3</v>
      </c>
      <c r="T1331" s="161"/>
      <c r="U1331" s="156"/>
      <c r="V1331" s="162"/>
      <c r="W1331" s="163"/>
      <c r="X1331" s="164"/>
      <c r="Y1331" s="159"/>
      <c r="Z1331" s="161"/>
      <c r="AA1331" s="165"/>
      <c r="AB1331" s="154" t="s">
        <v>1996</v>
      </c>
      <c r="AD1331" s="154" t="s">
        <v>276</v>
      </c>
      <c r="AE1331" s="155"/>
      <c r="AF1331" s="154" t="s">
        <v>5087</v>
      </c>
      <c r="AP1331" s="155"/>
      <c r="AQ1331" s="156"/>
      <c r="AR1331" s="157"/>
      <c r="AS1331" s="158"/>
      <c r="AT1331" s="159"/>
      <c r="AU1331" s="161"/>
      <c r="AV1331" s="156"/>
      <c r="AW1331" s="162"/>
      <c r="AX1331" s="163"/>
      <c r="AY1331" s="164"/>
      <c r="AZ1331" s="159"/>
      <c r="BA1331" s="161"/>
      <c r="BB1331" s="165"/>
      <c r="BF1331" s="15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332:K1048576 AM1332:AM1048576">
    <cfRule type="cellIs" dxfId="1391" priority="2929" operator="equal">
      <formula>"Seeker"</formula>
    </cfRule>
    <cfRule type="cellIs" dxfId="1390" priority="2930" operator="equal">
      <formula>"Neutral"</formula>
    </cfRule>
    <cfRule type="cellIs" dxfId="1389" priority="2931" operator="equal">
      <formula>"Rogue"</formula>
    </cfRule>
    <cfRule type="cellIs" dxfId="1388" priority="2932" operator="equal">
      <formula>"Guardian"</formula>
    </cfRule>
    <cfRule type="cellIs" dxfId="1387" priority="2933" operator="equal">
      <formula>"Survivor"</formula>
    </cfRule>
    <cfRule type="cellIs" dxfId="1386" priority="2934" operator="equal">
      <formula>"Mystic"</formula>
    </cfRule>
  </conditionalFormatting>
  <conditionalFormatting sqref="K2:K99 K101:K104 K234:K347">
    <cfRule type="cellIs" dxfId="1385" priority="2923" operator="equal">
      <formula>"seeker"</formula>
    </cfRule>
    <cfRule type="cellIs" dxfId="1384" priority="2924" operator="equal">
      <formula>"neutral"</formula>
    </cfRule>
    <cfRule type="cellIs" dxfId="1383" priority="2925" operator="equal">
      <formula>"rogue"</formula>
    </cfRule>
    <cfRule type="cellIs" dxfId="1382" priority="2926" operator="equal">
      <formula>"Guardian"</formula>
    </cfRule>
    <cfRule type="cellIs" dxfId="1381" priority="2927" operator="equal">
      <formula>"Survivor"</formula>
    </cfRule>
    <cfRule type="cellIs" dxfId="1380" priority="2928" operator="equal">
      <formula>"Mystic"</formula>
    </cfRule>
  </conditionalFormatting>
  <conditionalFormatting sqref="K134:K152 K158:K169 K171:K193 K105:K122 K195:K232 K124:K132">
    <cfRule type="cellIs" dxfId="1379" priority="2917" operator="equal">
      <formula>"seeker"</formula>
    </cfRule>
    <cfRule type="cellIs" dxfId="1378" priority="2918" operator="equal">
      <formula>"neutral"</formula>
    </cfRule>
    <cfRule type="cellIs" dxfId="1377" priority="2919" operator="equal">
      <formula>"rogue"</formula>
    </cfRule>
    <cfRule type="cellIs" dxfId="1376" priority="2920" operator="equal">
      <formula>"Guardian"</formula>
    </cfRule>
    <cfRule type="cellIs" dxfId="1375" priority="2921" operator="equal">
      <formula>"Survivor"</formula>
    </cfRule>
    <cfRule type="cellIs" dxfId="1374" priority="2922" operator="equal">
      <formula>"Mystic"</formula>
    </cfRule>
  </conditionalFormatting>
  <conditionalFormatting sqref="K100">
    <cfRule type="cellIs" dxfId="1373" priority="2911" operator="equal">
      <formula>"seeker"</formula>
    </cfRule>
    <cfRule type="cellIs" dxfId="1372" priority="2912" operator="equal">
      <formula>"neutral"</formula>
    </cfRule>
    <cfRule type="cellIs" dxfId="1371" priority="2913" operator="equal">
      <formula>"rogue"</formula>
    </cfRule>
    <cfRule type="cellIs" dxfId="1370" priority="2914" operator="equal">
      <formula>"Guardian"</formula>
    </cfRule>
    <cfRule type="cellIs" dxfId="1369" priority="2915" operator="equal">
      <formula>"Survivor"</formula>
    </cfRule>
    <cfRule type="cellIs" dxfId="1368" priority="2916" operator="equal">
      <formula>"Mystic"</formula>
    </cfRule>
  </conditionalFormatting>
  <conditionalFormatting sqref="AM112:AM116">
    <cfRule type="cellIs" dxfId="1367" priority="2905" operator="equal">
      <formula>"seeker"</formula>
    </cfRule>
    <cfRule type="cellIs" dxfId="1366" priority="2906" operator="equal">
      <formula>"neutral"</formula>
    </cfRule>
    <cfRule type="cellIs" dxfId="1365" priority="2907" operator="equal">
      <formula>"rogue"</formula>
    </cfRule>
    <cfRule type="cellIs" dxfId="1364" priority="2908" operator="equal">
      <formula>"Guardian"</formula>
    </cfRule>
    <cfRule type="cellIs" dxfId="1363" priority="2909" operator="equal">
      <formula>"Survivor"</formula>
    </cfRule>
    <cfRule type="cellIs" dxfId="1362" priority="2910" operator="equal">
      <formula>"Mystic"</formula>
    </cfRule>
  </conditionalFormatting>
  <conditionalFormatting sqref="AM130:AM131">
    <cfRule type="cellIs" dxfId="1361" priority="2899" operator="equal">
      <formula>"seeker"</formula>
    </cfRule>
    <cfRule type="cellIs" dxfId="1360" priority="2900" operator="equal">
      <formula>"neutral"</formula>
    </cfRule>
    <cfRule type="cellIs" dxfId="1359" priority="2901" operator="equal">
      <formula>"rogue"</formula>
    </cfRule>
    <cfRule type="cellIs" dxfId="1358" priority="2902" operator="equal">
      <formula>"Guardian"</formula>
    </cfRule>
    <cfRule type="cellIs" dxfId="1357" priority="2903" operator="equal">
      <formula>"Survivor"</formula>
    </cfRule>
    <cfRule type="cellIs" dxfId="1356" priority="2904" operator="equal">
      <formula>"Mystic"</formula>
    </cfRule>
  </conditionalFormatting>
  <conditionalFormatting sqref="AL133">
    <cfRule type="cellIs" dxfId="1355" priority="2893" operator="equal">
      <formula>"Seeker"</formula>
    </cfRule>
    <cfRule type="cellIs" dxfId="1354" priority="2894" operator="equal">
      <formula>"Neutral"</formula>
    </cfRule>
    <cfRule type="cellIs" dxfId="1353" priority="2895" operator="equal">
      <formula>"Rogue"</formula>
    </cfRule>
    <cfRule type="cellIs" dxfId="1352" priority="2896" operator="equal">
      <formula>"Guardian"</formula>
    </cfRule>
    <cfRule type="cellIs" dxfId="1351" priority="2897" operator="equal">
      <formula>"Survivor"</formula>
    </cfRule>
    <cfRule type="cellIs" dxfId="1350" priority="2898" operator="equal">
      <formula>"Mystic"</formula>
    </cfRule>
  </conditionalFormatting>
  <conditionalFormatting sqref="K133">
    <cfRule type="cellIs" dxfId="1349" priority="2887" operator="equal">
      <formula>"seeker"</formula>
    </cfRule>
    <cfRule type="cellIs" dxfId="1348" priority="2888" operator="equal">
      <formula>"neutral"</formula>
    </cfRule>
    <cfRule type="cellIs" dxfId="1347" priority="2889" operator="equal">
      <formula>"rogue"</formula>
    </cfRule>
    <cfRule type="cellIs" dxfId="1346" priority="2890" operator="equal">
      <formula>"Guardian"</formula>
    </cfRule>
    <cfRule type="cellIs" dxfId="1345" priority="2891" operator="equal">
      <formula>"Survivor"</formula>
    </cfRule>
    <cfRule type="cellIs" dxfId="1344" priority="2892" operator="equal">
      <formula>"Mystic"</formula>
    </cfRule>
  </conditionalFormatting>
  <conditionalFormatting sqref="AM151:AM152 AM158:AM159">
    <cfRule type="cellIs" dxfId="1343" priority="2881" operator="equal">
      <formula>"seeker"</formula>
    </cfRule>
    <cfRule type="cellIs" dxfId="1342" priority="2882" operator="equal">
      <formula>"neutral"</formula>
    </cfRule>
    <cfRule type="cellIs" dxfId="1341" priority="2883" operator="equal">
      <formula>"rogue"</formula>
    </cfRule>
    <cfRule type="cellIs" dxfId="1340" priority="2884" operator="equal">
      <formula>"Guardian"</formula>
    </cfRule>
    <cfRule type="cellIs" dxfId="1339" priority="2885" operator="equal">
      <formula>"Survivor"</formula>
    </cfRule>
    <cfRule type="cellIs" dxfId="1338" priority="2886" operator="equal">
      <formula>"Mystic"</formula>
    </cfRule>
  </conditionalFormatting>
  <conditionalFormatting sqref="K153">
    <cfRule type="cellIs" dxfId="1337" priority="2875" operator="equal">
      <formula>"seeker"</formula>
    </cfRule>
    <cfRule type="cellIs" dxfId="1336" priority="2876" operator="equal">
      <formula>"neutral"</formula>
    </cfRule>
    <cfRule type="cellIs" dxfId="1335" priority="2877" operator="equal">
      <formula>"rogue"</formula>
    </cfRule>
    <cfRule type="cellIs" dxfId="1334" priority="2878" operator="equal">
      <formula>"Guardian"</formula>
    </cfRule>
    <cfRule type="cellIs" dxfId="1333" priority="2879" operator="equal">
      <formula>"Survivor"</formula>
    </cfRule>
    <cfRule type="cellIs" dxfId="1332" priority="2880" operator="equal">
      <formula>"Mystic"</formula>
    </cfRule>
  </conditionalFormatting>
  <conditionalFormatting sqref="AM153">
    <cfRule type="cellIs" dxfId="1331" priority="2869" operator="equal">
      <formula>"seeker"</formula>
    </cfRule>
    <cfRule type="cellIs" dxfId="1330" priority="2870" operator="equal">
      <formula>"neutral"</formula>
    </cfRule>
    <cfRule type="cellIs" dxfId="1329" priority="2871" operator="equal">
      <formula>"rogue"</formula>
    </cfRule>
    <cfRule type="cellIs" dxfId="1328" priority="2872" operator="equal">
      <formula>"Guardian"</formula>
    </cfRule>
    <cfRule type="cellIs" dxfId="1327" priority="2873" operator="equal">
      <formula>"Survivor"</formula>
    </cfRule>
    <cfRule type="cellIs" dxfId="1326" priority="2874" operator="equal">
      <formula>"Mystic"</formula>
    </cfRule>
  </conditionalFormatting>
  <conditionalFormatting sqref="K154">
    <cfRule type="cellIs" dxfId="1325" priority="2863" operator="equal">
      <formula>"seeker"</formula>
    </cfRule>
    <cfRule type="cellIs" dxfId="1324" priority="2864" operator="equal">
      <formula>"neutral"</formula>
    </cfRule>
    <cfRule type="cellIs" dxfId="1323" priority="2865" operator="equal">
      <formula>"rogue"</formula>
    </cfRule>
    <cfRule type="cellIs" dxfId="1322" priority="2866" operator="equal">
      <formula>"Guardian"</formula>
    </cfRule>
    <cfRule type="cellIs" dxfId="1321" priority="2867" operator="equal">
      <formula>"Survivor"</formula>
    </cfRule>
    <cfRule type="cellIs" dxfId="1320" priority="2868" operator="equal">
      <formula>"Mystic"</formula>
    </cfRule>
  </conditionalFormatting>
  <conditionalFormatting sqref="AM154">
    <cfRule type="cellIs" dxfId="1319" priority="2857" operator="equal">
      <formula>"seeker"</formula>
    </cfRule>
    <cfRule type="cellIs" dxfId="1318" priority="2858" operator="equal">
      <formula>"neutral"</formula>
    </cfRule>
    <cfRule type="cellIs" dxfId="1317" priority="2859" operator="equal">
      <formula>"rogue"</formula>
    </cfRule>
    <cfRule type="cellIs" dxfId="1316" priority="2860" operator="equal">
      <formula>"Guardian"</formula>
    </cfRule>
    <cfRule type="cellIs" dxfId="1315" priority="2861" operator="equal">
      <formula>"Survivor"</formula>
    </cfRule>
    <cfRule type="cellIs" dxfId="1314" priority="2862" operator="equal">
      <formula>"Mystic"</formula>
    </cfRule>
  </conditionalFormatting>
  <conditionalFormatting sqref="K155">
    <cfRule type="cellIs" dxfId="1313" priority="2851" operator="equal">
      <formula>"seeker"</formula>
    </cfRule>
    <cfRule type="cellIs" dxfId="1312" priority="2852" operator="equal">
      <formula>"neutral"</formula>
    </cfRule>
    <cfRule type="cellIs" dxfId="1311" priority="2853" operator="equal">
      <formula>"rogue"</formula>
    </cfRule>
    <cfRule type="cellIs" dxfId="1310" priority="2854" operator="equal">
      <formula>"Guardian"</formula>
    </cfRule>
    <cfRule type="cellIs" dxfId="1309" priority="2855" operator="equal">
      <formula>"Survivor"</formula>
    </cfRule>
    <cfRule type="cellIs" dxfId="1308" priority="2856" operator="equal">
      <formula>"Mystic"</formula>
    </cfRule>
  </conditionalFormatting>
  <conditionalFormatting sqref="AM155">
    <cfRule type="cellIs" dxfId="1307" priority="2845" operator="equal">
      <formula>"seeker"</formula>
    </cfRule>
    <cfRule type="cellIs" dxfId="1306" priority="2846" operator="equal">
      <formula>"neutral"</formula>
    </cfRule>
    <cfRule type="cellIs" dxfId="1305" priority="2847" operator="equal">
      <formula>"rogue"</formula>
    </cfRule>
    <cfRule type="cellIs" dxfId="1304" priority="2848" operator="equal">
      <formula>"Guardian"</formula>
    </cfRule>
    <cfRule type="cellIs" dxfId="1303" priority="2849" operator="equal">
      <formula>"Survivor"</formula>
    </cfRule>
    <cfRule type="cellIs" dxfId="1302" priority="2850" operator="equal">
      <formula>"Mystic"</formula>
    </cfRule>
  </conditionalFormatting>
  <conditionalFormatting sqref="K156">
    <cfRule type="cellIs" dxfId="1301" priority="2839" operator="equal">
      <formula>"seeker"</formula>
    </cfRule>
    <cfRule type="cellIs" dxfId="1300" priority="2840" operator="equal">
      <formula>"neutral"</formula>
    </cfRule>
    <cfRule type="cellIs" dxfId="1299" priority="2841" operator="equal">
      <formula>"rogue"</formula>
    </cfRule>
    <cfRule type="cellIs" dxfId="1298" priority="2842" operator="equal">
      <formula>"Guardian"</formula>
    </cfRule>
    <cfRule type="cellIs" dxfId="1297" priority="2843" operator="equal">
      <formula>"Survivor"</formula>
    </cfRule>
    <cfRule type="cellIs" dxfId="1296" priority="2844" operator="equal">
      <formula>"Mystic"</formula>
    </cfRule>
  </conditionalFormatting>
  <conditionalFormatting sqref="AM156">
    <cfRule type="cellIs" dxfId="1295" priority="2833" operator="equal">
      <formula>"seeker"</formula>
    </cfRule>
    <cfRule type="cellIs" dxfId="1294" priority="2834" operator="equal">
      <formula>"neutral"</formula>
    </cfRule>
    <cfRule type="cellIs" dxfId="1293" priority="2835" operator="equal">
      <formula>"rogue"</formula>
    </cfRule>
    <cfRule type="cellIs" dxfId="1292" priority="2836" operator="equal">
      <formula>"Guardian"</formula>
    </cfRule>
    <cfRule type="cellIs" dxfId="1291" priority="2837" operator="equal">
      <formula>"Survivor"</formula>
    </cfRule>
    <cfRule type="cellIs" dxfId="1290" priority="2838" operator="equal">
      <formula>"Mystic"</formula>
    </cfRule>
  </conditionalFormatting>
  <conditionalFormatting sqref="K157">
    <cfRule type="cellIs" dxfId="1289" priority="2827" operator="equal">
      <formula>"seeker"</formula>
    </cfRule>
    <cfRule type="cellIs" dxfId="1288" priority="2828" operator="equal">
      <formula>"neutral"</formula>
    </cfRule>
    <cfRule type="cellIs" dxfId="1287" priority="2829" operator="equal">
      <formula>"rogue"</formula>
    </cfRule>
    <cfRule type="cellIs" dxfId="1286" priority="2830" operator="equal">
      <formula>"Guardian"</formula>
    </cfRule>
    <cfRule type="cellIs" dxfId="1285" priority="2831" operator="equal">
      <formula>"Survivor"</formula>
    </cfRule>
    <cfRule type="cellIs" dxfId="1284" priority="2832" operator="equal">
      <formula>"Mystic"</formula>
    </cfRule>
  </conditionalFormatting>
  <conditionalFormatting sqref="AM157">
    <cfRule type="cellIs" dxfId="1283" priority="2821" operator="equal">
      <formula>"seeker"</formula>
    </cfRule>
    <cfRule type="cellIs" dxfId="1282" priority="2822" operator="equal">
      <formula>"neutral"</formula>
    </cfRule>
    <cfRule type="cellIs" dxfId="1281" priority="2823" operator="equal">
      <formula>"rogue"</formula>
    </cfRule>
    <cfRule type="cellIs" dxfId="1280" priority="2824" operator="equal">
      <formula>"Guardian"</formula>
    </cfRule>
    <cfRule type="cellIs" dxfId="1279" priority="2825" operator="equal">
      <formula>"Survivor"</formula>
    </cfRule>
    <cfRule type="cellIs" dxfId="1278" priority="2826" operator="equal">
      <formula>"Mystic"</formula>
    </cfRule>
  </conditionalFormatting>
  <conditionalFormatting sqref="K170">
    <cfRule type="cellIs" dxfId="1277" priority="2815" operator="equal">
      <formula>"seeker"</formula>
    </cfRule>
    <cfRule type="cellIs" dxfId="1276" priority="2816" operator="equal">
      <formula>"neutral"</formula>
    </cfRule>
    <cfRule type="cellIs" dxfId="1275" priority="2817" operator="equal">
      <formula>"rogue"</formula>
    </cfRule>
    <cfRule type="cellIs" dxfId="1274" priority="2818" operator="equal">
      <formula>"Guardian"</formula>
    </cfRule>
    <cfRule type="cellIs" dxfId="1273" priority="2819" operator="equal">
      <formula>"Survivor"</formula>
    </cfRule>
    <cfRule type="cellIs" dxfId="1272" priority="2820" operator="equal">
      <formula>"Mystic"</formula>
    </cfRule>
  </conditionalFormatting>
  <conditionalFormatting sqref="AL190">
    <cfRule type="cellIs" dxfId="1271" priority="2803" operator="equal">
      <formula>"Seeker"</formula>
    </cfRule>
    <cfRule type="cellIs" dxfId="1270" priority="2804" operator="equal">
      <formula>"Neutral"</formula>
    </cfRule>
    <cfRule type="cellIs" dxfId="1269" priority="2805" operator="equal">
      <formula>"Rogue"</formula>
    </cfRule>
    <cfRule type="cellIs" dxfId="1268" priority="2806" operator="equal">
      <formula>"Guardian"</formula>
    </cfRule>
    <cfRule type="cellIs" dxfId="1267" priority="2807" operator="equal">
      <formula>"Survivor"</formula>
    </cfRule>
    <cfRule type="cellIs" dxfId="1266" priority="2808" operator="equal">
      <formula>"Mystic"</formula>
    </cfRule>
  </conditionalFormatting>
  <conditionalFormatting sqref="AM191">
    <cfRule type="cellIs" dxfId="1265" priority="2797" operator="equal">
      <formula>"seeker"</formula>
    </cfRule>
    <cfRule type="cellIs" dxfId="1264" priority="2798" operator="equal">
      <formula>"neutral"</formula>
    </cfRule>
    <cfRule type="cellIs" dxfId="1263" priority="2799" operator="equal">
      <formula>"rogue"</formula>
    </cfRule>
    <cfRule type="cellIs" dxfId="1262" priority="2800" operator="equal">
      <formula>"Guardian"</formula>
    </cfRule>
    <cfRule type="cellIs" dxfId="1261" priority="2801" operator="equal">
      <formula>"Survivor"</formula>
    </cfRule>
    <cfRule type="cellIs" dxfId="1260" priority="2802" operator="equal">
      <formula>"Mystic"</formula>
    </cfRule>
  </conditionalFormatting>
  <conditionalFormatting sqref="AM193">
    <cfRule type="cellIs" dxfId="1259" priority="2791" operator="equal">
      <formula>"seeker"</formula>
    </cfRule>
    <cfRule type="cellIs" dxfId="1258" priority="2792" operator="equal">
      <formula>"neutral"</formula>
    </cfRule>
    <cfRule type="cellIs" dxfId="1257" priority="2793" operator="equal">
      <formula>"rogue"</formula>
    </cfRule>
    <cfRule type="cellIs" dxfId="1256" priority="2794" operator="equal">
      <formula>"Guardian"</formula>
    </cfRule>
    <cfRule type="cellIs" dxfId="1255" priority="2795" operator="equal">
      <formula>"Survivor"</formula>
    </cfRule>
    <cfRule type="cellIs" dxfId="1254" priority="2796" operator="equal">
      <formula>"Mystic"</formula>
    </cfRule>
  </conditionalFormatting>
  <conditionalFormatting sqref="K194">
    <cfRule type="cellIs" dxfId="1253" priority="2785" operator="equal">
      <formula>"seeker"</formula>
    </cfRule>
    <cfRule type="cellIs" dxfId="1252" priority="2786" operator="equal">
      <formula>"neutral"</formula>
    </cfRule>
    <cfRule type="cellIs" dxfId="1251" priority="2787" operator="equal">
      <formula>"rogue"</formula>
    </cfRule>
    <cfRule type="cellIs" dxfId="1250" priority="2788" operator="equal">
      <formula>"Guardian"</formula>
    </cfRule>
    <cfRule type="cellIs" dxfId="1249" priority="2789" operator="equal">
      <formula>"Survivor"</formula>
    </cfRule>
    <cfRule type="cellIs" dxfId="1248" priority="2790" operator="equal">
      <formula>"Mystic"</formula>
    </cfRule>
  </conditionalFormatting>
  <conditionalFormatting sqref="AM195">
    <cfRule type="cellIs" dxfId="1247" priority="2779" operator="equal">
      <formula>"seeker"</formula>
    </cfRule>
    <cfRule type="cellIs" dxfId="1246" priority="2780" operator="equal">
      <formula>"neutral"</formula>
    </cfRule>
    <cfRule type="cellIs" dxfId="1245" priority="2781" operator="equal">
      <formula>"rogue"</formula>
    </cfRule>
    <cfRule type="cellIs" dxfId="1244" priority="2782" operator="equal">
      <formula>"Guardian"</formula>
    </cfRule>
    <cfRule type="cellIs" dxfId="1243" priority="2783" operator="equal">
      <formula>"Survivor"</formula>
    </cfRule>
    <cfRule type="cellIs" dxfId="1242" priority="2784" operator="equal">
      <formula>"Mystic"</formula>
    </cfRule>
  </conditionalFormatting>
  <conditionalFormatting sqref="AM194">
    <cfRule type="cellIs" dxfId="1241" priority="2773" operator="equal">
      <formula>"seeker"</formula>
    </cfRule>
    <cfRule type="cellIs" dxfId="1240" priority="2774" operator="equal">
      <formula>"neutral"</formula>
    </cfRule>
    <cfRule type="cellIs" dxfId="1239" priority="2775" operator="equal">
      <formula>"rogue"</formula>
    </cfRule>
    <cfRule type="cellIs" dxfId="1238" priority="2776" operator="equal">
      <formula>"Guardian"</formula>
    </cfRule>
    <cfRule type="cellIs" dxfId="1237" priority="2777" operator="equal">
      <formula>"Survivor"</formula>
    </cfRule>
    <cfRule type="cellIs" dxfId="1236" priority="2778" operator="equal">
      <formula>"Mystic"</formula>
    </cfRule>
  </conditionalFormatting>
  <conditionalFormatting sqref="AL3">
    <cfRule type="cellIs" dxfId="1235" priority="2767" operator="equal">
      <formula>"Seeker"</formula>
    </cfRule>
    <cfRule type="cellIs" dxfId="1234" priority="2768" operator="equal">
      <formula>"Neutral"</formula>
    </cfRule>
    <cfRule type="cellIs" dxfId="1233" priority="2769" operator="equal">
      <formula>"Rogue"</formula>
    </cfRule>
    <cfRule type="cellIs" dxfId="1232" priority="2770" operator="equal">
      <formula>"Guardian"</formula>
    </cfRule>
    <cfRule type="cellIs" dxfId="1231" priority="2771" operator="equal">
      <formula>"Survivor"</formula>
    </cfRule>
    <cfRule type="cellIs" dxfId="1230" priority="2772" operator="equal">
      <formula>"Mystic"</formula>
    </cfRule>
  </conditionalFormatting>
  <conditionalFormatting sqref="AL4">
    <cfRule type="cellIs" dxfId="1229" priority="2761" operator="equal">
      <formula>"Seeker"</formula>
    </cfRule>
    <cfRule type="cellIs" dxfId="1228" priority="2762" operator="equal">
      <formula>"Neutral"</formula>
    </cfRule>
    <cfRule type="cellIs" dxfId="1227" priority="2763" operator="equal">
      <formula>"Rogue"</formula>
    </cfRule>
    <cfRule type="cellIs" dxfId="1226" priority="2764" operator="equal">
      <formula>"Guardian"</formula>
    </cfRule>
    <cfRule type="cellIs" dxfId="1225" priority="2765" operator="equal">
      <formula>"Survivor"</formula>
    </cfRule>
    <cfRule type="cellIs" dxfId="1224" priority="2766" operator="equal">
      <formula>"Mystic"</formula>
    </cfRule>
  </conditionalFormatting>
  <conditionalFormatting sqref="AL5">
    <cfRule type="cellIs" dxfId="1223" priority="2755" operator="equal">
      <formula>"Seeker"</formula>
    </cfRule>
    <cfRule type="cellIs" dxfId="1222" priority="2756" operator="equal">
      <formula>"Neutral"</formula>
    </cfRule>
    <cfRule type="cellIs" dxfId="1221" priority="2757" operator="equal">
      <formula>"Rogue"</formula>
    </cfRule>
    <cfRule type="cellIs" dxfId="1220" priority="2758" operator="equal">
      <formula>"Guardian"</formula>
    </cfRule>
    <cfRule type="cellIs" dxfId="1219" priority="2759" operator="equal">
      <formula>"Survivor"</formula>
    </cfRule>
    <cfRule type="cellIs" dxfId="1218" priority="2760" operator="equal">
      <formula>"Mystic"</formula>
    </cfRule>
  </conditionalFormatting>
  <conditionalFormatting sqref="AL6">
    <cfRule type="cellIs" dxfId="1217" priority="2749" operator="equal">
      <formula>"Seeker"</formula>
    </cfRule>
    <cfRule type="cellIs" dxfId="1216" priority="2750" operator="equal">
      <formula>"Neutral"</formula>
    </cfRule>
    <cfRule type="cellIs" dxfId="1215" priority="2751" operator="equal">
      <formula>"Rogue"</formula>
    </cfRule>
    <cfRule type="cellIs" dxfId="1214" priority="2752" operator="equal">
      <formula>"Guardian"</formula>
    </cfRule>
    <cfRule type="cellIs" dxfId="1213" priority="2753" operator="equal">
      <formula>"Survivor"</formula>
    </cfRule>
    <cfRule type="cellIs" dxfId="1212" priority="2754" operator="equal">
      <formula>"Mystic"</formula>
    </cfRule>
  </conditionalFormatting>
  <conditionalFormatting sqref="AL122">
    <cfRule type="cellIs" dxfId="1211" priority="2743" operator="equal">
      <formula>"Seeker"</formula>
    </cfRule>
    <cfRule type="cellIs" dxfId="1210" priority="2744" operator="equal">
      <formula>"Neutral"</formula>
    </cfRule>
    <cfRule type="cellIs" dxfId="1209" priority="2745" operator="equal">
      <formula>"Rogue"</formula>
    </cfRule>
    <cfRule type="cellIs" dxfId="1208" priority="2746" operator="equal">
      <formula>"Guardian"</formula>
    </cfRule>
    <cfRule type="cellIs" dxfId="1207" priority="2747" operator="equal">
      <formula>"Survivor"</formula>
    </cfRule>
    <cfRule type="cellIs" dxfId="1206" priority="2748" operator="equal">
      <formula>"Mystic"</formula>
    </cfRule>
  </conditionalFormatting>
  <conditionalFormatting sqref="AL123">
    <cfRule type="cellIs" dxfId="1205" priority="2737" operator="equal">
      <formula>"Seeker"</formula>
    </cfRule>
    <cfRule type="cellIs" dxfId="1204" priority="2738" operator="equal">
      <formula>"Neutral"</formula>
    </cfRule>
    <cfRule type="cellIs" dxfId="1203" priority="2739" operator="equal">
      <formula>"Rogue"</formula>
    </cfRule>
    <cfRule type="cellIs" dxfId="1202" priority="2740" operator="equal">
      <formula>"Guardian"</formula>
    </cfRule>
    <cfRule type="cellIs" dxfId="1201" priority="2741" operator="equal">
      <formula>"Survivor"</formula>
    </cfRule>
    <cfRule type="cellIs" dxfId="1200" priority="2742" operator="equal">
      <formula>"Mystic"</formula>
    </cfRule>
  </conditionalFormatting>
  <conditionalFormatting sqref="J123">
    <cfRule type="cellIs" dxfId="1199" priority="2731" operator="equal">
      <formula>"Seeker"</formula>
    </cfRule>
    <cfRule type="cellIs" dxfId="1198" priority="2732" operator="equal">
      <formula>"Neutral"</formula>
    </cfRule>
    <cfRule type="cellIs" dxfId="1197" priority="2733" operator="equal">
      <formula>"Rogue"</formula>
    </cfRule>
    <cfRule type="cellIs" dxfId="1196" priority="2734" operator="equal">
      <formula>"Guardian"</formula>
    </cfRule>
    <cfRule type="cellIs" dxfId="1195" priority="2735" operator="equal">
      <formula>"Survivor"</formula>
    </cfRule>
    <cfRule type="cellIs" dxfId="1194" priority="2736" operator="equal">
      <formula>"Mystic"</formula>
    </cfRule>
  </conditionalFormatting>
  <conditionalFormatting sqref="AM253">
    <cfRule type="cellIs" dxfId="1193" priority="2725" operator="equal">
      <formula>"seeker"</formula>
    </cfRule>
    <cfRule type="cellIs" dxfId="1192" priority="2726" operator="equal">
      <formula>"neutral"</formula>
    </cfRule>
    <cfRule type="cellIs" dxfId="1191" priority="2727" operator="equal">
      <formula>"rogue"</formula>
    </cfRule>
    <cfRule type="cellIs" dxfId="1190" priority="2728" operator="equal">
      <formula>"Guardian"</formula>
    </cfRule>
    <cfRule type="cellIs" dxfId="1189" priority="2729" operator="equal">
      <formula>"Survivor"</formula>
    </cfRule>
    <cfRule type="cellIs" dxfId="1188" priority="2730" operator="equal">
      <formula>"Mystic"</formula>
    </cfRule>
  </conditionalFormatting>
  <conditionalFormatting sqref="AM254">
    <cfRule type="cellIs" dxfId="1187" priority="2719" operator="equal">
      <formula>"seeker"</formula>
    </cfRule>
    <cfRule type="cellIs" dxfId="1186" priority="2720" operator="equal">
      <formula>"neutral"</formula>
    </cfRule>
    <cfRule type="cellIs" dxfId="1185" priority="2721" operator="equal">
      <formula>"rogue"</formula>
    </cfRule>
    <cfRule type="cellIs" dxfId="1184" priority="2722" operator="equal">
      <formula>"Guardian"</formula>
    </cfRule>
    <cfRule type="cellIs" dxfId="1183" priority="2723" operator="equal">
      <formula>"Survivor"</formula>
    </cfRule>
    <cfRule type="cellIs" dxfId="1182" priority="2724" operator="equal">
      <formula>"Mystic"</formula>
    </cfRule>
  </conditionalFormatting>
  <conditionalFormatting sqref="AM255">
    <cfRule type="cellIs" dxfId="1181" priority="2713" operator="equal">
      <formula>"seeker"</formula>
    </cfRule>
    <cfRule type="cellIs" dxfId="1180" priority="2714" operator="equal">
      <formula>"neutral"</formula>
    </cfRule>
    <cfRule type="cellIs" dxfId="1179" priority="2715" operator="equal">
      <formula>"rogue"</formula>
    </cfRule>
    <cfRule type="cellIs" dxfId="1178" priority="2716" operator="equal">
      <formula>"Guardian"</formula>
    </cfRule>
    <cfRule type="cellIs" dxfId="1177" priority="2717" operator="equal">
      <formula>"Survivor"</formula>
    </cfRule>
    <cfRule type="cellIs" dxfId="1176" priority="2718" operator="equal">
      <formula>"Mystic"</formula>
    </cfRule>
  </conditionalFormatting>
  <conditionalFormatting sqref="AM256">
    <cfRule type="cellIs" dxfId="1175" priority="2707" operator="equal">
      <formula>"seeker"</formula>
    </cfRule>
    <cfRule type="cellIs" dxfId="1174" priority="2708" operator="equal">
      <formula>"neutral"</formula>
    </cfRule>
    <cfRule type="cellIs" dxfId="1173" priority="2709" operator="equal">
      <formula>"rogue"</formula>
    </cfRule>
    <cfRule type="cellIs" dxfId="1172" priority="2710" operator="equal">
      <formula>"Guardian"</formula>
    </cfRule>
    <cfRule type="cellIs" dxfId="1171" priority="2711" operator="equal">
      <formula>"Survivor"</formula>
    </cfRule>
    <cfRule type="cellIs" dxfId="1170" priority="2712" operator="equal">
      <formula>"Mystic"</formula>
    </cfRule>
  </conditionalFormatting>
  <conditionalFormatting sqref="AM252">
    <cfRule type="cellIs" dxfId="1169" priority="2701" operator="equal">
      <formula>"seeker"</formula>
    </cfRule>
    <cfRule type="cellIs" dxfId="1168" priority="2702" operator="equal">
      <formula>"neutral"</formula>
    </cfRule>
    <cfRule type="cellIs" dxfId="1167" priority="2703" operator="equal">
      <formula>"rogue"</formula>
    </cfRule>
    <cfRule type="cellIs" dxfId="1166" priority="2704" operator="equal">
      <formula>"Guardian"</formula>
    </cfRule>
    <cfRule type="cellIs" dxfId="1165" priority="2705" operator="equal">
      <formula>"Survivor"</formula>
    </cfRule>
    <cfRule type="cellIs" dxfId="1164" priority="2706" operator="equal">
      <formula>"Mystic"</formula>
    </cfRule>
  </conditionalFormatting>
  <conditionalFormatting sqref="AM383:AM387">
    <cfRule type="cellIs" dxfId="1163" priority="2695" operator="equal">
      <formula>"Seeker"</formula>
    </cfRule>
    <cfRule type="cellIs" dxfId="1162" priority="2696" operator="equal">
      <formula>"Neutral"</formula>
    </cfRule>
    <cfRule type="cellIs" dxfId="1161" priority="2697" operator="equal">
      <formula>"Rogue"</formula>
    </cfRule>
    <cfRule type="cellIs" dxfId="1160" priority="2698" operator="equal">
      <formula>"Guardian"</formula>
    </cfRule>
    <cfRule type="cellIs" dxfId="1159" priority="2699" operator="equal">
      <formula>"Survivor"</formula>
    </cfRule>
    <cfRule type="cellIs" dxfId="1158" priority="2700" operator="equal">
      <formula>"Mystic"</formula>
    </cfRule>
  </conditionalFormatting>
  <conditionalFormatting sqref="K383:K387">
    <cfRule type="cellIs" dxfId="1157" priority="2689" operator="equal">
      <formula>"seeker"</formula>
    </cfRule>
    <cfRule type="cellIs" dxfId="1156" priority="2690" operator="equal">
      <formula>"neutral"</formula>
    </cfRule>
    <cfRule type="cellIs" dxfId="1155" priority="2691" operator="equal">
      <formula>"rogue"</formula>
    </cfRule>
    <cfRule type="cellIs" dxfId="1154" priority="2692" operator="equal">
      <formula>"Guardian"</formula>
    </cfRule>
    <cfRule type="cellIs" dxfId="1153" priority="2693" operator="equal">
      <formula>"Survivor"</formula>
    </cfRule>
    <cfRule type="cellIs" dxfId="1152" priority="2694" operator="equal">
      <formula>"Mystic"</formula>
    </cfRule>
  </conditionalFormatting>
  <conditionalFormatting sqref="AM233">
    <cfRule type="cellIs" dxfId="1151" priority="2683" operator="equal">
      <formula>"Seeker"</formula>
    </cfRule>
    <cfRule type="cellIs" dxfId="1150" priority="2684" operator="equal">
      <formula>"Neutral"</formula>
    </cfRule>
    <cfRule type="cellIs" dxfId="1149" priority="2685" operator="equal">
      <formula>"Rogue"</formula>
    </cfRule>
    <cfRule type="cellIs" dxfId="1148" priority="2686" operator="equal">
      <formula>"Guardian"</formula>
    </cfRule>
    <cfRule type="cellIs" dxfId="1147" priority="2687" operator="equal">
      <formula>"Survivor"</formula>
    </cfRule>
    <cfRule type="cellIs" dxfId="1146" priority="2688" operator="equal">
      <formula>"Mystic"</formula>
    </cfRule>
  </conditionalFormatting>
  <conditionalFormatting sqref="K233">
    <cfRule type="cellIs" dxfId="1145" priority="2677" operator="equal">
      <formula>"seeker"</formula>
    </cfRule>
    <cfRule type="cellIs" dxfId="1144" priority="2678" operator="equal">
      <formula>"neutral"</formula>
    </cfRule>
    <cfRule type="cellIs" dxfId="1143" priority="2679" operator="equal">
      <formula>"rogue"</formula>
    </cfRule>
    <cfRule type="cellIs" dxfId="1142" priority="2680" operator="equal">
      <formula>"Guardian"</formula>
    </cfRule>
    <cfRule type="cellIs" dxfId="1141" priority="2681" operator="equal">
      <formula>"Survivor"</formula>
    </cfRule>
    <cfRule type="cellIs" dxfId="1140" priority="2682" operator="equal">
      <formula>"Mystic"</formula>
    </cfRule>
  </conditionalFormatting>
  <conditionalFormatting sqref="K388:K429 AM388:AM429">
    <cfRule type="cellIs" dxfId="1139" priority="2671" operator="equal">
      <formula>"seeker"</formula>
    </cfRule>
    <cfRule type="cellIs" dxfId="1138" priority="2672" operator="equal">
      <formula>"neutral"</formula>
    </cfRule>
    <cfRule type="cellIs" dxfId="1137" priority="2673" operator="equal">
      <formula>"rogue"</formula>
    </cfRule>
    <cfRule type="cellIs" dxfId="1136" priority="2674" operator="equal">
      <formula>"Guardian"</formula>
    </cfRule>
    <cfRule type="cellIs" dxfId="1135" priority="2675" operator="equal">
      <formula>"Survivor"</formula>
    </cfRule>
    <cfRule type="cellIs" dxfId="1134" priority="2676" operator="equal">
      <formula>"Mystic"</formula>
    </cfRule>
  </conditionalFormatting>
  <conditionalFormatting sqref="K430:K466 AM430:AM442 AM450:AM466">
    <cfRule type="cellIs" dxfId="1133" priority="2665" operator="equal">
      <formula>"seeker"</formula>
    </cfRule>
    <cfRule type="cellIs" dxfId="1132" priority="2666" operator="equal">
      <formula>"neutral"</formula>
    </cfRule>
    <cfRule type="cellIs" dxfId="1131" priority="2667" operator="equal">
      <formula>"rogue"</formula>
    </cfRule>
    <cfRule type="cellIs" dxfId="1130" priority="2668" operator="equal">
      <formula>"Guardian"</formula>
    </cfRule>
    <cfRule type="cellIs" dxfId="1129" priority="2669" operator="equal">
      <formula>"Survivor"</formula>
    </cfRule>
    <cfRule type="cellIs" dxfId="1128" priority="2670" operator="equal">
      <formula>"Mystic"</formula>
    </cfRule>
  </conditionalFormatting>
  <conditionalFormatting sqref="AM443:AM449">
    <cfRule type="cellIs" dxfId="1127" priority="2659" operator="equal">
      <formula>"seeker"</formula>
    </cfRule>
    <cfRule type="cellIs" dxfId="1126" priority="2660" operator="equal">
      <formula>"neutral"</formula>
    </cfRule>
    <cfRule type="cellIs" dxfId="1125" priority="2661" operator="equal">
      <formula>"rogue"</formula>
    </cfRule>
    <cfRule type="cellIs" dxfId="1124" priority="2662" operator="equal">
      <formula>"Guardian"</formula>
    </cfRule>
    <cfRule type="cellIs" dxfId="1123" priority="2663" operator="equal">
      <formula>"Survivor"</formula>
    </cfRule>
    <cfRule type="cellIs" dxfId="1122" priority="2664" operator="equal">
      <formula>"Mystic"</formula>
    </cfRule>
  </conditionalFormatting>
  <conditionalFormatting sqref="AL737">
    <cfRule type="cellIs" dxfId="1121" priority="2623" operator="equal">
      <formula>"Seeker"</formula>
    </cfRule>
    <cfRule type="cellIs" dxfId="1120" priority="2624" operator="equal">
      <formula>"Neutral"</formula>
    </cfRule>
    <cfRule type="cellIs" dxfId="1119" priority="2625" operator="equal">
      <formula>"Rogue"</formula>
    </cfRule>
    <cfRule type="cellIs" dxfId="1118" priority="2626" operator="equal">
      <formula>"Guardian"</formula>
    </cfRule>
    <cfRule type="cellIs" dxfId="1117" priority="2627" operator="equal">
      <formula>"Survivor"</formula>
    </cfRule>
    <cfRule type="cellIs" dxfId="1116" priority="2628" operator="equal">
      <formula>"Mystic"</formula>
    </cfRule>
  </conditionalFormatting>
  <conditionalFormatting sqref="AL733 AL738:AL746 AL767:AL773">
    <cfRule type="cellIs" dxfId="1115" priority="2653" operator="equal">
      <formula>"Seeker"</formula>
    </cfRule>
    <cfRule type="cellIs" dxfId="1114" priority="2654" operator="equal">
      <formula>"Neutral"</formula>
    </cfRule>
    <cfRule type="cellIs" dxfId="1113" priority="2655" operator="equal">
      <formula>"Rogue"</formula>
    </cfRule>
    <cfRule type="cellIs" dxfId="1112" priority="2656" operator="equal">
      <formula>"Guardian"</formula>
    </cfRule>
    <cfRule type="cellIs" dxfId="1111" priority="2657" operator="equal">
      <formula>"Survivor"</formula>
    </cfRule>
    <cfRule type="cellIs" dxfId="1110" priority="2658" operator="equal">
      <formula>"Mystic"</formula>
    </cfRule>
  </conditionalFormatting>
  <conditionalFormatting sqref="K733:K773">
    <cfRule type="cellIs" dxfId="1109" priority="2647" operator="equal">
      <formula>"seeker"</formula>
    </cfRule>
    <cfRule type="cellIs" dxfId="1108" priority="2648" operator="equal">
      <formula>"neutral"</formula>
    </cfRule>
    <cfRule type="cellIs" dxfId="1107" priority="2649" operator="equal">
      <formula>"rogue"</formula>
    </cfRule>
    <cfRule type="cellIs" dxfId="1106" priority="2650" operator="equal">
      <formula>"Guardian"</formula>
    </cfRule>
    <cfRule type="cellIs" dxfId="1105" priority="2651" operator="equal">
      <formula>"Survivor"</formula>
    </cfRule>
    <cfRule type="cellIs" dxfId="1104" priority="2652" operator="equal">
      <formula>"Mystic"</formula>
    </cfRule>
  </conditionalFormatting>
  <conditionalFormatting sqref="AL734">
    <cfRule type="cellIs" dxfId="1103" priority="2641" operator="equal">
      <formula>"Seeker"</formula>
    </cfRule>
    <cfRule type="cellIs" dxfId="1102" priority="2642" operator="equal">
      <formula>"Neutral"</formula>
    </cfRule>
    <cfRule type="cellIs" dxfId="1101" priority="2643" operator="equal">
      <formula>"Rogue"</formula>
    </cfRule>
    <cfRule type="cellIs" dxfId="1100" priority="2644" operator="equal">
      <formula>"Guardian"</formula>
    </cfRule>
    <cfRule type="cellIs" dxfId="1099" priority="2645" operator="equal">
      <formula>"Survivor"</formula>
    </cfRule>
    <cfRule type="cellIs" dxfId="1098" priority="2646" operator="equal">
      <formula>"Mystic"</formula>
    </cfRule>
  </conditionalFormatting>
  <conditionalFormatting sqref="AL735">
    <cfRule type="cellIs" dxfId="1097" priority="2635" operator="equal">
      <formula>"Seeker"</formula>
    </cfRule>
    <cfRule type="cellIs" dxfId="1096" priority="2636" operator="equal">
      <formula>"Neutral"</formula>
    </cfRule>
    <cfRule type="cellIs" dxfId="1095" priority="2637" operator="equal">
      <formula>"Rogue"</formula>
    </cfRule>
    <cfRule type="cellIs" dxfId="1094" priority="2638" operator="equal">
      <formula>"Guardian"</formula>
    </cfRule>
    <cfRule type="cellIs" dxfId="1093" priority="2639" operator="equal">
      <formula>"Survivor"</formula>
    </cfRule>
    <cfRule type="cellIs" dxfId="1092" priority="2640" operator="equal">
      <formula>"Mystic"</formula>
    </cfRule>
  </conditionalFormatting>
  <conditionalFormatting sqref="AL736">
    <cfRule type="cellIs" dxfId="1091" priority="2629" operator="equal">
      <formula>"Seeker"</formula>
    </cfRule>
    <cfRule type="cellIs" dxfId="1090" priority="2630" operator="equal">
      <formula>"Neutral"</formula>
    </cfRule>
    <cfRule type="cellIs" dxfId="1089" priority="2631" operator="equal">
      <formula>"Rogue"</formula>
    </cfRule>
    <cfRule type="cellIs" dxfId="1088" priority="2632" operator="equal">
      <formula>"Guardian"</formula>
    </cfRule>
    <cfRule type="cellIs" dxfId="1087" priority="2633" operator="equal">
      <formula>"Survivor"</formula>
    </cfRule>
    <cfRule type="cellIs" dxfId="1086" priority="2634" operator="equal">
      <formula>"Mystic"</formula>
    </cfRule>
  </conditionalFormatting>
  <conditionalFormatting sqref="AM727:AM731">
    <cfRule type="cellIs" dxfId="1085" priority="2617" operator="equal">
      <formula>"Seeker"</formula>
    </cfRule>
    <cfRule type="cellIs" dxfId="1084" priority="2618" operator="equal">
      <formula>"Neutral"</formula>
    </cfRule>
    <cfRule type="cellIs" dxfId="1083" priority="2619" operator="equal">
      <formula>"Rogue"</formula>
    </cfRule>
    <cfRule type="cellIs" dxfId="1082" priority="2620" operator="equal">
      <formula>"Guardian"</formula>
    </cfRule>
    <cfRule type="cellIs" dxfId="1081" priority="2621" operator="equal">
      <formula>"Survivor"</formula>
    </cfRule>
    <cfRule type="cellIs" dxfId="1080" priority="2622" operator="equal">
      <formula>"Mystic"</formula>
    </cfRule>
  </conditionalFormatting>
  <conditionalFormatting sqref="K727:K731">
    <cfRule type="cellIs" dxfId="1079" priority="2611" operator="equal">
      <formula>"seeker"</formula>
    </cfRule>
    <cfRule type="cellIs" dxfId="1078" priority="2612" operator="equal">
      <formula>"neutral"</formula>
    </cfRule>
    <cfRule type="cellIs" dxfId="1077" priority="2613" operator="equal">
      <formula>"rogue"</formula>
    </cfRule>
    <cfRule type="cellIs" dxfId="1076" priority="2614" operator="equal">
      <formula>"Guardian"</formula>
    </cfRule>
    <cfRule type="cellIs" dxfId="1075" priority="2615" operator="equal">
      <formula>"Survivor"</formula>
    </cfRule>
    <cfRule type="cellIs" dxfId="1074" priority="2616" operator="equal">
      <formula>"Mystic"</formula>
    </cfRule>
  </conditionalFormatting>
  <conditionalFormatting sqref="AM732">
    <cfRule type="cellIs" dxfId="1073" priority="2605" operator="equal">
      <formula>"Seeker"</formula>
    </cfRule>
    <cfRule type="cellIs" dxfId="1072" priority="2606" operator="equal">
      <formula>"Neutral"</formula>
    </cfRule>
    <cfRule type="cellIs" dxfId="1071" priority="2607" operator="equal">
      <formula>"Rogue"</formula>
    </cfRule>
    <cfRule type="cellIs" dxfId="1070" priority="2608" operator="equal">
      <formula>"Guardian"</formula>
    </cfRule>
    <cfRule type="cellIs" dxfId="1069" priority="2609" operator="equal">
      <formula>"Survivor"</formula>
    </cfRule>
    <cfRule type="cellIs" dxfId="1068" priority="2610" operator="equal">
      <formula>"Mystic"</formula>
    </cfRule>
  </conditionalFormatting>
  <conditionalFormatting sqref="K732">
    <cfRule type="cellIs" dxfId="1067" priority="2599" operator="equal">
      <formula>"seeker"</formula>
    </cfRule>
    <cfRule type="cellIs" dxfId="1066" priority="2600" operator="equal">
      <formula>"neutral"</formula>
    </cfRule>
    <cfRule type="cellIs" dxfId="1065" priority="2601" operator="equal">
      <formula>"rogue"</formula>
    </cfRule>
    <cfRule type="cellIs" dxfId="1064" priority="2602" operator="equal">
      <formula>"Guardian"</formula>
    </cfRule>
    <cfRule type="cellIs" dxfId="1063" priority="2603" operator="equal">
      <formula>"Survivor"</formula>
    </cfRule>
    <cfRule type="cellIs" dxfId="1062" priority="2604" operator="equal">
      <formula>"Mystic"</formula>
    </cfRule>
  </conditionalFormatting>
  <conditionalFormatting sqref="AL863 AL865:AL881 AL855:AL860">
    <cfRule type="cellIs" dxfId="1061" priority="2593" operator="equal">
      <formula>"Seeker"</formula>
    </cfRule>
    <cfRule type="cellIs" dxfId="1060" priority="2594" operator="equal">
      <formula>"Neutral"</formula>
    </cfRule>
    <cfRule type="cellIs" dxfId="1059" priority="2595" operator="equal">
      <formula>"Rogue"</formula>
    </cfRule>
    <cfRule type="cellIs" dxfId="1058" priority="2596" operator="equal">
      <formula>"Guardian"</formula>
    </cfRule>
    <cfRule type="cellIs" dxfId="1057" priority="2597" operator="equal">
      <formula>"Survivor"</formula>
    </cfRule>
    <cfRule type="cellIs" dxfId="1056" priority="2598" operator="equal">
      <formula>"Mystic"</formula>
    </cfRule>
  </conditionalFormatting>
  <conditionalFormatting sqref="K865:K883 K889 K855:K863">
    <cfRule type="cellIs" dxfId="1055" priority="2587" operator="equal">
      <formula>"seeker"</formula>
    </cfRule>
    <cfRule type="cellIs" dxfId="1054" priority="2588" operator="equal">
      <formula>"neutral"</formula>
    </cfRule>
    <cfRule type="cellIs" dxfId="1053" priority="2589" operator="equal">
      <formula>"rogue"</formula>
    </cfRule>
    <cfRule type="cellIs" dxfId="1052" priority="2590" operator="equal">
      <formula>"Guardian"</formula>
    </cfRule>
    <cfRule type="cellIs" dxfId="1051" priority="2591" operator="equal">
      <formula>"Survivor"</formula>
    </cfRule>
    <cfRule type="cellIs" dxfId="1050" priority="2592" operator="equal">
      <formula>"Mystic"</formula>
    </cfRule>
  </conditionalFormatting>
  <conditionalFormatting sqref="AM861:AM862">
    <cfRule type="cellIs" dxfId="1049" priority="2581" operator="equal">
      <formula>"seeker"</formula>
    </cfRule>
    <cfRule type="cellIs" dxfId="1048" priority="2582" operator="equal">
      <formula>"neutral"</formula>
    </cfRule>
    <cfRule type="cellIs" dxfId="1047" priority="2583" operator="equal">
      <formula>"rogue"</formula>
    </cfRule>
    <cfRule type="cellIs" dxfId="1046" priority="2584" operator="equal">
      <formula>"Guardian"</formula>
    </cfRule>
    <cfRule type="cellIs" dxfId="1045" priority="2585" operator="equal">
      <formula>"Survivor"</formula>
    </cfRule>
    <cfRule type="cellIs" dxfId="1044" priority="2586" operator="equal">
      <formula>"Mystic"</formula>
    </cfRule>
  </conditionalFormatting>
  <conditionalFormatting sqref="AL864">
    <cfRule type="cellIs" dxfId="1043" priority="2575" operator="equal">
      <formula>"Seeker"</formula>
    </cfRule>
    <cfRule type="cellIs" dxfId="1042" priority="2576" operator="equal">
      <formula>"Neutral"</formula>
    </cfRule>
    <cfRule type="cellIs" dxfId="1041" priority="2577" operator="equal">
      <formula>"Rogue"</formula>
    </cfRule>
    <cfRule type="cellIs" dxfId="1040" priority="2578" operator="equal">
      <formula>"Guardian"</formula>
    </cfRule>
    <cfRule type="cellIs" dxfId="1039" priority="2579" operator="equal">
      <formula>"Survivor"</formula>
    </cfRule>
    <cfRule type="cellIs" dxfId="1038" priority="2580" operator="equal">
      <formula>"Mystic"</formula>
    </cfRule>
  </conditionalFormatting>
  <conditionalFormatting sqref="K864">
    <cfRule type="cellIs" dxfId="1037" priority="2569" operator="equal">
      <formula>"seeker"</formula>
    </cfRule>
    <cfRule type="cellIs" dxfId="1036" priority="2570" operator="equal">
      <formula>"neutral"</formula>
    </cfRule>
    <cfRule type="cellIs" dxfId="1035" priority="2571" operator="equal">
      <formula>"rogue"</formula>
    </cfRule>
    <cfRule type="cellIs" dxfId="1034" priority="2572" operator="equal">
      <formula>"Guardian"</formula>
    </cfRule>
    <cfRule type="cellIs" dxfId="1033" priority="2573" operator="equal">
      <formula>"Survivor"</formula>
    </cfRule>
    <cfRule type="cellIs" dxfId="1032" priority="2574" operator="equal">
      <formula>"Mystic"</formula>
    </cfRule>
  </conditionalFormatting>
  <conditionalFormatting sqref="AM882:AM883 AM889">
    <cfRule type="cellIs" dxfId="1031" priority="2563" operator="equal">
      <formula>"seeker"</formula>
    </cfRule>
    <cfRule type="cellIs" dxfId="1030" priority="2564" operator="equal">
      <formula>"neutral"</formula>
    </cfRule>
    <cfRule type="cellIs" dxfId="1029" priority="2565" operator="equal">
      <formula>"rogue"</formula>
    </cfRule>
    <cfRule type="cellIs" dxfId="1028" priority="2566" operator="equal">
      <formula>"Guardian"</formula>
    </cfRule>
    <cfRule type="cellIs" dxfId="1027" priority="2567" operator="equal">
      <formula>"Survivor"</formula>
    </cfRule>
    <cfRule type="cellIs" dxfId="1026" priority="2568" operator="equal">
      <formula>"Mystic"</formula>
    </cfRule>
  </conditionalFormatting>
  <conditionalFormatting sqref="K884">
    <cfRule type="cellIs" dxfId="1025" priority="2557" operator="equal">
      <formula>"seeker"</formula>
    </cfRule>
    <cfRule type="cellIs" dxfId="1024" priority="2558" operator="equal">
      <formula>"neutral"</formula>
    </cfRule>
    <cfRule type="cellIs" dxfId="1023" priority="2559" operator="equal">
      <formula>"rogue"</formula>
    </cfRule>
    <cfRule type="cellIs" dxfId="1022" priority="2560" operator="equal">
      <formula>"Guardian"</formula>
    </cfRule>
    <cfRule type="cellIs" dxfId="1021" priority="2561" operator="equal">
      <formula>"Survivor"</formula>
    </cfRule>
    <cfRule type="cellIs" dxfId="1020" priority="2562" operator="equal">
      <formula>"Mystic"</formula>
    </cfRule>
  </conditionalFormatting>
  <conditionalFormatting sqref="AM884">
    <cfRule type="cellIs" dxfId="1019" priority="2551" operator="equal">
      <formula>"seeker"</formula>
    </cfRule>
    <cfRule type="cellIs" dxfId="1018" priority="2552" operator="equal">
      <formula>"neutral"</formula>
    </cfRule>
    <cfRule type="cellIs" dxfId="1017" priority="2553" operator="equal">
      <formula>"rogue"</formula>
    </cfRule>
    <cfRule type="cellIs" dxfId="1016" priority="2554" operator="equal">
      <formula>"Guardian"</formula>
    </cfRule>
    <cfRule type="cellIs" dxfId="1015" priority="2555" operator="equal">
      <formula>"Survivor"</formula>
    </cfRule>
    <cfRule type="cellIs" dxfId="1014" priority="2556" operator="equal">
      <formula>"Mystic"</formula>
    </cfRule>
  </conditionalFormatting>
  <conditionalFormatting sqref="K885">
    <cfRule type="cellIs" dxfId="1013" priority="2545" operator="equal">
      <formula>"seeker"</formula>
    </cfRule>
    <cfRule type="cellIs" dxfId="1012" priority="2546" operator="equal">
      <formula>"neutral"</formula>
    </cfRule>
    <cfRule type="cellIs" dxfId="1011" priority="2547" operator="equal">
      <formula>"rogue"</formula>
    </cfRule>
    <cfRule type="cellIs" dxfId="1010" priority="2548" operator="equal">
      <formula>"Guardian"</formula>
    </cfRule>
    <cfRule type="cellIs" dxfId="1009" priority="2549" operator="equal">
      <formula>"Survivor"</formula>
    </cfRule>
    <cfRule type="cellIs" dxfId="1008" priority="2550" operator="equal">
      <formula>"Mystic"</formula>
    </cfRule>
  </conditionalFormatting>
  <conditionalFormatting sqref="AM885">
    <cfRule type="cellIs" dxfId="1007" priority="2539" operator="equal">
      <formula>"seeker"</formula>
    </cfRule>
    <cfRule type="cellIs" dxfId="1006" priority="2540" operator="equal">
      <formula>"neutral"</formula>
    </cfRule>
    <cfRule type="cellIs" dxfId="1005" priority="2541" operator="equal">
      <formula>"rogue"</formula>
    </cfRule>
    <cfRule type="cellIs" dxfId="1004" priority="2542" operator="equal">
      <formula>"Guardian"</formula>
    </cfRule>
    <cfRule type="cellIs" dxfId="1003" priority="2543" operator="equal">
      <formula>"Survivor"</formula>
    </cfRule>
    <cfRule type="cellIs" dxfId="1002" priority="2544" operator="equal">
      <formula>"Mystic"</formula>
    </cfRule>
  </conditionalFormatting>
  <conditionalFormatting sqref="K886">
    <cfRule type="cellIs" dxfId="1001" priority="2533" operator="equal">
      <formula>"seeker"</formula>
    </cfRule>
    <cfRule type="cellIs" dxfId="1000" priority="2534" operator="equal">
      <formula>"neutral"</formula>
    </cfRule>
    <cfRule type="cellIs" dxfId="999" priority="2535" operator="equal">
      <formula>"rogue"</formula>
    </cfRule>
    <cfRule type="cellIs" dxfId="998" priority="2536" operator="equal">
      <formula>"Guardian"</formula>
    </cfRule>
    <cfRule type="cellIs" dxfId="997" priority="2537" operator="equal">
      <formula>"Survivor"</formula>
    </cfRule>
    <cfRule type="cellIs" dxfId="996" priority="2538" operator="equal">
      <formula>"Mystic"</formula>
    </cfRule>
  </conditionalFormatting>
  <conditionalFormatting sqref="AM886">
    <cfRule type="cellIs" dxfId="995" priority="2527" operator="equal">
      <formula>"seeker"</formula>
    </cfRule>
    <cfRule type="cellIs" dxfId="994" priority="2528" operator="equal">
      <formula>"neutral"</formula>
    </cfRule>
    <cfRule type="cellIs" dxfId="993" priority="2529" operator="equal">
      <formula>"rogue"</formula>
    </cfRule>
    <cfRule type="cellIs" dxfId="992" priority="2530" operator="equal">
      <formula>"Guardian"</formula>
    </cfRule>
    <cfRule type="cellIs" dxfId="991" priority="2531" operator="equal">
      <formula>"Survivor"</formula>
    </cfRule>
    <cfRule type="cellIs" dxfId="990" priority="2532" operator="equal">
      <formula>"Mystic"</formula>
    </cfRule>
  </conditionalFormatting>
  <conditionalFormatting sqref="K887">
    <cfRule type="cellIs" dxfId="989" priority="2521" operator="equal">
      <formula>"seeker"</formula>
    </cfRule>
    <cfRule type="cellIs" dxfId="988" priority="2522" operator="equal">
      <formula>"neutral"</formula>
    </cfRule>
    <cfRule type="cellIs" dxfId="987" priority="2523" operator="equal">
      <formula>"rogue"</formula>
    </cfRule>
    <cfRule type="cellIs" dxfId="986" priority="2524" operator="equal">
      <formula>"Guardian"</formula>
    </cfRule>
    <cfRule type="cellIs" dxfId="985" priority="2525" operator="equal">
      <formula>"Survivor"</formula>
    </cfRule>
    <cfRule type="cellIs" dxfId="984" priority="2526" operator="equal">
      <formula>"Mystic"</formula>
    </cfRule>
  </conditionalFormatting>
  <conditionalFormatting sqref="AM887">
    <cfRule type="cellIs" dxfId="983" priority="2515" operator="equal">
      <formula>"seeker"</formula>
    </cfRule>
    <cfRule type="cellIs" dxfId="982" priority="2516" operator="equal">
      <formula>"neutral"</formula>
    </cfRule>
    <cfRule type="cellIs" dxfId="981" priority="2517" operator="equal">
      <formula>"rogue"</formula>
    </cfRule>
    <cfRule type="cellIs" dxfId="980" priority="2518" operator="equal">
      <formula>"Guardian"</formula>
    </cfRule>
    <cfRule type="cellIs" dxfId="979" priority="2519" operator="equal">
      <formula>"Survivor"</formula>
    </cfRule>
    <cfRule type="cellIs" dxfId="978" priority="2520" operator="equal">
      <formula>"Mystic"</formula>
    </cfRule>
  </conditionalFormatting>
  <conditionalFormatting sqref="K888">
    <cfRule type="cellIs" dxfId="977" priority="2509" operator="equal">
      <formula>"seeker"</formula>
    </cfRule>
    <cfRule type="cellIs" dxfId="976" priority="2510" operator="equal">
      <formula>"neutral"</formula>
    </cfRule>
    <cfRule type="cellIs" dxfId="975" priority="2511" operator="equal">
      <formula>"rogue"</formula>
    </cfRule>
    <cfRule type="cellIs" dxfId="974" priority="2512" operator="equal">
      <formula>"Guardian"</formula>
    </cfRule>
    <cfRule type="cellIs" dxfId="973" priority="2513" operator="equal">
      <formula>"Survivor"</formula>
    </cfRule>
    <cfRule type="cellIs" dxfId="972" priority="2514" operator="equal">
      <formula>"Mystic"</formula>
    </cfRule>
  </conditionalFormatting>
  <conditionalFormatting sqref="AM888">
    <cfRule type="cellIs" dxfId="971" priority="2503" operator="equal">
      <formula>"seeker"</formula>
    </cfRule>
    <cfRule type="cellIs" dxfId="970" priority="2504" operator="equal">
      <formula>"neutral"</formula>
    </cfRule>
    <cfRule type="cellIs" dxfId="969" priority="2505" operator="equal">
      <formula>"rogue"</formula>
    </cfRule>
    <cfRule type="cellIs" dxfId="968" priority="2506" operator="equal">
      <formula>"Guardian"</formula>
    </cfRule>
    <cfRule type="cellIs" dxfId="967" priority="2507" operator="equal">
      <formula>"Survivor"</formula>
    </cfRule>
    <cfRule type="cellIs" dxfId="966" priority="2508" operator="equal">
      <formula>"Mystic"</formula>
    </cfRule>
  </conditionalFormatting>
  <conditionalFormatting sqref="AM955:AM960 K933:K957 K960 K963 AM963 AM965:AM977 K965:K977">
    <cfRule type="cellIs" dxfId="965" priority="2461" operator="equal">
      <formula>"seeker"</formula>
    </cfRule>
    <cfRule type="cellIs" dxfId="964" priority="2462" operator="equal">
      <formula>"neutral"</formula>
    </cfRule>
    <cfRule type="cellIs" dxfId="963" priority="2463" operator="equal">
      <formula>"rogue"</formula>
    </cfRule>
    <cfRule type="cellIs" dxfId="962" priority="2464" operator="equal">
      <formula>"Guardian"</formula>
    </cfRule>
    <cfRule type="cellIs" dxfId="961" priority="2465" operator="equal">
      <formula>"Survivor"</formula>
    </cfRule>
    <cfRule type="cellIs" dxfId="960" priority="2466" operator="equal">
      <formula>"Mystic"</formula>
    </cfRule>
  </conditionalFormatting>
  <conditionalFormatting sqref="AL937">
    <cfRule type="cellIs" dxfId="959" priority="2431" operator="equal">
      <formula>"Seeker"</formula>
    </cfRule>
    <cfRule type="cellIs" dxfId="958" priority="2432" operator="equal">
      <formula>"Neutral"</formula>
    </cfRule>
    <cfRule type="cellIs" dxfId="957" priority="2433" operator="equal">
      <formula>"Rogue"</formula>
    </cfRule>
    <cfRule type="cellIs" dxfId="956" priority="2434" operator="equal">
      <formula>"Guardian"</formula>
    </cfRule>
    <cfRule type="cellIs" dxfId="955" priority="2435" operator="equal">
      <formula>"Survivor"</formula>
    </cfRule>
    <cfRule type="cellIs" dxfId="954" priority="2436" operator="equal">
      <formula>"Mystic"</formula>
    </cfRule>
  </conditionalFormatting>
  <conditionalFormatting sqref="AL933 AL938:AL944">
    <cfRule type="cellIs" dxfId="953" priority="2455" operator="equal">
      <formula>"Seeker"</formula>
    </cfRule>
    <cfRule type="cellIs" dxfId="952" priority="2456" operator="equal">
      <formula>"Neutral"</formula>
    </cfRule>
    <cfRule type="cellIs" dxfId="951" priority="2457" operator="equal">
      <formula>"Rogue"</formula>
    </cfRule>
    <cfRule type="cellIs" dxfId="950" priority="2458" operator="equal">
      <formula>"Guardian"</formula>
    </cfRule>
    <cfRule type="cellIs" dxfId="949" priority="2459" operator="equal">
      <formula>"Survivor"</formula>
    </cfRule>
    <cfRule type="cellIs" dxfId="948" priority="2460" operator="equal">
      <formula>"Mystic"</formula>
    </cfRule>
  </conditionalFormatting>
  <conditionalFormatting sqref="AL934">
    <cfRule type="cellIs" dxfId="947" priority="2449" operator="equal">
      <formula>"Seeker"</formula>
    </cfRule>
    <cfRule type="cellIs" dxfId="946" priority="2450" operator="equal">
      <formula>"Neutral"</formula>
    </cfRule>
    <cfRule type="cellIs" dxfId="945" priority="2451" operator="equal">
      <formula>"Rogue"</formula>
    </cfRule>
    <cfRule type="cellIs" dxfId="944" priority="2452" operator="equal">
      <formula>"Guardian"</formula>
    </cfRule>
    <cfRule type="cellIs" dxfId="943" priority="2453" operator="equal">
      <formula>"Survivor"</formula>
    </cfRule>
    <cfRule type="cellIs" dxfId="942" priority="2454" operator="equal">
      <formula>"Mystic"</formula>
    </cfRule>
  </conditionalFormatting>
  <conditionalFormatting sqref="AL935">
    <cfRule type="cellIs" dxfId="941" priority="2443" operator="equal">
      <formula>"Seeker"</formula>
    </cfRule>
    <cfRule type="cellIs" dxfId="940" priority="2444" operator="equal">
      <formula>"Neutral"</formula>
    </cfRule>
    <cfRule type="cellIs" dxfId="939" priority="2445" operator="equal">
      <formula>"Rogue"</formula>
    </cfRule>
    <cfRule type="cellIs" dxfId="938" priority="2446" operator="equal">
      <formula>"Guardian"</formula>
    </cfRule>
    <cfRule type="cellIs" dxfId="937" priority="2447" operator="equal">
      <formula>"Survivor"</formula>
    </cfRule>
    <cfRule type="cellIs" dxfId="936" priority="2448" operator="equal">
      <formula>"Mystic"</formula>
    </cfRule>
  </conditionalFormatting>
  <conditionalFormatting sqref="AL936">
    <cfRule type="cellIs" dxfId="935" priority="2437" operator="equal">
      <formula>"Seeker"</formula>
    </cfRule>
    <cfRule type="cellIs" dxfId="934" priority="2438" operator="equal">
      <formula>"Neutral"</formula>
    </cfRule>
    <cfRule type="cellIs" dxfId="933" priority="2439" operator="equal">
      <formula>"Rogue"</formula>
    </cfRule>
    <cfRule type="cellIs" dxfId="932" priority="2440" operator="equal">
      <formula>"Guardian"</formula>
    </cfRule>
    <cfRule type="cellIs" dxfId="931" priority="2441" operator="equal">
      <formula>"Survivor"</formula>
    </cfRule>
    <cfRule type="cellIs" dxfId="930" priority="2442" operator="equal">
      <formula>"Mystic"</formula>
    </cfRule>
  </conditionalFormatting>
  <conditionalFormatting sqref="K958">
    <cfRule type="cellIs" dxfId="929" priority="2425" operator="equal">
      <formula>"seeker"</formula>
    </cfRule>
    <cfRule type="cellIs" dxfId="928" priority="2426" operator="equal">
      <formula>"neutral"</formula>
    </cfRule>
    <cfRule type="cellIs" dxfId="927" priority="2427" operator="equal">
      <formula>"rogue"</formula>
    </cfRule>
    <cfRule type="cellIs" dxfId="926" priority="2428" operator="equal">
      <formula>"Guardian"</formula>
    </cfRule>
    <cfRule type="cellIs" dxfId="925" priority="2429" operator="equal">
      <formula>"Survivor"</formula>
    </cfRule>
    <cfRule type="cellIs" dxfId="924" priority="2430" operator="equal">
      <formula>"Mystic"</formula>
    </cfRule>
  </conditionalFormatting>
  <conditionalFormatting sqref="K959">
    <cfRule type="cellIs" dxfId="923" priority="2419" operator="equal">
      <formula>"seeker"</formula>
    </cfRule>
    <cfRule type="cellIs" dxfId="922" priority="2420" operator="equal">
      <formula>"neutral"</formula>
    </cfRule>
    <cfRule type="cellIs" dxfId="921" priority="2421" operator="equal">
      <formula>"rogue"</formula>
    </cfRule>
    <cfRule type="cellIs" dxfId="920" priority="2422" operator="equal">
      <formula>"Guardian"</formula>
    </cfRule>
    <cfRule type="cellIs" dxfId="919" priority="2423" operator="equal">
      <formula>"Survivor"</formula>
    </cfRule>
    <cfRule type="cellIs" dxfId="918" priority="2424" operator="equal">
      <formula>"Mystic"</formula>
    </cfRule>
  </conditionalFormatting>
  <conditionalFormatting sqref="AM961 K961">
    <cfRule type="cellIs" dxfId="917" priority="2413" operator="equal">
      <formula>"seeker"</formula>
    </cfRule>
    <cfRule type="cellIs" dxfId="916" priority="2414" operator="equal">
      <formula>"neutral"</formula>
    </cfRule>
    <cfRule type="cellIs" dxfId="915" priority="2415" operator="equal">
      <formula>"rogue"</formula>
    </cfRule>
    <cfRule type="cellIs" dxfId="914" priority="2416" operator="equal">
      <formula>"Guardian"</formula>
    </cfRule>
    <cfRule type="cellIs" dxfId="913" priority="2417" operator="equal">
      <formula>"Survivor"</formula>
    </cfRule>
    <cfRule type="cellIs" dxfId="912" priority="2418" operator="equal">
      <formula>"Mystic"</formula>
    </cfRule>
  </conditionalFormatting>
  <conditionalFormatting sqref="AM962 K962">
    <cfRule type="cellIs" dxfId="911" priority="2407" operator="equal">
      <formula>"seeker"</formula>
    </cfRule>
    <cfRule type="cellIs" dxfId="910" priority="2408" operator="equal">
      <formula>"neutral"</formula>
    </cfRule>
    <cfRule type="cellIs" dxfId="909" priority="2409" operator="equal">
      <formula>"rogue"</formula>
    </cfRule>
    <cfRule type="cellIs" dxfId="908" priority="2410" operator="equal">
      <formula>"Guardian"</formula>
    </cfRule>
    <cfRule type="cellIs" dxfId="907" priority="2411" operator="equal">
      <formula>"Survivor"</formula>
    </cfRule>
    <cfRule type="cellIs" dxfId="906" priority="2412" operator="equal">
      <formula>"Mystic"</formula>
    </cfRule>
  </conditionalFormatting>
  <conditionalFormatting sqref="K964 AM964">
    <cfRule type="cellIs" dxfId="905" priority="2401" operator="equal">
      <formula>"seeker"</formula>
    </cfRule>
    <cfRule type="cellIs" dxfId="904" priority="2402" operator="equal">
      <formula>"neutral"</formula>
    </cfRule>
    <cfRule type="cellIs" dxfId="903" priority="2403" operator="equal">
      <formula>"rogue"</formula>
    </cfRule>
    <cfRule type="cellIs" dxfId="902" priority="2404" operator="equal">
      <formula>"Guardian"</formula>
    </cfRule>
    <cfRule type="cellIs" dxfId="901" priority="2405" operator="equal">
      <formula>"Survivor"</formula>
    </cfRule>
    <cfRule type="cellIs" dxfId="900" priority="2406" operator="equal">
      <formula>"Mystic"</formula>
    </cfRule>
  </conditionalFormatting>
  <conditionalFormatting sqref="K1009">
    <cfRule type="cellIs" dxfId="899" priority="1015" operator="equal">
      <formula>"seeker"</formula>
    </cfRule>
    <cfRule type="cellIs" dxfId="898" priority="1016" operator="equal">
      <formula>"neutral"</formula>
    </cfRule>
    <cfRule type="cellIs" dxfId="897" priority="1017" operator="equal">
      <formula>"rogue"</formula>
    </cfRule>
    <cfRule type="cellIs" dxfId="896" priority="1018" operator="equal">
      <formula>"Guardian"</formula>
    </cfRule>
    <cfRule type="cellIs" dxfId="895" priority="1019" operator="equal">
      <formula>"Survivor"</formula>
    </cfRule>
    <cfRule type="cellIs" dxfId="894" priority="1020" operator="equal">
      <formula>"Mystic"</formula>
    </cfRule>
  </conditionalFormatting>
  <conditionalFormatting sqref="K1020">
    <cfRule type="cellIs" dxfId="893" priority="1003" operator="equal">
      <formula>"seeker"</formula>
    </cfRule>
    <cfRule type="cellIs" dxfId="892" priority="1004" operator="equal">
      <formula>"neutral"</formula>
    </cfRule>
    <cfRule type="cellIs" dxfId="891" priority="1005" operator="equal">
      <formula>"rogue"</formula>
    </cfRule>
    <cfRule type="cellIs" dxfId="890" priority="1006" operator="equal">
      <formula>"Guardian"</formula>
    </cfRule>
    <cfRule type="cellIs" dxfId="889" priority="1007" operator="equal">
      <formula>"Survivor"</formula>
    </cfRule>
    <cfRule type="cellIs" dxfId="888" priority="1008" operator="equal">
      <formula>"Mystic"</formula>
    </cfRule>
  </conditionalFormatting>
  <conditionalFormatting sqref="AL1090:AL1096">
    <cfRule type="cellIs" dxfId="887" priority="979" operator="equal">
      <formula>"Seeker"</formula>
    </cfRule>
    <cfRule type="cellIs" dxfId="886" priority="980" operator="equal">
      <formula>"Neutral"</formula>
    </cfRule>
    <cfRule type="cellIs" dxfId="885" priority="981" operator="equal">
      <formula>"Rogue"</formula>
    </cfRule>
    <cfRule type="cellIs" dxfId="884" priority="982" operator="equal">
      <formula>"Guardian"</formula>
    </cfRule>
    <cfRule type="cellIs" dxfId="883" priority="983" operator="equal">
      <formula>"Survivor"</formula>
    </cfRule>
    <cfRule type="cellIs" dxfId="882" priority="984" operator="equal">
      <formula>"Mystic"</formula>
    </cfRule>
  </conditionalFormatting>
  <conditionalFormatting sqref="K1085">
    <cfRule type="cellIs" dxfId="881" priority="967" operator="equal">
      <formula>"Seeker"</formula>
    </cfRule>
    <cfRule type="cellIs" dxfId="880" priority="968" operator="equal">
      <formula>"Neutral"</formula>
    </cfRule>
    <cfRule type="cellIs" dxfId="879" priority="969" operator="equal">
      <formula>"Rogue"</formula>
    </cfRule>
    <cfRule type="cellIs" dxfId="878" priority="970" operator="equal">
      <formula>"Guardian"</formula>
    </cfRule>
    <cfRule type="cellIs" dxfId="877" priority="971" operator="equal">
      <formula>"Survivor"</formula>
    </cfRule>
    <cfRule type="cellIs" dxfId="876" priority="972" operator="equal">
      <formula>"Mystic"</formula>
    </cfRule>
  </conditionalFormatting>
  <conditionalFormatting sqref="K1107">
    <cfRule type="cellIs" dxfId="875" priority="925" operator="equal">
      <formula>"seeker"</formula>
    </cfRule>
    <cfRule type="cellIs" dxfId="874" priority="926" operator="equal">
      <formula>"neutral"</formula>
    </cfRule>
    <cfRule type="cellIs" dxfId="873" priority="927" operator="equal">
      <formula>"rogue"</formula>
    </cfRule>
    <cfRule type="cellIs" dxfId="872" priority="928" operator="equal">
      <formula>"Guardian"</formula>
    </cfRule>
    <cfRule type="cellIs" dxfId="871" priority="929" operator="equal">
      <formula>"Survivor"</formula>
    </cfRule>
    <cfRule type="cellIs" dxfId="870" priority="930" operator="equal">
      <formula>"Mystic"</formula>
    </cfRule>
  </conditionalFormatting>
  <conditionalFormatting sqref="AM1107">
    <cfRule type="cellIs" dxfId="869" priority="919" operator="equal">
      <formula>"seeker"</formula>
    </cfRule>
    <cfRule type="cellIs" dxfId="868" priority="920" operator="equal">
      <formula>"neutral"</formula>
    </cfRule>
    <cfRule type="cellIs" dxfId="867" priority="921" operator="equal">
      <formula>"rogue"</formula>
    </cfRule>
    <cfRule type="cellIs" dxfId="866" priority="922" operator="equal">
      <formula>"Guardian"</formula>
    </cfRule>
    <cfRule type="cellIs" dxfId="865" priority="923" operator="equal">
      <formula>"Survivor"</formula>
    </cfRule>
    <cfRule type="cellIs" dxfId="864" priority="924" operator="equal">
      <formula>"Mystic"</formula>
    </cfRule>
  </conditionalFormatting>
  <conditionalFormatting sqref="AM1108">
    <cfRule type="cellIs" dxfId="863" priority="907" operator="equal">
      <formula>"seeker"</formula>
    </cfRule>
    <cfRule type="cellIs" dxfId="862" priority="908" operator="equal">
      <formula>"neutral"</formula>
    </cfRule>
    <cfRule type="cellIs" dxfId="861" priority="909" operator="equal">
      <formula>"rogue"</formula>
    </cfRule>
    <cfRule type="cellIs" dxfId="860" priority="910" operator="equal">
      <formula>"Guardian"</formula>
    </cfRule>
    <cfRule type="cellIs" dxfId="859" priority="911" operator="equal">
      <formula>"Survivor"</formula>
    </cfRule>
    <cfRule type="cellIs" dxfId="858" priority="912" operator="equal">
      <formula>"Mystic"</formula>
    </cfRule>
  </conditionalFormatting>
  <conditionalFormatting sqref="K1109">
    <cfRule type="cellIs" dxfId="857" priority="901" operator="equal">
      <formula>"seeker"</formula>
    </cfRule>
    <cfRule type="cellIs" dxfId="856" priority="902" operator="equal">
      <formula>"neutral"</formula>
    </cfRule>
    <cfRule type="cellIs" dxfId="855" priority="903" operator="equal">
      <formula>"rogue"</formula>
    </cfRule>
    <cfRule type="cellIs" dxfId="854" priority="904" operator="equal">
      <formula>"Guardian"</formula>
    </cfRule>
    <cfRule type="cellIs" dxfId="853" priority="905" operator="equal">
      <formula>"Survivor"</formula>
    </cfRule>
    <cfRule type="cellIs" dxfId="852" priority="906" operator="equal">
      <formula>"Mystic"</formula>
    </cfRule>
  </conditionalFormatting>
  <conditionalFormatting sqref="AM1162">
    <cfRule type="cellIs" dxfId="851" priority="757" operator="equal">
      <formula>"seeker"</formula>
    </cfRule>
    <cfRule type="cellIs" dxfId="850" priority="758" operator="equal">
      <formula>"neutral"</formula>
    </cfRule>
    <cfRule type="cellIs" dxfId="849" priority="759" operator="equal">
      <formula>"rogue"</formula>
    </cfRule>
    <cfRule type="cellIs" dxfId="848" priority="760" operator="equal">
      <formula>"Guardian"</formula>
    </cfRule>
    <cfRule type="cellIs" dxfId="847" priority="761" operator="equal">
      <formula>"Survivor"</formula>
    </cfRule>
    <cfRule type="cellIs" dxfId="846" priority="762" operator="equal">
      <formula>"Mystic"</formula>
    </cfRule>
  </conditionalFormatting>
  <conditionalFormatting sqref="K1110">
    <cfRule type="cellIs" dxfId="845" priority="895" operator="equal">
      <formula>"seeker"</formula>
    </cfRule>
    <cfRule type="cellIs" dxfId="844" priority="896" operator="equal">
      <formula>"neutral"</formula>
    </cfRule>
    <cfRule type="cellIs" dxfId="843" priority="897" operator="equal">
      <formula>"rogue"</formula>
    </cfRule>
    <cfRule type="cellIs" dxfId="842" priority="898" operator="equal">
      <formula>"Guardian"</formula>
    </cfRule>
    <cfRule type="cellIs" dxfId="841" priority="899" operator="equal">
      <formula>"Survivor"</formula>
    </cfRule>
    <cfRule type="cellIs" dxfId="840" priority="900" operator="equal">
      <formula>"Mystic"</formula>
    </cfRule>
  </conditionalFormatting>
  <conditionalFormatting sqref="K1118">
    <cfRule type="cellIs" dxfId="839" priority="877" operator="equal">
      <formula>"seeker"</formula>
    </cfRule>
    <cfRule type="cellIs" dxfId="838" priority="878" operator="equal">
      <formula>"neutral"</formula>
    </cfRule>
    <cfRule type="cellIs" dxfId="837" priority="879" operator="equal">
      <formula>"rogue"</formula>
    </cfRule>
    <cfRule type="cellIs" dxfId="836" priority="880" operator="equal">
      <formula>"Guardian"</formula>
    </cfRule>
    <cfRule type="cellIs" dxfId="835" priority="881" operator="equal">
      <formula>"Survivor"</formula>
    </cfRule>
    <cfRule type="cellIs" dxfId="834" priority="882" operator="equal">
      <formula>"Mystic"</formula>
    </cfRule>
  </conditionalFormatting>
  <conditionalFormatting sqref="K1128">
    <cfRule type="cellIs" dxfId="833" priority="871" operator="equal">
      <formula>"seeker"</formula>
    </cfRule>
    <cfRule type="cellIs" dxfId="832" priority="872" operator="equal">
      <formula>"neutral"</formula>
    </cfRule>
    <cfRule type="cellIs" dxfId="831" priority="873" operator="equal">
      <formula>"rogue"</formula>
    </cfRule>
    <cfRule type="cellIs" dxfId="830" priority="874" operator="equal">
      <formula>"Guardian"</formula>
    </cfRule>
    <cfRule type="cellIs" dxfId="829" priority="875" operator="equal">
      <formula>"Survivor"</formula>
    </cfRule>
    <cfRule type="cellIs" dxfId="828" priority="876" operator="equal">
      <formula>"Mystic"</formula>
    </cfRule>
  </conditionalFormatting>
  <conditionalFormatting sqref="AL1128">
    <cfRule type="cellIs" dxfId="827" priority="865" operator="equal">
      <formula>"Seeker"</formula>
    </cfRule>
    <cfRule type="cellIs" dxfId="826" priority="866" operator="equal">
      <formula>"Neutral"</formula>
    </cfRule>
    <cfRule type="cellIs" dxfId="825" priority="867" operator="equal">
      <formula>"Rogue"</formula>
    </cfRule>
    <cfRule type="cellIs" dxfId="824" priority="868" operator="equal">
      <formula>"Guardian"</formula>
    </cfRule>
    <cfRule type="cellIs" dxfId="823" priority="869" operator="equal">
      <formula>"Survivor"</formula>
    </cfRule>
    <cfRule type="cellIs" dxfId="822" priority="870" operator="equal">
      <formula>"Mystic"</formula>
    </cfRule>
  </conditionalFormatting>
  <conditionalFormatting sqref="AM1104">
    <cfRule type="cellIs" dxfId="821" priority="859" operator="equal">
      <formula>"seeker"</formula>
    </cfRule>
    <cfRule type="cellIs" dxfId="820" priority="860" operator="equal">
      <formula>"neutral"</formula>
    </cfRule>
    <cfRule type="cellIs" dxfId="819" priority="861" operator="equal">
      <formula>"rogue"</formula>
    </cfRule>
    <cfRule type="cellIs" dxfId="818" priority="862" operator="equal">
      <formula>"Guardian"</formula>
    </cfRule>
    <cfRule type="cellIs" dxfId="817" priority="863" operator="equal">
      <formula>"Survivor"</formula>
    </cfRule>
    <cfRule type="cellIs" dxfId="816" priority="864" operator="equal">
      <formula>"Mystic"</formula>
    </cfRule>
  </conditionalFormatting>
  <conditionalFormatting sqref="AL1136:AL1142">
    <cfRule type="cellIs" dxfId="815" priority="847" operator="equal">
      <formula>"Seeker"</formula>
    </cfRule>
    <cfRule type="cellIs" dxfId="814" priority="848" operator="equal">
      <formula>"Neutral"</formula>
    </cfRule>
    <cfRule type="cellIs" dxfId="813" priority="849" operator="equal">
      <formula>"Rogue"</formula>
    </cfRule>
    <cfRule type="cellIs" dxfId="812" priority="850" operator="equal">
      <formula>"Guardian"</formula>
    </cfRule>
    <cfRule type="cellIs" dxfId="811" priority="851" operator="equal">
      <formula>"Survivor"</formula>
    </cfRule>
    <cfRule type="cellIs" dxfId="810" priority="852" operator="equal">
      <formula>"Mystic"</formula>
    </cfRule>
  </conditionalFormatting>
  <conditionalFormatting sqref="K1131">
    <cfRule type="cellIs" dxfId="809" priority="835" operator="equal">
      <formula>"Seeker"</formula>
    </cfRule>
    <cfRule type="cellIs" dxfId="808" priority="836" operator="equal">
      <formula>"Neutral"</formula>
    </cfRule>
    <cfRule type="cellIs" dxfId="807" priority="837" operator="equal">
      <formula>"Rogue"</formula>
    </cfRule>
    <cfRule type="cellIs" dxfId="806" priority="838" operator="equal">
      <formula>"Guardian"</formula>
    </cfRule>
    <cfRule type="cellIs" dxfId="805" priority="839" operator="equal">
      <formula>"Survivor"</formula>
    </cfRule>
    <cfRule type="cellIs" dxfId="804" priority="840" operator="equal">
      <formula>"Mystic"</formula>
    </cfRule>
  </conditionalFormatting>
  <conditionalFormatting sqref="K1153">
    <cfRule type="cellIs" dxfId="803" priority="793" operator="equal">
      <formula>"seeker"</formula>
    </cfRule>
    <cfRule type="cellIs" dxfId="802" priority="794" operator="equal">
      <formula>"neutral"</formula>
    </cfRule>
    <cfRule type="cellIs" dxfId="801" priority="795" operator="equal">
      <formula>"rogue"</formula>
    </cfRule>
    <cfRule type="cellIs" dxfId="800" priority="796" operator="equal">
      <formula>"Guardian"</formula>
    </cfRule>
    <cfRule type="cellIs" dxfId="799" priority="797" operator="equal">
      <formula>"Survivor"</formula>
    </cfRule>
    <cfRule type="cellIs" dxfId="798" priority="798" operator="equal">
      <formula>"Mystic"</formula>
    </cfRule>
  </conditionalFormatting>
  <conditionalFormatting sqref="AM1153">
    <cfRule type="cellIs" dxfId="797" priority="787" operator="equal">
      <formula>"seeker"</formula>
    </cfRule>
    <cfRule type="cellIs" dxfId="796" priority="788" operator="equal">
      <formula>"neutral"</formula>
    </cfRule>
    <cfRule type="cellIs" dxfId="795" priority="789" operator="equal">
      <formula>"rogue"</formula>
    </cfRule>
    <cfRule type="cellIs" dxfId="794" priority="790" operator="equal">
      <formula>"Guardian"</formula>
    </cfRule>
    <cfRule type="cellIs" dxfId="793" priority="791" operator="equal">
      <formula>"Survivor"</formula>
    </cfRule>
    <cfRule type="cellIs" dxfId="792" priority="792" operator="equal">
      <formula>"Mystic"</formula>
    </cfRule>
  </conditionalFormatting>
  <conditionalFormatting sqref="AM1154">
    <cfRule type="cellIs" dxfId="791" priority="775" operator="equal">
      <formula>"seeker"</formula>
    </cfRule>
    <cfRule type="cellIs" dxfId="790" priority="776" operator="equal">
      <formula>"neutral"</formula>
    </cfRule>
    <cfRule type="cellIs" dxfId="789" priority="777" operator="equal">
      <formula>"rogue"</formula>
    </cfRule>
    <cfRule type="cellIs" dxfId="788" priority="778" operator="equal">
      <formula>"Guardian"</formula>
    </cfRule>
    <cfRule type="cellIs" dxfId="787" priority="779" operator="equal">
      <formula>"Survivor"</formula>
    </cfRule>
    <cfRule type="cellIs" dxfId="786" priority="780" operator="equal">
      <formula>"Mystic"</formula>
    </cfRule>
  </conditionalFormatting>
  <conditionalFormatting sqref="K1155">
    <cfRule type="cellIs" dxfId="785" priority="769" operator="equal">
      <formula>"seeker"</formula>
    </cfRule>
    <cfRule type="cellIs" dxfId="784" priority="770" operator="equal">
      <formula>"neutral"</formula>
    </cfRule>
    <cfRule type="cellIs" dxfId="783" priority="771" operator="equal">
      <formula>"rogue"</formula>
    </cfRule>
    <cfRule type="cellIs" dxfId="782" priority="772" operator="equal">
      <formula>"Guardian"</formula>
    </cfRule>
    <cfRule type="cellIs" dxfId="781" priority="773" operator="equal">
      <formula>"Survivor"</formula>
    </cfRule>
    <cfRule type="cellIs" dxfId="780" priority="774" operator="equal">
      <formula>"Mystic"</formula>
    </cfRule>
  </conditionalFormatting>
  <conditionalFormatting sqref="AM1081:AM1084">
    <cfRule type="cellIs" dxfId="779" priority="1147" operator="equal">
      <formula>"seeker"</formula>
    </cfRule>
    <cfRule type="cellIs" dxfId="778" priority="1148" operator="equal">
      <formula>"neutral"</formula>
    </cfRule>
    <cfRule type="cellIs" dxfId="777" priority="1149" operator="equal">
      <formula>"rogue"</formula>
    </cfRule>
    <cfRule type="cellIs" dxfId="776" priority="1150" operator="equal">
      <formula>"Guardian"</formula>
    </cfRule>
    <cfRule type="cellIs" dxfId="775" priority="1151" operator="equal">
      <formula>"Survivor"</formula>
    </cfRule>
    <cfRule type="cellIs" dxfId="774" priority="1152" operator="equal">
      <formula>"Mystic"</formula>
    </cfRule>
  </conditionalFormatting>
  <conditionalFormatting sqref="AM1080">
    <cfRule type="cellIs" dxfId="773" priority="1141" operator="equal">
      <formula>"Seeker"</formula>
    </cfRule>
    <cfRule type="cellIs" dxfId="772" priority="1142" operator="equal">
      <formula>"Neutral"</formula>
    </cfRule>
    <cfRule type="cellIs" dxfId="771" priority="1143" operator="equal">
      <formula>"Rogue"</formula>
    </cfRule>
    <cfRule type="cellIs" dxfId="770" priority="1144" operator="equal">
      <formula>"Guardian"</formula>
    </cfRule>
    <cfRule type="cellIs" dxfId="769" priority="1145" operator="equal">
      <formula>"Survivor"</formula>
    </cfRule>
    <cfRule type="cellIs" dxfId="768" priority="1146" operator="equal">
      <formula>"Mystic"</formula>
    </cfRule>
  </conditionalFormatting>
  <conditionalFormatting sqref="K1081:K1084">
    <cfRule type="cellIs" dxfId="767" priority="1135" operator="equal">
      <formula>"seeker"</formula>
    </cfRule>
    <cfRule type="cellIs" dxfId="766" priority="1136" operator="equal">
      <formula>"neutral"</formula>
    </cfRule>
    <cfRule type="cellIs" dxfId="765" priority="1137" operator="equal">
      <formula>"rogue"</formula>
    </cfRule>
    <cfRule type="cellIs" dxfId="764" priority="1138" operator="equal">
      <formula>"Guardian"</formula>
    </cfRule>
    <cfRule type="cellIs" dxfId="763" priority="1139" operator="equal">
      <formula>"Survivor"</formula>
    </cfRule>
    <cfRule type="cellIs" dxfId="762" priority="1140" operator="equal">
      <formula>"Mystic"</formula>
    </cfRule>
  </conditionalFormatting>
  <conditionalFormatting sqref="K1080">
    <cfRule type="cellIs" dxfId="761" priority="1129" operator="equal">
      <formula>"Seeker"</formula>
    </cfRule>
    <cfRule type="cellIs" dxfId="760" priority="1130" operator="equal">
      <formula>"Neutral"</formula>
    </cfRule>
    <cfRule type="cellIs" dxfId="759" priority="1131" operator="equal">
      <formula>"Rogue"</formula>
    </cfRule>
    <cfRule type="cellIs" dxfId="758" priority="1132" operator="equal">
      <formula>"Guardian"</formula>
    </cfRule>
    <cfRule type="cellIs" dxfId="757" priority="1133" operator="equal">
      <formula>"Survivor"</formula>
    </cfRule>
    <cfRule type="cellIs" dxfId="756" priority="1134" operator="equal">
      <formula>"Mystic"</formula>
    </cfRule>
  </conditionalFormatting>
  <conditionalFormatting sqref="AM1000:AM1005 AM1008 AM1010:AM1019 K979:K993 K998:K1002 K1010:K1019 AM1021:AM1030 K1021:K1030 AM1032:AM1079 K1032:K1079">
    <cfRule type="cellIs" dxfId="755" priority="1123" operator="equal">
      <formula>"seeker"</formula>
    </cfRule>
    <cfRule type="cellIs" dxfId="754" priority="1124" operator="equal">
      <formula>"neutral"</formula>
    </cfRule>
    <cfRule type="cellIs" dxfId="753" priority="1125" operator="equal">
      <formula>"rogue"</formula>
    </cfRule>
    <cfRule type="cellIs" dxfId="752" priority="1126" operator="equal">
      <formula>"Guardian"</formula>
    </cfRule>
    <cfRule type="cellIs" dxfId="751" priority="1127" operator="equal">
      <formula>"Survivor"</formula>
    </cfRule>
    <cfRule type="cellIs" dxfId="750" priority="1128" operator="equal">
      <formula>"Mystic"</formula>
    </cfRule>
  </conditionalFormatting>
  <conditionalFormatting sqref="AL983:AL989">
    <cfRule type="cellIs" dxfId="749" priority="1117" operator="equal">
      <formula>"Seeker"</formula>
    </cfRule>
    <cfRule type="cellIs" dxfId="748" priority="1118" operator="equal">
      <formula>"Neutral"</formula>
    </cfRule>
    <cfRule type="cellIs" dxfId="747" priority="1119" operator="equal">
      <formula>"Rogue"</formula>
    </cfRule>
    <cfRule type="cellIs" dxfId="746" priority="1120" operator="equal">
      <formula>"Guardian"</formula>
    </cfRule>
    <cfRule type="cellIs" dxfId="745" priority="1121" operator="equal">
      <formula>"Survivor"</formula>
    </cfRule>
    <cfRule type="cellIs" dxfId="744" priority="1122" operator="equal">
      <formula>"Mystic"</formula>
    </cfRule>
  </conditionalFormatting>
  <conditionalFormatting sqref="AM1006">
    <cfRule type="cellIs" dxfId="743" priority="1111" operator="equal">
      <formula>"seeker"</formula>
    </cfRule>
    <cfRule type="cellIs" dxfId="742" priority="1112" operator="equal">
      <formula>"neutral"</formula>
    </cfRule>
    <cfRule type="cellIs" dxfId="741" priority="1113" operator="equal">
      <formula>"rogue"</formula>
    </cfRule>
    <cfRule type="cellIs" dxfId="740" priority="1114" operator="equal">
      <formula>"Guardian"</formula>
    </cfRule>
    <cfRule type="cellIs" dxfId="739" priority="1115" operator="equal">
      <formula>"Survivor"</formula>
    </cfRule>
    <cfRule type="cellIs" dxfId="738" priority="1116" operator="equal">
      <formula>"Mystic"</formula>
    </cfRule>
  </conditionalFormatting>
  <conditionalFormatting sqref="AM1007">
    <cfRule type="cellIs" dxfId="737" priority="1105" operator="equal">
      <formula>"seeker"</formula>
    </cfRule>
    <cfRule type="cellIs" dxfId="736" priority="1106" operator="equal">
      <formula>"neutral"</formula>
    </cfRule>
    <cfRule type="cellIs" dxfId="735" priority="1107" operator="equal">
      <formula>"rogue"</formula>
    </cfRule>
    <cfRule type="cellIs" dxfId="734" priority="1108" operator="equal">
      <formula>"Guardian"</formula>
    </cfRule>
    <cfRule type="cellIs" dxfId="733" priority="1109" operator="equal">
      <formula>"Survivor"</formula>
    </cfRule>
    <cfRule type="cellIs" dxfId="732" priority="1110" operator="equal">
      <formula>"Mystic"</formula>
    </cfRule>
  </conditionalFormatting>
  <conditionalFormatting sqref="AM1009">
    <cfRule type="cellIs" dxfId="731" priority="1099" operator="equal">
      <formula>"seeker"</formula>
    </cfRule>
    <cfRule type="cellIs" dxfId="730" priority="1100" operator="equal">
      <formula>"neutral"</formula>
    </cfRule>
    <cfRule type="cellIs" dxfId="729" priority="1101" operator="equal">
      <formula>"rogue"</formula>
    </cfRule>
    <cfRule type="cellIs" dxfId="728" priority="1102" operator="equal">
      <formula>"Guardian"</formula>
    </cfRule>
    <cfRule type="cellIs" dxfId="727" priority="1103" operator="equal">
      <formula>"Survivor"</formula>
    </cfRule>
    <cfRule type="cellIs" dxfId="726" priority="1104" operator="equal">
      <formula>"Mystic"</formula>
    </cfRule>
  </conditionalFormatting>
  <conditionalFormatting sqref="K978">
    <cfRule type="cellIs" dxfId="725" priority="1093" operator="equal">
      <formula>"Seeker"</formula>
    </cfRule>
    <cfRule type="cellIs" dxfId="724" priority="1094" operator="equal">
      <formula>"Neutral"</formula>
    </cfRule>
    <cfRule type="cellIs" dxfId="723" priority="1095" operator="equal">
      <formula>"Rogue"</formula>
    </cfRule>
    <cfRule type="cellIs" dxfId="722" priority="1096" operator="equal">
      <formula>"Guardian"</formula>
    </cfRule>
    <cfRule type="cellIs" dxfId="721" priority="1097" operator="equal">
      <formula>"Survivor"</formula>
    </cfRule>
    <cfRule type="cellIs" dxfId="720" priority="1098" operator="equal">
      <formula>"Mystic"</formula>
    </cfRule>
  </conditionalFormatting>
  <conditionalFormatting sqref="AM979:AM982">
    <cfRule type="cellIs" dxfId="719" priority="1087" operator="equal">
      <formula>"seeker"</formula>
    </cfRule>
    <cfRule type="cellIs" dxfId="718" priority="1088" operator="equal">
      <formula>"neutral"</formula>
    </cfRule>
    <cfRule type="cellIs" dxfId="717" priority="1089" operator="equal">
      <formula>"rogue"</formula>
    </cfRule>
    <cfRule type="cellIs" dxfId="716" priority="1090" operator="equal">
      <formula>"Guardian"</formula>
    </cfRule>
    <cfRule type="cellIs" dxfId="715" priority="1091" operator="equal">
      <formula>"Survivor"</formula>
    </cfRule>
    <cfRule type="cellIs" dxfId="714" priority="1092" operator="equal">
      <formula>"Mystic"</formula>
    </cfRule>
  </conditionalFormatting>
  <conditionalFormatting sqref="AM978">
    <cfRule type="cellIs" dxfId="713" priority="1081" operator="equal">
      <formula>"Seeker"</formula>
    </cfRule>
    <cfRule type="cellIs" dxfId="712" priority="1082" operator="equal">
      <formula>"Neutral"</formula>
    </cfRule>
    <cfRule type="cellIs" dxfId="711" priority="1083" operator="equal">
      <formula>"Rogue"</formula>
    </cfRule>
    <cfRule type="cellIs" dxfId="710" priority="1084" operator="equal">
      <formula>"Guardian"</formula>
    </cfRule>
    <cfRule type="cellIs" dxfId="709" priority="1085" operator="equal">
      <formula>"Survivor"</formula>
    </cfRule>
    <cfRule type="cellIs" dxfId="708" priority="1086" operator="equal">
      <formula>"Mystic"</formula>
    </cfRule>
  </conditionalFormatting>
  <conditionalFormatting sqref="K994">
    <cfRule type="cellIs" dxfId="707" priority="1075" operator="equal">
      <formula>"Seeker"</formula>
    </cfRule>
    <cfRule type="cellIs" dxfId="706" priority="1076" operator="equal">
      <formula>"Neutral"</formula>
    </cfRule>
    <cfRule type="cellIs" dxfId="705" priority="1077" operator="equal">
      <formula>"Rogue"</formula>
    </cfRule>
    <cfRule type="cellIs" dxfId="704" priority="1078" operator="equal">
      <formula>"Guardian"</formula>
    </cfRule>
    <cfRule type="cellIs" dxfId="703" priority="1079" operator="equal">
      <formula>"Survivor"</formula>
    </cfRule>
    <cfRule type="cellIs" dxfId="702" priority="1080" operator="equal">
      <formula>"Mystic"</formula>
    </cfRule>
  </conditionalFormatting>
  <conditionalFormatting sqref="K995">
    <cfRule type="cellIs" dxfId="701" priority="1069" operator="equal">
      <formula>"Seeker"</formula>
    </cfRule>
    <cfRule type="cellIs" dxfId="700" priority="1070" operator="equal">
      <formula>"Neutral"</formula>
    </cfRule>
    <cfRule type="cellIs" dxfId="699" priority="1071" operator="equal">
      <formula>"Rogue"</formula>
    </cfRule>
    <cfRule type="cellIs" dxfId="698" priority="1072" operator="equal">
      <formula>"Guardian"</formula>
    </cfRule>
    <cfRule type="cellIs" dxfId="697" priority="1073" operator="equal">
      <formula>"Survivor"</formula>
    </cfRule>
    <cfRule type="cellIs" dxfId="696" priority="1074" operator="equal">
      <formula>"Mystic"</formula>
    </cfRule>
  </conditionalFormatting>
  <conditionalFormatting sqref="K996">
    <cfRule type="cellIs" dxfId="695" priority="1063" operator="equal">
      <formula>"Seeker"</formula>
    </cfRule>
    <cfRule type="cellIs" dxfId="694" priority="1064" operator="equal">
      <formula>"Neutral"</formula>
    </cfRule>
    <cfRule type="cellIs" dxfId="693" priority="1065" operator="equal">
      <formula>"Rogue"</formula>
    </cfRule>
    <cfRule type="cellIs" dxfId="692" priority="1066" operator="equal">
      <formula>"Guardian"</formula>
    </cfRule>
    <cfRule type="cellIs" dxfId="691" priority="1067" operator="equal">
      <formula>"Survivor"</formula>
    </cfRule>
    <cfRule type="cellIs" dxfId="690" priority="1068" operator="equal">
      <formula>"Mystic"</formula>
    </cfRule>
  </conditionalFormatting>
  <conditionalFormatting sqref="K997">
    <cfRule type="cellIs" dxfId="689" priority="1057" operator="equal">
      <formula>"Seeker"</formula>
    </cfRule>
    <cfRule type="cellIs" dxfId="688" priority="1058" operator="equal">
      <formula>"Neutral"</formula>
    </cfRule>
    <cfRule type="cellIs" dxfId="687" priority="1059" operator="equal">
      <formula>"Rogue"</formula>
    </cfRule>
    <cfRule type="cellIs" dxfId="686" priority="1060" operator="equal">
      <formula>"Guardian"</formula>
    </cfRule>
    <cfRule type="cellIs" dxfId="685" priority="1061" operator="equal">
      <formula>"Survivor"</formula>
    </cfRule>
    <cfRule type="cellIs" dxfId="684" priority="1062" operator="equal">
      <formula>"Mystic"</formula>
    </cfRule>
  </conditionalFormatting>
  <conditionalFormatting sqref="K1003">
    <cfRule type="cellIs" dxfId="683" priority="1051" operator="equal">
      <formula>"seeker"</formula>
    </cfRule>
    <cfRule type="cellIs" dxfId="682" priority="1052" operator="equal">
      <formula>"neutral"</formula>
    </cfRule>
    <cfRule type="cellIs" dxfId="681" priority="1053" operator="equal">
      <formula>"rogue"</formula>
    </cfRule>
    <cfRule type="cellIs" dxfId="680" priority="1054" operator="equal">
      <formula>"Guardian"</formula>
    </cfRule>
    <cfRule type="cellIs" dxfId="679" priority="1055" operator="equal">
      <formula>"Survivor"</formula>
    </cfRule>
    <cfRule type="cellIs" dxfId="678" priority="1056" operator="equal">
      <formula>"Mystic"</formula>
    </cfRule>
  </conditionalFormatting>
  <conditionalFormatting sqref="K1004">
    <cfRule type="cellIs" dxfId="677" priority="1045" operator="equal">
      <formula>"seeker"</formula>
    </cfRule>
    <cfRule type="cellIs" dxfId="676" priority="1046" operator="equal">
      <formula>"neutral"</formula>
    </cfRule>
    <cfRule type="cellIs" dxfId="675" priority="1047" operator="equal">
      <formula>"rogue"</formula>
    </cfRule>
    <cfRule type="cellIs" dxfId="674" priority="1048" operator="equal">
      <formula>"Guardian"</formula>
    </cfRule>
    <cfRule type="cellIs" dxfId="673" priority="1049" operator="equal">
      <formula>"Survivor"</formula>
    </cfRule>
    <cfRule type="cellIs" dxfId="672" priority="1050" operator="equal">
      <formula>"Mystic"</formula>
    </cfRule>
  </conditionalFormatting>
  <conditionalFormatting sqref="K1005">
    <cfRule type="cellIs" dxfId="671" priority="1039" operator="equal">
      <formula>"seeker"</formula>
    </cfRule>
    <cfRule type="cellIs" dxfId="670" priority="1040" operator="equal">
      <formula>"neutral"</formula>
    </cfRule>
    <cfRule type="cellIs" dxfId="669" priority="1041" operator="equal">
      <formula>"rogue"</formula>
    </cfRule>
    <cfRule type="cellIs" dxfId="668" priority="1042" operator="equal">
      <formula>"Guardian"</formula>
    </cfRule>
    <cfRule type="cellIs" dxfId="667" priority="1043" operator="equal">
      <formula>"Survivor"</formula>
    </cfRule>
    <cfRule type="cellIs" dxfId="666" priority="1044" operator="equal">
      <formula>"Mystic"</formula>
    </cfRule>
  </conditionalFormatting>
  <conditionalFormatting sqref="K1006">
    <cfRule type="cellIs" dxfId="665" priority="1033" operator="equal">
      <formula>"seeker"</formula>
    </cfRule>
    <cfRule type="cellIs" dxfId="664" priority="1034" operator="equal">
      <formula>"neutral"</formula>
    </cfRule>
    <cfRule type="cellIs" dxfId="663" priority="1035" operator="equal">
      <formula>"rogue"</formula>
    </cfRule>
    <cfRule type="cellIs" dxfId="662" priority="1036" operator="equal">
      <formula>"Guardian"</formula>
    </cfRule>
    <cfRule type="cellIs" dxfId="661" priority="1037" operator="equal">
      <formula>"Survivor"</formula>
    </cfRule>
    <cfRule type="cellIs" dxfId="660" priority="1038" operator="equal">
      <formula>"Mystic"</formula>
    </cfRule>
  </conditionalFormatting>
  <conditionalFormatting sqref="K1007">
    <cfRule type="cellIs" dxfId="659" priority="1027" operator="equal">
      <formula>"seeker"</formula>
    </cfRule>
    <cfRule type="cellIs" dxfId="658" priority="1028" operator="equal">
      <formula>"neutral"</formula>
    </cfRule>
    <cfRule type="cellIs" dxfId="657" priority="1029" operator="equal">
      <formula>"rogue"</formula>
    </cfRule>
    <cfRule type="cellIs" dxfId="656" priority="1030" operator="equal">
      <formula>"Guardian"</formula>
    </cfRule>
    <cfRule type="cellIs" dxfId="655" priority="1031" operator="equal">
      <formula>"Survivor"</formula>
    </cfRule>
    <cfRule type="cellIs" dxfId="654" priority="1032" operator="equal">
      <formula>"Mystic"</formula>
    </cfRule>
  </conditionalFormatting>
  <conditionalFormatting sqref="K1008">
    <cfRule type="cellIs" dxfId="653" priority="1021" operator="equal">
      <formula>"seeker"</formula>
    </cfRule>
    <cfRule type="cellIs" dxfId="652" priority="1022" operator="equal">
      <formula>"neutral"</formula>
    </cfRule>
    <cfRule type="cellIs" dxfId="651" priority="1023" operator="equal">
      <formula>"rogue"</formula>
    </cfRule>
    <cfRule type="cellIs" dxfId="650" priority="1024" operator="equal">
      <formula>"Guardian"</formula>
    </cfRule>
    <cfRule type="cellIs" dxfId="649" priority="1025" operator="equal">
      <formula>"Survivor"</formula>
    </cfRule>
    <cfRule type="cellIs" dxfId="648" priority="1026" operator="equal">
      <formula>"Mystic"</formula>
    </cfRule>
  </conditionalFormatting>
  <conditionalFormatting sqref="AL1020">
    <cfRule type="cellIs" dxfId="647" priority="1009" operator="equal">
      <formula>"Seeker"</formula>
    </cfRule>
    <cfRule type="cellIs" dxfId="646" priority="1010" operator="equal">
      <formula>"Neutral"</formula>
    </cfRule>
    <cfRule type="cellIs" dxfId="645" priority="1011" operator="equal">
      <formula>"Rogue"</formula>
    </cfRule>
    <cfRule type="cellIs" dxfId="644" priority="1012" operator="equal">
      <formula>"Guardian"</formula>
    </cfRule>
    <cfRule type="cellIs" dxfId="643" priority="1013" operator="equal">
      <formula>"Survivor"</formula>
    </cfRule>
    <cfRule type="cellIs" dxfId="642" priority="1014" operator="equal">
      <formula>"Mystic"</formula>
    </cfRule>
  </conditionalFormatting>
  <conditionalFormatting sqref="K1031">
    <cfRule type="cellIs" dxfId="641" priority="997" operator="equal">
      <formula>"seeker"</formula>
    </cfRule>
    <cfRule type="cellIs" dxfId="640" priority="998" operator="equal">
      <formula>"neutral"</formula>
    </cfRule>
    <cfRule type="cellIs" dxfId="639" priority="999" operator="equal">
      <formula>"rogue"</formula>
    </cfRule>
    <cfRule type="cellIs" dxfId="638" priority="1000" operator="equal">
      <formula>"Guardian"</formula>
    </cfRule>
    <cfRule type="cellIs" dxfId="637" priority="1001" operator="equal">
      <formula>"Survivor"</formula>
    </cfRule>
    <cfRule type="cellIs" dxfId="636" priority="1002" operator="equal">
      <formula>"Mystic"</formula>
    </cfRule>
  </conditionalFormatting>
  <conditionalFormatting sqref="AL1031">
    <cfRule type="cellIs" dxfId="635" priority="991" operator="equal">
      <formula>"Seeker"</formula>
    </cfRule>
    <cfRule type="cellIs" dxfId="634" priority="992" operator="equal">
      <formula>"Neutral"</formula>
    </cfRule>
    <cfRule type="cellIs" dxfId="633" priority="993" operator="equal">
      <formula>"Rogue"</formula>
    </cfRule>
    <cfRule type="cellIs" dxfId="632" priority="994" operator="equal">
      <formula>"Guardian"</formula>
    </cfRule>
    <cfRule type="cellIs" dxfId="631" priority="995" operator="equal">
      <formula>"Survivor"</formula>
    </cfRule>
    <cfRule type="cellIs" dxfId="630" priority="996" operator="equal">
      <formula>"Mystic"</formula>
    </cfRule>
  </conditionalFormatting>
  <conditionalFormatting sqref="AM1129:AM1130 K1129:K1130 K1086:K1099 AM1099 AM1105:AM1106 K1103:K1106 K1111:K1117 AM1111:AM1117 K1119:K1127 AM1119:AM1127">
    <cfRule type="cellIs" dxfId="629" priority="985" operator="equal">
      <formula>"seeker"</formula>
    </cfRule>
    <cfRule type="cellIs" dxfId="628" priority="986" operator="equal">
      <formula>"neutral"</formula>
    </cfRule>
    <cfRule type="cellIs" dxfId="627" priority="987" operator="equal">
      <formula>"rogue"</formula>
    </cfRule>
    <cfRule type="cellIs" dxfId="626" priority="988" operator="equal">
      <formula>"Guardian"</formula>
    </cfRule>
    <cfRule type="cellIs" dxfId="625" priority="989" operator="equal">
      <formula>"Survivor"</formula>
    </cfRule>
    <cfRule type="cellIs" dxfId="624" priority="990" operator="equal">
      <formula>"Mystic"</formula>
    </cfRule>
  </conditionalFormatting>
  <conditionalFormatting sqref="AM1109">
    <cfRule type="cellIs" dxfId="623" priority="973" operator="equal">
      <formula>"seeker"</formula>
    </cfRule>
    <cfRule type="cellIs" dxfId="622" priority="974" operator="equal">
      <formula>"neutral"</formula>
    </cfRule>
    <cfRule type="cellIs" dxfId="621" priority="975" operator="equal">
      <formula>"rogue"</formula>
    </cfRule>
    <cfRule type="cellIs" dxfId="620" priority="976" operator="equal">
      <formula>"Guardian"</formula>
    </cfRule>
    <cfRule type="cellIs" dxfId="619" priority="977" operator="equal">
      <formula>"Survivor"</formula>
    </cfRule>
    <cfRule type="cellIs" dxfId="618" priority="978" operator="equal">
      <formula>"Mystic"</formula>
    </cfRule>
  </conditionalFormatting>
  <conditionalFormatting sqref="AM1086:AM1089">
    <cfRule type="cellIs" dxfId="617" priority="961" operator="equal">
      <formula>"seeker"</formula>
    </cfRule>
    <cfRule type="cellIs" dxfId="616" priority="962" operator="equal">
      <formula>"neutral"</formula>
    </cfRule>
    <cfRule type="cellIs" dxfId="615" priority="963" operator="equal">
      <formula>"rogue"</formula>
    </cfRule>
    <cfRule type="cellIs" dxfId="614" priority="964" operator="equal">
      <formula>"Guardian"</formula>
    </cfRule>
    <cfRule type="cellIs" dxfId="613" priority="965" operator="equal">
      <formula>"Survivor"</formula>
    </cfRule>
    <cfRule type="cellIs" dxfId="612" priority="966" operator="equal">
      <formula>"Mystic"</formula>
    </cfRule>
  </conditionalFormatting>
  <conditionalFormatting sqref="AM1085">
    <cfRule type="cellIs" dxfId="611" priority="955" operator="equal">
      <formula>"Seeker"</formula>
    </cfRule>
    <cfRule type="cellIs" dxfId="610" priority="956" operator="equal">
      <formula>"Neutral"</formula>
    </cfRule>
    <cfRule type="cellIs" dxfId="609" priority="957" operator="equal">
      <formula>"Rogue"</formula>
    </cfRule>
    <cfRule type="cellIs" dxfId="608" priority="958" operator="equal">
      <formula>"Guardian"</formula>
    </cfRule>
    <cfRule type="cellIs" dxfId="607" priority="959" operator="equal">
      <formula>"Survivor"</formula>
    </cfRule>
    <cfRule type="cellIs" dxfId="606" priority="960" operator="equal">
      <formula>"Mystic"</formula>
    </cfRule>
  </conditionalFormatting>
  <conditionalFormatting sqref="K1100">
    <cfRule type="cellIs" dxfId="605" priority="949" operator="equal">
      <formula>"Seeker"</formula>
    </cfRule>
    <cfRule type="cellIs" dxfId="604" priority="950" operator="equal">
      <formula>"Neutral"</formula>
    </cfRule>
    <cfRule type="cellIs" dxfId="603" priority="951" operator="equal">
      <formula>"Rogue"</formula>
    </cfRule>
    <cfRule type="cellIs" dxfId="602" priority="952" operator="equal">
      <formula>"Guardian"</formula>
    </cfRule>
    <cfRule type="cellIs" dxfId="601" priority="953" operator="equal">
      <formula>"Survivor"</formula>
    </cfRule>
    <cfRule type="cellIs" dxfId="600" priority="954" operator="equal">
      <formula>"Mystic"</formula>
    </cfRule>
  </conditionalFormatting>
  <conditionalFormatting sqref="AM1100">
    <cfRule type="cellIs" dxfId="599" priority="943" operator="equal">
      <formula>"Seeker"</formula>
    </cfRule>
    <cfRule type="cellIs" dxfId="598" priority="944" operator="equal">
      <formula>"Neutral"</formula>
    </cfRule>
    <cfRule type="cellIs" dxfId="597" priority="945" operator="equal">
      <formula>"Rogue"</formula>
    </cfRule>
    <cfRule type="cellIs" dxfId="596" priority="946" operator="equal">
      <formula>"Guardian"</formula>
    </cfRule>
    <cfRule type="cellIs" dxfId="595" priority="947" operator="equal">
      <formula>"Survivor"</formula>
    </cfRule>
    <cfRule type="cellIs" dxfId="594" priority="948" operator="equal">
      <formula>"Mystic"</formula>
    </cfRule>
  </conditionalFormatting>
  <conditionalFormatting sqref="K1101">
    <cfRule type="cellIs" dxfId="593" priority="937" operator="equal">
      <formula>"Seeker"</formula>
    </cfRule>
    <cfRule type="cellIs" dxfId="592" priority="938" operator="equal">
      <formula>"Neutral"</formula>
    </cfRule>
    <cfRule type="cellIs" dxfId="591" priority="939" operator="equal">
      <formula>"Rogue"</formula>
    </cfRule>
    <cfRule type="cellIs" dxfId="590" priority="940" operator="equal">
      <formula>"Guardian"</formula>
    </cfRule>
    <cfRule type="cellIs" dxfId="589" priority="941" operator="equal">
      <formula>"Survivor"</formula>
    </cfRule>
    <cfRule type="cellIs" dxfId="588" priority="942" operator="equal">
      <formula>"Mystic"</formula>
    </cfRule>
  </conditionalFormatting>
  <conditionalFormatting sqref="K1102">
    <cfRule type="cellIs" dxfId="587" priority="931" operator="equal">
      <formula>"Seeker"</formula>
    </cfRule>
    <cfRule type="cellIs" dxfId="586" priority="932" operator="equal">
      <formula>"Neutral"</formula>
    </cfRule>
    <cfRule type="cellIs" dxfId="585" priority="933" operator="equal">
      <formula>"Rogue"</formula>
    </cfRule>
    <cfRule type="cellIs" dxfId="584" priority="934" operator="equal">
      <formula>"Guardian"</formula>
    </cfRule>
    <cfRule type="cellIs" dxfId="583" priority="935" operator="equal">
      <formula>"Survivor"</formula>
    </cfRule>
    <cfRule type="cellIs" dxfId="582" priority="936" operator="equal">
      <formula>"Mystic"</formula>
    </cfRule>
  </conditionalFormatting>
  <conditionalFormatting sqref="K1108">
    <cfRule type="cellIs" dxfId="581" priority="913" operator="equal">
      <formula>"seeker"</formula>
    </cfRule>
    <cfRule type="cellIs" dxfId="580" priority="914" operator="equal">
      <formula>"neutral"</formula>
    </cfRule>
    <cfRule type="cellIs" dxfId="579" priority="915" operator="equal">
      <formula>"rogue"</formula>
    </cfRule>
    <cfRule type="cellIs" dxfId="578" priority="916" operator="equal">
      <formula>"Guardian"</formula>
    </cfRule>
    <cfRule type="cellIs" dxfId="577" priority="917" operator="equal">
      <formula>"Survivor"</formula>
    </cfRule>
    <cfRule type="cellIs" dxfId="576" priority="918" operator="equal">
      <formula>"Mystic"</formula>
    </cfRule>
  </conditionalFormatting>
  <conditionalFormatting sqref="AM1110">
    <cfRule type="cellIs" dxfId="575" priority="889" operator="equal">
      <formula>"seeker"</formula>
    </cfRule>
    <cfRule type="cellIs" dxfId="574" priority="890" operator="equal">
      <formula>"neutral"</formula>
    </cfRule>
    <cfRule type="cellIs" dxfId="573" priority="891" operator="equal">
      <formula>"rogue"</formula>
    </cfRule>
    <cfRule type="cellIs" dxfId="572" priority="892" operator="equal">
      <formula>"Guardian"</formula>
    </cfRule>
    <cfRule type="cellIs" dxfId="571" priority="893" operator="equal">
      <formula>"Survivor"</formula>
    </cfRule>
    <cfRule type="cellIs" dxfId="570" priority="894" operator="equal">
      <formula>"Mystic"</formula>
    </cfRule>
  </conditionalFormatting>
  <conditionalFormatting sqref="AL1118">
    <cfRule type="cellIs" dxfId="569" priority="883" operator="equal">
      <formula>"Seeker"</formula>
    </cfRule>
    <cfRule type="cellIs" dxfId="568" priority="884" operator="equal">
      <formula>"Neutral"</formula>
    </cfRule>
    <cfRule type="cellIs" dxfId="567" priority="885" operator="equal">
      <formula>"Rogue"</formula>
    </cfRule>
    <cfRule type="cellIs" dxfId="566" priority="886" operator="equal">
      <formula>"Guardian"</formula>
    </cfRule>
    <cfRule type="cellIs" dxfId="565" priority="887" operator="equal">
      <formula>"Survivor"</formula>
    </cfRule>
    <cfRule type="cellIs" dxfId="564" priority="888" operator="equal">
      <formula>"Mystic"</formula>
    </cfRule>
  </conditionalFormatting>
  <conditionalFormatting sqref="AM1173:AM1176 K1173:K1176 K1132:K1145 AM1145 AM1151:AM1152 K1149:K1152 AM1163:AM1171 K1157:K1171 AM1156:AM1161">
    <cfRule type="cellIs" dxfId="563" priority="853" operator="equal">
      <formula>"seeker"</formula>
    </cfRule>
    <cfRule type="cellIs" dxfId="562" priority="854" operator="equal">
      <formula>"neutral"</formula>
    </cfRule>
    <cfRule type="cellIs" dxfId="561" priority="855" operator="equal">
      <formula>"rogue"</formula>
    </cfRule>
    <cfRule type="cellIs" dxfId="560" priority="856" operator="equal">
      <formula>"Guardian"</formula>
    </cfRule>
    <cfRule type="cellIs" dxfId="559" priority="857" operator="equal">
      <formula>"Survivor"</formula>
    </cfRule>
    <cfRule type="cellIs" dxfId="558" priority="858" operator="equal">
      <formula>"Mystic"</formula>
    </cfRule>
  </conditionalFormatting>
  <conditionalFormatting sqref="AM1155">
    <cfRule type="cellIs" dxfId="557" priority="841" operator="equal">
      <formula>"seeker"</formula>
    </cfRule>
    <cfRule type="cellIs" dxfId="556" priority="842" operator="equal">
      <formula>"neutral"</formula>
    </cfRule>
    <cfRule type="cellIs" dxfId="555" priority="843" operator="equal">
      <formula>"rogue"</formula>
    </cfRule>
    <cfRule type="cellIs" dxfId="554" priority="844" operator="equal">
      <formula>"Guardian"</formula>
    </cfRule>
    <cfRule type="cellIs" dxfId="553" priority="845" operator="equal">
      <formula>"Survivor"</formula>
    </cfRule>
    <cfRule type="cellIs" dxfId="552" priority="846" operator="equal">
      <formula>"Mystic"</formula>
    </cfRule>
  </conditionalFormatting>
  <conditionalFormatting sqref="AM1132:AM1135">
    <cfRule type="cellIs" dxfId="551" priority="829" operator="equal">
      <formula>"seeker"</formula>
    </cfRule>
    <cfRule type="cellIs" dxfId="550" priority="830" operator="equal">
      <formula>"neutral"</formula>
    </cfRule>
    <cfRule type="cellIs" dxfId="549" priority="831" operator="equal">
      <formula>"rogue"</formula>
    </cfRule>
    <cfRule type="cellIs" dxfId="548" priority="832" operator="equal">
      <formula>"Guardian"</formula>
    </cfRule>
    <cfRule type="cellIs" dxfId="547" priority="833" operator="equal">
      <formula>"Survivor"</formula>
    </cfRule>
    <cfRule type="cellIs" dxfId="546" priority="834" operator="equal">
      <formula>"Mystic"</formula>
    </cfRule>
  </conditionalFormatting>
  <conditionalFormatting sqref="AM1131">
    <cfRule type="cellIs" dxfId="545" priority="823" operator="equal">
      <formula>"Seeker"</formula>
    </cfRule>
    <cfRule type="cellIs" dxfId="544" priority="824" operator="equal">
      <formula>"Neutral"</formula>
    </cfRule>
    <cfRule type="cellIs" dxfId="543" priority="825" operator="equal">
      <formula>"Rogue"</formula>
    </cfRule>
    <cfRule type="cellIs" dxfId="542" priority="826" operator="equal">
      <formula>"Guardian"</formula>
    </cfRule>
    <cfRule type="cellIs" dxfId="541" priority="827" operator="equal">
      <formula>"Survivor"</formula>
    </cfRule>
    <cfRule type="cellIs" dxfId="540" priority="828" operator="equal">
      <formula>"Mystic"</formula>
    </cfRule>
  </conditionalFormatting>
  <conditionalFormatting sqref="K1146">
    <cfRule type="cellIs" dxfId="539" priority="817" operator="equal">
      <formula>"Seeker"</formula>
    </cfRule>
    <cfRule type="cellIs" dxfId="538" priority="818" operator="equal">
      <formula>"Neutral"</formula>
    </cfRule>
    <cfRule type="cellIs" dxfId="537" priority="819" operator="equal">
      <formula>"Rogue"</formula>
    </cfRule>
    <cfRule type="cellIs" dxfId="536" priority="820" operator="equal">
      <formula>"Guardian"</formula>
    </cfRule>
    <cfRule type="cellIs" dxfId="535" priority="821" operator="equal">
      <formula>"Survivor"</formula>
    </cfRule>
    <cfRule type="cellIs" dxfId="534" priority="822" operator="equal">
      <formula>"Mystic"</formula>
    </cfRule>
  </conditionalFormatting>
  <conditionalFormatting sqref="AM1146">
    <cfRule type="cellIs" dxfId="533" priority="811" operator="equal">
      <formula>"Seeker"</formula>
    </cfRule>
    <cfRule type="cellIs" dxfId="532" priority="812" operator="equal">
      <formula>"Neutral"</formula>
    </cfRule>
    <cfRule type="cellIs" dxfId="531" priority="813" operator="equal">
      <formula>"Rogue"</formula>
    </cfRule>
    <cfRule type="cellIs" dxfId="530" priority="814" operator="equal">
      <formula>"Guardian"</formula>
    </cfRule>
    <cfRule type="cellIs" dxfId="529" priority="815" operator="equal">
      <formula>"Survivor"</formula>
    </cfRule>
    <cfRule type="cellIs" dxfId="528" priority="816" operator="equal">
      <formula>"Mystic"</formula>
    </cfRule>
  </conditionalFormatting>
  <conditionalFormatting sqref="K1147">
    <cfRule type="cellIs" dxfId="527" priority="805" operator="equal">
      <formula>"Seeker"</formula>
    </cfRule>
    <cfRule type="cellIs" dxfId="526" priority="806" operator="equal">
      <formula>"Neutral"</formula>
    </cfRule>
    <cfRule type="cellIs" dxfId="525" priority="807" operator="equal">
      <formula>"Rogue"</formula>
    </cfRule>
    <cfRule type="cellIs" dxfId="524" priority="808" operator="equal">
      <formula>"Guardian"</formula>
    </cfRule>
    <cfRule type="cellIs" dxfId="523" priority="809" operator="equal">
      <formula>"Survivor"</formula>
    </cfRule>
    <cfRule type="cellIs" dxfId="522" priority="810" operator="equal">
      <formula>"Mystic"</formula>
    </cfRule>
  </conditionalFormatting>
  <conditionalFormatting sqref="K1148">
    <cfRule type="cellIs" dxfId="521" priority="799" operator="equal">
      <formula>"Seeker"</formula>
    </cfRule>
    <cfRule type="cellIs" dxfId="520" priority="800" operator="equal">
      <formula>"Neutral"</formula>
    </cfRule>
    <cfRule type="cellIs" dxfId="519" priority="801" operator="equal">
      <formula>"Rogue"</formula>
    </cfRule>
    <cfRule type="cellIs" dxfId="518" priority="802" operator="equal">
      <formula>"Guardian"</formula>
    </cfRule>
    <cfRule type="cellIs" dxfId="517" priority="803" operator="equal">
      <formula>"Survivor"</formula>
    </cfRule>
    <cfRule type="cellIs" dxfId="516" priority="804" operator="equal">
      <formula>"Mystic"</formula>
    </cfRule>
  </conditionalFormatting>
  <conditionalFormatting sqref="K1154">
    <cfRule type="cellIs" dxfId="515" priority="781" operator="equal">
      <formula>"seeker"</formula>
    </cfRule>
    <cfRule type="cellIs" dxfId="514" priority="782" operator="equal">
      <formula>"neutral"</formula>
    </cfRule>
    <cfRule type="cellIs" dxfId="513" priority="783" operator="equal">
      <formula>"rogue"</formula>
    </cfRule>
    <cfRule type="cellIs" dxfId="512" priority="784" operator="equal">
      <formula>"Guardian"</formula>
    </cfRule>
    <cfRule type="cellIs" dxfId="511" priority="785" operator="equal">
      <formula>"Survivor"</formula>
    </cfRule>
    <cfRule type="cellIs" dxfId="510" priority="786" operator="equal">
      <formula>"Mystic"</formula>
    </cfRule>
  </conditionalFormatting>
  <conditionalFormatting sqref="K1156">
    <cfRule type="cellIs" dxfId="509" priority="763" operator="equal">
      <formula>"seeker"</formula>
    </cfRule>
    <cfRule type="cellIs" dxfId="508" priority="764" operator="equal">
      <formula>"neutral"</formula>
    </cfRule>
    <cfRule type="cellIs" dxfId="507" priority="765" operator="equal">
      <formula>"rogue"</formula>
    </cfRule>
    <cfRule type="cellIs" dxfId="506" priority="766" operator="equal">
      <formula>"Guardian"</formula>
    </cfRule>
    <cfRule type="cellIs" dxfId="505" priority="767" operator="equal">
      <formula>"Survivor"</formula>
    </cfRule>
    <cfRule type="cellIs" dxfId="504" priority="768" operator="equal">
      <formula>"Mystic"</formula>
    </cfRule>
  </conditionalFormatting>
  <conditionalFormatting sqref="K1172">
    <cfRule type="cellIs" dxfId="503" priority="751" operator="equal">
      <formula>"seeker"</formula>
    </cfRule>
    <cfRule type="cellIs" dxfId="502" priority="752" operator="equal">
      <formula>"neutral"</formula>
    </cfRule>
    <cfRule type="cellIs" dxfId="501" priority="753" operator="equal">
      <formula>"rogue"</formula>
    </cfRule>
    <cfRule type="cellIs" dxfId="500" priority="754" operator="equal">
      <formula>"Guardian"</formula>
    </cfRule>
    <cfRule type="cellIs" dxfId="499" priority="755" operator="equal">
      <formula>"Survivor"</formula>
    </cfRule>
    <cfRule type="cellIs" dxfId="498" priority="756" operator="equal">
      <formula>"Mystic"</formula>
    </cfRule>
  </conditionalFormatting>
  <conditionalFormatting sqref="AL1172">
    <cfRule type="cellIs" dxfId="497" priority="745" operator="equal">
      <formula>"Seeker"</formula>
    </cfRule>
    <cfRule type="cellIs" dxfId="496" priority="746" operator="equal">
      <formula>"Neutral"</formula>
    </cfRule>
    <cfRule type="cellIs" dxfId="495" priority="747" operator="equal">
      <formula>"Rogue"</formula>
    </cfRule>
    <cfRule type="cellIs" dxfId="494" priority="748" operator="equal">
      <formula>"Guardian"</formula>
    </cfRule>
    <cfRule type="cellIs" dxfId="493" priority="749" operator="equal">
      <formula>"Survivor"</formula>
    </cfRule>
    <cfRule type="cellIs" dxfId="492" priority="750" operator="equal">
      <formula>"Mystic"</formula>
    </cfRule>
  </conditionalFormatting>
  <conditionalFormatting sqref="AM1150">
    <cfRule type="cellIs" dxfId="491" priority="739" operator="equal">
      <formula>"seeker"</formula>
    </cfRule>
    <cfRule type="cellIs" dxfId="490" priority="740" operator="equal">
      <formula>"neutral"</formula>
    </cfRule>
    <cfRule type="cellIs" dxfId="489" priority="741" operator="equal">
      <formula>"rogue"</formula>
    </cfRule>
    <cfRule type="cellIs" dxfId="488" priority="742" operator="equal">
      <formula>"Guardian"</formula>
    </cfRule>
    <cfRule type="cellIs" dxfId="487" priority="743" operator="equal">
      <formula>"Survivor"</formula>
    </cfRule>
    <cfRule type="cellIs" dxfId="486" priority="744" operator="equal">
      <formula>"Mystic"</formula>
    </cfRule>
  </conditionalFormatting>
  <conditionalFormatting sqref="AM1219 K1219 K1178:K1191 AM1191 AM1197:AM1198 K1195:K1198 AM1209:AM1217 K1203:K1217 AM1202:AM1207">
    <cfRule type="cellIs" dxfId="485" priority="493" operator="equal">
      <formula>"seeker"</formula>
    </cfRule>
    <cfRule type="cellIs" dxfId="484" priority="494" operator="equal">
      <formula>"neutral"</formula>
    </cfRule>
    <cfRule type="cellIs" dxfId="483" priority="495" operator="equal">
      <formula>"rogue"</formula>
    </cfRule>
    <cfRule type="cellIs" dxfId="482" priority="496" operator="equal">
      <formula>"Guardian"</formula>
    </cfRule>
    <cfRule type="cellIs" dxfId="481" priority="497" operator="equal">
      <formula>"Survivor"</formula>
    </cfRule>
    <cfRule type="cellIs" dxfId="480" priority="498" operator="equal">
      <formula>"Mystic"</formula>
    </cfRule>
  </conditionalFormatting>
  <conditionalFormatting sqref="AL1182:AL1188">
    <cfRule type="cellIs" dxfId="479" priority="487" operator="equal">
      <formula>"Seeker"</formula>
    </cfRule>
    <cfRule type="cellIs" dxfId="478" priority="488" operator="equal">
      <formula>"Neutral"</formula>
    </cfRule>
    <cfRule type="cellIs" dxfId="477" priority="489" operator="equal">
      <formula>"Rogue"</formula>
    </cfRule>
    <cfRule type="cellIs" dxfId="476" priority="490" operator="equal">
      <formula>"Guardian"</formula>
    </cfRule>
    <cfRule type="cellIs" dxfId="475" priority="491" operator="equal">
      <formula>"Survivor"</formula>
    </cfRule>
    <cfRule type="cellIs" dxfId="474" priority="492" operator="equal">
      <formula>"Mystic"</formula>
    </cfRule>
  </conditionalFormatting>
  <conditionalFormatting sqref="AM1201">
    <cfRule type="cellIs" dxfId="473" priority="481" operator="equal">
      <formula>"seeker"</formula>
    </cfRule>
    <cfRule type="cellIs" dxfId="472" priority="482" operator="equal">
      <formula>"neutral"</formula>
    </cfRule>
    <cfRule type="cellIs" dxfId="471" priority="483" operator="equal">
      <formula>"rogue"</formula>
    </cfRule>
    <cfRule type="cellIs" dxfId="470" priority="484" operator="equal">
      <formula>"Guardian"</formula>
    </cfRule>
    <cfRule type="cellIs" dxfId="469" priority="485" operator="equal">
      <formula>"Survivor"</formula>
    </cfRule>
    <cfRule type="cellIs" dxfId="468" priority="486" operator="equal">
      <formula>"Mystic"</formula>
    </cfRule>
  </conditionalFormatting>
  <conditionalFormatting sqref="K1177">
    <cfRule type="cellIs" dxfId="467" priority="475" operator="equal">
      <formula>"Seeker"</formula>
    </cfRule>
    <cfRule type="cellIs" dxfId="466" priority="476" operator="equal">
      <formula>"Neutral"</formula>
    </cfRule>
    <cfRule type="cellIs" dxfId="465" priority="477" operator="equal">
      <formula>"Rogue"</formula>
    </cfRule>
    <cfRule type="cellIs" dxfId="464" priority="478" operator="equal">
      <formula>"Guardian"</formula>
    </cfRule>
    <cfRule type="cellIs" dxfId="463" priority="479" operator="equal">
      <formula>"Survivor"</formula>
    </cfRule>
    <cfRule type="cellIs" dxfId="462" priority="480" operator="equal">
      <formula>"Mystic"</formula>
    </cfRule>
  </conditionalFormatting>
  <conditionalFormatting sqref="AM1178:AM1181">
    <cfRule type="cellIs" dxfId="461" priority="469" operator="equal">
      <formula>"seeker"</formula>
    </cfRule>
    <cfRule type="cellIs" dxfId="460" priority="470" operator="equal">
      <formula>"neutral"</formula>
    </cfRule>
    <cfRule type="cellIs" dxfId="459" priority="471" operator="equal">
      <formula>"rogue"</formula>
    </cfRule>
    <cfRule type="cellIs" dxfId="458" priority="472" operator="equal">
      <formula>"Guardian"</formula>
    </cfRule>
    <cfRule type="cellIs" dxfId="457" priority="473" operator="equal">
      <formula>"Survivor"</formula>
    </cfRule>
    <cfRule type="cellIs" dxfId="456" priority="474" operator="equal">
      <formula>"Mystic"</formula>
    </cfRule>
  </conditionalFormatting>
  <conditionalFormatting sqref="AM1177">
    <cfRule type="cellIs" dxfId="455" priority="463" operator="equal">
      <formula>"Seeker"</formula>
    </cfRule>
    <cfRule type="cellIs" dxfId="454" priority="464" operator="equal">
      <formula>"Neutral"</formula>
    </cfRule>
    <cfRule type="cellIs" dxfId="453" priority="465" operator="equal">
      <formula>"Rogue"</formula>
    </cfRule>
    <cfRule type="cellIs" dxfId="452" priority="466" operator="equal">
      <formula>"Guardian"</formula>
    </cfRule>
    <cfRule type="cellIs" dxfId="451" priority="467" operator="equal">
      <formula>"Survivor"</formula>
    </cfRule>
    <cfRule type="cellIs" dxfId="450" priority="468" operator="equal">
      <formula>"Mystic"</formula>
    </cfRule>
  </conditionalFormatting>
  <conditionalFormatting sqref="K1192">
    <cfRule type="cellIs" dxfId="449" priority="457" operator="equal">
      <formula>"Seeker"</formula>
    </cfRule>
    <cfRule type="cellIs" dxfId="448" priority="458" operator="equal">
      <formula>"Neutral"</formula>
    </cfRule>
    <cfRule type="cellIs" dxfId="447" priority="459" operator="equal">
      <formula>"Rogue"</formula>
    </cfRule>
    <cfRule type="cellIs" dxfId="446" priority="460" operator="equal">
      <formula>"Guardian"</formula>
    </cfRule>
    <cfRule type="cellIs" dxfId="445" priority="461" operator="equal">
      <formula>"Survivor"</formula>
    </cfRule>
    <cfRule type="cellIs" dxfId="444" priority="462" operator="equal">
      <formula>"Mystic"</formula>
    </cfRule>
  </conditionalFormatting>
  <conditionalFormatting sqref="AM1192">
    <cfRule type="cellIs" dxfId="443" priority="451" operator="equal">
      <formula>"Seeker"</formula>
    </cfRule>
    <cfRule type="cellIs" dxfId="442" priority="452" operator="equal">
      <formula>"Neutral"</formula>
    </cfRule>
    <cfRule type="cellIs" dxfId="441" priority="453" operator="equal">
      <formula>"Rogue"</formula>
    </cfRule>
    <cfRule type="cellIs" dxfId="440" priority="454" operator="equal">
      <formula>"Guardian"</formula>
    </cfRule>
    <cfRule type="cellIs" dxfId="439" priority="455" operator="equal">
      <formula>"Survivor"</formula>
    </cfRule>
    <cfRule type="cellIs" dxfId="438" priority="456" operator="equal">
      <formula>"Mystic"</formula>
    </cfRule>
  </conditionalFormatting>
  <conditionalFormatting sqref="K1193">
    <cfRule type="cellIs" dxfId="437" priority="445" operator="equal">
      <formula>"Seeker"</formula>
    </cfRule>
    <cfRule type="cellIs" dxfId="436" priority="446" operator="equal">
      <formula>"Neutral"</formula>
    </cfRule>
    <cfRule type="cellIs" dxfId="435" priority="447" operator="equal">
      <formula>"Rogue"</formula>
    </cfRule>
    <cfRule type="cellIs" dxfId="434" priority="448" operator="equal">
      <formula>"Guardian"</formula>
    </cfRule>
    <cfRule type="cellIs" dxfId="433" priority="449" operator="equal">
      <formula>"Survivor"</formula>
    </cfRule>
    <cfRule type="cellIs" dxfId="432" priority="450" operator="equal">
      <formula>"Mystic"</formula>
    </cfRule>
  </conditionalFormatting>
  <conditionalFormatting sqref="K1194">
    <cfRule type="cellIs" dxfId="431" priority="439" operator="equal">
      <formula>"Seeker"</formula>
    </cfRule>
    <cfRule type="cellIs" dxfId="430" priority="440" operator="equal">
      <formula>"Neutral"</formula>
    </cfRule>
    <cfRule type="cellIs" dxfId="429" priority="441" operator="equal">
      <formula>"Rogue"</formula>
    </cfRule>
    <cfRule type="cellIs" dxfId="428" priority="442" operator="equal">
      <formula>"Guardian"</formula>
    </cfRule>
    <cfRule type="cellIs" dxfId="427" priority="443" operator="equal">
      <formula>"Survivor"</formula>
    </cfRule>
    <cfRule type="cellIs" dxfId="426" priority="444" operator="equal">
      <formula>"Mystic"</formula>
    </cfRule>
  </conditionalFormatting>
  <conditionalFormatting sqref="K1199">
    <cfRule type="cellIs" dxfId="425" priority="433" operator="equal">
      <formula>"seeker"</formula>
    </cfRule>
    <cfRule type="cellIs" dxfId="424" priority="434" operator="equal">
      <formula>"neutral"</formula>
    </cfRule>
    <cfRule type="cellIs" dxfId="423" priority="435" operator="equal">
      <formula>"rogue"</formula>
    </cfRule>
    <cfRule type="cellIs" dxfId="422" priority="436" operator="equal">
      <formula>"Guardian"</formula>
    </cfRule>
    <cfRule type="cellIs" dxfId="421" priority="437" operator="equal">
      <formula>"Survivor"</formula>
    </cfRule>
    <cfRule type="cellIs" dxfId="420" priority="438" operator="equal">
      <formula>"Mystic"</formula>
    </cfRule>
  </conditionalFormatting>
  <conditionalFormatting sqref="AM1199">
    <cfRule type="cellIs" dxfId="419" priority="427" operator="equal">
      <formula>"seeker"</formula>
    </cfRule>
    <cfRule type="cellIs" dxfId="418" priority="428" operator="equal">
      <formula>"neutral"</formula>
    </cfRule>
    <cfRule type="cellIs" dxfId="417" priority="429" operator="equal">
      <formula>"rogue"</formula>
    </cfRule>
    <cfRule type="cellIs" dxfId="416" priority="430" operator="equal">
      <formula>"Guardian"</formula>
    </cfRule>
    <cfRule type="cellIs" dxfId="415" priority="431" operator="equal">
      <formula>"Survivor"</formula>
    </cfRule>
    <cfRule type="cellIs" dxfId="414" priority="432" operator="equal">
      <formula>"Mystic"</formula>
    </cfRule>
  </conditionalFormatting>
  <conditionalFormatting sqref="K1200">
    <cfRule type="cellIs" dxfId="413" priority="421" operator="equal">
      <formula>"seeker"</formula>
    </cfRule>
    <cfRule type="cellIs" dxfId="412" priority="422" operator="equal">
      <formula>"neutral"</formula>
    </cfRule>
    <cfRule type="cellIs" dxfId="411" priority="423" operator="equal">
      <formula>"rogue"</formula>
    </cfRule>
    <cfRule type="cellIs" dxfId="410" priority="424" operator="equal">
      <formula>"Guardian"</formula>
    </cfRule>
    <cfRule type="cellIs" dxfId="409" priority="425" operator="equal">
      <formula>"Survivor"</formula>
    </cfRule>
    <cfRule type="cellIs" dxfId="408" priority="426" operator="equal">
      <formula>"Mystic"</formula>
    </cfRule>
  </conditionalFormatting>
  <conditionalFormatting sqref="AM1200">
    <cfRule type="cellIs" dxfId="407" priority="415" operator="equal">
      <formula>"seeker"</formula>
    </cfRule>
    <cfRule type="cellIs" dxfId="406" priority="416" operator="equal">
      <formula>"neutral"</formula>
    </cfRule>
    <cfRule type="cellIs" dxfId="405" priority="417" operator="equal">
      <formula>"rogue"</formula>
    </cfRule>
    <cfRule type="cellIs" dxfId="404" priority="418" operator="equal">
      <formula>"Guardian"</formula>
    </cfRule>
    <cfRule type="cellIs" dxfId="403" priority="419" operator="equal">
      <formula>"Survivor"</formula>
    </cfRule>
    <cfRule type="cellIs" dxfId="402" priority="420" operator="equal">
      <formula>"Mystic"</formula>
    </cfRule>
  </conditionalFormatting>
  <conditionalFormatting sqref="K1201">
    <cfRule type="cellIs" dxfId="401" priority="409" operator="equal">
      <formula>"seeker"</formula>
    </cfRule>
    <cfRule type="cellIs" dxfId="400" priority="410" operator="equal">
      <formula>"neutral"</formula>
    </cfRule>
    <cfRule type="cellIs" dxfId="399" priority="411" operator="equal">
      <formula>"rogue"</formula>
    </cfRule>
    <cfRule type="cellIs" dxfId="398" priority="412" operator="equal">
      <formula>"Guardian"</formula>
    </cfRule>
    <cfRule type="cellIs" dxfId="397" priority="413" operator="equal">
      <formula>"Survivor"</formula>
    </cfRule>
    <cfRule type="cellIs" dxfId="396" priority="414" operator="equal">
      <formula>"Mystic"</formula>
    </cfRule>
  </conditionalFormatting>
  <conditionalFormatting sqref="K1202">
    <cfRule type="cellIs" dxfId="395" priority="403" operator="equal">
      <formula>"seeker"</formula>
    </cfRule>
    <cfRule type="cellIs" dxfId="394" priority="404" operator="equal">
      <formula>"neutral"</formula>
    </cfRule>
    <cfRule type="cellIs" dxfId="393" priority="405" operator="equal">
      <formula>"rogue"</formula>
    </cfRule>
    <cfRule type="cellIs" dxfId="392" priority="406" operator="equal">
      <formula>"Guardian"</formula>
    </cfRule>
    <cfRule type="cellIs" dxfId="391" priority="407" operator="equal">
      <formula>"Survivor"</formula>
    </cfRule>
    <cfRule type="cellIs" dxfId="390" priority="408" operator="equal">
      <formula>"Mystic"</formula>
    </cfRule>
  </conditionalFormatting>
  <conditionalFormatting sqref="AM1208">
    <cfRule type="cellIs" dxfId="389" priority="397" operator="equal">
      <formula>"seeker"</formula>
    </cfRule>
    <cfRule type="cellIs" dxfId="388" priority="398" operator="equal">
      <formula>"neutral"</formula>
    </cfRule>
    <cfRule type="cellIs" dxfId="387" priority="399" operator="equal">
      <formula>"rogue"</formula>
    </cfRule>
    <cfRule type="cellIs" dxfId="386" priority="400" operator="equal">
      <formula>"Guardian"</formula>
    </cfRule>
    <cfRule type="cellIs" dxfId="385" priority="401" operator="equal">
      <formula>"Survivor"</formula>
    </cfRule>
    <cfRule type="cellIs" dxfId="384" priority="402" operator="equal">
      <formula>"Mystic"</formula>
    </cfRule>
  </conditionalFormatting>
  <conditionalFormatting sqref="K1218">
    <cfRule type="cellIs" dxfId="383" priority="391" operator="equal">
      <formula>"seeker"</formula>
    </cfRule>
    <cfRule type="cellIs" dxfId="382" priority="392" operator="equal">
      <formula>"neutral"</formula>
    </cfRule>
    <cfRule type="cellIs" dxfId="381" priority="393" operator="equal">
      <formula>"rogue"</formula>
    </cfRule>
    <cfRule type="cellIs" dxfId="380" priority="394" operator="equal">
      <formula>"Guardian"</formula>
    </cfRule>
    <cfRule type="cellIs" dxfId="379" priority="395" operator="equal">
      <formula>"Survivor"</formula>
    </cfRule>
    <cfRule type="cellIs" dxfId="378" priority="396" operator="equal">
      <formula>"Mystic"</formula>
    </cfRule>
  </conditionalFormatting>
  <conditionalFormatting sqref="AL1218">
    <cfRule type="cellIs" dxfId="377" priority="385" operator="equal">
      <formula>"Seeker"</formula>
    </cfRule>
    <cfRule type="cellIs" dxfId="376" priority="386" operator="equal">
      <formula>"Neutral"</formula>
    </cfRule>
    <cfRule type="cellIs" dxfId="375" priority="387" operator="equal">
      <formula>"Rogue"</formula>
    </cfRule>
    <cfRule type="cellIs" dxfId="374" priority="388" operator="equal">
      <formula>"Guardian"</formula>
    </cfRule>
    <cfRule type="cellIs" dxfId="373" priority="389" operator="equal">
      <formula>"Survivor"</formula>
    </cfRule>
    <cfRule type="cellIs" dxfId="372" priority="390" operator="equal">
      <formula>"Mystic"</formula>
    </cfRule>
  </conditionalFormatting>
  <conditionalFormatting sqref="AM1196">
    <cfRule type="cellIs" dxfId="371" priority="379" operator="equal">
      <formula>"seeker"</formula>
    </cfRule>
    <cfRule type="cellIs" dxfId="370" priority="380" operator="equal">
      <formula>"neutral"</formula>
    </cfRule>
    <cfRule type="cellIs" dxfId="369" priority="381" operator="equal">
      <formula>"rogue"</formula>
    </cfRule>
    <cfRule type="cellIs" dxfId="368" priority="382" operator="equal">
      <formula>"Guardian"</formula>
    </cfRule>
    <cfRule type="cellIs" dxfId="367" priority="383" operator="equal">
      <formula>"Survivor"</formula>
    </cfRule>
    <cfRule type="cellIs" dxfId="366" priority="384" operator="equal">
      <formula>"Mystic"</formula>
    </cfRule>
  </conditionalFormatting>
  <conditionalFormatting sqref="K1221:K1232">
    <cfRule type="cellIs" dxfId="365" priority="373" operator="equal">
      <formula>"seeker"</formula>
    </cfRule>
    <cfRule type="cellIs" dxfId="364" priority="374" operator="equal">
      <formula>"neutral"</formula>
    </cfRule>
    <cfRule type="cellIs" dxfId="363" priority="375" operator="equal">
      <formula>"rogue"</formula>
    </cfRule>
    <cfRule type="cellIs" dxfId="362" priority="376" operator="equal">
      <formula>"Guardian"</formula>
    </cfRule>
    <cfRule type="cellIs" dxfId="361" priority="377" operator="equal">
      <formula>"Survivor"</formula>
    </cfRule>
    <cfRule type="cellIs" dxfId="360" priority="378" operator="equal">
      <formula>"Mystic"</formula>
    </cfRule>
  </conditionalFormatting>
  <conditionalFormatting sqref="AL1225:AL1231">
    <cfRule type="cellIs" dxfId="359" priority="367" operator="equal">
      <formula>"Seeker"</formula>
    </cfRule>
    <cfRule type="cellIs" dxfId="358" priority="368" operator="equal">
      <formula>"Neutral"</formula>
    </cfRule>
    <cfRule type="cellIs" dxfId="357" priority="369" operator="equal">
      <formula>"Rogue"</formula>
    </cfRule>
    <cfRule type="cellIs" dxfId="356" priority="370" operator="equal">
      <formula>"Guardian"</formula>
    </cfRule>
    <cfRule type="cellIs" dxfId="355" priority="371" operator="equal">
      <formula>"Survivor"</formula>
    </cfRule>
    <cfRule type="cellIs" dxfId="354" priority="372" operator="equal">
      <formula>"Mystic"</formula>
    </cfRule>
  </conditionalFormatting>
  <conditionalFormatting sqref="K1220">
    <cfRule type="cellIs" dxfId="353" priority="361" operator="equal">
      <formula>"Seeker"</formula>
    </cfRule>
    <cfRule type="cellIs" dxfId="352" priority="362" operator="equal">
      <formula>"Neutral"</formula>
    </cfRule>
    <cfRule type="cellIs" dxfId="351" priority="363" operator="equal">
      <formula>"Rogue"</formula>
    </cfRule>
    <cfRule type="cellIs" dxfId="350" priority="364" operator="equal">
      <formula>"Guardian"</formula>
    </cfRule>
    <cfRule type="cellIs" dxfId="349" priority="365" operator="equal">
      <formula>"Survivor"</formula>
    </cfRule>
    <cfRule type="cellIs" dxfId="348" priority="366" operator="equal">
      <formula>"Mystic"</formula>
    </cfRule>
  </conditionalFormatting>
  <conditionalFormatting sqref="AM1221:AM1224">
    <cfRule type="cellIs" dxfId="347" priority="355" operator="equal">
      <formula>"seeker"</formula>
    </cfRule>
    <cfRule type="cellIs" dxfId="346" priority="356" operator="equal">
      <formula>"neutral"</formula>
    </cfRule>
    <cfRule type="cellIs" dxfId="345" priority="357" operator="equal">
      <formula>"rogue"</formula>
    </cfRule>
    <cfRule type="cellIs" dxfId="344" priority="358" operator="equal">
      <formula>"Guardian"</formula>
    </cfRule>
    <cfRule type="cellIs" dxfId="343" priority="359" operator="equal">
      <formula>"Survivor"</formula>
    </cfRule>
    <cfRule type="cellIs" dxfId="342" priority="360" operator="equal">
      <formula>"Mystic"</formula>
    </cfRule>
  </conditionalFormatting>
  <conditionalFormatting sqref="AM1220">
    <cfRule type="cellIs" dxfId="341" priority="349" operator="equal">
      <formula>"Seeker"</formula>
    </cfRule>
    <cfRule type="cellIs" dxfId="340" priority="350" operator="equal">
      <formula>"Neutral"</formula>
    </cfRule>
    <cfRule type="cellIs" dxfId="339" priority="351" operator="equal">
      <formula>"Rogue"</formula>
    </cfRule>
    <cfRule type="cellIs" dxfId="338" priority="352" operator="equal">
      <formula>"Guardian"</formula>
    </cfRule>
    <cfRule type="cellIs" dxfId="337" priority="353" operator="equal">
      <formula>"Survivor"</formula>
    </cfRule>
    <cfRule type="cellIs" dxfId="336" priority="354" operator="equal">
      <formula>"Mystic"</formula>
    </cfRule>
  </conditionalFormatting>
  <conditionalFormatting sqref="AM1275:AM1292 K1275:K1292 K1234:K1247 AM1247 AM1253:AM1254 K1251:K1254 AM1265:AM1273 K1259:K1273 AM1258:AM1263">
    <cfRule type="cellIs" dxfId="335" priority="223" operator="equal">
      <formula>"seeker"</formula>
    </cfRule>
    <cfRule type="cellIs" dxfId="334" priority="224" operator="equal">
      <formula>"neutral"</formula>
    </cfRule>
    <cfRule type="cellIs" dxfId="333" priority="225" operator="equal">
      <formula>"rogue"</formula>
    </cfRule>
    <cfRule type="cellIs" dxfId="332" priority="226" operator="equal">
      <formula>"Guardian"</formula>
    </cfRule>
    <cfRule type="cellIs" dxfId="331" priority="227" operator="equal">
      <formula>"Survivor"</formula>
    </cfRule>
    <cfRule type="cellIs" dxfId="330" priority="228" operator="equal">
      <formula>"Mystic"</formula>
    </cfRule>
  </conditionalFormatting>
  <conditionalFormatting sqref="AL1238:AL1244">
    <cfRule type="cellIs" dxfId="329" priority="217" operator="equal">
      <formula>"Seeker"</formula>
    </cfRule>
    <cfRule type="cellIs" dxfId="328" priority="218" operator="equal">
      <formula>"Neutral"</formula>
    </cfRule>
    <cfRule type="cellIs" dxfId="327" priority="219" operator="equal">
      <formula>"Rogue"</formula>
    </cfRule>
    <cfRule type="cellIs" dxfId="326" priority="220" operator="equal">
      <formula>"Guardian"</formula>
    </cfRule>
    <cfRule type="cellIs" dxfId="325" priority="221" operator="equal">
      <formula>"Survivor"</formula>
    </cfRule>
    <cfRule type="cellIs" dxfId="324" priority="222" operator="equal">
      <formula>"Mystic"</formula>
    </cfRule>
  </conditionalFormatting>
  <conditionalFormatting sqref="AM1257">
    <cfRule type="cellIs" dxfId="323" priority="211" operator="equal">
      <formula>"seeker"</formula>
    </cfRule>
    <cfRule type="cellIs" dxfId="322" priority="212" operator="equal">
      <formula>"neutral"</formula>
    </cfRule>
    <cfRule type="cellIs" dxfId="321" priority="213" operator="equal">
      <formula>"rogue"</formula>
    </cfRule>
    <cfRule type="cellIs" dxfId="320" priority="214" operator="equal">
      <formula>"Guardian"</formula>
    </cfRule>
    <cfRule type="cellIs" dxfId="319" priority="215" operator="equal">
      <formula>"Survivor"</formula>
    </cfRule>
    <cfRule type="cellIs" dxfId="318" priority="216" operator="equal">
      <formula>"Mystic"</formula>
    </cfRule>
  </conditionalFormatting>
  <conditionalFormatting sqref="K1233">
    <cfRule type="cellIs" dxfId="317" priority="205" operator="equal">
      <formula>"Seeker"</formula>
    </cfRule>
    <cfRule type="cellIs" dxfId="316" priority="206" operator="equal">
      <formula>"Neutral"</formula>
    </cfRule>
    <cfRule type="cellIs" dxfId="315" priority="207" operator="equal">
      <formula>"Rogue"</formula>
    </cfRule>
    <cfRule type="cellIs" dxfId="314" priority="208" operator="equal">
      <formula>"Guardian"</formula>
    </cfRule>
    <cfRule type="cellIs" dxfId="313" priority="209" operator="equal">
      <formula>"Survivor"</formula>
    </cfRule>
    <cfRule type="cellIs" dxfId="312" priority="210" operator="equal">
      <formula>"Mystic"</formula>
    </cfRule>
  </conditionalFormatting>
  <conditionalFormatting sqref="AM1234:AM1237">
    <cfRule type="cellIs" dxfId="311" priority="199" operator="equal">
      <formula>"seeker"</formula>
    </cfRule>
    <cfRule type="cellIs" dxfId="310" priority="200" operator="equal">
      <formula>"neutral"</formula>
    </cfRule>
    <cfRule type="cellIs" dxfId="309" priority="201" operator="equal">
      <formula>"rogue"</formula>
    </cfRule>
    <cfRule type="cellIs" dxfId="308" priority="202" operator="equal">
      <formula>"Guardian"</formula>
    </cfRule>
    <cfRule type="cellIs" dxfId="307" priority="203" operator="equal">
      <formula>"Survivor"</formula>
    </cfRule>
    <cfRule type="cellIs" dxfId="306" priority="204" operator="equal">
      <formula>"Mystic"</formula>
    </cfRule>
  </conditionalFormatting>
  <conditionalFormatting sqref="AM1233">
    <cfRule type="cellIs" dxfId="305" priority="193" operator="equal">
      <formula>"Seeker"</formula>
    </cfRule>
    <cfRule type="cellIs" dxfId="304" priority="194" operator="equal">
      <formula>"Neutral"</formula>
    </cfRule>
    <cfRule type="cellIs" dxfId="303" priority="195" operator="equal">
      <formula>"Rogue"</formula>
    </cfRule>
    <cfRule type="cellIs" dxfId="302" priority="196" operator="equal">
      <formula>"Guardian"</formula>
    </cfRule>
    <cfRule type="cellIs" dxfId="301" priority="197" operator="equal">
      <formula>"Survivor"</formula>
    </cfRule>
    <cfRule type="cellIs" dxfId="300" priority="198" operator="equal">
      <formula>"Mystic"</formula>
    </cfRule>
  </conditionalFormatting>
  <conditionalFormatting sqref="K1248">
    <cfRule type="cellIs" dxfId="299" priority="187" operator="equal">
      <formula>"Seeker"</formula>
    </cfRule>
    <cfRule type="cellIs" dxfId="298" priority="188" operator="equal">
      <formula>"Neutral"</formula>
    </cfRule>
    <cfRule type="cellIs" dxfId="297" priority="189" operator="equal">
      <formula>"Rogue"</formula>
    </cfRule>
    <cfRule type="cellIs" dxfId="296" priority="190" operator="equal">
      <formula>"Guardian"</formula>
    </cfRule>
    <cfRule type="cellIs" dxfId="295" priority="191" operator="equal">
      <formula>"Survivor"</formula>
    </cfRule>
    <cfRule type="cellIs" dxfId="294" priority="192" operator="equal">
      <formula>"Mystic"</formula>
    </cfRule>
  </conditionalFormatting>
  <conditionalFormatting sqref="AM1248">
    <cfRule type="cellIs" dxfId="293" priority="181" operator="equal">
      <formula>"Seeker"</formula>
    </cfRule>
    <cfRule type="cellIs" dxfId="292" priority="182" operator="equal">
      <formula>"Neutral"</formula>
    </cfRule>
    <cfRule type="cellIs" dxfId="291" priority="183" operator="equal">
      <formula>"Rogue"</formula>
    </cfRule>
    <cfRule type="cellIs" dxfId="290" priority="184" operator="equal">
      <formula>"Guardian"</formula>
    </cfRule>
    <cfRule type="cellIs" dxfId="289" priority="185" operator="equal">
      <formula>"Survivor"</formula>
    </cfRule>
    <cfRule type="cellIs" dxfId="288" priority="186" operator="equal">
      <formula>"Mystic"</formula>
    </cfRule>
  </conditionalFormatting>
  <conditionalFormatting sqref="K1249">
    <cfRule type="cellIs" dxfId="287" priority="175" operator="equal">
      <formula>"Seeker"</formula>
    </cfRule>
    <cfRule type="cellIs" dxfId="286" priority="176" operator="equal">
      <formula>"Neutral"</formula>
    </cfRule>
    <cfRule type="cellIs" dxfId="285" priority="177" operator="equal">
      <formula>"Rogue"</formula>
    </cfRule>
    <cfRule type="cellIs" dxfId="284" priority="178" operator="equal">
      <formula>"Guardian"</formula>
    </cfRule>
    <cfRule type="cellIs" dxfId="283" priority="179" operator="equal">
      <formula>"Survivor"</formula>
    </cfRule>
    <cfRule type="cellIs" dxfId="282" priority="180" operator="equal">
      <formula>"Mystic"</formula>
    </cfRule>
  </conditionalFormatting>
  <conditionalFormatting sqref="K1250">
    <cfRule type="cellIs" dxfId="281" priority="169" operator="equal">
      <formula>"Seeker"</formula>
    </cfRule>
    <cfRule type="cellIs" dxfId="280" priority="170" operator="equal">
      <formula>"Neutral"</formula>
    </cfRule>
    <cfRule type="cellIs" dxfId="279" priority="171" operator="equal">
      <formula>"Rogue"</formula>
    </cfRule>
    <cfRule type="cellIs" dxfId="278" priority="172" operator="equal">
      <formula>"Guardian"</formula>
    </cfRule>
    <cfRule type="cellIs" dxfId="277" priority="173" operator="equal">
      <formula>"Survivor"</formula>
    </cfRule>
    <cfRule type="cellIs" dxfId="276" priority="174" operator="equal">
      <formula>"Mystic"</formula>
    </cfRule>
  </conditionalFormatting>
  <conditionalFormatting sqref="K1255">
    <cfRule type="cellIs" dxfId="275" priority="163" operator="equal">
      <formula>"seeker"</formula>
    </cfRule>
    <cfRule type="cellIs" dxfId="274" priority="164" operator="equal">
      <formula>"neutral"</formula>
    </cfRule>
    <cfRule type="cellIs" dxfId="273" priority="165" operator="equal">
      <formula>"rogue"</formula>
    </cfRule>
    <cfRule type="cellIs" dxfId="272" priority="166" operator="equal">
      <formula>"Guardian"</formula>
    </cfRule>
    <cfRule type="cellIs" dxfId="271" priority="167" operator="equal">
      <formula>"Survivor"</formula>
    </cfRule>
    <cfRule type="cellIs" dxfId="270" priority="168" operator="equal">
      <formula>"Mystic"</formula>
    </cfRule>
  </conditionalFormatting>
  <conditionalFormatting sqref="AM1255">
    <cfRule type="cellIs" dxfId="269" priority="157" operator="equal">
      <formula>"seeker"</formula>
    </cfRule>
    <cfRule type="cellIs" dxfId="268" priority="158" operator="equal">
      <formula>"neutral"</formula>
    </cfRule>
    <cfRule type="cellIs" dxfId="267" priority="159" operator="equal">
      <formula>"rogue"</formula>
    </cfRule>
    <cfRule type="cellIs" dxfId="266" priority="160" operator="equal">
      <formula>"Guardian"</formula>
    </cfRule>
    <cfRule type="cellIs" dxfId="265" priority="161" operator="equal">
      <formula>"Survivor"</formula>
    </cfRule>
    <cfRule type="cellIs" dxfId="264" priority="162" operator="equal">
      <formula>"Mystic"</formula>
    </cfRule>
  </conditionalFormatting>
  <conditionalFormatting sqref="K1256">
    <cfRule type="cellIs" dxfId="263" priority="151" operator="equal">
      <formula>"seeker"</formula>
    </cfRule>
    <cfRule type="cellIs" dxfId="262" priority="152" operator="equal">
      <formula>"neutral"</formula>
    </cfRule>
    <cfRule type="cellIs" dxfId="261" priority="153" operator="equal">
      <formula>"rogue"</formula>
    </cfRule>
    <cfRule type="cellIs" dxfId="260" priority="154" operator="equal">
      <formula>"Guardian"</formula>
    </cfRule>
    <cfRule type="cellIs" dxfId="259" priority="155" operator="equal">
      <formula>"Survivor"</formula>
    </cfRule>
    <cfRule type="cellIs" dxfId="258" priority="156" operator="equal">
      <formula>"Mystic"</formula>
    </cfRule>
  </conditionalFormatting>
  <conditionalFormatting sqref="AM1256">
    <cfRule type="cellIs" dxfId="257" priority="145" operator="equal">
      <formula>"seeker"</formula>
    </cfRule>
    <cfRule type="cellIs" dxfId="256" priority="146" operator="equal">
      <formula>"neutral"</formula>
    </cfRule>
    <cfRule type="cellIs" dxfId="255" priority="147" operator="equal">
      <formula>"rogue"</formula>
    </cfRule>
    <cfRule type="cellIs" dxfId="254" priority="148" operator="equal">
      <formula>"Guardian"</formula>
    </cfRule>
    <cfRule type="cellIs" dxfId="253" priority="149" operator="equal">
      <formula>"Survivor"</formula>
    </cfRule>
    <cfRule type="cellIs" dxfId="252" priority="150" operator="equal">
      <formula>"Mystic"</formula>
    </cfRule>
  </conditionalFormatting>
  <conditionalFormatting sqref="K1257">
    <cfRule type="cellIs" dxfId="251" priority="139" operator="equal">
      <formula>"seeker"</formula>
    </cfRule>
    <cfRule type="cellIs" dxfId="250" priority="140" operator="equal">
      <formula>"neutral"</formula>
    </cfRule>
    <cfRule type="cellIs" dxfId="249" priority="141" operator="equal">
      <formula>"rogue"</formula>
    </cfRule>
    <cfRule type="cellIs" dxfId="248" priority="142" operator="equal">
      <formula>"Guardian"</formula>
    </cfRule>
    <cfRule type="cellIs" dxfId="247" priority="143" operator="equal">
      <formula>"Survivor"</formula>
    </cfRule>
    <cfRule type="cellIs" dxfId="246" priority="144" operator="equal">
      <formula>"Mystic"</formula>
    </cfRule>
  </conditionalFormatting>
  <conditionalFormatting sqref="K1258">
    <cfRule type="cellIs" dxfId="245" priority="133" operator="equal">
      <formula>"seeker"</formula>
    </cfRule>
    <cfRule type="cellIs" dxfId="244" priority="134" operator="equal">
      <formula>"neutral"</formula>
    </cfRule>
    <cfRule type="cellIs" dxfId="243" priority="135" operator="equal">
      <formula>"rogue"</formula>
    </cfRule>
    <cfRule type="cellIs" dxfId="242" priority="136" operator="equal">
      <formula>"Guardian"</formula>
    </cfRule>
    <cfRule type="cellIs" dxfId="241" priority="137" operator="equal">
      <formula>"Survivor"</formula>
    </cfRule>
    <cfRule type="cellIs" dxfId="240" priority="138" operator="equal">
      <formula>"Mystic"</formula>
    </cfRule>
  </conditionalFormatting>
  <conditionalFormatting sqref="AM1264">
    <cfRule type="cellIs" dxfId="239" priority="127" operator="equal">
      <formula>"seeker"</formula>
    </cfRule>
    <cfRule type="cellIs" dxfId="238" priority="128" operator="equal">
      <formula>"neutral"</formula>
    </cfRule>
    <cfRule type="cellIs" dxfId="237" priority="129" operator="equal">
      <formula>"rogue"</formula>
    </cfRule>
    <cfRule type="cellIs" dxfId="236" priority="130" operator="equal">
      <formula>"Guardian"</formula>
    </cfRule>
    <cfRule type="cellIs" dxfId="235" priority="131" operator="equal">
      <formula>"Survivor"</formula>
    </cfRule>
    <cfRule type="cellIs" dxfId="234" priority="132" operator="equal">
      <formula>"Mystic"</formula>
    </cfRule>
  </conditionalFormatting>
  <conditionalFormatting sqref="K1274">
    <cfRule type="cellIs" dxfId="233" priority="121" operator="equal">
      <formula>"seeker"</formula>
    </cfRule>
    <cfRule type="cellIs" dxfId="232" priority="122" operator="equal">
      <formula>"neutral"</formula>
    </cfRule>
    <cfRule type="cellIs" dxfId="231" priority="123" operator="equal">
      <formula>"rogue"</formula>
    </cfRule>
    <cfRule type="cellIs" dxfId="230" priority="124" operator="equal">
      <formula>"Guardian"</formula>
    </cfRule>
    <cfRule type="cellIs" dxfId="229" priority="125" operator="equal">
      <formula>"Survivor"</formula>
    </cfRule>
    <cfRule type="cellIs" dxfId="228" priority="126" operator="equal">
      <formula>"Mystic"</formula>
    </cfRule>
  </conditionalFormatting>
  <conditionalFormatting sqref="AL1274">
    <cfRule type="cellIs" dxfId="227" priority="115" operator="equal">
      <formula>"Seeker"</formula>
    </cfRule>
    <cfRule type="cellIs" dxfId="226" priority="116" operator="equal">
      <formula>"Neutral"</formula>
    </cfRule>
    <cfRule type="cellIs" dxfId="225" priority="117" operator="equal">
      <formula>"Rogue"</formula>
    </cfRule>
    <cfRule type="cellIs" dxfId="224" priority="118" operator="equal">
      <formula>"Guardian"</formula>
    </cfRule>
    <cfRule type="cellIs" dxfId="223" priority="119" operator="equal">
      <formula>"Survivor"</formula>
    </cfRule>
    <cfRule type="cellIs" dxfId="222" priority="120" operator="equal">
      <formula>"Mystic"</formula>
    </cfRule>
  </conditionalFormatting>
  <conditionalFormatting sqref="AM1252">
    <cfRule type="cellIs" dxfId="221" priority="109" operator="equal">
      <formula>"seeker"</formula>
    </cfRule>
    <cfRule type="cellIs" dxfId="220" priority="110" operator="equal">
      <formula>"neutral"</formula>
    </cfRule>
    <cfRule type="cellIs" dxfId="219" priority="111" operator="equal">
      <formula>"rogue"</formula>
    </cfRule>
    <cfRule type="cellIs" dxfId="218" priority="112" operator="equal">
      <formula>"Guardian"</formula>
    </cfRule>
    <cfRule type="cellIs" dxfId="217" priority="113" operator="equal">
      <formula>"Survivor"</formula>
    </cfRule>
    <cfRule type="cellIs" dxfId="216" priority="114" operator="equal">
      <formula>"Mystic"</formula>
    </cfRule>
  </conditionalFormatting>
  <conditionalFormatting sqref="K1294:K1307 AM1307 AM1313:AM1314 K1311:K1314 AM1325:AM1331 K1319:K1331 AM1318:AM1323">
    <cfRule type="cellIs" dxfId="215" priority="103" operator="equal">
      <formula>"seeker"</formula>
    </cfRule>
    <cfRule type="cellIs" dxfId="214" priority="104" operator="equal">
      <formula>"neutral"</formula>
    </cfRule>
    <cfRule type="cellIs" dxfId="213" priority="105" operator="equal">
      <formula>"rogue"</formula>
    </cfRule>
    <cfRule type="cellIs" dxfId="212" priority="106" operator="equal">
      <formula>"Guardian"</formula>
    </cfRule>
    <cfRule type="cellIs" dxfId="211" priority="107" operator="equal">
      <formula>"Survivor"</formula>
    </cfRule>
    <cfRule type="cellIs" dxfId="210" priority="108" operator="equal">
      <formula>"Mystic"</formula>
    </cfRule>
  </conditionalFormatting>
  <conditionalFormatting sqref="AL1298:AL1304">
    <cfRule type="cellIs" dxfId="203" priority="97" operator="equal">
      <formula>"Seeker"</formula>
    </cfRule>
    <cfRule type="cellIs" dxfId="202" priority="98" operator="equal">
      <formula>"Neutral"</formula>
    </cfRule>
    <cfRule type="cellIs" dxfId="201" priority="99" operator="equal">
      <formula>"Rogue"</formula>
    </cfRule>
    <cfRule type="cellIs" dxfId="200" priority="100" operator="equal">
      <formula>"Guardian"</formula>
    </cfRule>
    <cfRule type="cellIs" dxfId="199" priority="101" operator="equal">
      <formula>"Survivor"</formula>
    </cfRule>
    <cfRule type="cellIs" dxfId="198" priority="102" operator="equal">
      <formula>"Mystic"</formula>
    </cfRule>
  </conditionalFormatting>
  <conditionalFormatting sqref="AM1317">
    <cfRule type="cellIs" dxfId="191" priority="91" operator="equal">
      <formula>"seeker"</formula>
    </cfRule>
    <cfRule type="cellIs" dxfId="190" priority="92" operator="equal">
      <formula>"neutral"</formula>
    </cfRule>
    <cfRule type="cellIs" dxfId="189" priority="93" operator="equal">
      <formula>"rogue"</formula>
    </cfRule>
    <cfRule type="cellIs" dxfId="188" priority="94" operator="equal">
      <formula>"Guardian"</formula>
    </cfRule>
    <cfRule type="cellIs" dxfId="187" priority="95" operator="equal">
      <formula>"Survivor"</formula>
    </cfRule>
    <cfRule type="cellIs" dxfId="186" priority="96" operator="equal">
      <formula>"Mystic"</formula>
    </cfRule>
  </conditionalFormatting>
  <conditionalFormatting sqref="K1293">
    <cfRule type="cellIs" dxfId="179" priority="85" operator="equal">
      <formula>"Seeker"</formula>
    </cfRule>
    <cfRule type="cellIs" dxfId="178" priority="86" operator="equal">
      <formula>"Neutral"</formula>
    </cfRule>
    <cfRule type="cellIs" dxfId="177" priority="87" operator="equal">
      <formula>"Rogue"</formula>
    </cfRule>
    <cfRule type="cellIs" dxfId="176" priority="88" operator="equal">
      <formula>"Guardian"</formula>
    </cfRule>
    <cfRule type="cellIs" dxfId="175" priority="89" operator="equal">
      <formula>"Survivor"</formula>
    </cfRule>
    <cfRule type="cellIs" dxfId="174" priority="90" operator="equal">
      <formula>"Mystic"</formula>
    </cfRule>
  </conditionalFormatting>
  <conditionalFormatting sqref="AM1294:AM1297">
    <cfRule type="cellIs" dxfId="167" priority="79" operator="equal">
      <formula>"seeker"</formula>
    </cfRule>
    <cfRule type="cellIs" dxfId="166" priority="80" operator="equal">
      <formula>"neutral"</formula>
    </cfRule>
    <cfRule type="cellIs" dxfId="165" priority="81" operator="equal">
      <formula>"rogue"</formula>
    </cfRule>
    <cfRule type="cellIs" dxfId="164" priority="82" operator="equal">
      <formula>"Guardian"</formula>
    </cfRule>
    <cfRule type="cellIs" dxfId="163" priority="83" operator="equal">
      <formula>"Survivor"</formula>
    </cfRule>
    <cfRule type="cellIs" dxfId="162" priority="84" operator="equal">
      <formula>"Mystic"</formula>
    </cfRule>
  </conditionalFormatting>
  <conditionalFormatting sqref="AM1293">
    <cfRule type="cellIs" dxfId="155" priority="73" operator="equal">
      <formula>"Seeker"</formula>
    </cfRule>
    <cfRule type="cellIs" dxfId="154" priority="74" operator="equal">
      <formula>"Neutral"</formula>
    </cfRule>
    <cfRule type="cellIs" dxfId="153" priority="75" operator="equal">
      <formula>"Rogue"</formula>
    </cfRule>
    <cfRule type="cellIs" dxfId="152" priority="76" operator="equal">
      <formula>"Guardian"</formula>
    </cfRule>
    <cfRule type="cellIs" dxfId="151" priority="77" operator="equal">
      <formula>"Survivor"</formula>
    </cfRule>
    <cfRule type="cellIs" dxfId="150" priority="78" operator="equal">
      <formula>"Mystic"</formula>
    </cfRule>
  </conditionalFormatting>
  <conditionalFormatting sqref="K1308">
    <cfRule type="cellIs" dxfId="143" priority="67" operator="equal">
      <formula>"Seeker"</formula>
    </cfRule>
    <cfRule type="cellIs" dxfId="142" priority="68" operator="equal">
      <formula>"Neutral"</formula>
    </cfRule>
    <cfRule type="cellIs" dxfId="141" priority="69" operator="equal">
      <formula>"Rogue"</formula>
    </cfRule>
    <cfRule type="cellIs" dxfId="140" priority="70" operator="equal">
      <formula>"Guardian"</formula>
    </cfRule>
    <cfRule type="cellIs" dxfId="139" priority="71" operator="equal">
      <formula>"Survivor"</formula>
    </cfRule>
    <cfRule type="cellIs" dxfId="138" priority="72" operator="equal">
      <formula>"Mystic"</formula>
    </cfRule>
  </conditionalFormatting>
  <conditionalFormatting sqref="AM1308">
    <cfRule type="cellIs" dxfId="131" priority="61" operator="equal">
      <formula>"Seeker"</formula>
    </cfRule>
    <cfRule type="cellIs" dxfId="130" priority="62" operator="equal">
      <formula>"Neutral"</formula>
    </cfRule>
    <cfRule type="cellIs" dxfId="129" priority="63" operator="equal">
      <formula>"Rogue"</formula>
    </cfRule>
    <cfRule type="cellIs" dxfId="128" priority="64" operator="equal">
      <formula>"Guardian"</formula>
    </cfRule>
    <cfRule type="cellIs" dxfId="127" priority="65" operator="equal">
      <formula>"Survivor"</formula>
    </cfRule>
    <cfRule type="cellIs" dxfId="126" priority="66" operator="equal">
      <formula>"Mystic"</formula>
    </cfRule>
  </conditionalFormatting>
  <conditionalFormatting sqref="K1309">
    <cfRule type="cellIs" dxfId="119" priority="55" operator="equal">
      <formula>"Seeker"</formula>
    </cfRule>
    <cfRule type="cellIs" dxfId="118" priority="56" operator="equal">
      <formula>"Neutral"</formula>
    </cfRule>
    <cfRule type="cellIs" dxfId="117" priority="57" operator="equal">
      <formula>"Rogue"</formula>
    </cfRule>
    <cfRule type="cellIs" dxfId="116" priority="58" operator="equal">
      <formula>"Guardian"</formula>
    </cfRule>
    <cfRule type="cellIs" dxfId="115" priority="59" operator="equal">
      <formula>"Survivor"</formula>
    </cfRule>
    <cfRule type="cellIs" dxfId="114" priority="60" operator="equal">
      <formula>"Mystic"</formula>
    </cfRule>
  </conditionalFormatting>
  <conditionalFormatting sqref="K1310">
    <cfRule type="cellIs" dxfId="107" priority="49" operator="equal">
      <formula>"Seeker"</formula>
    </cfRule>
    <cfRule type="cellIs" dxfId="106" priority="50" operator="equal">
      <formula>"Neutral"</formula>
    </cfRule>
    <cfRule type="cellIs" dxfId="105" priority="51" operator="equal">
      <formula>"Rogue"</formula>
    </cfRule>
    <cfRule type="cellIs" dxfId="104" priority="52" operator="equal">
      <formula>"Guardian"</formula>
    </cfRule>
    <cfRule type="cellIs" dxfId="103" priority="53" operator="equal">
      <formula>"Survivor"</formula>
    </cfRule>
    <cfRule type="cellIs" dxfId="102" priority="54" operator="equal">
      <formula>"Mystic"</formula>
    </cfRule>
  </conditionalFormatting>
  <conditionalFormatting sqref="K1315">
    <cfRule type="cellIs" dxfId="95" priority="43" operator="equal">
      <formula>"seeker"</formula>
    </cfRule>
    <cfRule type="cellIs" dxfId="94" priority="44" operator="equal">
      <formula>"neutral"</formula>
    </cfRule>
    <cfRule type="cellIs" dxfId="93" priority="45" operator="equal">
      <formula>"rogue"</formula>
    </cfRule>
    <cfRule type="cellIs" dxfId="92" priority="46" operator="equal">
      <formula>"Guardian"</formula>
    </cfRule>
    <cfRule type="cellIs" dxfId="91" priority="47" operator="equal">
      <formula>"Survivor"</formula>
    </cfRule>
    <cfRule type="cellIs" dxfId="90" priority="48" operator="equal">
      <formula>"Mystic"</formula>
    </cfRule>
  </conditionalFormatting>
  <conditionalFormatting sqref="AM1315">
    <cfRule type="cellIs" dxfId="83" priority="37" operator="equal">
      <formula>"seeker"</formula>
    </cfRule>
    <cfRule type="cellIs" dxfId="82" priority="38" operator="equal">
      <formula>"neutral"</formula>
    </cfRule>
    <cfRule type="cellIs" dxfId="81" priority="39" operator="equal">
      <formula>"rogue"</formula>
    </cfRule>
    <cfRule type="cellIs" dxfId="80" priority="40" operator="equal">
      <formula>"Guardian"</formula>
    </cfRule>
    <cfRule type="cellIs" dxfId="79" priority="41" operator="equal">
      <formula>"Survivor"</formula>
    </cfRule>
    <cfRule type="cellIs" dxfId="78" priority="42" operator="equal">
      <formula>"Mystic"</formula>
    </cfRule>
  </conditionalFormatting>
  <conditionalFormatting sqref="K1316">
    <cfRule type="cellIs" dxfId="71" priority="31" operator="equal">
      <formula>"seeker"</formula>
    </cfRule>
    <cfRule type="cellIs" dxfId="70" priority="32" operator="equal">
      <formula>"neutral"</formula>
    </cfRule>
    <cfRule type="cellIs" dxfId="69" priority="33" operator="equal">
      <formula>"rogue"</formula>
    </cfRule>
    <cfRule type="cellIs" dxfId="68" priority="34" operator="equal">
      <formula>"Guardian"</formula>
    </cfRule>
    <cfRule type="cellIs" dxfId="67" priority="35" operator="equal">
      <formula>"Survivor"</formula>
    </cfRule>
    <cfRule type="cellIs" dxfId="66" priority="36" operator="equal">
      <formula>"Mystic"</formula>
    </cfRule>
  </conditionalFormatting>
  <conditionalFormatting sqref="AM1316">
    <cfRule type="cellIs" dxfId="59" priority="25" operator="equal">
      <formula>"seeker"</formula>
    </cfRule>
    <cfRule type="cellIs" dxfId="58" priority="26" operator="equal">
      <formula>"neutral"</formula>
    </cfRule>
    <cfRule type="cellIs" dxfId="57" priority="27" operator="equal">
      <formula>"rogue"</formula>
    </cfRule>
    <cfRule type="cellIs" dxfId="56" priority="28" operator="equal">
      <formula>"Guardian"</formula>
    </cfRule>
    <cfRule type="cellIs" dxfId="55" priority="29" operator="equal">
      <formula>"Survivor"</formula>
    </cfRule>
    <cfRule type="cellIs" dxfId="54" priority="30" operator="equal">
      <formula>"Mystic"</formula>
    </cfRule>
  </conditionalFormatting>
  <conditionalFormatting sqref="K1317">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K1318">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AM1324">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AM1312">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22" bestFit="1" customWidth="1"/>
    <col min="3" max="3" width="12.140625" bestFit="1" customWidth="1"/>
  </cols>
  <sheetData>
    <row r="2" spans="2:3">
      <c r="B2" s="21" t="s">
        <v>204</v>
      </c>
      <c r="C2" s="16" t="s">
        <v>163</v>
      </c>
    </row>
    <row r="3" spans="2:3">
      <c r="B3" s="17" t="s">
        <v>205</v>
      </c>
      <c r="C3" s="16" t="s">
        <v>185</v>
      </c>
    </row>
    <row r="4" spans="2:3">
      <c r="B4" s="21" t="s">
        <v>206</v>
      </c>
      <c r="C4" s="16" t="s">
        <v>186</v>
      </c>
    </row>
    <row r="5" spans="2:3">
      <c r="B5" s="21" t="s">
        <v>207</v>
      </c>
      <c r="C5" s="16" t="s">
        <v>187</v>
      </c>
    </row>
    <row r="6" spans="2:3">
      <c r="B6" s="21" t="s">
        <v>208</v>
      </c>
      <c r="C6" s="16" t="s">
        <v>188</v>
      </c>
    </row>
    <row r="7" spans="2:3">
      <c r="B7" s="21" t="s">
        <v>209</v>
      </c>
      <c r="C7" s="16" t="s">
        <v>189</v>
      </c>
    </row>
    <row r="8" spans="2:3">
      <c r="B8" s="21" t="s">
        <v>210</v>
      </c>
      <c r="C8" s="16" t="s">
        <v>190</v>
      </c>
    </row>
    <row r="9" spans="2:3">
      <c r="B9" s="21" t="s">
        <v>211</v>
      </c>
      <c r="C9" s="16" t="s">
        <v>191</v>
      </c>
    </row>
    <row r="10" spans="2:3">
      <c r="B10" s="21" t="s">
        <v>212</v>
      </c>
      <c r="C10" s="16" t="s">
        <v>192</v>
      </c>
    </row>
    <row r="11" spans="2:3">
      <c r="B11" s="21" t="s">
        <v>213</v>
      </c>
      <c r="C11" s="16" t="s">
        <v>193</v>
      </c>
    </row>
    <row r="12" spans="2:3">
      <c r="B12" s="21" t="s">
        <v>214</v>
      </c>
      <c r="C12" s="16" t="s">
        <v>194</v>
      </c>
    </row>
    <row r="13" spans="2:3">
      <c r="B13" s="17" t="s">
        <v>215</v>
      </c>
      <c r="C13" s="16" t="s">
        <v>195</v>
      </c>
    </row>
    <row r="14" spans="2:3">
      <c r="B14" s="17" t="s">
        <v>216</v>
      </c>
      <c r="C14" s="16" t="s">
        <v>196</v>
      </c>
    </row>
    <row r="15" spans="2:3">
      <c r="B15" s="17" t="s">
        <v>217</v>
      </c>
      <c r="C15" s="16" t="s">
        <v>197</v>
      </c>
    </row>
    <row r="16" spans="2:3">
      <c r="B16" s="17" t="s">
        <v>218</v>
      </c>
      <c r="C16" s="16" t="s">
        <v>198</v>
      </c>
    </row>
    <row r="17" spans="2:3">
      <c r="B17" s="17" t="s">
        <v>219</v>
      </c>
      <c r="C17" s="16" t="s">
        <v>199</v>
      </c>
    </row>
    <row r="18" spans="2:3">
      <c r="B18" s="17" t="s">
        <v>220</v>
      </c>
      <c r="C18" s="16" t="s">
        <v>200</v>
      </c>
    </row>
    <row r="19" spans="2:3">
      <c r="B19" s="17" t="s">
        <v>221</v>
      </c>
      <c r="C19" s="16" t="s">
        <v>201</v>
      </c>
    </row>
    <row r="20" spans="2:3">
      <c r="B20" s="17" t="s">
        <v>222</v>
      </c>
      <c r="C20" s="16" t="s">
        <v>202</v>
      </c>
    </row>
    <row r="21" spans="2:3">
      <c r="B21" s="17" t="s">
        <v>223</v>
      </c>
      <c r="C21" s="16" t="s">
        <v>3</v>
      </c>
    </row>
    <row r="22" spans="2:3">
      <c r="B22" s="17" t="s">
        <v>224</v>
      </c>
      <c r="C22" s="16" t="s">
        <v>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1" t="s">
        <v>153</v>
      </c>
      <c r="D1" t="s">
        <v>163</v>
      </c>
    </row>
    <row r="2" spans="1:4">
      <c r="A2" t="s">
        <v>52</v>
      </c>
      <c r="C2" t="s">
        <v>154</v>
      </c>
      <c r="D2" t="s">
        <v>164</v>
      </c>
    </row>
    <row r="3" spans="1:4">
      <c r="C3" s="1" t="s">
        <v>155</v>
      </c>
      <c r="D3" t="s">
        <v>165</v>
      </c>
    </row>
    <row r="4" spans="1:4">
      <c r="C4" s="1" t="s">
        <v>156</v>
      </c>
      <c r="D4" t="s">
        <v>166</v>
      </c>
    </row>
    <row r="5" spans="1:4">
      <c r="C5" s="1" t="s">
        <v>157</v>
      </c>
      <c r="D5" t="s">
        <v>167</v>
      </c>
    </row>
    <row r="6" spans="1:4">
      <c r="C6" s="1" t="s">
        <v>158</v>
      </c>
      <c r="D6" t="s">
        <v>168</v>
      </c>
    </row>
    <row r="7" spans="1:4">
      <c r="C7" s="1" t="s">
        <v>159</v>
      </c>
      <c r="D7" t="s">
        <v>169</v>
      </c>
    </row>
    <row r="8" spans="1:4">
      <c r="C8" s="1" t="s">
        <v>160</v>
      </c>
      <c r="D8" t="s">
        <v>170</v>
      </c>
    </row>
    <row r="9" spans="1:4">
      <c r="C9" s="1" t="s">
        <v>161</v>
      </c>
      <c r="D9" t="s">
        <v>171</v>
      </c>
    </row>
    <row r="10" spans="1:4">
      <c r="C10" s="1" t="s">
        <v>162</v>
      </c>
      <c r="D10" t="s">
        <v>172</v>
      </c>
    </row>
    <row r="11" spans="1:4">
      <c r="C11" s="1" t="s">
        <v>23</v>
      </c>
      <c r="D11" t="s">
        <v>173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150</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150</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150</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150</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150</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150</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150</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150</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12" t="s">
        <v>106</v>
      </c>
      <c r="W16" t="s">
        <v>150</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152</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152</v>
      </c>
    </row>
    <row r="19" spans="1:23" ht="34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12" t="s">
        <v>149</v>
      </c>
      <c r="W19" t="s">
        <v>152</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152</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152</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152</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12" t="s">
        <v>74</v>
      </c>
      <c r="W23" t="s">
        <v>152</v>
      </c>
    </row>
    <row r="24" spans="1:23" ht="36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12" t="s">
        <v>72</v>
      </c>
      <c r="W24" t="s">
        <v>152</v>
      </c>
    </row>
    <row r="25" spans="1:23" ht="390">
      <c r="A25" t="s">
        <v>107</v>
      </c>
      <c r="B25" t="s">
        <v>117</v>
      </c>
      <c r="C25" t="s">
        <v>69</v>
      </c>
      <c r="D25">
        <v>2</v>
      </c>
      <c r="E25" t="s">
        <v>70</v>
      </c>
      <c r="F25" t="s">
        <v>23</v>
      </c>
      <c r="G25" t="s">
        <v>29</v>
      </c>
      <c r="I25" t="s">
        <v>42</v>
      </c>
      <c r="K25" t="s">
        <v>24</v>
      </c>
      <c r="L25">
        <v>20</v>
      </c>
      <c r="M25">
        <v>3</v>
      </c>
      <c r="N25" t="s">
        <v>24</v>
      </c>
      <c r="O25">
        <v>3</v>
      </c>
      <c r="P25">
        <v>3</v>
      </c>
      <c r="Q25">
        <v>12</v>
      </c>
      <c r="S25">
        <v>1</v>
      </c>
      <c r="T25">
        <v>5</v>
      </c>
      <c r="U25" s="12" t="s">
        <v>136</v>
      </c>
      <c r="W25" t="s">
        <v>152</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12" t="s">
        <v>105</v>
      </c>
      <c r="W26" t="s">
        <v>152</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151</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12" t="s">
        <v>66</v>
      </c>
      <c r="W28" t="s">
        <v>151</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12" t="s">
        <v>64</v>
      </c>
      <c r="V29" t="s">
        <v>144</v>
      </c>
      <c r="W29" t="s">
        <v>151</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151</v>
      </c>
    </row>
    <row r="31" spans="1:23" ht="240">
      <c r="A31" t="s">
        <v>107</v>
      </c>
      <c r="B31" t="s">
        <v>111</v>
      </c>
      <c r="C31" t="s">
        <v>58</v>
      </c>
      <c r="D31">
        <v>4</v>
      </c>
      <c r="E31" t="s">
        <v>59</v>
      </c>
      <c r="G31" t="s">
        <v>29</v>
      </c>
      <c r="I31" t="s">
        <v>35</v>
      </c>
      <c r="K31" t="s">
        <v>24</v>
      </c>
      <c r="L31">
        <v>50</v>
      </c>
      <c r="M31">
        <v>3</v>
      </c>
      <c r="N31" t="s">
        <v>24</v>
      </c>
      <c r="O31">
        <v>2</v>
      </c>
      <c r="P31">
        <v>2</v>
      </c>
      <c r="Q31">
        <v>4</v>
      </c>
      <c r="S31">
        <v>3</v>
      </c>
      <c r="T31" t="s">
        <v>24</v>
      </c>
      <c r="U31" s="12" t="s">
        <v>135</v>
      </c>
      <c r="V31" t="s">
        <v>143</v>
      </c>
      <c r="W31" t="s">
        <v>151</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151</v>
      </c>
    </row>
    <row r="33" spans="1:23">
      <c r="A33" t="s">
        <v>107</v>
      </c>
      <c r="B33" t="s">
        <v>109</v>
      </c>
      <c r="C33" t="s">
        <v>58</v>
      </c>
      <c r="D33">
        <v>2</v>
      </c>
      <c r="E33" t="s">
        <v>148</v>
      </c>
      <c r="G33" t="s">
        <v>33</v>
      </c>
      <c r="K33" t="s">
        <v>24</v>
      </c>
      <c r="L33" t="s">
        <v>24</v>
      </c>
      <c r="M33" t="s">
        <v>24</v>
      </c>
      <c r="N33" t="s">
        <v>24</v>
      </c>
      <c r="O33" t="s">
        <v>24</v>
      </c>
      <c r="P33" t="s">
        <v>24</v>
      </c>
      <c r="Q33" t="s">
        <v>24</v>
      </c>
      <c r="R33" t="s">
        <v>32</v>
      </c>
      <c r="S33">
        <v>1</v>
      </c>
      <c r="T33" t="s">
        <v>24</v>
      </c>
      <c r="U33" t="s">
        <v>104</v>
      </c>
      <c r="W33" t="s">
        <v>151</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12" t="s">
        <v>103</v>
      </c>
      <c r="W34" t="s">
        <v>151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Sets</vt:lpstr>
      <vt:lpstr>Card Data</vt:lpstr>
      <vt:lpstr>Special Characters</vt:lpstr>
      <vt:lpstr>Tables</vt:lpstr>
      <vt:lpstr>Sheet2</vt:lpstr>
      <vt:lpstr>GameGUID</vt:lpstr>
      <vt:lpstr>GameVersion</vt:lpstr>
      <vt:lpstr>SymbolTable</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2018-10-15T19:44:05Z</dcterms:modified>
</cp:coreProperties>
</file>