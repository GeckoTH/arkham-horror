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5" windowWidth="28575" windowHeight="1135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<sst xmlns="http://schemas.openxmlformats.org/spreadsheetml/2006/main" count="13289" uniqueCount="7230">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</sst>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2">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6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6" sqref="B26"/>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8" t="s">
        <v>3303</v>
      </c>
      <c r="H1" s="159"/>
      <c r="I1" s="159"/>
      <c r="J1" s="160"/>
      <c r="K1" s="27"/>
      <c r="L1" s="35"/>
      <c r="M1" s="23"/>
      <c r="N1" s="161" t="s">
        <v>4</v>
      </c>
      <c r="O1" s="161"/>
      <c r="P1" s="161"/>
      <c r="Q1" s="161"/>
      <c r="R1" s="161"/>
      <c r="S1" s="161"/>
      <c r="T1" s="161"/>
      <c r="U1" s="21"/>
      <c r="V1" s="161" t="s">
        <v>4079</v>
      </c>
      <c r="W1" s="161"/>
      <c r="X1" s="161"/>
      <c r="Y1" s="161"/>
      <c r="Z1" s="161"/>
      <c r="AA1" s="161"/>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G18" s="24">
        <f>SUMIF('Card Data'!$A:$A,$A18,'Card Data'!$E:$E)</f>
        <v>0</v>
      </c>
      <c r="H18" s="24">
        <f>SUMIFS('Card Data'!$E:$E,'Card Data'!$A:$A,$A18,'Card Data'!$K:$K,"&lt;&gt;",'Card Data'!$J:$J,"&lt;&gt;Investigator")-SUMIFS('Card Data'!$E:$E,'Card Data'!$A:$A,$A18,'Card Data'!$K:$K,"&lt;&gt;",'Card Data'!$J:$J,"Mini")</f>
        <v>0</v>
      </c>
      <c r="I18" s="24">
        <f>SUMIFS('Card Data'!$E:$E,'Card Data'!$A:$A,$A18,'Card Data'!$K:$K,"",'Card Data'!$J:$J,"&lt;&gt;Campaign")+SUMIFS('Card Data'!$E:$E,'Card Data'!$A:$A,$A18,'Card Data'!$K:$K,"Mythos")-J18</f>
        <v>0</v>
      </c>
      <c r="J18" s="24">
        <f>SUMIFS('Card Data'!$E:$E,'Card Data'!$J:$J,J$2,'Card Data'!$A:$A,$A18,'Card Data'!$AD:$AD,"&lt;&gt;*Side Quest.*")</f>
        <v>0</v>
      </c>
      <c r="K18" s="24">
        <f>COUNTIFS('Card Data'!$J:$J,K$2,'Card Data'!$A:$A,$A18,'Card Data'!$AD:$AD,"&lt;&gt;*Side Quest.*")</f>
        <v>0</v>
      </c>
      <c r="L18" s="24">
        <f>COUNTIFS('Card Data'!$J:$J,L$2,'Card Data'!$A:$A,$A18,'Card Data'!$AD:$AD,"&lt;&gt;*Side Quest.*")</f>
        <v>0</v>
      </c>
      <c r="M18" s="26"/>
      <c r="N18" s="24">
        <f>COUNTIFS('Card Data'!$J:$J,N$2,'Card Data'!$A:$A,$A18)</f>
        <v>0</v>
      </c>
      <c r="O18" s="24">
        <f>COUNTIFS('Card Data'!$J:$J,O$2,'Card Data'!$A:$A,$A18)</f>
        <v>0</v>
      </c>
      <c r="P18" s="24">
        <f>COUNTIFS('Card Data'!$J:$J,P$2,'Card Data'!$A:$A,$A18)</f>
        <v>0</v>
      </c>
      <c r="Q18" s="24">
        <f>COUNTIFS('Card Data'!$J:$J,Q$2,'Card Data'!$A:$A,$A18)</f>
        <v>0</v>
      </c>
      <c r="R18" s="24">
        <f>COUNTIFS('Card Data'!$J:$J,R$2,'Card Data'!$A:$A,$A18)</f>
        <v>0</v>
      </c>
      <c r="S18" s="24">
        <f>COUNTIFS('Card Data'!$J:$J,S$2,'Card Data'!$A:$A,$A18)</f>
        <v>0</v>
      </c>
      <c r="T18" s="24">
        <f>COUNTIFS('Card Data'!$J:$J,T$2,'Card Data'!$A:$A,$A18)</f>
        <v>0</v>
      </c>
      <c r="U18" s="26"/>
      <c r="V18" s="24">
        <f>COUNTIFS('Card Data'!$K:$K,V$2,'Card Data'!$A:$A,$A18)</f>
        <v>0</v>
      </c>
      <c r="W18" s="24">
        <f>COUNTIFS('Card Data'!$K:$K,W$2,'Card Data'!$A:$A,$A18)</f>
        <v>0</v>
      </c>
      <c r="X18" s="24">
        <f>COUNTIFS('Card Data'!$K:$K,X$2,'Card Data'!$A:$A,$A18)</f>
        <v>0</v>
      </c>
      <c r="Y18" s="24">
        <f>COUNTIFS('Card Data'!$K:$K,Y$2,'Card Data'!$A:$A,$A18)</f>
        <v>0</v>
      </c>
      <c r="Z18" s="24">
        <f>COUNTIFS('Card Data'!$K:$K,Z$2,'Card Data'!$A:$A,$A18)</f>
        <v>0</v>
      </c>
      <c r="AA18" s="24">
        <f>COUNTIFS('Card Data'!$K:$K,AA$2,'Card Data'!$A:$A,$A18)</f>
        <v>0</v>
      </c>
    </row>
    <row r="19" spans="1:27">
      <c r="G19" s="24">
        <f>SUMIF('Card Data'!$A:$A,$A19,'Card Data'!$E:$E)</f>
        <v>0</v>
      </c>
      <c r="H19" s="24">
        <f>SUMIFS('Card Data'!$E:$E,'Card Data'!$A:$A,$A19,'Card Data'!$K:$K,"&lt;&gt;",'Card Data'!$J:$J,"&lt;&gt;Investigator")-SUMIFS('Card Data'!$E:$E,'Card Data'!$A:$A,$A19,'Card Data'!$K:$K,"&lt;&gt;",'Card Data'!$J:$J,"Mini")</f>
        <v>0</v>
      </c>
      <c r="I19" s="24">
        <f>SUMIFS('Card Data'!$E:$E,'Card Data'!$A:$A,$A19,'Card Data'!$K:$K,"",'Card Data'!$J:$J,"&lt;&gt;Campaign")+SUMIFS('Card Data'!$E:$E,'Card Data'!$A:$A,$A19,'Card Data'!$K:$K,"Mythos")-J19</f>
        <v>0</v>
      </c>
      <c r="J19" s="24">
        <f>SUMIFS('Card Data'!$E:$E,'Card Data'!$J:$J,J$2,'Card Data'!$A:$A,$A19,'Card Data'!$AD:$AD,"&lt;&gt;*Side Quest.*")</f>
        <v>0</v>
      </c>
      <c r="K19" s="24">
        <f>COUNTIFS('Card Data'!$J:$J,K$2,'Card Data'!$A:$A,$A19,'Card Data'!$AD:$AD,"&lt;&gt;*Side Quest.*")</f>
        <v>0</v>
      </c>
      <c r="L19" s="24">
        <f>COUNTIFS('Card Data'!$J:$J,L$2,'Card Data'!$A:$A,$A19,'Card Data'!$AD:$AD,"&lt;&gt;*Side Quest.*")</f>
        <v>0</v>
      </c>
      <c r="M19" s="26"/>
      <c r="N19" s="24">
        <f>COUNTIFS('Card Data'!$J:$J,N$2,'Card Data'!$A:$A,$A19)</f>
        <v>0</v>
      </c>
      <c r="O19" s="24">
        <f>COUNTIFS('Card Data'!$J:$J,O$2,'Card Data'!$A:$A,$A19)</f>
        <v>0</v>
      </c>
      <c r="P19" s="24">
        <f>COUNTIFS('Card Data'!$J:$J,P$2,'Card Data'!$A:$A,$A19)</f>
        <v>0</v>
      </c>
      <c r="Q19" s="24">
        <f>COUNTIFS('Card Data'!$J:$J,Q$2,'Card Data'!$A:$A,$A19)</f>
        <v>0</v>
      </c>
      <c r="R19" s="24">
        <f>COUNTIFS('Card Data'!$J:$J,R$2,'Card Data'!$A:$A,$A19)</f>
        <v>0</v>
      </c>
      <c r="S19" s="24">
        <f>COUNTIFS('Card Data'!$J:$J,S$2,'Card Data'!$A:$A,$A19)</f>
        <v>0</v>
      </c>
      <c r="T19" s="24">
        <f>COUNTIFS('Card Data'!$J:$J,T$2,'Card Data'!$A:$A,$A19)</f>
        <v>0</v>
      </c>
      <c r="U19" s="26"/>
      <c r="V19" s="24">
        <f>COUNTIFS('Card Data'!$K:$K,V$2,'Card Data'!$A:$A,$A19)</f>
        <v>0</v>
      </c>
      <c r="W19" s="24">
        <f>COUNTIFS('Card Data'!$K:$K,W$2,'Card Data'!$A:$A,$A19)</f>
        <v>0</v>
      </c>
      <c r="X19" s="24">
        <f>COUNTIFS('Card Data'!$K:$K,X$2,'Card Data'!$A:$A,$A19)</f>
        <v>0</v>
      </c>
      <c r="Y19" s="24">
        <f>COUNTIFS('Card Data'!$K:$K,Y$2,'Card Data'!$A:$A,$A19)</f>
        <v>0</v>
      </c>
      <c r="Z19" s="24">
        <f>COUNTIFS('Card Data'!$K:$K,Z$2,'Card Data'!$A:$A,$A19)</f>
        <v>0</v>
      </c>
      <c r="AA19" s="24">
        <f>COUNTIFS('Card Data'!$K:$K,AA$2,'Card Data'!$A:$A,$A19)</f>
        <v>0</v>
      </c>
    </row>
    <row r="20" spans="1:27">
      <c r="G20" s="24">
        <f>SUMIF('Card Data'!$A:$A,$A20,'Card Data'!$E:$E)</f>
        <v>0</v>
      </c>
      <c r="H20" s="24">
        <f>SUMIFS('Card Data'!$E:$E,'Card Data'!$A:$A,$A20,'Card Data'!$K:$K,"&lt;&gt;",'Card Data'!$J:$J,"&lt;&gt;Investigator")-SUMIFS('Card Data'!$E:$E,'Card Data'!$A:$A,$A20,'Card Data'!$K:$K,"&lt;&gt;",'Card Data'!$J:$J,"Mini")</f>
        <v>0</v>
      </c>
      <c r="I20" s="24">
        <f>SUMIFS('Card Data'!$E:$E,'Card Data'!$A:$A,$A20,'Card Data'!$K:$K,"",'Card Data'!$J:$J,"&lt;&gt;Campaign")+SUMIFS('Card Data'!$E:$E,'Card Data'!$A:$A,$A20,'Card Data'!$K:$K,"Mythos")-J20</f>
        <v>0</v>
      </c>
      <c r="J20" s="24">
        <f>SUMIFS('Card Data'!$E:$E,'Card Data'!$J:$J,J$2,'Card Data'!$A:$A,$A20,'Card Data'!$AD:$AD,"&lt;&gt;*Side Quest.*")</f>
        <v>0</v>
      </c>
      <c r="K20" s="24">
        <f>COUNTIFS('Card Data'!$J:$J,K$2,'Card Data'!$A:$A,$A20,'Card Data'!$AD:$AD,"&lt;&gt;*Side Quest.*")</f>
        <v>0</v>
      </c>
      <c r="L20" s="24">
        <f>COUNTIFS('Card Data'!$J:$J,L$2,'Card Data'!$A:$A,$A20,'Card Data'!$AD:$AD,"&lt;&gt;*Side Quest.*")</f>
        <v>0</v>
      </c>
      <c r="M20" s="26"/>
      <c r="N20" s="24">
        <f>COUNTIFS('Card Data'!$J:$J,N$2,'Card Data'!$A:$A,$A20)</f>
        <v>0</v>
      </c>
      <c r="O20" s="24">
        <f>COUNTIFS('Card Data'!$J:$J,O$2,'Card Data'!$A:$A,$A20)</f>
        <v>0</v>
      </c>
      <c r="P20" s="24">
        <f>COUNTIFS('Card Data'!$J:$J,P$2,'Card Data'!$A:$A,$A20)</f>
        <v>0</v>
      </c>
      <c r="Q20" s="24">
        <f>COUNTIFS('Card Data'!$J:$J,Q$2,'Card Data'!$A:$A,$A20)</f>
        <v>0</v>
      </c>
      <c r="R20" s="24">
        <f>COUNTIFS('Card Data'!$J:$J,R$2,'Card Data'!$A:$A,$A20)</f>
        <v>0</v>
      </c>
      <c r="S20" s="24">
        <f>COUNTIFS('Card Data'!$J:$J,S$2,'Card Data'!$A:$A,$A20)</f>
        <v>0</v>
      </c>
      <c r="T20" s="24">
        <f>COUNTIFS('Card Data'!$J:$J,T$2,'Card Data'!$A:$A,$A20)</f>
        <v>0</v>
      </c>
      <c r="U20" s="26"/>
      <c r="V20" s="24">
        <f>COUNTIFS('Card Data'!$K:$K,V$2,'Card Data'!$A:$A,$A20)</f>
        <v>0</v>
      </c>
      <c r="W20" s="24">
        <f>COUNTIFS('Card Data'!$K:$K,W$2,'Card Data'!$A:$A,$A20)</f>
        <v>0</v>
      </c>
      <c r="X20" s="24">
        <f>COUNTIFS('Card Data'!$K:$K,X$2,'Card Data'!$A:$A,$A20)</f>
        <v>0</v>
      </c>
      <c r="Y20" s="24">
        <f>COUNTIFS('Card Data'!$K:$K,Y$2,'Card Data'!$A:$A,$A20)</f>
        <v>0</v>
      </c>
      <c r="Z20" s="24">
        <f>COUNTIFS('Card Data'!$K:$K,Z$2,'Card Data'!$A:$A,$A20)</f>
        <v>0</v>
      </c>
      <c r="AA20" s="24">
        <f>COUNTIFS('Card Data'!$K:$K,AA$2,'Card Data'!$A:$A,$A20)</f>
        <v>0</v>
      </c>
    </row>
  </sheetData>
  <mergeCells count="3">
    <mergeCell ref="G1:J1"/>
    <mergeCell ref="N1:T1"/>
    <mergeCell ref="V1:AA1"/>
  </mergeCells>
  <conditionalFormatting sqref="V2">
    <cfRule type="cellIs" dxfId="365" priority="29" operator="equal">
      <formula>"Fellowship"</formula>
    </cfRule>
    <cfRule type="cellIs" dxfId="364" priority="30" operator="equal">
      <formula>"Neutral"</formula>
    </cfRule>
    <cfRule type="cellIs" dxfId="363" priority="31" operator="equal">
      <formula>"Baggins"</formula>
    </cfRule>
    <cfRule type="cellIs" dxfId="362" priority="32" operator="equal">
      <formula>"Lore"</formula>
    </cfRule>
    <cfRule type="cellIs" dxfId="361" priority="33" operator="equal">
      <formula>"Spirit"</formula>
    </cfRule>
    <cfRule type="cellIs" dxfId="360" priority="34" operator="equal">
      <formula>"Tactics"</formula>
    </cfRule>
    <cfRule type="cellIs" dxfId="359" priority="35" operator="equal">
      <formula>"Leadership"</formula>
    </cfRule>
  </conditionalFormatting>
  <conditionalFormatting sqref="W2">
    <cfRule type="cellIs" dxfId="358" priority="22" operator="equal">
      <formula>"Fellowship"</formula>
    </cfRule>
    <cfRule type="cellIs" dxfId="357" priority="23" operator="equal">
      <formula>"Neutral"</formula>
    </cfRule>
    <cfRule type="cellIs" dxfId="356" priority="24" operator="equal">
      <formula>"Baggins"</formula>
    </cfRule>
    <cfRule type="cellIs" dxfId="355" priority="25" operator="equal">
      <formula>"Lore"</formula>
    </cfRule>
    <cfRule type="cellIs" dxfId="354" priority="26" operator="equal">
      <formula>"Spirit"</formula>
    </cfRule>
    <cfRule type="cellIs" dxfId="353" priority="27" operator="equal">
      <formula>"Tactics"</formula>
    </cfRule>
    <cfRule type="cellIs" dxfId="352" priority="28" operator="equal">
      <formula>"Leadership"</formula>
    </cfRule>
  </conditionalFormatting>
  <conditionalFormatting sqref="X2">
    <cfRule type="cellIs" dxfId="351" priority="15" operator="equal">
      <formula>"Fellowship"</formula>
    </cfRule>
    <cfRule type="cellIs" dxfId="350" priority="16" operator="equal">
      <formula>"Neutral"</formula>
    </cfRule>
    <cfRule type="cellIs" dxfId="349" priority="17" operator="equal">
      <formula>"Baggins"</formula>
    </cfRule>
    <cfRule type="cellIs" dxfId="348" priority="18" operator="equal">
      <formula>"Lore"</formula>
    </cfRule>
    <cfRule type="cellIs" dxfId="347" priority="19" operator="equal">
      <formula>"Spirit"</formula>
    </cfRule>
    <cfRule type="cellIs" dxfId="346" priority="20" operator="equal">
      <formula>"Tactics"</formula>
    </cfRule>
    <cfRule type="cellIs" dxfId="345" priority="21" operator="equal">
      <formula>"Leadership"</formula>
    </cfRule>
  </conditionalFormatting>
  <conditionalFormatting sqref="Y2:Z2">
    <cfRule type="cellIs" dxfId="344" priority="8" operator="equal">
      <formula>"Fellowship"</formula>
    </cfRule>
    <cfRule type="cellIs" dxfId="343" priority="9" operator="equal">
      <formula>"Neutral"</formula>
    </cfRule>
    <cfRule type="cellIs" dxfId="342" priority="10" operator="equal">
      <formula>"Baggins"</formula>
    </cfRule>
    <cfRule type="cellIs" dxfId="341" priority="11" operator="equal">
      <formula>"Lore"</formula>
    </cfRule>
    <cfRule type="cellIs" dxfId="340" priority="12" operator="equal">
      <formula>"Spirit"</formula>
    </cfRule>
    <cfRule type="cellIs" dxfId="339" priority="13" operator="equal">
      <formula>"Tactics"</formula>
    </cfRule>
    <cfRule type="cellIs" dxfId="338" priority="14" operator="equal">
      <formula>"Leadership"</formula>
    </cfRule>
  </conditionalFormatting>
  <conditionalFormatting sqref="AA2">
    <cfRule type="cellIs" dxfId="337" priority="1" operator="equal">
      <formula>"Fellowship"</formula>
    </cfRule>
    <cfRule type="cellIs" dxfId="336" priority="2" operator="equal">
      <formula>"Neutral"</formula>
    </cfRule>
    <cfRule type="cellIs" dxfId="335" priority="3" operator="equal">
      <formula>"Baggins"</formula>
    </cfRule>
    <cfRule type="cellIs" dxfId="334" priority="4" operator="equal">
      <formula>"Lore"</formula>
    </cfRule>
    <cfRule type="cellIs" dxfId="333" priority="5" operator="equal">
      <formula>"Spirit"</formula>
    </cfRule>
    <cfRule type="cellIs" dxfId="332" priority="6" operator="equal">
      <formula>"Tactics"</formula>
    </cfRule>
    <cfRule type="cellIs" dxfId="33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29"/>
  <sheetViews>
    <sheetView zoomScale="85" zoomScaleNormal="85" workbookViewId="0">
      <pane xSplit="7" ySplit="1" topLeftCell="H815" activePane="bottomRight" state="frozen"/>
      <selection activeCell="E1" sqref="E1"/>
      <selection pane="topRight" activeCell="F1" sqref="F1"/>
      <selection pane="bottomLeft" activeCell="E2" sqref="E2"/>
      <selection pane="bottomRight" activeCell="F816" sqref="F816"/>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48">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60">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48">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36">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48">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24">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72">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24">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36">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36">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36">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48">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6">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60">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84">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36">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44">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60">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60">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20">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20">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24">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24">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24">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24">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24">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24">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24">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48">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24">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24">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24">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48">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36">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36">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72">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60">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36">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72">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72">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96">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60">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36">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48">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48">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72">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84">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36">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48">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24">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60">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48">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72">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84">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60">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96">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60">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216">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216">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48">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60">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36">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48">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24">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36">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24">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24">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ht="24">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36">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24">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24">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24">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48">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48">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60">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4" ht="24">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4" ht="36">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4" ht="60">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4" ht="72">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4" ht="72">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4" ht="60">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4">
      <c r="AP855" s="86"/>
      <c r="AQ855" s="88"/>
      <c r="AR855" s="89"/>
      <c r="AS855" s="90"/>
      <c r="AV855" s="88"/>
      <c r="AW855" s="96"/>
      <c r="AX855" s="97"/>
      <c r="AY855" s="93"/>
      <c r="BB855" s="94"/>
    </row>
    <row r="856" spans="1:54">
      <c r="AP856" s="86"/>
      <c r="AQ856" s="88"/>
      <c r="AR856" s="89"/>
      <c r="AS856" s="90"/>
      <c r="AV856" s="88"/>
      <c r="AW856" s="96"/>
      <c r="AX856" s="97"/>
      <c r="AY856" s="93"/>
      <c r="BB856" s="94"/>
    </row>
    <row r="857" spans="1:54">
      <c r="AP857" s="86"/>
      <c r="AQ857" s="88"/>
      <c r="AR857" s="89"/>
      <c r="AS857" s="90"/>
      <c r="AV857" s="88"/>
      <c r="AW857" s="96"/>
      <c r="AX857" s="97"/>
      <c r="AY857" s="93"/>
      <c r="BB857" s="94"/>
    </row>
    <row r="858" spans="1:54">
      <c r="AP858" s="86"/>
      <c r="AQ858" s="88"/>
      <c r="AR858" s="89"/>
      <c r="AS858" s="90"/>
      <c r="AV858" s="88"/>
      <c r="AW858" s="96"/>
      <c r="AX858" s="97"/>
      <c r="AY858" s="93"/>
      <c r="BB858" s="94"/>
    </row>
    <row r="859" spans="1:54">
      <c r="AP859" s="86"/>
      <c r="AQ859" s="88"/>
      <c r="AR859" s="89"/>
      <c r="AS859" s="90"/>
      <c r="AV859" s="88"/>
      <c r="AW859" s="96"/>
      <c r="AX859" s="97"/>
      <c r="AY859" s="93"/>
      <c r="BB859" s="94"/>
    </row>
    <row r="860" spans="1:54">
      <c r="AP860" s="86"/>
      <c r="AQ860" s="88"/>
      <c r="AR860" s="89"/>
      <c r="AS860" s="90"/>
      <c r="AV860" s="88"/>
      <c r="AW860" s="96"/>
      <c r="AX860" s="97"/>
      <c r="AY860" s="93"/>
      <c r="BB860" s="94"/>
    </row>
    <row r="861" spans="1:54">
      <c r="AP861" s="86"/>
      <c r="AQ861" s="88"/>
      <c r="AR861" s="89"/>
      <c r="AS861" s="90"/>
      <c r="AV861" s="88"/>
      <c r="AW861" s="96"/>
      <c r="AX861" s="97"/>
      <c r="AY861" s="93"/>
      <c r="BB861" s="94"/>
    </row>
    <row r="862" spans="1:54">
      <c r="AP862" s="86"/>
      <c r="AQ862" s="88"/>
      <c r="AR862" s="89"/>
      <c r="AS862" s="90"/>
      <c r="AV862" s="88"/>
      <c r="AW862" s="96"/>
      <c r="AX862" s="97"/>
      <c r="AY862" s="93"/>
      <c r="BB862" s="94"/>
    </row>
    <row r="863" spans="1:54">
      <c r="AP863" s="86"/>
      <c r="AQ863" s="88"/>
      <c r="AR863" s="89"/>
      <c r="AS863" s="90"/>
      <c r="AV863" s="88"/>
      <c r="AW863" s="96"/>
      <c r="AX863" s="97"/>
      <c r="AY863" s="93"/>
      <c r="BB863" s="94"/>
    </row>
    <row r="864" spans="1: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row r="1024" spans="42:54">
      <c r="AP1024" s="86"/>
      <c r="AQ1024" s="88"/>
      <c r="AR1024" s="89"/>
      <c r="AS1024" s="90"/>
      <c r="AV1024" s="88"/>
      <c r="AW1024" s="96"/>
      <c r="AX1024" s="97"/>
      <c r="AY1024" s="93"/>
      <c r="BB1024" s="94"/>
    </row>
    <row r="1025" spans="42:54">
      <c r="AP1025" s="86"/>
      <c r="AQ1025" s="88"/>
      <c r="AR1025" s="89"/>
      <c r="AS1025" s="90"/>
      <c r="AV1025" s="88"/>
      <c r="AW1025" s="96"/>
      <c r="AX1025" s="97"/>
      <c r="AY1025" s="93"/>
      <c r="BB1025" s="94"/>
    </row>
    <row r="1026" spans="42:54">
      <c r="AP1026" s="86"/>
      <c r="AQ1026" s="88"/>
      <c r="AR1026" s="89"/>
      <c r="AS1026" s="90"/>
      <c r="AV1026" s="88"/>
      <c r="AW1026" s="96"/>
      <c r="AX1026" s="97"/>
      <c r="AY1026" s="93"/>
      <c r="BB1026" s="94"/>
    </row>
    <row r="1027" spans="42:54">
      <c r="AP1027" s="86"/>
      <c r="AQ1027" s="88"/>
      <c r="AR1027" s="89"/>
      <c r="AS1027" s="90"/>
      <c r="AV1027" s="88"/>
      <c r="AW1027" s="96"/>
      <c r="AX1027" s="97"/>
      <c r="AY1027" s="93"/>
      <c r="BB1027" s="94"/>
    </row>
    <row r="1028" spans="42:54">
      <c r="AP1028" s="86"/>
      <c r="AQ1028" s="88"/>
      <c r="AR1028" s="89"/>
      <c r="AS1028" s="90"/>
      <c r="AV1028" s="88"/>
      <c r="AW1028" s="96"/>
      <c r="AX1028" s="97"/>
      <c r="AY1028" s="93"/>
      <c r="BB1028" s="94"/>
    </row>
    <row r="1029" spans="42:54">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1048576 AM774:AM1048576">
    <cfRule type="cellIs" dxfId="330" priority="331" operator="equal">
      <formula>"Seeker"</formula>
    </cfRule>
    <cfRule type="cellIs" dxfId="329" priority="332" operator="equal">
      <formula>"Neutral"</formula>
    </cfRule>
    <cfRule type="cellIs" dxfId="328" priority="333" operator="equal">
      <formula>"Rogue"</formula>
    </cfRule>
    <cfRule type="cellIs" dxfId="327" priority="334" operator="equal">
      <formula>"Guardian"</formula>
    </cfRule>
    <cfRule type="cellIs" dxfId="326" priority="335" operator="equal">
      <formula>"Survivor"</formula>
    </cfRule>
    <cfRule type="cellIs" dxfId="325" priority="336" operator="equal">
      <formula>"Mystic"</formula>
    </cfRule>
  </conditionalFormatting>
  <conditionalFormatting sqref="K2:K99 K101:K104 K234:K347">
    <cfRule type="cellIs" dxfId="324" priority="325" operator="equal">
      <formula>"seeker"</formula>
    </cfRule>
    <cfRule type="cellIs" dxfId="323" priority="326" operator="equal">
      <formula>"neutral"</formula>
    </cfRule>
    <cfRule type="cellIs" dxfId="322" priority="327" operator="equal">
      <formula>"rogue"</formula>
    </cfRule>
    <cfRule type="cellIs" dxfId="321" priority="328" operator="equal">
      <formula>"Guardian"</formula>
    </cfRule>
    <cfRule type="cellIs" dxfId="320" priority="329" operator="equal">
      <formula>"Survivor"</formula>
    </cfRule>
    <cfRule type="cellIs" dxfId="319" priority="330" operator="equal">
      <formula>"Mystic"</formula>
    </cfRule>
  </conditionalFormatting>
  <conditionalFormatting sqref="K134:K152 K158:K169 K171:K193 K105:K122 K195:K232 K124:K132">
    <cfRule type="cellIs" dxfId="318" priority="319" operator="equal">
      <formula>"seeker"</formula>
    </cfRule>
    <cfRule type="cellIs" dxfId="317" priority="320" operator="equal">
      <formula>"neutral"</formula>
    </cfRule>
    <cfRule type="cellIs" dxfId="316" priority="321" operator="equal">
      <formula>"rogue"</formula>
    </cfRule>
    <cfRule type="cellIs" dxfId="315" priority="322" operator="equal">
      <formula>"Guardian"</formula>
    </cfRule>
    <cfRule type="cellIs" dxfId="314" priority="323" operator="equal">
      <formula>"Survivor"</formula>
    </cfRule>
    <cfRule type="cellIs" dxfId="313" priority="324" operator="equal">
      <formula>"Mystic"</formula>
    </cfRule>
  </conditionalFormatting>
  <conditionalFormatting sqref="K100">
    <cfRule type="cellIs" dxfId="312" priority="313" operator="equal">
      <formula>"seeker"</formula>
    </cfRule>
    <cfRule type="cellIs" dxfId="311" priority="314" operator="equal">
      <formula>"neutral"</formula>
    </cfRule>
    <cfRule type="cellIs" dxfId="310" priority="315" operator="equal">
      <formula>"rogue"</formula>
    </cfRule>
    <cfRule type="cellIs" dxfId="309" priority="316" operator="equal">
      <formula>"Guardian"</formula>
    </cfRule>
    <cfRule type="cellIs" dxfId="308" priority="317" operator="equal">
      <formula>"Survivor"</formula>
    </cfRule>
    <cfRule type="cellIs" dxfId="307" priority="318" operator="equal">
      <formula>"Mystic"</formula>
    </cfRule>
  </conditionalFormatting>
  <conditionalFormatting sqref="AM112:AM116">
    <cfRule type="cellIs" dxfId="306" priority="307" operator="equal">
      <formula>"seeker"</formula>
    </cfRule>
    <cfRule type="cellIs" dxfId="305" priority="308" operator="equal">
      <formula>"neutral"</formula>
    </cfRule>
    <cfRule type="cellIs" dxfId="304" priority="309" operator="equal">
      <formula>"rogue"</formula>
    </cfRule>
    <cfRule type="cellIs" dxfId="303" priority="310" operator="equal">
      <formula>"Guardian"</formula>
    </cfRule>
    <cfRule type="cellIs" dxfId="302" priority="311" operator="equal">
      <formula>"Survivor"</formula>
    </cfRule>
    <cfRule type="cellIs" dxfId="301" priority="312" operator="equal">
      <formula>"Mystic"</formula>
    </cfRule>
  </conditionalFormatting>
  <conditionalFormatting sqref="AM130:AM131">
    <cfRule type="cellIs" dxfId="300" priority="301" operator="equal">
      <formula>"seeker"</formula>
    </cfRule>
    <cfRule type="cellIs" dxfId="299" priority="302" operator="equal">
      <formula>"neutral"</formula>
    </cfRule>
    <cfRule type="cellIs" dxfId="298" priority="303" operator="equal">
      <formula>"rogue"</formula>
    </cfRule>
    <cfRule type="cellIs" dxfId="297" priority="304" operator="equal">
      <formula>"Guardian"</formula>
    </cfRule>
    <cfRule type="cellIs" dxfId="296" priority="305" operator="equal">
      <formula>"Survivor"</formula>
    </cfRule>
    <cfRule type="cellIs" dxfId="295" priority="306" operator="equal">
      <formula>"Mystic"</formula>
    </cfRule>
  </conditionalFormatting>
  <conditionalFormatting sqref="AL133">
    <cfRule type="cellIs" dxfId="294" priority="295" operator="equal">
      <formula>"Seeker"</formula>
    </cfRule>
    <cfRule type="cellIs" dxfId="293" priority="296" operator="equal">
      <formula>"Neutral"</formula>
    </cfRule>
    <cfRule type="cellIs" dxfId="292" priority="297" operator="equal">
      <formula>"Rogue"</formula>
    </cfRule>
    <cfRule type="cellIs" dxfId="291" priority="298" operator="equal">
      <formula>"Guardian"</formula>
    </cfRule>
    <cfRule type="cellIs" dxfId="290" priority="299" operator="equal">
      <formula>"Survivor"</formula>
    </cfRule>
    <cfRule type="cellIs" dxfId="289" priority="300" operator="equal">
      <formula>"Mystic"</formula>
    </cfRule>
  </conditionalFormatting>
  <conditionalFormatting sqref="K133">
    <cfRule type="cellIs" dxfId="288" priority="289" operator="equal">
      <formula>"seeker"</formula>
    </cfRule>
    <cfRule type="cellIs" dxfId="287" priority="290" operator="equal">
      <formula>"neutral"</formula>
    </cfRule>
    <cfRule type="cellIs" dxfId="286" priority="291" operator="equal">
      <formula>"rogue"</formula>
    </cfRule>
    <cfRule type="cellIs" dxfId="285" priority="292" operator="equal">
      <formula>"Guardian"</formula>
    </cfRule>
    <cfRule type="cellIs" dxfId="284" priority="293" operator="equal">
      <formula>"Survivor"</formula>
    </cfRule>
    <cfRule type="cellIs" dxfId="283" priority="294" operator="equal">
      <formula>"Mystic"</formula>
    </cfRule>
  </conditionalFormatting>
  <conditionalFormatting sqref="AM151:AM152 AM158:AM159">
    <cfRule type="cellIs" dxfId="282" priority="283" operator="equal">
      <formula>"seeker"</formula>
    </cfRule>
    <cfRule type="cellIs" dxfId="281" priority="284" operator="equal">
      <formula>"neutral"</formula>
    </cfRule>
    <cfRule type="cellIs" dxfId="280" priority="285" operator="equal">
      <formula>"rogue"</formula>
    </cfRule>
    <cfRule type="cellIs" dxfId="279" priority="286" operator="equal">
      <formula>"Guardian"</formula>
    </cfRule>
    <cfRule type="cellIs" dxfId="278" priority="287" operator="equal">
      <formula>"Survivor"</formula>
    </cfRule>
    <cfRule type="cellIs" dxfId="277" priority="288" operator="equal">
      <formula>"Mystic"</formula>
    </cfRule>
  </conditionalFormatting>
  <conditionalFormatting sqref="K153">
    <cfRule type="cellIs" dxfId="276" priority="277" operator="equal">
      <formula>"seeker"</formula>
    </cfRule>
    <cfRule type="cellIs" dxfId="275" priority="278" operator="equal">
      <formula>"neutral"</formula>
    </cfRule>
    <cfRule type="cellIs" dxfId="274" priority="279" operator="equal">
      <formula>"rogue"</formula>
    </cfRule>
    <cfRule type="cellIs" dxfId="273" priority="280" operator="equal">
      <formula>"Guardian"</formula>
    </cfRule>
    <cfRule type="cellIs" dxfId="272" priority="281" operator="equal">
      <formula>"Survivor"</formula>
    </cfRule>
    <cfRule type="cellIs" dxfId="271" priority="282" operator="equal">
      <formula>"Mystic"</formula>
    </cfRule>
  </conditionalFormatting>
  <conditionalFormatting sqref="AM153">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154">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AM154">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55">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55">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K156">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M156">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57">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7">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70">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L190">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AM191">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M193">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194">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AM195">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M194">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L3">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AL4">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L5">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L6">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L122">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L123">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J12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AM253">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254">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255">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M256">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252">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383:AM387">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K383:K387">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M2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2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388:K429 AM388:AM42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430:K466 AM430:AM442 AM450:AM466">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443:AM449">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L737">
    <cfRule type="cellIs" dxfId="60" priority="25" operator="equal">
      <formula>"Seeker"</formula>
    </cfRule>
    <cfRule type="cellIs" dxfId="59" priority="26" operator="equal">
      <formula>"Neutral"</formula>
    </cfRule>
    <cfRule type="cellIs" dxfId="58" priority="27" operator="equal">
      <formula>"Rogue"</formula>
    </cfRule>
    <cfRule type="cellIs" dxfId="57" priority="28" operator="equal">
      <formula>"Guardian"</formula>
    </cfRule>
    <cfRule type="cellIs" dxfId="56" priority="29" operator="equal">
      <formula>"Survivor"</formula>
    </cfRule>
    <cfRule type="cellIs" dxfId="55" priority="30" operator="equal">
      <formula>"Mystic"</formula>
    </cfRule>
  </conditionalFormatting>
  <conditionalFormatting sqref="AL733 AL738:AL746 AL767:AL773">
    <cfRule type="cellIs" dxfId="54" priority="55" operator="equal">
      <formula>"Seeker"</formula>
    </cfRule>
    <cfRule type="cellIs" dxfId="53" priority="56" operator="equal">
      <formula>"Neutral"</formula>
    </cfRule>
    <cfRule type="cellIs" dxfId="52" priority="57" operator="equal">
      <formula>"Rogue"</formula>
    </cfRule>
    <cfRule type="cellIs" dxfId="51" priority="58" operator="equal">
      <formula>"Guardian"</formula>
    </cfRule>
    <cfRule type="cellIs" dxfId="50" priority="59" operator="equal">
      <formula>"Survivor"</formula>
    </cfRule>
    <cfRule type="cellIs" dxfId="49" priority="60" operator="equal">
      <formula>"Mystic"</formula>
    </cfRule>
  </conditionalFormatting>
  <conditionalFormatting sqref="K733:K773">
    <cfRule type="cellIs" dxfId="48" priority="49" operator="equal">
      <formula>"seeker"</formula>
    </cfRule>
    <cfRule type="cellIs" dxfId="47" priority="50" operator="equal">
      <formula>"neutral"</formula>
    </cfRule>
    <cfRule type="cellIs" dxfId="46" priority="51" operator="equal">
      <formula>"rogue"</formula>
    </cfRule>
    <cfRule type="cellIs" dxfId="45" priority="52" operator="equal">
      <formula>"Guardian"</formula>
    </cfRule>
    <cfRule type="cellIs" dxfId="44" priority="53" operator="equal">
      <formula>"Survivor"</formula>
    </cfRule>
    <cfRule type="cellIs" dxfId="43" priority="54" operator="equal">
      <formula>"Mystic"</formula>
    </cfRule>
  </conditionalFormatting>
  <conditionalFormatting sqref="AL734">
    <cfRule type="cellIs" dxfId="42" priority="43" operator="equal">
      <formula>"Seeker"</formula>
    </cfRule>
    <cfRule type="cellIs" dxfId="41" priority="44" operator="equal">
      <formula>"Neutral"</formula>
    </cfRule>
    <cfRule type="cellIs" dxfId="40" priority="45" operator="equal">
      <formula>"Rogue"</formula>
    </cfRule>
    <cfRule type="cellIs" dxfId="39" priority="46" operator="equal">
      <formula>"Guardian"</formula>
    </cfRule>
    <cfRule type="cellIs" dxfId="38" priority="47" operator="equal">
      <formula>"Survivor"</formula>
    </cfRule>
    <cfRule type="cellIs" dxfId="37" priority="48" operator="equal">
      <formula>"Mystic"</formula>
    </cfRule>
  </conditionalFormatting>
  <conditionalFormatting sqref="AL735">
    <cfRule type="cellIs" dxfId="36" priority="37" operator="equal">
      <formula>"Seeker"</formula>
    </cfRule>
    <cfRule type="cellIs" dxfId="35" priority="38" operator="equal">
      <formula>"Neutral"</formula>
    </cfRule>
    <cfRule type="cellIs" dxfId="34" priority="39" operator="equal">
      <formula>"Rogue"</formula>
    </cfRule>
    <cfRule type="cellIs" dxfId="33" priority="40" operator="equal">
      <formula>"Guardian"</formula>
    </cfRule>
    <cfRule type="cellIs" dxfId="32" priority="41" operator="equal">
      <formula>"Survivor"</formula>
    </cfRule>
    <cfRule type="cellIs" dxfId="31" priority="42" operator="equal">
      <formula>"Mystic"</formula>
    </cfRule>
  </conditionalFormatting>
  <conditionalFormatting sqref="AL736">
    <cfRule type="cellIs" dxfId="30" priority="31" operator="equal">
      <formula>"Seeker"</formula>
    </cfRule>
    <cfRule type="cellIs" dxfId="29" priority="32" operator="equal">
      <formula>"Neutral"</formula>
    </cfRule>
    <cfRule type="cellIs" dxfId="28" priority="33" operator="equal">
      <formula>"Rogue"</formula>
    </cfRule>
    <cfRule type="cellIs" dxfId="27" priority="34" operator="equal">
      <formula>"Guardian"</formula>
    </cfRule>
    <cfRule type="cellIs" dxfId="26" priority="35" operator="equal">
      <formula>"Survivor"</formula>
    </cfRule>
    <cfRule type="cellIs" dxfId="25" priority="36" operator="equal">
      <formula>"Mystic"</formula>
    </cfRule>
  </conditionalFormatting>
  <conditionalFormatting sqref="AM727:AM731">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727:K731">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M732">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732">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2018-03-01T16:00:21Z</dcterms:modified>
</cp:coreProperties>
</file>