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0" windowWidth="20175" windowHeight="117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17" i="2" l="1"/>
  <c r="H17" i="2"/>
  <c r="J17" i="2"/>
  <c r="I17" i="2" s="1"/>
  <c r="K17" i="2"/>
  <c r="L17" i="2"/>
  <c r="N17" i="2"/>
  <c r="O17" i="2"/>
  <c r="P17" i="2"/>
  <c r="Q17" i="2"/>
  <c r="R17" i="2"/>
  <c r="S17" i="2"/>
  <c r="T17" i="2"/>
  <c r="V17" i="2"/>
  <c r="W17" i="2"/>
  <c r="X17" i="2"/>
  <c r="Y17" i="2"/>
  <c r="Z17" i="2"/>
  <c r="AA17" i="2"/>
  <c r="G18" i="2"/>
  <c r="H18" i="2"/>
  <c r="J18" i="2"/>
  <c r="I18" i="2" s="1"/>
  <c r="K18" i="2"/>
  <c r="L18" i="2"/>
  <c r="N18" i="2"/>
  <c r="O18" i="2"/>
  <c r="P18" i="2"/>
  <c r="Q18" i="2"/>
  <c r="R18" i="2"/>
  <c r="S18" i="2"/>
  <c r="T18" i="2"/>
  <c r="V18" i="2"/>
  <c r="W18" i="2"/>
  <c r="X18" i="2"/>
  <c r="Y18" i="2"/>
  <c r="Z18" i="2"/>
  <c r="AA18" i="2"/>
  <c r="G19" i="2"/>
  <c r="H19" i="2"/>
  <c r="J19" i="2"/>
  <c r="I19" i="2" s="1"/>
  <c r="K19" i="2"/>
  <c r="L19" i="2"/>
  <c r="N19" i="2"/>
  <c r="O19" i="2"/>
  <c r="P19" i="2"/>
  <c r="Q19" i="2"/>
  <c r="R19" i="2"/>
  <c r="S19" i="2"/>
  <c r="T19" i="2"/>
  <c r="V19" i="2"/>
  <c r="W19" i="2"/>
  <c r="X19" i="2"/>
  <c r="Y19" i="2"/>
  <c r="Z19" i="2"/>
  <c r="AA19" i="2"/>
  <c r="G20" i="2"/>
  <c r="H20" i="2"/>
  <c r="J20" i="2"/>
  <c r="I20" i="2" s="1"/>
  <c r="K20" i="2"/>
  <c r="L20" i="2"/>
  <c r="N20" i="2"/>
  <c r="O20" i="2"/>
  <c r="P20" i="2"/>
  <c r="Q20" i="2"/>
  <c r="R20" i="2"/>
  <c r="S20" i="2"/>
  <c r="T20" i="2"/>
  <c r="V20" i="2"/>
  <c r="W20" i="2"/>
  <c r="X20" i="2"/>
  <c r="Y20" i="2"/>
  <c r="Z20" i="2"/>
  <c r="AA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<sst xmlns="http://schemas.openxmlformats.org/spreadsheetml/2006/main" count="14167" uniqueCount="7489">
  <si>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</si>
  <si>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</si>
  <si>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</si>
  <si>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</si>
  <si>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</si>
  <si>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</si>
  <si>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</si>
  <si>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</si>
  <si>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</si>
  <si>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</si>
  <si>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</si>
  <si>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</si>
  <si>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</si>
  <si>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</si>
  <si>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</si>
  <si>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</si>
  <si>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</si>
  <si>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</si>
  <si>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</si>
  <si>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</si>
  <si>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</si>
  <si>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</si>
  <si>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</si>
  <si>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</si>
  <si>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</si>
  <si>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</si>
  <si>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</si>
  <si>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</si>
  <si>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</si>
  <si>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</si>
  <si>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</si>
  <si>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</si>
  <si>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</si>
  <si>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</si>
  <si>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</si>
  <si>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</si>
  <si>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</si>
  <si>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</si>
  <si>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</si>
  <si>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</si>
  <si>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</si>
  <si>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</si>
  <si>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</si>
  <si>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</si>
  <si>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</si>
  <si>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</si>
  <si>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</si>
  <si>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</si>
  <si>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</si>
  <si>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</si>
  <si>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</si>
  <si>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</si>
  <si>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</si>
  <si>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</si>
  <si>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</si>
  <si>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</si>
  <si>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</si>
  <si>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</si>
  <si>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</si>
  <si>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</si>
  <si>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</si>
  <si>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</si>
  <si>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</si>
  <si>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</si>
  <si>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</si>
  <si>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</si>
  <si>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</si>
  <si>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</si>
  <si>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</si>
  <si>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</si>
  <si>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</si>
  <si>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</si>
  <si>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</si>
  <si>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</si>
  <si>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</si>
  <si>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</si>
  <si>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</si>
  <si>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</si>
  <si>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</si>
  <si>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</si>
  <si>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</si>
  <si>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</si>
  <si>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</si>
  <si>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</si>
  <si>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</si>
  <si>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</si>
  <si>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</si>
  <si>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</si>
  <si>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</si>
  <si>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</si>
  <si>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</si>
  <si>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</si>
  <si>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</si>
  <si>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</si>
  <si>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</si>
  <si>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</si>
  <si>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</si>
  <si>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</si>
  <si>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</si>
  <si>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</si>
  <si>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</si>
  <si>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</si>
  <si>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</si>
  <si>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</si>
  <si>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</si>
  <si>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</si>
  <si>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</si>
  <si>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</si>
  <si>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</si>
  <si>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</si>
  <si>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</si>
  <si>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</si>
  <si>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</si>
  <si>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</si>
  <si>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</si>
  <si>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</si>
  <si>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</si>
  <si>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</si>
  <si>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</si>
  <si>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</si>
  <si>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</si>
  <si>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</si>
  <si>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</si>
  <si>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</si>
  <si>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</si>
  <si>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</si>
  <si>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</si>
  <si>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</si>
  <si>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</si>
  <si>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</si>
  <si>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</si>
  <si>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</si>
  <si>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</si>
  <si>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</si>
  <si>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</si>
  <si>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</si>
  <si>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</si>
  <si>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</si>
  <si>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</si>
  <si>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</si>
  <si>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</si>
  <si>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</si>
  <si>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</si>
  <si>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</si>
  <si>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</si>
  <si>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</si>
  <si>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</si>
  <si>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</si>
  <si>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</si>
  <si>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</si>
  <si>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</si>
  <si>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</si>
  <si>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</si>
  <si>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</si>
  <si>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</si>
  <si>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</si>
  <si>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</si>
  <si>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</si>
  <si>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</si>
  <si>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</si>
  <si>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</si>
  <si>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</si>
  <si>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</si>
  <si>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</si>
  <si>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</si>
  <si>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</si>
  <si>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</si>
  <si>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</si>
  <si>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</si>
  <si>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</si>
  <si>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</si>
  <si>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</si>
  <si>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</si>
  <si>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</si>
  <si>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</si>
  <si>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</si>
  <si>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</si>
  <si>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</si>
  <si>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</si>
  <si>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</si>
  <si>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</si>
  <si>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</si>
  <si>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</si>
  <si>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</si>
  <si>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</si>
  <si>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</si>
  <si>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</si>
  <si>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</si>
  <si>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</si>
  <si>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</si>
  <si>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</si>
  <si>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</si>
  <si>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</si>
  <si>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</si>
  <si>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</si>
  <si>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</si>
  <si>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</si>
  <si>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</si>
  <si>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</si>
  <si>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</si>
  <si>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</si>
  <si>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</si>
  <si>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</si>
  <si>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</si>
  <si>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</si>
  <si>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</si>
  <si>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</si>
  <si>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</si>
  <si>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</si>
  <si>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</si>
  <si>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</si>
  <si>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</si>
  <si>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</si>
  <si>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</si>
  <si>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</si>
  <si>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</si>
  <si>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</si>
  <si>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</si>
  <si>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</si>
  <si>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</si>
  <si>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</si>
  <si>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</si>
  <si>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</si>
  <si>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</si>
  <si>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</si>
  <si>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</si>
  <si>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</si>
  <si>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</si>
  <si>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</si>
  <si>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</si>
  <si>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</si>
  <si>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</si>
  <si>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</si>
  <si>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</si>
  <si>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</si>
  <si>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</si>
  <si>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</si>
  <si>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</si>
  <si>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</si>
  <si>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</si>
  <si>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</si>
  <si>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</si>
  <si>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</si>
  <si>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</si>
  <si>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</si>
  <si>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</si>
  <si>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</si>
  <si>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</si>
  <si>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</si>
  <si>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</si>
  <si>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</si>
  <si>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</si>
  <si>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</si>
  <si>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</si>
  <si>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</si>
  <si>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</si>
  <si>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</si>
  <si>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</si>
  <si>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</si>
  <si>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</si>
  <si>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</si>
  <si>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</si>
  <si>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</si>
  <si>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</si>
  <si>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</si>
  <si>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</si>
  <si>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</si>
  <si>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</si>
  <si>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</si>
  <si>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</si>
  <si>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</si>
  <si>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</si>
  <si>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</si>
  <si>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</si>
  <si>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</si>
  <si>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</si>
  <si>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</si>
  <si>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</si>
  <si>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</si>
  <si>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</si>
  <si>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</si>
  <si>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</si>
  <si>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</si>
  <si>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</si>
  <si>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</si>
  <si>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</si>
  <si>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</si>
  <si>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</si>
  <si>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</si>
  <si>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</si>
  <si>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</si>
  <si>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</si>
  <si>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</si>
  <si>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</si>
  <si>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</si>
  <si>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</si>
  <si>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</si>
  <si>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</si>
  <si>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</si>
  <si>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</si>
  <si>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</si>
  <si>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</si>
  <si>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</si>
  <si>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</si>
  <si>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</si>
  <si>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</si>
  <si>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</si>
  <si>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</si>
  <si>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</si>
  <si>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</si>
  <si>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</si>
  <si>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</si>
  <si>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</si>
  <si>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</si>
  <si>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</si>
  <si>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</si>
  <si>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</si>
  <si>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</si>
  <si>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</si>
  <si>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</si>
  <si>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</si>
  <si>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</si>
  <si>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</si>
  <si>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</si>
  <si>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</si>
  <si>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</si>
  <si>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</si>
  <si>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</si>
  <si>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</si>
  <si>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</si>
  <si>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</si>
  <si>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</si>
  <si>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</si>
  <si>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</si>
  <si>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</si>
  <si>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</si>
  <si>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</si>
  <si>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</si>
  <si>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</si>
  <si>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</si>
  <si>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</si>
  <si>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</si>
  <si>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</si>
  <si>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</si>
  <si>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</si>
  <si>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</si>
  <si>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</si>
  <si>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</si>
  <si>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</si>
  <si>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</si>
  <si>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</si>
  <si>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</si>
  <si>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</si>
  <si>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</si>
  <si>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</si>
  <si>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</si>
  <si>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</si>
  <si>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</si>
  <si>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</si>
  <si>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</si>
  <si>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</si>
  <si>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</si>
  <si>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</si>
  <si>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</si>
  <si>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</si>
  <si>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</si>
  <si>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</si>
  <si>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</si>
  <si>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</si>
  <si>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</si>
  <si>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</si>
  <si>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</si>
  <si>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</si>
  <si>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</si>
  <si>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</si>
  <si>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</si>
  <si>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</si>
  <si>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</si>
  <si>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</si>
  <si>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</si>
  <si>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</si>
  <si>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</si>
  <si>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</si>
  <si>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</si>
  <si>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</si>
  <si>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</si>
  <si>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</si>
  <si>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</si>
  <si>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</si>
  <si>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</si>
  <si>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</si>
  <si>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</si>
  <si>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</si>
  <si>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</si>
  <si>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</si>
  <si>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</si>
  <si>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</si>
  <si>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</si>
  <si>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</si>
  <si>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</si>
  <si>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</si>
  <si>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</si>
  <si>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</si>
  <si>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</si>
  <si>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</si>
  <si>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</si>
  <si>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</si>
  <si>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</si>
  <si>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</si>
  <si>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</si>
  <si>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</si>
  <si>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</si>
  <si>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</si>
  <si>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</si>
  <si>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</si>
  <si>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</si>
  <si>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</si>
  <si>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</si>
  <si>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</si>
  <si>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</si>
  <si>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</si>
  <si>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</si>
  <si>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</si>
  <si>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</si>
  <si>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</si>
  <si>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</si>
  <si>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</si>
  <si>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</si>
  <si>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</si>
  <si>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</si>
  <si>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</si>
  <si>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</si>
  <si>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</si>
  <si>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</si>
  <si>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</si>
  <si>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</si>
  <si>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</si>
  <si>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</si>
  <si>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</si>
  <si>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</si>
  <si>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</si>
  <si>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</si>
  <si>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</si>
  <si>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</si>
  <si>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</si>
  <si>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</si>
  <si>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</si>
  <si>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</si>
  <si>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</si>
  <si>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</si>
  <si>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</si>
  <si>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</si>
  <si>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</si>
  <si>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</si>
  <si>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</si>
  <si>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</si>
  <si>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</si>
  <si>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</si>
  <si>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</si>
  <si>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</si>
  <si>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</si>
  <si>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</si>
  <si>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</si>
  <si>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</si>
  <si>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</si>
  <si>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</si>
  <si>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</si>
  <si>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</si>
  <si>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</si>
  <si>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</si>
  <si>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</si>
  <si>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</si>
  <si>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</si>
  <si>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</si>
  <si>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</si>
  <si>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</si>
  <si>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</si>
  <si>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</si>
  <si>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</si>
  <si>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</si>
  <si>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</si>
  <si>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</si>
  <si>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</si>
  <si>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</si>
  <si>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</si>
  <si>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</si>
  <si>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</si>
  <si>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</si>
  <si>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</si>
  <si>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</si>
  <si>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</si>
  <si>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</si>
  <si>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</si>
  <si>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</si>
  <si>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</si>
  <si>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</si>
  <si>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</si>
  <si>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</si>
  <si>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</si>
  <si>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</si>
  <si>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</si>
  <si>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</si>
  <si>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</si>
  <si>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</si>
  <si>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</si>
  <si>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</si>
  <si>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</si>
  <si>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</si>
  <si>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</si>
  <si>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</si>
  <si>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</si>
  <si>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</si>
  <si>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</si>
  <si>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</si>
  <si>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</si>
  <si>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</si>
  <si>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</si>
  <si>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</si>
  <si>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</si>
  <si>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</si>
  <si>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</si>
  <si>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</si>
  <si>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</si>
  <si>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</si>
  <si>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</si>
  <si>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</si>
  <si>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</si>
  <si>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</si>
  <si>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</si>
  <si>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</si>
  <si>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</si>
  <si>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</si>
  <si>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</si>
  <si>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</si>
  <si>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</si>
  <si>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</si>
  <si>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</si>
  <si>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</si>
  <si>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</si>
  <si>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</si>
  <si>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</si>
  <si>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</si>
  <si>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</si>
  <si>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</si>
  <si>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</si>
  <si>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</si>
  <si>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</si>
  <si>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</si>
  <si>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</si>
  <si>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</si>
  <si>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</si>
  <si>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</si>
  <si>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</si>
  <si>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</si>
  <si>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</si>
  <si>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</si>
  <si>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</si>
  <si>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</si>
  <si>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</si>
  <si>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</si>
  <si>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</si>
  <si>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</si>
  <si>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</si>
  <si>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</si>
  <si>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</si>
  <si>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</si>
  <si>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</si>
  <si>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</si>
  <si>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</si>
  <si>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</si>
  <si>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</si>
  <si>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</si>
  <si>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</si>
  <si>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</si>
  <si>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</si>
  <si>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</si>
  <si>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</si>
  <si>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</si>
  <si>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</si>
  <si>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</si>
  <si>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</si>
  <si>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</si>
  <si>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</si>
  <si>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</si>
  <si>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</si>
  <si>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</si>
  <si>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</si>
  <si>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</si>
  <si>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</si>
  <si>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</si>
  <si>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</si>
  <si>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</si>
  <si>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</si>
  <si>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</si>
  <si>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</si>
  <si>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</si>
  <si>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</si>
  <si>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</si>
  <si>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</si>
  <si>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</si>
  <si>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</si>
  <si>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</si>
  <si>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</si>
  <si>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</si>
  <si>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</si>
  <si>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</si>
  <si>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</si>
  <si>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</si>
  <si>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</si>
  <si>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</si>
  <si>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</si>
  <si>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</si>
  <si>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</si>
  <si>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</si>
  <si>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</si>
  <si>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</si>
  <si>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</si>
  <si>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</si>
  <si>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</si>
  <si>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</si>
  <si>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</si>
  <si>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</si>
  <si>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</si>
  <si>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</si>
  <si>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</si>
  <si>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</si>
  <si>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</si>
  <si>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</si>
  <si>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</si>
  <si>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</si>
  <si>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</si>
  <si>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</si>
  <si>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</si>
  <si>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</si>
  <si>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</si>
  <si>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</si>
  <si>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</si>
  <si>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</si>
  <si>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</si>
  <si>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</si>
  <si>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</si>
  <si>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</si>
  <si>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</si>
  <si>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</si>
  <si>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</si>
  <si>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</si>
  <si>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</si>
  <si>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</si>
  <si>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</si>
  <si>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</si>
  <si>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</si>
  <si>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</si>
  <si>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</si>
  <si>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</si>
  <si>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</si>
  <si>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</si>
  <si>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</si>
  <si>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</si>
  <si>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</si>
  <si>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</si>
  <si>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</si>
  <si>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</si>
  <si>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</si>
  <si>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</si>
  <si>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</si>
  <si>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</si>
  <si>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</si>
  <si>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</si>
  <si>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</si>
  <si>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</si>
  <si>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</si>
  <si>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</si>
  <si>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</si>
  <si>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</si>
  <si>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</si>
  <si>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</si>
  <si>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</si>
  <si>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</si>
  <si>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</si>
  <si>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</si>
  <si>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</si>
  <si>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</si>
  <si>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</si>
  <si>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</si>
  <si>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</si>
  <si>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</si>
  <si>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</si>
  <si>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</si>
  <si>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</si>
  <si>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</si>
  <si>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</si>
  <si>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</si>
  <si>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</si>
  <si>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</si>
  <si>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</si>
  <si>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</si>
  <si>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</si>
  <si>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</si>
  <si>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</si>
  <si>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</si>
  <si>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</si>
  <si>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</si>
  <si>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</si>
  <si>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</si>
  <si>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</si>
  <si>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</si>
  <si>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</si>
  <si>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</si>
  <si>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</si>
  <si>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</si>
  <si>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</si>
  <si>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</si>
  <si>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</si>
  <si>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</si>
  <si>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</si>
  <si>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</si>
  <si>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</si>
  <si>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</si>
  <si>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</si>
  <si>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</si>
  <si>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</si>
  <si>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</si>
  <si>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</si>
  <si>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</si>
  <si>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</si>
  <si>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</si>
  <si>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</si>
  <si>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</si>
  <si>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</si>
  <si>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</si>
  <si>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</si>
  <si>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</si>
  <si>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</si>
  <si>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</si>
  <si>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</si>
  <si>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</si>
  <si>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</si>
  <si>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</si>
  <si>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</si>
  <si>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</si>
  <si>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</si>
  <si>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</si>
  <si>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</si>
  <si>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</si>
  <si>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</si>
  <si>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</si>
  <si>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</si>
  <si>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</si>
  <si>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</si>
  <si>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</si>
  <si>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</si>
  <si>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</si>
  <si>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</si>
  <si>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</si>
  <si>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</si>
  <si>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</si>
  <si>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</si>
  <si>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</si>
  <si>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</si>
  <si>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</si>
  <si>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</si>
  <si>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</si>
  <si>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</si>
  <si>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</si>
  <si>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</si>
  <si>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</si>
  <si>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</si>
  <si>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</si>
  <si>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</si>
  <si>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</si>
  <si>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</si>
  <si>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</si>
  <si>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</si>
  <si>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</si>
  <si>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</si>
  <si>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</si>
  <si>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</si>
  <si>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</si>
  <si>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</si>
  <si>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</si>
  <si>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</si>
  <si>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</si>
  <si>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</si>
  <si>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</si>
  <si>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</si>
  <si>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</si>
  <si>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</si>
  <si>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</si>
  <si>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</si>
  <si>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</si>
  <si>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</si>
  <si>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</si>
  <si>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</si>
  <si>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</si>
  <si>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</si>
  <si>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</si>
  <si>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</si>
  <si>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</si>
  <si>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</si>
  <si>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</si>
  <si>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</si>
  <si>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</si>
  <si>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</si>
  <si>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</si>
  <si>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</si>
  <si>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</si>
  <si>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</si>
  <si>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</si>
  <si>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</si>
  <si>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</si>
  <si>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</si>
  <si>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</si>
  <si>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</si>
  <si>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</si>
  <si>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</si>
  <si>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</si>
  <si>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</si>
  <si>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</si>
  <si>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</si>
  <si>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</si>
  <si>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</si>
  <si>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</si>
  <si>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</si>
  <si>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</si>
  <si>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</si>
  <si>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</si>
  <si>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</si>
  <si>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</si>
  <si>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</si>
  <si>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</si>
  <si>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</si>
  <si>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</si>
  <si>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</si>
  <si>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</si>
  <si>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</si>
  <si>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</si>
  <si>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</si>
  <si>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</si>
  <si>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</si>
  <si>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</si>
  <si>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</si>
  <si>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</si>
  <si>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</si>
  <si>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</si>
  <si>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</si>
  <si>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</si>
  <si>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</si>
  <si>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</si>
  <si>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</si>
  <si>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</si>
  <si>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</si>
  <si>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</si>
  <si>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</si>
  <si>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</si>
  <si>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</si>
  <si>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</si>
  <si>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</si>
  <si>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</si>
  <si>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</si>
  <si>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</si>
  <si>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</si>
  <si>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</si>
  <si>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</si>
  <si>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</si>
  <si>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</si>
  <si>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</si>
  <si>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</si>
  <si>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</si>
  <si>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</si>
  <si>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</si>
  <si>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</si>
  <si>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</si>
  <si>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</si>
  <si>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</si>
  <si>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</si>
  <si>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</si>
  <si>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</si>
  <si>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</si>
  <si>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</si>
  <si>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</si>
  <si>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</si>
  <si>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</si>
  <si>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</si>
  <si>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</si>
  <si>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</si>
  <si>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</si>
  <si>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</si>
  <si>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</si>
  <si>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</si>
  <si>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</si>
  <si>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</si>
  <si>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</si>
  <si>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</si>
  <si>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</si>
  <si>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</si>
  <si>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</si>
  <si>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</si>
  <si>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</si>
  <si>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</si>
  <si>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</si>
  <si>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</si>
  <si>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</si>
  <si>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</si>
  <si>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</si>
  <si>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</si>
  <si>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</si>
  <si>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</si>
  <si>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</si>
  <si>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</si>
  <si>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</si>
  <si>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</si>
  <si>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</si>
  <si>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</si>
  <si>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</si>
  <si>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</si>
  <si>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</si>
  <si>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</si>
  <si>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</si>
  <si>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</si>
  <si>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</si>
  <si>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</si>
  <si>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</si>
  <si>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</si>
  <si>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</si>
  <si>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</si>
  <si>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</si>
  <si>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</si>
  <si>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</si>
  <si>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</si>
  <si>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</si>
  <si>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</si>
  <si>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</si>
  <si>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</si>
  <si>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</si>
  <si>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</si>
  <si>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</si>
  <si>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</si>
  <si>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</si>
  <si>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</si>
  <si>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</si>
  <si>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</si>
  <si>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</si>
  <si>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</si>
  <si>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</si>
  <si>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</si>
  <si>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</si>
  <si>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</si>
  <si>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</si>
  <si>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</si>
  <si>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</si>
  <si>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</si>
  <si>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</si>
  <si>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</si>
  <si>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</si>
  <si>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</si>
  <si>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</si>
  <si>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</si>
  <si>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</si>
  <si>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</si>
  <si>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</si>
  <si>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</si>
  <si>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</si>
  <si>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</si>
  <si>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</si>
  <si>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</si>
  <si>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</si>
  <si>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</si>
  <si>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</si>
  <si>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</si>
  <si>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</si>
  <si>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</si>
  <si>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</si>
  <si>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</si>
  <si>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</si>
  <si>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</si>
  <si>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</si>
  <si>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</si>
  <si>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</si>
  <si>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</si>
  <si>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</si>
  <si>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</si>
  <si>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</si>
  <si>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</si>
  <si>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</si>
  <si>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</si>
  <si>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</si>
  <si>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</si>
  <si>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</si>
  <si>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</si>
  <si>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</si>
  <si>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</si>
  <si>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</si>
  <si>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</si>
  <si>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</si>
  <si>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</si>
  <si>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</si>
  <si>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</si>
  <si>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</si>
  <si>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</si>
  <si>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</si>
  <si>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</si>
  <si>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</si>
  <si>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</si>
  <si>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</si>
  <si>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</si>
  <si>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</si>
  <si>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</si>
  <si>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</si>
  <si>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</si>
  <si>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</si>
  <si>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</si>
  <si>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</si>
  <si>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</si>
  <si>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</si>
  <si>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</si>
  <si>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</si>
  <si>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</si>
  <si>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</si>
  <si>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</si>
  <si>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</si>
  <si>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</si>
  <si>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</si>
  <si>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</si>
  <si>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</si>
  <si>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</si>
  <si>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</si>
  <si>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</si>
  <si>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</si>
  <si>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</si>
  <si>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</si>
  <si>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</si>
  <si>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</si>
  <si>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</si>
  <si>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</si>
  <si>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</si>
  <si>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</si>
  <si>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</si>
  <si>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</si>
  <si>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</si>
  <si>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</si>
  <si>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</si>
  <si>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</si>
  <si>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</si>
  <si>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</si>
  <si>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</si>
  <si>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</si>
  <si>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</si>
  <si>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</si>
  <si>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</si>
  <si>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</si>
  <si>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</si>
  <si>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</si>
  <si>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</si>
  <si>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</si>
  <si>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</si>
  <si>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</si>
  <si>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</si>
  <si>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</si>
  <si>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</si>
  <si>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</si>
  <si>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</si>
  <si>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</si>
  <si>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</si>
  <si>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</si>
  <si>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</si>
  <si>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</si>
  <si>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</si>
  <si>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</si>
  <si>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</si>
  <si>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</si>
  <si>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</si>
  <si>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</si>
  <si>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</si>
  <si>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</si>
  <si>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</si>
  <si>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</si>
  <si>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</si>
  <si>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</si>
  <si>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</si>
  <si>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</si>
  <si>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</si>
  <si>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</si>
  <si>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</si>
  <si>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</si>
  <si>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</si>
  <si>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</si>
  <si>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</si>
  <si>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</si>
  <si>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</si>
  <si>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</si>
  <si>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</si>
  <si>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</si>
  <si>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</si>
  <si>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</si>
  <si>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</si>
  <si>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</si>
  <si>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</si>
  <si>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</si>
  <si>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</si>
  <si>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</si>
  <si>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</si>
  <si>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</si>
  <si>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</si>
  <si>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</si>
  <si>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</si>
  <si>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</si>
  <si>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</si>
  <si>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</si>
  <si>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</si>
  <si>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</si>
  <si>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</si>
  <si>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</si>
  <si>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</si>
  <si>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</si>
  <si>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</si>
  <si>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</si>
  <si>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</si>
  <si>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</si>
  <si>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</si>
  <si>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</si>
  <si>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</si>
  <si>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</si>
  <si>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</si>
  <si>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</si>
  <si>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</si>
  <si>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</si>
  <si>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</si>
  <si>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</si>
  <si>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</si>
  <si>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</si>
  <si>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</si>
  <si>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</si>
  <si>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</si>
  <si>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</si>
  <si>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</si>
  <si>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</si>
  <si>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</si>
  <si>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</si>
  <si>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</si>
  <si>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</si>
  <si>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</si>
  <si>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</si>
  <si>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</si>
  <si>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</si>
  <si>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</si>
  <si>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</si>
  <si>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</si>
  <si>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</si>
  <si>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</si>
  <si>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</si>
  <si>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</si>
  <si>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</si>
  <si>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</si>
  <si>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</si>
  <si>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</si>
  <si>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</si>
  <si>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</si>
  <si>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</si>
  <si>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</si>
  <si>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</si>
  <si>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</si>
  <si>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</si>
  <si>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</si>
  <si>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</si>
  <si>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</si>
  <si>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</si>
  <si>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</si>
  <si>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</si>
  <si>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</si>
  <si>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</si>
  <si>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</si>
  <si>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</si>
  <si>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</si>
  <si>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</si>
  <si>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</si>
  <si>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</si>
  <si>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</si>
  <si>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</si>
  <si>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</si>
  <si>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</si>
  <si>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</si>
  <si>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</si>
  <si>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</si>
  <si>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</si>
  <si>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</si>
  <si>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</si>
  <si>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</si>
  <si>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</si>
  <si>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</si>
  <si>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</si>
  <si>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</si>
  <si>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</si>
  <si>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</si>
  <si>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</si>
  <si>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</si>
  <si>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</si>
  <si>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</si>
  <si>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</si>
  <si>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</si>
  <si>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</si>
  <si>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</si>
  <si>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</si>
  <si>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</si>
  <si>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</si>
  <si>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</si>
  <si>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</si>
  <si>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</si>
  <si>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</si>
  <si>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</si>
  <si>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</si>
  <si>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</si>
  <si>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</si>
  <si>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</si>
  <si>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</si>
  <si>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</si>
  <si>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</si>
  <si>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</si>
  <si>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</si>
  <si>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</si>
  <si>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</si>
  <si>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</si>
  <si>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</si>
  <si>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</si>
  <si>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</si>
  <si>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</si>
  <si>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</si>
  <si>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</si>
  <si>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</si>
  <si>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</si>
  <si>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</si>
  <si>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</si>
  <si>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</si>
  <si>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</si>
  <si>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</si>
  <si>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</si>
  <si>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</si>
  <si>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</si>
  <si>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</si>
  <si>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</si>
  <si>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</si>
  <si>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</si>
  <si>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</si>
  <si>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</si>
  <si>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</si>
  <si>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</si>
  <si>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</si>
  <si>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</si>
  <si>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</si>
  <si>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</si>
  <si>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</si>
  <si>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</si>
  <si>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</si>
  <si>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</si>
  <si>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</si>
  <si>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</si>
  <si>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</si>
  <si>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</si>
  <si>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</si>
  <si>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</si>
  <si>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</si>
  <si>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</si>
  <si>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</si>
  <si>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</si>
  <si>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</si>
  <si>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</si>
  <si>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</si>
  <si>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</si>
  <si>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</si>
  <si>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</si>
  <si>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</si>
  <si>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</si>
  <si>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</si>
  <si>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</si>
  <si>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</si>
  <si>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</si>
  <si>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</si>
  <si>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</si>
  <si>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</si>
  <si>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</si>
  <si>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</si>
  <si>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</si>
  <si>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</si>
  <si>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</si>
  <si>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</si>
  <si>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</si>
  <si>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</si>
  <si>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</si>
  <si>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</si>
  <si>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</si>
  <si>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</si>
  <si>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</si>
  <si>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</si>
  <si>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</si>
  <si>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</si>
  <si>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</si>
  <si>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</si>
  <si>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</si>
  <si>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</si>
  <si>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</si>
  <si>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</si>
  <si>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</si>
  <si>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</si>
  <si>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</si>
  <si>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</si>
  <si>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</si>
  <si>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</si>
  <si>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</si>
  <si>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</si>
  <si>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</si>
  <si>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</si>
  <si>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</si>
  <si>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</si>
  <si>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</si>
  <si>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</si>
  <si>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</si>
  <si>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</si>
  <si>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</si>
  <si>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</si>
  <si>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</si>
  <si>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</si>
  <si>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</si>
  <si>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</si>
  <si>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</si>
  <si>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</si>
  <si>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</si>
  <si>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</si>
  <si>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</si>
  <si>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</si>
  <si>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</si>
  <si>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</si>
  <si>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</si>
  <si>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</si>
  <si>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</si>
  <si>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</si>
  <si>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</si>
  <si>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</si>
  <si>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</si>
  <si>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</si>
  <si>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</si>
  <si>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</si>
  <si>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</si>
  <si>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</si>
  <si>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</si>
  <si>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</si>
  <si>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</si>
  <si>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</si>
  <si>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</si>
  <si>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</si>
  <si>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</si>
  <si>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</si>
  <si>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</si>
  <si>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</si>
  <si>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</si>
  <si>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</si>
  <si>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</si>
  <si>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</si>
  <si>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</si>
  <si>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</si>
  <si>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</si>
  <si>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</si>
  <si>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</si>
  <si>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</si>
  <si>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</si>
  <si>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</si>
  <si>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</si>
  <si>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</si>
  <si>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</si>
  <si>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</si>
  <si>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</si>
  <si>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</si>
  <si>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</si>
  <si>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</si>
  <si>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</si>
  <si>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</si>
  <si>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</si>
  <si>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</si>
  <si>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</si>
  <si>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</si>
  <si>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</si>
  <si>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</si>
  <si>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</si>
  <si>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</si>
  <si>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</si>
  <si>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</si>
  <si>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</si>
  <si>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</si>
  <si>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</si>
  <si>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</si>
  <si>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</si>
  <si>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</si>
  <si>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</si>
  <si>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</si>
  <si>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</si>
  <si>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</si>
  <si>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</si>
  <si>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</si>
  <si>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</si>
  <si>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</si>
  <si>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</si>
  <si>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</si>
  <si>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</si>
  <si>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</si>
  <si>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</si>
  <si>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</si>
  <si>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</si>
  <si>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</si>
  <si>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</si>
  <si>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</si>
  <si>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</si>
  <si>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</si>
  <si>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</si>
  <si>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</si>
  <si>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</si>
  <si>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</si>
  <si>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</si>
  <si>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</si>
  <si>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</si>
  <si>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</si>
  <si>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</si>
  <si>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</si>
  <si>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</si>
  <si>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</si>
  <si>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</si>
  <si>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</si>
  <si>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</si>
  <si>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</si>
  <si>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</si>
  <si>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</si>
  <si>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</si>
  <si>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</si>
  <si>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</si>
  <si>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</si>
  <si>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</si>
  <si>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</si>
  <si>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</si>
  <si>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</si>
  <si>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</si>
  <si>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</si>
  <si>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</si>
  <si>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</si>
  <si>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</si>
  <si>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</si>
  <si>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</si>
  <si>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</si>
  <si>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</si>
  <si>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</si>
  <si>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</si>
  <si>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</si>
  <si>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</si>
  <si>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</si>
  <si>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</si>
  <si>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</si>
  <si>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</si>
  <si>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</si>
  <si>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</si>
  <si>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</si>
  <si>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</si>
  <si>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</si>
  <si>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</si>
  <si>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</si>
  <si>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</si>
  <si>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</si>
  <si>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</si>
  <si>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</si>
  <si>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</si>
  <si>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</si>
  <si>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</si>
  <si>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</si>
  <si>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</si>
  <si>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</si>
  <si>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</si>
  <si>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</si>
  <si>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</si>
  <si>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</si>
  <si>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</si>
  <si>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</si>
  <si>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</si>
  <si>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</si>
  <si>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</si>
  <si>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</si>
  <si>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</si>
  <si>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</si>
  <si>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</si>
  <si>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</si>
  <si>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</si>
  <si>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</si>
  <si>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</si>
  <si>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</si>
  <si>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</si>
  <si>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</si>
  <si>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</si>
  <si>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</si>
  <si>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</si>
  <si>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</si>
  <si>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</si>
  <si>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</si>
  <si>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</si>
  <si>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</si>
  <si>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</si>
  <si>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</si>
  <si>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</si>
  <si>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</si>
  <si>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</si>
  <si>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</si>
  <si>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</si>
  <si>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</si>
  <si>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</si>
  <si>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</si>
  <si>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</si>
  <si>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</si>
  <si>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</si>
  <si>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</si>
  <si>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</si>
  <si>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</si>
  <si>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</si>
  <si>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</si>
  <si>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</si>
  <si>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</si>
  <si>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</si>
  <si>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</si>
  <si>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</si>
  <si>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</si>
  <si>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</si>
  <si>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</si>
  <si>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</si>
  <si>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</si>
  <si>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</si>
  <si>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</si>
  <si>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</si>
  <si>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</si>
  <si>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</si>
  <si>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</si>
  <si>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</si>
  <si>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</si>
  <si>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</si>
  <si>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</si>
  <si>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</si>
  <si>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</si>
  <si>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</si>
  <si>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</si>
  <si>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</si>
  <si>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</si>
  <si>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</si>
  <si>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</si>
  <si>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</si>
  <si>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</si>
  <si>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</si>
  <si>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</si>
  <si>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</si>
  <si>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</si>
  <si>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</si>
  <si>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</si>
  <si>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</si>
  <si>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</si>
  <si>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</si>
  <si>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</si>
  <si>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</si>
  <si>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</si>
  <si>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</si>
  <si>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</si>
  <si>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</si>
  <si>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</si>
  <si>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</si>
  <si>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</si>
  <si>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</si>
  <si>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</si>
  <si>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</si>
  <si>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</si>
  <si>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</si>
  <si>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</si>
  <si>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</si>
  <si>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</si>
  <si>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</si>
  <si>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</si>
  <si>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</si>
  <si>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</si>
  <si>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</si>
  <si>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</si>
  <si>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</si>
  <si>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</si>
  <si>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</si>
  <si>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</si>
  <si>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</si>
  <si>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</si>
  <si>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</si>
  <si>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</si>
  <si>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</si>
  <si>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</si>
  <si>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</si>
  <si>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</si>
  <si>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</si>
  <si>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</si>
  <si>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</si>
  <si>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</si>
  <si>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</si>
  <si>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</si>
  <si>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</si>
  <si>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</si>
  <si>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</si>
  <si>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</si>
  <si>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</si>
  <si>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</si>
  <si>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</si>
  <si>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</si>
  <si>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</si>
  <si>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</si>
  <si>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</si>
  <si>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</si>
  <si>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</si>
  <si>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</si>
  <si>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</si>
  <si>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</si>
  <si>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</si>
  <si>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</si>
  <si>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</si>
  <si>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</si>
  <si>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</si>
  <si>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</si>
  <si>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</si>
  <si>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</si>
  <si>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</si>
  <si>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</si>
  <si>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</si>
  <si>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</si>
  <si>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</si>
  <si>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</si>
  <si>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</si>
  <si>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</si>
  <si>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</si>
  <si>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</si>
  <si>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</si>
  <si>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</si>
  <si>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</si>
  <si>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</si>
  <si>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</si>
  <si>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</si>
  <si>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</si>
  <si>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</si>
  <si>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</si>
  <si>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</si>
  <si>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</si>
  <si>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</si>
  <si>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</si>
  <si>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</si>
  <si>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</si>
  <si>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</si>
  <si>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</si>
  <si>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</si>
  <si>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</si>
  <si>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</si>
  <si>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</si>
  <si>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</si>
  <si>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</si>
  <si>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</si>
  <si>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</si>
  <si>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</si>
  <si>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</si>
  <si>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</si>
  <si>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</si>
  <si>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</si>
  <si>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</si>
  <si>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</si>
  <si>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</si>
  <si>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</si>
  <si>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</si>
  <si>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</si>
  <si>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</si>
  <si>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</si>
  <si>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</si>
  <si>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</si>
  <si>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</si>
  <si>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</si>
  <si>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</si>
  <si>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</si>
  <si>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</si>
  <si>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</si>
  <si>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</si>
  <si>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</si>
  <si>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</si>
  <si>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</si>
  <si>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</si>
  <si>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</si>
  <si>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</si>
  <si>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</si>
  <si>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</si>
  <si>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</si>
  <si>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</si>
  <si>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</si>
  <si>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</si>
  <si>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</si>
  <si>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</si>
  <si>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</si>
  <si>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</si>
  <si>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</si>
  <si>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</si>
  <si>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</si>
  <si>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</si>
  <si>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</si>
  <si>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</si>
  <si>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</si>
  <si>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</si>
  <si>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</si>
  <si>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</si>
  <si>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</si>
  <si>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</si>
  <si>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</si>
  <si>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</si>
  <si>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</si>
  <si>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</si>
  <si>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</si>
  <si>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</si>
  <si>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</si>
  <si>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</si>
  <si>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</si>
  <si>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</si>
  <si>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</si>
  <si>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</si>
  <si>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</si>
  <si>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</si>
  <si>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</si>
  <si>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</si>
  <si>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</si>
  <si>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</si>
  <si>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</si>
  <si>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</si>
  <si>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</si>
  <si>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</si>
  <si>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</si>
  <si>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</si>
  <si>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</si>
  <si>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</si>
  <si>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</si>
  <si>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</si>
  <si>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</si>
  <si>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</si>
  <si>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</si>
  <si>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</si>
  <si>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</si>
  <si>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</si>
  <si>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</si>
  <si>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</si>
  <si>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</si>
  <si>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</si>
  <si>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</si>
  <si>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</si>
  <si>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</si>
  <si>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</si>
  <si>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</si>
  <si>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</si>
  <si>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</si>
  <si>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</si>
  <si>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</si>
  <si>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</si>
  <si>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</si>
  <si>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</si>
  <si>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</si>
  <si>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</si>
  <si>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</si>
  <si>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</si>
  <si>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</si>
  <si>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</si>
  <si>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</si>
  <si>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</si>
  <si>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</si>
  <si>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</si>
  <si>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</si>
  <si>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</si>
  <si>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</si>
  <si>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</si>
  <si>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</si>
  <si>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</si>
  <si>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</si>
  <si>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</si>
  <si>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</si>
  <si>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</si>
  <si>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</si>
  <si>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</si>
  <si>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</si>
  <si>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</si>
  <si>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</si>
  <si>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</si>
  <si>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</si>
  <si>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</si>
  <si>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</si>
  <si>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</si>
  <si>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</si>
  <si>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</si>
  <si>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</si>
  <si>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</si>
  <si>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</si>
  <si>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</si>
  <si>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</si>
  <si>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</si>
  <si>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</si>
  <si>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</si>
  <si>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</si>
  <si>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</si>
  <si>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</si>
  <si>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</si>
  <si>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</si>
  <si>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</si>
  <si>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</si>
  <si>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</si>
  <si>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</si>
  <si>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</si>
  <si>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</si>
  <si>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</si>
  <si>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</si>
  <si>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</si>
  <si>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</si>
  <si>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</si>
  <si>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</si>
  <si>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</si>
  <si>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</si>
  <si>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</si>
  <si>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</si>
  <si>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</si>
  <si>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</si>
  <si>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</si>
  <si>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</si>
  <si>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</si>
  <si>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</si>
  <si>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</si>
  <si>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</si>
  <si>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</si>
  <si>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</si>
  <si>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</si>
  <si>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</si>
  <si>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</si>
  <si>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</si>
  <si>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</si>
  <si>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</si>
  <si>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</si>
  <si>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</si>
  <si>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</si>
  <si>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</si>
  <si>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</si>
  <si>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</si>
  <si>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</si>
  <si>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</si>
  <si>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</si>
  <si>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</si>
  <si>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</si>
  <si>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</si>
  <si>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</si>
  <si>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</si>
  <si>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</si>
  <si>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</si>
  <si>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</si>
  <si>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</si>
  <si>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</si>
  <si>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</si>
  <si>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</si>
  <si>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</si>
  <si>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</si>
  <si>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</si>
  <si>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</si>
  <si>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</si>
  <si>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</si>
  <si>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</si>
  <si>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</si>
  <si>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</si>
  <si>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</si>
  <si>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</si>
  <si>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</si>
  <si>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</si>
  <si>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</si>
  <si>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</si>
  <si>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</si>
  <si>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</si>
  <si>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</si>
  <si>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</si>
  <si>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</si>
  <si>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</si>
  <si>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</si>
  <si>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</si>
  <si>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</si>
  <si>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</si>
  <si>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</si>
  <si>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</si>
  <si>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</si>
  <si>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</si>
  <si>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</si>
  <si>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</si>
  <si>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</si>
  <si>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</si>
  <si>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</si>
  <si>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</si>
  <si>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</si>
  <si>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</si>
  <si>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</si>
  <si>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</si>
  <si>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</si>
  <si>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</si>
  <si>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</si>
  <si>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</si>
  <si>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</si>
  <si>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</si>
  <si>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</si>
  <si>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</si>
  <si>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</si>
  <si>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</si>
  <si>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</si>
  <si>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</si>
  <si>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</si>
  <si>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</si>
  <si>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</si>
  <si>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</si>
  <si>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</si>
  <si>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</si>
  <si>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</si>
  <si>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</si>
  <si>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</si>
  <si>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</si>
  <si>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</si>
  <si>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</si>
  <si>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</si>
  <si>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</si>
  <si>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</si>
  <si>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</si>
  <si>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</si>
  <si>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</si>
  <si>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</si>
  <si>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</si>
  <si>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</si>
  <si>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</si>
  <si>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</si>
  <si>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</si>
  <si>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</si>
  <si>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</si>
  <si>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</si>
  <si>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</si>
  <si>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</si>
  <si>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</si>
  <si>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</si>
  <si>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</si>
  <si>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</si>
  <si>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</si>
  <si>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</si>
  <si>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</si>
  <si>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</si>
  <si>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</si>
  <si>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</si>
  <si>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</si>
  <si>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</si>
  <si>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</si>
  <si>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</si>
  <si>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</si>
  <si>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</si>
  <si>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</si>
  <si>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</si>
  <si>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</si>
  <si>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</si>
  <si>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</si>
  <si>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</si>
  <si>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</si>
  <si>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</si>
  <si>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</si>
  <si>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</si>
  <si>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</si>
  <si>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</si>
  <si>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</si>
  <si>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</si>
  <si>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</si>
  <si>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</si>
  <si>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</si>
  <si>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</si>
  <si>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</si>
  <si>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</si>
  <si>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</si>
  <si>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</si>
  <si>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</si>
  <si>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</si>
  <si>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</si>
  <si>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</si>
  <si>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</si>
  <si>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</si>
  <si>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</si>
  <si>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</si>
  <si>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</si>
  <si>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</si>
  <si>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</si>
  <si>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</si>
  <si>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</si>
  <si>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</si>
  <si>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</si>
  <si>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</si>
  <si>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</si>
  <si>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</si>
  <si>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</si>
  <si>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</si>
  <si>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</si>
  <si>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</si>
  <si>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</si>
  <si>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</si>
  <si>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</si>
  <si>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</si>
  <si>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</si>
  <si>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</si>
  <si>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</si>
  <si>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</si>
  <si>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</si>
  <si>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</si>
  <si>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</si>
  <si>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</si>
  <si>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</si>
  <si>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</si>
  <si>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</si>
  <si>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</si>
  <si>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</si>
  <si>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</si>
  <si>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</si>
  <si>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</si>
  <si>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</si>
  <si>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</si>
  <si>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</si>
  <si>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</si>
  <si>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</si>
  <si>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</si>
  <si>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</si>
  <si>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</si>
  <si>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</si>
  <si>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</si>
  <si>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</si>
  <si>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</si>
  <si>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</si>
  <si>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</si>
  <si>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</si>
  <si>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</si>
  <si>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</si>
  <si>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</si>
  <si>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</si>
  <si>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</si>
  <si>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</si>
  <si>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</si>
  <si>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</si>
  <si>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</si>
  <si>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</si>
  <si>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</si>
  <si>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</si>
  <si>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</si>
  <si>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</si>
  <si>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</si>
  <si>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</si>
  <si>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</si>
  <si>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</si>
  <si>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</si>
  <si>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</si>
  <si>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</si>
  <si>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</si>
  <si>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</si>
  <si>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</si>
  <si>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</si>
  <si>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</si>
  <si>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</si>
  <si>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</si>
  <si>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</si>
  <si>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</si>
  <si>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</si>
  <si>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</si>
  <si>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</si>
  <si>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</si>
  <si>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</si>
  <si>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</si>
  <si>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</si>
  <si>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</si>
  <si>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</si>
  <si>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</si>
  <si>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</si>
  <si>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</si>
  <si>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</si>
  <si>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</si>
  <si>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</si>
  <si>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</si>
  <si>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</si>
  <si>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</si>
  <si>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</si>
  <si>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</si>
  <si>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</si>
  <si>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</si>
  <si>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</si>
  <si>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</si>
  <si>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</si>
  <si>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</si>
  <si>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</si>
  <si>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</si>
  <si>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</si>
  <si>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</si>
  <si>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</si>
  <si>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</si>
  <si>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</si>
  <si>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</si>
  <si>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</si>
  <si>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</si>
  <si>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</si>
  <si>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</si>
  <si>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</si>
  <si>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</si>
  <si>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</si>
  <si>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</si>
  <si>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</si>
  <si>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</si>
  <si>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</si>
  <si>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</si>
  <si>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</si>
  <si>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</si>
  <si>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</si>
  <si>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</si>
  <si>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</si>
  <si>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</si>
  <si>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</si>
  <si>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</si>
  <si>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</si>
  <si>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</si>
  <si>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</si>
  <si>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</si>
  <si>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</si>
  <si>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</si>
  <si>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</si>
  <si>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</si>
  <si>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</si>
  <si>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</si>
  <si>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</si>
  <si>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</si>
  <si>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</si>
  <si>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</si>
  <si>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</si>
  <si>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</si>
  <si>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</si>
  <si>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</si>
  <si>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</si>
  <si>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</si>
  <si>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</si>
  <si>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</si>
  <si>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</si>
  <si>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</si>
  <si>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</si>
  <si>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</si>
  <si>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</si>
  <si>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</si>
  <si>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</si>
  <si>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</si>
  <si>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</si>
  <si>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</si>
  <si>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</si>
  <si>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</si>
  <si>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</si>
  <si>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</si>
  <si>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</si>
  <si>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</si>
  <si>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</si>
  <si>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</si>
  <si>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</si>
  <si>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</si>
  <si>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</si>
  <si>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</si>
  <si>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</si>
  <si>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</si>
  <si>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</si>
  <si>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</si>
  <si>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</si>
  <si>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</si>
  <si>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</si>
  <si>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</si>
  <si>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</si>
  <si>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</si>
  <si>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</si>
  <si>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</si>
  <si>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</si>
  <si>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</si>
  <si>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</si>
  <si>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</si>
  <si>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</si>
  <si>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</si>
  <si>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</si>
  <si>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</si>
  <si>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</si>
  <si>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</si>
  <si>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</si>
  <si>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</si>
  <si>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</si>
  <si>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</si>
  <si>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</si>
  <si>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</si>
  <si>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</si>
  <si>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</si>
  <si>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</si>
  <si>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</si>
  <si>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</si>
  <si>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</si>
  <si>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</si>
  <si>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</si>
  <si>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</si>
  <si>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</si>
  <si>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</si>
  <si>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</si>
  <si>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</si>
  <si>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</si>
  <si>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</si>
  <si>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</si>
  <si>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</si>
  <si>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</si>
  <si>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</si>
  <si>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</si>
  <si>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</si>
  <si>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</si>
  <si>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</si>
  <si>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</si>
  <si>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</si>
  <si>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</si>
  <si>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</si>
  <si>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</si>
  <si>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</si>
  <si>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</si>
  <si>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</si>
  <si>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</si>
  <si>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</si>
  <si>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</si>
  <si>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</si>
  <si>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</si>
  <si>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</si>
  <si>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</si>
  <si>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</si>
  <si>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</si>
  <si>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</si>
  <si>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</si>
  <si>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</si>
  <si>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</si>
  <si>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</si>
  <si>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</si>
  <si>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</si>
  <si>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</si>
  <si>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</si>
  <si>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</si>
  <si>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</si>
  <si>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</si>
  <si>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</si>
  <si>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</si>
  <si>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</si>
  <si>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</si>
  <si>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</si>
  <si>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</si>
  <si>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</si>
  <si>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</si>
  <si>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</si>
  <si>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</si>
  <si>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</si>
  <si>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</si>
  <si>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</si>
  <si>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</si>
  <si>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</si>
  <si>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</si>
  <si>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</si>
  <si>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</si>
  <si>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</si>
  <si>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</si>
  <si>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</si>
  <si>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</si>
  <si>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</si>
  <si>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</si>
  <si>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</si>
  <si>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</si>
  <si>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</si>
  <si>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</si>
  <si>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</si>
  <si>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</si>
  <si>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</si>
  <si>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</si>
  <si>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</si>
  <si>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</si>
  <si>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</si>
  <si>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</si>
  <si>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</si>
  <si>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</si>
  <si>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</si>
  <si>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</si>
  <si>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</si>
  <si>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</si>
  <si>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</si>
  <si>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</si>
  <si>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</si>
  <si>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</si>
  <si>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</si>
  <si>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</si>
  <si>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</si>
  <si>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</si>
  <si>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</si>
  <si>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</si>
  <si>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</si>
  <si>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</si>
  <si>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</si>
  <si>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</si>
  <si>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</si>
  <si>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</si>
  <si>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</si>
  <si>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</si>
  <si>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</si>
  <si>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</si>
  <si>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</si>
  <si>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</si>
  <si>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</si>
  <si>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</si>
  <si>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</si>
  <si>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</si>
  <si>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</si>
  <si>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</si>
  <si>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</si>
  <si>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</si>
  <si>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</si>
  <si>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</si>
  <si>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</si>
  <si>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</si>
  <si>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</si>
  <si>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</si>
  <si>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</si>
  <si>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</si>
  <si>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</si>
  <si>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</si>
  <si>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</si>
  <si>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</si>
  <si>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</si>
  <si>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</si>
  <si>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</si>
  <si>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</si>
  <si>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</si>
  <si>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</si>
  <si>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</si>
  <si>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</si>
  <si>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</si>
  <si>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</si>
  <si>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</si>
  <si>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</si>
  <si>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</si>
  <si>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</si>
  <si>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</si>
  <si>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</si>
  <si>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</si>
  <si>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</si>
  <si>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</si>
  <si>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</si>
  <si>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</si>
  <si>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</si>
  <si>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</si>
  <si>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</si>
  <si>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</si>
  <si>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</si>
  <si>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</si>
  <si>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</si>
  <si>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</si>
  <si>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</si>
  <si>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</si>
  <si>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</si>
  <si>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</si>
  <si>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</si>
  <si>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</si>
  <si>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</si>
  <si>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</si>
  <si>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</si>
  <si>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</si>
  <si>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</si>
  <si>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</si>
  <si>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</si>
  <si>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</si>
  <si>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</si>
  <si>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</si>
  <si>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</si>
  <si>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</si>
  <si>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</si>
  <si>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</si>
  <si>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</si>
  <si>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</si>
  <si>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</si>
  <si>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</si>
  <si>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</si>
  <si>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</si>
  <si>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</si>
  <si>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</si>
  <si>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</si>
  <si>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</si>
  <si>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</si>
  <si>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</si>
  <si>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</si>
  <si>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</si>
  <si>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</si>
  <si>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</si>
  <si>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</si>
  <si>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</si>
  <si>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</si>
  <si>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</si>
  <si>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</si>
  <si>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</si>
  <si>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</si>
  <si>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</si>
  <si>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</si>
  <si>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</si>
  <si>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</si>
  <si>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</si>
  <si>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</si>
  <si>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</si>
  <si>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</si>
  <si>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</si>
  <si>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</si>
  <si>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</si>
  <si>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</si>
  <si>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</si>
  <si>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</si>
  <si>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</si>
  <si>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</si>
  <si>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</si>
  <si>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</si>
  <si>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</si>
  <si>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</si>
  <si>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</si>
  <si>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</si>
  <si>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</si>
  <si>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</si>
  <si>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</si>
  <si>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</si>
  <si>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</si>
  <si>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</si>
  <si>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</si>
  <si>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</si>
  <si>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</si>
  <si>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</si>
  <si>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</si>
  <si>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</si>
  <si>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</si>
  <si>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</si>
  <si>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</si>
  <si>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</si>
  <si>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</si>
  <si>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</si>
  <si>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</si>
  <si>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</si>
  <si>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</si>
  <si>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</si>
  <si>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</si>
  <si>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</si>
  <si>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</si>
  <si>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</si>
  <si>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</si>
  <si>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</si>
  <si>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</si>
  <si>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</si>
  <si>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</si>
  <si>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</si>
  <si>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</si>
  <si>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</si>
  <si>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</si>
  <si>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</si>
  <si>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</si>
  <si>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</si>
  <si>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</si>
  <si>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</si>
  <si>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</si>
  <si>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</si>
  <si>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</si>
  <si>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</si>
  <si>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</si>
  <si>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</si>
  <si>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</si>
  <si>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</si>
  <si>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</si>
  <si>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</si>
  <si>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</si>
  <si>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</si>
  <si>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</si>
  <si>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</si>
  <si>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</si>
  <si>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</si>
  <si>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</si>
  <si>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</si>
  <si>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</si>
  <si>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</si>
  <si>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</si>
  <si>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</si>
  <si>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</si>
  <si>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</si>
  <si>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</si>
  <si>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</si>
  <si>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</si>
  <si>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</si>
  <si>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</si>
  <si>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</si>
  <si>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</si>
  <si>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</si>
  <si>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</si>
  <si>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</si>
  <si>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</si>
  <si>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</si>
  <si>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</si>
  <si>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</si>
  <si>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</si>
  <si>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</si>
  <si>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</si>
  <si>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</si>
  <si>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</si>
  <si>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</si>
  <si>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</si>
  <si>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</si>
  <si>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</si>
  <si>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</si>
  <si>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</si>
  <si>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</si>
  <si>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</si>
  <si>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</si>
  <si>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</si>
  <si>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</si>
  <si>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</si>
  <si>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</si>
  <si>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</si>
  <si>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</si>
  <si>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</si>
  <si>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</si>
  <si>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</si>
  <si>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</si>
  <si>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</si>
  <si>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</si>
  <si>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</si>
  <si>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</si>
  <si>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</si>
  <si>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</si>
  <si>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</si>
  <si>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</si>
  <si>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</si>
  <si>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</si>
  <si>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</si>
  <si>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</si>
  <si>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</si>
  <si>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</si>
  <si>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</si>
  <si>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</si>
  <si>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</si>
  <si>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</si>
  <si>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</si>
  <si>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</si>
  <si>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</si>
  <si>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</si>
  <si>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</si>
  <si>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</si>
  <si>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</si>
  <si>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</si>
  <si>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</si>
  <si>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</si>
  <si>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</si>
  <si>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</si>
  <si>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</si>
  <si>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</si>
  <si>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</si>
  <si>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</si>
  <si>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</si>
  <si>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</si>
  <si>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</si>
  <si>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</si>
  <si>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</si>
  <si>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</si>
  <si>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</si>
  <si>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</si>
  <si>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</si>
  <si>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</si>
  <si>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</si>
  <si>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</si>
  <si>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</si>
  <si>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</si>
  <si>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</si>
  <si>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</si>
  <si>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</si>
  <si>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</si>
  <si>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</si>
  <si>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</si>
  <si>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</si>
  <si>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</si>
  <si>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</si>
  <si>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</si>
  <si>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</si>
  <si>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</si>
  <si>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</si>
  <si>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</si>
  <si>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</si>
  <si>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</si>
  <si>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</si>
  <si>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</si>
  <si>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</si>
  <si>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</si>
  <si>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</si>
  <si>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</si>
  <si>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</si>
  <si>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</si>
  <si>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</si>
  <si>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</si>
  <si>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</si>
  <si>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</si>
  <si>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</si>
  <si>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</si>
  <si>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</si>
  <si>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</si>
  <si>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</si>
  <si>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</si>
  <si>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</si>
  <si>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</si>
  <si>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</si>
  <si>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</si>
  <si>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</si>
  <si>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</si>
  <si>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</si>
  <si>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</si>
  <si>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</si>
  <si>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</si>
  <si>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</si>
  <si>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</si>
  <si>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</si>
  <si>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</si>
  <si>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</si>
  <si>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</si>
  <si>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</si>
  <si>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</si>
  <si>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</si>
  <si>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</si>
  <si>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</si>
  <si>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</si>
  <si>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</si>
  <si>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</si>
  <si>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</si>
  <si>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</si>
  <si>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</si>
  <si>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</si>
  <si>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</si>
  <si>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</si>
  <si>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</si>
  <si>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</si>
  <si>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</si>
  <si>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</si>
  <si>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</si>
  <si>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</si>
  <si>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</si>
  <si>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</si>
  <si>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</si>
  <si>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</si>
  <si>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</si>
  <si>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</si>
  <si>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</si>
  <si>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</si>
  <si>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</si>
  <si>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</si>
  <si>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</si>
  <si>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</si>
  <si>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</si>
  <si>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</si>
  <si>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</si>
  <si>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</si>
  <si>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</si>
  <si>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</si>
  <si>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</si>
  <si>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</si>
  <si>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</si>
  <si>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</si>
  <si>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</si>
  <si>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</si>
  <si>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</si>
  <si>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</si>
  <si>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</si>
  <si>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</si>
  <si>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</si>
  <si>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</si>
  <si>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</si>
  <si>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</si>
  <si>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</si>
  <si>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</si>
  <si>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</si>
  <si>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</si>
  <si>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</si>
  <si>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</si>
  <si>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</si>
  <si>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</si>
  <si>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</si>
  <si>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</si>
  <si>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</si>
  <si>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</si>
  <si>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</si>
  <si>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</si>
  <si>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</si>
  <si>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</si>
  <si>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</si>
  <si>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</si>
  <si>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</si>
  <si>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</si>
  <si>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</si>
  <si>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</si>
  <si>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</si>
  <si>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</si>
  <si>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</si>
  <si>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</si>
  <si>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</si>
  <si>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</si>
  <si>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</si>
  <si>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</si>
  <si>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</si>
  <si>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</si>
  <si>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</si>
  <si>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</si>
  <si>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</si>
  <si>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</si>
  <si>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</si>
  <si>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</si>
  <si>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</si>
  <si>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</si>
  <si>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</si>
  <si>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</si>
  <si>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</si>
  <si>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</si>
  <si>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</si>
  <si>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</si>
  <si>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</si>
  <si>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</si>
  <si>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</si>
  <si>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</si>
  <si>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</si>
  <si>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</si>
  <si>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</si>
  <si>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</si>
  <si>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</si>
  <si>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</si>
  <si>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</si>
  <si>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</si>
  <si>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</si>
  <si>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</si>
  <si>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</si>
  <si>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</si>
  <si>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</si>
  <si>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</si>
  <si>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</si>
  <si>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</si>
  <si>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</si>
  <si>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</si>
  <si>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</si>
  <si>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</si>
  <si>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</si>
  <si>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</si>
  <si>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</si>
  <si>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</si>
  <si>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</si>
  <si>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</si>
  <si>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</si>
  <si>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</si>
  <si>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</si>
  <si>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</si>
  <si>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</si>
  <si>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</si>
  <si>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</si>
  <si>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</si>
  <si>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</si>
  <si>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</si>
  <si>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</si>
  <si>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</si>
  <si>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</si>
  <si>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</si>
  <si>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</si>
  <si>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</si>
  <si>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</si>
  <si>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</si>
  <si>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</si>
  <si>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</si>
  <si>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</si>
  <si>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</si>
  <si>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</si>
  <si>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</si>
  <si>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</si>
  <si>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</si>
  <si>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</si>
  <si>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</si>
  <si>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</si>
  <si>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</si>
  <si>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</si>
  <si>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</si>
  <si>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</si>
  <si>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</si>
  <si>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</si>
  <si>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</si>
  <si>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</si>
  <si>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</si>
  <si>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</si>
  <si>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</si>
  <si>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</si>
  <si>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</si>
  <si>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</si>
  <si>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</si>
  <si>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</si>
  <si>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</si>
  <si>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</si>
  <si>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</si>
  <si>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</si>
  <si>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</si>
  <si>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</si>
  <si>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</si>
  <si>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</si>
  <si>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</si>
  <si>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</si>
  <si>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</si>
  <si>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</si>
  <si>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</si>
  <si>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</si>
  <si>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</si>
  <si>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</si>
  <si>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</si>
  <si>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</si>
  <si>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</si>
  <si>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</si>
  <si>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</si>
  <si>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</si>
  <si>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</si>
  <si>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</si>
  <si>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</si>
  <si>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</si>
  <si>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</si>
  <si>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</si>
  <si>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</si>
  <si>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</si>
  <si>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</si>
  <si>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</si>
  <si>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</si>
  <si>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</si>
  <si>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</si>
  <si>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</si>
  <si>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</si>
  <si>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</si>
  <si>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</si>
  <si>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</si>
  <si>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</si>
  <si>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</si>
  <si>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</si>
  <si>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</si>
  <si>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</si>
  <si>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</si>
  <si>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</si>
  <si>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</si>
  <si>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</si>
  <si>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</si>
  <si>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</si>
  <si>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</si>
  <si>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</si>
  <si>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</si>
  <si>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</si>
  <si>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</si>
  <si>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</si>
  <si>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</si>
  <si>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</si>
  <si>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</si>
  <si>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</si>
  <si>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</si>
  <si>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</si>
  <si>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</si>
  <si>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</si>
  <si>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</si>
  <si>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</si>
  <si>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</si>
  <si>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</si>
  <si>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</si>
  <si>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</si>
  <si>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</si>
  <si>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</si>
  <si>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</si>
  <si>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</si>
  <si>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</si>
  <si>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</si>
  <si>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</si>
  <si>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</si>
  <si>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</si>
  <si>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</si>
  <si>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</si>
  <si>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</si>
  <si>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</si>
  <si>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</si>
  <si>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</si>
  <si>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</si>
  <si>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</si>
  <si>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</si>
  <si>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</si>
  <si>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</si>
  <si>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</si>
  <si>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</si>
  <si>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</si>
  <si>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</si>
  <si>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</si>
  <si>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</si>
  <si>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</si>
  <si>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</si>
  <si>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</si>
  <si>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</si>
  <si>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</si>
  <si>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</si>
  <si>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</si>
  <si>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</si>
  <si>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</si>
  <si>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</si>
  <si>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</si>
  <si>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</si>
  <si>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</si>
  <si>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</si>
  <si>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</si>
  <si>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</si>
  <si>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</si>
  <si>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</si>
  <si>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</si>
  <si>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</si>
  <si>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</si>
  <si>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</si>
  <si>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</si>
  <si>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</si>
  <si>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</si>
  <si>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</si>
  <si>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</si>
  <si>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</si>
  <si>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</si>
  <si>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</si>
  <si>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</si>
  <si>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</si>
  <si>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</si>
  <si>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</si>
  <si>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</si>
  <si>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</si>
  <si>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</si>
  <si>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</si>
  <si>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</si>
  <si>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</si>
  <si>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</si>
  <si>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</si>
  <si>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</si>
  <si>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</si>
  <si>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</si>
  <si>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</si>
  <si>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</si>
  <si>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</si>
  <si>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</si>
  <si>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</si>
  <si>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</si>
  <si>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</si>
  <si>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</si>
  <si>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</si>
  <si>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</si>
  <si>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</si>
  <si>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</si>
  <si>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</si>
  <si>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</si>
  <si>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</si>
  <si>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</si>
  <si>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</si>
  <si>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</si>
  <si>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</si>
  <si>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</si>
  <si>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</si>
  <si>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</si>
  <si>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</si>
  <si>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</si>
  <si>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</si>
  <si>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</si>
  <si>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</si>
  <si>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</si>
  <si>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</si>
  <si>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</si>
  <si>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</si>
  <si>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</si>
  <si>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</si>
  <si>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</si>
  <si>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</si>
  <si>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</si>
  <si>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</si>
  <si>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</si>
  <si>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</si>
  <si>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</si>
  <si>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</si>
  <si>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</si>
  <si>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</si>
  <si>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</si>
  <si>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</si>
  <si>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</si>
  <si>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</si>
  <si>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</si>
  <si>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</si>
  <si>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</si>
  <si>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</si>
  <si>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</si>
  <si>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</si>
  <si>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</si>
  <si>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</si>
  <si>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</si>
  <si>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</si>
  <si>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</si>
  <si>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</si>
  <si>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</si>
  <si>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</si>
  <si>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</si>
  <si>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</si>
  <si>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</si>
  <si>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</si>
  <si>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</si>
  <si>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</si>
  <si>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</si>
  <si>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</si>
  <si>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</si>
  <si>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</si>
  <si>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</si>
  <si>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</si>
  <si>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</si>
  <si>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</si>
  <si>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</si>
  <si>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</si>
  <si>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</si>
  <si>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</si>
  <si>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</si>
  <si>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</si>
  <si>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</si>
  <si>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</si>
  <si>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</si>
  <si>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</si>
  <si>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</si>
  <si>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</si>
  <si>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</si>
  <si>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</si>
  <si>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</si>
  <si>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</si>
  <si>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</si>
  <si>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</si>
  <si>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</si>
  <si>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</si>
  <si>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</si>
  <si>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</si>
  <si>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</si>
  <si>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</si>
  <si>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</si>
  <si>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</si>
  <si>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</si>
  <si>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</si>
  <si>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</si>
  <si>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</si>
  <si>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</si>
  <si>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</si>
  <si>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</si>
  <si>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</si>
  <si>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</si>
  <si>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</si>
  <si>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</si>
  <si>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</si>
  <si>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</si>
  <si>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</si>
  <si>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</si>
  <si>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</si>
  <si>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</si>
  <si>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</si>
  <si>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</si>
  <si>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</si>
  <si>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</si>
  <si>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</si>
  <si>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</si>
  <si>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</si>
  <si>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</si>
  <si>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</si>
  <si>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</si>
  <si>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</si>
  <si>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</si>
  <si>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</si>
  <si>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</si>
  <si>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</si>
  <si>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</si>
  <si>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</si>
  <si>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</si>
  <si>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</si>
  <si>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</si>
  <si>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</si>
  <si>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</si>
  <si>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</si>
  <si>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</si>
  <si>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</si>
  <si>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</si>
  <si>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</si>
  <si>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</si>
  <si>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</si>
  <si>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</si>
  <si>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</si>
  <si>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</si>
  <si>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</si>
  <si>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</si>
  <si>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</si>
  <si>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</si>
  <si>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</si>
  <si>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</si>
  <si>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</si>
  <si>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</si>
  <si>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</si>
  <si>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</si>
  <si>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</si>
  <si>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</si>
  <si>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</si>
  <si>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</si>
  <si>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</si>
  <si>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</si>
  <si>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</si>
  <si>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</si>
  <si>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</si>
  <si>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</si>
  <si>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</si>
  <si>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</si>
  <si>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</si>
  <si>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</si>
  <si>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</si>
  <si>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</si>
  <si>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</si>
  <si>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</si>
  <si>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</si>
  <si>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</si>
  <si>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</si>
  <si>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</si>
  <si>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</si>
  <si>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</si>
  <si>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</si>
  <si>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</si>
  <si>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</si>
  <si>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</si>
  <si>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</si>
  <si>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</si>
  <si>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</si>
  <si>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</si>
  <si>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</si>
  <si>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</si>
  <si>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</si>
  <si>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</si>
  <si>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</si>
  <si>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</si>
  <si>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</si>
  <si>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</si>
  <si>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</si>
  <si>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</si>
  <si>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</si>
  <si>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</si>
  <si>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</si>
  <si>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</si>
  <si>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</si>
  <si>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</si>
  <si>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</si>
  <si>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</si>
  <si>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</si>
  <si>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</si>
  <si>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</si>
  <si>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</si>
  <si>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</si>
  <si>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</si>
  <si>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</si>
  <si>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</si>
  <si>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</si>
  <si>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</si>
  <si>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</si>
  <si>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</si>
  <si>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</si>
  <si>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</si>
  <si>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</si>
  <si>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</si>
  <si>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</si>
  <si>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</si>
  <si>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</si>
  <si>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</si>
  <si>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</si>
  <si>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</si>
  <si>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</si>
  <si>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</si>
  <si>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</si>
  <si>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</si>
  <si>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</si>
  <si>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</si>
  <si>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</si>
  <si>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</si>
  <si>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</si>
  <si>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</si>
  <si>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</si>
  <si>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</si>
  <si>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</si>
  <si>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</si>
  <si>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</si>
  <si>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</si>
  <si>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</si>
  <si>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</si>
  <si>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</si>
  <si>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</si>
  <si>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</si>
  <si>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</si>
  <si>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</si>
  <si>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</si>
  <si>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</si>
  <si>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</si>
  <si>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</si>
  <si>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</si>
  <si>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</si>
  <si>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</si>
  <si>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</si>
  <si>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</si>
  <si>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</si>
  <si>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</si>
  <si>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</si>
  <si>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</si>
  <si>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</si>
  <si>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</si>
  <si>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</si>
  <si>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</si>
  <si>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</si>
  <si>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</si>
  <si>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</si>
  <si>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</si>
  <si>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</si>
  <si>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</si>
  <si>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</si>
  <si>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</si>
  <si>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</si>
  <si>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</si>
  <si>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</si>
  <si>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</si>
  <si>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</si>
  <si>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</si>
  <si>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</si>
  <si>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</si>
  <si>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</si>
  <si>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</si>
  <si>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</si>
  <si>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</si>
  <si>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</si>
  <si>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</si>
  <si>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</si>
  <si>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</si>
  <si>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</si>
  <si>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</si>
  <si>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</si>
  <si>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</si>
  <si>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</si>
  <si>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</si>
  <si>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</si>
  <si>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</si>
  <si>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</si>
  <si>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</si>
  <si>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</si>
  <si>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</si>
  <si>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</si>
  <si>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</si>
  <si>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</si>
  <si>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</si>
  <si>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</si>
  <si>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</si>
  <si>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</si>
  <si>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</si>
  <si>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</si>
  <si>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</si>
  <si>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</si>
  <si>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</si>
  <si>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</si>
  <si>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</si>
  <si>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</si>
  <si>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</si>
  <si>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</si>
  <si>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</si>
  <si>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</si>
  <si>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</si>
  <si>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</si>
  <si>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</si>
  <si>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</si>
  <si>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</si>
  <si>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</si>
  <si>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</si>
  <si>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</si>
  <si>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</si>
  <si>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</si>
  <si>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</si>
  <si>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</si>
  <si>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</si>
  <si>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</si>
  <si>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</si>
  <si>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</si>
  <si>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</si>
  <si>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</si>
  <si>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</si>
  <si>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</si>
  <si>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</si>
  <si>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</si>
  <si>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</si>
  <si>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</si>
  <si>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</si>
  <si>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</si>
  <si>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</si>
  <si>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</si>
  <si>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</si>
  <si>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</si>
  <si>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</si>
  <si>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</si>
  <si>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</si>
  <si>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</si>
  <si>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</si>
  <si>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</si>
  <si>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</si>
  <si>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</si>
  <si>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</si>
  <si>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</si>
  <si>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</si>
  <si>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</si>
  <si>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</si>
  <si>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</si>
  <si>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</si>
  <si>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</si>
  <si>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</si>
  <si>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</si>
  <si>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</si>
  <si>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</si>
  <si>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</si>
  <si>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</si>
  <si>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</si>
  <si>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</si>
  <si>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</si>
  <si>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</si>
  <si>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</si>
  <si>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</si>
  <si>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</si>
  <si>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</si>
  <si>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</si>
  <si>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</si>
  <si>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</si>
  <si>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</si>
  <si>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</si>
  <si>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</si>
  <si>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</si>
  <si>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</si>
  <si>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</si>
  <si>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</si>
  <si>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</si>
  <si>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</si>
  <si>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</si>
  <si>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</si>
  <si>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</si>
  <si>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</si>
  <si>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</si>
  <si>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</si>
  <si>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</si>
  <si>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</si>
  <si>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</si>
  <si>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</si>
  <si>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</si>
  <si>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</si>
  <si>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</si>
  <si>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</si>
  <si>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</si>
  <si>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</si>
  <si>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</si>
  <si>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</si>
  <si>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</si>
  <si>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</si>
  <si>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</si>
  <si>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</si>
  <si>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</si>
  <si>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</si>
  <si>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</si>
  <si>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</si>
  <si>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</si>
  <si>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</si>
  <si>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</si>
  <si>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</si>
  <si>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</si>
  <si>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</si>
  <si>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</si>
  <si>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</si>
  <si>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</si>
  <si>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</si>
  <si>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</si>
  <si>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</si>
  <si>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</si>
  <si>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</si>
  <si>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</si>
  <si>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</si>
  <si>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</si>
  <si>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</si>
  <si>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</si>
  <si>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</si>
  <si>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</si>
  <si>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</si>
  <si>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</si>
  <si>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</si>
  <si>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</si>
  <si>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</si>
  <si>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</si>
  <si>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</si>
  <si>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</si>
  <si>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</si>
  <si>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</si>
  <si>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</si>
  <si>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</si>
  <si>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</si>
  <si>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</si>
  <si>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</si>
  <si>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</si>
  <si>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</si>
  <si>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</si>
  <si>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</si>
  <si>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</si>
  <si>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</si>
  <si>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</si>
  <si>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</si>
  <si>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</si>
  <si>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</si>
  <si>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</si>
  <si>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</si>
  <si>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</si>
  <si>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</si>
  <si>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</si>
  <si>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</si>
  <si>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</si>
  <si>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</si>
  <si>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</si>
  <si>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</si>
  <si>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</si>
  <si>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</si>
  <si>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</si>
  <si>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</si>
  <si>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</si>
  <si>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</si>
  <si>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</si>
  <si>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</si>
  <si>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</si>
  <si>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</si>
  <si>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</si>
  <si>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</si>
  <si>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</si>
  <si>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</si>
  <si>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</si>
  <si>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</si>
  <si>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</si>
  <si>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</si>
  <si>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</si>
  <si>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</si>
  <si>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</si>
  <si>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</si>
  <si>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</si>
  <si>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</si>
  <si>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</si>
  <si>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</si>
  <si>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</si>
  <si>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</si>
  <si>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</si>
  <si>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</si>
  <si>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</si>
  <si>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</si>
  <si>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</si>
  <si>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</si>
  <si>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</si>
  <si>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</si>
  <si>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</si>
  <si>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</si>
  <si>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</si>
  <si>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</si>
  <si>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</si>
  <si>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</si>
  <si>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</si>
  <si>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</si>
  <si>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</si>
  <si>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</si>
  <si>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</si>
  <si>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</si>
  <si>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</si>
  <si>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</si>
  <si>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</si>
  <si>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</si>
  <si>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</si>
  <si>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</si>
  <si>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</si>
  <si>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</si>
  <si>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</si>
  <si>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</si>
  <si>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</si>
  <si>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</si>
  <si>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</si>
  <si>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</si>
  <si>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</si>
  <si>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</si>
  <si>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</si>
  <si>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</si>
  <si>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</si>
  <si>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</si>
  <si>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</si>
  <si>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</si>
  <si>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</si>
  <si>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</si>
  <si>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</si>
  <si>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</si>
  <si>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</si>
  <si>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</si>
  <si>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</si>
  <si>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</si>
  <si>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</si>
  <si>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</si>
  <si>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</si>
  <si>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</si>
  <si>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</si>
  <si>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</si>
  <si>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</si>
  <si>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</si>
  <si>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</si>
  <si>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</si>
  <si>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</si>
  <si>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</si>
  <si>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</si>
  <si>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</si>
  <si>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</si>
  <si>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</si>
  <si>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</si>
  <si>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</si>
  <si>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</si>
  <si>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</si>
  <si>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</si>
  <si>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</si>
  <si>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</si>
  <si>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</si>
  <si>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</si>
  <si>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</si>
  <si>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</si>
  <si>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</si>
  <si>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</si>
  <si>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</si>
  <si>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</si>
  <si>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</si>
  <si>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</si>
  <si>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</si>
  <si>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</si>
  <si>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</si>
  <si>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</si>
  <si>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</si>
  <si>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</si>
  <si>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</si>
  <si>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</si>
  <si>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</si>
  <si>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</si>
  <si>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</si>
  <si>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</si>
  <si>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</si>
  <si>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</si>
  <si>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</si>
  <si>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</si>
  <si>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</si>
  <si>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</si>
  <si>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</si>
  <si>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</si>
  <si>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</si>
  <si>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</si>
  <si>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</si>
  <si>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</si>
  <si>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</si>
  <si>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</si>
  <si>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</si>
  <si>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</si>
  <si>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</si>
  <si>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</si>
  <si>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</si>
  <si>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</si>
  <si>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</si>
  <si>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</si>
  <si>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</si>
  <si>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</si>
  <si>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</si>
  <si>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</si>
  <si>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</si>
  <si>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</si>
  <si>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</si>
  <si>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</si>
  <si>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</si>
  <si>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</si>
  <si>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</si>
  <si>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</si>
  <si>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</si>
  <si>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</si>
  <si>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</si>
  <si>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</si>
  <si>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</si>
  <si>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</si>
  <si>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</si>
  <si>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</si>
  <si>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</si>
  <si>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</si>
  <si>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</si>
  <si>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</si>
  <si>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</si>
  <si>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</si>
  <si>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</si>
  <si>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</si>
  <si>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</si>
  <si>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</si>
  <si>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</si>
  <si>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</si>
  <si>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</si>
  <si>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</si>
  <si>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</si>
  <si>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</si>
  <si>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</si>
  <si>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</si>
  <si>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</si>
  <si>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</si>
  <si>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</si>
  <si>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</si>
  <si>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</si>
  <si>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</si>
  <si>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</si>
  <si>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</si>
  <si>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</si>
  <si>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</si>
  <si>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</si>
  <si>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</si>
  <si>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</si>
  <si>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</si>
  <si>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</si>
  <si>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</si>
  <si>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</si>
  <si>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</si>
  <si>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</si>
  <si>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</si>
  <si>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</si>
  <si>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</si>
  <si>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</si>
  <si>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</si>
  <si>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</si>
  <si>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</si>
  <si>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</si>
  <si>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</si>
  <si>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</si>
  <si>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</si>
  <si>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</si>
  <si>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</si>
  <si>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</si>
  <si>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</si>
  <si>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</si>
  <si>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</si>
  <si>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</si>
  <si>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</si>
  <si>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</si>
  <si>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</si>
  <si>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</si>
  <si>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</si>
  <si>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</si>
  <si>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</si>
  <si>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</si>
  <si>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</si>
  <si>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</si>
  <si>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</si>
  <si>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</si>
  <si>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</si>
  <si>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</si>
  <si>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</si>
  <si>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</si>
  <si>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</si>
  <si>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</si>
  <si>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</si>
  <si>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</si>
  <si>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</si>
  <si>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</si>
  <si>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</si>
  <si>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</si>
  <si>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</si>
  <si>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</si>
  <si>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</si>
  <si>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</si>
  <si>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</si>
  <si>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</si>
  <si>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</si>
  <si>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</si>
  <si>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</si>
  <si>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</si>
  <si>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</si>
  <si>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</si>
  <si>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</si>
  <si>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</si>
  <si>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</si>
  <si>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</si>
  <si>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</si>
  <si>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</si>
  <si>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</si>
  <si>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</si>
  <si>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</si>
  <si>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</si>
  <si>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</si>
  <si>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</si>
  <si>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</si>
  <si>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</si>
  <si>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</si>
  <si>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</si>
  <si>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</si>
  <si>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</si>
  <si>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</si>
  <si>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</si>
  <si>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</si>
  <si>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</si>
  <si>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</si>
  <si>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</si>
  <si>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</si>
  <si>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</si>
  <si>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</si>
  <si>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</si>
  <si>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</si>
  <si>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</si>
  <si>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</si>
  <si>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</si>
  <si>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</si>
  <si>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</si>
  <si>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</si>
  <si>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</si>
  <si>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</si>
  <si>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</si>
  <si>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</si>
  <si>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</si>
  <si>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</si>
  <si>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</si>
  <si>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</si>
  <si>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</si>
  <si>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</si>
  <si>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</si>
  <si>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</si>
  <si>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</si>
  <si>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</si>
  <si>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</si>
  <si>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</si>
  <si>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</si>
  <si>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</si>
  <si>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</si>
  <si>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</si>
  <si>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</si>
  <si>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</si>
  <si>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</si>
  <si>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</si>
  <si>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</si>
  <si>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</si>
  <si>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</si>
  <si>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</si>
  <si>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</si>
  <si>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</si>
  <si>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</si>
  <si>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</si>
  <si>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</si>
  <si>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</si>
  <si>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</si>
  <si>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</si>
  <si>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</si>
  <si>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</si>
  <si>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</si>
  <si>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</si>
  <si>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</si>
  <si>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</si>
  <si>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</si>
  <si>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</si>
  <si>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</si>
  <si>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</si>
  <si>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</si>
  <si>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</si>
  <si>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</si>
  <si>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</si>
  <si>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</si>
  <si>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</si>
  <si>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</si>
  <si>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</si>
  <si>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</si>
  <si>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</si>
  <si>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</si>
  <si>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</si>
  <si>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</si>
  <si>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</si>
  <si>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</si>
  <si>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</si>
  <si>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</si>
  <si>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</si>
  <si>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</si>
  <si>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</si>
  <si>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</si>
  <si>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</si>
  <si>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</si>
  <si>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</si>
  <si>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</si>
  <si>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</si>
  <si>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</si>
  <si>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</si>
  <si>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</si>
  <si>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</si>
  <si>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</si>
  <si>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</si>
  <si>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</si>
  <si>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</si>
  <si>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</si>
  <si>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</si>
  <si>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</si>
  <si>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</si>
  <si>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</si>
  <si>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</si>
  <si>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</si>
  <si>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</si>
  <si>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</si>
  <si>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</si>
  <si>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</si>
  <si>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</si>
  <si>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</si>
  <si>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</si>
  <si>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</si>
  <si>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</si>
  <si>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</si>
  <si>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</si>
  <si>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</si>
  <si>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</si>
  <si>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</si>
  <si>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</si>
  <si>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</si>
  <si>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</si>
  <si>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</si>
  <si>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</si>
  <si>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</si>
  <si>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</si>
  <si>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</si>
  <si>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</si>
  <si>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</si>
  <si>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</si>
  <si>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</si>
  <si>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</si>
  <si>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</si>
  <si>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</si>
  <si>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</si>
  <si>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</si>
  <si>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</si>
  <si>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</si>
  <si>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</si>
  <si>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</si>
  <si>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</si>
  <si>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</si>
  <si>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</si>
  <si>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</si>
  <si>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</si>
  <si>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</si>
  <si>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</si>
  <si>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</si>
  <si>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</si>
  <si>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</si>
  <si>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</si>
  <si>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</si>
  <si>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</si>
  <si>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</si>
  <si>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</si>
  <si>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</si>
  <si>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</si>
  <si>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</si>
  <si>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</si>
  <si>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</si>
  <si>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</si>
  <si>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</si>
  <si>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</si>
  <si>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</si>
  <si>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</si>
  <si>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</si>
  <si>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</si>
  <si>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</si>
  <si>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</si>
  <si>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</si>
  <si>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</si>
  <si>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</si>
  <si>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</si>
  <si>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</si>
  <si>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</si>
  <si>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</si>
  <si>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</si>
  <si>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</si>
  <si>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</si>
  <si>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</si>
  <si>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</si>
  <si>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</si>
  <si>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</si>
  <si>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</si>
  <si>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</si>
  <si>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</si>
  <si>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</si>
  <si>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</si>
  <si>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</si>
  <si>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</si>
  <si>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</si>
  <si>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</si>
  <si>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</si>
  <si>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</si>
  <si>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</si>
  <si>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</si>
  <si>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</si>
  <si>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</si>
  <si>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</si>
  <si>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</si>
  <si>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</si>
  <si>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</si>
  <si>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</si>
  <si>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</si>
  <si>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</si>
  <si>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</si>
  <si>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</si>
  <si>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</si>
  <si>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</si>
  <si>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</si>
  <si>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</si>
  <si>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</si>
  <si>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</si>
  <si>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</si>
  <si>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</si>
  <si>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</si>
  <si>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</si>
  <si>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</si>
  <si>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</si>
  <si>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</si>
  <si>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</si>
  <si>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</si>
  <si>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</si>
  <si>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</si>
  <si>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</si>
  <si>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</si>
  <si>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</si>
  <si>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</si>
  <si>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</si>
  <si>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</si>
  <si>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</si>
  <si>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</si>
  <si>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</si>
  <si>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</si>
  <si>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</si>
  <si>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</si>
  <si>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</si>
  <si>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</si>
  <si>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</si>
  <si>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</si>
  <si>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</si>
  <si>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</si>
  <si>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</si>
  <si>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</si>
  <si>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</si>
  <si>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</si>
  <si>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</si>
  <si>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</si>
  <si>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</si>
  <si>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</si>
  <si>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</si>
  <si>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</si>
  <si>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</si>
  <si>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</si>
  <si>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</si>
  <si>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</si>
  <si>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</si>
  <si>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</si>
  <si>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</si>
  <si>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</si>
  <si>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</si>
  <si>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</si>
  <si>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</si>
  <si>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</si>
  <si>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</si>
  <si>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</si>
  <si>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</si>
  <si>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</si>
  <si>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</si>
  <si>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</si>
  <si>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</si>
  <si>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</si>
  <si>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</si>
  <si>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</si>
  <si>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</si>
  <si>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</si>
  <si>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</si>
  <si>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</si>
  <si>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</si>
  <si>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</si>
  <si>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</si>
  <si>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</si>
  <si>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</si>
  <si>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</si>
  <si>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</si>
  <si>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</si>
  <si>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</si>
  <si>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</si>
  <si>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</si>
  <si>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</si>
  <si>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</si>
  <si>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</si>
  <si>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</si>
  <si>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</si>
  <si>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</si>
  <si>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</si>
  <si>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</si>
  <si>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</si>
  <si>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</si>
  <si>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</si>
  <si>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</si>
  <si>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</si>
  <si>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</si>
  <si>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</si>
  <si>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</si>
  <si>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</si>
  <si>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</si>
  <si>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</si>
  <si>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</si>
  <si>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</si>
  <si>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</si>
  <si>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</si>
  <si>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</si>
  <si>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</si>
  <si>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</si>
  <si>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</si>
  <si>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</si>
  <si>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</si>
  <si>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</si>
  <si>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</si>
  <si>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</si>
  <si>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</si>
  <si>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</si>
  <si>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</si>
  <si>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</si>
  <si>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</si>
  <si>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</si>
  <si>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</si>
  <si>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</si>
  <si>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</si>
  <si>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</si>
  <si>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</si>
  <si>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</si>
  <si>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</si>
  <si>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</si>
  <si>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</si>
  <si>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</si>
  <si>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</si>
  <si>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</si>
  <si>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</si>
  <si>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</si>
  <si>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</si>
  <si>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</si>
  <si>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</si>
  <si>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</si>
  <si>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</si>
  <si>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</si>
  <si>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</si>
  <si>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</si>
  <si>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</si>
  <si>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</si>
  <si>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</si>
  <si>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</si>
  <si>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</si>
  <si>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</si>
  <si>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</si>
  <si>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</si>
  <si>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</si>
  <si>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</si>
  <si>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</si>
  <si>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</si>
  <si>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</si>
  <si>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</si>
  <si>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</si>
  <si>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</si>
  <si>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</si>
  <si>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</si>
  <si>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</si>
  <si>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</si>
  <si>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</si>
  <si>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</si>
  <si>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</si>
  <si>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</si>
  <si>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</si>
  <si>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</si>
  <si>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</si>
  <si>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</si>
  <si>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</si>
  <si>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</si>
  <si>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</si>
  <si>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</si>
  <si>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</si>
  <si>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</si>
  <si>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</si>
  <si>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</si>
  <si>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</si>
  <si>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</si>
  <si>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</si>
  <si>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</si>
  <si>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</si>
  <si>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</si>
  <si>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</si>
  <si>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</si>
  <si>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</si>
  <si>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</si>
  <si>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</si>
  <si>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</si>
  <si>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</si>
  <si>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</si>
  <si>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</si>
  <si>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</si>
  <si>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</si>
  <si>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</si>
  <si>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</si>
  <si>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</si>
  <si>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</si>
  <si>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</si>
  <si>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</si>
  <si>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</si>
  <si>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</si>
  <si>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</si>
  <si>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</si>
  <si>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</si>
  <si>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</si>
  <si>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</si>
  <si>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</si>
  <si>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</si>
  <si>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</si>
  <si>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</si>
  <si>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</si>
  <si>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</si>
  <si>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</si>
  <si>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</si>
  <si>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</si>
  <si>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</si>
  <si>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</si>
  <si>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</si>
  <si>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</si>
  <si>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</si>
  <si>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</si>
  <si>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</si>
  <si>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</si>
  <si>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</si>
  <si>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</si>
  <si>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</si>
  <si>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</si>
  <si>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</si>
  <si>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</si>
  <si>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</si>
  <si>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</si>
  <si>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</si>
  <si>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</si>
  <si>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</si>
  <si>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</si>
  <si>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</si>
  <si>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</si>
  <si>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</si>
  <si>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</si>
  <si>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</si>
  <si>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</si>
  <si>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</si>
  <si>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</si>
  <si>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</si>
  <si>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</si>
  <si>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</si>
  <si>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</si>
  <si>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</si>
  <si>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</si>
  <si>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</si>
  <si>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</si>
  <si>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</si>
  <si>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</si>
  <si>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</si>
  <si>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</si>
  <si>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</si>
  <si>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</si>
  <si>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</si>
  <si>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</si>
  <si>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</si>
  <si>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</si>
  <si>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</si>
  <si>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</si>
  <si>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</si>
  <si>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</si>
  <si>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</si>
  <si>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</si>
  <si>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</si>
  <si>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</si>
  <si>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</si>
  <si>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</si>
  <si>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</si>
  <si>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</si>
  <si>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</si>
  <si>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</si>
  <si>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</si>
  <si>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</si>
  <si>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</si>
  <si>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</si>
  <si>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</si>
  <si>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</si>
  <si>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</si>
  <si>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</si>
  <si>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</si>
  <si>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</si>
  <si>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</si>
  <si>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</si>
  <si>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</si>
  <si>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</si>
  <si>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</si>
  <si>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</si>
  <si>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</si>
  <si>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</si>
  <si>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</si>
  <si>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</si>
  <si>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</si>
  <si>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</si>
  <si>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</si>
  <si>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</si>
  <si>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</si>
  <si>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</si>
  <si>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</si>
  <si>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</si>
  <si>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</si>
  <si>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</si>
  <si>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</si>
  <si>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</si>
  <si>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</si>
  <si>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</si>
  <si>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</si>
  <si>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</si>
  <si>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</si>
  <si>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</si>
  <si>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</si>
  <si>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</si>
  <si>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</si>
  <si>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</si>
  <si>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</si>
  <si>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</si>
  <si>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</si>
  <si>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</si>
  <si>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</si>
  <si>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</si>
  <si>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</si>
  <si>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</si>
  <si>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</si>
  <si>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</si>
  <si>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</si>
  <si>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</si>
  <si>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</si>
  <si>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</si>
  <si>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</si>
  <si>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</si>
  <si>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</si>
  <si>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</si>
  <si>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</si>
  <si>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</si>
  <si>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</si>
  <si>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</si>
  <si>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</si>
  <si>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</si>
  <si>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</si>
  <si>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</si>
  <si>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</si>
  <si>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</si>
  <si>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</si>
  <si>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</si>
  <si>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</si>
  <si>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</si>
  <si>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</si>
  <si>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</si>
  <si>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</si>
  <si>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</si>
  <si>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</si>
  <si>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</si>
  <si>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</si>
  <si>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</si>
  <si>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</si>
  <si>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</si>
  <si>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</si>
  <si>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</si>
  <si>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</si>
  <si>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</si>
  <si>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</si>
  <si>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</si>
  <si>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</si>
  <si>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</si>
  <si>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</si>
  <si>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</si>
  <si>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</si>
  <si>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</si>
  <si>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</si>
  <si>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</si>
  <si>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</si>
  <si>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</si>
  <si>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</si>
  <si>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</si>
  <si>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</si>
  <si>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</si>
  <si>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</si>
  <si>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</si>
  <si>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</si>
  <si>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</si>
  <si>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</si>
  <si>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</si>
  <si>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</si>
  <si>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</si>
  <si>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</si>
  <si>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</si>
  <si>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</si>
  <si>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</si>
  <si>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</si>
  <si>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</si>
  <si>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</si>
  <si>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</si>
  <si>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</si>
  <si>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</si>
  <si>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</si>
  <si>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</si>
  <si>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</si>
  <si>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</si>
  <si>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</si>
  <si>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</si>
  <si>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</si>
  <si>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</si>
  <si>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</si>
  <si>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</si>
  <si>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</si>
  <si>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</si>
  <si>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</si>
  <si>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</si>
  <si>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</si>
  <si>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</si>
  <si>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</si>
  <si>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</si>
  <si>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</si>
  <si>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</si>
  <si>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</si>
  <si>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</si>
  <si>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</si>
  <si>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</si>
  <si>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</si>
  <si>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</si>
  <si>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</si>
  <si>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</si>
  <si>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</si>
  <si>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</si>
  <si>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</si>
  <si>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</si>
  <si>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</si>
  <si>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</si>
  <si>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</si>
  <si>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</si>
  <si>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</si>
  <si>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</si>
  <si>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</si>
  <si>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</si>
  <si>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</si>
  <si>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</si>
  <si>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</si>
  <si>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</si>
  <si>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</si>
  <si>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</si>
  <si>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</si>
  <si>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</si>
  <si>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</si>
  <si>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</si>
  <si>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</si>
  <si>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</si>
  <si>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</si>
  <si>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</si>
  <si>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</si>
  <si>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</si>
  <si>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</si>
  <si>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</si>
  <si>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</si>
  <si>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</si>
  <si>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</si>
  <si>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</si>
  <si>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</si>
  <si>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</si>
  <si>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</si>
  <si>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</si>
  <si>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</si>
  <si>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</si>
  <si>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</si>
  <si>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</si>
  <si>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</si>
  <si>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</si>
  <si>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</si>
  <si>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</si>
  <si>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</si>
  <si>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</si>
  <si>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</si>
  <si>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</si>
  <si>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</si>
  <si>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</si>
  <si>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</si>
  <si>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</si>
  <si>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</si>
  <si>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</si>
  <si>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</si>
  <si>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</si>
  <si>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</si>
  <si>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</si>
  <si>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</si>
  <si>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</si>
  <si>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</si>
  <si>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</si>
  <si>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</si>
  <si>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</si>
  <si>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</si>
  <si>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</si>
  <si>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</si>
  <si>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</si>
  <si>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</si>
  <si>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</si>
  <si>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</si>
  <si>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</si>
  <si>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</si>
  <si>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</si>
  <si>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</si>
  <si>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</si>
  <si>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</si>
  <si>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</si>
  <si>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</si>
  <si>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</si>
  <si>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</si>
  <si>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</si>
  <si>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</si>
  <si>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</si>
  <si>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</si>
  <si>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</si>
  <si>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</si>
  <si>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</si>
  <si>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</si>
  <si>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</si>
  <si>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</si>
  <si>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</si>
  <si>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</si>
  <si>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</si>
  <si>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</si>
  <si>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</si>
  <si>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</si>
  <si>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</si>
  <si>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</si>
  <si>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</si>
  <si>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</si>
  <si>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</si>
  <si>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</si>
  <si>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</si>
  <si>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</si>
  <si>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</si>
  <si>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</si>
  <si>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</si>
  <si>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</si>
  <si>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</si>
  <si>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</si>
  <si>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</si>
  <si>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</si>
  <si>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</si>
  <si>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</si>
  <si>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</si>
  <si>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</si>
  <si>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</si>
  <si>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</si>
  <si>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</si>
  <si>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</si>
  <si>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</si>
  <si>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</si>
  <si>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</si>
  <si>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</si>
  <si>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</si>
  <si>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</si>
  <si>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</si>
  <si>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</si>
  <si>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</si>
  <si>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</si>
  <si>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</si>
  <si>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</si>
  <si>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</si>
  <si>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</si>
  <si>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</si>
  <si>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</si>
  <si>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</si>
  <si>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</si>
  <si>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</si>
  <si>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</si>
  <si>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</si>
  <si>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</si>
  <si>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</si>
  <si>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</si>
  <si>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</si>
  <si>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</si>
  <si>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</si>
  <si>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</si>
  <si>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</si>
  <si>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</si>
  <si>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</si>
  <si>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</si>
  <si>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</si>
  <si>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</si>
  <si>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</si>
  <si>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</si>
  <si>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</si>
  <si>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</si>
  <si>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</si>
  <si>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</si>
  <si>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</si>
  <si>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</si>
  <si>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</si>
  <si>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</si>
  <si>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</si>
  <si>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</si>
  <si>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</si>
  <si>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</si>
  <si>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</si>
  <si>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</si>
  <si>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</si>
  <si>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</si>
  <si>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</si>
  <si>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</si>
  <si>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</si>
  <si>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</si>
  <si>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</si>
  <si>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</si>
  <si>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</si>
  <si>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</si>
  <si>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</si>
  <si>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</si>
  <si>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</si>
  <si>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</si>
  <si>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</si>
  <si>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</si>
  <si>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</si>
  <si>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</si>
  <si>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</si>
  <si>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</si>
  <si>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</si>
  <si>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</si>
  <si>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</si>
  <si>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</si>
  <si>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</si>
  <si>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</si>
  <si>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</si>
  <si>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</si>
  <si>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</si>
  <si>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</si>
  <si>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</si>
  <si>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</si>
  <si>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</si>
  <si>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</si>
  <si>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</si>
  <si>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</si>
  <si>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</si>
  <si>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</si>
  <si>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</si>
  <si>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</si>
  <si>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</si>
  <si>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</si>
  <si>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</si>
  <si>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</si>
  <si>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</si>
  <si>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</si>
  <si>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</si>
  <si>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</si>
  <si>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</si>
  <si>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</si>
  <si>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</si>
  <si>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</si>
  <si>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</si>
  <si>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</si>
  <si>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</si>
  <si>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</si>
  <si>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</si>
  <si>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</si>
  <si>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</si>
  <si>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</si>
  <si>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</si>
  <si>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</si>
  <si>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</si>
  <si>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</si>
  <si>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</si>
  <si>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</si>
  <si>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</si>
  <si>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</si>
  <si>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</si>
  <si>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</si>
  <si>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</si>
  <si>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</si>
  <si>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</si>
  <si>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</si>
  <si>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</si>
  <si>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</si>
  <si>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</si>
  <si>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</si>
  <si>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</si>
  <si>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</si>
  <si>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</si>
  <si>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</si>
  <si>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</si>
  <si>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</si>
  <si>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</si>
  <si>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</si>
  <si>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</si>
  <si>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</si>
  <si>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</si>
  <si>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</si>
  <si>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</si>
  <si>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</si>
  <si>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</si>
  <si>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</si>
  <si>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</si>
  <si>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</si>
  <si>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</si>
  <si>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</si>
  <si>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</si>
  <si>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</si>
  <si>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</si>
  <si>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</si>
  <si>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</si>
  <si>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</si>
  <si>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</si>
  <si>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</si>
  <si>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</si>
  <si>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</si>
  <si>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</si>
  <si>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</si>
  <si>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</si>
  <si>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</si>
  <si>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</si>
  <si>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</si>
  <si>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</si>
  <si>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</si>
  <si>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</si>
  <si>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</si>
  <si>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</si>
  <si>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</si>
  <si>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</si>
  <si>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</si>
  <si>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</si>
  <si>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</si>
  <si>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</si>
  <si>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</si>
  <si>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</si>
  <si>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</si>
  <si>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</si>
  <si>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</si>
  <si>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</si>
  <si>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</si>
  <si>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</si>
  <si>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</si>
  <si>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</si>
  <si>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</si>
  <si>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</si>
  <si>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</si>
  <si>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</si>
  <si>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</si>
  <si>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</si>
  <si>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</si>
  <si>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</si>
  <si>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</si>
  <si>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</si>
  <si>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</si>
  <si>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</si>
  <si>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</si>
  <si>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</si>
  <si>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</si>
  <si>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</si>
  <si>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</si>
  <si>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</si>
  <si>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</si>
  <si>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</si>
  <si>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</si>
  <si>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</si>
  <si>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</si>
  <si>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</si>
  <si>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</si>
  <si>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</si>
  <si>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</si>
  <si>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</si>
  <si>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</si>
  <si>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</si>
  <si>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</si>
  <si>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</si>
  <si>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</si>
  <si>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</si>
  <si>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</si>
  <si>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</si>
  <si>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</si>
  <si>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</si>
  <si>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</si>
  <si>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</si>
  <si>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</si>
  <si>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</si>
  <si>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</si>
  <si>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</si>
  <si>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</si>
  <si>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</si>
  <si>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</si>
  <si>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</si>
  <si>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</si>
  <si>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</si>
  <si>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</si>
  <si>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</si>
  <si>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</si>
  <si>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</si>
  <si>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</si>
  <si>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</si>
  <si>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</si>
  <si>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</si>
  <si>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</si>
  <si>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</si>
  <si>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</si>
  <si>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</si>
  <si>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</si>
  <si>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</si>
  <si>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</si>
  <si>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</si>
  <si>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</si>
  <si>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</si>
  <si>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</si>
  <si>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</si>
  <si>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</si>
  <si>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</si>
  <si>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</si>
  <si>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</si>
  <si>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</si>
  <si>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</si>
  <si>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</si>
  <si>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</si>
  <si>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</si>
  <si>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</si>
  <si>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</si>
  <si>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</si>
  <si>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</si>
  <si>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</si>
  <si>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</si>
  <si>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</si>
  <si>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</si>
  <si>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</si>
  <si>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</si>
  <si>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</si>
  <si>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</si>
  <si>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</si>
  <si>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</si>
  <si>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</si>
  <si>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</si>
  <si>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</si>
  <si>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</si>
  <si>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</si>
  <si>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</si>
  <si>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</si>
  <si>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</si>
  <si>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</si>
  <si>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</si>
  <si>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</si>
  <si>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</si>
  <si>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</si>
  <si>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</si>
  <si>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</si>
  <si>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</si>
  <si>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</si>
  <si>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</si>
  <si>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</si>
  <si>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</si>
  <si>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</si>
  <si>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</si>
  <si>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</si>
  <si>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</si>
  <si>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</si>
  <si>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</si>
  <si>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</si>
  <si>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</si>
  <si>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</si>
  <si>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</si>
  <si>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</si>
  <si>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</si>
  <si>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</si>
  <si>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</si>
  <si>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</si>
  <si>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</si>
  <si>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</si>
  <si>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</si>
  <si>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</si>
  <si>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</si>
  <si>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</si>
  <si>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</si>
  <si>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</si>
  <si>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</si>
  <si>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</si>
  <si>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</si>
  <si>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</si>
  <si>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</si>
  <si>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</si>
  <si>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</si>
  <si>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</si>
  <si>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</si>
  <si>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</si>
  <si>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</si>
  <si>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</si>
  <si>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</si>
  <si>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</si>
  <si>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</si>
  <si>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</si>
  <si>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</si>
  <si>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</si>
  <si>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</si>
  <si>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</si>
  <si>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</si>
  <si>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</si>
  <si>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</si>
  <si>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</si>
  <si>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</si>
  <si>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</si>
  <si>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</si>
  <si>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</si>
  <si>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</si>
  <si>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</si>
  <si>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</si>
  <si>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</si>
  <si>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</si>
  <si>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</si>
  <si>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</si>
  <si>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</si>
  <si>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</si>
  <si>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</si>
  <si>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</si>
  <si>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</si>
  <si>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</si>
  <si>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</si>
  <si>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</si>
  <si>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</si>
  <si>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</si>
  <si>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</si>
  <si>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</si>
  <si>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</si>
  <si>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</si>
  <si>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</si>
  <si>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</si>
  <si>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</si>
  <si>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</si>
  <si>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</si>
  <si>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</si>
  <si>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</si>
  <si>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</si>
  <si>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</si>
  <si>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</si>
  <si>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</si>
  <si>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</si>
  <si>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</si>
  <si>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</si>
  <si>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</si>
  <si>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</si>
  <si>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</si>
  <si>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</si>
  <si>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</si>
  <si>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</si>
  <si>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</si>
  <si>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</si>
  <si>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</si>
  <si>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</si>
  <si>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</si>
  <si>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</si>
  <si>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</si>
  <si>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</si>
  <si>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</si>
  <si>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</si>
  <si>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</si>
  <si>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</si>
  <si>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</si>
  <si>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</si>
  <si>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</si>
  <si>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</si>
  <si>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</si>
  <si>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</si>
  <si>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</si>
  <si>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</si>
  <si>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</si>
  <si>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</si>
  <si>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</si>
  <si>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</si>
  <si>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</si>
  <si>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</si>
  <si>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</si>
  <si>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</si>
  <si>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</si>
  <si>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</si>
  <si>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</si>
  <si>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</si>
  <si>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</si>
  <si>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</si>
  <si>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</si>
  <si>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</si>
  <si>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</si>
  <si>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</si>
  <si>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</si>
  <si>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</si>
  <si>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</si>
  <si>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</si>
  <si>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</si>
  <si>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</si>
  <si>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</si>
  <si>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</si>
  <si>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</si>
  <si>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</si>
  <si>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</si>
  <si>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</si>
  <si>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</si>
  <si>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</si>
  <si>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</si>
  <si>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</si>
  <si>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</si>
  <si>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</si>
  <si>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</si>
  <si>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</si>
  <si>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</si>
  <si>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</si>
  <si>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</si>
  <si>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</si>
  <si>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</si>
  <si>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</si>
  <si>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</si>
  <si>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</si>
  <si>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</si>
  <si>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</si>
  <si>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</si>
  <si>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</si>
  <si>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</si>
  <si>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</si>
  <si>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</si>
  <si>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</si>
  <si>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</si>
  <si>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</si>
  <si>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</si>
  <si>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</si>
  <si>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</si>
  <si>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</si>
  <si>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</si>
  <si>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</si>
  <si>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</si>
  <si>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</si>
  <si>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</si>
  <si>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</si>
  <si>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</si>
  <si>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</si>
  <si>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</si>
  <si>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</si>
  <si>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</si>
  <si>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</si>
  <si>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</si>
  <si>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</si>
  <si>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</si>
  <si>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</si>
  <si>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</si>
  <si>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</si>
  <si>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</si>
  <si>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</si>
  <si>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</si>
  <si>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</si>
  <si>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</si>
  <si>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</si>
  <si>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</si>
  <si>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</si>
  <si>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</si>
  <si>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</si>
  <si>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</si>
  <si>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</si>
  <si>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</si>
  <si>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</si>
  <si>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</si>
  <si>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</si>
  <si>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</si>
  <si>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</si>
  <si>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</si>
  <si>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</si>
  <si>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</si>
  <si>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</si>
  <si>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</si>
  <si>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</si>
  <si>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</si>
  <si>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</si>
  <si>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</si>
  <si>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</si>
  <si>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</si>
  <si>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</si>
  <si>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</si>
  <si>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</si>
  <si>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</si>
  <si>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</si>
  <si>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</si>
  <si>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</si>
  <si>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</si>
  <si>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</si>
  <si>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</si>
  <si>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</si>
  <si>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</si>
  <si>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</si>
  <si>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</si>
  <si>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</si>
  <si>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</si>
  <si>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</si>
  <si>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</si>
  <si>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</si>
  <si>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</si>
  <si>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</si>
  <si>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</si>
  <si>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</si>
  <si>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</si>
  <si>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</si>
  <si>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</si>
  <si>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</si>
  <si>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</si>
  <si>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</si>
  <si>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</si>
  <si>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</si>
  <si>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</si>
  <si>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</si>
  <si>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</si>
  <si>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</si>
  <si>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</si>
  <si>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</si>
  <si>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</si>
  <si>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</si>
  <si>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</si>
  <si>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</si>
  <si>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</si>
  <si>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</si>
  <si>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</si>
  <si>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</si>
  <si>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</si>
  <si>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</si>
  <si>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</si>
  <si>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</si>
  <si>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</si>
  <si>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</si>
  <si>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</si>
  <si>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</si>
  <si>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</si>
  <si>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</si>
  <si>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</si>
  <si>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</si>
  <si>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</si>
  <si>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</si>
  <si>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</si>
  <si>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</si>
  <si>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</si>
  <si>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</si>
  <si>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</si>
  <si>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</si>
  <si>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</si>
  <si>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</si>
  <si>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</si>
  <si>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</si>
  <si>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</si>
  <si>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</si>
  <si>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</si>
  <si>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</si>
  <si>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</si>
  <si>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</si>
  <si>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</si>
  <si>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</si>
  <si>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</si>
  <si>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</si>
  <si>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</si>
  <si>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</si>
  <si>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</si>
  <si>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</si>
  <si>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</si>
  <si>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</si>
  <si>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</si>
  <si>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</si>
  <si>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</si>
  <si>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</si>
  <si>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</si>
  <si>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</si>
  <si>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</si>
  <si>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</si>
  <si>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</si>
  <si>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</si>
  <si>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</si>
  <si>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</si>
  <si>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</si>
  <si>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</si>
  <si>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</si>
  <si>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</si>
  <si>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</si>
  <si>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</si>
  <si>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</si>
  <si>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</si>
  <si>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</si>
  <si>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</si>
  <si>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</si>
  <si>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</si>
  <si>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</si>
  <si>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</si>
  <si>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</si>
  <si>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</si>
  <si>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</si>
  <si>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</si>
  <si>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</si>
  <si>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</si>
  <si>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</si>
  <si>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</si>
  <si>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</si>
  <si>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</si>
  <si>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</si>
  <si>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</si>
  <si>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</si>
  <si>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</si>
  <si>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</si>
  <si>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</si>
  <si>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</si>
  <si>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</si>
  <si>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</si>
  <si>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</si>
  <si>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</si>
  <si>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</si>
  <si>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</si>
  <si>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</si>
  <si>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</si>
  <si>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</si>
  <si>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</si>
  <si>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</si>
  <si>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</si>
  <si>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</si>
  <si>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</si>
  <si>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</si>
  <si>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</si>
  <si>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</si>
  <si>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</si>
  <si>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</si>
  <si>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</si>
  <si>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</si>
  <si>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</si>
  <si>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</si>
  <si>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</si>
  <si>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</si>
  <si>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</si>
  <si>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</si>
  <si>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</si>
  <si>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</si>
  <si>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</si>
  <si>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</si>
  <si>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</si>
  <si>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</si>
  <si>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</si>
  <si>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</si>
  <si>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</si>
  <si>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</si>
  <si>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</si>
  <si>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</si>
  <si>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</si>
  <si>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</si>
  <si>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</si>
  <si>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</si>
  <si>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</si>
  <si>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</si>
  <si>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</si>
  <si>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</si>
  <si>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</si>
  <si>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</si>
  <si>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</si>
  <si>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</si>
  <si>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</si>
  <si>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</si>
  <si>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</si>
  <si>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</si>
  <si>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</si>
  <si>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</si>
  <si>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</si>
  <si>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</si>
  <si>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</si>
  <si>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</si>
  <si>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</si>
  <si>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</si>
  <si>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</si>
  <si>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</si>
  <si>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</si>
  <si>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</si>
  <si>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</si>
  <si>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</si>
  <si>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</si>
  <si>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</si>
  <si>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</si>
  <si>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</si>
  <si>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</si>
  <si>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</si>
  <si>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</si>
  <si>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</si>
  <si>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</si>
  <si>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</si>
  <si>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</si>
  <si>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</si>
  <si>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</si>
  <si>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</si>
  <si>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</si>
  <si>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</si>
  <si>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</si>
  <si>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</si>
  <si>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</si>
  <si>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</si>
  <si>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</si>
  <si>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</si>
  <si>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</si>
  <si>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</si>
  <si>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</si>
  <si>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</si>
  <si>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</si>
  <si>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</si>
  <si>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</si>
  <si>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</si>
  <si>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</si>
  <si>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</si>
  <si>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</si>
  <si>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</si>
  <si>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</si>
  <si>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</si>
  <si>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</si>
  <si>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</si>
  <si>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</si>
  <si>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</si>
  <si>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</si>
  <si>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</si>
  <si>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</si>
  <si>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</si>
  <si>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</si>
  <si>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</si>
  <si>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</si>
  <si>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</si>
  <si>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</si>
  <si>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</si>
  <si>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</si>
  <si>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</si>
  <si>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</si>
  <si>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</si>
  <si>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</si>
  <si>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</si>
  <si>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</si>
  <si>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</si>
  <si>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</si>
  <si>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</si>
  <si>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</si>
  <si>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</si>
  <si>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</si>
  <si>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</si>
  <si>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</si>
  <si>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</si>
  <si>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</si>
  <si>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</si>
  <si>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</si>
  <si>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</si>
  <si>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</si>
  <si>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</si>
  <si>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</si>
  <si>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</si>
  <si>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</si>
  <si>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</si>
  <si>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</si>
  <si>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</si>
  <si>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</si>
  <si>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</si>
  <si>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</si>
  <si>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</si>
  <si>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</si>
  <si>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</si>
  <si>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</si>
  <si>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</si>
  <si>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</si>
  <si>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</si>
  <si>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</si>
  <si>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</si>
  <si>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</si>
  <si>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</si>
  <si>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</si>
  <si>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</si>
  <si>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</si>
  <si>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</si>
  <si>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</si>
  <si>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</si>
  <si>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</si>
  <si>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</si>
  <si>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</si>
  <si>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</si>
  <si>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</si>
  <si>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</si>
  <si>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</si>
  <si>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</si>
  <si>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</si>
  <si>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</si>
  <si>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</si>
  <si>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</si>
  <si>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</si>
  <si>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</si>
  <si>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</si>
  <si>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</si>
  <si>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</si>
  <si>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</si>
  <si>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</si>
  <si>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</si>
  <si>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</si>
  <si>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</si>
  <si>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</si>
  <si>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</si>
  <si>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</si>
  <si>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</si>
  <si>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</si>
  <si>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</si>
  <si>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</si>
  <si>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</si>
  <si>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</si>
  <si>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</si>
  <si>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</si>
  <si>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</si>
  <si>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</si>
  <si>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</si>
  <si>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</si>
  <si>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</si>
  <si>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</si>
  <si>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</si>
  <si>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</si>
  <si>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</si>
  <si>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</si>
  <si>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</si>
  <si>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</si>
  <si>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</si>
  <si>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</si>
  <si>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</si>
  <si>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</si>
  <si>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</si>
  <si>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</si>
  <si>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</si>
  <si>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</si>
  <si>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</si>
  <si>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</si>
  <si>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</si>
  <si>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</si>
  <si>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</si>
  <si>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</si>
  <si>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</si>
  <si>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</si>
  <si>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</si>
  <si>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</si>
  <si>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</si>
  <si>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</si>
  <si>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</si>
  <si>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</si>
  <si>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</si>
  <si>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</si>
  <si>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</si>
  <si>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</si>
  <si>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</si>
  <si>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</si>
  <si>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</si>
  <si>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</si>
  <si>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</si>
  <si>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</si>
  <si>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</si>
  <si>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</si>
  <si>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</si>
  <si>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</si>
  <si>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</si>
  <si>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</si>
  <si>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</si>
  <si>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</si>
  <si>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</si>
  <si>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</si>
  <si>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</si>
  <si>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</si>
  <si>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</si>
  <si>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</si>
  <si>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</si>
  <si>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</si>
  <si>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</si>
  <si>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</si>
  <si>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</si>
  <si>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</si>
  <si>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</si>
  <si>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</si>
  <si>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</si>
  <si>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</si>
  <si>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</si>
  <si>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</si>
  <si>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</si>
  <si>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</si>
  <si>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</si>
  <si>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</si>
  <si>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</si>
  <si>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</si>
  <si>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</si>
  <si>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</si>
  <si>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</si>
  <si>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</si>
  <si>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</si>
  <si>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</si>
  <si>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</si>
  <si>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</si>
  <si>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</si>
  <si>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</si>
  <si>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</si>
  <si>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</si>
  <si>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</si>
  <si>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</si>
  <si>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</si>
  <si>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</si>
  <si>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</si>
  <si>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</si>
  <si>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</si>
  <si>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</si>
  <si>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</si>
  <si>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</si>
  <si>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</si>
  <si>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</si>
  <si>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</si>
  <si>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</si>
  <si>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</si>
  <si>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</si>
  <si>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</si>
  <si>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</si>
  <si>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</si>
  <si>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</si>
  <si>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</si>
  <si>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</si>
  <si>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</si>
  <si>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</si>
  <si>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</si>
  <si>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</si>
  <si>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</si>
  <si>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</si>
  <si>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</si>
  <si>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</si>
  <si>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</si>
  <si>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</si>
  <si>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</si>
  <si>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</si>
  <si>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</si>
  <si>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</si>
  <si>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</si>
  <si>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</si>
  <si>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</si>
  <si>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</si>
  <si>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</si>
  <si>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</si>
  <si>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</si>
  <si>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</si>
  <si>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</si>
  <si>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</si>
  <si>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</si>
  <si>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</si>
  <si>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</si>
  <si>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</si>
  <si>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</si>
  <si>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</si>
  <si>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</si>
  <si>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</si>
  <si>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</si>
  <si>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</si>
  <si>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</si>
  <si>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</si>
  <si>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</si>
  <si>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</si>
  <si>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</si>
  <si>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</si>
  <si>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</si>
  <si>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</si>
  <si>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</si>
  <si>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</si>
  <si>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</si>
  <si>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</si>
  <si>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</si>
  <si>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</si>
  <si>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</si>
  <si>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</si>
  <si>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</si>
  <si>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</si>
  <si>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</si>
  <si>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</si>
  <si>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</si>
  <si>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</si>
  <si>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</si>
  <si>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</si>
  <si>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</si>
  <si>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</si>
  <si>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</si>
  <si>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</si>
  <si>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</si>
  <si>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</si>
  <si>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</si>
  <si>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</si>
  <si>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</si>
  <si>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</si>
  <si>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</si>
  <si>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</si>
  <si>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</si>
  <si>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</si>
  <si>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</si>
  <si>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</si>
  <si>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</si>
  <si>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</si>
  <si>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</si>
  <si>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</si>
  <si>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</si>
  <si>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</si>
  <si>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</si>
  <si>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</si>
  <si>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</si>
  <si>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</si>
  <si>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</si>
  <si>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</si>
  <si>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</si>
  <si>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</si>
  <si>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</si>
  <si>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</si>
  <si>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</si>
  <si>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</si>
  <si>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</si>
  <si>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</si>
  <si>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</si>
  <si>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</si>
  <si>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</si>
  <si>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</si>
  <si>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</si>
  <si>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</si>
  <si>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</si>
  <si>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</si>
  <si>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</si>
  <si>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</si>
  <si>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</si>
  <si>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</si>
  <si>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</si>
  <si>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</si>
  <si>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</si>
  <si>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</si>
  <si>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</si>
  <si>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</si>
  <si>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</si>
  <si>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</si>
  <si>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</si>
  <si>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</si>
  <si>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</si>
  <si>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</si>
  <si>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</si>
  <si>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</si>
  <si>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</si>
  <si>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</si>
  <si>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</si>
  <si>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</si>
  <si>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</si>
  <si>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</si>
  <si>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</si>
  <si>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</si>
  <si>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</si>
  <si>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</si>
  <si>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</si>
  <si>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</si>
  <si>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</si>
  <si>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</si>
  <si>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</si>
  <si>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</si>
  <si>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</si>
  <si>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</si>
  <si>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</si>
  <si>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</si>
  <si>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</si>
  <si>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</si>
  <si>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</si>
  <si>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</si>
  <si>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</si>
  <si>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</si>
  <si>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</si>
  <si>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</si>
  <si>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</si>
  <si>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</si>
  <si>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</si>
  <si>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</si>
  <si>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</si>
  <si>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</si>
  <si>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</si>
  <si>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</si>
  <si>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</si>
  <si>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</si>
  <si>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</si>
  <si>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</si>
  <si>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</si>
  <si>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</si>
  <si>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</si>
  <si>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</si>
  <si>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</si>
  <si>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</si>
  <si>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</si>
  <si>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</si>
  <si>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</si>
  <si>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</si>
  <si>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</si>
  <si>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</si>
  <si>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</si>
  <si>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</si>
  <si>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</si>
  <si>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</si>
  <si>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</si>
  <si>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</si>
  <si>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</si>
  <si>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</si>
  <si>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</si>
  <si>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</si>
  <si>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</si>
  <si>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</si>
  <si>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</si>
  <si>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</si>
  <si>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</si>
  <si>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</si>
  <si>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</si>
  <si>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</si>
  <si>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</si>
  <si>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</si>
  <si>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</si>
  <si>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</si>
  <si>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</si>
  <si>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</si>
  <si>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</si>
  <si>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</si>
  <si>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</si>
  <si>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</si>
  <si>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</si>
  <si>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</si>
  <si>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</si>
  <si>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</si>
  <si>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</si>
  <si>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</si>
  <si>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</si>
  <si>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</si>
  <si>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</si>
  <si>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</si>
  <si>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</si>
  <si>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</si>
  <si>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</si>
  <si>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</si>
  <si>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</si>
  <si>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</si>
  <si>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</si>
  <si>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</si>
  <si>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</si>
  <si>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</si>
  <si>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</si>
  <si>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</si>
  <si>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</si>
  <si>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</si>
  <si>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</si>
  <si>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</si>
  <si>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</si>
  <si>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</si>
  <si>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</si>
  <si>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</si>
  <si>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</si>
  <si>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</si>
  <si>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</si>
  <si>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</si>
  <si>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</si>
  <si>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</si>
  <si>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</si>
  <si>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</si>
  <si>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</si>
  <si>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</si>
  <si>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</si>
  <si>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</si>
  <si>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</si>
  <si>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</si>
  <si>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</si>
  <si>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</si>
  <si>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</si>
  <si>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</si>
  <si>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</si>
  <si>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</si>
  <si>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</si>
  <si>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</si>
  <si>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</si>
  <si>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</si>
  <si>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</si>
  <si>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</si>
  <si>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</si>
  <si>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</si>
  <si>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</si>
  <si>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</si>
  <si>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</si>
  <si>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</si>
  <si>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</si>
  <si>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</si>
  <si>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</si>
  <si>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</si>
  <si>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</si>
  <si>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</si>
  <si>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</si>
  <si>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</si>
  <si>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</si>
  <si>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</si>
  <si>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</si>
  <si>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</si>
  <si>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</si>
  <si>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</si>
  <si>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</si>
  <si>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</si>
  <si>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</si>
  <si>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</si>
  <si>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</si>
  <si>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</si>
  <si>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</si>
  <si>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</si>
  <si>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</si>
  <si>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</si>
  <si>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</si>
  <si>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</si>
  <si>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</si>
  <si>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</si>
  <si>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</si>
  <si>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</si>
  <si>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</si>
  <si>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</si>
  <si>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</si>
  <si>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</si>
  <si>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</si>
  <si>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</si>
  <si>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</si>
  <si>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</si>
  <si>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</si>
  <si>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</si>
  <si>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</si>
  <si>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</si>
  <si>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</si>
  <si>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</si>
  <si>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</si>
  <si>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</si>
  <si>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</si>
  <si>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</si>
  <si>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</si>
  <si>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</si>
  <si>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</si>
  <si>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</si>
  <si>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</si>
  <si>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</si>
  <si>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</si>
  <si>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</si>
  <si>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</si>
  <si>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</si>
  <si>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</si>
  <si>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</si>
  <si>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</si>
  <si>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</si>
  <si>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</si>
  <si>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</si>
  <si>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</si>
  <si>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</si>
  <si>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</si>
  <si>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</si>
  <si>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</si>
  <si>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</si>
  <si>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</si>
  <si>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</si>
  <si>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</si>
  <si>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</si>
  <si>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</si>
  <si>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</si>
  <si>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</si>
  <si>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</si>
  <si>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</si>
  <si>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</si>
  <si>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</si>
  <si>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</si>
  <si>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</si>
  <si>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</si>
  <si>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</si>
  <si>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</si>
  <si>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</si>
  <si>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</si>
  <si>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</si>
  <si>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</si>
  <si>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</si>
  <si>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</si>
  <si>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</si>
  <si>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</si>
  <si>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</si>
  <si>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</si>
  <si>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</si>
  <si>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</si>
  <si>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</si>
  <si>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</si>
  <si>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</si>
  <si>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</si>
  <si>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</si>
  <si>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</si>
  <si>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</si>
  <si>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</si>
  <si>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</si>
  <si>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</si>
  <si>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</si>
  <si>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</si>
  <si>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</si>
  <si>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</si>
  <si>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</si>
  <si>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</si>
  <si>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</si>
  <si>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</si>
  <si>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</si>
  <si>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</si>
  <si>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</si>
  <si>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</si>
  <si>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</si>
  <si>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</si>
  <si>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</si>
  <si>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</si>
  <si>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</si>
  <si>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</si>
  <si>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</si>
  <si>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</si>
  <si>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</si>
  <si>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</si>
  <si>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</si>
  <si>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</si>
  <si>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</si>
  <si>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</si>
  <si>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</si>
  <si>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</si>
  <si>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</si>
  <si>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</si>
  <si>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</si>
  <si>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</si>
  <si>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</si>
  <si>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</si>
  <si>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</si>
  <si>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</si>
  <si>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</si>
  <si>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</si>
  <si>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</si>
  <si>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</si>
  <si>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</si>
  <si>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</si>
  <si>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</si>
  <si>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</si>
  <si>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</si>
  <si>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</si>
  <si>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</si>
  <si>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</si>
  <si>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</si>
  <si>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</si>
  <si>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</si>
  <si>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</si>
  <si>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</si>
  <si>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</si>
  <si>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</si>
  <si>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</si>
  <si>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</si>
  <si>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</si>
  <si>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</si>
  <si>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</si>
  <si>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</si>
  <si>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</si>
  <si>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</si>
  <si>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</si>
  <si>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</si>
  <si>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</si>
  <si>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</si>
  <si>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</si>
  <si>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</si>
  <si>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</si>
  <si>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</si>
  <si>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</si>
  <si>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</si>
  <si>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</si>
  <si>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</si>
  <si>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</si>
  <si>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</si>
  <si>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</si>
  <si>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</si>
  <si>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</si>
  <si>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</si>
  <si>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</si>
  <si>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</si>
  <si>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</si>
  <si>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</si>
  <si>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</si>
  <si>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</si>
  <si>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</si>
  <si>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</si>
  <si>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</si>
  <si>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</si>
  <si>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</si>
  <si>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</si>
  <si>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</si>
  <si>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</si>
  <si>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</si>
  <si>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</si>
  <si>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</si>
  <si>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</si>
  <si>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</si>
  <si>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</si>
  <si>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</si>
  <si>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</si>
  <si>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</si>
  <si>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</si>
  <si>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</si>
  <si>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</si>
  <si>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</si>
  <si>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</si>
  <si>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</si>
  <si>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</si>
  <si>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</si>
  <si>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</si>
  <si>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</si>
  <si>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</si>
  <si>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</si>
  <si>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</si>
  <si>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</si>
  <si>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</si>
  <si>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</si>
  <si>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</si>
  <si>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</si>
  <si>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</si>
  <si>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</si>
  <si>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</si>
  <si>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</si>
  <si>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</si>
  <si>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</si>
  <si>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</si>
  <si>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</si>
  <si>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</si>
  <si>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</si>
  <si>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</si>
  <si>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</si>
  <si>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</si>
  <si>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</si>
  <si>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</si>
  <si>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</si>
  <si>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</si>
  <si>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</si>
  <si>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</si>
  <si>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</si>
  <si>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</si>
  <si>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</si>
  <si>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</si>
  <si>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</si>
  <si>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</si>
  <si>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</si>
  <si>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</si>
  <si>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</si>
  <si>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</si>
  <si>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</si>
  <si>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</si>
  <si>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</si>
  <si>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</si>
  <si>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</si>
  <si>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</si>
  <si>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</si>
  <si>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</si>
  <si>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</si>
  <si>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</si>
  <si>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</si>
  <si>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</si>
  <si>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</si>
  <si>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</si>
  <si>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</si>
  <si>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</si>
  <si>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</si>
  <si>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</si>
  <si>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</si>
  <si>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</si>
  <si>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</si>
  <si>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</si>
  <si>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</si>
  <si>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</si>
  <si>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</si>
  <si>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</si>
  <si>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</si>
  <si>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</si>
  <si>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</si>
  <si>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</si>
  <si>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</si>
  <si>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</si>
  <si>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</si>
  <si>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</si>
  <si>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</si>
  <si>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</si>
  <si>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</si>
  <si>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</si>
  <si>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</si>
  <si>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</si>
  <si>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</si>
  <si>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</si>
  <si>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</si>
  <si>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</si>
  <si>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</si>
  <si>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</si>
  <si>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</si>
  <si>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</si>
  <si>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</si>
  <si>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</si>
  <si>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</si>
  <si>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</si>
  <si>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</si>
  <si>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</si>
  <si>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</si>
  <si>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</si>
  <si>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</si>
  <si>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</si>
  <si>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</si>
  <si>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</si>
  <si>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</si>
  <si>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</si>
  <si>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</si>
  <si>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</si>
  <si>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</si>
  <si>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</si>
  <si>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</si>
  <si>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</si>
  <si>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</si>
  <si>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</si>
  <si>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</si>
  <si>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</si>
  <si>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</si>
  <si>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</si>
  <si>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</si>
  <si>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</si>
  <si>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</si>
  <si>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</si>
  <si>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</si>
  <si>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</si>
  <si>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</si>
  <si>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</si>
  <si>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</si>
  <si>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</si>
  <si>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</si>
  <si>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</si>
  <si>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</si>
  <si>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</si>
  <si>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</si>
  <si>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</si>
  <si>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</si>
  <si>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</si>
  <si>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</si>
  <si>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</si>
  <si>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</si>
  <si>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</si>
  <si>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</si>
  <si>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</si>
  <si>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</si>
  <si>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</si>
  <si>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</si>
  <si>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</si>
  <si>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</si>
  <si>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</si>
  <si>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</si>
  <si>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</si>
  <si>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</si>
  <si>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</si>
  <si>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</si>
  <si>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</si>
  <si>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</si>
  <si>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</si>
  <si>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</si>
  <si>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</si>
  <si>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</si>
  <si>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</si>
  <si>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</si>
  <si>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</si>
  <si>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</si>
  <si>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</si>
  <si>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</si>
  <si>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</si>
  <si>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</si>
  <si>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</si>
  <si>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</si>
  <si>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</si>
  <si>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</si>
  <si>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</si>
  <si>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</si>
  <si>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</si>
  <si>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</si>
  <si>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</si>
  <si>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</si>
  <si>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</si>
  <si>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</si>
  <si>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</si>
  <si>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</si>
  <si>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</si>
  <si>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</si>
  <si>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</si>
  <si>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</si>
  <si>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</si>
  <si>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</si>
  <si>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</si>
  <si>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</si>
  <si>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</si>
  <si>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</si>
  <si>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</si>
  <si>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</si>
  <si>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</si>
  <si>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</si>
  <si>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</si>
  <si>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</si>
  <si>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</si>
  <si>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</si>
  <si>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</si>
  <si>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</si>
  <si>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</si>
  <si>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</si>
  <si>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</si>
  <si>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</si>
  <si>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</si>
  <si>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</si>
  <si>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</si>
  <si>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</si>
  <si>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</si>
  <si>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</si>
  <si>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</si>
  <si>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</si>
  <si>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</si>
  <si>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</si>
  <si>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</si>
  <si>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</si>
  <si>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</si>
  <si>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</si>
  <si>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</si>
  <si>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</si>
  <si>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</si>
  <si>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</si>
  <si>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</si>
  <si>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</si>
  <si>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</si>
  <si>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</si>
  <si>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</si>
  <si>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</si>
  <si>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</si>
  <si>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</si>
  <si>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</si>
  <si>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</si>
  <si>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</si>
  <si>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</si>
  <si>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</si>
  <si>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</si>
  <si>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</si>
  <si>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</si>
  <si>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</si>
  <si>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</si>
  <si>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</si>
  <si>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</si>
  <si>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</si>
  <si>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</si>
  <si>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</si>
  <si>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</si>
  <si>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</si>
  <si>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</si>
  <si>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</si>
  <si>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</si>
  <si>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</si>
  <si>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</si>
  <si>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</si>
  <si>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</si>
  <si>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</si>
  <si>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</si>
  <si>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</si>
  <si>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</si>
  <si>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</si>
  <si>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</si>
  <si>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</si>
  <si>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</si>
  <si>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</si>
  <si>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</si>
  <si>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</si>
  <si>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</si>
  <si>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</si>
  <si>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</si>
  <si>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</si>
  <si>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</si>
  <si>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</si>
  <si>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</si>
  <si>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</si>
  <si>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</si>
  <si>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</si>
  <si>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</si>
  <si>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</si>
  <si>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</si>
  <si>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</si>
  <si>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</si>
  <si>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</si>
  <si>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</si>
  <si>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</si>
  <si>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</si>
  <si>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</si>
  <si>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</si>
  <si>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</si>
  <si>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</si>
  <si>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</si>
  <si>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</si>
  <si>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</si>
  <si>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</si>
  <si>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</si>
  <si>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</si>
  <si>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</si>
  <si>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</si>
  <si>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</si>
  <si>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</si>
  <si>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</si>
  <si>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</si>
  <si>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</si>
  <si>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</si>
  <si>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</si>
  <si>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</si>
  <si>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</si>
  <si>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</si>
  <si>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</si>
  <si>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</si>
  <si>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</si>
  <si>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</si>
  <si>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</si>
  <si>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</si>
  <si>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</si>
  <si>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</si>
  <si>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</si>
  <si>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</si>
  <si>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</si>
  <si>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</si>
  <si>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</si>
  <si>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</si>
  <si>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</si>
  <si>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</si>
  <si>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</si>
  <si>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</si>
  <si>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</si>
  <si>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</si>
  <si>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</si>
  <si>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</si>
  <si>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</si>
  <si>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</si>
  <si>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</si>
  <si>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</si>
  <si>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</si>
  <si>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</si>
  <si>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</si>
  <si>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</si>
  <si>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</si>
  <si>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</si>
  <si>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</si>
  <si>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</si>
  <si>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</si>
  <si>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</si>
  <si>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</si>
  <si>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</si>
  <si>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</si>
  <si>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</si>
  <si>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</si>
  <si>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</si>
  <si>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</si>
  <si>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</si>
  <si>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</si>
  <si>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</si>
  <si>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</si>
  <si>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</si>
  <si>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</si>
  <si>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</si>
  <si>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</si>
  <si>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</si>
  <si>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</si>
  <si>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</si>
  <si>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</si>
  <si>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</si>
  <si>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</si>
  <si>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</si>
  <si>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</si>
  <si>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</si>
  <si>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</si>
  <si>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</si>
  <si>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</si>
  <si>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</si>
  <si>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</si>
  <si>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</si>
  <si>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</si>
  <si>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</si>
  <si>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</si>
  <si>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</si>
  <si>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</si>
  <si>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</si>
  <si>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</si>
  <si>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</si>
  <si>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</si>
  <si>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</si>
  <si>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</si>
  <si>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</si>
  <si>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</si>
  <si>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</si>
  <si>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</si>
  <si>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</si>
  <si>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</si>
  <si>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</si>
  <si>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</si>
  <si>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</si>
  <si>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</si>
  <si>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</si>
  <si>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</si>
  <si>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</si>
  <si>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</si>
  <si>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</si>
  <si>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</si>
  <si>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</si>
  <si>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</si>
  <si>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</si>
  <si>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</si>
  <si>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</si>
  <si>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</si>
  <si>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</si>
  <si>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</si>
  <si>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</si>
  <si>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</si>
  <si>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</si>
  <si>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</si>
  <si>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</si>
  <si>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</si>
  <si>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</si>
  <si>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</si>
  <si>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</si>
  <si>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</si>
  <si>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</si>
  <si>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</si>
  <si>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</si>
  <si>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</si>
  <si>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</si>
  <si>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</si>
  <si>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</si>
  <si>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</si>
  <si>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</si>
  <si>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</si>
  <si>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</si>
  <si>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</si>
  <si>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</si>
  <si>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</si>
  <si>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</si>
  <si>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</si>
  <si>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</si>
  <si>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</si>
  <si>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</si>
  <si>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</si>
  <si>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</si>
  <si>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</si>
  <si>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</si>
  <si>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</si>
  <si>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</si>
  <si>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</si>
  <si>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</si>
  <si>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</si>
  <si>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</si>
  <si>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</si>
  <si>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</si>
  <si>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</si>
  <si>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</si>
  <si>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</si>
  <si>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</si>
  <si>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</si>
  <si>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</si>
  <si>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</si>
  <si>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</si>
  <si>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</si>
  <si>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</si>
  <si>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</si>
  <si>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</si>
  <si>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</si>
  <si>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</si>
  <si>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</si>
  <si>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</si>
  <si>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</si>
  <si>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</si>
  <si>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</si>
  <si>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</si>
  <si>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</si>
  <si>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</si>
  <si>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</si>
  <si>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</si>
  <si>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</si>
  <si>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</si>
  <si>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</si>
  <si>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</si>
  <si>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</si>
  <si>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</si>
  <si>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</si>
  <si>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</si>
  <si>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</si>
  <si>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</si>
  <si>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</si>
  <si>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</si>
  <si>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</si>
  <si>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</si>
  <si>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</si>
  <si>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</si>
  <si>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</si>
  <si>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</si>
  <si>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</si>
  <si>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</si>
  <si>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</si>
  <si>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</si>
  <si>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</si>
  <si>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</si>
  <si>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</si>
  <si>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</si>
  <si>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</si>
  <si>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</si>
  <si>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</si>
  <si>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</si>
  <si>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</si>
  <si>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</si>
  <si>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</si>
  <si>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</si>
  <si>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</si>
  <si>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</si>
  <si>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</si>
  <si>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</si>
  <si>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</si>
  <si>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</si>
  <si>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</si>
  <si>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</si>
  <si>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</si>
  <si>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</si>
  <si>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</si>
  <si>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</si>
  <si>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</si>
  <si>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</si>
  <si>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</si>
  <si>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</si>
  <si>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</si>
  <si>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</si>
  <si>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</si>
  <si>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</si>
  <si>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</si>
  <si>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</si>
  <si>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</si>
  <si>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</si>
  <si>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</si>
  <si>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</si>
  <si>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</si>
  <si>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</si>
  <si>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</si>
  <si>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</si>
  <si>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</si>
  <si>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</si>
  <si>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</si>
  <si>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</si>
  <si>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</si>
  <si>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</si>
  <si>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</si>
  <si>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</si>
  <si>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</si>
  <si>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</si>
  <si>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</si>
  <si>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</si>
  <si>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</si>
  <si>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</si>
  <si>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</si>
  <si>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</si>
  <si>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</si>
  <si>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</si>
  <si>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</si>
  <si>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</si>
  <si>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</si>
  <si>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</si>
  <si>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</si>
  <si>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</si>
  <si>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</si>
  <si>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</si>
  <si>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</si>
  <si>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</si>
  <si>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</si>
  <si>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</si>
  <si>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</si>
  <si>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</si>
  <si>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</si>
  <si>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</si>
  <si>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</si>
  <si>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</si>
  <si>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</si>
  <si>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</si>
  <si>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</si>
  <si>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</si>
  <si>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</si>
  <si>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</si>
  <si>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</si>
  <si>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</si>
  <si>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</si>
  <si>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</si>
  <si>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</si>
  <si>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</si>
  <si>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</si>
  <si>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</si>
  <si>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</si>
  <si>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</si>
  <si>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</si>
  <si>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</si>
  <si>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</si>
  <si>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</si>
  <si>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</si>
  <si>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</si>
  <si>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</si>
  <si>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</si>
  <si>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</si>
  <si>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</si>
  <si>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</si>
  <si>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</si>
  <si>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</si>
  <si>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</si>
  <si>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</si>
  <si>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</si>
  <si>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</si>
  <si>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</si>
  <si>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</si>
  <si>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</si>
  <si>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</si>
  <si>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</si>
  <si>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</si>
  <si>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</si>
  <si>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</si>
  <si>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</si>
  <si>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</si>
  <si>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</si>
  <si>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</si>
  <si>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</si>
  <si>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</si>
  <si>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</si>
  <si>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</si>
  <si>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</si>
  <si>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</si>
  <si>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</si>
  <si>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</si>
  <si>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</si>
  <si>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</si>
  <si>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</si>
  <si>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</si>
  <si>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</si>
  <si>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</si>
  <si>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</si>
  <si>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</si>
  <si>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</si>
  <si>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</si>
  <si>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</si>
  <si>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</si>
  <si>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</si>
  <si>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</si>
  <si>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</si>
  <si>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</si>
  <si>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</si>
  <si>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</si>
  <si>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</si>
  <si>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</si>
  <si>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</si>
  <si>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</si>
  <si>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</si>
  <si>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</si>
  <si>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</si>
  <si>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</si>
  <si>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</si>
  <si>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</si>
  <si>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</si>
  <si>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</si>
  <si>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</si>
  <si>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</si>
  <si>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</si>
  <si>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</si>
  <si>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</si>
  <si>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</si>
  <si>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</si>
  <si>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</si>
  <si>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</si>
  <si>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</si>
  <si>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</si>
  <si>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</si>
  <si>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</si>
  <si>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</si>
  <si>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</si>
  <si>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</si>
  <si>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</si>
  <si>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</si>
  <si>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</si>
  <si>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</si>
  <si>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</si>
  <si>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</si>
  <si>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</si>
  <si>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</si>
  <si>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</si>
  <si>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</si>
  <si>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</si>
  <si>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</si>
  <si>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</si>
  <si>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</si>
  <si>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</si>
  <si>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</si>
  <si>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</si>
  <si>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</si>
  <si>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</si>
  <si>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</si>
  <si>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</si>
  <si>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</si>
  <si>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</si>
  <si>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</si>
  <si>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</si>
  <si>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</si>
  <si>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</si>
  <si>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</si>
  <si>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</si>
  <si>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</si>
  <si>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</si>
  <si>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</si>
  <si>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</si>
  <si>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</si>
  <si>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</si>
  <si>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</si>
  <si>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</si>
  <si>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</si>
  <si>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</si>
  <si>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</si>
  <si>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</si>
  <si>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</si>
  <si>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</si>
  <si>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</si>
  <si>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</si>
  <si>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</si>
  <si>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</si>
  <si>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</si>
  <si>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</si>
  <si>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</si>
  <si>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</si>
  <si>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</si>
  <si>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</si>
  <si>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</si>
  <si>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</si>
  <si>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</si>
  <si>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</si>
  <si>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</si>
  <si>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</si>
  <si>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</si>
  <si>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</si>
  <si>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</si>
  <si>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</si>
  <si>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</si>
  <si>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</si>
  <si>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</si>
  <si>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</si>
  <si>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</si>
  <si>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</si>
  <si>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</si>
  <si>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</si>
  <si>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</si>
  <si>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</si>
  <si>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</si>
  <si>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</si>
  <si>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</si>
  <si>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</si>
  <si>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</si>
  <si>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</si>
  <si>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</si>
  <si>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</si>
  <si>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</si>
  <si>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</si>
  <si>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</si>
  <si>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</si>
  <si>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</si>
  <si>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</si>
  <si>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</si>
  <si>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</si>
  <si>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</si>
  <si>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</si>
  <si>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</si>
  <si>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</si>
  <si>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</si>
  <si>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</si>
  <si>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</si>
  <si>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</si>
  <si>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</si>
  <si>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</si>
  <si>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</si>
  <si>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</si>
  <si>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</si>
  <si>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</si>
  <si>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</si>
  <si>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</si>
  <si>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</si>
  <si>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</si>
  <si>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</si>
  <si>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</si>
  <si>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</si>
  <si>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</si>
  <si>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</si>
  <si>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</si>
  <si>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</si>
  <si>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</si>
  <si>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</si>
  <si>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</si>
  <si>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</si>
  <si>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</si>
  <si>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</si>
  <si>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</si>
  <si>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</si>
  <si>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</si>
  <si>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</si>
  <si>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</si>
  <si>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</si>
  <si>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</si>
  <si>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</si>
  <si>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</si>
  <si>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</si>
  <si>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</si>
  <si>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</si>
  <si>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</si>
  <si>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</si>
  <si>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</si>
  <si>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</si>
  <si>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</si>
  <si>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</si>
  <si>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</si>
  <si>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</si>
  <si>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</si>
  <si>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</si>
  <si>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</si>
  <si>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</si>
  <si>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</si>
  <si>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</si>
  <si>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</si>
  <si>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</si>
  <si>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</si>
  <si>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</si>
  <si>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</si>
  <si>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</si>
  <si>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</si>
  <si>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</si>
  <si>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</si>
  <si>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</si>
  <si>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</si>
  <si>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</si>
  <si>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</si>
  <si>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</si>
  <si>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</si>
  <si>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</si>
  <si>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</si>
  <si>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</si>
  <si>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</si>
  <si>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</si>
  <si>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</si>
  <si>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</si>
  <si>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</si>
  <si>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</si>
  <si>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</si>
  <si>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</si>
  <si>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</si>
  <si>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</si>
  <si>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</si>
  <si>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</si>
  <si>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</si>
  <si>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</si>
  <si>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</si>
  <si>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</si>
  <si>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</si>
  <si>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</si>
  <si>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</si>
  <si>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</si>
  <si>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</si>
  <si>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</si>
  <si>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</si>
  <si>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</si>
  <si>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</si>
  <si>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</si>
  <si>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</si>
  <si>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</si>
  <si>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</si>
  <si>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</si>
  <si>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</si>
  <si>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</si>
  <si>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</si>
  <si>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</si>
  <si>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</si>
  <si>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</si>
  <si>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</si>
  <si>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</si>
  <si>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</si>
  <si>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</si>
  <si>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</si>
  <si>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</si>
  <si>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</si>
  <si>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</si>
  <si>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</si>
  <si>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</si>
  <si>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</si>
  <si>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</si>
  <si>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</si>
  <si>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</si>
  <si>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</si>
  <si>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</si>
  <si>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</si>
  <si>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</si>
  <si>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</si>
  <si>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</si>
  <si>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</si>
  <si>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</si>
  <si>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</si>
  <si>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</si>
  <si>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</si>
  <si>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</si>
  <si>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</si>
  <si>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</si>
  <si>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</si>
  <si>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</si>
  <si>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</si>
  <si>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</si>
  <si>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</si>
  <si>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</si>
  <si>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</si>
  <si>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</si>
  <si>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</si>
  <si>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</si>
  <si>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</si>
  <si>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</si>
  <si>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</si>
  <si>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</si>
  <si>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</si>
  <si>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</si>
  <si>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</si>
  <si>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</si>
  <si>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</si>
  <si>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</si>
  <si>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</si>
  <si>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</si>
  <si>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</si>
  <si>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</si>
  <si>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</si>
  <si>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</si>
  <si>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</si>
  <si>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</si>
  <si>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</si>
  <si>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</si>
  <si>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</si>
  <si>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</si>
  <si>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</si>
  <si>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</si>
  <si>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</si>
  <si>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</si>
  <si>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</si>
  <si>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</si>
  <si>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</si>
  <si>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</si>
  <si>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</si>
  <si>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</si>
  <si>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</si>
  <si>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</si>
  <si>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</si>
  <si>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</si>
  <si>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</si>
  <si>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</si>
  <si>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</si>
  <si>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</si>
  <si>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</si>
  <si>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</si>
  <si>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</si>
  <si>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</si>
  <si>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</si>
  <si>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</si>
  <si>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</si>
  <si>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</si>
  <si>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</si>
  <si>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</si>
  <si>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</si>
  <si>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</si>
  <si>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</si>
  <si>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</si>
  <si>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</si>
  <si>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</si>
  <si>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</si>
  <si>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</si>
  <si>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</si>
  <si>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</si>
  <si>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</si>
  <si>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</si>
  <si>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</si>
  <si>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</si>
  <si>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</si>
  <si>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</si>
  <si>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</si>
  <si>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</si>
  <si>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</si>
  <si>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</si>
  <si>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</si>
  <si>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</si>
  <si>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</si>
  <si>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</si>
  <si>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</si>
  <si>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</si>
  <si>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</si>
  <si>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</si>
  <si>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</si>
  <si>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</si>
  <si>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</si>
  <si>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</si>
  <si>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</si>
  <si>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</si>
  <si>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</si>
  <si>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</si>
  <si>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</si>
  <si>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</si>
  <si>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</si>
  <si>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</si>
  <si>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</si>
  <si>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</si>
  <si>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</si>
  <si>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</si>
  <si>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</si>
  <si>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</si>
  <si>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</si>
  <si>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</si>
  <si>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</si>
  <si>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</si>
  <si>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</si>
  <si>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</si>
  <si>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</si>
  <si>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</si>
  <si>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</si>
  <si>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</si>
  <si>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</si>
  <si>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</si>
  <si>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</si>
  <si>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</si>
  <si>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</si>
  <si>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</si>
  <si>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</si>
  <si>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</si>
  <si>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</si>
  <si>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</si>
  <si>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</si>
  <si>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</si>
  <si>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</si>
  <si>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</si>
  <si>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</si>
  <si>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</si>
  <si>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</si>
  <si>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</si>
  <si>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</si>
  <si>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</si>
  <si>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</si>
  <si>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</si>
  <si>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</si>
  <si>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</si>
  <si>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</si>
  <si>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</si>
  <si>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</si>
  <si>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</si>
  <si>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</si>
  <si>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</si>
  <si>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</si>
  <si>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</si>
  <si>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</si>
  <si>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</si>
  <si>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</si>
  <si>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</si>
  <si>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</si>
  <si>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</si>
  <si>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</si>
  <si>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</si>
  <si>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</si>
  <si>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</si>
  <si>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</si>
  <si>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</si>
  <si>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</si>
  <si>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</si>
  <si>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</si>
  <si>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</si>
  <si>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</si>
  <si>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</si>
  <si>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</si>
  <si>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</si>
  <si>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</si>
  <si>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</si>
  <si>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</si>
  <si>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</si>
  <si>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</si>
  <si>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</si>
  <si>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</si>
  <si>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</si>
  <si>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</si>
  <si>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</si>
  <si>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</si>
  <si>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</si>
  <si>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</si>
  <si>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</si>
  <si>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</si>
  <si>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</si>
  <si>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</si>
  <si>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</si>
  <si>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</si>
  <si>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</si>
  <si>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</si>
  <si>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</si>
  <si>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</si>
  <si>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</si>
  <si>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</si>
  <si>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</si>
  <si>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</si>
  <si>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</si>
  <si>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</si>
  <si>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</si>
  <si>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</si>
  <si>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</si>
  <si>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</si>
  <si>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</si>
  <si>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</si>
  <si>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</si>
  <si>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</si>
  <si>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</si>
  <si>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</si>
  <si>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</si>
  <si>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</si>
  <si>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</si>
  <si>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</si>
  <si>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</si>
  <si>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</si>
  <si>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</si>
  <si>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</si>
  <si>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</si>
  <si>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</si>
  <si>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</si>
  <si>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</si>
  <si>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</si>
  <si>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</si>
  <si>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</si>
  <si>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</si>
  <si>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</si>
  <si>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</si>
  <si>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</si>
  <si>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</si>
  <si>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</si>
  <si>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</si>
  <si>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</si>
  <si>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</si>
  <si>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</si>
  <si>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</si>
  <si>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</si>
  <si>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</si>
  <si>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</si>
  <si>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</si>
  <si>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</si>
  <si>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</si>
  <si>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</si>
  <si>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</si>
  <si>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</si>
  <si>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</si>
  <si>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</si>
  <si>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</si>
  <si>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</si>
  <si>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</si>
  <si>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</si>
  <si>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</si>
  <si>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</si>
  <si>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</si>
  <si>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</si>
  <si>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</si>
  <si>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</si>
  <si>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</si>
  <si>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</si>
  <si>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</si>
  <si>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</si>
  <si>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</si>
  <si>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</si>
  <si>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</si>
  <si>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</si>
  <si>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</si>
  <si>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</si>
  <si>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</si>
  <si>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</si>
  <si>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</si>
  <si>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</si>
  <si>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</si>
  <si>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</si>
  <si>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</si>
  <si>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</si>
  <si>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</si>
  <si>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</si>
  <si>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</si>
  <si>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</si>
  <si>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</si>
  <si>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</si>
  <si>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</si>
  <si>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</si>
  <si>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</si>
  <si>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</si>
  <si>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</si>
  <si>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</si>
  <si>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</si>
  <si>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</si>
  <si>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</si>
  <si>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</si>
  <si>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</si>
  <si>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</si>
  <si>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</si>
  <si>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</si>
  <si>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</si>
  <si>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</si>
  <si>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</si>
  <si>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</si>
  <si>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</si>
  <si>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</si>
  <si>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</si>
  <si>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</si>
  <si>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</si>
  <si>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</si>
  <si>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</si>
  <si>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</si>
  <si>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</si>
  <si>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</si>
  <si>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</si>
  <si>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</si>
  <si>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</si>
  <si>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</si>
  <si>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</si>
  <si>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</si>
  <si>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</si>
  <si>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</si>
  <si>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</si>
  <si>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</si>
  <si>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</si>
  <si>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</si>
  <si>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</si>
  <si>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</si>
  <si>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</si>
  <si>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</si>
  <si>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</si>
  <si>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</si>
  <si>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</si>
  <si>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</si>
  <si>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</si>
  <si>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</si>
  <si>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</si>
  <si>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</si>
  <si>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</si>
  <si>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</si>
  <si>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</si>
  <si>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</si>
  <si>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</si>
  <si>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</si>
  <si>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</si>
  <si>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</si>
  <si>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</si>
  <si>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</si>
  <si>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</si>
  <si>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</si>
  <si>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</si>
  <si>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</si>
  <si>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</si>
  <si>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</si>
  <si>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</si>
  <si>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</si>
  <si>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</si>
  <si>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</si>
  <si>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</si>
  <si>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</si>
  <si>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</si>
  <si>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</si>
  <si>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</si>
  <si>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</si>
  <si>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</si>
  <si>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</si>
  <si>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</si>
  <si>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</si>
  <si>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</si>
  <si>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</si>
  <si>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</si>
  <si>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</si>
  <si>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</si>
  <si>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</si>
  <si>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</si>
  <si>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</si>
  <si>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</si>
  <si>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</si>
  <si>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</si>
  <si>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</si>
  <si>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</si>
  <si>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</si>
  <si>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</si>
  <si>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</si>
  <si>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</si>
  <si>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</si>
  <si>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</si>
  <si>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</si>
  <si>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</si>
  <si>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</si>
  <si>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</si>
  <si>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</si>
  <si>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</si>
  <si>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</si>
  <si>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</si>
  <si>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</si>
  <si>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</si>
  <si>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</si>
  <si>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</si>
  <si>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</si>
  <si>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</si>
  <si>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</si>
  <si>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</si>
  <si>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</si>
  <si>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</si>
  <si>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</si>
  <si>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</si>
  <si>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</si>
  <si>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</si>
  <si>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</si>
  <si>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</si>
  <si>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</si>
  <si>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</si>
  <si>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</si>
  <si>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</si>
  <si>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</si>
  <si>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</si>
  <si>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</si>
  <si>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</si>
  <si>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</si>
  <si>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</si>
  <si>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</si>
  <si>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</si>
  <si>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</si>
  <si>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</si>
  <si>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</si>
  <si>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</si>
  <si>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</si>
  <si>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</si>
  <si>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</si>
  <si>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</si>
  <si>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</si>
  <si>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</si>
  <si>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</si>
  <si>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</si>
  <si>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</si>
  <si>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</si>
  <si>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</si>
  <si>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</si>
  <si>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</si>
  <si>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</si>
  <si>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</si>
  <si>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</si>
  <si>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</si>
  <si>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</si>
  <si>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</si>
  <si>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</si>
  <si>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</si>
  <si>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</si>
  <si>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</si>
  <si>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</si>
  <si>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</si>
  <si>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</si>
  <si>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</si>
  <si>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</si>
  <si>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</si>
  <si>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</si>
  <si>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</si>
  <si>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</si>
  <si>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</si>
  <si>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</si>
  <si>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</si>
  <si>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</si>
  <si>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</si>
  <si>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</si>
  <si>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</si>
  <si>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</si>
  <si>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</si>
  <si>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</si>
  <si>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</si>
  <si>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</si>
  <si>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</si>
  <si>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</si>
  <si>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</si>
  <si>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</si>
  <si>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</si>
  <si>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</si>
  <si>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</si>
  <si>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</si>
  <si>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</si>
  <si>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</si>
  <si>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</si>
  <si>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</si>
  <si>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</si>
  <si>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</si>
  <si>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</si>
  <si>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</si>
  <si>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</si>
  <si>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</si>
  <si>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</si>
  <si>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</si>
  <si>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</si>
  <si>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</si>
  <si>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</si>
  <si>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</si>
  <si>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</si>
  <si>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</si>
  <si>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</si>
  <si>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</si>
  <si>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</si>
  <si>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</si>
  <si>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</si>
  <si>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</si>
  <si>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</si>
  <si>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</si>
  <si>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</si>
  <si>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</si>
  <si>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</si>
  <si>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</si>
  <si>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</si>
  <si>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</si>
  <si>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</si>
  <si>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</si>
  <si>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</si>
  <si>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</si>
  <si>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</si>
  <si>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</si>
  <si>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</si>
  <si>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</si>
  <si>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</si>
  <si>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</si>
  <si>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</si>
  <si>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</si>
  <si>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</si>
  <si>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</si>
  <si>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</si>
  <si>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</si>
  <si>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</si>
  <si>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</si>
  <si>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</si>
  <si>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</si>
  <si>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</si>
  <si>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</si>
  <si>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</si>
  <si>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</si>
  <si>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</si>
  <si>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</si>
  <si>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</si>
  <si>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</si>
  <si>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</si>
  <si>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</si>
  <si>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</si>
  <si>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</si>
  <si>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</si>
  <si>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</si>
  <si>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</si>
  <si>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</si>
  <si>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</si>
  <si>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</si>
  <si>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</si>
  <si>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</si>
  <si>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</si>
  <si>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</si>
  <si>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</si>
  <si>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</si>
  <si>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</si>
  <si>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</si>
  <si>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</si>
  <si>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</si>
  <si>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</si>
  <si>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</si>
  <si>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</si>
  <si>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</si>
  <si>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</si>
  <si>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</si>
  <si>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</si>
  <si>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</si>
  <si>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</si>
  <si>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</si>
  <si>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</si>
  <si>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</si>
  <si>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</si>
  <si>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</si>
  <si>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</si>
  <si>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</si>
  <si>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</si>
  <si>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</si>
  <si>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</si>
  <si>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</si>
  <si>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</si>
  <si>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</si>
  <si>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</si>
  <si>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</si>
  <si>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</si>
  <si>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</si>
  <si>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</si>
  <si>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</si>
  <si>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</si>
  <si>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</si>
  <si>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</si>
  <si>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</si>
  <si>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</si>
  <si>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</si>
  <si>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Permanent. Exceptional._x000D_
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</si>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</sst>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462">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0"/>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24" sqref="B24"/>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59" t="s">
        <v>3303</v>
      </c>
      <c r="H1" s="160"/>
      <c r="I1" s="160"/>
      <c r="J1" s="161"/>
      <c r="K1" s="27"/>
      <c r="L1" s="35"/>
      <c r="M1" s="23"/>
      <c r="N1" s="162" t="s">
        <v>4</v>
      </c>
      <c r="O1" s="162"/>
      <c r="P1" s="162"/>
      <c r="Q1" s="162"/>
      <c r="R1" s="162"/>
      <c r="S1" s="162"/>
      <c r="T1" s="162"/>
      <c r="U1" s="21"/>
      <c r="V1" s="162" t="s">
        <v>4079</v>
      </c>
      <c r="W1" s="162"/>
      <c r="X1" s="162"/>
      <c r="Y1" s="162"/>
      <c r="Z1" s="162"/>
      <c r="AA1" s="162"/>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Data'!$K:$K,"Mythos")-J3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Data'!$K:$K,"Mythos")-J4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Data'!$K:$K,"Mythos")-J5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Data'!$K:$K,"Mythos")-J6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Data'!$K:$K,"Mythos")-J7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Data'!$K:$K,"Mythos")-J8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Data'!$K:$K,"Mythos")-J9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Data'!$K:$K,"Mythos")-J10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Data'!$K:$K,"Mythos")-J11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Data'!$K:$K,"Mythos")-J12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Data'!$K:$K,"Mythos")-J13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52" t="s">
        <v>6791</v>
      </c>
      <c r="B14" s="52" t="s">
        <v>6792</v>
      </c>
      <c r="C14" s="151" t="s">
        <v>2107</v>
      </c>
      <c r="D14" s="52"/>
      <c r="E14" s="52" t="s">
        <v>6793</v>
      </c>
      <c r="G14" s="24">
        <f>SUMIF('Card Data'!$A:$A,$A14,'Card Data'!$E:$E)</f>
        <v>162</v>
      </c>
      <c r="H14" s="24">
        <f>SUMIFS('Card Data'!$E:$E,'Card Data'!$A:$A,$A14,'Card Data'!$K:$K,"&lt;&gt;",'Card Data'!$J:$J,"&lt;&gt;Investigator")-SUMIFS('Card Data'!$E:$E,'Card Data'!$A:$A,$A14,'Card Data'!$K:$K,"&lt;&gt;",'Card Data'!$J:$J,"Mini")</f>
        <v>66</v>
      </c>
      <c r="I14" s="24">
        <f>SUMIFS('Card Data'!$E:$E,'Card Data'!$A:$A,$A14,'Card Data'!$K:$K,"",'Card Data'!$J:$J,"&lt;&gt;Campaign")+SUMIFS('Card Data'!$E:$E,'Card Data'!$A:$A,$A14,'Card Data'!$K:$K,"Mythos")-J14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6</v>
      </c>
      <c r="W14" s="24">
        <f>COUNTIFS('Card Data'!$K:$K,W$2,'Card Data'!$A:$A,$A14)</f>
        <v>6</v>
      </c>
      <c r="X14" s="24">
        <f>COUNTIFS('Card Data'!$K:$K,X$2,'Card Data'!$A:$A,$A14)</f>
        <v>6</v>
      </c>
      <c r="Y14" s="24">
        <f>COUNTIFS('Card Data'!$K:$K,Y$2,'Card Data'!$A:$A,$A14)</f>
        <v>6</v>
      </c>
      <c r="Z14" s="24">
        <f>COUNTIFS('Card Data'!$K:$K,Z$2,'Card Data'!$A:$A,$A14)</f>
        <v>6</v>
      </c>
      <c r="AA14" s="24">
        <f>COUNTIFS('Card Data'!$K:$K,AA$2,'Card Data'!$A:$A,$A14)</f>
        <v>23</v>
      </c>
    </row>
    <row r="15" spans="1:27">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Data'!$K:$K,"Mythos")-J15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row r="16" spans="1:27">
      <c r="A16" s="14" t="s">
        <v>7051</v>
      </c>
      <c r="B16" s="14" t="s">
        <v>6969</v>
      </c>
      <c r="C16" s="16" t="s">
        <v>2107</v>
      </c>
      <c r="E16" s="14" t="s">
        <v>7094</v>
      </c>
      <c r="G16" s="24">
        <f>SUMIF('Card Data'!$A:$A,$A16,'Card Data'!$E:$E)</f>
        <v>60</v>
      </c>
      <c r="H16" s="24">
        <f>SUMIFS('Card Data'!$E:$E,'Card Data'!$A:$A,$A16,'Card Data'!$K:$K,"&lt;&gt;",'Card Data'!$J:$J,"&lt;&gt;Investigator")-SUMIFS('Card Data'!$E:$E,'Card Data'!$A:$A,$A16,'Card Data'!$K:$K,"&lt;&gt;",'Card Data'!$J:$J,"Mini")</f>
        <v>24</v>
      </c>
      <c r="I16" s="24">
        <f>SUMIFS('Card Data'!$E:$E,'Card Data'!$A:$A,$A16,'Card Data'!$K:$K,"",'Card Data'!$J:$J,"&lt;&gt;Campaign")+SUMIFS('Card Data'!$E:$E,'Card Data'!$A:$A,$A16,'Card Data'!$K:$K,"Mythos")-J16</f>
        <v>33</v>
      </c>
      <c r="J16" s="24">
        <f>SUMIFS('Card Data'!$E:$E,'Card Data'!$J:$J,J$2,'Card Data'!$A:$A,$A16,'Card Data'!$AD:$AD,"&lt;&gt;*Side Quest.*")</f>
        <v>3</v>
      </c>
      <c r="K16" s="24">
        <f>COUNTIFS('Card Data'!$J:$J,K$2,'Card Data'!$A:$A,$A16,'Card Data'!$AD:$AD,"&lt;&gt;*Side Quest.*")</f>
        <v>5</v>
      </c>
      <c r="L16" s="24">
        <f>COUNTIFS('Card Data'!$J:$J,L$2,'Card Data'!$A:$A,$A16,'Card Data'!$AD:$AD,"&lt;&gt;*Side Quest.*")</f>
        <v>1</v>
      </c>
      <c r="M16" s="26"/>
      <c r="N16" s="24">
        <f>COUNTIFS('Card Data'!$J:$J,N$2,'Card Data'!$A:$A,$A16)</f>
        <v>0</v>
      </c>
      <c r="O16" s="24">
        <f>COUNTIFS('Card Data'!$J:$J,O$2,'Card Data'!$A:$A,$A16)</f>
        <v>4</v>
      </c>
      <c r="P16" s="24">
        <f>COUNTIFS('Card Data'!$J:$J,P$2,'Card Data'!$A:$A,$A16)</f>
        <v>8</v>
      </c>
      <c r="Q16" s="24">
        <f>COUNTIFS('Card Data'!$J:$J,Q$2,'Card Data'!$A:$A,$A16)</f>
        <v>0</v>
      </c>
      <c r="R16" s="24">
        <f>COUNTIFS('Card Data'!$J:$J,R$2,'Card Data'!$A:$A,$A16)</f>
        <v>3</v>
      </c>
      <c r="S16" s="24">
        <f>COUNTIFS('Card Data'!$J:$J,S$2,'Card Data'!$A:$A,$A16)</f>
        <v>14</v>
      </c>
      <c r="T16" s="24">
        <f>COUNTIFS('Card Data'!$J:$J,T$2,'Card Data'!$A:$A,$A16)</f>
        <v>4</v>
      </c>
      <c r="U16" s="26"/>
      <c r="V16" s="24">
        <f>COUNTIFS('Card Data'!$K:$K,V$2,'Card Data'!$A:$A,$A16)</f>
        <v>2</v>
      </c>
      <c r="W16" s="24">
        <f>COUNTIFS('Card Data'!$K:$K,W$2,'Card Data'!$A:$A,$A16)</f>
        <v>2</v>
      </c>
      <c r="X16" s="24">
        <f>COUNTIFS('Card Data'!$K:$K,X$2,'Card Data'!$A:$A,$A16)</f>
        <v>2</v>
      </c>
      <c r="Y16" s="24">
        <f>COUNTIFS('Card Data'!$K:$K,Y$2,'Card Data'!$A:$A,$A16)</f>
        <v>2</v>
      </c>
      <c r="Z16" s="24">
        <f>COUNTIFS('Card Data'!$K:$K,Z$2,'Card Data'!$A:$A,$A16)</f>
        <v>3</v>
      </c>
      <c r="AA16" s="24">
        <f>COUNTIFS('Card Data'!$K:$K,AA$2,'Card Data'!$A:$A,$A16)</f>
        <v>1</v>
      </c>
    </row>
    <row r="17" spans="1:27">
      <c r="A17" s="14" t="s">
        <v>7190</v>
      </c>
      <c r="B17" s="14" t="s">
        <v>7117</v>
      </c>
      <c r="C17" s="16" t="s">
        <v>2107</v>
      </c>
      <c r="E17" s="14" t="s">
        <v>7187</v>
      </c>
      <c r="G17" s="24">
        <f>SUMIF('Card Data'!$A:$A,$A17,'Card Data'!$E:$E)</f>
        <v>60</v>
      </c>
      <c r="H17" s="24">
        <f>SUMIFS('Card Data'!$E:$E,'Card Data'!$A:$A,$A17,'Card Data'!$K:$K,"&lt;&gt;",'Card Data'!$J:$J,"&lt;&gt;Investigator")-SUMIFS('Card Data'!$E:$E,'Card Data'!$A:$A,$A17,'Card Data'!$K:$K,"&lt;&gt;",'Card Data'!$J:$J,"Mini")</f>
        <v>60</v>
      </c>
      <c r="I17" s="24">
        <f>SUMIFS('Card Data'!$E:$E,'Card Data'!$A:$A,$A17,'Card Data'!$K:$K,"",'Card Data'!$J:$J,"&lt;&gt;Campaign")+SUMIFS('Card Data'!$E:$E,'Card Data'!$A:$A,$A17,'Card Data'!$K:$K,"Mythos")-J17</f>
        <v>31</v>
      </c>
      <c r="J17" s="24">
        <f>SUMIFS('Card Data'!$E:$E,'Card Data'!$J:$J,J$2,'Card Data'!$A:$A,$A17,'Card Data'!$AD:$AD,"&lt;&gt;*Side Quest.*")</f>
        <v>3</v>
      </c>
      <c r="K17" s="24">
        <f>COUNTIFS('Card Data'!$J:$J,K$2,'Card Data'!$A:$A,$A17,'Card Data'!$AD:$AD,"&lt;&gt;*Side Quest.*")</f>
        <v>4</v>
      </c>
      <c r="L17" s="24">
        <f>COUNTIFS('Card Data'!$J:$J,L$2,'Card Data'!$A:$A,$A17,'Card Data'!$AD:$AD,"&lt;&gt;*Side Quest.*")</f>
        <v>1</v>
      </c>
      <c r="M17" s="26"/>
      <c r="N17" s="24">
        <f>COUNTIFS('Card Data'!$J:$J,N$2,'Card Data'!$A:$A,$A17)</f>
        <v>0</v>
      </c>
      <c r="O17" s="24">
        <f>COUNTIFS('Card Data'!$J:$J,O$2,'Card Data'!$A:$A,$A17)</f>
        <v>5</v>
      </c>
      <c r="P17" s="24">
        <f>COUNTIFS('Card Data'!$J:$J,P$2,'Card Data'!$A:$A,$A17)</f>
        <v>6</v>
      </c>
      <c r="Q17" s="24">
        <f>COUNTIFS('Card Data'!$J:$J,Q$2,'Card Data'!$A:$A,$A17)</f>
        <v>0</v>
      </c>
      <c r="R17" s="24">
        <f>COUNTIFS('Card Data'!$J:$J,R$2,'Card Data'!$A:$A,$A17)</f>
        <v>2</v>
      </c>
      <c r="S17" s="24">
        <f>COUNTIFS('Card Data'!$J:$J,S$2,'Card Data'!$A:$A,$A17)</f>
        <v>13</v>
      </c>
      <c r="T17" s="24">
        <f>COUNTIFS('Card Data'!$J:$J,T$2,'Card Data'!$A:$A,$A17)</f>
        <v>5</v>
      </c>
      <c r="U17" s="26"/>
      <c r="V17" s="24">
        <f>COUNTIFS('Card Data'!$K:$K,V$2,'Card Data'!$A:$A,$A17)</f>
        <v>2</v>
      </c>
      <c r="W17" s="24">
        <f>COUNTIFS('Card Data'!$K:$K,W$2,'Card Data'!$A:$A,$A17)</f>
        <v>3</v>
      </c>
      <c r="X17" s="24">
        <f>COUNTIFS('Card Data'!$K:$K,X$2,'Card Data'!$A:$A,$A17)</f>
        <v>2</v>
      </c>
      <c r="Y17" s="24">
        <f>COUNTIFS('Card Data'!$K:$K,Y$2,'Card Data'!$A:$A,$A17)</f>
        <v>2</v>
      </c>
      <c r="Z17" s="24">
        <f>COUNTIFS('Card Data'!$K:$K,Z$2,'Card Data'!$A:$A,$A17)</f>
        <v>2</v>
      </c>
      <c r="AA17" s="24">
        <f>COUNTIFS('Card Data'!$K:$K,AA$2,'Card Data'!$A:$A,$A17)</f>
        <v>1</v>
      </c>
    </row>
    <row r="18" spans="1:27">
      <c r="A18" s="14" t="s">
        <v>7230</v>
      </c>
      <c r="B18" s="14" t="s">
        <v>7267</v>
      </c>
      <c r="C18" s="16" t="s">
        <v>2107</v>
      </c>
      <c r="E18" s="14" t="s">
        <v>7349</v>
      </c>
      <c r="G18" s="24">
        <f>SUMIF('Card Data'!$A:$A,$A18,'Card Data'!$E:$E)</f>
        <v>60</v>
      </c>
      <c r="H18" s="24">
        <f>SUMIFS('Card Data'!$E:$E,'Card Data'!$A:$A,$A18,'Card Data'!$K:$K,"&lt;&gt;",'Card Data'!$J:$J,"&lt;&gt;Investigator")-SUMIFS('Card Data'!$E:$E,'Card Data'!$A:$A,$A18,'Card Data'!$K:$K,"&lt;&gt;",'Card Data'!$J:$J,"Mini")</f>
        <v>60</v>
      </c>
      <c r="I18" s="24">
        <f>SUMIFS('Card Data'!$E:$E,'Card Data'!$A:$A,$A18,'Card Data'!$K:$K,"",'Card Data'!$J:$J,"&lt;&gt;Campaign")+SUMIFS('Card Data'!$E:$E,'Card Data'!$A:$A,$A18,'Card Data'!$K:$K,"Mythos")-J18</f>
        <v>34</v>
      </c>
      <c r="J18" s="24">
        <f>SUMIFS('Card Data'!$E:$E,'Card Data'!$J:$J,J$2,'Card Data'!$A:$A,$A18,'Card Data'!$AD:$AD,"&lt;&gt;*Side Quest.*")</f>
        <v>2</v>
      </c>
      <c r="K18" s="24">
        <f>COUNTIFS('Card Data'!$J:$J,K$2,'Card Data'!$A:$A,$A18,'Card Data'!$AD:$AD,"&lt;&gt;*Side Quest.*")</f>
        <v>4</v>
      </c>
      <c r="L18" s="24">
        <f>COUNTIFS('Card Data'!$J:$J,L$2,'Card Data'!$A:$A,$A18,'Card Data'!$AD:$AD,"&lt;&gt;*Side Quest.*")</f>
        <v>1</v>
      </c>
      <c r="M18" s="26"/>
      <c r="N18" s="24">
        <f>COUNTIFS('Card Data'!$J:$J,N$2,'Card Data'!$A:$A,$A18)</f>
        <v>0</v>
      </c>
      <c r="O18" s="24">
        <f>COUNTIFS('Card Data'!$J:$J,O$2,'Card Data'!$A:$A,$A18)</f>
        <v>3</v>
      </c>
      <c r="P18" s="24">
        <f>COUNTIFS('Card Data'!$J:$J,P$2,'Card Data'!$A:$A,$A18)</f>
        <v>5</v>
      </c>
      <c r="Q18" s="24">
        <f>COUNTIFS('Card Data'!$J:$J,Q$2,'Card Data'!$A:$A,$A18)</f>
        <v>4</v>
      </c>
      <c r="R18" s="24">
        <f>COUNTIFS('Card Data'!$J:$J,R$2,'Card Data'!$A:$A,$A18)</f>
        <v>2</v>
      </c>
      <c r="S18" s="24">
        <f>COUNTIFS('Card Data'!$J:$J,S$2,'Card Data'!$A:$A,$A18)</f>
        <v>11</v>
      </c>
      <c r="T18" s="24">
        <f>COUNTIFS('Card Data'!$J:$J,T$2,'Card Data'!$A:$A,$A18)</f>
        <v>3</v>
      </c>
      <c r="U18" s="26"/>
      <c r="V18" s="24">
        <f>COUNTIFS('Card Data'!$K:$K,V$2,'Card Data'!$A:$A,$A18)</f>
        <v>3</v>
      </c>
      <c r="W18" s="24">
        <f>COUNTIFS('Card Data'!$K:$K,W$2,'Card Data'!$A:$A,$A18)</f>
        <v>2</v>
      </c>
      <c r="X18" s="24">
        <f>COUNTIFS('Card Data'!$K:$K,X$2,'Card Data'!$A:$A,$A18)</f>
        <v>2</v>
      </c>
      <c r="Y18" s="24">
        <f>COUNTIFS('Card Data'!$K:$K,Y$2,'Card Data'!$A:$A,$A18)</f>
        <v>2</v>
      </c>
      <c r="Z18" s="24">
        <f>COUNTIFS('Card Data'!$K:$K,Z$2,'Card Data'!$A:$A,$A18)</f>
        <v>2</v>
      </c>
      <c r="AA18" s="24">
        <f>COUNTIFS('Card Data'!$K:$K,AA$2,'Card Data'!$A:$A,$A18)</f>
        <v>1</v>
      </c>
    </row>
    <row r="19" spans="1:27">
      <c r="A19" s="14" t="s">
        <v>7351</v>
      </c>
      <c r="B19" s="14" t="s">
        <v>6641</v>
      </c>
      <c r="C19" s="16" t="s">
        <v>2107</v>
      </c>
      <c r="E19" s="14" t="s">
        <v>7488</v>
      </c>
      <c r="G19" s="24">
        <f>SUMIF('Card Data'!$A:$A,$A19,'Card Data'!$E:$E)</f>
        <v>60</v>
      </c>
      <c r="H19" s="24">
        <f>SUMIFS('Card Data'!$E:$E,'Card Data'!$A:$A,$A19,'Card Data'!$K:$K,"&lt;&gt;",'Card Data'!$J:$J,"&lt;&gt;Investigator")-SUMIFS('Card Data'!$E:$E,'Card Data'!$A:$A,$A19,'Card Data'!$K:$K,"&lt;&gt;",'Card Data'!$J:$J,"Mini")</f>
        <v>60</v>
      </c>
      <c r="I19" s="24">
        <f>SUMIFS('Card Data'!$E:$E,'Card Data'!$A:$A,$A19,'Card Data'!$K:$K,"",'Card Data'!$J:$J,"&lt;&gt;Campaign")+SUMIFS('Card Data'!$E:$E,'Card Data'!$A:$A,$A19,'Card Data'!$K:$K,"Mythos")-J19</f>
        <v>30</v>
      </c>
      <c r="J19" s="24">
        <f>SUMIFS('Card Data'!$E:$E,'Card Data'!$J:$J,J$2,'Card Data'!$A:$A,$A19,'Card Data'!$AD:$AD,"&lt;&gt;*Side Quest.*")</f>
        <v>8</v>
      </c>
      <c r="K19" s="24">
        <f>COUNTIFS('Card Data'!$J:$J,K$2,'Card Data'!$A:$A,$A19,'Card Data'!$AD:$AD,"&lt;&gt;*Side Quest.*")</f>
        <v>2</v>
      </c>
      <c r="L19" s="24">
        <f>COUNTIFS('Card Data'!$J:$J,L$2,'Card Data'!$A:$A,$A19,'Card Data'!$AD:$AD,"&lt;&gt;*Side Quest.*")</f>
        <v>1</v>
      </c>
      <c r="M19" s="26"/>
      <c r="N19" s="24">
        <f>COUNTIFS('Card Data'!$J:$J,N$2,'Card Data'!$A:$A,$A19)</f>
        <v>0</v>
      </c>
      <c r="O19" s="24">
        <f>COUNTIFS('Card Data'!$J:$J,O$2,'Card Data'!$A:$A,$A19)</f>
        <v>5</v>
      </c>
      <c r="P19" s="24">
        <f>COUNTIFS('Card Data'!$J:$J,P$2,'Card Data'!$A:$A,$A19)</f>
        <v>5</v>
      </c>
      <c r="Q19" s="24">
        <f>COUNTIFS('Card Data'!$J:$J,Q$2,'Card Data'!$A:$A,$A19)</f>
        <v>1</v>
      </c>
      <c r="R19" s="24">
        <f>COUNTIFS('Card Data'!$J:$J,R$2,'Card Data'!$A:$A,$A19)</f>
        <v>2</v>
      </c>
      <c r="S19" s="24">
        <f>COUNTIFS('Card Data'!$J:$J,S$2,'Card Data'!$A:$A,$A19)</f>
        <v>17</v>
      </c>
      <c r="T19" s="24">
        <f>COUNTIFS('Card Data'!$J:$J,T$2,'Card Data'!$A:$A,$A19)</f>
        <v>2</v>
      </c>
      <c r="U19" s="26"/>
      <c r="V19" s="24">
        <f>COUNTIFS('Card Data'!$K:$K,V$2,'Card Data'!$A:$A,$A19)</f>
        <v>2</v>
      </c>
      <c r="W19" s="24">
        <f>COUNTIFS('Card Data'!$K:$K,W$2,'Card Data'!$A:$A,$A19)</f>
        <v>2</v>
      </c>
      <c r="X19" s="24">
        <f>COUNTIFS('Card Data'!$K:$K,X$2,'Card Data'!$A:$A,$A19)</f>
        <v>2</v>
      </c>
      <c r="Y19" s="24">
        <f>COUNTIFS('Card Data'!$K:$K,Y$2,'Card Data'!$A:$A,$A19)</f>
        <v>3</v>
      </c>
      <c r="Z19" s="24">
        <f>COUNTIFS('Card Data'!$K:$K,Z$2,'Card Data'!$A:$A,$A19)</f>
        <v>2</v>
      </c>
      <c r="AA19" s="24">
        <f>COUNTIFS('Card Data'!$K:$K,AA$2,'Card Data'!$A:$A,$A19)</f>
        <v>0</v>
      </c>
    </row>
    <row r="20" spans="1:27">
      <c r="G20" s="24">
        <f>SUMIF('Card Data'!$A:$A,$A20,'Card Data'!$E:$E)</f>
        <v>0</v>
      </c>
      <c r="H20" s="24">
        <f>SUMIFS('Card Data'!$E:$E,'Card Data'!$A:$A,$A20,'Card Data'!$K:$K,"&lt;&gt;",'Card Data'!$J:$J,"&lt;&gt;Investigator")-SUMIFS('Card Data'!$E:$E,'Card Data'!$A:$A,$A20,'Card Data'!$K:$K,"&lt;&gt;",'Card Data'!$J:$J,"Mini")</f>
        <v>0</v>
      </c>
      <c r="I20" s="24">
        <f>SUMIFS('Card Data'!$E:$E,'Card Data'!$A:$A,$A20,'Card Data'!$K:$K,"",'Card Data'!$J:$J,"&lt;&gt;Campaign")+SUMIFS('Card Data'!$E:$E,'Card Data'!$A:$A,$A20,'Card Data'!$K:$K,"Mythos")-J20</f>
        <v>0</v>
      </c>
      <c r="J20" s="24">
        <f>SUMIFS('Card Data'!$E:$E,'Card Data'!$J:$J,J$2,'Card Data'!$A:$A,$A20,'Card Data'!$AD:$AD,"&lt;&gt;*Side Quest.*")</f>
        <v>0</v>
      </c>
      <c r="K20" s="24">
        <f>COUNTIFS('Card Data'!$J:$J,K$2,'Card Data'!$A:$A,$A20,'Card Data'!$AD:$AD,"&lt;&gt;*Side Quest.*")</f>
        <v>0</v>
      </c>
      <c r="L20" s="24">
        <f>COUNTIFS('Card Data'!$J:$J,L$2,'Card Data'!$A:$A,$A20,'Card Data'!$AD:$AD,"&lt;&gt;*Side Quest.*")</f>
        <v>0</v>
      </c>
      <c r="M20" s="26"/>
      <c r="N20" s="24">
        <f>COUNTIFS('Card Data'!$J:$J,N$2,'Card Data'!$A:$A,$A20)</f>
        <v>0</v>
      </c>
      <c r="O20" s="24">
        <f>COUNTIFS('Card Data'!$J:$J,O$2,'Card Data'!$A:$A,$A20)</f>
        <v>0</v>
      </c>
      <c r="P20" s="24">
        <f>COUNTIFS('Card Data'!$J:$J,P$2,'Card Data'!$A:$A,$A20)</f>
        <v>0</v>
      </c>
      <c r="Q20" s="24">
        <f>COUNTIFS('Card Data'!$J:$J,Q$2,'Card Data'!$A:$A,$A20)</f>
        <v>0</v>
      </c>
      <c r="R20" s="24">
        <f>COUNTIFS('Card Data'!$J:$J,R$2,'Card Data'!$A:$A,$A20)</f>
        <v>0</v>
      </c>
      <c r="S20" s="24">
        <f>COUNTIFS('Card Data'!$J:$J,S$2,'Card Data'!$A:$A,$A20)</f>
        <v>0</v>
      </c>
      <c r="T20" s="24">
        <f>COUNTIFS('Card Data'!$J:$J,T$2,'Card Data'!$A:$A,$A20)</f>
        <v>0</v>
      </c>
      <c r="U20" s="26"/>
      <c r="V20" s="24">
        <f>COUNTIFS('Card Data'!$K:$K,V$2,'Card Data'!$A:$A,$A20)</f>
        <v>0</v>
      </c>
      <c r="W20" s="24">
        <f>COUNTIFS('Card Data'!$K:$K,W$2,'Card Data'!$A:$A,$A20)</f>
        <v>0</v>
      </c>
      <c r="X20" s="24">
        <f>COUNTIFS('Card Data'!$K:$K,X$2,'Card Data'!$A:$A,$A20)</f>
        <v>0</v>
      </c>
      <c r="Y20" s="24">
        <f>COUNTIFS('Card Data'!$K:$K,Y$2,'Card Data'!$A:$A,$A20)</f>
        <v>0</v>
      </c>
      <c r="Z20" s="24">
        <f>COUNTIFS('Card Data'!$K:$K,Z$2,'Card Data'!$A:$A,$A20)</f>
        <v>0</v>
      </c>
      <c r="AA20" s="24">
        <f>COUNTIFS('Card Data'!$K:$K,AA$2,'Card Data'!$A:$A,$A20)</f>
        <v>0</v>
      </c>
    </row>
  </sheetData>
  <mergeCells count="3">
    <mergeCell ref="G1:J1"/>
    <mergeCell ref="N1:T1"/>
    <mergeCell ref="V1:AA1"/>
  </mergeCells>
  <conditionalFormatting sqref="V2">
    <cfRule type="cellIs" dxfId="461" priority="29" operator="equal">
      <formula>"Fellowship"</formula>
    </cfRule>
    <cfRule type="cellIs" dxfId="460" priority="30" operator="equal">
      <formula>"Neutral"</formula>
    </cfRule>
    <cfRule type="cellIs" dxfId="459" priority="31" operator="equal">
      <formula>"Baggins"</formula>
    </cfRule>
    <cfRule type="cellIs" dxfId="458" priority="32" operator="equal">
      <formula>"Lore"</formula>
    </cfRule>
    <cfRule type="cellIs" dxfId="457" priority="33" operator="equal">
      <formula>"Spirit"</formula>
    </cfRule>
    <cfRule type="cellIs" dxfId="456" priority="34" operator="equal">
      <formula>"Tactics"</formula>
    </cfRule>
    <cfRule type="cellIs" dxfId="455" priority="35" operator="equal">
      <formula>"Leadership"</formula>
    </cfRule>
  </conditionalFormatting>
  <conditionalFormatting sqref="W2">
    <cfRule type="cellIs" dxfId="454" priority="22" operator="equal">
      <formula>"Fellowship"</formula>
    </cfRule>
    <cfRule type="cellIs" dxfId="453" priority="23" operator="equal">
      <formula>"Neutral"</formula>
    </cfRule>
    <cfRule type="cellIs" dxfId="452" priority="24" operator="equal">
      <formula>"Baggins"</formula>
    </cfRule>
    <cfRule type="cellIs" dxfId="451" priority="25" operator="equal">
      <formula>"Lore"</formula>
    </cfRule>
    <cfRule type="cellIs" dxfId="450" priority="26" operator="equal">
      <formula>"Spirit"</formula>
    </cfRule>
    <cfRule type="cellIs" dxfId="449" priority="27" operator="equal">
      <formula>"Tactics"</formula>
    </cfRule>
    <cfRule type="cellIs" dxfId="448" priority="28" operator="equal">
      <formula>"Leadership"</formula>
    </cfRule>
  </conditionalFormatting>
  <conditionalFormatting sqref="X2">
    <cfRule type="cellIs" dxfId="447" priority="15" operator="equal">
      <formula>"Fellowship"</formula>
    </cfRule>
    <cfRule type="cellIs" dxfId="446" priority="16" operator="equal">
      <formula>"Neutral"</formula>
    </cfRule>
    <cfRule type="cellIs" dxfId="445" priority="17" operator="equal">
      <formula>"Baggins"</formula>
    </cfRule>
    <cfRule type="cellIs" dxfId="444" priority="18" operator="equal">
      <formula>"Lore"</formula>
    </cfRule>
    <cfRule type="cellIs" dxfId="443" priority="19" operator="equal">
      <formula>"Spirit"</formula>
    </cfRule>
    <cfRule type="cellIs" dxfId="442" priority="20" operator="equal">
      <formula>"Tactics"</formula>
    </cfRule>
    <cfRule type="cellIs" dxfId="441" priority="21" operator="equal">
      <formula>"Leadership"</formula>
    </cfRule>
  </conditionalFormatting>
  <conditionalFormatting sqref="Y2:Z2">
    <cfRule type="cellIs" dxfId="440" priority="8" operator="equal">
      <formula>"Fellowship"</formula>
    </cfRule>
    <cfRule type="cellIs" dxfId="439" priority="9" operator="equal">
      <formula>"Neutral"</formula>
    </cfRule>
    <cfRule type="cellIs" dxfId="438" priority="10" operator="equal">
      <formula>"Baggins"</formula>
    </cfRule>
    <cfRule type="cellIs" dxfId="437" priority="11" operator="equal">
      <formula>"Lore"</formula>
    </cfRule>
    <cfRule type="cellIs" dxfId="436" priority="12" operator="equal">
      <formula>"Spirit"</formula>
    </cfRule>
    <cfRule type="cellIs" dxfId="435" priority="13" operator="equal">
      <formula>"Tactics"</formula>
    </cfRule>
    <cfRule type="cellIs" dxfId="434" priority="14" operator="equal">
      <formula>"Leadership"</formula>
    </cfRule>
  </conditionalFormatting>
  <conditionalFormatting sqref="AA2">
    <cfRule type="cellIs" dxfId="433" priority="1" operator="equal">
      <formula>"Fellowship"</formula>
    </cfRule>
    <cfRule type="cellIs" dxfId="432" priority="2" operator="equal">
      <formula>"Neutral"</formula>
    </cfRule>
    <cfRule type="cellIs" dxfId="431" priority="3" operator="equal">
      <formula>"Baggins"</formula>
    </cfRule>
    <cfRule type="cellIs" dxfId="430" priority="4" operator="equal">
      <formula>"Lore"</formula>
    </cfRule>
    <cfRule type="cellIs" dxfId="429" priority="5" operator="equal">
      <formula>"Spirit"</formula>
    </cfRule>
    <cfRule type="cellIs" dxfId="428" priority="6" operator="equal">
      <formula>"Tactics"</formula>
    </cfRule>
    <cfRule type="cellIs" dxfId="42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29"/>
  <sheetViews>
    <sheetView zoomScale="85" zoomScaleNormal="85" workbookViewId="0">
      <pane xSplit="7" ySplit="1" topLeftCell="AG896" activePane="bottomRight" state="frozen"/>
      <selection activeCell="E1" sqref="E1"/>
      <selection pane="topRight" activeCell="F1" sqref="F1"/>
      <selection pane="bottomLeft" activeCell="E2" sqref="E2"/>
      <selection pane="bottomRight" activeCell="AI902" sqref="AI902"/>
    </sheetView>
  </sheetViews>
  <sheetFormatPr defaultColWidth="9.140625" defaultRowHeight="12"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c r="A617" s="53" t="s">
        <v>6791</v>
      </c>
      <c r="B617" s="53" t="s">
        <v>6681</v>
      </c>
      <c r="C617" s="53" t="s">
        <v>6214</v>
      </c>
      <c r="D617" s="157">
        <v>1</v>
      </c>
      <c r="E617" s="53">
        <v>1</v>
      </c>
      <c r="F617" s="53"/>
      <c r="G617" s="53"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73" ht="15" customHeight="1">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73" ht="15" customHeight="1">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73" ht="15" customHeight="1">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73" ht="15" customHeight="1">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73" ht="15" customHeight="1">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73" ht="15" customHeight="1">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73" ht="15" customHeight="1">
      <c r="A727" s="37" t="s">
        <v>6791</v>
      </c>
      <c r="B727" s="41" t="s">
        <v>6932</v>
      </c>
      <c r="C727" s="36" t="s">
        <v>6214</v>
      </c>
      <c r="D727" s="44">
        <v>994</v>
      </c>
      <c r="E727" s="41">
        <v>1</v>
      </c>
      <c r="F727" s="41"/>
      <c r="G727" s="41" t="s">
        <v>6366</v>
      </c>
      <c r="J727" s="36" t="s">
        <v>4715</v>
      </c>
      <c r="K727" s="36" t="s">
        <v>4052</v>
      </c>
      <c r="N727" s="86"/>
      <c r="O727" s="88"/>
      <c r="P727" s="89"/>
      <c r="Q727" s="90"/>
      <c r="U727" s="88"/>
      <c r="V727" s="96"/>
      <c r="W727" s="97"/>
      <c r="X727" s="93"/>
      <c r="AA727" s="94"/>
      <c r="AB727" s="55"/>
      <c r="AE727" s="36"/>
      <c r="AI727" s="41" t="s">
        <v>6366</v>
      </c>
      <c r="AL727" s="36" t="s">
        <v>4715</v>
      </c>
      <c r="AP727" s="86"/>
      <c r="AQ727" s="88"/>
      <c r="AR727" s="89"/>
      <c r="AS727" s="90"/>
      <c r="AV727" s="88"/>
      <c r="AW727" s="96"/>
      <c r="AX727" s="97"/>
      <c r="AY727" s="93"/>
      <c r="BB727" s="94"/>
    </row>
    <row r="728" spans="1:73" ht="15" customHeight="1">
      <c r="A728" s="37" t="s">
        <v>6791</v>
      </c>
      <c r="B728" s="36" t="s">
        <v>6933</v>
      </c>
      <c r="C728" s="36" t="s">
        <v>6214</v>
      </c>
      <c r="D728" s="37">
        <v>995</v>
      </c>
      <c r="E728" s="36">
        <v>1</v>
      </c>
      <c r="G728" s="36" t="s">
        <v>6371</v>
      </c>
      <c r="J728" s="36" t="s">
        <v>4715</v>
      </c>
      <c r="K728" s="36" t="s">
        <v>4053</v>
      </c>
      <c r="N728" s="86"/>
      <c r="O728" s="88"/>
      <c r="P728" s="89"/>
      <c r="Q728" s="90"/>
      <c r="U728" s="88"/>
      <c r="V728" s="96"/>
      <c r="W728" s="97"/>
      <c r="X728" s="93"/>
      <c r="AA728" s="94"/>
      <c r="AB728" s="55"/>
      <c r="AE728" s="36"/>
      <c r="AI728" s="36" t="s">
        <v>6371</v>
      </c>
      <c r="AL728" s="36" t="s">
        <v>4715</v>
      </c>
      <c r="AP728" s="86"/>
      <c r="AQ728" s="88"/>
      <c r="AR728" s="89"/>
      <c r="AS728" s="90"/>
      <c r="AV728" s="88"/>
      <c r="AW728" s="96"/>
      <c r="AX728" s="97"/>
      <c r="AY728" s="93"/>
      <c r="BB728" s="94"/>
    </row>
    <row r="729" spans="1:73" ht="15" customHeight="1">
      <c r="A729" s="37" t="s">
        <v>6791</v>
      </c>
      <c r="B729" s="36" t="s">
        <v>6934</v>
      </c>
      <c r="C729" s="36" t="s">
        <v>6214</v>
      </c>
      <c r="D729" s="44">
        <v>996</v>
      </c>
      <c r="E729" s="36">
        <v>1</v>
      </c>
      <c r="G729" s="36" t="s">
        <v>6376</v>
      </c>
      <c r="J729" s="36" t="s">
        <v>4715</v>
      </c>
      <c r="K729" s="36" t="s">
        <v>4055</v>
      </c>
      <c r="N729" s="86"/>
      <c r="O729" s="88"/>
      <c r="P729" s="89"/>
      <c r="Q729" s="90"/>
      <c r="U729" s="88"/>
      <c r="V729" s="96"/>
      <c r="W729" s="97"/>
      <c r="X729" s="93"/>
      <c r="AA729" s="94"/>
      <c r="AB729" s="55"/>
      <c r="AE729" s="36"/>
      <c r="AI729" s="36" t="s">
        <v>6376</v>
      </c>
      <c r="AL729" s="36" t="s">
        <v>4715</v>
      </c>
      <c r="AP729" s="86"/>
      <c r="AQ729" s="88"/>
      <c r="AR729" s="89"/>
      <c r="AS729" s="90"/>
      <c r="AV729" s="88"/>
      <c r="AW729" s="96"/>
      <c r="AX729" s="97"/>
      <c r="AY729" s="93"/>
      <c r="BB729" s="94"/>
    </row>
    <row r="730" spans="1:73" ht="15" customHeight="1">
      <c r="A730" s="37" t="s">
        <v>6791</v>
      </c>
      <c r="B730" s="36" t="s">
        <v>6935</v>
      </c>
      <c r="C730" s="36" t="s">
        <v>6214</v>
      </c>
      <c r="D730" s="37">
        <v>997</v>
      </c>
      <c r="E730" s="36">
        <v>1</v>
      </c>
      <c r="G730" s="36" t="s">
        <v>6381</v>
      </c>
      <c r="J730" s="36" t="s">
        <v>4715</v>
      </c>
      <c r="K730" s="36" t="s">
        <v>4054</v>
      </c>
      <c r="N730" s="86"/>
      <c r="O730" s="88"/>
      <c r="P730" s="89"/>
      <c r="Q730" s="90"/>
      <c r="U730" s="88"/>
      <c r="V730" s="96"/>
      <c r="W730" s="97"/>
      <c r="X730" s="93"/>
      <c r="AA730" s="94"/>
      <c r="AB730" s="55"/>
      <c r="AE730" s="36"/>
      <c r="AI730" s="36" t="s">
        <v>6381</v>
      </c>
      <c r="AL730" s="36" t="s">
        <v>4715</v>
      </c>
      <c r="AP730" s="86"/>
      <c r="AQ730" s="88"/>
      <c r="AR730" s="89"/>
      <c r="AS730" s="90"/>
      <c r="AV730" s="88"/>
      <c r="AW730" s="96"/>
      <c r="AX730" s="97"/>
      <c r="AY730" s="93"/>
      <c r="BB730" s="94"/>
    </row>
    <row r="731" spans="1:73" s="45" customFormat="1" ht="15" customHeight="1">
      <c r="A731" s="37" t="s">
        <v>6791</v>
      </c>
      <c r="B731" s="152" t="s">
        <v>6936</v>
      </c>
      <c r="C731" s="36" t="s">
        <v>6214</v>
      </c>
      <c r="D731" s="44">
        <v>998</v>
      </c>
      <c r="E731" s="152">
        <v>1</v>
      </c>
      <c r="F731" s="152"/>
      <c r="G731" s="152" t="s">
        <v>6385</v>
      </c>
      <c r="H731" s="152"/>
      <c r="I731" s="152"/>
      <c r="J731" s="152" t="s">
        <v>4715</v>
      </c>
      <c r="K731" s="152" t="s">
        <v>4056</v>
      </c>
      <c r="L731" s="152"/>
      <c r="M731" s="152"/>
      <c r="N731" s="153"/>
      <c r="O731" s="88"/>
      <c r="P731" s="89"/>
      <c r="Q731" s="90"/>
      <c r="R731" s="79"/>
      <c r="S731" s="126"/>
      <c r="T731" s="81"/>
      <c r="U731" s="88"/>
      <c r="V731" s="96"/>
      <c r="W731" s="97"/>
      <c r="X731" s="93"/>
      <c r="Y731" s="79"/>
      <c r="Z731" s="81"/>
      <c r="AA731" s="94"/>
      <c r="AB731" s="155"/>
      <c r="AC731" s="152"/>
      <c r="AD731" s="152"/>
      <c r="AE731" s="152"/>
      <c r="AF731" s="152"/>
      <c r="AG731" s="152"/>
      <c r="AH731" s="152"/>
      <c r="AI731" s="152" t="s">
        <v>6385</v>
      </c>
      <c r="AJ731" s="152"/>
      <c r="AK731" s="152"/>
      <c r="AL731" s="152" t="s">
        <v>4715</v>
      </c>
      <c r="AM731" s="152"/>
      <c r="AN731" s="152"/>
      <c r="AO731" s="152"/>
      <c r="AP731" s="156"/>
      <c r="AQ731" s="99"/>
      <c r="AR731" s="100"/>
      <c r="AS731" s="101"/>
      <c r="AT731" s="102"/>
      <c r="AU731" s="103"/>
      <c r="AV731" s="99"/>
      <c r="AW731" s="104"/>
      <c r="AX731" s="105"/>
      <c r="AY731" s="106"/>
      <c r="AZ731" s="102"/>
      <c r="BA731" s="103"/>
      <c r="BB731" s="107"/>
      <c r="BC731" s="155"/>
      <c r="BD731" s="152"/>
      <c r="BE731" s="152"/>
      <c r="BF731" s="154"/>
      <c r="BG731" s="152"/>
      <c r="BH731" s="152"/>
      <c r="BI731" s="152"/>
      <c r="BJ731" s="152"/>
      <c r="BK731" s="152"/>
      <c r="BL731" s="152"/>
      <c r="BM731" s="152"/>
      <c r="BN731" s="152"/>
      <c r="BO731" s="152"/>
      <c r="BP731" s="152"/>
      <c r="BQ731" s="152"/>
      <c r="BR731" s="152"/>
      <c r="BS731" s="152"/>
      <c r="BT731" s="152"/>
      <c r="BU731" s="152"/>
    </row>
    <row r="732" spans="1:73" s="45" customFormat="1" ht="15" customHeight="1">
      <c r="A732" s="37" t="s">
        <v>6791</v>
      </c>
      <c r="B732" s="45" t="s">
        <v>6937</v>
      </c>
      <c r="C732" s="36" t="s">
        <v>6214</v>
      </c>
      <c r="D732" s="37">
        <v>999</v>
      </c>
      <c r="E732" s="45">
        <v>1</v>
      </c>
      <c r="G732" s="45" t="s">
        <v>6390</v>
      </c>
      <c r="J732" s="45" t="s">
        <v>4715</v>
      </c>
      <c r="K732" s="45" t="s">
        <v>26</v>
      </c>
      <c r="N732" s="98"/>
      <c r="O732" s="99"/>
      <c r="P732" s="100"/>
      <c r="Q732" s="101"/>
      <c r="R732" s="102"/>
      <c r="S732" s="126"/>
      <c r="T732" s="103"/>
      <c r="U732" s="99"/>
      <c r="V732" s="104"/>
      <c r="W732" s="105"/>
      <c r="X732" s="106"/>
      <c r="Y732" s="102"/>
      <c r="Z732" s="103"/>
      <c r="AA732" s="107"/>
      <c r="AI732" s="45" t="s">
        <v>6390</v>
      </c>
      <c r="AL732" s="45" t="s">
        <v>4715</v>
      </c>
      <c r="AP732" s="98"/>
      <c r="AQ732" s="99"/>
      <c r="AR732" s="100"/>
      <c r="AS732" s="101"/>
      <c r="AT732" s="102"/>
      <c r="AU732" s="103"/>
      <c r="AV732" s="99"/>
      <c r="AW732" s="104"/>
      <c r="AX732" s="105"/>
      <c r="AY732" s="106"/>
      <c r="AZ732" s="102"/>
      <c r="BA732" s="103"/>
      <c r="BB732" s="107"/>
      <c r="BF732" s="38"/>
    </row>
    <row r="733" spans="1:73" ht="15" customHeight="1">
      <c r="A733" s="54" t="s">
        <v>6794</v>
      </c>
      <c r="B733" s="54" t="s">
        <v>6797</v>
      </c>
      <c r="C733" s="54" t="s">
        <v>6215</v>
      </c>
      <c r="D733" s="129">
        <v>106</v>
      </c>
      <c r="E733" s="54">
        <v>2</v>
      </c>
      <c r="F733" s="54"/>
      <c r="G733" s="54" t="s">
        <v>6798</v>
      </c>
      <c r="H733" s="41"/>
      <c r="J733" s="36" t="s">
        <v>27</v>
      </c>
      <c r="K733" s="36" t="s">
        <v>4052</v>
      </c>
      <c r="L733" s="36">
        <v>0</v>
      </c>
      <c r="N733" s="37">
        <v>1</v>
      </c>
      <c r="O733" s="131">
        <v>1</v>
      </c>
      <c r="P733" s="132"/>
      <c r="Q733" s="133">
        <v>1</v>
      </c>
      <c r="R733" s="42"/>
      <c r="S733" s="134"/>
      <c r="T733" s="135"/>
      <c r="U733" s="131"/>
      <c r="V733" s="136"/>
      <c r="W733" s="137"/>
      <c r="X733" s="138"/>
      <c r="Y733" s="42"/>
      <c r="Z733" s="135"/>
      <c r="AA733" s="139"/>
      <c r="AB733" s="28" t="s">
        <v>4937</v>
      </c>
      <c r="AD733" s="36" t="s">
        <v>6799</v>
      </c>
      <c r="AF733" s="36" t="s">
        <v>6800</v>
      </c>
      <c r="AI733" s="41"/>
      <c r="AJ733" s="41"/>
      <c r="AO733" s="37"/>
      <c r="AP733" s="37"/>
      <c r="AQ733" s="131"/>
      <c r="AR733" s="132"/>
      <c r="AS733" s="133"/>
      <c r="AT733" s="42"/>
      <c r="AU733" s="135"/>
      <c r="AV733" s="131"/>
      <c r="AW733" s="136"/>
      <c r="AX733" s="137"/>
      <c r="AY733" s="138"/>
      <c r="AZ733" s="42"/>
      <c r="BA733" s="135"/>
      <c r="BB733" s="139"/>
      <c r="BE733" s="37"/>
      <c r="BF733" s="36"/>
    </row>
    <row r="734" spans="1:73" ht="15" customHeight="1">
      <c r="A734" s="41" t="s">
        <v>6794</v>
      </c>
      <c r="B734" s="36" t="s">
        <v>6801</v>
      </c>
      <c r="C734" s="36" t="s">
        <v>6215</v>
      </c>
      <c r="D734" s="37">
        <v>107</v>
      </c>
      <c r="E734" s="36">
        <v>2</v>
      </c>
      <c r="G734" s="36" t="s">
        <v>6802</v>
      </c>
      <c r="J734" s="36" t="s">
        <v>4111</v>
      </c>
      <c r="K734" s="36" t="s">
        <v>4052</v>
      </c>
      <c r="L734" s="36">
        <v>1</v>
      </c>
      <c r="N734" s="37">
        <v>1</v>
      </c>
      <c r="O734" s="131"/>
      <c r="P734" s="132"/>
      <c r="Q734" s="133">
        <v>1</v>
      </c>
      <c r="R734" s="42">
        <v>1</v>
      </c>
      <c r="S734" s="134"/>
      <c r="T734" s="135"/>
      <c r="U734" s="131">
        <v>1</v>
      </c>
      <c r="V734" s="136"/>
      <c r="W734" s="137"/>
      <c r="X734" s="138"/>
      <c r="Y734" s="42"/>
      <c r="Z734" s="135"/>
      <c r="AA734" s="139"/>
      <c r="AB734" s="28" t="s">
        <v>4941</v>
      </c>
      <c r="AD734" s="36" t="s">
        <v>6803</v>
      </c>
      <c r="AF734" s="36" t="s">
        <v>6804</v>
      </c>
      <c r="AO734" s="37"/>
      <c r="AP734" s="37"/>
      <c r="AQ734" s="131"/>
      <c r="AR734" s="132"/>
      <c r="AS734" s="133"/>
      <c r="AT734" s="42"/>
      <c r="AU734" s="135"/>
      <c r="AV734" s="131"/>
      <c r="AW734" s="136"/>
      <c r="AX734" s="137"/>
      <c r="AY734" s="138"/>
      <c r="AZ734" s="42"/>
      <c r="BA734" s="135"/>
      <c r="BB734" s="139"/>
      <c r="BE734" s="37"/>
      <c r="BF734" s="36"/>
    </row>
    <row r="735" spans="1:73" ht="15" customHeight="1">
      <c r="A735" s="41" t="s">
        <v>6794</v>
      </c>
      <c r="B735" s="36" t="s">
        <v>6805</v>
      </c>
      <c r="C735" s="36" t="s">
        <v>6215</v>
      </c>
      <c r="D735" s="37">
        <v>108</v>
      </c>
      <c r="E735" s="36">
        <v>2</v>
      </c>
      <c r="G735" s="36" t="s">
        <v>6806</v>
      </c>
      <c r="J735" s="36" t="s">
        <v>27</v>
      </c>
      <c r="K735" s="36" t="s">
        <v>4053</v>
      </c>
      <c r="L735" s="36">
        <v>0</v>
      </c>
      <c r="N735" s="37">
        <v>1</v>
      </c>
      <c r="O735" s="131">
        <v>1</v>
      </c>
      <c r="P735" s="132"/>
      <c r="Q735" s="133">
        <v>1</v>
      </c>
      <c r="R735" s="42"/>
      <c r="S735" s="134"/>
      <c r="T735" s="135"/>
      <c r="U735" s="131"/>
      <c r="V735" s="136"/>
      <c r="W735" s="137"/>
      <c r="X735" s="138"/>
      <c r="Y735" s="42"/>
      <c r="Z735" s="135"/>
      <c r="AA735" s="139"/>
      <c r="AB735" s="28" t="s">
        <v>4937</v>
      </c>
      <c r="AD735" s="36" t="s">
        <v>4194</v>
      </c>
      <c r="AF735" s="36" t="s">
        <v>6807</v>
      </c>
      <c r="AO735" s="37"/>
      <c r="AP735" s="37"/>
      <c r="AQ735" s="131"/>
      <c r="AR735" s="132"/>
      <c r="AS735" s="133"/>
      <c r="AT735" s="42"/>
      <c r="AU735" s="135"/>
      <c r="AV735" s="131"/>
      <c r="AW735" s="136"/>
      <c r="AX735" s="137"/>
      <c r="AY735" s="138"/>
      <c r="AZ735" s="42"/>
      <c r="BA735" s="135"/>
      <c r="BB735" s="139"/>
      <c r="BE735" s="37"/>
      <c r="BF735" s="36"/>
    </row>
    <row r="736" spans="1:73" ht="15" customHeight="1">
      <c r="A736" s="41" t="s">
        <v>6794</v>
      </c>
      <c r="B736" s="36" t="s">
        <v>6808</v>
      </c>
      <c r="C736" s="36" t="s">
        <v>6215</v>
      </c>
      <c r="D736" s="37">
        <v>109</v>
      </c>
      <c r="E736" s="36">
        <v>2</v>
      </c>
      <c r="G736" s="36" t="s">
        <v>6809</v>
      </c>
      <c r="J736" s="36" t="s">
        <v>4111</v>
      </c>
      <c r="K736" s="36" t="s">
        <v>4053</v>
      </c>
      <c r="L736" s="36">
        <v>1</v>
      </c>
      <c r="N736" s="37">
        <v>1</v>
      </c>
      <c r="O736" s="131"/>
      <c r="P736" s="132">
        <v>1</v>
      </c>
      <c r="Q736" s="133">
        <v>1</v>
      </c>
      <c r="R736" s="42"/>
      <c r="S736" s="134"/>
      <c r="T736" s="135"/>
      <c r="U736" s="131">
        <v>1</v>
      </c>
      <c r="V736" s="136"/>
      <c r="W736" s="137"/>
      <c r="X736" s="138"/>
      <c r="Y736" s="42"/>
      <c r="Z736" s="135"/>
      <c r="AA736" s="139"/>
      <c r="AB736" s="28" t="s">
        <v>4945</v>
      </c>
      <c r="AD736" s="36" t="s">
        <v>6803</v>
      </c>
      <c r="AF736" s="36" t="s">
        <v>6810</v>
      </c>
      <c r="AO736" s="37"/>
      <c r="AP736" s="37"/>
      <c r="AQ736" s="131"/>
      <c r="AR736" s="132"/>
      <c r="AS736" s="133"/>
      <c r="AT736" s="42"/>
      <c r="AU736" s="135"/>
      <c r="AV736" s="131"/>
      <c r="AW736" s="136"/>
      <c r="AX736" s="137"/>
      <c r="AY736" s="138"/>
      <c r="AZ736" s="42"/>
      <c r="BA736" s="135"/>
      <c r="BB736" s="139"/>
      <c r="BE736" s="37"/>
      <c r="BF736" s="36"/>
    </row>
    <row r="737" spans="1:59" ht="15" customHeight="1">
      <c r="A737" s="41" t="s">
        <v>6794</v>
      </c>
      <c r="B737" s="36" t="s">
        <v>6811</v>
      </c>
      <c r="C737" s="36" t="s">
        <v>6215</v>
      </c>
      <c r="D737" s="36">
        <v>110</v>
      </c>
      <c r="E737" s="36">
        <v>2</v>
      </c>
      <c r="G737" s="36" t="s">
        <v>6812</v>
      </c>
      <c r="J737" s="36" t="s">
        <v>4111</v>
      </c>
      <c r="K737" s="36" t="s">
        <v>4055</v>
      </c>
      <c r="L737" s="36">
        <v>0</v>
      </c>
      <c r="N737" s="36">
        <v>2</v>
      </c>
      <c r="O737" s="131"/>
      <c r="P737" s="132"/>
      <c r="Q737" s="133">
        <v>1</v>
      </c>
      <c r="R737" s="42"/>
      <c r="S737" s="134"/>
      <c r="T737" s="135"/>
      <c r="U737" s="131"/>
      <c r="V737" s="136"/>
      <c r="W737" s="137"/>
      <c r="X737" s="138"/>
      <c r="Y737" s="42"/>
      <c r="Z737" s="135"/>
      <c r="AA737" s="139"/>
      <c r="AB737" s="28" t="s">
        <v>4060</v>
      </c>
      <c r="AC737" s="36" t="s">
        <v>4112</v>
      </c>
      <c r="AD737" s="36" t="s">
        <v>4206</v>
      </c>
      <c r="AE737" s="36"/>
      <c r="AF737" s="36" t="s">
        <v>6813</v>
      </c>
      <c r="AO737" s="37"/>
      <c r="AP737" s="36"/>
      <c r="AQ737" s="131"/>
      <c r="AR737" s="132"/>
      <c r="AS737" s="133"/>
      <c r="AT737" s="42"/>
      <c r="AU737" s="135"/>
      <c r="AV737" s="131"/>
      <c r="AW737" s="136"/>
      <c r="AX737" s="137"/>
      <c r="AY737" s="138"/>
      <c r="AZ737" s="42"/>
      <c r="BA737" s="135"/>
      <c r="BB737" s="139"/>
      <c r="BE737" s="37"/>
      <c r="BF737" s="36"/>
    </row>
    <row r="738" spans="1:59" ht="15" customHeight="1">
      <c r="A738" s="41" t="s">
        <v>6794</v>
      </c>
      <c r="B738" s="36" t="s">
        <v>6814</v>
      </c>
      <c r="C738" s="36" t="s">
        <v>6215</v>
      </c>
      <c r="D738" s="36">
        <v>111</v>
      </c>
      <c r="E738" s="36">
        <v>2</v>
      </c>
      <c r="G738" s="36" t="s">
        <v>6815</v>
      </c>
      <c r="J738" s="36" t="s">
        <v>4111</v>
      </c>
      <c r="K738" s="36" t="s">
        <v>4055</v>
      </c>
      <c r="L738" s="36">
        <v>1</v>
      </c>
      <c r="N738" s="36">
        <v>1</v>
      </c>
      <c r="O738" s="131">
        <v>1</v>
      </c>
      <c r="P738" s="132"/>
      <c r="Q738" s="133"/>
      <c r="R738" s="42">
        <v>1</v>
      </c>
      <c r="S738" s="134"/>
      <c r="T738" s="135"/>
      <c r="U738" s="131">
        <v>1</v>
      </c>
      <c r="V738" s="136"/>
      <c r="W738" s="137"/>
      <c r="X738" s="138"/>
      <c r="Y738" s="42"/>
      <c r="Z738" s="135"/>
      <c r="AA738" s="139"/>
      <c r="AB738" s="140" t="s">
        <v>4939</v>
      </c>
      <c r="AD738" s="36" t="s">
        <v>6803</v>
      </c>
      <c r="AE738" s="36"/>
      <c r="AF738" s="36" t="s">
        <v>6816</v>
      </c>
      <c r="AO738" s="37"/>
      <c r="AP738" s="36"/>
      <c r="AQ738" s="131"/>
      <c r="AR738" s="132"/>
      <c r="AS738" s="133"/>
      <c r="AT738" s="42"/>
      <c r="AU738" s="135"/>
      <c r="AV738" s="131"/>
      <c r="AW738" s="136"/>
      <c r="AX738" s="137"/>
      <c r="AY738" s="138"/>
      <c r="AZ738" s="42"/>
      <c r="BA738" s="135"/>
      <c r="BB738" s="139"/>
      <c r="BE738" s="37"/>
      <c r="BF738" s="36"/>
    </row>
    <row r="739" spans="1:59" ht="15" customHeight="1">
      <c r="A739" s="41" t="s">
        <v>6794</v>
      </c>
      <c r="B739" s="36" t="s">
        <v>6817</v>
      </c>
      <c r="C739" s="36" t="s">
        <v>6215</v>
      </c>
      <c r="D739" s="36">
        <v>112</v>
      </c>
      <c r="E739" s="36">
        <v>2</v>
      </c>
      <c r="G739" s="36" t="s">
        <v>6818</v>
      </c>
      <c r="H739" s="36" t="s">
        <v>6819</v>
      </c>
      <c r="I739" s="36" t="s">
        <v>4077</v>
      </c>
      <c r="J739" s="36" t="s">
        <v>4111</v>
      </c>
      <c r="K739" s="36" t="s">
        <v>4054</v>
      </c>
      <c r="L739" s="36">
        <v>0</v>
      </c>
      <c r="N739" s="36">
        <v>2</v>
      </c>
      <c r="O739" s="131"/>
      <c r="P739" s="132">
        <v>1</v>
      </c>
      <c r="Q739" s="133"/>
      <c r="R739" s="42"/>
      <c r="S739" s="134"/>
      <c r="T739" s="135">
        <v>2</v>
      </c>
      <c r="U739" s="131">
        <v>1</v>
      </c>
      <c r="V739" s="136"/>
      <c r="W739" s="137"/>
      <c r="X739" s="138"/>
      <c r="Y739" s="42"/>
      <c r="Z739" s="135"/>
      <c r="AA739" s="139"/>
      <c r="AB739" s="28" t="s">
        <v>4059</v>
      </c>
      <c r="AC739" s="36" t="s">
        <v>25</v>
      </c>
      <c r="AD739" s="36" t="s">
        <v>6820</v>
      </c>
      <c r="AE739" s="36"/>
      <c r="AF739" s="36" t="s">
        <v>6821</v>
      </c>
      <c r="AO739" s="37"/>
      <c r="AP739" s="36"/>
      <c r="AQ739" s="131"/>
      <c r="AR739" s="132"/>
      <c r="AS739" s="133"/>
      <c r="AT739" s="42"/>
      <c r="AU739" s="135"/>
      <c r="AV739" s="131"/>
      <c r="AW739" s="136"/>
      <c r="AX739" s="137"/>
      <c r="AY739" s="138"/>
      <c r="AZ739" s="42"/>
      <c r="BA739" s="135"/>
      <c r="BB739" s="139"/>
      <c r="BE739" s="37"/>
      <c r="BF739" s="36"/>
    </row>
    <row r="740" spans="1:59" ht="15" customHeight="1">
      <c r="A740" s="41" t="s">
        <v>6794</v>
      </c>
      <c r="B740" s="36" t="s">
        <v>6822</v>
      </c>
      <c r="C740" s="36" t="s">
        <v>6215</v>
      </c>
      <c r="D740" s="36">
        <v>113</v>
      </c>
      <c r="E740" s="36">
        <v>2</v>
      </c>
      <c r="G740" s="36" t="s">
        <v>6823</v>
      </c>
      <c r="J740" s="36" t="s">
        <v>4111</v>
      </c>
      <c r="K740" s="36" t="s">
        <v>4054</v>
      </c>
      <c r="L740" s="36">
        <v>1</v>
      </c>
      <c r="N740" s="36">
        <v>1</v>
      </c>
      <c r="O740" s="131">
        <v>1</v>
      </c>
      <c r="P740" s="132"/>
      <c r="Q740" s="133"/>
      <c r="R740" s="42"/>
      <c r="S740" s="134"/>
      <c r="T740" s="135"/>
      <c r="U740" s="131">
        <v>1</v>
      </c>
      <c r="V740" s="136"/>
      <c r="W740" s="137"/>
      <c r="X740" s="138"/>
      <c r="Y740" s="42"/>
      <c r="Z740" s="135"/>
      <c r="AA740" s="139"/>
      <c r="AB740" s="140" t="s">
        <v>4058</v>
      </c>
      <c r="AD740" s="36" t="s">
        <v>6803</v>
      </c>
      <c r="AE740" s="36"/>
      <c r="AF740" s="36" t="s">
        <v>6824</v>
      </c>
      <c r="AO740" s="37"/>
      <c r="AP740" s="36"/>
      <c r="AQ740" s="131"/>
      <c r="AR740" s="132"/>
      <c r="AS740" s="133"/>
      <c r="AT740" s="42"/>
      <c r="AU740" s="135"/>
      <c r="AV740" s="131"/>
      <c r="AW740" s="136"/>
      <c r="AX740" s="137"/>
      <c r="AY740" s="138"/>
      <c r="AZ740" s="42"/>
      <c r="BA740" s="135"/>
      <c r="BB740" s="139"/>
      <c r="BE740" s="37"/>
      <c r="BF740" s="36"/>
    </row>
    <row r="741" spans="1:59" ht="15" customHeight="1">
      <c r="A741" s="41" t="s">
        <v>6794</v>
      </c>
      <c r="B741" s="36" t="s">
        <v>6825</v>
      </c>
      <c r="C741" s="36" t="s">
        <v>6215</v>
      </c>
      <c r="D741" s="36">
        <v>114</v>
      </c>
      <c r="E741" s="36">
        <v>2</v>
      </c>
      <c r="G741" s="36" t="s">
        <v>6826</v>
      </c>
      <c r="J741" s="36" t="s">
        <v>4111</v>
      </c>
      <c r="K741" s="36" t="s">
        <v>4056</v>
      </c>
      <c r="L741" s="36">
        <v>0</v>
      </c>
      <c r="N741" s="141">
        <v>0</v>
      </c>
      <c r="O741" s="131">
        <v>1</v>
      </c>
      <c r="P741" s="132"/>
      <c r="Q741" s="133"/>
      <c r="R741" s="42"/>
      <c r="S741" s="134"/>
      <c r="T741" s="135"/>
      <c r="U741" s="131">
        <v>2</v>
      </c>
      <c r="V741" s="136"/>
      <c r="W741" s="137"/>
      <c r="X741" s="138"/>
      <c r="Y741" s="42"/>
      <c r="Z741" s="135"/>
      <c r="AA741" s="139"/>
      <c r="AB741" s="28" t="s">
        <v>4058</v>
      </c>
      <c r="AC741" s="36" t="s">
        <v>4129</v>
      </c>
      <c r="AD741" s="36" t="s">
        <v>4229</v>
      </c>
      <c r="AE741" s="36"/>
      <c r="AO741" s="37"/>
      <c r="AP741" s="36"/>
      <c r="AQ741" s="131"/>
      <c r="AR741" s="132"/>
      <c r="AS741" s="133"/>
      <c r="AT741" s="42"/>
      <c r="AU741" s="135"/>
      <c r="AV741" s="131"/>
      <c r="AW741" s="136"/>
      <c r="AX741" s="137"/>
      <c r="AY741" s="138"/>
      <c r="AZ741" s="42"/>
      <c r="BA741" s="135"/>
      <c r="BB741" s="139"/>
      <c r="BE741" s="37"/>
      <c r="BF741" s="36"/>
    </row>
    <row r="742" spans="1:59" ht="15" customHeight="1">
      <c r="A742" s="41" t="s">
        <v>6794</v>
      </c>
      <c r="B742" s="36" t="s">
        <v>6827</v>
      </c>
      <c r="C742" s="36" t="s">
        <v>6215</v>
      </c>
      <c r="D742" s="36">
        <v>115</v>
      </c>
      <c r="E742" s="36">
        <v>2</v>
      </c>
      <c r="G742" s="36" t="s">
        <v>6828</v>
      </c>
      <c r="J742" s="36" t="s">
        <v>4111</v>
      </c>
      <c r="K742" s="36" t="s">
        <v>4056</v>
      </c>
      <c r="L742" s="36">
        <v>1</v>
      </c>
      <c r="N742" s="36">
        <v>1</v>
      </c>
      <c r="O742" s="131">
        <v>1</v>
      </c>
      <c r="P742" s="132">
        <v>1</v>
      </c>
      <c r="Q742" s="133"/>
      <c r="R742" s="42"/>
      <c r="S742" s="134"/>
      <c r="T742" s="135"/>
      <c r="U742" s="131">
        <v>1</v>
      </c>
      <c r="V742" s="136"/>
      <c r="W742" s="137"/>
      <c r="X742" s="138"/>
      <c r="Y742" s="42"/>
      <c r="Z742" s="135"/>
      <c r="AA742" s="139"/>
      <c r="AB742" s="140" t="s">
        <v>4946</v>
      </c>
      <c r="AD742" s="36" t="s">
        <v>6803</v>
      </c>
      <c r="AE742" s="36"/>
      <c r="AF742" s="36" t="s">
        <v>6829</v>
      </c>
      <c r="AO742" s="37"/>
      <c r="AP742" s="36"/>
      <c r="AQ742" s="131"/>
      <c r="AR742" s="132"/>
      <c r="AS742" s="133"/>
      <c r="AT742" s="42"/>
      <c r="AU742" s="135"/>
      <c r="AV742" s="131"/>
      <c r="AW742" s="136"/>
      <c r="AX742" s="137"/>
      <c r="AY742" s="138"/>
      <c r="AZ742" s="42"/>
      <c r="BA742" s="135"/>
      <c r="BB742" s="139"/>
      <c r="BE742" s="37"/>
      <c r="BF742" s="36"/>
    </row>
    <row r="743" spans="1:59" ht="15" customHeight="1">
      <c r="A743" s="41" t="s">
        <v>6794</v>
      </c>
      <c r="B743" s="36" t="s">
        <v>6830</v>
      </c>
      <c r="C743" s="36" t="s">
        <v>6215</v>
      </c>
      <c r="D743" s="36">
        <v>116</v>
      </c>
      <c r="E743" s="36">
        <v>2</v>
      </c>
      <c r="G743" s="36" t="s">
        <v>6831</v>
      </c>
      <c r="J743" s="36" t="s">
        <v>4166</v>
      </c>
      <c r="K743" s="36" t="s">
        <v>26</v>
      </c>
      <c r="L743" s="36">
        <v>0</v>
      </c>
      <c r="N743" s="36"/>
      <c r="O743" s="131">
        <v>4</v>
      </c>
      <c r="P743" s="132"/>
      <c r="Q743" s="133"/>
      <c r="R743" s="42"/>
      <c r="S743" s="134"/>
      <c r="T743" s="135"/>
      <c r="U743" s="131"/>
      <c r="V743" s="136"/>
      <c r="W743" s="137"/>
      <c r="X743" s="138"/>
      <c r="Y743" s="42"/>
      <c r="Z743" s="135"/>
      <c r="AA743" s="139"/>
      <c r="AB743" s="28" t="s">
        <v>6832</v>
      </c>
      <c r="AD743" s="36" t="s">
        <v>6833</v>
      </c>
      <c r="AE743" s="36"/>
      <c r="AF743" s="36" t="s">
        <v>6834</v>
      </c>
      <c r="AO743" s="37"/>
      <c r="AP743" s="36"/>
      <c r="AQ743" s="131"/>
      <c r="AR743" s="132"/>
      <c r="AS743" s="133"/>
      <c r="AT743" s="42"/>
      <c r="AU743" s="135"/>
      <c r="AV743" s="131"/>
      <c r="AW743" s="136"/>
      <c r="AX743" s="137"/>
      <c r="AY743" s="138"/>
      <c r="AZ743" s="42"/>
      <c r="BA743" s="135"/>
      <c r="BB743" s="139"/>
      <c r="BE743" s="37"/>
      <c r="BF743" s="36"/>
    </row>
    <row r="744" spans="1:59" ht="15" customHeight="1">
      <c r="A744" s="41" t="s">
        <v>6794</v>
      </c>
      <c r="B744" s="36" t="s">
        <v>6835</v>
      </c>
      <c r="C744" s="36" t="s">
        <v>6215</v>
      </c>
      <c r="D744" s="36">
        <v>117</v>
      </c>
      <c r="E744" s="36">
        <v>2</v>
      </c>
      <c r="G744" s="36" t="s">
        <v>6836</v>
      </c>
      <c r="J744" s="36" t="s">
        <v>4166</v>
      </c>
      <c r="K744" s="36" t="s">
        <v>26</v>
      </c>
      <c r="L744" s="36">
        <v>0</v>
      </c>
      <c r="N744" s="36"/>
      <c r="O744" s="131"/>
      <c r="P744" s="132">
        <v>4</v>
      </c>
      <c r="Q744" s="133"/>
      <c r="R744" s="42"/>
      <c r="S744" s="134"/>
      <c r="T744" s="135"/>
      <c r="U744" s="131"/>
      <c r="V744" s="136"/>
      <c r="W744" s="137"/>
      <c r="X744" s="138"/>
      <c r="Y744" s="42"/>
      <c r="Z744" s="135"/>
      <c r="AA744" s="139"/>
      <c r="AB744" s="140" t="s">
        <v>6837</v>
      </c>
      <c r="AD744" s="36" t="s">
        <v>6833</v>
      </c>
      <c r="AE744" s="36"/>
      <c r="AF744" s="36" t="s">
        <v>6834</v>
      </c>
      <c r="AO744" s="37"/>
      <c r="AP744" s="36"/>
      <c r="AQ744" s="131"/>
      <c r="AR744" s="132"/>
      <c r="AS744" s="133"/>
      <c r="AT744" s="42"/>
      <c r="AU744" s="135"/>
      <c r="AV744" s="131"/>
      <c r="AW744" s="136"/>
      <c r="AX744" s="137"/>
      <c r="AY744" s="138"/>
      <c r="AZ744" s="42"/>
      <c r="BA744" s="135"/>
      <c r="BB744" s="139"/>
      <c r="BE744" s="37"/>
      <c r="BF744" s="36"/>
    </row>
    <row r="745" spans="1:59" ht="15" customHeight="1">
      <c r="A745" s="41" t="s">
        <v>6794</v>
      </c>
      <c r="B745" s="36" t="s">
        <v>6838</v>
      </c>
      <c r="C745" s="36" t="s">
        <v>6215</v>
      </c>
      <c r="D745" s="36">
        <v>118</v>
      </c>
      <c r="E745" s="36">
        <v>2</v>
      </c>
      <c r="G745" s="36" t="s">
        <v>6839</v>
      </c>
      <c r="J745" s="36" t="s">
        <v>4166</v>
      </c>
      <c r="K745" s="36" t="s">
        <v>26</v>
      </c>
      <c r="L745" s="36">
        <v>0</v>
      </c>
      <c r="N745" s="36"/>
      <c r="O745" s="131"/>
      <c r="P745" s="132"/>
      <c r="Q745" s="133">
        <v>4</v>
      </c>
      <c r="R745" s="42"/>
      <c r="S745" s="134"/>
      <c r="T745" s="135"/>
      <c r="U745" s="131"/>
      <c r="V745" s="136"/>
      <c r="W745" s="137"/>
      <c r="X745" s="138"/>
      <c r="Y745" s="42"/>
      <c r="Z745" s="135"/>
      <c r="AA745" s="139"/>
      <c r="AB745" s="28" t="s">
        <v>6395</v>
      </c>
      <c r="AD745" s="36" t="s">
        <v>6833</v>
      </c>
      <c r="AE745" s="36"/>
      <c r="AF745" s="36" t="s">
        <v>6834</v>
      </c>
      <c r="AO745" s="37"/>
      <c r="AP745" s="36"/>
      <c r="AQ745" s="131"/>
      <c r="AR745" s="132"/>
      <c r="AS745" s="133"/>
      <c r="AT745" s="42"/>
      <c r="AU745" s="135"/>
      <c r="AV745" s="131"/>
      <c r="AW745" s="136"/>
      <c r="AX745" s="137"/>
      <c r="AY745" s="138"/>
      <c r="AZ745" s="42"/>
      <c r="BA745" s="135"/>
      <c r="BB745" s="139"/>
      <c r="BE745" s="37"/>
      <c r="BF745" s="36"/>
    </row>
    <row r="746" spans="1:59" ht="15" customHeight="1">
      <c r="A746" s="41" t="s">
        <v>6794</v>
      </c>
      <c r="B746" s="36" t="s">
        <v>6840</v>
      </c>
      <c r="C746" s="36" t="s">
        <v>6215</v>
      </c>
      <c r="D746" s="36">
        <v>119</v>
      </c>
      <c r="E746" s="36">
        <v>2</v>
      </c>
      <c r="G746" s="36" t="s">
        <v>6841</v>
      </c>
      <c r="J746" s="36" t="s">
        <v>4166</v>
      </c>
      <c r="K746" s="36" t="s">
        <v>26</v>
      </c>
      <c r="L746" s="36">
        <v>0</v>
      </c>
      <c r="N746" s="36"/>
      <c r="O746" s="131"/>
      <c r="P746" s="132"/>
      <c r="Q746" s="133"/>
      <c r="R746" s="42">
        <v>4</v>
      </c>
      <c r="S746" s="134"/>
      <c r="T746" s="135"/>
      <c r="U746" s="131"/>
      <c r="V746" s="136"/>
      <c r="W746" s="137"/>
      <c r="X746" s="138"/>
      <c r="Y746" s="42"/>
      <c r="Z746" s="135"/>
      <c r="AA746" s="139"/>
      <c r="AB746" s="140" t="s">
        <v>6842</v>
      </c>
      <c r="AD746" s="36" t="s">
        <v>6833</v>
      </c>
      <c r="AE746" s="36"/>
      <c r="AF746" s="36" t="s">
        <v>6834</v>
      </c>
      <c r="AO746" s="37"/>
      <c r="AP746" s="36"/>
      <c r="AQ746" s="131"/>
      <c r="AR746" s="132"/>
      <c r="AS746" s="133"/>
      <c r="AT746" s="42"/>
      <c r="AU746" s="135"/>
      <c r="AV746" s="131"/>
      <c r="AW746" s="136"/>
      <c r="AX746" s="137"/>
      <c r="AY746" s="138"/>
      <c r="AZ746" s="42"/>
      <c r="BA746" s="135"/>
      <c r="BB746" s="139"/>
      <c r="BE746" s="37"/>
      <c r="BF746" s="36"/>
    </row>
    <row r="747" spans="1:59" ht="15" customHeight="1">
      <c r="A747" s="41" t="s">
        <v>6794</v>
      </c>
      <c r="B747" s="36" t="s">
        <v>6843</v>
      </c>
      <c r="C747" s="36" t="s">
        <v>6215</v>
      </c>
      <c r="D747" s="36">
        <v>120</v>
      </c>
      <c r="E747" s="36">
        <v>1</v>
      </c>
      <c r="F747" s="36" t="s">
        <v>6795</v>
      </c>
      <c r="G747" s="36" t="s">
        <v>6795</v>
      </c>
      <c r="J747" s="36" t="s">
        <v>4472</v>
      </c>
      <c r="N747" s="36"/>
      <c r="O747" s="131"/>
      <c r="P747" s="132"/>
      <c r="Q747" s="133"/>
      <c r="R747" s="42"/>
      <c r="S747" s="134"/>
      <c r="T747" s="135"/>
      <c r="U747" s="131"/>
      <c r="V747" s="136"/>
      <c r="W747" s="137"/>
      <c r="X747" s="138"/>
      <c r="Y747" s="42"/>
      <c r="Z747" s="135"/>
      <c r="AA747" s="139"/>
      <c r="AB747" s="28"/>
      <c r="AE747" s="36"/>
      <c r="AF747" s="36" t="s">
        <v>6844</v>
      </c>
      <c r="AI747" s="36" t="s">
        <v>6795</v>
      </c>
      <c r="AL747" s="36" t="s">
        <v>4472</v>
      </c>
      <c r="AO747" s="37"/>
      <c r="AP747" s="36"/>
      <c r="AQ747" s="131"/>
      <c r="AR747" s="132"/>
      <c r="AS747" s="133"/>
      <c r="AT747" s="42"/>
      <c r="AU747" s="135"/>
      <c r="AV747" s="131"/>
      <c r="AW747" s="136"/>
      <c r="AX747" s="137"/>
      <c r="AY747" s="138"/>
      <c r="AZ747" s="42"/>
      <c r="BA747" s="135"/>
      <c r="BB747" s="139"/>
      <c r="BE747" s="37"/>
      <c r="BF747" s="36"/>
      <c r="BG747" s="36" t="s">
        <v>6845</v>
      </c>
    </row>
    <row r="748" spans="1:59" ht="15" customHeight="1">
      <c r="A748" s="41" t="s">
        <v>6794</v>
      </c>
      <c r="B748" s="36" t="s">
        <v>6846</v>
      </c>
      <c r="C748" s="36" t="s">
        <v>6215</v>
      </c>
      <c r="D748" s="36">
        <v>121</v>
      </c>
      <c r="E748" s="36">
        <v>1</v>
      </c>
      <c r="F748" s="36" t="s">
        <v>6795</v>
      </c>
      <c r="G748" s="36" t="s">
        <v>6847</v>
      </c>
      <c r="J748" s="36" t="s">
        <v>4473</v>
      </c>
      <c r="L748" s="36">
        <v>1</v>
      </c>
      <c r="N748" s="36"/>
      <c r="O748" s="131"/>
      <c r="P748" s="132"/>
      <c r="Q748" s="133"/>
      <c r="R748" s="42"/>
      <c r="S748" s="134"/>
      <c r="T748" s="135"/>
      <c r="U748" s="131"/>
      <c r="V748" s="136"/>
      <c r="W748" s="137"/>
      <c r="X748" s="138"/>
      <c r="Y748" s="42"/>
      <c r="Z748" s="135">
        <v>2</v>
      </c>
      <c r="AA748" s="139"/>
      <c r="AB748" s="140"/>
      <c r="AE748" s="36"/>
      <c r="AF748" s="36" t="s">
        <v>6848</v>
      </c>
      <c r="AI748" s="36" t="s">
        <v>6938</v>
      </c>
      <c r="AL748" s="36" t="s">
        <v>4473</v>
      </c>
      <c r="AN748" s="36">
        <v>1</v>
      </c>
      <c r="AO748" s="37"/>
      <c r="AP748" s="36"/>
      <c r="AQ748" s="131"/>
      <c r="AR748" s="132"/>
      <c r="AS748" s="133"/>
      <c r="AT748" s="42"/>
      <c r="AU748" s="135"/>
      <c r="AV748" s="131"/>
      <c r="AW748" s="136"/>
      <c r="AX748" s="137"/>
      <c r="AY748" s="138"/>
      <c r="AZ748" s="42"/>
      <c r="BA748" s="135"/>
      <c r="BB748" s="139"/>
      <c r="BE748" s="37"/>
      <c r="BF748" s="36"/>
      <c r="BG748" s="36" t="s">
        <v>6182</v>
      </c>
    </row>
    <row r="749" spans="1:59" ht="15" customHeight="1">
      <c r="A749" s="41" t="s">
        <v>6794</v>
      </c>
      <c r="B749" s="36" t="s">
        <v>6849</v>
      </c>
      <c r="C749" s="36" t="s">
        <v>6215</v>
      </c>
      <c r="D749" s="36">
        <v>122</v>
      </c>
      <c r="E749" s="36">
        <v>1</v>
      </c>
      <c r="F749" s="36" t="s">
        <v>6795</v>
      </c>
      <c r="G749" s="36" t="s">
        <v>6850</v>
      </c>
      <c r="J749" s="36" t="s">
        <v>4473</v>
      </c>
      <c r="L749" s="36">
        <v>2</v>
      </c>
      <c r="N749" s="36"/>
      <c r="O749" s="131"/>
      <c r="P749" s="132"/>
      <c r="Q749" s="133"/>
      <c r="R749" s="42"/>
      <c r="S749" s="134"/>
      <c r="T749" s="135"/>
      <c r="U749" s="131"/>
      <c r="V749" s="136"/>
      <c r="W749" s="137"/>
      <c r="X749" s="138"/>
      <c r="Y749" s="42"/>
      <c r="Z749" s="135">
        <v>2</v>
      </c>
      <c r="AA749" s="139"/>
      <c r="AB749" s="140"/>
      <c r="AE749" s="36"/>
      <c r="AF749" s="36" t="s">
        <v>6848</v>
      </c>
      <c r="AI749" s="36" t="s">
        <v>6939</v>
      </c>
      <c r="AL749" s="36" t="s">
        <v>4473</v>
      </c>
      <c r="AN749" s="36">
        <v>2</v>
      </c>
      <c r="AO749" s="37"/>
      <c r="AP749" s="36"/>
      <c r="AQ749" s="131"/>
      <c r="AR749" s="132"/>
      <c r="AS749" s="133"/>
      <c r="AT749" s="42"/>
      <c r="AU749" s="135"/>
      <c r="AV749" s="131"/>
      <c r="AW749" s="136"/>
      <c r="AX749" s="137"/>
      <c r="AY749" s="138"/>
      <c r="AZ749" s="42"/>
      <c r="BA749" s="135"/>
      <c r="BB749" s="139"/>
      <c r="BE749" s="37"/>
      <c r="BF749" s="36"/>
      <c r="BG749" s="36" t="s">
        <v>6851</v>
      </c>
    </row>
    <row r="750" spans="1:59" ht="15" customHeight="1">
      <c r="A750" s="41" t="s">
        <v>6794</v>
      </c>
      <c r="B750" s="36" t="s">
        <v>6852</v>
      </c>
      <c r="C750" s="36" t="s">
        <v>6215</v>
      </c>
      <c r="D750" s="36">
        <v>123</v>
      </c>
      <c r="E750" s="36">
        <v>1</v>
      </c>
      <c r="F750" s="36" t="s">
        <v>6795</v>
      </c>
      <c r="G750" s="36" t="s">
        <v>6853</v>
      </c>
      <c r="J750" s="36" t="s">
        <v>4473</v>
      </c>
      <c r="L750" s="36">
        <v>3</v>
      </c>
      <c r="N750" s="36"/>
      <c r="O750" s="131"/>
      <c r="P750" s="132"/>
      <c r="Q750" s="133"/>
      <c r="R750" s="42"/>
      <c r="S750" s="134"/>
      <c r="T750" s="135"/>
      <c r="U750" s="131"/>
      <c r="V750" s="136"/>
      <c r="W750" s="137"/>
      <c r="X750" s="138"/>
      <c r="Y750" s="42"/>
      <c r="Z750" s="135">
        <v>3</v>
      </c>
      <c r="AA750" s="139"/>
      <c r="AB750" s="140"/>
      <c r="AE750" s="36"/>
      <c r="AF750" s="36" t="s">
        <v>6848</v>
      </c>
      <c r="AI750" s="36" t="s">
        <v>6940</v>
      </c>
      <c r="AL750" s="36" t="s">
        <v>4473</v>
      </c>
      <c r="AN750" s="36">
        <v>3</v>
      </c>
      <c r="AO750" s="37"/>
      <c r="AP750" s="36"/>
      <c r="AQ750" s="131"/>
      <c r="AR750" s="132"/>
      <c r="AS750" s="133"/>
      <c r="AT750" s="42"/>
      <c r="AU750" s="135"/>
      <c r="AV750" s="131"/>
      <c r="AW750" s="136"/>
      <c r="AX750" s="137"/>
      <c r="AY750" s="138"/>
      <c r="AZ750" s="42"/>
      <c r="BA750" s="135"/>
      <c r="BB750" s="139"/>
      <c r="BE750" s="37"/>
      <c r="BF750" s="36"/>
      <c r="BG750" s="36" t="s">
        <v>6854</v>
      </c>
    </row>
    <row r="751" spans="1:59" ht="15" customHeight="1">
      <c r="A751" s="41" t="s">
        <v>6794</v>
      </c>
      <c r="B751" s="36" t="s">
        <v>6855</v>
      </c>
      <c r="C751" s="36" t="s">
        <v>6215</v>
      </c>
      <c r="D751" s="36">
        <v>124</v>
      </c>
      <c r="E751" s="36">
        <v>1</v>
      </c>
      <c r="F751" s="36" t="s">
        <v>6795</v>
      </c>
      <c r="G751" s="36" t="s">
        <v>6856</v>
      </c>
      <c r="J751" s="36" t="s">
        <v>4475</v>
      </c>
      <c r="L751" s="36">
        <v>1</v>
      </c>
      <c r="N751" s="36"/>
      <c r="O751" s="131"/>
      <c r="P751" s="132"/>
      <c r="Q751" s="133"/>
      <c r="R751" s="42"/>
      <c r="S751" s="134"/>
      <c r="T751" s="135"/>
      <c r="U751" s="131"/>
      <c r="V751" s="136"/>
      <c r="W751" s="137"/>
      <c r="X751" s="138"/>
      <c r="Y751" s="42">
        <v>2</v>
      </c>
      <c r="Z751" s="135"/>
      <c r="AA751" s="139"/>
      <c r="AB751" s="140"/>
      <c r="AE751" s="36"/>
      <c r="AI751" s="36" t="s">
        <v>6941</v>
      </c>
      <c r="AL751" s="36" t="s">
        <v>4475</v>
      </c>
      <c r="AN751" s="36">
        <v>1</v>
      </c>
      <c r="AO751" s="37"/>
      <c r="AP751" s="36"/>
      <c r="AQ751" s="131"/>
      <c r="AR751" s="132"/>
      <c r="AS751" s="133"/>
      <c r="AT751" s="42"/>
      <c r="AU751" s="135"/>
      <c r="AV751" s="131"/>
      <c r="AW751" s="136"/>
      <c r="AX751" s="137"/>
      <c r="AY751" s="138"/>
      <c r="AZ751" s="42"/>
      <c r="BA751" s="135"/>
      <c r="BB751" s="139"/>
      <c r="BE751" s="37"/>
      <c r="BF751" s="36"/>
      <c r="BG751" s="36" t="s">
        <v>6857</v>
      </c>
    </row>
    <row r="752" spans="1:59" ht="15" customHeight="1">
      <c r="A752" s="41" t="s">
        <v>6794</v>
      </c>
      <c r="B752" s="36" t="s">
        <v>6858</v>
      </c>
      <c r="C752" s="36" t="s">
        <v>6215</v>
      </c>
      <c r="D752" s="36">
        <v>125</v>
      </c>
      <c r="E752" s="36">
        <v>1</v>
      </c>
      <c r="F752" s="36" t="s">
        <v>6795</v>
      </c>
      <c r="G752" s="36" t="s">
        <v>6859</v>
      </c>
      <c r="J752" s="36" t="s">
        <v>4475</v>
      </c>
      <c r="L752" s="36">
        <v>2</v>
      </c>
      <c r="N752" s="36"/>
      <c r="O752" s="131"/>
      <c r="P752" s="132"/>
      <c r="Q752" s="133"/>
      <c r="R752" s="42"/>
      <c r="S752" s="134"/>
      <c r="T752" s="135"/>
      <c r="U752" s="131"/>
      <c r="V752" s="136"/>
      <c r="W752" s="137"/>
      <c r="X752" s="138"/>
      <c r="Y752" s="42">
        <v>2</v>
      </c>
      <c r="Z752" s="135"/>
      <c r="AA752" s="139"/>
      <c r="AB752" s="140"/>
      <c r="AE752" s="36"/>
      <c r="AI752" s="36" t="s">
        <v>6942</v>
      </c>
      <c r="AL752" s="36" t="s">
        <v>4475</v>
      </c>
      <c r="AN752" s="36">
        <v>2</v>
      </c>
      <c r="AO752" s="37"/>
      <c r="AP752" s="36"/>
      <c r="AQ752" s="131"/>
      <c r="AR752" s="132"/>
      <c r="AS752" s="133"/>
      <c r="AT752" s="42"/>
      <c r="AU752" s="135"/>
      <c r="AV752" s="131"/>
      <c r="AW752" s="136"/>
      <c r="AX752" s="137"/>
      <c r="AY752" s="138"/>
      <c r="AZ752" s="42"/>
      <c r="BA752" s="135"/>
      <c r="BB752" s="139"/>
      <c r="BE752" s="37"/>
      <c r="BF752" s="36"/>
      <c r="BG752" s="36" t="s">
        <v>6860</v>
      </c>
    </row>
    <row r="753" spans="1:59" ht="15" customHeight="1">
      <c r="A753" s="41" t="s">
        <v>6794</v>
      </c>
      <c r="B753" s="36" t="s">
        <v>6861</v>
      </c>
      <c r="C753" s="36" t="s">
        <v>6215</v>
      </c>
      <c r="D753" s="36">
        <v>126</v>
      </c>
      <c r="E753" s="36">
        <v>1</v>
      </c>
      <c r="F753" s="36" t="s">
        <v>6795</v>
      </c>
      <c r="G753" s="36" t="s">
        <v>6862</v>
      </c>
      <c r="J753" s="36" t="s">
        <v>4475</v>
      </c>
      <c r="L753" s="36">
        <v>3</v>
      </c>
      <c r="N753" s="36"/>
      <c r="O753" s="131"/>
      <c r="P753" s="132"/>
      <c r="Q753" s="133"/>
      <c r="R753" s="42"/>
      <c r="S753" s="134"/>
      <c r="T753" s="135"/>
      <c r="U753" s="131"/>
      <c r="V753" s="136"/>
      <c r="W753" s="137"/>
      <c r="X753" s="138"/>
      <c r="Y753" s="42">
        <v>3</v>
      </c>
      <c r="Z753" s="135"/>
      <c r="AA753" s="139"/>
      <c r="AB753" s="140"/>
      <c r="AE753" s="36"/>
      <c r="AF753" s="36" t="s">
        <v>6863</v>
      </c>
      <c r="AI753" s="36" t="s">
        <v>6943</v>
      </c>
      <c r="AL753" s="36" t="s">
        <v>4475</v>
      </c>
      <c r="AN753" s="36">
        <v>3</v>
      </c>
      <c r="AO753" s="37"/>
      <c r="AP753" s="36"/>
      <c r="AQ753" s="131"/>
      <c r="AR753" s="132"/>
      <c r="AS753" s="133"/>
      <c r="AT753" s="42"/>
      <c r="AU753" s="135"/>
      <c r="AV753" s="131"/>
      <c r="AW753" s="136"/>
      <c r="AX753" s="137"/>
      <c r="AY753" s="138"/>
      <c r="AZ753" s="42"/>
      <c r="BA753" s="135"/>
      <c r="BB753" s="139"/>
      <c r="BE753" s="37"/>
      <c r="BF753" s="36"/>
      <c r="BG753" s="36" t="s">
        <v>6864</v>
      </c>
    </row>
    <row r="754" spans="1:59" ht="15" customHeight="1">
      <c r="A754" s="41" t="s">
        <v>6794</v>
      </c>
      <c r="B754" s="36" t="s">
        <v>6865</v>
      </c>
      <c r="C754" s="36" t="s">
        <v>6215</v>
      </c>
      <c r="D754" s="36">
        <v>127</v>
      </c>
      <c r="E754" s="36">
        <v>1</v>
      </c>
      <c r="F754" s="36" t="s">
        <v>6795</v>
      </c>
      <c r="G754" s="36" t="s">
        <v>6866</v>
      </c>
      <c r="J754" s="36" t="s">
        <v>31</v>
      </c>
      <c r="N754" s="36"/>
      <c r="O754" s="131"/>
      <c r="P754" s="132"/>
      <c r="Q754" s="133"/>
      <c r="R754" s="42"/>
      <c r="S754" s="134"/>
      <c r="T754" s="135"/>
      <c r="U754" s="131"/>
      <c r="V754" s="136"/>
      <c r="W754" s="137"/>
      <c r="X754" s="138"/>
      <c r="Y754" s="42"/>
      <c r="Z754" s="135"/>
      <c r="AA754" s="139"/>
      <c r="AB754" s="140"/>
      <c r="AD754" s="36" t="s">
        <v>6867</v>
      </c>
      <c r="AE754" s="36"/>
      <c r="AF754" s="36" t="s">
        <v>6868</v>
      </c>
      <c r="AI754" s="36" t="s">
        <v>6866</v>
      </c>
      <c r="AL754" s="36" t="s">
        <v>31</v>
      </c>
      <c r="AO754" s="37"/>
      <c r="AP754" s="36"/>
      <c r="AQ754" s="131"/>
      <c r="AR754" s="132"/>
      <c r="AS754" s="133"/>
      <c r="AT754" s="42"/>
      <c r="AU754" s="135"/>
      <c r="AV754" s="131"/>
      <c r="AW754" s="136"/>
      <c r="AX754" s="137"/>
      <c r="AY754" s="138">
        <v>2</v>
      </c>
      <c r="AZ754" s="42">
        <v>0</v>
      </c>
      <c r="BA754" s="135"/>
      <c r="BB754" s="139"/>
      <c r="BE754" s="37" t="s">
        <v>6867</v>
      </c>
      <c r="BF754" s="36"/>
      <c r="BG754" s="36" t="s">
        <v>6869</v>
      </c>
    </row>
    <row r="755" spans="1:59" ht="15" customHeight="1">
      <c r="A755" s="41" t="s">
        <v>6794</v>
      </c>
      <c r="B755" s="36" t="s">
        <v>6870</v>
      </c>
      <c r="C755" s="36" t="s">
        <v>6215</v>
      </c>
      <c r="D755" s="36">
        <v>128</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6867</v>
      </c>
      <c r="AE755" s="36"/>
      <c r="AF755" s="36" t="s">
        <v>6871</v>
      </c>
      <c r="AI755" s="36" t="s">
        <v>4598</v>
      </c>
      <c r="AJ755" s="36" t="s">
        <v>6872</v>
      </c>
      <c r="AL755" s="36" t="s">
        <v>31</v>
      </c>
      <c r="AO755" s="37"/>
      <c r="AP755" s="36"/>
      <c r="AQ755" s="131"/>
      <c r="AR755" s="132"/>
      <c r="AS755" s="133"/>
      <c r="AT755" s="42"/>
      <c r="AU755" s="135"/>
      <c r="AV755" s="131"/>
      <c r="AW755" s="136"/>
      <c r="AX755" s="137"/>
      <c r="AY755" s="138">
        <v>4</v>
      </c>
      <c r="AZ755" s="42">
        <v>1</v>
      </c>
      <c r="BA755" s="135"/>
      <c r="BB755" s="139"/>
      <c r="BE755" s="37" t="s">
        <v>6867</v>
      </c>
      <c r="BF755" s="36"/>
      <c r="BG755" s="36" t="s">
        <v>6873</v>
      </c>
    </row>
    <row r="756" spans="1:59" ht="15" customHeight="1">
      <c r="A756" s="41" t="s">
        <v>6794</v>
      </c>
      <c r="B756" s="36" t="s">
        <v>6874</v>
      </c>
      <c r="C756" s="36" t="s">
        <v>6215</v>
      </c>
      <c r="D756" s="36">
        <v>129</v>
      </c>
      <c r="E756" s="36">
        <v>1</v>
      </c>
      <c r="F756" s="36" t="s">
        <v>6795</v>
      </c>
      <c r="G756" s="36" t="s">
        <v>4598</v>
      </c>
      <c r="J756" s="36" t="s">
        <v>31</v>
      </c>
      <c r="N756" s="36"/>
      <c r="O756" s="131"/>
      <c r="P756" s="132"/>
      <c r="Q756" s="133"/>
      <c r="R756" s="42"/>
      <c r="S756" s="134"/>
      <c r="T756" s="135"/>
      <c r="U756" s="131"/>
      <c r="V756" s="136"/>
      <c r="W756" s="137"/>
      <c r="X756" s="138"/>
      <c r="Y756" s="42"/>
      <c r="Z756" s="135"/>
      <c r="AA756" s="139"/>
      <c r="AB756" s="140"/>
      <c r="AD756" s="36" t="s">
        <v>6867</v>
      </c>
      <c r="AE756" s="36"/>
      <c r="AF756" s="36" t="s">
        <v>6871</v>
      </c>
      <c r="AI756" s="36" t="s">
        <v>4598</v>
      </c>
      <c r="AJ756" s="36" t="s">
        <v>6875</v>
      </c>
      <c r="AL756" s="36" t="s">
        <v>31</v>
      </c>
      <c r="AO756" s="37"/>
      <c r="AP756" s="36"/>
      <c r="AQ756" s="131"/>
      <c r="AR756" s="132"/>
      <c r="AS756" s="133"/>
      <c r="AT756" s="42"/>
      <c r="AU756" s="135"/>
      <c r="AV756" s="131"/>
      <c r="AW756" s="136"/>
      <c r="AX756" s="137"/>
      <c r="AY756" s="138">
        <v>2</v>
      </c>
      <c r="AZ756" s="42">
        <v>1</v>
      </c>
      <c r="BA756" s="135"/>
      <c r="BB756" s="139"/>
      <c r="BE756" s="37" t="s">
        <v>6867</v>
      </c>
      <c r="BF756" s="36"/>
      <c r="BG756" s="36" t="s">
        <v>6876</v>
      </c>
    </row>
    <row r="757" spans="1:59" ht="15" customHeight="1">
      <c r="A757" s="41" t="s">
        <v>6794</v>
      </c>
      <c r="B757" s="36" t="s">
        <v>6877</v>
      </c>
      <c r="C757" s="36" t="s">
        <v>6215</v>
      </c>
      <c r="D757" s="36">
        <v>130</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6867</v>
      </c>
      <c r="AE757" s="36"/>
      <c r="AF757" s="36" t="s">
        <v>6871</v>
      </c>
      <c r="AI757" s="36" t="s">
        <v>4598</v>
      </c>
      <c r="AJ757" s="36" t="s">
        <v>6878</v>
      </c>
      <c r="AL757" s="36" t="s">
        <v>31</v>
      </c>
      <c r="AO757" s="37"/>
      <c r="AP757" s="36"/>
      <c r="AQ757" s="131"/>
      <c r="AR757" s="132"/>
      <c r="AS757" s="133"/>
      <c r="AT757" s="42"/>
      <c r="AU757" s="135"/>
      <c r="AV757" s="131"/>
      <c r="AW757" s="136"/>
      <c r="AX757" s="137"/>
      <c r="AY757" s="138">
        <v>2</v>
      </c>
      <c r="AZ757" s="42">
        <v>1</v>
      </c>
      <c r="BA757" s="135"/>
      <c r="BB757" s="139"/>
      <c r="BE757" s="37" t="s">
        <v>6867</v>
      </c>
      <c r="BF757" s="36"/>
      <c r="BG757" s="36" t="s">
        <v>6879</v>
      </c>
    </row>
    <row r="758" spans="1:59" ht="15" customHeight="1">
      <c r="A758" s="41" t="s">
        <v>6794</v>
      </c>
      <c r="B758" s="36" t="s">
        <v>6880</v>
      </c>
      <c r="C758" s="36" t="s">
        <v>6215</v>
      </c>
      <c r="D758" s="36">
        <v>131</v>
      </c>
      <c r="E758" s="36">
        <v>1</v>
      </c>
      <c r="F758" s="36" t="s">
        <v>6795</v>
      </c>
      <c r="G758" s="36" t="s">
        <v>5321</v>
      </c>
      <c r="J758" s="36" t="s">
        <v>31</v>
      </c>
      <c r="N758" s="36"/>
      <c r="O758" s="131"/>
      <c r="P758" s="132"/>
      <c r="Q758" s="133"/>
      <c r="R758" s="42"/>
      <c r="S758" s="134"/>
      <c r="T758" s="135"/>
      <c r="U758" s="131"/>
      <c r="V758" s="136"/>
      <c r="W758" s="137"/>
      <c r="X758" s="138"/>
      <c r="Y758" s="42"/>
      <c r="Z758" s="135"/>
      <c r="AA758" s="139"/>
      <c r="AB758" s="140"/>
      <c r="AD758" s="36" t="s">
        <v>6881</v>
      </c>
      <c r="AE758" s="36"/>
      <c r="AF758" s="36" t="s">
        <v>6882</v>
      </c>
      <c r="AI758" s="36" t="s">
        <v>5321</v>
      </c>
      <c r="AL758" s="36" t="s">
        <v>31</v>
      </c>
      <c r="AO758" s="37"/>
      <c r="AP758" s="36"/>
      <c r="AQ758" s="131"/>
      <c r="AR758" s="132"/>
      <c r="AS758" s="133"/>
      <c r="AT758" s="42"/>
      <c r="AU758" s="135"/>
      <c r="AV758" s="131"/>
      <c r="AW758" s="136"/>
      <c r="AX758" s="137"/>
      <c r="AY758" s="138">
        <v>3</v>
      </c>
      <c r="AZ758" s="42">
        <v>0</v>
      </c>
      <c r="BA758" s="135"/>
      <c r="BB758" s="139"/>
      <c r="BE758" s="37" t="s">
        <v>6881</v>
      </c>
      <c r="BF758" s="36"/>
      <c r="BG758" s="36" t="s">
        <v>6883</v>
      </c>
    </row>
    <row r="759" spans="1:59" ht="15" customHeight="1">
      <c r="A759" s="41" t="s">
        <v>6794</v>
      </c>
      <c r="B759" s="36" t="s">
        <v>6884</v>
      </c>
      <c r="C759" s="36" t="s">
        <v>6215</v>
      </c>
      <c r="D759" s="36">
        <v>132</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6881</v>
      </c>
      <c r="AE759" s="36"/>
      <c r="AF759" s="36" t="s">
        <v>6871</v>
      </c>
      <c r="AI759" s="36" t="s">
        <v>4598</v>
      </c>
      <c r="AJ759" s="36" t="s">
        <v>6878</v>
      </c>
      <c r="AL759" s="36" t="s">
        <v>31</v>
      </c>
      <c r="AO759" s="37"/>
      <c r="AP759" s="36"/>
      <c r="AQ759" s="131"/>
      <c r="AR759" s="132"/>
      <c r="AS759" s="133"/>
      <c r="AT759" s="42"/>
      <c r="AU759" s="135"/>
      <c r="AV759" s="131"/>
      <c r="AW759" s="136"/>
      <c r="AX759" s="137"/>
      <c r="AY759" s="138">
        <v>2</v>
      </c>
      <c r="AZ759" s="42">
        <v>1</v>
      </c>
      <c r="BA759" s="135"/>
      <c r="BB759" s="139"/>
      <c r="BE759" s="37" t="s">
        <v>6881</v>
      </c>
      <c r="BF759" s="36"/>
      <c r="BG759" s="36" t="s">
        <v>6879</v>
      </c>
    </row>
    <row r="760" spans="1:59" ht="15" customHeight="1">
      <c r="A760" s="41" t="s">
        <v>6794</v>
      </c>
      <c r="B760" s="36" t="s">
        <v>6885</v>
      </c>
      <c r="C760" s="36" t="s">
        <v>6215</v>
      </c>
      <c r="D760" s="36">
        <v>133</v>
      </c>
      <c r="E760" s="36">
        <v>1</v>
      </c>
      <c r="F760" s="36" t="s">
        <v>6795</v>
      </c>
      <c r="G760" s="36" t="s">
        <v>4598</v>
      </c>
      <c r="J760" s="36" t="s">
        <v>31</v>
      </c>
      <c r="N760" s="36"/>
      <c r="O760" s="131"/>
      <c r="P760" s="132"/>
      <c r="Q760" s="133"/>
      <c r="R760" s="42"/>
      <c r="S760" s="134"/>
      <c r="T760" s="135"/>
      <c r="U760" s="131"/>
      <c r="V760" s="136"/>
      <c r="W760" s="137"/>
      <c r="X760" s="138"/>
      <c r="Y760" s="42"/>
      <c r="Z760" s="135"/>
      <c r="AA760" s="139"/>
      <c r="AB760" s="140"/>
      <c r="AD760" s="36" t="s">
        <v>6886</v>
      </c>
      <c r="AE760" s="36"/>
      <c r="AF760" s="36" t="s">
        <v>6871</v>
      </c>
      <c r="AI760" s="36" t="s">
        <v>4598</v>
      </c>
      <c r="AJ760" s="36" t="s">
        <v>6887</v>
      </c>
      <c r="AL760" s="36" t="s">
        <v>31</v>
      </c>
      <c r="AO760" s="37"/>
      <c r="AP760" s="36"/>
      <c r="AQ760" s="131"/>
      <c r="AR760" s="132"/>
      <c r="AS760" s="133"/>
      <c r="AT760" s="42"/>
      <c r="AU760" s="135"/>
      <c r="AV760" s="131"/>
      <c r="AW760" s="136"/>
      <c r="AX760" s="137"/>
      <c r="AY760" s="138">
        <v>3</v>
      </c>
      <c r="AZ760" s="42">
        <v>2</v>
      </c>
      <c r="BA760" s="135"/>
      <c r="BB760" s="139"/>
      <c r="BE760" s="37" t="s">
        <v>6886</v>
      </c>
      <c r="BF760" s="36"/>
      <c r="BG760" s="36" t="s">
        <v>6888</v>
      </c>
    </row>
    <row r="761" spans="1:59" ht="15" customHeight="1">
      <c r="A761" s="41" t="s">
        <v>6794</v>
      </c>
      <c r="B761" s="36" t="s">
        <v>6889</v>
      </c>
      <c r="C761" s="36" t="s">
        <v>6215</v>
      </c>
      <c r="D761" s="36">
        <v>134</v>
      </c>
      <c r="E761" s="36">
        <v>1</v>
      </c>
      <c r="F761" s="36" t="s">
        <v>6795</v>
      </c>
      <c r="G761" s="36" t="s">
        <v>4598</v>
      </c>
      <c r="J761" s="36" t="s">
        <v>31</v>
      </c>
      <c r="N761" s="36"/>
      <c r="O761" s="131"/>
      <c r="P761" s="132"/>
      <c r="Q761" s="133"/>
      <c r="R761" s="42"/>
      <c r="S761" s="134"/>
      <c r="T761" s="135"/>
      <c r="U761" s="131"/>
      <c r="V761" s="136"/>
      <c r="W761" s="137"/>
      <c r="X761" s="138"/>
      <c r="Y761" s="42"/>
      <c r="Z761" s="135"/>
      <c r="AA761" s="139"/>
      <c r="AB761" s="140"/>
      <c r="AD761" s="36" t="s">
        <v>6881</v>
      </c>
      <c r="AE761" s="36"/>
      <c r="AF761" s="36" t="s">
        <v>6871</v>
      </c>
      <c r="AI761" s="36" t="s">
        <v>4598</v>
      </c>
      <c r="AJ761" s="36" t="s">
        <v>6890</v>
      </c>
      <c r="AL761" s="36" t="s">
        <v>31</v>
      </c>
      <c r="AO761" s="37"/>
      <c r="AP761" s="36"/>
      <c r="AQ761" s="131"/>
      <c r="AR761" s="132"/>
      <c r="AS761" s="133"/>
      <c r="AT761" s="42"/>
      <c r="AU761" s="135"/>
      <c r="AV761" s="131"/>
      <c r="AW761" s="136"/>
      <c r="AX761" s="137"/>
      <c r="AY761" s="138">
        <v>5</v>
      </c>
      <c r="AZ761" s="42">
        <v>1</v>
      </c>
      <c r="BA761" s="135"/>
      <c r="BB761" s="139"/>
      <c r="BE761" s="37" t="s">
        <v>6881</v>
      </c>
      <c r="BF761" s="36"/>
      <c r="BG761" s="36" t="s">
        <v>6891</v>
      </c>
    </row>
    <row r="762" spans="1:59" ht="15" customHeight="1">
      <c r="A762" s="41" t="s">
        <v>6794</v>
      </c>
      <c r="B762" s="36" t="s">
        <v>6892</v>
      </c>
      <c r="C762" s="36" t="s">
        <v>6215</v>
      </c>
      <c r="D762" s="36">
        <v>135</v>
      </c>
      <c r="E762" s="36">
        <v>1</v>
      </c>
      <c r="F762" s="36" t="s">
        <v>6795</v>
      </c>
      <c r="G762" s="36" t="s">
        <v>5321</v>
      </c>
      <c r="J762" s="36" t="s">
        <v>31</v>
      </c>
      <c r="N762" s="36"/>
      <c r="O762" s="131"/>
      <c r="P762" s="132"/>
      <c r="Q762" s="133"/>
      <c r="R762" s="42"/>
      <c r="S762" s="134"/>
      <c r="T762" s="135"/>
      <c r="U762" s="131"/>
      <c r="V762" s="136"/>
      <c r="W762" s="137"/>
      <c r="X762" s="138"/>
      <c r="Y762" s="42"/>
      <c r="Z762" s="135"/>
      <c r="AA762" s="139"/>
      <c r="AB762" s="140"/>
      <c r="AD762" s="36" t="s">
        <v>6893</v>
      </c>
      <c r="AE762" s="36"/>
      <c r="AF762" s="36" t="s">
        <v>6894</v>
      </c>
      <c r="AI762" s="36" t="s">
        <v>5321</v>
      </c>
      <c r="AL762" s="36" t="s">
        <v>31</v>
      </c>
      <c r="AO762" s="37"/>
      <c r="AP762" s="36"/>
      <c r="AQ762" s="131"/>
      <c r="AR762" s="132"/>
      <c r="AS762" s="133"/>
      <c r="AT762" s="42"/>
      <c r="AU762" s="135"/>
      <c r="AV762" s="131"/>
      <c r="AW762" s="136"/>
      <c r="AX762" s="137"/>
      <c r="AY762" s="138">
        <v>3</v>
      </c>
      <c r="AZ762" s="42">
        <v>0</v>
      </c>
      <c r="BA762" s="135"/>
      <c r="BB762" s="139"/>
      <c r="BE762" s="37" t="s">
        <v>6893</v>
      </c>
      <c r="BF762" s="36"/>
      <c r="BG762" s="36" t="s">
        <v>6895</v>
      </c>
    </row>
    <row r="763" spans="1:59" ht="15" customHeight="1">
      <c r="A763" s="41" t="s">
        <v>6794</v>
      </c>
      <c r="B763" s="36" t="s">
        <v>6896</v>
      </c>
      <c r="C763" s="36" t="s">
        <v>6215</v>
      </c>
      <c r="D763" s="36">
        <v>136</v>
      </c>
      <c r="E763" s="36">
        <v>1</v>
      </c>
      <c r="F763" s="36" t="s">
        <v>6795</v>
      </c>
      <c r="G763" s="36" t="s">
        <v>4598</v>
      </c>
      <c r="J763" s="36" t="s">
        <v>31</v>
      </c>
      <c r="N763" s="36"/>
      <c r="O763" s="131"/>
      <c r="P763" s="132"/>
      <c r="Q763" s="133"/>
      <c r="R763" s="42"/>
      <c r="S763" s="134"/>
      <c r="T763" s="135"/>
      <c r="U763" s="131"/>
      <c r="V763" s="136"/>
      <c r="W763" s="137"/>
      <c r="X763" s="138"/>
      <c r="Y763" s="42"/>
      <c r="Z763" s="135"/>
      <c r="AA763" s="139"/>
      <c r="AB763" s="140"/>
      <c r="AD763" s="36" t="s">
        <v>6897</v>
      </c>
      <c r="AE763" s="36"/>
      <c r="AF763" s="36" t="s">
        <v>6871</v>
      </c>
      <c r="AI763" s="36" t="s">
        <v>4598</v>
      </c>
      <c r="AJ763" s="36" t="s">
        <v>6887</v>
      </c>
      <c r="AL763" s="36" t="s">
        <v>31</v>
      </c>
      <c r="AO763" s="37"/>
      <c r="AP763" s="36"/>
      <c r="AQ763" s="131"/>
      <c r="AR763" s="132"/>
      <c r="AS763" s="133"/>
      <c r="AT763" s="42"/>
      <c r="AU763" s="135"/>
      <c r="AV763" s="131"/>
      <c r="AW763" s="136"/>
      <c r="AX763" s="137"/>
      <c r="AY763" s="138">
        <v>3</v>
      </c>
      <c r="AZ763" s="42">
        <v>2</v>
      </c>
      <c r="BA763" s="135"/>
      <c r="BB763" s="139"/>
      <c r="BE763" s="37" t="s">
        <v>6897</v>
      </c>
      <c r="BF763" s="36"/>
      <c r="BG763" s="36" t="s">
        <v>6888</v>
      </c>
    </row>
    <row r="764" spans="1:59" ht="15" customHeight="1">
      <c r="A764" s="41" t="s">
        <v>6794</v>
      </c>
      <c r="B764" s="36" t="s">
        <v>6898</v>
      </c>
      <c r="C764" s="36" t="s">
        <v>6215</v>
      </c>
      <c r="D764" s="36">
        <v>137</v>
      </c>
      <c r="E764" s="36">
        <v>1</v>
      </c>
      <c r="F764" s="36" t="s">
        <v>6795</v>
      </c>
      <c r="G764" s="36" t="s">
        <v>4598</v>
      </c>
      <c r="J764" s="36" t="s">
        <v>31</v>
      </c>
      <c r="N764" s="36"/>
      <c r="O764" s="131"/>
      <c r="P764" s="132"/>
      <c r="Q764" s="133"/>
      <c r="R764" s="42"/>
      <c r="S764" s="134"/>
      <c r="T764" s="135"/>
      <c r="U764" s="131"/>
      <c r="V764" s="136"/>
      <c r="W764" s="137"/>
      <c r="X764" s="138"/>
      <c r="Y764" s="42"/>
      <c r="Z764" s="135"/>
      <c r="AA764" s="139"/>
      <c r="AB764" s="140"/>
      <c r="AD764" s="36" t="s">
        <v>6897</v>
      </c>
      <c r="AE764" s="36"/>
      <c r="AF764" s="36" t="s">
        <v>6871</v>
      </c>
      <c r="AI764" s="36" t="s">
        <v>4598</v>
      </c>
      <c r="AJ764" s="36" t="s">
        <v>6899</v>
      </c>
      <c r="AL764" s="36" t="s">
        <v>31</v>
      </c>
      <c r="AO764" s="37"/>
      <c r="AP764" s="36"/>
      <c r="AQ764" s="131"/>
      <c r="AR764" s="132"/>
      <c r="AS764" s="133"/>
      <c r="AT764" s="42"/>
      <c r="AU764" s="135"/>
      <c r="AV764" s="131"/>
      <c r="AW764" s="136"/>
      <c r="AX764" s="137"/>
      <c r="AY764" s="138">
        <v>4</v>
      </c>
      <c r="AZ764" s="42">
        <v>2</v>
      </c>
      <c r="BA764" s="135"/>
      <c r="BB764" s="139"/>
      <c r="BE764" s="37" t="s">
        <v>6897</v>
      </c>
      <c r="BF764" s="36"/>
      <c r="BG764" s="36" t="s">
        <v>6900</v>
      </c>
    </row>
    <row r="765" spans="1:59" ht="15" customHeight="1">
      <c r="A765" s="41" t="s">
        <v>6794</v>
      </c>
      <c r="B765" s="36" t="s">
        <v>6901</v>
      </c>
      <c r="C765" s="36" t="s">
        <v>6215</v>
      </c>
      <c r="D765" s="36">
        <v>138</v>
      </c>
      <c r="E765" s="36">
        <v>1</v>
      </c>
      <c r="F765" s="36" t="s">
        <v>6795</v>
      </c>
      <c r="G765" s="36" t="s">
        <v>4598</v>
      </c>
      <c r="J765" s="36" t="s">
        <v>31</v>
      </c>
      <c r="N765" s="36"/>
      <c r="O765" s="131"/>
      <c r="P765" s="132"/>
      <c r="Q765" s="133"/>
      <c r="R765" s="42"/>
      <c r="S765" s="134"/>
      <c r="T765" s="135"/>
      <c r="U765" s="131"/>
      <c r="V765" s="136"/>
      <c r="W765" s="137"/>
      <c r="X765" s="138"/>
      <c r="Y765" s="42"/>
      <c r="Z765" s="135"/>
      <c r="AA765" s="139"/>
      <c r="AB765" s="140"/>
      <c r="AD765" s="36" t="s">
        <v>6893</v>
      </c>
      <c r="AE765" s="36"/>
      <c r="AF765" s="36" t="s">
        <v>6871</v>
      </c>
      <c r="AI765" s="36" t="s">
        <v>4598</v>
      </c>
      <c r="AJ765" s="36" t="s">
        <v>6875</v>
      </c>
      <c r="AL765" s="36" t="s">
        <v>31</v>
      </c>
      <c r="AO765" s="37"/>
      <c r="AP765" s="36"/>
      <c r="AQ765" s="131"/>
      <c r="AR765" s="132"/>
      <c r="AS765" s="133"/>
      <c r="AT765" s="42"/>
      <c r="AU765" s="135"/>
      <c r="AV765" s="131"/>
      <c r="AW765" s="136"/>
      <c r="AX765" s="137"/>
      <c r="AY765" s="138">
        <v>2</v>
      </c>
      <c r="AZ765" s="42">
        <v>1</v>
      </c>
      <c r="BA765" s="135"/>
      <c r="BB765" s="139"/>
      <c r="BE765" s="37" t="s">
        <v>6893</v>
      </c>
      <c r="BF765" s="36"/>
      <c r="BG765" s="36" t="s">
        <v>6876</v>
      </c>
    </row>
    <row r="766" spans="1:59" ht="15" customHeight="1">
      <c r="A766" s="41" t="s">
        <v>6794</v>
      </c>
      <c r="B766" s="36" t="s">
        <v>6902</v>
      </c>
      <c r="C766" s="36" t="s">
        <v>6215</v>
      </c>
      <c r="D766" s="36">
        <v>139</v>
      </c>
      <c r="E766" s="36">
        <v>1</v>
      </c>
      <c r="F766" s="36" t="s">
        <v>6795</v>
      </c>
      <c r="G766" s="36" t="s">
        <v>6903</v>
      </c>
      <c r="J766" s="36" t="s">
        <v>31</v>
      </c>
      <c r="N766" s="36"/>
      <c r="O766" s="131"/>
      <c r="P766" s="132"/>
      <c r="Q766" s="133"/>
      <c r="R766" s="42"/>
      <c r="S766" s="134"/>
      <c r="T766" s="135"/>
      <c r="U766" s="131"/>
      <c r="V766" s="136"/>
      <c r="W766" s="137"/>
      <c r="X766" s="138"/>
      <c r="Y766" s="42"/>
      <c r="Z766" s="135"/>
      <c r="AA766" s="139"/>
      <c r="AB766" s="140"/>
      <c r="AE766" s="36"/>
      <c r="AF766" s="36" t="s">
        <v>6904</v>
      </c>
      <c r="AI766" s="36" t="s">
        <v>6903</v>
      </c>
      <c r="AL766" s="36" t="s">
        <v>31</v>
      </c>
      <c r="AO766" s="37"/>
      <c r="AP766" s="36"/>
      <c r="AQ766" s="131"/>
      <c r="AR766" s="132"/>
      <c r="AS766" s="133"/>
      <c r="AT766" s="42"/>
      <c r="AU766" s="135"/>
      <c r="AV766" s="131"/>
      <c r="AW766" s="136"/>
      <c r="AX766" s="137"/>
      <c r="AY766" s="138">
        <v>4</v>
      </c>
      <c r="AZ766" s="42">
        <v>3</v>
      </c>
      <c r="BA766" s="135"/>
      <c r="BB766" s="139">
        <v>2</v>
      </c>
      <c r="BE766" s="37"/>
      <c r="BF766" s="36"/>
      <c r="BG766" s="36" t="s">
        <v>6904</v>
      </c>
    </row>
    <row r="767" spans="1:59" ht="15" customHeight="1">
      <c r="A767" s="41" t="s">
        <v>6794</v>
      </c>
      <c r="B767" s="36" t="s">
        <v>6905</v>
      </c>
      <c r="C767" s="36" t="s">
        <v>6215</v>
      </c>
      <c r="D767" s="36">
        <v>140</v>
      </c>
      <c r="E767" s="36">
        <v>1</v>
      </c>
      <c r="F767" s="36" t="s">
        <v>6795</v>
      </c>
      <c r="G767" s="36" t="s">
        <v>6906</v>
      </c>
      <c r="H767" s="36" t="s">
        <v>6907</v>
      </c>
      <c r="J767" s="36" t="s">
        <v>29</v>
      </c>
      <c r="N767" s="36"/>
      <c r="O767" s="131"/>
      <c r="P767" s="132"/>
      <c r="Q767" s="133">
        <v>4</v>
      </c>
      <c r="R767" s="42">
        <v>3</v>
      </c>
      <c r="S767" s="134"/>
      <c r="T767" s="135">
        <v>5</v>
      </c>
      <c r="U767" s="131"/>
      <c r="V767" s="136">
        <v>2</v>
      </c>
      <c r="W767" s="137">
        <v>2</v>
      </c>
      <c r="X767" s="138"/>
      <c r="Y767" s="42"/>
      <c r="Z767" s="135"/>
      <c r="AA767" s="139">
        <v>2</v>
      </c>
      <c r="AB767" s="140"/>
      <c r="AD767" s="36" t="s">
        <v>6908</v>
      </c>
      <c r="AE767" s="36"/>
      <c r="AF767" s="36" t="s">
        <v>6909</v>
      </c>
      <c r="AO767" s="37"/>
      <c r="AP767" s="36"/>
      <c r="AQ767" s="131"/>
      <c r="AR767" s="132"/>
      <c r="AS767" s="133"/>
      <c r="AT767" s="42"/>
      <c r="AU767" s="135"/>
      <c r="AV767" s="131"/>
      <c r="AW767" s="136"/>
      <c r="AX767" s="137"/>
      <c r="AY767" s="138"/>
      <c r="AZ767" s="42"/>
      <c r="BA767" s="135"/>
      <c r="BB767" s="139"/>
      <c r="BE767" s="37"/>
      <c r="BF767" s="36"/>
    </row>
    <row r="768" spans="1:59" ht="15" customHeight="1">
      <c r="A768" s="41" t="s">
        <v>6794</v>
      </c>
      <c r="B768" s="43" t="s">
        <v>6910</v>
      </c>
      <c r="C768" s="36" t="s">
        <v>6215</v>
      </c>
      <c r="D768" s="36">
        <v>141</v>
      </c>
      <c r="E768" s="36">
        <v>1</v>
      </c>
      <c r="F768" s="36" t="s">
        <v>6795</v>
      </c>
      <c r="G768" s="36" t="s">
        <v>6911</v>
      </c>
      <c r="H768" s="36" t="s">
        <v>6912</v>
      </c>
      <c r="I768" s="36" t="s">
        <v>4077</v>
      </c>
      <c r="J768" s="36" t="s">
        <v>4111</v>
      </c>
      <c r="K768" s="36" t="s">
        <v>26</v>
      </c>
      <c r="N768" s="36"/>
      <c r="O768" s="131"/>
      <c r="P768" s="132"/>
      <c r="Q768" s="133"/>
      <c r="R768" s="42"/>
      <c r="S768" s="134"/>
      <c r="T768" s="135">
        <v>2</v>
      </c>
      <c r="U768" s="131">
        <v>2</v>
      </c>
      <c r="V768" s="136"/>
      <c r="W768" s="137"/>
      <c r="X768" s="138"/>
      <c r="Y768" s="42"/>
      <c r="Z768" s="135"/>
      <c r="AA768" s="139"/>
      <c r="AB768" s="140"/>
      <c r="AC768" s="36" t="s">
        <v>25</v>
      </c>
      <c r="AD768" s="36" t="s">
        <v>6913</v>
      </c>
      <c r="AE768" s="36"/>
      <c r="AF768" s="36" t="s">
        <v>6914</v>
      </c>
      <c r="AO768" s="37"/>
      <c r="AP768" s="36"/>
      <c r="AQ768" s="131"/>
      <c r="AR768" s="132"/>
      <c r="AS768" s="133"/>
      <c r="AT768" s="42"/>
      <c r="AU768" s="135"/>
      <c r="AV768" s="131"/>
      <c r="AW768" s="136"/>
      <c r="AX768" s="137"/>
      <c r="AY768" s="138"/>
      <c r="AZ768" s="42"/>
      <c r="BA768" s="135"/>
      <c r="BB768" s="139"/>
      <c r="BE768" s="37"/>
      <c r="BF768" s="36"/>
    </row>
    <row r="769" spans="1:58" ht="15" customHeight="1">
      <c r="A769" s="41" t="s">
        <v>6794</v>
      </c>
      <c r="B769" s="36" t="s">
        <v>6915</v>
      </c>
      <c r="C769" s="36" t="s">
        <v>6215</v>
      </c>
      <c r="D769" s="36">
        <v>142</v>
      </c>
      <c r="E769" s="36">
        <v>1</v>
      </c>
      <c r="F769" s="36" t="s">
        <v>6795</v>
      </c>
      <c r="G769" s="36" t="s">
        <v>6916</v>
      </c>
      <c r="H769" s="36" t="s">
        <v>6917</v>
      </c>
      <c r="J769" s="36" t="s">
        <v>4111</v>
      </c>
      <c r="K769" s="36" t="s">
        <v>26</v>
      </c>
      <c r="M769" s="36" t="s">
        <v>4502</v>
      </c>
      <c r="N769" s="36">
        <v>1</v>
      </c>
      <c r="O769" s="142"/>
      <c r="P769" s="143"/>
      <c r="Q769" s="144"/>
      <c r="R769" s="42"/>
      <c r="S769" s="134"/>
      <c r="T769" s="135"/>
      <c r="U769" s="142"/>
      <c r="V769" s="145"/>
      <c r="W769" s="146"/>
      <c r="X769" s="147"/>
      <c r="Y769" s="42"/>
      <c r="Z769" s="135"/>
      <c r="AA769" s="148"/>
      <c r="AB769" s="140"/>
      <c r="AD769" s="36" t="s">
        <v>4130</v>
      </c>
      <c r="AE769" s="36"/>
      <c r="AF769" s="36" t="s">
        <v>6918</v>
      </c>
      <c r="AO769" s="37"/>
      <c r="AP769" s="36"/>
      <c r="AQ769" s="142"/>
      <c r="AR769" s="143"/>
      <c r="AS769" s="144"/>
      <c r="AT769" s="42"/>
      <c r="AU769" s="135"/>
      <c r="AV769" s="142"/>
      <c r="AW769" s="149"/>
      <c r="AX769" s="150"/>
      <c r="AY769" s="147"/>
      <c r="AZ769" s="42"/>
      <c r="BA769" s="135"/>
      <c r="BB769" s="148"/>
      <c r="BE769" s="37"/>
      <c r="BF769" s="36"/>
    </row>
    <row r="770" spans="1:58" ht="15" customHeight="1">
      <c r="A770" s="41" t="s">
        <v>6794</v>
      </c>
      <c r="B770" s="36" t="s">
        <v>6919</v>
      </c>
      <c r="C770" s="36" t="s">
        <v>6215</v>
      </c>
      <c r="D770" s="36">
        <v>143</v>
      </c>
      <c r="E770" s="36">
        <v>1</v>
      </c>
      <c r="F770" s="36" t="s">
        <v>6795</v>
      </c>
      <c r="G770" s="36" t="s">
        <v>6920</v>
      </c>
      <c r="H770" s="36" t="s">
        <v>6921</v>
      </c>
      <c r="J770" s="36" t="s">
        <v>4111</v>
      </c>
      <c r="K770" s="36" t="s">
        <v>26</v>
      </c>
      <c r="N770" s="36">
        <v>2</v>
      </c>
      <c r="O770" s="142">
        <v>1</v>
      </c>
      <c r="P770" s="143"/>
      <c r="Q770" s="144">
        <v>1</v>
      </c>
      <c r="R770" s="42">
        <v>1</v>
      </c>
      <c r="S770" s="134"/>
      <c r="T770" s="135">
        <v>1</v>
      </c>
      <c r="U770" s="142"/>
      <c r="V770" s="145"/>
      <c r="W770" s="146"/>
      <c r="X770" s="147"/>
      <c r="Y770" s="42"/>
      <c r="Z770" s="135"/>
      <c r="AA770" s="148"/>
      <c r="AB770" s="140" t="s">
        <v>5243</v>
      </c>
      <c r="AC770" s="36" t="s">
        <v>4247</v>
      </c>
      <c r="AD770" s="36" t="s">
        <v>6179</v>
      </c>
      <c r="AE770" s="36"/>
      <c r="AF770" s="36" t="s">
        <v>6922</v>
      </c>
      <c r="AO770" s="37"/>
      <c r="AP770" s="36"/>
      <c r="AQ770" s="142"/>
      <c r="AR770" s="143"/>
      <c r="AS770" s="144"/>
      <c r="AT770" s="42"/>
      <c r="AU770" s="135"/>
      <c r="AV770" s="142"/>
      <c r="AW770" s="149"/>
      <c r="AX770" s="150"/>
      <c r="AY770" s="147"/>
      <c r="AZ770" s="42"/>
      <c r="BA770" s="135"/>
      <c r="BB770" s="148"/>
      <c r="BE770" s="37"/>
      <c r="BF770" s="36"/>
    </row>
    <row r="771" spans="1:58" ht="15" customHeight="1">
      <c r="A771" s="41" t="s">
        <v>6794</v>
      </c>
      <c r="B771" s="36" t="s">
        <v>6923</v>
      </c>
      <c r="C771" s="36" t="s">
        <v>6215</v>
      </c>
      <c r="D771" s="36">
        <v>144</v>
      </c>
      <c r="E771" s="36">
        <v>3</v>
      </c>
      <c r="F771" s="36" t="s">
        <v>6795</v>
      </c>
      <c r="G771" s="36" t="s">
        <v>6924</v>
      </c>
      <c r="J771" s="36" t="s">
        <v>29</v>
      </c>
      <c r="N771" s="36"/>
      <c r="O771" s="142"/>
      <c r="P771" s="143"/>
      <c r="Q771" s="144">
        <v>2</v>
      </c>
      <c r="R771" s="42">
        <v>2</v>
      </c>
      <c r="S771" s="134"/>
      <c r="T771" s="135">
        <v>3</v>
      </c>
      <c r="U771" s="142"/>
      <c r="V771" s="145"/>
      <c r="W771" s="146">
        <v>1</v>
      </c>
      <c r="X771" s="147"/>
      <c r="Y771" s="42"/>
      <c r="Z771" s="135"/>
      <c r="AA771" s="148"/>
      <c r="AB771" s="140"/>
      <c r="AD771" s="36" t="s">
        <v>4321</v>
      </c>
      <c r="AE771" s="36"/>
      <c r="AF771" s="36" t="s">
        <v>6925</v>
      </c>
      <c r="AO771" s="37"/>
      <c r="AP771" s="36"/>
      <c r="AQ771" s="142"/>
      <c r="AR771" s="143"/>
      <c r="AS771" s="144"/>
      <c r="AT771" s="42"/>
      <c r="AU771" s="135"/>
      <c r="AV771" s="142"/>
      <c r="AW771" s="149"/>
      <c r="AX771" s="150"/>
      <c r="AY771" s="147"/>
      <c r="AZ771" s="42"/>
      <c r="BA771" s="135"/>
      <c r="BB771" s="148"/>
      <c r="BE771" s="37"/>
      <c r="BF771" s="36"/>
    </row>
    <row r="772" spans="1:58" ht="15" customHeight="1">
      <c r="A772" s="41" t="s">
        <v>6794</v>
      </c>
      <c r="B772" s="36" t="s">
        <v>6926</v>
      </c>
      <c r="C772" s="36" t="s">
        <v>6215</v>
      </c>
      <c r="D772" s="36">
        <v>145</v>
      </c>
      <c r="E772" s="36">
        <v>3</v>
      </c>
      <c r="F772" s="36" t="s">
        <v>6795</v>
      </c>
      <c r="G772" s="36" t="s">
        <v>6927</v>
      </c>
      <c r="J772" s="36" t="s">
        <v>28</v>
      </c>
      <c r="N772" s="36"/>
      <c r="O772" s="142"/>
      <c r="P772" s="143"/>
      <c r="Q772" s="144"/>
      <c r="R772" s="42"/>
      <c r="S772" s="134"/>
      <c r="T772" s="135"/>
      <c r="U772" s="142"/>
      <c r="V772" s="145"/>
      <c r="W772" s="146"/>
      <c r="X772" s="147"/>
      <c r="Y772" s="42"/>
      <c r="Z772" s="135"/>
      <c r="AA772" s="148"/>
      <c r="AB772" s="140"/>
      <c r="AD772" s="36" t="s">
        <v>5050</v>
      </c>
      <c r="AE772" s="36"/>
      <c r="AF772" s="36" t="s">
        <v>6928</v>
      </c>
      <c r="AO772" s="37"/>
      <c r="AP772" s="36"/>
      <c r="AQ772" s="142"/>
      <c r="AR772" s="143"/>
      <c r="AS772" s="144"/>
      <c r="AT772" s="42"/>
      <c r="AU772" s="135"/>
      <c r="AV772" s="142"/>
      <c r="AW772" s="149"/>
      <c r="AX772" s="150"/>
      <c r="AY772" s="147"/>
      <c r="AZ772" s="42"/>
      <c r="BA772" s="135"/>
      <c r="BB772" s="148"/>
      <c r="BE772" s="37"/>
      <c r="BF772" s="36"/>
    </row>
    <row r="773" spans="1:58" ht="15" customHeight="1">
      <c r="A773" s="41" t="s">
        <v>6794</v>
      </c>
      <c r="B773" s="36" t="s">
        <v>6929</v>
      </c>
      <c r="C773" s="36" t="s">
        <v>6215</v>
      </c>
      <c r="D773" s="36">
        <v>146</v>
      </c>
      <c r="E773" s="36">
        <v>2</v>
      </c>
      <c r="F773" s="36" t="s">
        <v>6795</v>
      </c>
      <c r="G773" s="36" t="s">
        <v>6930</v>
      </c>
      <c r="J773" s="36" t="s">
        <v>28</v>
      </c>
      <c r="N773" s="36"/>
      <c r="O773" s="142"/>
      <c r="P773" s="143"/>
      <c r="Q773" s="144"/>
      <c r="R773" s="42"/>
      <c r="S773" s="134"/>
      <c r="T773" s="135"/>
      <c r="U773" s="142"/>
      <c r="V773" s="145"/>
      <c r="W773" s="146"/>
      <c r="X773" s="147"/>
      <c r="Y773" s="42"/>
      <c r="Z773" s="135"/>
      <c r="AA773" s="148"/>
      <c r="AB773" s="140"/>
      <c r="AD773" s="36" t="s">
        <v>5050</v>
      </c>
      <c r="AE773" s="36"/>
      <c r="AF773" s="36" t="s">
        <v>6931</v>
      </c>
      <c r="AO773" s="37"/>
      <c r="AP773" s="36"/>
      <c r="AQ773" s="142"/>
      <c r="AR773" s="143"/>
      <c r="AS773" s="144"/>
      <c r="AT773" s="42"/>
      <c r="AU773" s="135"/>
      <c r="AV773" s="142"/>
      <c r="AW773" s="149"/>
      <c r="AX773" s="150"/>
      <c r="AY773" s="147"/>
      <c r="AZ773" s="42"/>
      <c r="BA773" s="135"/>
      <c r="BB773" s="148"/>
      <c r="BE773" s="37"/>
      <c r="BF773" s="36"/>
    </row>
    <row r="774" spans="1:58" ht="48">
      <c r="A774" s="36" t="s">
        <v>7051</v>
      </c>
      <c r="B774" s="36" t="s">
        <v>7052</v>
      </c>
      <c r="C774" s="36" t="s">
        <v>7188</v>
      </c>
      <c r="D774" s="37">
        <v>147</v>
      </c>
      <c r="E774" s="36">
        <v>2</v>
      </c>
      <c r="G774" s="36" t="s">
        <v>6944</v>
      </c>
      <c r="J774" s="36" t="s">
        <v>4111</v>
      </c>
      <c r="K774" s="36" t="s">
        <v>4052</v>
      </c>
      <c r="L774" s="36">
        <v>0</v>
      </c>
      <c r="N774" s="75">
        <v>1</v>
      </c>
      <c r="Q774" s="78">
        <v>1</v>
      </c>
      <c r="AB774" s="36" t="s">
        <v>4060</v>
      </c>
      <c r="AC774" s="36" t="s">
        <v>4112</v>
      </c>
      <c r="AD774" s="36" t="s">
        <v>4152</v>
      </c>
      <c r="AF774" s="36" t="s">
        <v>6945</v>
      </c>
      <c r="AP774" s="86"/>
      <c r="AQ774" s="88"/>
      <c r="AR774" s="89"/>
      <c r="AS774" s="90"/>
      <c r="AV774" s="88"/>
      <c r="AW774" s="96"/>
      <c r="AX774" s="97"/>
      <c r="AY774" s="93"/>
      <c r="BB774" s="94"/>
    </row>
    <row r="775" spans="1:58" ht="60">
      <c r="A775" s="36" t="s">
        <v>7051</v>
      </c>
      <c r="B775" s="36" t="s">
        <v>7053</v>
      </c>
      <c r="C775" s="36" t="s">
        <v>7188</v>
      </c>
      <c r="D775" s="37">
        <v>148</v>
      </c>
      <c r="E775" s="36">
        <v>2</v>
      </c>
      <c r="G775" s="36" t="s">
        <v>6946</v>
      </c>
      <c r="J775" s="36" t="s">
        <v>27</v>
      </c>
      <c r="K775" s="36" t="s">
        <v>4052</v>
      </c>
      <c r="L775" s="36">
        <v>1</v>
      </c>
      <c r="N775" s="75">
        <v>2</v>
      </c>
      <c r="P775" s="77">
        <v>1</v>
      </c>
      <c r="Q775" s="78">
        <v>1</v>
      </c>
      <c r="AB775" s="36" t="s">
        <v>4945</v>
      </c>
      <c r="AD775" s="36" t="s">
        <v>4161</v>
      </c>
      <c r="AF775" s="36" t="s">
        <v>6947</v>
      </c>
      <c r="AP775" s="86"/>
      <c r="AQ775" s="88"/>
      <c r="AR775" s="89"/>
      <c r="AS775" s="90"/>
      <c r="AV775" s="88"/>
      <c r="AW775" s="96"/>
      <c r="AX775" s="97"/>
      <c r="AY775" s="93"/>
      <c r="BB775" s="94"/>
    </row>
    <row r="776" spans="1:58" ht="48">
      <c r="A776" s="36" t="s">
        <v>7051</v>
      </c>
      <c r="B776" s="36" t="s">
        <v>7054</v>
      </c>
      <c r="C776" s="36" t="s">
        <v>7188</v>
      </c>
      <c r="D776" s="37">
        <v>149</v>
      </c>
      <c r="E776" s="36">
        <v>2</v>
      </c>
      <c r="G776" s="36" t="s">
        <v>6948</v>
      </c>
      <c r="H776" s="36" t="s">
        <v>6949</v>
      </c>
      <c r="I776" s="36" t="s">
        <v>4077</v>
      </c>
      <c r="J776" s="36" t="s">
        <v>4111</v>
      </c>
      <c r="K776" s="36" t="s">
        <v>4053</v>
      </c>
      <c r="L776" s="36">
        <v>0</v>
      </c>
      <c r="N776" s="75">
        <v>2</v>
      </c>
      <c r="P776" s="77">
        <v>1</v>
      </c>
      <c r="T776" s="81">
        <v>1</v>
      </c>
      <c r="U776" s="76">
        <v>2</v>
      </c>
      <c r="AB776" s="36" t="s">
        <v>4059</v>
      </c>
      <c r="AC776" s="36" t="s">
        <v>25</v>
      </c>
      <c r="AD776" s="36" t="s">
        <v>6820</v>
      </c>
      <c r="AF776" s="36" t="s">
        <v>6950</v>
      </c>
      <c r="AP776" s="86"/>
      <c r="AQ776" s="88"/>
      <c r="AR776" s="89"/>
      <c r="AS776" s="90"/>
      <c r="AV776" s="88"/>
      <c r="AW776" s="96"/>
      <c r="AX776" s="97"/>
      <c r="AY776" s="93"/>
      <c r="BB776" s="94"/>
    </row>
    <row r="777" spans="1:58" ht="36">
      <c r="A777" s="36" t="s">
        <v>7051</v>
      </c>
      <c r="B777" s="36" t="s">
        <v>7055</v>
      </c>
      <c r="C777" s="36" t="s">
        <v>7188</v>
      </c>
      <c r="D777" s="37">
        <v>150</v>
      </c>
      <c r="E777" s="36">
        <v>2</v>
      </c>
      <c r="G777" s="36" t="s">
        <v>6951</v>
      </c>
      <c r="J777" s="36" t="s">
        <v>27</v>
      </c>
      <c r="K777" s="36" t="s">
        <v>4053</v>
      </c>
      <c r="L777" s="36">
        <v>1</v>
      </c>
      <c r="N777" s="75">
        <v>0</v>
      </c>
      <c r="O777" s="76">
        <v>1</v>
      </c>
      <c r="AB777" s="36" t="s">
        <v>4058</v>
      </c>
      <c r="AD777" s="36" t="s">
        <v>4194</v>
      </c>
      <c r="AF777" s="36" t="s">
        <v>6952</v>
      </c>
      <c r="AP777" s="86"/>
      <c r="AQ777" s="88"/>
      <c r="AR777" s="89"/>
      <c r="AS777" s="90"/>
      <c r="AV777" s="88"/>
      <c r="AW777" s="96"/>
      <c r="AX777" s="97"/>
      <c r="AY777" s="93"/>
      <c r="BB777" s="94"/>
    </row>
    <row r="778" spans="1:58" ht="36">
      <c r="A778" s="36" t="s">
        <v>7051</v>
      </c>
      <c r="B778" s="36" t="s">
        <v>7056</v>
      </c>
      <c r="C778" s="36" t="s">
        <v>7188</v>
      </c>
      <c r="D778" s="37">
        <v>151</v>
      </c>
      <c r="E778" s="36">
        <v>2</v>
      </c>
      <c r="G778" s="36" t="s">
        <v>6953</v>
      </c>
      <c r="H778" s="36" t="s">
        <v>6954</v>
      </c>
      <c r="I778" s="36" t="s">
        <v>4077</v>
      </c>
      <c r="J778" s="36" t="s">
        <v>4111</v>
      </c>
      <c r="K778" s="36" t="s">
        <v>4055</v>
      </c>
      <c r="L778" s="36">
        <v>0</v>
      </c>
      <c r="N778" s="75">
        <v>4</v>
      </c>
      <c r="P778" s="77">
        <v>1</v>
      </c>
      <c r="T778" s="81">
        <v>2</v>
      </c>
      <c r="U778" s="76">
        <v>2</v>
      </c>
      <c r="AB778" s="36" t="s">
        <v>4059</v>
      </c>
      <c r="AC778" s="36" t="s">
        <v>25</v>
      </c>
      <c r="AD778" s="36" t="s">
        <v>6820</v>
      </c>
      <c r="AF778" s="36" t="s">
        <v>6955</v>
      </c>
      <c r="AP778" s="86"/>
      <c r="AQ778" s="88"/>
      <c r="AR778" s="89"/>
      <c r="AS778" s="90"/>
      <c r="AV778" s="88"/>
      <c r="AW778" s="96"/>
      <c r="AX778" s="97"/>
      <c r="AY778" s="93"/>
      <c r="BB778" s="94"/>
    </row>
    <row r="779" spans="1:58" ht="24">
      <c r="A779" s="36" t="s">
        <v>7051</v>
      </c>
      <c r="B779" s="36" t="s">
        <v>7057</v>
      </c>
      <c r="C779" s="36" t="s">
        <v>7188</v>
      </c>
      <c r="D779" s="37">
        <v>152</v>
      </c>
      <c r="E779" s="36">
        <v>2</v>
      </c>
      <c r="G779" s="36" t="s">
        <v>4223</v>
      </c>
      <c r="J779" s="36" t="s">
        <v>27</v>
      </c>
      <c r="K779" s="36" t="s">
        <v>4055</v>
      </c>
      <c r="L779" s="36">
        <v>2</v>
      </c>
      <c r="N779" s="75">
        <v>2</v>
      </c>
      <c r="P779" s="77">
        <v>1</v>
      </c>
      <c r="Q779" s="78">
        <v>2</v>
      </c>
      <c r="AB779" s="36" t="s">
        <v>6039</v>
      </c>
      <c r="AD779" s="36" t="s">
        <v>4161</v>
      </c>
      <c r="AF779" s="36" t="s">
        <v>6956</v>
      </c>
      <c r="AP779" s="86"/>
      <c r="AQ779" s="88"/>
      <c r="AR779" s="89"/>
      <c r="AS779" s="90"/>
      <c r="AV779" s="88"/>
      <c r="AW779" s="96"/>
      <c r="AX779" s="97"/>
      <c r="AY779" s="93"/>
      <c r="BB779" s="94"/>
    </row>
    <row r="780" spans="1:58" ht="72">
      <c r="A780" s="36" t="s">
        <v>7051</v>
      </c>
      <c r="B780" s="36" t="s">
        <v>7058</v>
      </c>
      <c r="C780" s="36" t="s">
        <v>7188</v>
      </c>
      <c r="D780" s="37">
        <v>153</v>
      </c>
      <c r="E780" s="36">
        <v>2</v>
      </c>
      <c r="G780" s="36" t="s">
        <v>6957</v>
      </c>
      <c r="J780" s="36" t="s">
        <v>27</v>
      </c>
      <c r="K780" s="36" t="s">
        <v>4054</v>
      </c>
      <c r="L780" s="36">
        <v>0</v>
      </c>
      <c r="N780" s="75">
        <v>3</v>
      </c>
      <c r="O780" s="76">
        <v>1</v>
      </c>
      <c r="Q780" s="78">
        <v>1</v>
      </c>
      <c r="AB780" s="36" t="s">
        <v>6033</v>
      </c>
      <c r="AD780" s="36" t="s">
        <v>4133</v>
      </c>
      <c r="AF780" s="36" t="s">
        <v>6958</v>
      </c>
      <c r="AP780" s="86"/>
      <c r="AQ780" s="88"/>
      <c r="AR780" s="89"/>
      <c r="AS780" s="90"/>
      <c r="AV780" s="88"/>
      <c r="AW780" s="96"/>
      <c r="AX780" s="97"/>
      <c r="AY780" s="93"/>
      <c r="BB780" s="94"/>
    </row>
    <row r="781" spans="1:58" ht="24">
      <c r="A781" s="36" t="s">
        <v>7051</v>
      </c>
      <c r="B781" s="36" t="s">
        <v>7059</v>
      </c>
      <c r="C781" s="36" t="s">
        <v>7188</v>
      </c>
      <c r="D781" s="37">
        <v>154</v>
      </c>
      <c r="E781" s="36">
        <v>2</v>
      </c>
      <c r="G781" s="36" t="s">
        <v>4538</v>
      </c>
      <c r="J781" s="36" t="s">
        <v>4111</v>
      </c>
      <c r="K781" s="36" t="s">
        <v>4054</v>
      </c>
      <c r="L781" s="36">
        <v>1</v>
      </c>
      <c r="N781" s="75">
        <v>3</v>
      </c>
      <c r="P781" s="77">
        <v>1</v>
      </c>
      <c r="AB781" s="36" t="s">
        <v>4059</v>
      </c>
      <c r="AC781" s="36" t="s">
        <v>4112</v>
      </c>
      <c r="AD781" s="36" t="s">
        <v>4123</v>
      </c>
      <c r="AF781" s="36" t="s">
        <v>6959</v>
      </c>
      <c r="AP781" s="86"/>
      <c r="AQ781" s="88"/>
      <c r="AR781" s="89"/>
      <c r="AS781" s="90"/>
      <c r="AV781" s="88"/>
      <c r="AW781" s="96"/>
      <c r="AX781" s="97"/>
      <c r="AY781" s="93"/>
      <c r="BB781" s="94"/>
    </row>
    <row r="782" spans="1:58" ht="36">
      <c r="A782" s="36" t="s">
        <v>7051</v>
      </c>
      <c r="B782" s="36" t="s">
        <v>7060</v>
      </c>
      <c r="C782" s="36" t="s">
        <v>7188</v>
      </c>
      <c r="D782" s="37">
        <v>155</v>
      </c>
      <c r="E782" s="36">
        <v>2</v>
      </c>
      <c r="G782" s="36" t="s">
        <v>6960</v>
      </c>
      <c r="J782" s="36" t="s">
        <v>27</v>
      </c>
      <c r="K782" s="36" t="s">
        <v>4056</v>
      </c>
      <c r="L782" s="36">
        <v>0</v>
      </c>
      <c r="N782" s="75">
        <v>1</v>
      </c>
      <c r="AD782" s="36" t="s">
        <v>5659</v>
      </c>
      <c r="AF782" s="36" t="s">
        <v>6961</v>
      </c>
      <c r="AP782" s="86"/>
      <c r="AQ782" s="88"/>
      <c r="AR782" s="89"/>
      <c r="AS782" s="90"/>
      <c r="AV782" s="88"/>
      <c r="AW782" s="96"/>
      <c r="AX782" s="97"/>
      <c r="AY782" s="93"/>
      <c r="BB782" s="94"/>
    </row>
    <row r="783" spans="1:58" ht="36">
      <c r="A783" s="36" t="s">
        <v>7051</v>
      </c>
      <c r="B783" s="36" t="s">
        <v>7061</v>
      </c>
      <c r="C783" s="36" t="s">
        <v>7188</v>
      </c>
      <c r="D783" s="37">
        <v>156</v>
      </c>
      <c r="E783" s="36">
        <v>2</v>
      </c>
      <c r="G783" s="36" t="s">
        <v>6962</v>
      </c>
      <c r="J783" s="36" t="s">
        <v>27</v>
      </c>
      <c r="K783" s="36" t="s">
        <v>4056</v>
      </c>
      <c r="L783" s="36">
        <v>1</v>
      </c>
      <c r="N783" s="75">
        <v>1</v>
      </c>
      <c r="O783" s="76">
        <v>1</v>
      </c>
      <c r="AB783" s="36" t="s">
        <v>4058</v>
      </c>
      <c r="AD783" s="36" t="s">
        <v>5659</v>
      </c>
      <c r="AF783" s="36" t="s">
        <v>6963</v>
      </c>
      <c r="AP783" s="86"/>
      <c r="AQ783" s="88"/>
      <c r="AR783" s="89"/>
      <c r="AS783" s="90"/>
      <c r="AV783" s="88"/>
      <c r="AW783" s="96"/>
      <c r="AX783" s="97"/>
      <c r="AY783" s="93"/>
      <c r="BB783" s="94"/>
    </row>
    <row r="784" spans="1:58" ht="36">
      <c r="A784" s="36" t="s">
        <v>7051</v>
      </c>
      <c r="B784" s="36" t="s">
        <v>7062</v>
      </c>
      <c r="C784" s="36" t="s">
        <v>7188</v>
      </c>
      <c r="D784" s="37">
        <v>157</v>
      </c>
      <c r="E784" s="36">
        <v>2</v>
      </c>
      <c r="G784" s="36" t="s">
        <v>6964</v>
      </c>
      <c r="J784" s="36" t="s">
        <v>27</v>
      </c>
      <c r="K784" s="36" t="s">
        <v>4056</v>
      </c>
      <c r="L784" s="36">
        <v>1</v>
      </c>
      <c r="N784" s="75">
        <v>1</v>
      </c>
      <c r="R784" s="79">
        <v>1</v>
      </c>
      <c r="AB784" s="36" t="s">
        <v>4061</v>
      </c>
      <c r="AD784" s="36" t="s">
        <v>4226</v>
      </c>
      <c r="AF784" s="36" t="s">
        <v>6965</v>
      </c>
      <c r="AP784" s="86"/>
      <c r="AQ784" s="88"/>
      <c r="AR784" s="89"/>
      <c r="AS784" s="90"/>
      <c r="AV784" s="88"/>
      <c r="AW784" s="96"/>
      <c r="AX784" s="97"/>
      <c r="AY784" s="93"/>
      <c r="BB784" s="94"/>
    </row>
    <row r="785" spans="1:59" ht="48">
      <c r="A785" s="36" t="s">
        <v>7051</v>
      </c>
      <c r="B785" s="36" t="s">
        <v>7063</v>
      </c>
      <c r="C785" s="36" t="s">
        <v>7188</v>
      </c>
      <c r="D785" s="37">
        <v>158</v>
      </c>
      <c r="E785" s="36">
        <v>2</v>
      </c>
      <c r="G785" s="36" t="s">
        <v>6966</v>
      </c>
      <c r="J785" s="36" t="s">
        <v>27</v>
      </c>
      <c r="K785" s="36" t="s">
        <v>26</v>
      </c>
      <c r="L785" s="36">
        <v>0</v>
      </c>
      <c r="N785" s="75">
        <v>1</v>
      </c>
      <c r="P785" s="77">
        <v>1</v>
      </c>
      <c r="R785" s="79">
        <v>1</v>
      </c>
      <c r="AB785" s="36" t="s">
        <v>6169</v>
      </c>
      <c r="AD785" s="36" t="s">
        <v>6967</v>
      </c>
      <c r="AF785" s="36" t="s">
        <v>6968</v>
      </c>
      <c r="AP785" s="86"/>
      <c r="AQ785" s="88"/>
      <c r="AR785" s="89"/>
      <c r="AS785" s="90"/>
      <c r="AV785" s="88"/>
      <c r="AW785" s="96"/>
      <c r="AX785" s="97"/>
      <c r="AY785" s="93"/>
      <c r="BB785" s="94"/>
    </row>
    <row r="786" spans="1:59" ht="144">
      <c r="A786" s="36" t="s">
        <v>7051</v>
      </c>
      <c r="B786" s="36" t="s">
        <v>7064</v>
      </c>
      <c r="C786" s="36" t="s">
        <v>7188</v>
      </c>
      <c r="D786" s="37">
        <v>159</v>
      </c>
      <c r="E786" s="36">
        <v>1</v>
      </c>
      <c r="F786" s="36" t="s">
        <v>6969</v>
      </c>
      <c r="G786" s="36" t="s">
        <v>6969</v>
      </c>
      <c r="J786" s="36" t="s">
        <v>4472</v>
      </c>
      <c r="AF786" s="36" t="s">
        <v>6970</v>
      </c>
      <c r="AI786" s="36" t="s">
        <v>6969</v>
      </c>
      <c r="AL786" s="36" t="s">
        <v>4472</v>
      </c>
      <c r="AP786" s="86"/>
      <c r="AQ786" s="88"/>
      <c r="AR786" s="89"/>
      <c r="AS786" s="90"/>
      <c r="AV786" s="88"/>
      <c r="AW786" s="96"/>
      <c r="AX786" s="97"/>
      <c r="AY786" s="93"/>
      <c r="BB786" s="94"/>
      <c r="BG786" s="36" t="s">
        <v>6971</v>
      </c>
    </row>
    <row r="787" spans="1:59" ht="60">
      <c r="A787" s="36" t="s">
        <v>7051</v>
      </c>
      <c r="B787" s="36" t="s">
        <v>7065</v>
      </c>
      <c r="C787" s="36" t="s">
        <v>7188</v>
      </c>
      <c r="D787" s="37">
        <v>160</v>
      </c>
      <c r="E787" s="36">
        <v>1</v>
      </c>
      <c r="F787" s="36" t="s">
        <v>6969</v>
      </c>
      <c r="G787" s="36" t="s">
        <v>6972</v>
      </c>
      <c r="J787" s="36" t="s">
        <v>4473</v>
      </c>
      <c r="L787" s="36">
        <v>1</v>
      </c>
      <c r="Z787" s="81">
        <v>2</v>
      </c>
      <c r="AI787" s="36" t="s">
        <v>6973</v>
      </c>
      <c r="AL787" s="36" t="s">
        <v>4473</v>
      </c>
      <c r="AN787" s="36">
        <v>1</v>
      </c>
      <c r="AP787" s="86"/>
      <c r="AQ787" s="88"/>
      <c r="AR787" s="89"/>
      <c r="AS787" s="90"/>
      <c r="AV787" s="88"/>
      <c r="AW787" s="96"/>
      <c r="AX787" s="97"/>
      <c r="AY787" s="93"/>
      <c r="BB787" s="94"/>
      <c r="BG787" s="36" t="s">
        <v>6974</v>
      </c>
    </row>
    <row r="788" spans="1:59" ht="84">
      <c r="A788" s="36" t="s">
        <v>7051</v>
      </c>
      <c r="B788" s="36" t="s">
        <v>7066</v>
      </c>
      <c r="C788" s="36" t="s">
        <v>7188</v>
      </c>
      <c r="D788" s="37">
        <v>161</v>
      </c>
      <c r="E788" s="36">
        <v>1</v>
      </c>
      <c r="F788" s="36" t="s">
        <v>6969</v>
      </c>
      <c r="G788" s="36" t="s">
        <v>6975</v>
      </c>
      <c r="J788" s="36" t="s">
        <v>4473</v>
      </c>
      <c r="L788" s="36">
        <v>2</v>
      </c>
      <c r="Z788" s="81">
        <v>7</v>
      </c>
      <c r="AI788" s="36" t="s">
        <v>4694</v>
      </c>
      <c r="AL788" s="36" t="s">
        <v>4473</v>
      </c>
      <c r="AN788" s="36">
        <v>2</v>
      </c>
      <c r="AP788" s="86"/>
      <c r="AQ788" s="88"/>
      <c r="AR788" s="89"/>
      <c r="AS788" s="90"/>
      <c r="AV788" s="88"/>
      <c r="AW788" s="96"/>
      <c r="AX788" s="97"/>
      <c r="AY788" s="93"/>
      <c r="BB788" s="94"/>
      <c r="BG788" s="36" t="s">
        <v>6976</v>
      </c>
    </row>
    <row r="789" spans="1:59" ht="36">
      <c r="A789" s="36" t="s">
        <v>7051</v>
      </c>
      <c r="B789" s="36" t="s">
        <v>7067</v>
      </c>
      <c r="C789" s="36" t="s">
        <v>7188</v>
      </c>
      <c r="D789" s="37">
        <v>162</v>
      </c>
      <c r="E789" s="36">
        <v>1</v>
      </c>
      <c r="F789" s="36" t="s">
        <v>6969</v>
      </c>
      <c r="G789" s="36" t="s">
        <v>6977</v>
      </c>
      <c r="J789" s="36" t="s">
        <v>4473</v>
      </c>
      <c r="L789" s="36">
        <v>3</v>
      </c>
      <c r="Z789" s="81">
        <v>8</v>
      </c>
      <c r="AF789" s="36" t="s">
        <v>6978</v>
      </c>
      <c r="AI789" s="36" t="s">
        <v>6979</v>
      </c>
      <c r="AL789" s="36" t="s">
        <v>4473</v>
      </c>
      <c r="AN789" s="36">
        <v>3</v>
      </c>
      <c r="AP789" s="86"/>
      <c r="AQ789" s="88"/>
      <c r="AR789" s="89"/>
      <c r="AS789" s="90"/>
      <c r="AV789" s="88"/>
      <c r="AW789" s="96"/>
      <c r="AX789" s="97"/>
      <c r="AY789" s="93"/>
      <c r="BB789" s="94"/>
      <c r="BG789" s="36" t="s">
        <v>6980</v>
      </c>
    </row>
    <row r="790" spans="1:59" ht="144">
      <c r="A790" s="36" t="s">
        <v>7051</v>
      </c>
      <c r="B790" s="36" t="s">
        <v>7068</v>
      </c>
      <c r="C790" s="36" t="s">
        <v>7188</v>
      </c>
      <c r="D790" s="37">
        <v>163</v>
      </c>
      <c r="E790" s="36">
        <v>1</v>
      </c>
      <c r="F790" s="36" t="s">
        <v>6969</v>
      </c>
      <c r="G790" s="36" t="s">
        <v>4606</v>
      </c>
      <c r="J790" s="36" t="s">
        <v>4475</v>
      </c>
      <c r="L790" s="36">
        <v>1</v>
      </c>
      <c r="Y790" s="79" t="s">
        <v>5550</v>
      </c>
      <c r="AI790" s="36" t="s">
        <v>6981</v>
      </c>
      <c r="AL790" s="36" t="s">
        <v>4475</v>
      </c>
      <c r="AN790" s="36">
        <v>1</v>
      </c>
      <c r="AP790" s="86"/>
      <c r="AQ790" s="88"/>
      <c r="AR790" s="89"/>
      <c r="AS790" s="90"/>
      <c r="AV790" s="88"/>
      <c r="AW790" s="96"/>
      <c r="AX790" s="97"/>
      <c r="AY790" s="93"/>
      <c r="BB790" s="94"/>
      <c r="BG790" s="36" t="s">
        <v>6982</v>
      </c>
    </row>
    <row r="791" spans="1:59" ht="60">
      <c r="A791" s="36" t="s">
        <v>7051</v>
      </c>
      <c r="B791" s="36" t="s">
        <v>7069</v>
      </c>
      <c r="C791" s="36" t="s">
        <v>7188</v>
      </c>
      <c r="D791" s="37">
        <v>164</v>
      </c>
      <c r="E791" s="36">
        <v>1</v>
      </c>
      <c r="F791" s="36" t="s">
        <v>6969</v>
      </c>
      <c r="G791" s="36" t="s">
        <v>6983</v>
      </c>
      <c r="J791" s="36" t="s">
        <v>4475</v>
      </c>
      <c r="L791" s="36">
        <v>2</v>
      </c>
      <c r="Y791" s="79" t="s">
        <v>38</v>
      </c>
      <c r="AF791" s="36" t="s">
        <v>6984</v>
      </c>
      <c r="AI791" s="36" t="s">
        <v>6985</v>
      </c>
      <c r="AL791" s="36" t="s">
        <v>4475</v>
      </c>
      <c r="AN791" s="36">
        <v>2</v>
      </c>
      <c r="AP791" s="86"/>
      <c r="AQ791" s="88"/>
      <c r="AR791" s="89"/>
      <c r="AS791" s="90"/>
      <c r="AV791" s="88"/>
      <c r="AW791" s="96"/>
      <c r="AX791" s="97"/>
      <c r="AY791" s="93"/>
      <c r="BB791" s="94"/>
      <c r="BG791" s="36" t="s">
        <v>6986</v>
      </c>
    </row>
    <row r="792" spans="1:59" ht="60">
      <c r="A792" s="36" t="s">
        <v>7051</v>
      </c>
      <c r="B792" s="36" t="s">
        <v>7070</v>
      </c>
      <c r="C792" s="36" t="s">
        <v>7188</v>
      </c>
      <c r="D792" s="37">
        <v>165</v>
      </c>
      <c r="E792" s="36">
        <v>1</v>
      </c>
      <c r="F792" s="36" t="s">
        <v>6969</v>
      </c>
      <c r="G792" s="36" t="s">
        <v>6987</v>
      </c>
      <c r="J792" s="36" t="s">
        <v>4475</v>
      </c>
      <c r="L792" s="36">
        <v>2</v>
      </c>
      <c r="Y792" s="79" t="s">
        <v>38</v>
      </c>
      <c r="AF792" s="36" t="s">
        <v>6984</v>
      </c>
      <c r="AI792" s="36" t="s">
        <v>6988</v>
      </c>
      <c r="AL792" s="36" t="s">
        <v>4475</v>
      </c>
      <c r="AN792" s="36">
        <v>2</v>
      </c>
      <c r="AP792" s="86"/>
      <c r="AQ792" s="88"/>
      <c r="AR792" s="89"/>
      <c r="AS792" s="90"/>
      <c r="AV792" s="88"/>
      <c r="AW792" s="96"/>
      <c r="AX792" s="97"/>
      <c r="AY792" s="93"/>
      <c r="BB792" s="94"/>
      <c r="BG792" s="36" t="s">
        <v>6989</v>
      </c>
    </row>
    <row r="793" spans="1:59" ht="120">
      <c r="A793" s="36" t="s">
        <v>7051</v>
      </c>
      <c r="B793" s="36" t="s">
        <v>7071</v>
      </c>
      <c r="C793" s="36" t="s">
        <v>7188</v>
      </c>
      <c r="D793" s="37">
        <v>166</v>
      </c>
      <c r="E793" s="36">
        <v>1</v>
      </c>
      <c r="F793" s="36" t="s">
        <v>6969</v>
      </c>
      <c r="G793" s="36" t="s">
        <v>6990</v>
      </c>
      <c r="J793" s="36" t="s">
        <v>4475</v>
      </c>
      <c r="L793" s="36">
        <v>3</v>
      </c>
      <c r="Y793" s="79" t="s">
        <v>38</v>
      </c>
      <c r="AF793" s="36" t="s">
        <v>6991</v>
      </c>
      <c r="AI793" s="36" t="s">
        <v>6992</v>
      </c>
      <c r="AL793" s="36" t="s">
        <v>4475</v>
      </c>
      <c r="AN793" s="36">
        <v>3</v>
      </c>
      <c r="AP793" s="86"/>
      <c r="AQ793" s="88"/>
      <c r="AR793" s="89"/>
      <c r="AS793" s="90"/>
      <c r="AV793" s="88"/>
      <c r="AW793" s="96"/>
      <c r="AX793" s="97"/>
      <c r="AY793" s="93"/>
      <c r="BB793" s="94"/>
      <c r="BG793" s="36" t="s">
        <v>6993</v>
      </c>
    </row>
    <row r="794" spans="1:59" ht="120">
      <c r="A794" s="36" t="s">
        <v>7051</v>
      </c>
      <c r="B794" s="36" t="s">
        <v>7072</v>
      </c>
      <c r="C794" s="36" t="s">
        <v>7188</v>
      </c>
      <c r="D794" s="37">
        <v>167</v>
      </c>
      <c r="E794" s="36">
        <v>1</v>
      </c>
      <c r="F794" s="36" t="s">
        <v>6969</v>
      </c>
      <c r="G794" s="36" t="s">
        <v>6994</v>
      </c>
      <c r="J794" s="36" t="s">
        <v>4475</v>
      </c>
      <c r="L794" s="36">
        <v>4</v>
      </c>
      <c r="Y794" s="79" t="s">
        <v>38</v>
      </c>
      <c r="AF794" s="36" t="s">
        <v>6995</v>
      </c>
      <c r="AI794" s="36" t="s">
        <v>6996</v>
      </c>
      <c r="AL794" s="36" t="s">
        <v>4475</v>
      </c>
      <c r="AN794" s="36">
        <v>4</v>
      </c>
      <c r="AP794" s="86"/>
      <c r="AQ794" s="88"/>
      <c r="AR794" s="89"/>
      <c r="AS794" s="90"/>
      <c r="AV794" s="88"/>
      <c r="AW794" s="96"/>
      <c r="AX794" s="97"/>
      <c r="AY794" s="93"/>
      <c r="BB794" s="94"/>
      <c r="BG794" s="36" t="s">
        <v>6997</v>
      </c>
    </row>
    <row r="795" spans="1:59" ht="24">
      <c r="A795" s="36" t="s">
        <v>7051</v>
      </c>
      <c r="B795" s="36" t="s">
        <v>7073</v>
      </c>
      <c r="C795" s="36" t="s">
        <v>7188</v>
      </c>
      <c r="D795" s="37">
        <v>168</v>
      </c>
      <c r="E795" s="36">
        <v>1</v>
      </c>
      <c r="F795" s="36" t="s">
        <v>6969</v>
      </c>
      <c r="G795" s="36" t="s">
        <v>6998</v>
      </c>
      <c r="H795" s="36" t="s">
        <v>6999</v>
      </c>
      <c r="J795" s="36" t="s">
        <v>31</v>
      </c>
      <c r="AD795" s="36" t="s">
        <v>7000</v>
      </c>
      <c r="AI795" s="36" t="s">
        <v>6998</v>
      </c>
      <c r="AJ795" s="36" t="s">
        <v>6999</v>
      </c>
      <c r="AL795" s="36" t="s">
        <v>31</v>
      </c>
      <c r="AP795" s="86"/>
      <c r="AQ795" s="88"/>
      <c r="AR795" s="89"/>
      <c r="AS795" s="90"/>
      <c r="AV795" s="88"/>
      <c r="AW795" s="96"/>
      <c r="AX795" s="97"/>
      <c r="AY795" s="93">
        <v>2</v>
      </c>
      <c r="AZ795" s="79">
        <v>0</v>
      </c>
      <c r="BB795" s="94"/>
      <c r="BE795" s="36" t="s">
        <v>7000</v>
      </c>
      <c r="BG795" s="36" t="s">
        <v>7001</v>
      </c>
    </row>
    <row r="796" spans="1:59" ht="24">
      <c r="A796" s="36" t="s">
        <v>7051</v>
      </c>
      <c r="B796" s="36" t="s">
        <v>7074</v>
      </c>
      <c r="C796" s="36" t="s">
        <v>7188</v>
      </c>
      <c r="D796" s="37">
        <v>169</v>
      </c>
      <c r="E796" s="36">
        <v>1</v>
      </c>
      <c r="F796" s="36" t="s">
        <v>6969</v>
      </c>
      <c r="G796" s="36" t="s">
        <v>6998</v>
      </c>
      <c r="H796" s="36" t="s">
        <v>6999</v>
      </c>
      <c r="J796" s="36" t="s">
        <v>31</v>
      </c>
      <c r="AD796" s="36" t="s">
        <v>7000</v>
      </c>
      <c r="AI796" s="36" t="s">
        <v>6998</v>
      </c>
      <c r="AJ796" s="36" t="s">
        <v>6999</v>
      </c>
      <c r="AL796" s="36" t="s">
        <v>31</v>
      </c>
      <c r="AP796" s="86"/>
      <c r="AQ796" s="88"/>
      <c r="AR796" s="89"/>
      <c r="AS796" s="90"/>
      <c r="AV796" s="88"/>
      <c r="AW796" s="96"/>
      <c r="AX796" s="97"/>
      <c r="AY796" s="93">
        <v>3</v>
      </c>
      <c r="AZ796" s="79" t="s">
        <v>4925</v>
      </c>
      <c r="BB796" s="94"/>
      <c r="BE796" s="36" t="s">
        <v>7000</v>
      </c>
      <c r="BG796" s="36" t="s">
        <v>7002</v>
      </c>
    </row>
    <row r="797" spans="1:59" ht="24">
      <c r="A797" s="36" t="s">
        <v>7051</v>
      </c>
      <c r="B797" s="36" t="s">
        <v>7075</v>
      </c>
      <c r="C797" s="36" t="s">
        <v>7188</v>
      </c>
      <c r="D797" s="37">
        <v>170</v>
      </c>
      <c r="E797" s="36">
        <v>1</v>
      </c>
      <c r="F797" s="36" t="s">
        <v>6969</v>
      </c>
      <c r="G797" s="36" t="s">
        <v>6998</v>
      </c>
      <c r="H797" s="36" t="s">
        <v>7003</v>
      </c>
      <c r="J797" s="36" t="s">
        <v>31</v>
      </c>
      <c r="AD797" s="36" t="s">
        <v>7000</v>
      </c>
      <c r="AI797" s="36" t="s">
        <v>6998</v>
      </c>
      <c r="AJ797" s="36" t="s">
        <v>7003</v>
      </c>
      <c r="AL797" s="36" t="s">
        <v>31</v>
      </c>
      <c r="AP797" s="86"/>
      <c r="AQ797" s="88"/>
      <c r="AR797" s="89"/>
      <c r="AS797" s="90"/>
      <c r="AV797" s="88"/>
      <c r="AW797" s="96"/>
      <c r="AX797" s="97"/>
      <c r="AY797" s="93">
        <v>3</v>
      </c>
      <c r="AZ797" s="79">
        <v>0</v>
      </c>
      <c r="BB797" s="94"/>
      <c r="BE797" s="36" t="s">
        <v>7000</v>
      </c>
      <c r="BG797" s="36" t="s">
        <v>7004</v>
      </c>
    </row>
    <row r="798" spans="1:59" ht="24">
      <c r="A798" s="36" t="s">
        <v>7051</v>
      </c>
      <c r="B798" s="36" t="s">
        <v>7076</v>
      </c>
      <c r="C798" s="36" t="s">
        <v>7188</v>
      </c>
      <c r="D798" s="37">
        <v>171</v>
      </c>
      <c r="E798" s="36">
        <v>1</v>
      </c>
      <c r="F798" s="36" t="s">
        <v>6969</v>
      </c>
      <c r="G798" s="36" t="s">
        <v>6998</v>
      </c>
      <c r="H798" s="36" t="s">
        <v>7003</v>
      </c>
      <c r="J798" s="36" t="s">
        <v>31</v>
      </c>
      <c r="AD798" s="36" t="s">
        <v>7000</v>
      </c>
      <c r="AI798" s="36" t="s">
        <v>6998</v>
      </c>
      <c r="AJ798" s="36" t="s">
        <v>7003</v>
      </c>
      <c r="AL798" s="36" t="s">
        <v>31</v>
      </c>
      <c r="AP798" s="86"/>
      <c r="AQ798" s="88"/>
      <c r="AR798" s="89"/>
      <c r="AS798" s="90"/>
      <c r="AV798" s="88"/>
      <c r="AW798" s="96"/>
      <c r="AX798" s="97"/>
      <c r="AY798" s="93">
        <v>2</v>
      </c>
      <c r="AZ798" s="79" t="s">
        <v>4925</v>
      </c>
      <c r="BB798" s="94"/>
      <c r="BE798" s="36" t="s">
        <v>7000</v>
      </c>
      <c r="BG798" s="36" t="s">
        <v>7005</v>
      </c>
    </row>
    <row r="799" spans="1:59" ht="24">
      <c r="A799" s="36" t="s">
        <v>7051</v>
      </c>
      <c r="B799" s="36" t="s">
        <v>7077</v>
      </c>
      <c r="C799" s="36" t="s">
        <v>7188</v>
      </c>
      <c r="D799" s="37">
        <v>172</v>
      </c>
      <c r="E799" s="36">
        <v>1</v>
      </c>
      <c r="F799" s="36" t="s">
        <v>6969</v>
      </c>
      <c r="G799" s="36" t="s">
        <v>7006</v>
      </c>
      <c r="J799" s="36" t="s">
        <v>31</v>
      </c>
      <c r="AD799" s="36" t="s">
        <v>7000</v>
      </c>
      <c r="AF799" s="36" t="s">
        <v>7007</v>
      </c>
      <c r="AI799" s="36" t="s">
        <v>7006</v>
      </c>
      <c r="AL799" s="36" t="s">
        <v>31</v>
      </c>
      <c r="AP799" s="86"/>
      <c r="AQ799" s="88"/>
      <c r="AR799" s="89"/>
      <c r="AS799" s="90"/>
      <c r="AV799" s="88"/>
      <c r="AW799" s="96"/>
      <c r="AX799" s="97"/>
      <c r="AY799" s="93">
        <v>2</v>
      </c>
      <c r="AZ799" s="79" t="s">
        <v>4925</v>
      </c>
      <c r="BB799" s="94"/>
      <c r="BE799" s="36" t="s">
        <v>7000</v>
      </c>
      <c r="BG799" s="36" t="s">
        <v>7008</v>
      </c>
    </row>
    <row r="800" spans="1:59" ht="24">
      <c r="A800" s="36" t="s">
        <v>7051</v>
      </c>
      <c r="B800" s="36" t="s">
        <v>7078</v>
      </c>
      <c r="C800" s="36" t="s">
        <v>7188</v>
      </c>
      <c r="D800" s="37">
        <v>173</v>
      </c>
      <c r="E800" s="36">
        <v>1</v>
      </c>
      <c r="F800" s="36" t="s">
        <v>6969</v>
      </c>
      <c r="G800" s="36" t="s">
        <v>7009</v>
      </c>
      <c r="J800" s="36" t="s">
        <v>31</v>
      </c>
      <c r="AD800" s="36" t="s">
        <v>7000</v>
      </c>
      <c r="AI800" s="36" t="s">
        <v>7009</v>
      </c>
      <c r="AL800" s="36" t="s">
        <v>31</v>
      </c>
      <c r="AP800" s="86"/>
      <c r="AQ800" s="88"/>
      <c r="AR800" s="89"/>
      <c r="AS800" s="90"/>
      <c r="AV800" s="88"/>
      <c r="AW800" s="96"/>
      <c r="AX800" s="97"/>
      <c r="AY800" s="93">
        <v>2</v>
      </c>
      <c r="AZ800" s="79" t="s">
        <v>5551</v>
      </c>
      <c r="BB800" s="94">
        <v>1</v>
      </c>
      <c r="BE800" s="36" t="s">
        <v>7000</v>
      </c>
      <c r="BG800" s="36" t="s">
        <v>7010</v>
      </c>
    </row>
    <row r="801" spans="1:59" ht="24">
      <c r="A801" s="36" t="s">
        <v>7051</v>
      </c>
      <c r="B801" s="36" t="s">
        <v>7079</v>
      </c>
      <c r="C801" s="36" t="s">
        <v>7188</v>
      </c>
      <c r="D801" s="37">
        <v>174</v>
      </c>
      <c r="E801" s="36">
        <v>1</v>
      </c>
      <c r="F801" s="36" t="s">
        <v>6969</v>
      </c>
      <c r="G801" s="36" t="s">
        <v>7011</v>
      </c>
      <c r="J801" s="36" t="s">
        <v>31</v>
      </c>
      <c r="AD801" s="36" t="s">
        <v>7000</v>
      </c>
      <c r="AI801" s="36" t="s">
        <v>7011</v>
      </c>
      <c r="AL801" s="36" t="s">
        <v>31</v>
      </c>
      <c r="AP801" s="86"/>
      <c r="AQ801" s="88"/>
      <c r="AR801" s="89"/>
      <c r="AS801" s="90"/>
      <c r="AV801" s="88"/>
      <c r="AW801" s="96"/>
      <c r="AX801" s="97"/>
      <c r="AY801" s="93">
        <v>3</v>
      </c>
      <c r="AZ801" s="79" t="s">
        <v>4925</v>
      </c>
      <c r="BB801" s="94">
        <v>1</v>
      </c>
      <c r="BE801" s="36" t="s">
        <v>7000</v>
      </c>
      <c r="BG801" s="36" t="s">
        <v>7012</v>
      </c>
    </row>
    <row r="802" spans="1:59" ht="48">
      <c r="A802" s="36" t="s">
        <v>7051</v>
      </c>
      <c r="B802" s="36" t="s">
        <v>7080</v>
      </c>
      <c r="C802" s="36" t="s">
        <v>7188</v>
      </c>
      <c r="D802" s="37">
        <v>175</v>
      </c>
      <c r="E802" s="36">
        <v>1</v>
      </c>
      <c r="F802" s="36" t="s">
        <v>6969</v>
      </c>
      <c r="G802" s="36" t="s">
        <v>7013</v>
      </c>
      <c r="J802" s="36" t="s">
        <v>31</v>
      </c>
      <c r="AD802" s="36" t="s">
        <v>7000</v>
      </c>
      <c r="AI802" s="36" t="s">
        <v>7013</v>
      </c>
      <c r="AL802" s="36" t="s">
        <v>31</v>
      </c>
      <c r="AP802" s="86"/>
      <c r="AQ802" s="88"/>
      <c r="AR802" s="89"/>
      <c r="AS802" s="90"/>
      <c r="AV802" s="88"/>
      <c r="AW802" s="96"/>
      <c r="AX802" s="97"/>
      <c r="AY802" s="93">
        <v>1</v>
      </c>
      <c r="AZ802" s="79" t="s">
        <v>4925</v>
      </c>
      <c r="BB802" s="94"/>
      <c r="BE802" s="36" t="s">
        <v>7000</v>
      </c>
      <c r="BG802" s="36" t="s">
        <v>7014</v>
      </c>
    </row>
    <row r="803" spans="1:59" ht="24">
      <c r="A803" s="36" t="s">
        <v>7051</v>
      </c>
      <c r="B803" s="36" t="s">
        <v>7081</v>
      </c>
      <c r="C803" s="36" t="s">
        <v>7188</v>
      </c>
      <c r="D803" s="37">
        <v>176</v>
      </c>
      <c r="E803" s="36">
        <v>1</v>
      </c>
      <c r="F803" s="36" t="s">
        <v>6969</v>
      </c>
      <c r="G803" s="36" t="s">
        <v>7015</v>
      </c>
      <c r="J803" s="36" t="s">
        <v>31</v>
      </c>
      <c r="AD803" s="36" t="s">
        <v>7000</v>
      </c>
      <c r="AF803" s="36" t="s">
        <v>7016</v>
      </c>
      <c r="AI803" s="36" t="s">
        <v>7015</v>
      </c>
      <c r="AL803" s="36" t="s">
        <v>31</v>
      </c>
      <c r="AP803" s="86"/>
      <c r="AQ803" s="88"/>
      <c r="AR803" s="89"/>
      <c r="AS803" s="90"/>
      <c r="AV803" s="88"/>
      <c r="AW803" s="96"/>
      <c r="AX803" s="97"/>
      <c r="AY803" s="93">
        <v>3</v>
      </c>
      <c r="AZ803" s="79" t="s">
        <v>4925</v>
      </c>
      <c r="BB803" s="94"/>
      <c r="BE803" s="36" t="s">
        <v>7000</v>
      </c>
      <c r="BG803" s="36" t="s">
        <v>7017</v>
      </c>
    </row>
    <row r="804" spans="1:59" ht="24">
      <c r="A804" s="36" t="s">
        <v>7051</v>
      </c>
      <c r="B804" s="36" t="s">
        <v>7082</v>
      </c>
      <c r="C804" s="36" t="s">
        <v>7188</v>
      </c>
      <c r="D804" s="37">
        <v>177</v>
      </c>
      <c r="E804" s="36">
        <v>1</v>
      </c>
      <c r="F804" s="36" t="s">
        <v>6969</v>
      </c>
      <c r="G804" s="36" t="s">
        <v>7018</v>
      </c>
      <c r="J804" s="36" t="s">
        <v>31</v>
      </c>
      <c r="AD804" s="36" t="s">
        <v>7000</v>
      </c>
      <c r="AF804" s="36" t="s">
        <v>7019</v>
      </c>
      <c r="AI804" s="36" t="s">
        <v>7018</v>
      </c>
      <c r="AL804" s="36" t="s">
        <v>31</v>
      </c>
      <c r="AP804" s="86"/>
      <c r="AQ804" s="88"/>
      <c r="AR804" s="89"/>
      <c r="AS804" s="90"/>
      <c r="AV804" s="88"/>
      <c r="AW804" s="96"/>
      <c r="AX804" s="97"/>
      <c r="AY804" s="93">
        <v>4</v>
      </c>
      <c r="AZ804" s="79" t="s">
        <v>4925</v>
      </c>
      <c r="BB804" s="94">
        <v>1</v>
      </c>
      <c r="BE804" s="36" t="s">
        <v>7000</v>
      </c>
      <c r="BG804" s="36" t="s">
        <v>7020</v>
      </c>
    </row>
    <row r="805" spans="1:59" ht="24">
      <c r="A805" s="36" t="s">
        <v>7051</v>
      </c>
      <c r="B805" s="36" t="s">
        <v>7083</v>
      </c>
      <c r="C805" s="36" t="s">
        <v>7188</v>
      </c>
      <c r="D805" s="37">
        <v>178</v>
      </c>
      <c r="E805" s="36">
        <v>1</v>
      </c>
      <c r="F805" s="36" t="s">
        <v>6969</v>
      </c>
      <c r="G805" s="36" t="s">
        <v>7021</v>
      </c>
      <c r="J805" s="36" t="s">
        <v>31</v>
      </c>
      <c r="AD805" s="36" t="s">
        <v>7000</v>
      </c>
      <c r="AF805" s="36" t="s">
        <v>7022</v>
      </c>
      <c r="AI805" s="36" t="s">
        <v>7021</v>
      </c>
      <c r="AJ805" s="36" t="s">
        <v>7023</v>
      </c>
      <c r="AL805" s="36" t="s">
        <v>31</v>
      </c>
      <c r="AP805" s="86"/>
      <c r="AQ805" s="88"/>
      <c r="AR805" s="89"/>
      <c r="AS805" s="90"/>
      <c r="AV805" s="88"/>
      <c r="AW805" s="96"/>
      <c r="AX805" s="97"/>
      <c r="AY805" s="93">
        <v>2</v>
      </c>
      <c r="AZ805" s="79">
        <v>1</v>
      </c>
      <c r="BB805" s="94"/>
      <c r="BE805" s="36" t="s">
        <v>7000</v>
      </c>
      <c r="BG805" s="36" t="s">
        <v>7024</v>
      </c>
    </row>
    <row r="806" spans="1:59" ht="48">
      <c r="A806" s="36" t="s">
        <v>7051</v>
      </c>
      <c r="B806" s="36" t="s">
        <v>7084</v>
      </c>
      <c r="C806" s="36" t="s">
        <v>7188</v>
      </c>
      <c r="D806" s="37">
        <v>179</v>
      </c>
      <c r="E806" s="36">
        <v>1</v>
      </c>
      <c r="F806" s="36" t="s">
        <v>6969</v>
      </c>
      <c r="G806" s="36" t="s">
        <v>7021</v>
      </c>
      <c r="J806" s="36" t="s">
        <v>31</v>
      </c>
      <c r="AD806" s="36" t="s">
        <v>7000</v>
      </c>
      <c r="AF806" s="36" t="s">
        <v>7022</v>
      </c>
      <c r="AI806" s="36" t="s">
        <v>7021</v>
      </c>
      <c r="AJ806" s="36" t="s">
        <v>7025</v>
      </c>
      <c r="AL806" s="36" t="s">
        <v>31</v>
      </c>
      <c r="AP806" s="86"/>
      <c r="AQ806" s="88"/>
      <c r="AR806" s="89"/>
      <c r="AS806" s="90"/>
      <c r="AV806" s="88"/>
      <c r="AW806" s="96"/>
      <c r="AX806" s="97"/>
      <c r="AY806" s="93">
        <v>5</v>
      </c>
      <c r="AZ806" s="79">
        <v>1</v>
      </c>
      <c r="BB806" s="94"/>
      <c r="BE806" s="36" t="s">
        <v>7000</v>
      </c>
      <c r="BG806" s="36" t="s">
        <v>7026</v>
      </c>
    </row>
    <row r="807" spans="1:59" ht="36">
      <c r="A807" s="36" t="s">
        <v>7051</v>
      </c>
      <c r="B807" s="36" t="s">
        <v>7085</v>
      </c>
      <c r="C807" s="36" t="s">
        <v>7188</v>
      </c>
      <c r="D807" s="37">
        <v>180</v>
      </c>
      <c r="E807" s="36">
        <v>1</v>
      </c>
      <c r="F807" s="36" t="s">
        <v>6969</v>
      </c>
      <c r="G807" s="36" t="s">
        <v>7021</v>
      </c>
      <c r="J807" s="36" t="s">
        <v>31</v>
      </c>
      <c r="AD807" s="36" t="s">
        <v>7000</v>
      </c>
      <c r="AF807" s="36" t="s">
        <v>7022</v>
      </c>
      <c r="AI807" s="36" t="s">
        <v>7021</v>
      </c>
      <c r="AJ807" s="36" t="s">
        <v>7027</v>
      </c>
      <c r="AL807" s="36" t="s">
        <v>31</v>
      </c>
      <c r="AP807" s="86"/>
      <c r="AQ807" s="88"/>
      <c r="AR807" s="89"/>
      <c r="AS807" s="90"/>
      <c r="AV807" s="88"/>
      <c r="AW807" s="96"/>
      <c r="AX807" s="97"/>
      <c r="AY807" s="93">
        <v>3</v>
      </c>
      <c r="AZ807" s="79">
        <v>1</v>
      </c>
      <c r="BB807" s="94"/>
      <c r="BE807" s="36" t="s">
        <v>7000</v>
      </c>
      <c r="BG807" s="36" t="s">
        <v>7028</v>
      </c>
    </row>
    <row r="808" spans="1:59" ht="36">
      <c r="A808" s="36" t="s">
        <v>7051</v>
      </c>
      <c r="B808" s="36" t="s">
        <v>7086</v>
      </c>
      <c r="C808" s="36" t="s">
        <v>7188</v>
      </c>
      <c r="D808" s="37">
        <v>181</v>
      </c>
      <c r="E808" s="36">
        <v>1</v>
      </c>
      <c r="F808" s="36" t="s">
        <v>6969</v>
      </c>
      <c r="G808" s="36" t="s">
        <v>7021</v>
      </c>
      <c r="J808" s="36" t="s">
        <v>31</v>
      </c>
      <c r="AD808" s="36" t="s">
        <v>7000</v>
      </c>
      <c r="AF808" s="36" t="s">
        <v>7022</v>
      </c>
      <c r="AI808" s="36" t="s">
        <v>7021</v>
      </c>
      <c r="AJ808" s="36" t="s">
        <v>7029</v>
      </c>
      <c r="AL808" s="36" t="s">
        <v>31</v>
      </c>
      <c r="AP808" s="86"/>
      <c r="AQ808" s="88"/>
      <c r="AR808" s="89"/>
      <c r="AS808" s="90"/>
      <c r="AV808" s="88"/>
      <c r="AW808" s="96"/>
      <c r="AX808" s="97"/>
      <c r="AY808" s="93">
        <v>2</v>
      </c>
      <c r="AZ808" s="79">
        <v>1</v>
      </c>
      <c r="BB808" s="94"/>
      <c r="BE808" s="36" t="s">
        <v>7000</v>
      </c>
      <c r="BG808" s="36" t="s">
        <v>7030</v>
      </c>
    </row>
    <row r="809" spans="1:59" ht="72">
      <c r="A809" s="36" t="s">
        <v>7051</v>
      </c>
      <c r="B809" s="36" t="s">
        <v>7087</v>
      </c>
      <c r="C809" s="36" t="s">
        <v>7188</v>
      </c>
      <c r="D809" s="37">
        <v>182</v>
      </c>
      <c r="E809" s="36">
        <v>1</v>
      </c>
      <c r="F809" s="36" t="s">
        <v>6969</v>
      </c>
      <c r="G809" s="36" t="s">
        <v>7031</v>
      </c>
      <c r="H809" s="36" t="s">
        <v>7032</v>
      </c>
      <c r="I809" s="36" t="s">
        <v>4077</v>
      </c>
      <c r="J809" s="36" t="s">
        <v>29</v>
      </c>
      <c r="Q809" s="78">
        <v>3</v>
      </c>
      <c r="R809" s="79">
        <v>3</v>
      </c>
      <c r="T809" s="81">
        <v>4</v>
      </c>
      <c r="V809" s="82">
        <v>1</v>
      </c>
      <c r="W809" s="83">
        <v>1</v>
      </c>
      <c r="AA809" s="85">
        <v>1</v>
      </c>
      <c r="AD809" s="36" t="s">
        <v>7033</v>
      </c>
      <c r="AF809" s="36" t="s">
        <v>7034</v>
      </c>
      <c r="AI809" s="36" t="s">
        <v>7031</v>
      </c>
      <c r="AJ809" s="36" t="s">
        <v>7035</v>
      </c>
      <c r="AK809" s="36" t="s">
        <v>7036</v>
      </c>
      <c r="AL809" s="36" t="s">
        <v>4111</v>
      </c>
      <c r="AP809" s="86" t="s">
        <v>38</v>
      </c>
      <c r="AQ809" s="88"/>
      <c r="AR809" s="89"/>
      <c r="AS809" s="90"/>
      <c r="AU809" s="81">
        <v>1</v>
      </c>
      <c r="AV809" s="88">
        <v>3</v>
      </c>
      <c r="AW809" s="96"/>
      <c r="AX809" s="97"/>
      <c r="AY809" s="93"/>
      <c r="BB809" s="94"/>
      <c r="BE809" s="36" t="s">
        <v>7037</v>
      </c>
      <c r="BG809" s="36" t="s">
        <v>7038</v>
      </c>
    </row>
    <row r="810" spans="1:59" ht="60">
      <c r="A810" s="36" t="s">
        <v>7051</v>
      </c>
      <c r="B810" s="36" t="s">
        <v>7088</v>
      </c>
      <c r="C810" s="36" t="s">
        <v>7188</v>
      </c>
      <c r="D810" s="37">
        <v>183</v>
      </c>
      <c r="E810" s="36">
        <v>2</v>
      </c>
      <c r="F810" s="36" t="s">
        <v>6969</v>
      </c>
      <c r="G810" s="36" t="s">
        <v>7039</v>
      </c>
      <c r="J810" s="36" t="s">
        <v>29</v>
      </c>
      <c r="Q810" s="78">
        <v>4</v>
      </c>
      <c r="R810" s="79">
        <v>4</v>
      </c>
      <c r="T810" s="81">
        <v>5</v>
      </c>
      <c r="V810" s="82">
        <v>3</v>
      </c>
      <c r="W810" s="83">
        <v>3</v>
      </c>
      <c r="AD810" s="36" t="s">
        <v>5545</v>
      </c>
      <c r="AF810" s="36" t="s">
        <v>7040</v>
      </c>
      <c r="AP810" s="86"/>
      <c r="AQ810" s="88"/>
      <c r="AR810" s="89"/>
      <c r="AS810" s="90"/>
      <c r="AV810" s="88"/>
      <c r="AW810" s="96"/>
      <c r="AX810" s="97"/>
      <c r="AY810" s="93"/>
      <c r="BB810" s="94"/>
    </row>
    <row r="811" spans="1:59" ht="36">
      <c r="A811" s="36" t="s">
        <v>7051</v>
      </c>
      <c r="B811" s="36" t="s">
        <v>7089</v>
      </c>
      <c r="C811" s="36" t="s">
        <v>7188</v>
      </c>
      <c r="D811" s="37">
        <v>184</v>
      </c>
      <c r="E811" s="36">
        <v>3</v>
      </c>
      <c r="F811" s="36" t="s">
        <v>6969</v>
      </c>
      <c r="G811" s="36" t="s">
        <v>7041</v>
      </c>
      <c r="J811" s="36" t="s">
        <v>29</v>
      </c>
      <c r="Q811" s="78">
        <v>2</v>
      </c>
      <c r="R811" s="79">
        <v>3</v>
      </c>
      <c r="T811" s="81">
        <v>2</v>
      </c>
      <c r="V811" s="82">
        <v>1</v>
      </c>
      <c r="AD811" s="36" t="s">
        <v>6656</v>
      </c>
      <c r="AF811" s="36" t="s">
        <v>7042</v>
      </c>
      <c r="AP811" s="86"/>
      <c r="AQ811" s="88"/>
      <c r="AR811" s="89"/>
      <c r="AS811" s="90"/>
      <c r="AV811" s="88"/>
      <c r="AW811" s="96"/>
      <c r="AX811" s="97"/>
      <c r="AY811" s="93"/>
      <c r="BB811" s="94"/>
    </row>
    <row r="812" spans="1:59" ht="72">
      <c r="A812" s="36" t="s">
        <v>7051</v>
      </c>
      <c r="B812" s="36" t="s">
        <v>7090</v>
      </c>
      <c r="C812" s="36" t="s">
        <v>7188</v>
      </c>
      <c r="D812" s="37">
        <v>185</v>
      </c>
      <c r="E812" s="36">
        <v>2</v>
      </c>
      <c r="F812" s="36" t="s">
        <v>6969</v>
      </c>
      <c r="G812" s="36" t="s">
        <v>7043</v>
      </c>
      <c r="J812" s="36" t="s">
        <v>28</v>
      </c>
      <c r="AD812" s="36" t="s">
        <v>6179</v>
      </c>
      <c r="AF812" s="36" t="s">
        <v>7044</v>
      </c>
      <c r="AP812" s="86"/>
      <c r="AQ812" s="88"/>
      <c r="AR812" s="89"/>
      <c r="AS812" s="90"/>
      <c r="AV812" s="88"/>
      <c r="AW812" s="96"/>
      <c r="AX812" s="97"/>
      <c r="AY812" s="93"/>
      <c r="BB812" s="94"/>
    </row>
    <row r="813" spans="1:59" ht="72">
      <c r="A813" s="36" t="s">
        <v>7051</v>
      </c>
      <c r="B813" s="36" t="s">
        <v>7091</v>
      </c>
      <c r="C813" s="36" t="s">
        <v>7188</v>
      </c>
      <c r="D813" s="37">
        <v>186</v>
      </c>
      <c r="E813" s="36">
        <v>1</v>
      </c>
      <c r="F813" s="36" t="s">
        <v>6969</v>
      </c>
      <c r="G813" s="36" t="s">
        <v>7045</v>
      </c>
      <c r="J813" s="36" t="s">
        <v>28</v>
      </c>
      <c r="AD813" s="36" t="s">
        <v>4335</v>
      </c>
      <c r="AF813" s="36" t="s">
        <v>7046</v>
      </c>
      <c r="AP813" s="86"/>
      <c r="AQ813" s="88"/>
      <c r="AR813" s="89"/>
      <c r="AS813" s="90"/>
      <c r="AV813" s="88"/>
      <c r="AW813" s="96"/>
      <c r="AX813" s="97"/>
      <c r="AY813" s="93"/>
      <c r="BB813" s="94"/>
    </row>
    <row r="814" spans="1:59" ht="96">
      <c r="A814" s="36" t="s">
        <v>7051</v>
      </c>
      <c r="B814" s="36" t="s">
        <v>7092</v>
      </c>
      <c r="C814" s="36" t="s">
        <v>7188</v>
      </c>
      <c r="D814" s="37">
        <v>187</v>
      </c>
      <c r="E814" s="36">
        <v>1</v>
      </c>
      <c r="F814" s="36" t="s">
        <v>6969</v>
      </c>
      <c r="G814" s="36" t="s">
        <v>7047</v>
      </c>
      <c r="J814" s="36" t="s">
        <v>28</v>
      </c>
      <c r="AD814" s="36" t="s">
        <v>4335</v>
      </c>
      <c r="AF814" s="36" t="s">
        <v>7048</v>
      </c>
      <c r="AP814" s="86"/>
      <c r="AQ814" s="88"/>
      <c r="AR814" s="89"/>
      <c r="AS814" s="90"/>
      <c r="AV814" s="88"/>
      <c r="AW814" s="96"/>
      <c r="AX814" s="97"/>
      <c r="AY814" s="93"/>
      <c r="BB814" s="94"/>
    </row>
    <row r="815" spans="1:59" ht="60">
      <c r="A815" s="36" t="s">
        <v>7051</v>
      </c>
      <c r="B815" s="36" t="s">
        <v>7093</v>
      </c>
      <c r="C815" s="36" t="s">
        <v>7188</v>
      </c>
      <c r="D815" s="37">
        <v>188</v>
      </c>
      <c r="E815" s="36">
        <v>3</v>
      </c>
      <c r="F815" s="36" t="s">
        <v>6969</v>
      </c>
      <c r="G815" s="36" t="s">
        <v>7049</v>
      </c>
      <c r="J815" s="36" t="s">
        <v>28</v>
      </c>
      <c r="AD815" s="36" t="s">
        <v>4335</v>
      </c>
      <c r="AF815" s="36" t="s">
        <v>7050</v>
      </c>
      <c r="AP815" s="86"/>
      <c r="AQ815" s="88"/>
      <c r="AR815" s="89"/>
      <c r="AS815" s="90"/>
      <c r="AV815" s="88"/>
      <c r="AW815" s="96"/>
      <c r="AX815" s="97"/>
      <c r="AY815" s="93"/>
      <c r="BB815" s="94"/>
    </row>
    <row r="816" spans="1:59" ht="36">
      <c r="A816" s="39" t="s">
        <v>7190</v>
      </c>
      <c r="B816" s="39" t="s">
        <v>7191</v>
      </c>
      <c r="C816" s="36" t="s">
        <v>7189</v>
      </c>
      <c r="D816" s="37">
        <v>189</v>
      </c>
      <c r="E816" s="36">
        <v>2</v>
      </c>
      <c r="G816" s="36" t="s">
        <v>7095</v>
      </c>
      <c r="J816" s="36" t="s">
        <v>27</v>
      </c>
      <c r="K816" s="36" t="s">
        <v>4052</v>
      </c>
      <c r="L816" s="36">
        <v>0</v>
      </c>
      <c r="N816" s="75">
        <v>0</v>
      </c>
      <c r="Q816" s="78">
        <v>2</v>
      </c>
      <c r="AB816" s="36" t="s">
        <v>4942</v>
      </c>
      <c r="AD816" s="36" t="s">
        <v>5659</v>
      </c>
      <c r="AF816" s="36" t="s">
        <v>7096</v>
      </c>
      <c r="AP816" s="86"/>
      <c r="AQ816" s="88"/>
      <c r="AR816" s="89"/>
      <c r="AS816" s="90"/>
      <c r="AV816" s="88"/>
      <c r="AW816" s="96"/>
      <c r="AX816" s="97"/>
      <c r="AY816" s="93"/>
      <c r="BB816" s="94"/>
    </row>
    <row r="817" spans="1:59" ht="48">
      <c r="A817" s="41" t="s">
        <v>7190</v>
      </c>
      <c r="B817" s="36" t="s">
        <v>7192</v>
      </c>
      <c r="C817" s="36" t="s">
        <v>7189</v>
      </c>
      <c r="D817" s="37">
        <v>190</v>
      </c>
      <c r="E817" s="36">
        <v>2</v>
      </c>
      <c r="G817" s="36" t="s">
        <v>4140</v>
      </c>
      <c r="J817" s="36" t="s">
        <v>4111</v>
      </c>
      <c r="K817" s="36" t="s">
        <v>4052</v>
      </c>
      <c r="L817" s="36">
        <v>2</v>
      </c>
      <c r="N817" s="75">
        <v>4</v>
      </c>
      <c r="Q817" s="78">
        <v>1</v>
      </c>
      <c r="R817" s="79">
        <v>1</v>
      </c>
      <c r="AB817" s="36" t="s">
        <v>6035</v>
      </c>
      <c r="AC817" s="36" t="s">
        <v>4112</v>
      </c>
      <c r="AD817" s="36" t="s">
        <v>4113</v>
      </c>
      <c r="AF817" s="36" t="s">
        <v>7097</v>
      </c>
      <c r="AP817" s="86"/>
      <c r="AQ817" s="88"/>
      <c r="AR817" s="89"/>
      <c r="AS817" s="90"/>
      <c r="AV817" s="88"/>
      <c r="AW817" s="96"/>
      <c r="AX817" s="97"/>
      <c r="AY817" s="93"/>
      <c r="BB817" s="94"/>
    </row>
    <row r="818" spans="1:59" ht="48">
      <c r="A818" s="41" t="s">
        <v>7190</v>
      </c>
      <c r="B818" s="36" t="s">
        <v>7193</v>
      </c>
      <c r="C818" s="36" t="s">
        <v>7189</v>
      </c>
      <c r="D818" s="37">
        <v>191</v>
      </c>
      <c r="E818" s="36">
        <v>2</v>
      </c>
      <c r="G818" s="36" t="s">
        <v>7098</v>
      </c>
      <c r="J818" s="36" t="s">
        <v>27</v>
      </c>
      <c r="K818" s="36" t="s">
        <v>4053</v>
      </c>
      <c r="L818" s="36">
        <v>0</v>
      </c>
      <c r="N818" s="75">
        <v>2</v>
      </c>
      <c r="O818" s="76">
        <v>2</v>
      </c>
      <c r="AB818" s="36" t="s">
        <v>4948</v>
      </c>
      <c r="AD818" s="36" t="s">
        <v>4194</v>
      </c>
      <c r="AF818" s="36" t="s">
        <v>7099</v>
      </c>
      <c r="AP818" s="86"/>
      <c r="AQ818" s="88"/>
      <c r="AR818" s="89"/>
      <c r="AS818" s="90"/>
      <c r="AV818" s="88"/>
      <c r="AW818" s="96"/>
      <c r="AX818" s="97"/>
      <c r="AY818" s="93"/>
      <c r="BB818" s="94"/>
    </row>
    <row r="819" spans="1:59" ht="72">
      <c r="A819" s="41" t="s">
        <v>7190</v>
      </c>
      <c r="B819" s="36" t="s">
        <v>7194</v>
      </c>
      <c r="C819" s="36" t="s">
        <v>7189</v>
      </c>
      <c r="D819" s="37">
        <v>192</v>
      </c>
      <c r="E819" s="36">
        <v>2</v>
      </c>
      <c r="G819" s="36" t="s">
        <v>6444</v>
      </c>
      <c r="H819" s="36" t="s">
        <v>7100</v>
      </c>
      <c r="J819" s="36" t="s">
        <v>4111</v>
      </c>
      <c r="K819" s="36" t="s">
        <v>4053</v>
      </c>
      <c r="L819" s="36">
        <v>3</v>
      </c>
      <c r="N819" s="75">
        <v>2</v>
      </c>
      <c r="O819" s="76">
        <v>1</v>
      </c>
      <c r="P819" s="77">
        <v>1</v>
      </c>
      <c r="AB819" s="36" t="s">
        <v>6176</v>
      </c>
      <c r="AC819" s="36" t="s">
        <v>4232</v>
      </c>
      <c r="AD819" s="36" t="s">
        <v>4133</v>
      </c>
      <c r="AF819" s="36" t="s">
        <v>7101</v>
      </c>
      <c r="AP819" s="86"/>
      <c r="AQ819" s="88"/>
      <c r="AR819" s="89"/>
      <c r="AS819" s="90"/>
      <c r="AV819" s="88"/>
      <c r="AW819" s="96"/>
      <c r="AX819" s="97"/>
      <c r="AY819" s="93"/>
      <c r="BB819" s="94"/>
    </row>
    <row r="820" spans="1:59" ht="84">
      <c r="A820" s="41" t="s">
        <v>7190</v>
      </c>
      <c r="B820" s="36" t="s">
        <v>7195</v>
      </c>
      <c r="C820" s="36" t="s">
        <v>7189</v>
      </c>
      <c r="D820" s="37">
        <v>193</v>
      </c>
      <c r="E820" s="36">
        <v>2</v>
      </c>
      <c r="G820" s="36" t="s">
        <v>6444</v>
      </c>
      <c r="H820" s="36" t="s">
        <v>7102</v>
      </c>
      <c r="J820" s="36" t="s">
        <v>4111</v>
      </c>
      <c r="K820" s="36" t="s">
        <v>4053</v>
      </c>
      <c r="L820" s="36">
        <v>3</v>
      </c>
      <c r="N820" s="75">
        <v>2</v>
      </c>
      <c r="P820" s="77">
        <v>1</v>
      </c>
      <c r="R820" s="79">
        <v>1</v>
      </c>
      <c r="AB820" s="36" t="s">
        <v>6169</v>
      </c>
      <c r="AC820" s="36" t="s">
        <v>4232</v>
      </c>
      <c r="AD820" s="36" t="s">
        <v>4133</v>
      </c>
      <c r="AF820" s="36" t="s">
        <v>7103</v>
      </c>
      <c r="AP820" s="86"/>
      <c r="AQ820" s="88"/>
      <c r="AR820" s="89"/>
      <c r="AS820" s="90"/>
      <c r="AV820" s="88"/>
      <c r="AW820" s="96"/>
      <c r="AX820" s="97"/>
      <c r="AY820" s="93"/>
      <c r="BB820" s="94"/>
    </row>
    <row r="821" spans="1:59" ht="36">
      <c r="A821" s="41" t="s">
        <v>7190</v>
      </c>
      <c r="B821" s="36" t="s">
        <v>7196</v>
      </c>
      <c r="C821" s="36" t="s">
        <v>7189</v>
      </c>
      <c r="D821" s="37">
        <v>194</v>
      </c>
      <c r="E821" s="36">
        <v>2</v>
      </c>
      <c r="G821" s="36" t="s">
        <v>7104</v>
      </c>
      <c r="J821" s="36" t="s">
        <v>27</v>
      </c>
      <c r="K821" s="36" t="s">
        <v>4055</v>
      </c>
      <c r="L821" s="36">
        <v>0</v>
      </c>
      <c r="N821" s="75">
        <v>2</v>
      </c>
      <c r="Q821" s="78">
        <v>1</v>
      </c>
      <c r="R821" s="79">
        <v>1</v>
      </c>
      <c r="AB821" s="36" t="s">
        <v>6035</v>
      </c>
      <c r="AD821" s="36" t="s">
        <v>5266</v>
      </c>
      <c r="AF821" s="36" t="s">
        <v>7105</v>
      </c>
      <c r="AP821" s="86"/>
      <c r="AQ821" s="88"/>
      <c r="AR821" s="89"/>
      <c r="AS821" s="90"/>
      <c r="AV821" s="88"/>
      <c r="AW821" s="96"/>
      <c r="AX821" s="97"/>
      <c r="AY821" s="93"/>
      <c r="BB821" s="94"/>
    </row>
    <row r="822" spans="1:59" ht="48">
      <c r="A822" s="41" t="s">
        <v>7190</v>
      </c>
      <c r="B822" s="36" t="s">
        <v>7197</v>
      </c>
      <c r="C822" s="36" t="s">
        <v>7189</v>
      </c>
      <c r="D822" s="37">
        <v>195</v>
      </c>
      <c r="E822" s="36">
        <v>2</v>
      </c>
      <c r="G822" s="36" t="s">
        <v>4211</v>
      </c>
      <c r="J822" s="36" t="s">
        <v>4111</v>
      </c>
      <c r="K822" s="36" t="s">
        <v>4055</v>
      </c>
      <c r="L822" s="36">
        <v>2</v>
      </c>
      <c r="N822" s="75">
        <v>2</v>
      </c>
      <c r="R822" s="79">
        <v>2</v>
      </c>
      <c r="S822" s="126">
        <v>1</v>
      </c>
      <c r="AB822" s="36" t="s">
        <v>4949</v>
      </c>
      <c r="AD822" s="36" t="s">
        <v>4209</v>
      </c>
      <c r="AF822" s="36" t="s">
        <v>7106</v>
      </c>
      <c r="AP822" s="86"/>
      <c r="AQ822" s="88"/>
      <c r="AR822" s="89"/>
      <c r="AS822" s="90"/>
      <c r="AV822" s="88"/>
      <c r="AW822" s="96"/>
      <c r="AX822" s="97"/>
      <c r="AY822" s="93"/>
      <c r="BB822" s="94"/>
    </row>
    <row r="823" spans="1:59" ht="24">
      <c r="A823" s="41" t="s">
        <v>7190</v>
      </c>
      <c r="B823" s="36" t="s">
        <v>7198</v>
      </c>
      <c r="C823" s="36" t="s">
        <v>7189</v>
      </c>
      <c r="D823" s="37">
        <v>196</v>
      </c>
      <c r="E823" s="36">
        <v>2</v>
      </c>
      <c r="G823" s="36" t="s">
        <v>7107</v>
      </c>
      <c r="J823" s="36" t="s">
        <v>27</v>
      </c>
      <c r="K823" s="36" t="s">
        <v>4054</v>
      </c>
      <c r="L823" s="36">
        <v>0</v>
      </c>
      <c r="N823" s="75">
        <v>1</v>
      </c>
      <c r="S823" s="126">
        <v>1</v>
      </c>
      <c r="AB823" s="36" t="s">
        <v>4062</v>
      </c>
      <c r="AD823" s="36" t="s">
        <v>4194</v>
      </c>
      <c r="AF823" s="36" t="s">
        <v>7108</v>
      </c>
      <c r="AP823" s="86"/>
      <c r="AQ823" s="88"/>
      <c r="AR823" s="89"/>
      <c r="AS823" s="90"/>
      <c r="AV823" s="88"/>
      <c r="AW823" s="96"/>
      <c r="AX823" s="97"/>
      <c r="AY823" s="93"/>
      <c r="BB823" s="94"/>
    </row>
    <row r="824" spans="1:59" ht="60">
      <c r="A824" s="41" t="s">
        <v>7190</v>
      </c>
      <c r="B824" s="36" t="s">
        <v>7199</v>
      </c>
      <c r="C824" s="36" t="s">
        <v>7189</v>
      </c>
      <c r="D824" s="37">
        <v>197</v>
      </c>
      <c r="E824" s="36">
        <v>2</v>
      </c>
      <c r="G824" s="36" t="s">
        <v>7109</v>
      </c>
      <c r="J824" s="36" t="s">
        <v>27</v>
      </c>
      <c r="K824" s="36" t="s">
        <v>4054</v>
      </c>
      <c r="L824" s="36">
        <v>2</v>
      </c>
      <c r="N824" s="75">
        <v>0</v>
      </c>
      <c r="O824" s="76">
        <v>2</v>
      </c>
      <c r="AB824" s="36" t="s">
        <v>4948</v>
      </c>
      <c r="AD824" s="36" t="s">
        <v>4133</v>
      </c>
      <c r="AF824" s="36" t="s">
        <v>7110</v>
      </c>
      <c r="AP824" s="86"/>
      <c r="AQ824" s="88"/>
      <c r="AR824" s="89"/>
      <c r="AS824" s="90"/>
      <c r="AV824" s="88"/>
      <c r="AW824" s="96"/>
      <c r="AX824" s="97"/>
      <c r="AY824" s="93"/>
      <c r="BB824" s="94"/>
    </row>
    <row r="825" spans="1:59" ht="48">
      <c r="A825" s="41" t="s">
        <v>7190</v>
      </c>
      <c r="B825" s="36" t="s">
        <v>7200</v>
      </c>
      <c r="C825" s="36" t="s">
        <v>7189</v>
      </c>
      <c r="D825" s="37">
        <v>198</v>
      </c>
      <c r="E825" s="36">
        <v>2</v>
      </c>
      <c r="G825" s="36" t="s">
        <v>7111</v>
      </c>
      <c r="H825" s="36" t="s">
        <v>7112</v>
      </c>
      <c r="I825" s="36" t="s">
        <v>4077</v>
      </c>
      <c r="J825" s="36" t="s">
        <v>4111</v>
      </c>
      <c r="K825" s="36" t="s">
        <v>4056</v>
      </c>
      <c r="L825" s="36">
        <v>0</v>
      </c>
      <c r="N825" s="75">
        <v>2</v>
      </c>
      <c r="P825" s="77">
        <v>1</v>
      </c>
      <c r="T825" s="81">
        <v>2</v>
      </c>
      <c r="U825" s="76">
        <v>2</v>
      </c>
      <c r="AB825" s="36" t="s">
        <v>4059</v>
      </c>
      <c r="AC825" s="36" t="s">
        <v>25</v>
      </c>
      <c r="AD825" s="36" t="s">
        <v>6820</v>
      </c>
      <c r="AF825" s="36" t="s">
        <v>7113</v>
      </c>
      <c r="AP825" s="86"/>
      <c r="AQ825" s="88"/>
      <c r="AR825" s="89"/>
      <c r="AS825" s="90"/>
      <c r="AV825" s="88"/>
      <c r="AW825" s="96"/>
      <c r="AX825" s="97"/>
      <c r="AY825" s="93"/>
      <c r="BB825" s="94"/>
    </row>
    <row r="826" spans="1:59" ht="72">
      <c r="A826" s="41" t="s">
        <v>7190</v>
      </c>
      <c r="B826" s="36" t="s">
        <v>7201</v>
      </c>
      <c r="C826" s="36" t="s">
        <v>7189</v>
      </c>
      <c r="D826" s="37">
        <v>199</v>
      </c>
      <c r="E826" s="36">
        <v>2</v>
      </c>
      <c r="G826" s="36" t="s">
        <v>7114</v>
      </c>
      <c r="J826" s="36" t="s">
        <v>27</v>
      </c>
      <c r="K826" s="36" t="s">
        <v>4056</v>
      </c>
      <c r="L826" s="36">
        <v>2</v>
      </c>
      <c r="N826" s="75">
        <v>2</v>
      </c>
      <c r="O826" s="76">
        <v>1</v>
      </c>
      <c r="R826" s="79">
        <v>1</v>
      </c>
      <c r="AB826" s="36" t="s">
        <v>6042</v>
      </c>
      <c r="AD826" s="36" t="s">
        <v>7115</v>
      </c>
      <c r="AF826" s="36" t="s">
        <v>7116</v>
      </c>
      <c r="AP826" s="86"/>
      <c r="AQ826" s="88"/>
      <c r="AR826" s="89"/>
      <c r="AS826" s="90"/>
      <c r="AV826" s="88"/>
      <c r="AW826" s="96"/>
      <c r="AX826" s="97"/>
      <c r="AY826" s="93"/>
      <c r="BB826" s="94"/>
    </row>
    <row r="827" spans="1:59" ht="84">
      <c r="A827" s="41" t="s">
        <v>7190</v>
      </c>
      <c r="B827" s="36" t="s">
        <v>7202</v>
      </c>
      <c r="C827" s="36" t="s">
        <v>7189</v>
      </c>
      <c r="D827" s="37">
        <v>200</v>
      </c>
      <c r="E827" s="36">
        <v>1</v>
      </c>
      <c r="F827" s="36" t="s">
        <v>7117</v>
      </c>
      <c r="G827" s="36" t="s">
        <v>7117</v>
      </c>
      <c r="J827" s="36" t="s">
        <v>4472</v>
      </c>
      <c r="K827" s="36" t="s">
        <v>6280</v>
      </c>
      <c r="AF827" s="36" t="s">
        <v>7118</v>
      </c>
      <c r="AI827" s="36" t="s">
        <v>7117</v>
      </c>
      <c r="AL827" s="36" t="s">
        <v>4472</v>
      </c>
      <c r="AM827" s="36" t="s">
        <v>6280</v>
      </c>
      <c r="AP827" s="86"/>
      <c r="AQ827" s="88"/>
      <c r="AR827" s="89"/>
      <c r="AS827" s="90"/>
      <c r="AV827" s="88"/>
      <c r="AW827" s="96"/>
      <c r="AX827" s="97"/>
      <c r="AY827" s="93"/>
      <c r="BB827" s="94"/>
      <c r="BG827" s="36" t="s">
        <v>7119</v>
      </c>
    </row>
    <row r="828" spans="1:59" ht="60">
      <c r="A828" s="41" t="s">
        <v>7190</v>
      </c>
      <c r="B828" s="36" t="s">
        <v>7203</v>
      </c>
      <c r="C828" s="36" t="s">
        <v>7189</v>
      </c>
      <c r="D828" s="37">
        <v>201</v>
      </c>
      <c r="E828" s="36">
        <v>1</v>
      </c>
      <c r="F828" s="36" t="s">
        <v>7117</v>
      </c>
      <c r="G828" s="36" t="s">
        <v>7120</v>
      </c>
      <c r="J828" s="36" t="s">
        <v>4473</v>
      </c>
      <c r="K828" s="36" t="s">
        <v>6280</v>
      </c>
      <c r="L828" s="36">
        <v>1</v>
      </c>
      <c r="Z828" s="81">
        <v>6</v>
      </c>
      <c r="AF828" s="36" t="s">
        <v>7121</v>
      </c>
      <c r="AI828" s="36" t="s">
        <v>7122</v>
      </c>
      <c r="AL828" s="36" t="s">
        <v>4473</v>
      </c>
      <c r="AM828" s="36" t="s">
        <v>6280</v>
      </c>
      <c r="AN828" s="36">
        <v>1</v>
      </c>
      <c r="AP828" s="86"/>
      <c r="AQ828" s="88"/>
      <c r="AR828" s="89"/>
      <c r="AS828" s="90"/>
      <c r="AV828" s="88"/>
      <c r="AW828" s="96"/>
      <c r="AX828" s="97"/>
      <c r="AY828" s="93"/>
      <c r="BB828" s="94"/>
      <c r="BG828" s="36" t="s">
        <v>7123</v>
      </c>
    </row>
    <row r="829" spans="1:59" ht="84">
      <c r="A829" s="41" t="s">
        <v>7190</v>
      </c>
      <c r="B829" s="36" t="s">
        <v>7204</v>
      </c>
      <c r="C829" s="36" t="s">
        <v>7189</v>
      </c>
      <c r="D829" s="37">
        <v>202</v>
      </c>
      <c r="E829" s="36">
        <v>1</v>
      </c>
      <c r="F829" s="36" t="s">
        <v>7117</v>
      </c>
      <c r="G829" s="36" t="s">
        <v>7124</v>
      </c>
      <c r="J829" s="36" t="s">
        <v>4473</v>
      </c>
      <c r="K829" s="36" t="s">
        <v>6280</v>
      </c>
      <c r="L829" s="36">
        <v>2</v>
      </c>
      <c r="Z829" s="81">
        <v>5</v>
      </c>
      <c r="AF829" s="36" t="s">
        <v>7121</v>
      </c>
      <c r="AI829" s="36" t="s">
        <v>7125</v>
      </c>
      <c r="AL829" s="36" t="s">
        <v>4473</v>
      </c>
      <c r="AM829" s="36" t="s">
        <v>6280</v>
      </c>
      <c r="AN829" s="36">
        <v>2</v>
      </c>
      <c r="AP829" s="86"/>
      <c r="AQ829" s="88"/>
      <c r="AR829" s="89"/>
      <c r="AS829" s="90"/>
      <c r="AV829" s="88"/>
      <c r="AW829" s="96"/>
      <c r="AX829" s="97"/>
      <c r="AY829" s="93"/>
      <c r="BB829" s="94"/>
      <c r="BG829" s="36" t="s">
        <v>7126</v>
      </c>
    </row>
    <row r="830" spans="1:59" ht="60">
      <c r="A830" s="41" t="s">
        <v>7190</v>
      </c>
      <c r="B830" s="36" t="s">
        <v>7205</v>
      </c>
      <c r="C830" s="36" t="s">
        <v>7189</v>
      </c>
      <c r="D830" s="37">
        <v>203</v>
      </c>
      <c r="E830" s="36">
        <v>1</v>
      </c>
      <c r="F830" s="36" t="s">
        <v>7117</v>
      </c>
      <c r="G830" s="36" t="s">
        <v>7127</v>
      </c>
      <c r="J830" s="36" t="s">
        <v>4473</v>
      </c>
      <c r="K830" s="36" t="s">
        <v>6280</v>
      </c>
      <c r="L830" s="36">
        <v>3</v>
      </c>
      <c r="Z830" s="81">
        <v>5</v>
      </c>
      <c r="AF830" s="36" t="s">
        <v>7121</v>
      </c>
      <c r="AI830" s="36" t="s">
        <v>7128</v>
      </c>
      <c r="AL830" s="36" t="s">
        <v>4473</v>
      </c>
      <c r="AM830" s="36" t="s">
        <v>6280</v>
      </c>
      <c r="AN830" s="36">
        <v>3</v>
      </c>
      <c r="AP830" s="86"/>
      <c r="AQ830" s="88"/>
      <c r="AR830" s="89"/>
      <c r="AS830" s="90"/>
      <c r="AV830" s="88"/>
      <c r="AW830" s="96"/>
      <c r="AX830" s="97"/>
      <c r="AY830" s="93"/>
      <c r="BB830" s="94"/>
      <c r="BG830" s="36" t="s">
        <v>7129</v>
      </c>
    </row>
    <row r="831" spans="1:59" ht="216">
      <c r="A831" s="41" t="s">
        <v>7190</v>
      </c>
      <c r="B831" s="36" t="s">
        <v>7206</v>
      </c>
      <c r="C831" s="36" t="s">
        <v>7189</v>
      </c>
      <c r="D831" s="37">
        <v>204</v>
      </c>
      <c r="E831" s="36">
        <v>1</v>
      </c>
      <c r="F831" s="36" t="s">
        <v>7117</v>
      </c>
      <c r="G831" s="36" t="s">
        <v>7130</v>
      </c>
      <c r="J831" s="36" t="s">
        <v>4475</v>
      </c>
      <c r="K831" s="36" t="s">
        <v>6280</v>
      </c>
      <c r="L831" s="36">
        <v>1</v>
      </c>
      <c r="Y831" s="79" t="s">
        <v>5551</v>
      </c>
      <c r="AF831" s="36" t="s">
        <v>7131</v>
      </c>
      <c r="AI831" s="36" t="s">
        <v>7132</v>
      </c>
      <c r="AL831" s="36" t="s">
        <v>4475</v>
      </c>
      <c r="AM831" s="36" t="s">
        <v>6280</v>
      </c>
      <c r="AN831" s="36">
        <v>1</v>
      </c>
      <c r="AP831" s="86"/>
      <c r="AQ831" s="88"/>
      <c r="AR831" s="89"/>
      <c r="AS831" s="90"/>
      <c r="AV831" s="88"/>
      <c r="AW831" s="96"/>
      <c r="AX831" s="97"/>
      <c r="AY831" s="93"/>
      <c r="BB831" s="94"/>
      <c r="BG831" s="36" t="s">
        <v>7133</v>
      </c>
    </row>
    <row r="832" spans="1:59" ht="216">
      <c r="A832" s="41" t="s">
        <v>7190</v>
      </c>
      <c r="B832" s="36" t="s">
        <v>7207</v>
      </c>
      <c r="C832" s="36" t="s">
        <v>7189</v>
      </c>
      <c r="D832" s="37">
        <v>205</v>
      </c>
      <c r="E832" s="36">
        <v>1</v>
      </c>
      <c r="F832" s="36" t="s">
        <v>7117</v>
      </c>
      <c r="G832" s="36" t="s">
        <v>7134</v>
      </c>
      <c r="J832" s="36" t="s">
        <v>4475</v>
      </c>
      <c r="K832" s="36" t="s">
        <v>6280</v>
      </c>
      <c r="L832" s="36">
        <v>1</v>
      </c>
      <c r="Y832" s="79" t="s">
        <v>5551</v>
      </c>
      <c r="AF832" s="36" t="s">
        <v>7131</v>
      </c>
      <c r="AI832" s="36" t="s">
        <v>7135</v>
      </c>
      <c r="AL832" s="36" t="s">
        <v>4475</v>
      </c>
      <c r="AM832" s="36" t="s">
        <v>6280</v>
      </c>
      <c r="AN832" s="36">
        <v>1</v>
      </c>
      <c r="AP832" s="86"/>
      <c r="AQ832" s="88"/>
      <c r="AR832" s="89"/>
      <c r="AS832" s="90"/>
      <c r="AV832" s="88"/>
      <c r="AW832" s="96"/>
      <c r="AX832" s="97"/>
      <c r="AY832" s="93"/>
      <c r="BB832" s="94"/>
      <c r="BG832" s="36" t="s">
        <v>7136</v>
      </c>
    </row>
    <row r="833" spans="1:59" ht="48">
      <c r="A833" s="41" t="s">
        <v>7190</v>
      </c>
      <c r="B833" s="36" t="s">
        <v>7208</v>
      </c>
      <c r="C833" s="36" t="s">
        <v>7189</v>
      </c>
      <c r="D833" s="37">
        <v>206</v>
      </c>
      <c r="E833" s="36">
        <v>1</v>
      </c>
      <c r="F833" s="36" t="s">
        <v>7117</v>
      </c>
      <c r="G833" s="36" t="s">
        <v>7137</v>
      </c>
      <c r="J833" s="36" t="s">
        <v>4475</v>
      </c>
      <c r="K833" s="36" t="s">
        <v>6280</v>
      </c>
      <c r="L833" s="36">
        <v>2</v>
      </c>
      <c r="Y833" s="79" t="s">
        <v>38</v>
      </c>
      <c r="AF833" s="36" t="s">
        <v>7138</v>
      </c>
      <c r="AI833" s="36" t="s">
        <v>7139</v>
      </c>
      <c r="AL833" s="36" t="s">
        <v>4475</v>
      </c>
      <c r="AM833" s="36" t="s">
        <v>6280</v>
      </c>
      <c r="AN833" s="36">
        <v>2</v>
      </c>
      <c r="AP833" s="86"/>
      <c r="AQ833" s="88"/>
      <c r="AR833" s="89"/>
      <c r="AS833" s="90"/>
      <c r="AV833" s="88"/>
      <c r="AW833" s="96"/>
      <c r="AX833" s="97"/>
      <c r="AY833" s="93"/>
      <c r="BB833" s="94"/>
      <c r="BG833" s="36" t="s">
        <v>7140</v>
      </c>
    </row>
    <row r="834" spans="1:59" ht="60">
      <c r="A834" s="41" t="s">
        <v>7190</v>
      </c>
      <c r="B834" s="36" t="s">
        <v>7209</v>
      </c>
      <c r="C834" s="36" t="s">
        <v>7189</v>
      </c>
      <c r="D834" s="37">
        <v>207</v>
      </c>
      <c r="E834" s="36">
        <v>1</v>
      </c>
      <c r="F834" s="36" t="s">
        <v>7117</v>
      </c>
      <c r="G834" s="36" t="s">
        <v>7141</v>
      </c>
      <c r="J834" s="36" t="s">
        <v>4475</v>
      </c>
      <c r="K834" s="36" t="s">
        <v>6280</v>
      </c>
      <c r="L834" s="36">
        <v>2</v>
      </c>
      <c r="Y834" s="79" t="s">
        <v>38</v>
      </c>
      <c r="AF834" s="36" t="s">
        <v>7142</v>
      </c>
      <c r="AI834" s="36" t="s">
        <v>7143</v>
      </c>
      <c r="AL834" s="36" t="s">
        <v>4475</v>
      </c>
      <c r="AM834" s="36" t="s">
        <v>6280</v>
      </c>
      <c r="AN834" s="36">
        <v>2</v>
      </c>
      <c r="AP834" s="86"/>
      <c r="AQ834" s="88"/>
      <c r="AR834" s="89"/>
      <c r="AS834" s="90"/>
      <c r="AV834" s="88"/>
      <c r="AW834" s="96"/>
      <c r="AX834" s="97"/>
      <c r="AY834" s="93"/>
      <c r="BB834" s="94"/>
      <c r="BG834" s="36" t="s">
        <v>7140</v>
      </c>
    </row>
    <row r="835" spans="1:59" ht="36">
      <c r="A835" s="41" t="s">
        <v>7190</v>
      </c>
      <c r="B835" s="36" t="s">
        <v>7210</v>
      </c>
      <c r="C835" s="36" t="s">
        <v>7189</v>
      </c>
      <c r="D835" s="37">
        <v>208</v>
      </c>
      <c r="E835" s="36">
        <v>1</v>
      </c>
      <c r="F835" s="36" t="s">
        <v>7117</v>
      </c>
      <c r="G835" s="36" t="s">
        <v>7144</v>
      </c>
      <c r="J835" s="36" t="s">
        <v>31</v>
      </c>
      <c r="K835" s="36" t="s">
        <v>6280</v>
      </c>
      <c r="AD835" s="36" t="s">
        <v>7145</v>
      </c>
      <c r="AI835" s="36" t="s">
        <v>7144</v>
      </c>
      <c r="AL835" s="36" t="s">
        <v>31</v>
      </c>
      <c r="AM835" s="36" t="s">
        <v>6280</v>
      </c>
      <c r="AP835" s="86"/>
      <c r="AQ835" s="88"/>
      <c r="AR835" s="89"/>
      <c r="AS835" s="90"/>
      <c r="AV835" s="88"/>
      <c r="AW835" s="96"/>
      <c r="AX835" s="97"/>
      <c r="AY835" s="93">
        <v>2</v>
      </c>
      <c r="AZ835" s="79" t="s">
        <v>4927</v>
      </c>
      <c r="BB835" s="94"/>
      <c r="BE835" s="36" t="s">
        <v>7145</v>
      </c>
      <c r="BG835" s="36" t="s">
        <v>7146</v>
      </c>
    </row>
    <row r="836" spans="1:59" ht="48">
      <c r="A836" s="41" t="s">
        <v>7190</v>
      </c>
      <c r="B836" s="36" t="s">
        <v>7211</v>
      </c>
      <c r="C836" s="36" t="s">
        <v>7189</v>
      </c>
      <c r="D836" s="37">
        <v>209</v>
      </c>
      <c r="E836" s="36">
        <v>1</v>
      </c>
      <c r="F836" s="36" t="s">
        <v>7117</v>
      </c>
      <c r="G836" s="36" t="s">
        <v>7147</v>
      </c>
      <c r="J836" s="36" t="s">
        <v>31</v>
      </c>
      <c r="K836" s="36" t="s">
        <v>6280</v>
      </c>
      <c r="AD836" s="36" t="s">
        <v>7145</v>
      </c>
      <c r="AI836" s="36" t="s">
        <v>7147</v>
      </c>
      <c r="AL836" s="36" t="s">
        <v>31</v>
      </c>
      <c r="AM836" s="36" t="s">
        <v>6280</v>
      </c>
      <c r="AP836" s="86"/>
      <c r="AQ836" s="88"/>
      <c r="AR836" s="89"/>
      <c r="AS836" s="90"/>
      <c r="AV836" s="88"/>
      <c r="AW836" s="96"/>
      <c r="AX836" s="97"/>
      <c r="AY836" s="93">
        <v>3</v>
      </c>
      <c r="AZ836" s="79" t="s">
        <v>4927</v>
      </c>
      <c r="BB836" s="94"/>
      <c r="BE836" s="36" t="s">
        <v>7145</v>
      </c>
      <c r="BG836" s="36" t="s">
        <v>7148</v>
      </c>
    </row>
    <row r="837" spans="1:59" ht="24">
      <c r="A837" s="41" t="s">
        <v>7190</v>
      </c>
      <c r="B837" s="36" t="s">
        <v>7212</v>
      </c>
      <c r="C837" s="36" t="s">
        <v>7189</v>
      </c>
      <c r="D837" s="37">
        <v>210</v>
      </c>
      <c r="E837" s="36">
        <v>1</v>
      </c>
      <c r="F837" s="36" t="s">
        <v>7117</v>
      </c>
      <c r="G837" s="36" t="s">
        <v>7147</v>
      </c>
      <c r="J837" s="36" t="s">
        <v>31</v>
      </c>
      <c r="K837" s="36" t="s">
        <v>6280</v>
      </c>
      <c r="AD837" s="36" t="s">
        <v>7145</v>
      </c>
      <c r="AI837" s="36" t="s">
        <v>7147</v>
      </c>
      <c r="AL837" s="36" t="s">
        <v>31</v>
      </c>
      <c r="AM837" s="36" t="s">
        <v>6280</v>
      </c>
      <c r="AP837" s="86"/>
      <c r="AQ837" s="88"/>
      <c r="AR837" s="89"/>
      <c r="AS837" s="90"/>
      <c r="AV837" s="88"/>
      <c r="AW837" s="96"/>
      <c r="AX837" s="97"/>
      <c r="AY837" s="93">
        <v>2</v>
      </c>
      <c r="AZ837" s="79" t="s">
        <v>4927</v>
      </c>
      <c r="BB837" s="94"/>
      <c r="BE837" s="36" t="s">
        <v>7145</v>
      </c>
      <c r="BG837" s="36" t="s">
        <v>7149</v>
      </c>
    </row>
    <row r="838" spans="1:59" ht="36">
      <c r="A838" s="41" t="s">
        <v>7190</v>
      </c>
      <c r="B838" s="36" t="s">
        <v>7213</v>
      </c>
      <c r="C838" s="36" t="s">
        <v>7189</v>
      </c>
      <c r="D838" s="37">
        <v>211</v>
      </c>
      <c r="E838" s="36">
        <v>1</v>
      </c>
      <c r="F838" s="36" t="s">
        <v>7117</v>
      </c>
      <c r="G838" s="36" t="s">
        <v>7150</v>
      </c>
      <c r="H838" s="36" t="s">
        <v>7151</v>
      </c>
      <c r="J838" s="36" t="s">
        <v>31</v>
      </c>
      <c r="K838" s="36" t="s">
        <v>6280</v>
      </c>
      <c r="AD838" s="36" t="s">
        <v>7152</v>
      </c>
      <c r="AI838" s="36" t="s">
        <v>7150</v>
      </c>
      <c r="AJ838" s="36" t="s">
        <v>7151</v>
      </c>
      <c r="AL838" s="36" t="s">
        <v>31</v>
      </c>
      <c r="AM838" s="36" t="s">
        <v>6280</v>
      </c>
      <c r="AP838" s="86"/>
      <c r="AQ838" s="88"/>
      <c r="AR838" s="89"/>
      <c r="AS838" s="90"/>
      <c r="AV838" s="88"/>
      <c r="AW838" s="96"/>
      <c r="AX838" s="97"/>
      <c r="AY838" s="93">
        <v>3</v>
      </c>
      <c r="AZ838" s="79" t="s">
        <v>4927</v>
      </c>
      <c r="BB838" s="94">
        <v>1</v>
      </c>
      <c r="BE838" s="36" t="s">
        <v>7152</v>
      </c>
      <c r="BG838" s="36" t="s">
        <v>7153</v>
      </c>
    </row>
    <row r="839" spans="1:59" ht="24">
      <c r="A839" s="41" t="s">
        <v>7190</v>
      </c>
      <c r="B839" s="36" t="s">
        <v>7214</v>
      </c>
      <c r="C839" s="36" t="s">
        <v>7189</v>
      </c>
      <c r="D839" s="37">
        <v>212</v>
      </c>
      <c r="E839" s="36">
        <v>1</v>
      </c>
      <c r="F839" s="36" t="s">
        <v>7117</v>
      </c>
      <c r="G839" s="36" t="s">
        <v>7154</v>
      </c>
      <c r="J839" s="36" t="s">
        <v>31</v>
      </c>
      <c r="K839" s="36" t="s">
        <v>6280</v>
      </c>
      <c r="AD839" s="36" t="s">
        <v>7145</v>
      </c>
      <c r="AI839" s="36" t="s">
        <v>7154</v>
      </c>
      <c r="AL839" s="36" t="s">
        <v>31</v>
      </c>
      <c r="AM839" s="36" t="s">
        <v>6280</v>
      </c>
      <c r="AP839" s="86"/>
      <c r="AQ839" s="88"/>
      <c r="AR839" s="89"/>
      <c r="AS839" s="90"/>
      <c r="AV839" s="88"/>
      <c r="AW839" s="96"/>
      <c r="AX839" s="97"/>
      <c r="AY839" s="93">
        <v>5</v>
      </c>
      <c r="AZ839" s="79" t="s">
        <v>4927</v>
      </c>
      <c r="BB839" s="94"/>
      <c r="BE839" s="36" t="s">
        <v>7145</v>
      </c>
      <c r="BG839" s="36" t="s">
        <v>7155</v>
      </c>
    </row>
    <row r="840" spans="1:59" ht="24">
      <c r="A840" s="41" t="s">
        <v>7190</v>
      </c>
      <c r="B840" s="36" t="s">
        <v>7215</v>
      </c>
      <c r="C840" s="36" t="s">
        <v>7189</v>
      </c>
      <c r="D840" s="37">
        <v>213</v>
      </c>
      <c r="E840" s="36">
        <v>1</v>
      </c>
      <c r="F840" s="36" t="s">
        <v>7117</v>
      </c>
      <c r="G840" s="36" t="s">
        <v>7154</v>
      </c>
      <c r="J840" s="36" t="s">
        <v>31</v>
      </c>
      <c r="K840" s="36" t="s">
        <v>6280</v>
      </c>
      <c r="AD840" s="36" t="s">
        <v>7145</v>
      </c>
      <c r="AI840" s="36" t="s">
        <v>7154</v>
      </c>
      <c r="AL840" s="36" t="s">
        <v>31</v>
      </c>
      <c r="AM840" s="36" t="s">
        <v>6280</v>
      </c>
      <c r="AP840" s="86"/>
      <c r="AQ840" s="88"/>
      <c r="AR840" s="89"/>
      <c r="AS840" s="90"/>
      <c r="AV840" s="88"/>
      <c r="AW840" s="96"/>
      <c r="AX840" s="97"/>
      <c r="AY840" s="93">
        <v>6</v>
      </c>
      <c r="AZ840" s="79" t="s">
        <v>4927</v>
      </c>
      <c r="BB840" s="94"/>
      <c r="BE840" s="36" t="s">
        <v>7145</v>
      </c>
      <c r="BG840" s="36" t="s">
        <v>7156</v>
      </c>
    </row>
    <row r="841" spans="1:59" ht="24">
      <c r="A841" s="41" t="s">
        <v>7190</v>
      </c>
      <c r="B841" s="36" t="s">
        <v>7216</v>
      </c>
      <c r="C841" s="36" t="s">
        <v>7189</v>
      </c>
      <c r="D841" s="37">
        <v>214</v>
      </c>
      <c r="E841" s="36">
        <v>1</v>
      </c>
      <c r="F841" s="36" t="s">
        <v>7117</v>
      </c>
      <c r="G841" s="36" t="s">
        <v>7157</v>
      </c>
      <c r="J841" s="36" t="s">
        <v>31</v>
      </c>
      <c r="K841" s="36" t="s">
        <v>6280</v>
      </c>
      <c r="AD841" s="36" t="s">
        <v>7145</v>
      </c>
      <c r="AI841" s="36" t="s">
        <v>7157</v>
      </c>
      <c r="AL841" s="36" t="s">
        <v>31</v>
      </c>
      <c r="AM841" s="36" t="s">
        <v>6280</v>
      </c>
      <c r="AP841" s="86"/>
      <c r="AQ841" s="88"/>
      <c r="AR841" s="89"/>
      <c r="AS841" s="90"/>
      <c r="AV841" s="88"/>
      <c r="AW841" s="96"/>
      <c r="AX841" s="97"/>
      <c r="AY841" s="93">
        <v>4</v>
      </c>
      <c r="AZ841" s="79" t="s">
        <v>4927</v>
      </c>
      <c r="BB841" s="94"/>
      <c r="BE841" s="36" t="s">
        <v>7145</v>
      </c>
      <c r="BG841" s="36" t="s">
        <v>7158</v>
      </c>
    </row>
    <row r="842" spans="1:59" ht="36">
      <c r="A842" s="41" t="s">
        <v>7190</v>
      </c>
      <c r="B842" s="36" t="s">
        <v>7217</v>
      </c>
      <c r="C842" s="36" t="s">
        <v>7189</v>
      </c>
      <c r="D842" s="37">
        <v>215</v>
      </c>
      <c r="E842" s="36">
        <v>1</v>
      </c>
      <c r="F842" s="36" t="s">
        <v>7117</v>
      </c>
      <c r="G842" s="36" t="s">
        <v>7159</v>
      </c>
      <c r="J842" s="36" t="s">
        <v>31</v>
      </c>
      <c r="K842" s="36" t="s">
        <v>6280</v>
      </c>
      <c r="AD842" s="36" t="s">
        <v>7152</v>
      </c>
      <c r="AI842" s="36" t="s">
        <v>7159</v>
      </c>
      <c r="AL842" s="36" t="s">
        <v>31</v>
      </c>
      <c r="AM842" s="36" t="s">
        <v>6280</v>
      </c>
      <c r="AP842" s="86"/>
      <c r="AQ842" s="88"/>
      <c r="AR842" s="89"/>
      <c r="AS842" s="90"/>
      <c r="AV842" s="88"/>
      <c r="AW842" s="96"/>
      <c r="AX842" s="97"/>
      <c r="AY842" s="93">
        <v>1</v>
      </c>
      <c r="AZ842" s="79" t="s">
        <v>4965</v>
      </c>
      <c r="BB842" s="94">
        <v>1</v>
      </c>
      <c r="BE842" s="36" t="s">
        <v>7152</v>
      </c>
      <c r="BG842" s="36" t="s">
        <v>7160</v>
      </c>
    </row>
    <row r="843" spans="1:59" ht="24">
      <c r="A843" s="41" t="s">
        <v>7190</v>
      </c>
      <c r="B843" s="36" t="s">
        <v>7218</v>
      </c>
      <c r="C843" s="36" t="s">
        <v>7189</v>
      </c>
      <c r="D843" s="37">
        <v>216</v>
      </c>
      <c r="E843" s="36">
        <v>1</v>
      </c>
      <c r="F843" s="36" t="s">
        <v>7117</v>
      </c>
      <c r="G843" s="36" t="s">
        <v>7161</v>
      </c>
      <c r="J843" s="36" t="s">
        <v>31</v>
      </c>
      <c r="K843" s="36" t="s">
        <v>6280</v>
      </c>
      <c r="AD843" s="36" t="s">
        <v>7152</v>
      </c>
      <c r="AI843" s="36" t="s">
        <v>7161</v>
      </c>
      <c r="AL843" s="36" t="s">
        <v>31</v>
      </c>
      <c r="AM843" s="36" t="s">
        <v>6280</v>
      </c>
      <c r="AP843" s="86"/>
      <c r="AQ843" s="88"/>
      <c r="AR843" s="89"/>
      <c r="AS843" s="90"/>
      <c r="AV843" s="88"/>
      <c r="AW843" s="96"/>
      <c r="AX843" s="97"/>
      <c r="AY843" s="93">
        <v>4</v>
      </c>
      <c r="AZ843" s="79" t="s">
        <v>4927</v>
      </c>
      <c r="BB843" s="94">
        <v>1</v>
      </c>
      <c r="BE843" s="36" t="s">
        <v>7152</v>
      </c>
      <c r="BG843" s="36" t="s">
        <v>7162</v>
      </c>
    </row>
    <row r="844" spans="1:59" ht="24">
      <c r="A844" s="41" t="s">
        <v>7190</v>
      </c>
      <c r="B844" s="43" t="s">
        <v>7219</v>
      </c>
      <c r="C844" s="36" t="s">
        <v>7189</v>
      </c>
      <c r="D844" s="37">
        <v>217</v>
      </c>
      <c r="E844" s="36">
        <v>1</v>
      </c>
      <c r="F844" s="36" t="s">
        <v>7117</v>
      </c>
      <c r="G844" s="36" t="s">
        <v>7163</v>
      </c>
      <c r="J844" s="36" t="s">
        <v>31</v>
      </c>
      <c r="K844" s="36" t="s">
        <v>6280</v>
      </c>
      <c r="AD844" s="36" t="s">
        <v>7145</v>
      </c>
      <c r="AI844" s="36" t="s">
        <v>7163</v>
      </c>
      <c r="AL844" s="36" t="s">
        <v>31</v>
      </c>
      <c r="AM844" s="36" t="s">
        <v>6280</v>
      </c>
      <c r="AP844" s="86"/>
      <c r="AQ844" s="88"/>
      <c r="AR844" s="89"/>
      <c r="AS844" s="90"/>
      <c r="AV844" s="88"/>
      <c r="AW844" s="96"/>
      <c r="AX844" s="97"/>
      <c r="AY844" s="93">
        <v>3</v>
      </c>
      <c r="AZ844" s="79" t="s">
        <v>4927</v>
      </c>
      <c r="BB844" s="94"/>
      <c r="BE844" s="36" t="s">
        <v>7145</v>
      </c>
      <c r="BG844" s="36" t="s">
        <v>7164</v>
      </c>
    </row>
    <row r="845" spans="1:59" ht="24">
      <c r="A845" s="41" t="s">
        <v>7190</v>
      </c>
      <c r="B845" s="36" t="s">
        <v>7220</v>
      </c>
      <c r="C845" s="36" t="s">
        <v>7189</v>
      </c>
      <c r="D845" s="37">
        <v>218</v>
      </c>
      <c r="E845" s="36">
        <v>1</v>
      </c>
      <c r="F845" s="36" t="s">
        <v>7117</v>
      </c>
      <c r="G845" s="36" t="s">
        <v>7163</v>
      </c>
      <c r="J845" s="36" t="s">
        <v>31</v>
      </c>
      <c r="K845" s="36" t="s">
        <v>6280</v>
      </c>
      <c r="AD845" s="36" t="s">
        <v>7145</v>
      </c>
      <c r="AI845" s="36" t="s">
        <v>7163</v>
      </c>
      <c r="AL845" s="36" t="s">
        <v>31</v>
      </c>
      <c r="AM845" s="36" t="s">
        <v>6280</v>
      </c>
      <c r="AP845" s="86"/>
      <c r="AQ845" s="88"/>
      <c r="AR845" s="89"/>
      <c r="AS845" s="90"/>
      <c r="AV845" s="88"/>
      <c r="AW845" s="96"/>
      <c r="AX845" s="97"/>
      <c r="AY845" s="93">
        <v>1</v>
      </c>
      <c r="AZ845" s="79" t="s">
        <v>4927</v>
      </c>
      <c r="BB845" s="94"/>
      <c r="BE845" s="36" t="s">
        <v>7145</v>
      </c>
      <c r="BG845" s="36" t="s">
        <v>7165</v>
      </c>
    </row>
    <row r="846" spans="1:59" ht="48">
      <c r="A846" s="41" t="s">
        <v>7190</v>
      </c>
      <c r="B846" s="36" t="s">
        <v>7221</v>
      </c>
      <c r="C846" s="36" t="s">
        <v>7189</v>
      </c>
      <c r="D846" s="37">
        <v>219</v>
      </c>
      <c r="E846" s="36">
        <v>1</v>
      </c>
      <c r="F846" s="36" t="s">
        <v>7117</v>
      </c>
      <c r="G846" s="36" t="s">
        <v>7166</v>
      </c>
      <c r="J846" s="36" t="s">
        <v>31</v>
      </c>
      <c r="K846" s="36" t="s">
        <v>6280</v>
      </c>
      <c r="AD846" s="36" t="s">
        <v>7145</v>
      </c>
      <c r="AI846" s="36" t="s">
        <v>7166</v>
      </c>
      <c r="AL846" s="36" t="s">
        <v>31</v>
      </c>
      <c r="AM846" s="36" t="s">
        <v>6280</v>
      </c>
      <c r="AP846" s="86"/>
      <c r="AQ846" s="88"/>
      <c r="AR846" s="89"/>
      <c r="AS846" s="90"/>
      <c r="AV846" s="88"/>
      <c r="AW846" s="96"/>
      <c r="AX846" s="97"/>
      <c r="AY846" s="93">
        <v>3</v>
      </c>
      <c r="AZ846" s="79" t="s">
        <v>4927</v>
      </c>
      <c r="BB846" s="94"/>
      <c r="BE846" s="36" t="s">
        <v>7145</v>
      </c>
      <c r="BG846" s="36" t="s">
        <v>7167</v>
      </c>
    </row>
    <row r="847" spans="1:59" ht="48">
      <c r="A847" s="41" t="s">
        <v>7190</v>
      </c>
      <c r="B847" s="36" t="s">
        <v>7222</v>
      </c>
      <c r="C847" s="36" t="s">
        <v>7189</v>
      </c>
      <c r="D847" s="37">
        <v>220</v>
      </c>
      <c r="E847" s="36">
        <v>1</v>
      </c>
      <c r="F847" s="36" t="s">
        <v>7117</v>
      </c>
      <c r="G847" s="36" t="s">
        <v>7168</v>
      </c>
      <c r="J847" s="36" t="s">
        <v>31</v>
      </c>
      <c r="K847" s="36" t="s">
        <v>6280</v>
      </c>
      <c r="AD847" s="36" t="s">
        <v>7152</v>
      </c>
      <c r="AI847" s="36" t="s">
        <v>7168</v>
      </c>
      <c r="AL847" s="36" t="s">
        <v>31</v>
      </c>
      <c r="AM847" s="36" t="s">
        <v>6280</v>
      </c>
      <c r="AP847" s="86"/>
      <c r="AQ847" s="88"/>
      <c r="AR847" s="89"/>
      <c r="AS847" s="90"/>
      <c r="AV847" s="88"/>
      <c r="AW847" s="96"/>
      <c r="AX847" s="97"/>
      <c r="AY847" s="93">
        <v>3</v>
      </c>
      <c r="AZ847" s="79" t="s">
        <v>4927</v>
      </c>
      <c r="BB847" s="94">
        <v>1</v>
      </c>
      <c r="BE847" s="36" t="s">
        <v>7152</v>
      </c>
      <c r="BG847" s="36" t="s">
        <v>7169</v>
      </c>
    </row>
    <row r="848" spans="1:59" ht="60">
      <c r="A848" s="41" t="s">
        <v>7190</v>
      </c>
      <c r="B848" s="36" t="s">
        <v>7223</v>
      </c>
      <c r="C848" s="36" t="s">
        <v>7189</v>
      </c>
      <c r="D848" s="37">
        <v>221</v>
      </c>
      <c r="E848" s="36">
        <v>1</v>
      </c>
      <c r="F848" s="36" t="s">
        <v>7117</v>
      </c>
      <c r="G848" s="36" t="s">
        <v>7170</v>
      </c>
      <c r="H848" s="36" t="s">
        <v>7171</v>
      </c>
      <c r="I848" s="36" t="s">
        <v>4077</v>
      </c>
      <c r="J848" s="36" t="s">
        <v>29</v>
      </c>
      <c r="K848" s="36" t="s">
        <v>6280</v>
      </c>
      <c r="Q848" s="78">
        <v>3</v>
      </c>
      <c r="R848" s="79">
        <v>5</v>
      </c>
      <c r="T848" s="81" t="s">
        <v>38</v>
      </c>
      <c r="W848" s="83">
        <v>1</v>
      </c>
      <c r="AD848" s="36" t="s">
        <v>7172</v>
      </c>
      <c r="AF848" s="36" t="s">
        <v>7173</v>
      </c>
      <c r="AI848" s="36" t="s">
        <v>7170</v>
      </c>
      <c r="AJ848" s="36" t="s">
        <v>7174</v>
      </c>
      <c r="AL848" s="36" t="s">
        <v>29</v>
      </c>
      <c r="AM848" s="36" t="s">
        <v>6280</v>
      </c>
      <c r="AP848" s="86"/>
      <c r="AQ848" s="88"/>
      <c r="AR848" s="89"/>
      <c r="AS848" s="90">
        <v>5</v>
      </c>
      <c r="AT848" s="79">
        <v>3</v>
      </c>
      <c r="AU848" s="81" t="s">
        <v>38</v>
      </c>
      <c r="AV848" s="88"/>
      <c r="AW848" s="96"/>
      <c r="AX848" s="97">
        <v>3</v>
      </c>
      <c r="AY848" s="93"/>
      <c r="BB848" s="94"/>
      <c r="BE848" s="36" t="s">
        <v>7172</v>
      </c>
      <c r="BG848" s="36" t="s">
        <v>7175</v>
      </c>
    </row>
    <row r="849" spans="1:58" ht="24">
      <c r="A849" s="41" t="s">
        <v>7190</v>
      </c>
      <c r="B849" s="36" t="s">
        <v>7224</v>
      </c>
      <c r="C849" s="36" t="s">
        <v>7189</v>
      </c>
      <c r="D849" s="37">
        <v>222</v>
      </c>
      <c r="E849" s="36">
        <v>2</v>
      </c>
      <c r="F849" s="36" t="s">
        <v>7117</v>
      </c>
      <c r="G849" s="36" t="s">
        <v>7176</v>
      </c>
      <c r="J849" s="36" t="s">
        <v>29</v>
      </c>
      <c r="K849" s="36" t="s">
        <v>6280</v>
      </c>
      <c r="Q849" s="78">
        <v>5</v>
      </c>
      <c r="R849" s="79">
        <v>3</v>
      </c>
      <c r="T849" s="81">
        <v>2</v>
      </c>
      <c r="V849" s="82">
        <v>2</v>
      </c>
      <c r="W849" s="83">
        <v>1</v>
      </c>
      <c r="AD849" s="36" t="s">
        <v>4690</v>
      </c>
      <c r="AF849" s="36" t="s">
        <v>7177</v>
      </c>
      <c r="AP849" s="86"/>
      <c r="AQ849" s="88"/>
      <c r="AR849" s="89"/>
      <c r="AS849" s="90"/>
      <c r="AV849" s="88"/>
      <c r="AW849" s="96"/>
      <c r="AX849" s="97"/>
      <c r="AY849" s="93"/>
      <c r="BB849" s="94"/>
    </row>
    <row r="850" spans="1:58" ht="36">
      <c r="A850" s="41" t="s">
        <v>7190</v>
      </c>
      <c r="B850" s="36" t="s">
        <v>7225</v>
      </c>
      <c r="C850" s="36" t="s">
        <v>7189</v>
      </c>
      <c r="D850" s="37">
        <v>223</v>
      </c>
      <c r="E850" s="36">
        <v>2</v>
      </c>
      <c r="F850" s="36" t="s">
        <v>7117</v>
      </c>
      <c r="G850" s="36" t="s">
        <v>7178</v>
      </c>
      <c r="J850" s="36" t="s">
        <v>28</v>
      </c>
      <c r="K850" s="36" t="s">
        <v>6280</v>
      </c>
      <c r="AD850" s="36" t="s">
        <v>4346</v>
      </c>
      <c r="AF850" s="36" t="s">
        <v>7179</v>
      </c>
      <c r="AP850" s="86"/>
      <c r="AQ850" s="88"/>
      <c r="AR850" s="89"/>
      <c r="AS850" s="90"/>
      <c r="AV850" s="88"/>
      <c r="AW850" s="96"/>
      <c r="AX850" s="97"/>
      <c r="AY850" s="93"/>
      <c r="BB850" s="94"/>
    </row>
    <row r="851" spans="1:58" ht="60">
      <c r="A851" s="41" t="s">
        <v>7190</v>
      </c>
      <c r="B851" s="43" t="s">
        <v>7226</v>
      </c>
      <c r="C851" s="36" t="s">
        <v>7189</v>
      </c>
      <c r="D851" s="37">
        <v>224</v>
      </c>
      <c r="E851" s="36">
        <v>3</v>
      </c>
      <c r="F851" s="36" t="s">
        <v>7117</v>
      </c>
      <c r="G851" s="36" t="s">
        <v>7180</v>
      </c>
      <c r="J851" s="36" t="s">
        <v>28</v>
      </c>
      <c r="K851" s="36" t="s">
        <v>6280</v>
      </c>
      <c r="AD851" s="36" t="s">
        <v>4346</v>
      </c>
      <c r="AF851" s="36" t="s">
        <v>7181</v>
      </c>
      <c r="AP851" s="86"/>
      <c r="AQ851" s="88"/>
      <c r="AR851" s="89"/>
      <c r="AS851" s="90"/>
      <c r="AV851" s="88"/>
      <c r="AW851" s="96"/>
      <c r="AX851" s="97"/>
      <c r="AY851" s="93"/>
      <c r="BB851" s="94"/>
    </row>
    <row r="852" spans="1:58" ht="72">
      <c r="A852" s="41" t="s">
        <v>7190</v>
      </c>
      <c r="B852" s="36" t="s">
        <v>7227</v>
      </c>
      <c r="C852" s="36" t="s">
        <v>7189</v>
      </c>
      <c r="D852" s="37">
        <v>225</v>
      </c>
      <c r="E852" s="36">
        <v>3</v>
      </c>
      <c r="F852" s="36" t="s">
        <v>7117</v>
      </c>
      <c r="G852" s="36" t="s">
        <v>7182</v>
      </c>
      <c r="J852" s="36" t="s">
        <v>28</v>
      </c>
      <c r="K852" s="36" t="s">
        <v>6280</v>
      </c>
      <c r="AD852" s="36" t="s">
        <v>5536</v>
      </c>
      <c r="AF852" s="36" t="s">
        <v>7183</v>
      </c>
      <c r="AP852" s="86"/>
      <c r="AQ852" s="88"/>
      <c r="AR852" s="89"/>
      <c r="AS852" s="90"/>
      <c r="AV852" s="88"/>
      <c r="AW852" s="96"/>
      <c r="AX852" s="97"/>
      <c r="AY852" s="93"/>
      <c r="BB852" s="94"/>
    </row>
    <row r="853" spans="1:58" ht="72">
      <c r="A853" s="41" t="s">
        <v>7190</v>
      </c>
      <c r="B853" s="36" t="s">
        <v>7228</v>
      </c>
      <c r="C853" s="36" t="s">
        <v>7189</v>
      </c>
      <c r="D853" s="37">
        <v>226</v>
      </c>
      <c r="E853" s="36">
        <v>2</v>
      </c>
      <c r="F853" s="36" t="s">
        <v>7117</v>
      </c>
      <c r="G853" s="36" t="s">
        <v>4336</v>
      </c>
      <c r="J853" s="36" t="s">
        <v>28</v>
      </c>
      <c r="K853" s="36" t="s">
        <v>6280</v>
      </c>
      <c r="AD853" s="36" t="s">
        <v>4335</v>
      </c>
      <c r="AF853" s="36" t="s">
        <v>4490</v>
      </c>
      <c r="AP853" s="86"/>
      <c r="AQ853" s="88"/>
      <c r="AR853" s="89"/>
      <c r="AS853" s="90"/>
      <c r="AV853" s="88"/>
      <c r="AW853" s="96"/>
      <c r="AX853" s="97"/>
      <c r="AY853" s="93"/>
      <c r="BB853" s="94"/>
    </row>
    <row r="854" spans="1:58" ht="60">
      <c r="A854" s="41" t="s">
        <v>7190</v>
      </c>
      <c r="B854" s="36" t="s">
        <v>7229</v>
      </c>
      <c r="C854" s="36" t="s">
        <v>7189</v>
      </c>
      <c r="D854" s="37">
        <v>227</v>
      </c>
      <c r="E854" s="36">
        <v>4</v>
      </c>
      <c r="F854" s="36" t="s">
        <v>7117</v>
      </c>
      <c r="G854" s="36" t="s">
        <v>7184</v>
      </c>
      <c r="J854" s="36" t="s">
        <v>28</v>
      </c>
      <c r="K854" s="36" t="s">
        <v>26</v>
      </c>
      <c r="M854" s="36" t="s">
        <v>4502</v>
      </c>
      <c r="AD854" s="36" t="s">
        <v>7185</v>
      </c>
      <c r="AF854" s="36" t="s">
        <v>7186</v>
      </c>
      <c r="AP854" s="86"/>
      <c r="AQ854" s="88"/>
      <c r="AR854" s="89"/>
      <c r="AS854" s="90"/>
      <c r="AV854" s="88"/>
      <c r="AW854" s="96"/>
      <c r="AX854" s="97"/>
      <c r="AY854" s="93"/>
      <c r="BB854" s="94"/>
    </row>
    <row r="855" spans="1:58" ht="24">
      <c r="A855" s="36" t="s">
        <v>7230</v>
      </c>
      <c r="B855" s="36" t="s">
        <v>7231</v>
      </c>
      <c r="C855" s="36" t="s">
        <v>7232</v>
      </c>
      <c r="D855" s="36">
        <v>228</v>
      </c>
      <c r="E855" s="36">
        <v>2</v>
      </c>
      <c r="G855" s="36" t="s">
        <v>7233</v>
      </c>
      <c r="J855" s="36" t="s">
        <v>4166</v>
      </c>
      <c r="K855" s="36" t="s">
        <v>4052</v>
      </c>
      <c r="L855" s="36">
        <v>0</v>
      </c>
      <c r="N855" s="36"/>
      <c r="O855" s="131">
        <v>1</v>
      </c>
      <c r="P855" s="132">
        <v>1</v>
      </c>
      <c r="Q855" s="133">
        <v>1</v>
      </c>
      <c r="R855" s="42"/>
      <c r="S855" s="134"/>
      <c r="T855" s="135"/>
      <c r="U855" s="131"/>
      <c r="V855" s="136"/>
      <c r="W855" s="137"/>
      <c r="X855" s="138"/>
      <c r="Y855" s="42"/>
      <c r="Z855" s="135"/>
      <c r="AA855" s="139"/>
      <c r="AB855" s="28" t="s">
        <v>7234</v>
      </c>
      <c r="AD855" s="36" t="s">
        <v>4266</v>
      </c>
      <c r="AE855" s="36"/>
      <c r="AF855" s="36" t="s">
        <v>7235</v>
      </c>
      <c r="AO855" s="37"/>
      <c r="AP855" s="36"/>
      <c r="AQ855" s="142"/>
      <c r="AR855" s="143"/>
      <c r="AS855" s="144"/>
      <c r="AT855" s="42"/>
      <c r="AU855" s="135"/>
      <c r="AV855" s="142"/>
      <c r="AW855" s="149"/>
      <c r="AX855" s="150"/>
      <c r="AY855" s="147"/>
      <c r="AZ855" s="42"/>
      <c r="BA855" s="135"/>
      <c r="BB855" s="148"/>
      <c r="BE855" s="37"/>
      <c r="BF855" s="36"/>
    </row>
    <row r="856" spans="1:58" ht="36">
      <c r="A856" s="36" t="s">
        <v>7230</v>
      </c>
      <c r="B856" s="36" t="s">
        <v>7236</v>
      </c>
      <c r="C856" s="36" t="s">
        <v>7232</v>
      </c>
      <c r="D856" s="36">
        <v>229</v>
      </c>
      <c r="E856" s="36">
        <v>2</v>
      </c>
      <c r="G856" s="36" t="s">
        <v>7237</v>
      </c>
      <c r="J856" s="36" t="s">
        <v>27</v>
      </c>
      <c r="K856" s="36" t="s">
        <v>4052</v>
      </c>
      <c r="L856" s="36">
        <v>1</v>
      </c>
      <c r="N856" s="36">
        <v>0</v>
      </c>
      <c r="O856" s="131">
        <v>1</v>
      </c>
      <c r="P856" s="132"/>
      <c r="Q856" s="133">
        <v>1</v>
      </c>
      <c r="R856" s="42"/>
      <c r="S856" s="134"/>
      <c r="T856" s="135"/>
      <c r="U856" s="131"/>
      <c r="V856" s="136"/>
      <c r="W856" s="137"/>
      <c r="X856" s="138"/>
      <c r="Y856" s="158"/>
      <c r="Z856" s="135"/>
      <c r="AA856" s="139"/>
      <c r="AB856" s="28" t="s">
        <v>6033</v>
      </c>
      <c r="AD856" s="36" t="s">
        <v>7238</v>
      </c>
      <c r="AE856" s="36"/>
      <c r="AF856" s="36" t="s">
        <v>7239</v>
      </c>
      <c r="AO856" s="37"/>
      <c r="AP856" s="36"/>
      <c r="AQ856" s="142"/>
      <c r="AR856" s="143"/>
      <c r="AS856" s="144"/>
      <c r="AT856" s="42"/>
      <c r="AU856" s="135"/>
      <c r="AV856" s="142"/>
      <c r="AW856" s="149"/>
      <c r="AX856" s="150"/>
      <c r="AY856" s="147"/>
      <c r="AZ856" s="42"/>
      <c r="BA856" s="135"/>
      <c r="BB856" s="148"/>
      <c r="BE856" s="37"/>
      <c r="BF856" s="36"/>
    </row>
    <row r="857" spans="1:58" ht="36">
      <c r="A857" s="36" t="s">
        <v>7230</v>
      </c>
      <c r="B857" s="36" t="s">
        <v>7240</v>
      </c>
      <c r="C857" s="36" t="s">
        <v>7232</v>
      </c>
      <c r="D857" s="36">
        <v>230</v>
      </c>
      <c r="E857" s="36">
        <v>2</v>
      </c>
      <c r="G857" s="36" t="s">
        <v>4148</v>
      </c>
      <c r="J857" s="36" t="s">
        <v>4111</v>
      </c>
      <c r="K857" s="36" t="s">
        <v>4052</v>
      </c>
      <c r="L857" s="36">
        <v>3</v>
      </c>
      <c r="N857" s="36">
        <v>2</v>
      </c>
      <c r="O857" s="131">
        <v>2</v>
      </c>
      <c r="P857" s="132"/>
      <c r="Q857" s="133"/>
      <c r="R857" s="42"/>
      <c r="S857" s="134"/>
      <c r="T857" s="135"/>
      <c r="U857" s="131"/>
      <c r="V857" s="136"/>
      <c r="W857" s="137"/>
      <c r="X857" s="138"/>
      <c r="Y857" s="42"/>
      <c r="Z857" s="135"/>
      <c r="AA857" s="139"/>
      <c r="AB857" s="28" t="s">
        <v>4948</v>
      </c>
      <c r="AD857" s="36" t="s">
        <v>4149</v>
      </c>
      <c r="AE857" s="36"/>
      <c r="AF857" s="36" t="s">
        <v>7241</v>
      </c>
      <c r="AO857" s="37"/>
      <c r="AP857" s="36"/>
      <c r="AQ857" s="142"/>
      <c r="AR857" s="143"/>
      <c r="AS857" s="144"/>
      <c r="AT857" s="42"/>
      <c r="AU857" s="135"/>
      <c r="AV857" s="142"/>
      <c r="AW857" s="149"/>
      <c r="AX857" s="150"/>
      <c r="AY857" s="147"/>
      <c r="AZ857" s="42"/>
      <c r="BA857" s="135"/>
      <c r="BB857" s="148"/>
      <c r="BE857" s="37"/>
      <c r="BF857" s="36"/>
    </row>
    <row r="858" spans="1:58" ht="36">
      <c r="A858" s="36" t="s">
        <v>7230</v>
      </c>
      <c r="B858" s="36" t="s">
        <v>7242</v>
      </c>
      <c r="C858" s="36" t="s">
        <v>7232</v>
      </c>
      <c r="D858" s="36">
        <v>231</v>
      </c>
      <c r="E858" s="36">
        <v>2</v>
      </c>
      <c r="G858" s="36" t="s">
        <v>7243</v>
      </c>
      <c r="J858" s="36" t="s">
        <v>4166</v>
      </c>
      <c r="K858" s="36" t="s">
        <v>4053</v>
      </c>
      <c r="L858" s="36">
        <v>0</v>
      </c>
      <c r="N858" s="36"/>
      <c r="O858" s="131">
        <v>1</v>
      </c>
      <c r="P858" s="132">
        <v>1</v>
      </c>
      <c r="Q858" s="133"/>
      <c r="R858" s="42">
        <v>1</v>
      </c>
      <c r="S858" s="134"/>
      <c r="T858" s="135"/>
      <c r="U858" s="131"/>
      <c r="V858" s="136"/>
      <c r="W858" s="137"/>
      <c r="X858" s="138"/>
      <c r="Y858" s="42"/>
      <c r="Z858" s="135"/>
      <c r="AA858" s="139"/>
      <c r="AB858" s="28" t="s">
        <v>7244</v>
      </c>
      <c r="AD858" s="36" t="s">
        <v>4266</v>
      </c>
      <c r="AE858" s="36"/>
      <c r="AF858" s="36" t="s">
        <v>7245</v>
      </c>
      <c r="AO858" s="37"/>
      <c r="AP858" s="36"/>
      <c r="AQ858" s="142"/>
      <c r="AR858" s="143"/>
      <c r="AS858" s="144"/>
      <c r="AT858" s="42"/>
      <c r="AU858" s="135"/>
      <c r="AV858" s="142"/>
      <c r="AW858" s="149"/>
      <c r="AX858" s="150"/>
      <c r="AY858" s="147"/>
      <c r="AZ858" s="42"/>
      <c r="BA858" s="135"/>
      <c r="BB858" s="148"/>
      <c r="BE858" s="37"/>
      <c r="BF858" s="36"/>
    </row>
    <row r="859" spans="1:58" ht="36">
      <c r="A859" s="36" t="s">
        <v>7230</v>
      </c>
      <c r="B859" s="36" t="s">
        <v>7246</v>
      </c>
      <c r="C859" s="36" t="s">
        <v>7232</v>
      </c>
      <c r="D859" s="36">
        <v>232</v>
      </c>
      <c r="E859" s="36">
        <v>2</v>
      </c>
      <c r="G859" s="36" t="s">
        <v>5255</v>
      </c>
      <c r="J859" s="36" t="s">
        <v>27</v>
      </c>
      <c r="K859" s="36" t="s">
        <v>4053</v>
      </c>
      <c r="L859" s="36">
        <v>2</v>
      </c>
      <c r="N859" s="36">
        <v>1</v>
      </c>
      <c r="O859" s="131">
        <v>1</v>
      </c>
      <c r="P859" s="132">
        <v>1</v>
      </c>
      <c r="Q859" s="133"/>
      <c r="R859" s="42">
        <v>1</v>
      </c>
      <c r="S859" s="134"/>
      <c r="T859" s="135"/>
      <c r="U859" s="131"/>
      <c r="V859" s="136"/>
      <c r="W859" s="137"/>
      <c r="X859" s="138"/>
      <c r="Y859" s="42"/>
      <c r="Z859" s="135"/>
      <c r="AA859" s="139"/>
      <c r="AB859" s="28" t="s">
        <v>7244</v>
      </c>
      <c r="AD859" s="36" t="s">
        <v>4198</v>
      </c>
      <c r="AE859" s="36"/>
      <c r="AF859" s="36" t="s">
        <v>7247</v>
      </c>
      <c r="AO859" s="37"/>
      <c r="AP859" s="36"/>
      <c r="AQ859" s="142"/>
      <c r="AR859" s="143"/>
      <c r="AS859" s="144"/>
      <c r="AT859" s="42"/>
      <c r="AU859" s="135"/>
      <c r="AV859" s="142"/>
      <c r="AW859" s="149"/>
      <c r="AX859" s="150"/>
      <c r="AY859" s="147"/>
      <c r="AZ859" s="42"/>
      <c r="BA859" s="135"/>
      <c r="BB859" s="148"/>
      <c r="BE859" s="37"/>
      <c r="BF859" s="36"/>
    </row>
    <row r="860" spans="1:58" ht="48">
      <c r="A860" s="36" t="s">
        <v>7230</v>
      </c>
      <c r="B860" s="36" t="s">
        <v>7248</v>
      </c>
      <c r="C860" s="36" t="s">
        <v>7232</v>
      </c>
      <c r="D860" s="36">
        <v>233</v>
      </c>
      <c r="E860" s="36">
        <v>2</v>
      </c>
      <c r="G860" s="36" t="s">
        <v>7249</v>
      </c>
      <c r="J860" s="36" t="s">
        <v>4166</v>
      </c>
      <c r="K860" s="36" t="s">
        <v>4055</v>
      </c>
      <c r="L860" s="36">
        <v>0</v>
      </c>
      <c r="N860" s="36"/>
      <c r="O860" s="131">
        <v>1</v>
      </c>
      <c r="P860" s="132"/>
      <c r="Q860" s="133">
        <v>1</v>
      </c>
      <c r="R860" s="42">
        <v>1</v>
      </c>
      <c r="S860" s="134"/>
      <c r="T860" s="135"/>
      <c r="U860" s="131"/>
      <c r="V860" s="136"/>
      <c r="W860" s="137"/>
      <c r="X860" s="138"/>
      <c r="Y860" s="42"/>
      <c r="Z860" s="135"/>
      <c r="AA860" s="139"/>
      <c r="AB860" s="28" t="s">
        <v>7250</v>
      </c>
      <c r="AD860" s="36" t="s">
        <v>6457</v>
      </c>
      <c r="AE860" s="36"/>
      <c r="AF860" s="36" t="s">
        <v>7251</v>
      </c>
      <c r="AO860" s="37"/>
      <c r="AP860" s="36"/>
      <c r="AQ860" s="142"/>
      <c r="AR860" s="143"/>
      <c r="AS860" s="144"/>
      <c r="AT860" s="42"/>
      <c r="AU860" s="135"/>
      <c r="AV860" s="142"/>
      <c r="AW860" s="149"/>
      <c r="AX860" s="150"/>
      <c r="AY860" s="147"/>
      <c r="AZ860" s="42"/>
      <c r="BA860" s="135"/>
      <c r="BB860" s="148"/>
      <c r="BE860" s="37"/>
      <c r="BF860" s="36"/>
    </row>
    <row r="861" spans="1:58" ht="60">
      <c r="A861" s="36" t="s">
        <v>7230</v>
      </c>
      <c r="B861" s="36" t="s">
        <v>7252</v>
      </c>
      <c r="C861" s="36" t="s">
        <v>7232</v>
      </c>
      <c r="D861" s="36">
        <v>234</v>
      </c>
      <c r="E861" s="36">
        <v>2</v>
      </c>
      <c r="G861" s="36" t="s">
        <v>4213</v>
      </c>
      <c r="J861" s="36" t="s">
        <v>4111</v>
      </c>
      <c r="K861" s="36" t="s">
        <v>4055</v>
      </c>
      <c r="L861" s="36">
        <v>2</v>
      </c>
      <c r="N861" s="36">
        <v>3</v>
      </c>
      <c r="O861" s="131"/>
      <c r="P861" s="132"/>
      <c r="Q861" s="133">
        <v>1</v>
      </c>
      <c r="R861" s="42">
        <v>1</v>
      </c>
      <c r="S861" s="134"/>
      <c r="T861" s="135"/>
      <c r="U861" s="131"/>
      <c r="V861" s="136"/>
      <c r="W861" s="137"/>
      <c r="X861" s="138"/>
      <c r="Y861" s="42"/>
      <c r="Z861" s="135"/>
      <c r="AA861" s="139"/>
      <c r="AB861" s="28" t="s">
        <v>6035</v>
      </c>
      <c r="AC861" s="36" t="s">
        <v>4112</v>
      </c>
      <c r="AD861" s="36" t="s">
        <v>4777</v>
      </c>
      <c r="AE861" s="36"/>
      <c r="AF861" s="36" t="s">
        <v>7253</v>
      </c>
      <c r="AP861" s="36"/>
      <c r="AQ861" s="131"/>
      <c r="AR861" s="132"/>
      <c r="AS861" s="133"/>
      <c r="AT861" s="42"/>
      <c r="AU861" s="135"/>
      <c r="AV861" s="131"/>
      <c r="AW861" s="136"/>
      <c r="AX861" s="137"/>
      <c r="AY861" s="138"/>
      <c r="AZ861" s="42"/>
      <c r="BA861" s="135"/>
      <c r="BB861" s="139"/>
      <c r="BF861" s="36"/>
    </row>
    <row r="862" spans="1:58" ht="48">
      <c r="A862" s="36" t="s">
        <v>7230</v>
      </c>
      <c r="B862" s="36" t="s">
        <v>7254</v>
      </c>
      <c r="C862" s="36" t="s">
        <v>7232</v>
      </c>
      <c r="D862" s="36">
        <v>235</v>
      </c>
      <c r="E862" s="36">
        <v>2</v>
      </c>
      <c r="G862" s="36" t="s">
        <v>7255</v>
      </c>
      <c r="J862" s="36" t="s">
        <v>4166</v>
      </c>
      <c r="K862" s="36" t="s">
        <v>4054</v>
      </c>
      <c r="L862" s="36">
        <v>0</v>
      </c>
      <c r="N862" s="36"/>
      <c r="O862" s="131"/>
      <c r="P862" s="132"/>
      <c r="Q862" s="133"/>
      <c r="R862" s="42"/>
      <c r="S862" s="134">
        <v>1</v>
      </c>
      <c r="T862" s="135"/>
      <c r="U862" s="131"/>
      <c r="V862" s="136"/>
      <c r="W862" s="137"/>
      <c r="X862" s="138"/>
      <c r="Y862" s="42"/>
      <c r="Z862" s="135"/>
      <c r="AA862" s="139"/>
      <c r="AB862" s="28" t="s">
        <v>4062</v>
      </c>
      <c r="AD862" s="36" t="s">
        <v>4167</v>
      </c>
      <c r="AE862" s="36"/>
      <c r="AF862" s="36" t="s">
        <v>7256</v>
      </c>
      <c r="AP862" s="36"/>
      <c r="AQ862" s="131"/>
      <c r="AR862" s="132"/>
      <c r="AS862" s="133"/>
      <c r="AT862" s="42"/>
      <c r="AU862" s="135"/>
      <c r="AV862" s="131"/>
      <c r="AW862" s="136"/>
      <c r="AX862" s="137"/>
      <c r="AY862" s="138"/>
      <c r="AZ862" s="42"/>
      <c r="BA862" s="135"/>
      <c r="BB862" s="139"/>
      <c r="BF862" s="36"/>
    </row>
    <row r="863" spans="1:58" ht="60">
      <c r="A863" s="36" t="s">
        <v>7230</v>
      </c>
      <c r="B863" s="36" t="s">
        <v>7257</v>
      </c>
      <c r="C863" s="36" t="s">
        <v>7232</v>
      </c>
      <c r="D863" s="36">
        <v>236</v>
      </c>
      <c r="E863" s="36">
        <v>2</v>
      </c>
      <c r="G863" s="36" t="s">
        <v>4234</v>
      </c>
      <c r="J863" s="36" t="s">
        <v>4111</v>
      </c>
      <c r="K863" s="36" t="s">
        <v>4054</v>
      </c>
      <c r="L863" s="36">
        <v>3</v>
      </c>
      <c r="N863" s="36">
        <v>1</v>
      </c>
      <c r="O863" s="131"/>
      <c r="P863" s="132">
        <v>2</v>
      </c>
      <c r="Q863" s="133"/>
      <c r="R863" s="42"/>
      <c r="S863" s="134"/>
      <c r="T863" s="135"/>
      <c r="U863" s="131"/>
      <c r="V863" s="136"/>
      <c r="W863" s="137"/>
      <c r="X863" s="138"/>
      <c r="Y863" s="42"/>
      <c r="Z863" s="135"/>
      <c r="AA863" s="139"/>
      <c r="AB863" s="28" t="s">
        <v>4938</v>
      </c>
      <c r="AC863" s="36" t="s">
        <v>4232</v>
      </c>
      <c r="AD863" s="36" t="s">
        <v>4133</v>
      </c>
      <c r="AE863" s="36"/>
      <c r="AF863" s="36" t="s">
        <v>7258</v>
      </c>
      <c r="AO863" s="37"/>
      <c r="AP863" s="36"/>
      <c r="AQ863" s="142"/>
      <c r="AR863" s="143"/>
      <c r="AS863" s="144"/>
      <c r="AT863" s="42"/>
      <c r="AU863" s="135"/>
      <c r="AV863" s="142"/>
      <c r="AW863" s="149"/>
      <c r="AX863" s="150"/>
      <c r="AY863" s="147"/>
      <c r="AZ863" s="42"/>
      <c r="BA863" s="135"/>
      <c r="BB863" s="148"/>
      <c r="BE863" s="37"/>
      <c r="BF863" s="36"/>
    </row>
    <row r="864" spans="1:58" ht="36">
      <c r="A864" s="36" t="s">
        <v>7230</v>
      </c>
      <c r="B864" s="36" t="s">
        <v>7259</v>
      </c>
      <c r="C864" s="36" t="s">
        <v>7232</v>
      </c>
      <c r="D864" s="36">
        <v>237</v>
      </c>
      <c r="E864" s="36">
        <v>2</v>
      </c>
      <c r="G864" s="36" t="s">
        <v>7260</v>
      </c>
      <c r="J864" s="36" t="s">
        <v>27</v>
      </c>
      <c r="K864" s="36" t="s">
        <v>4056</v>
      </c>
      <c r="L864" s="36">
        <v>0</v>
      </c>
      <c r="N864" s="36">
        <v>3</v>
      </c>
      <c r="O864" s="131"/>
      <c r="P864" s="132"/>
      <c r="Q864" s="133"/>
      <c r="R864" s="42">
        <v>2</v>
      </c>
      <c r="S864" s="134"/>
      <c r="T864" s="135"/>
      <c r="U864" s="131"/>
      <c r="V864" s="136"/>
      <c r="W864" s="137"/>
      <c r="X864" s="138"/>
      <c r="Y864" s="42"/>
      <c r="Z864" s="135"/>
      <c r="AA864" s="139"/>
      <c r="AB864" s="28" t="s">
        <v>4949</v>
      </c>
      <c r="AD864" s="36" t="s">
        <v>4161</v>
      </c>
      <c r="AE864" s="36"/>
      <c r="AF864" s="36" t="s">
        <v>7261</v>
      </c>
      <c r="AO864" s="37"/>
      <c r="AP864" s="36"/>
      <c r="AQ864" s="142"/>
      <c r="AR864" s="143"/>
      <c r="AS864" s="144"/>
      <c r="AT864" s="42"/>
      <c r="AU864" s="135"/>
      <c r="AV864" s="142"/>
      <c r="AW864" s="149"/>
      <c r="AX864" s="150"/>
      <c r="AY864" s="147"/>
      <c r="AZ864" s="42"/>
      <c r="BA864" s="135"/>
      <c r="BB864" s="148"/>
      <c r="BE864" s="37"/>
      <c r="BF864" s="36"/>
    </row>
    <row r="865" spans="1:59" ht="36">
      <c r="A865" s="36" t="s">
        <v>7230</v>
      </c>
      <c r="B865" s="36" t="s">
        <v>7262</v>
      </c>
      <c r="C865" s="36" t="s">
        <v>7232</v>
      </c>
      <c r="D865" s="36">
        <v>238</v>
      </c>
      <c r="E865" s="36">
        <v>2</v>
      </c>
      <c r="G865" s="36" t="s">
        <v>6105</v>
      </c>
      <c r="J865" s="36" t="s">
        <v>27</v>
      </c>
      <c r="K865" s="36" t="s">
        <v>4056</v>
      </c>
      <c r="L865" s="36">
        <v>2</v>
      </c>
      <c r="N865" s="36" t="s">
        <v>32</v>
      </c>
      <c r="O865" s="131">
        <v>1</v>
      </c>
      <c r="P865" s="132">
        <v>1</v>
      </c>
      <c r="Q865" s="133"/>
      <c r="R865" s="42"/>
      <c r="S865" s="134"/>
      <c r="T865" s="135"/>
      <c r="U865" s="131"/>
      <c r="V865" s="136"/>
      <c r="W865" s="137"/>
      <c r="X865" s="138"/>
      <c r="Y865" s="42"/>
      <c r="Z865" s="135"/>
      <c r="AA865" s="139"/>
      <c r="AB865" s="28" t="s">
        <v>6176</v>
      </c>
      <c r="AD865" s="36" t="s">
        <v>4226</v>
      </c>
      <c r="AE865" s="36"/>
      <c r="AF865" s="36" t="s">
        <v>7263</v>
      </c>
      <c r="AO865" s="37"/>
      <c r="AP865" s="36"/>
      <c r="AQ865" s="142"/>
      <c r="AR865" s="143"/>
      <c r="AS865" s="144"/>
      <c r="AT865" s="42"/>
      <c r="AU865" s="135"/>
      <c r="AV865" s="142"/>
      <c r="AW865" s="149"/>
      <c r="AX865" s="150"/>
      <c r="AY865" s="147"/>
      <c r="AZ865" s="42"/>
      <c r="BA865" s="135"/>
      <c r="BB865" s="148"/>
      <c r="BE865" s="37"/>
      <c r="BF865" s="36"/>
    </row>
    <row r="866" spans="1:59" ht="36">
      <c r="A866" s="36" t="s">
        <v>7230</v>
      </c>
      <c r="B866" s="36" t="s">
        <v>7264</v>
      </c>
      <c r="C866" s="36" t="s">
        <v>7232</v>
      </c>
      <c r="D866" s="36">
        <v>239</v>
      </c>
      <c r="E866" s="36">
        <v>2</v>
      </c>
      <c r="G866" s="36" t="s">
        <v>4277</v>
      </c>
      <c r="J866" s="36" t="s">
        <v>27</v>
      </c>
      <c r="K866" s="36" t="s">
        <v>26</v>
      </c>
      <c r="L866" s="36">
        <v>3</v>
      </c>
      <c r="N866" s="36">
        <v>0</v>
      </c>
      <c r="O866" s="131"/>
      <c r="P866" s="132"/>
      <c r="Q866" s="133"/>
      <c r="R866" s="42"/>
      <c r="S866" s="134"/>
      <c r="T866" s="135"/>
      <c r="U866" s="131"/>
      <c r="V866" s="136"/>
      <c r="W866" s="137"/>
      <c r="X866" s="138"/>
      <c r="Y866" s="42"/>
      <c r="Z866" s="135"/>
      <c r="AA866" s="139"/>
      <c r="AB866" s="28"/>
      <c r="AD866" s="36" t="s">
        <v>4170</v>
      </c>
      <c r="AE866" s="36"/>
      <c r="AF866" s="36" t="s">
        <v>7265</v>
      </c>
      <c r="AO866" s="37"/>
      <c r="AP866" s="36"/>
      <c r="AQ866" s="142"/>
      <c r="AR866" s="143"/>
      <c r="AS866" s="144"/>
      <c r="AT866" s="42"/>
      <c r="AU866" s="135"/>
      <c r="AV866" s="142"/>
      <c r="AW866" s="149"/>
      <c r="AX866" s="150"/>
      <c r="AY866" s="147"/>
      <c r="AZ866" s="42"/>
      <c r="BA866" s="135"/>
      <c r="BB866" s="148"/>
      <c r="BE866" s="37"/>
      <c r="BF866" s="36"/>
    </row>
    <row r="867" spans="1:59" ht="120">
      <c r="A867" s="36" t="s">
        <v>7230</v>
      </c>
      <c r="B867" s="36" t="s">
        <v>7266</v>
      </c>
      <c r="C867" s="36" t="s">
        <v>7232</v>
      </c>
      <c r="D867" s="36">
        <v>240</v>
      </c>
      <c r="E867" s="36">
        <v>1</v>
      </c>
      <c r="F867" s="36" t="s">
        <v>7267</v>
      </c>
      <c r="G867" s="36" t="s">
        <v>7267</v>
      </c>
      <c r="J867" s="36" t="s">
        <v>4472</v>
      </c>
      <c r="K867" s="36" t="s">
        <v>6280</v>
      </c>
      <c r="N867" s="36"/>
      <c r="O867" s="131"/>
      <c r="P867" s="132"/>
      <c r="Q867" s="133"/>
      <c r="R867" s="42"/>
      <c r="S867" s="134"/>
      <c r="T867" s="135"/>
      <c r="U867" s="131"/>
      <c r="V867" s="136"/>
      <c r="W867" s="137"/>
      <c r="X867" s="138"/>
      <c r="Y867" s="42"/>
      <c r="Z867" s="135"/>
      <c r="AA867" s="139"/>
      <c r="AB867" s="28"/>
      <c r="AE867" s="36"/>
      <c r="AF867" s="36" t="s">
        <v>7268</v>
      </c>
      <c r="AI867" s="36" t="s">
        <v>7267</v>
      </c>
      <c r="AL867" s="36" t="s">
        <v>4472</v>
      </c>
      <c r="AM867" s="36" t="s">
        <v>6280</v>
      </c>
      <c r="AO867" s="37"/>
      <c r="AP867" s="36"/>
      <c r="AQ867" s="142"/>
      <c r="AR867" s="143"/>
      <c r="AS867" s="144"/>
      <c r="AT867" s="42"/>
      <c r="AU867" s="135"/>
      <c r="AV867" s="142"/>
      <c r="AW867" s="149"/>
      <c r="AX867" s="150"/>
      <c r="AY867" s="147"/>
      <c r="AZ867" s="42"/>
      <c r="BA867" s="135"/>
      <c r="BB867" s="148"/>
      <c r="BE867" s="37"/>
      <c r="BF867" s="36"/>
      <c r="BG867" s="36" t="s">
        <v>7269</v>
      </c>
    </row>
    <row r="868" spans="1:59" ht="72">
      <c r="A868" s="36" t="s">
        <v>7230</v>
      </c>
      <c r="B868" s="36" t="s">
        <v>7270</v>
      </c>
      <c r="C868" s="36" t="s">
        <v>7232</v>
      </c>
      <c r="D868" s="36">
        <v>241</v>
      </c>
      <c r="E868" s="36">
        <v>1</v>
      </c>
      <c r="F868" s="36" t="s">
        <v>7267</v>
      </c>
      <c r="G868" s="36" t="s">
        <v>7271</v>
      </c>
      <c r="J868" s="36" t="s">
        <v>4473</v>
      </c>
      <c r="K868" s="36" t="s">
        <v>6280</v>
      </c>
      <c r="L868" s="36">
        <v>1</v>
      </c>
      <c r="N868" s="36"/>
      <c r="O868" s="131"/>
      <c r="P868" s="132"/>
      <c r="Q868" s="133"/>
      <c r="R868" s="42"/>
      <c r="S868" s="134"/>
      <c r="T868" s="135"/>
      <c r="U868" s="131"/>
      <c r="V868" s="136"/>
      <c r="W868" s="137"/>
      <c r="X868" s="138"/>
      <c r="Y868" s="42"/>
      <c r="Z868" s="135">
        <v>6</v>
      </c>
      <c r="AA868" s="139"/>
      <c r="AB868" s="28"/>
      <c r="AE868" s="36"/>
      <c r="AF868" s="36" t="s">
        <v>7272</v>
      </c>
      <c r="AI868" s="36" t="s">
        <v>7273</v>
      </c>
      <c r="AJ868" s="36" t="s">
        <v>7274</v>
      </c>
      <c r="AL868" s="36" t="s">
        <v>29</v>
      </c>
      <c r="AM868" s="36" t="s">
        <v>6280</v>
      </c>
      <c r="AO868" s="37"/>
      <c r="AP868" s="36"/>
      <c r="AQ868" s="142"/>
      <c r="AR868" s="143"/>
      <c r="AS868" s="144">
        <v>3</v>
      </c>
      <c r="AT868" s="42">
        <v>3</v>
      </c>
      <c r="AU868" s="135" t="s">
        <v>7275</v>
      </c>
      <c r="AV868" s="142"/>
      <c r="AW868" s="149">
        <v>2</v>
      </c>
      <c r="AX868" s="150">
        <v>2</v>
      </c>
      <c r="AY868" s="147"/>
      <c r="AZ868" s="42"/>
      <c r="BA868" s="135"/>
      <c r="BB868" s="148">
        <v>2</v>
      </c>
      <c r="BE868" s="37" t="s">
        <v>7276</v>
      </c>
      <c r="BF868" s="36"/>
      <c r="BG868" s="36" t="s">
        <v>7277</v>
      </c>
    </row>
    <row r="869" spans="1:59" ht="15">
      <c r="A869" s="36" t="s">
        <v>7230</v>
      </c>
      <c r="B869" s="36" t="s">
        <v>7278</v>
      </c>
      <c r="C869" s="36" t="s">
        <v>7232</v>
      </c>
      <c r="D869" s="36">
        <v>242</v>
      </c>
      <c r="E869" s="36">
        <v>1</v>
      </c>
      <c r="F869" s="36" t="s">
        <v>7267</v>
      </c>
      <c r="G869" s="36" t="s">
        <v>7279</v>
      </c>
      <c r="J869" s="36" t="s">
        <v>4473</v>
      </c>
      <c r="K869" s="36" t="s">
        <v>6280</v>
      </c>
      <c r="L869" s="36">
        <v>2</v>
      </c>
      <c r="N869" s="36"/>
      <c r="O869" s="131"/>
      <c r="P869" s="132"/>
      <c r="Q869" s="133"/>
      <c r="R869" s="42"/>
      <c r="S869" s="134"/>
      <c r="T869" s="135"/>
      <c r="U869" s="131"/>
      <c r="V869" s="136"/>
      <c r="W869" s="137"/>
      <c r="X869" s="138"/>
      <c r="Y869" s="42"/>
      <c r="Z869" s="135">
        <v>12</v>
      </c>
      <c r="AA869" s="139"/>
      <c r="AB869" s="28"/>
      <c r="AE869" s="36"/>
      <c r="AF869" s="36" t="s">
        <v>7272</v>
      </c>
      <c r="AI869" s="36" t="s">
        <v>7280</v>
      </c>
      <c r="AL869" s="36" t="s">
        <v>4473</v>
      </c>
      <c r="AM869" s="36" t="s">
        <v>6280</v>
      </c>
      <c r="AN869" s="36">
        <v>2</v>
      </c>
      <c r="AO869" s="37"/>
      <c r="AP869" s="36"/>
      <c r="AQ869" s="142"/>
      <c r="AR869" s="143"/>
      <c r="AS869" s="144"/>
      <c r="AT869" s="42"/>
      <c r="AU869" s="135"/>
      <c r="AV869" s="142"/>
      <c r="AW869" s="149"/>
      <c r="AX869" s="150"/>
      <c r="AY869" s="147"/>
      <c r="AZ869" s="42"/>
      <c r="BA869" s="135"/>
      <c r="BB869" s="148"/>
      <c r="BE869" s="37"/>
      <c r="BF869" s="36"/>
      <c r="BG869" s="36" t="s">
        <v>7281</v>
      </c>
    </row>
    <row r="870" spans="1:59" ht="84">
      <c r="A870" s="36" t="s">
        <v>7230</v>
      </c>
      <c r="B870" s="36" t="s">
        <v>7282</v>
      </c>
      <c r="C870" s="36" t="s">
        <v>7232</v>
      </c>
      <c r="D870" s="36">
        <v>243</v>
      </c>
      <c r="E870" s="36">
        <v>1</v>
      </c>
      <c r="F870" s="36" t="s">
        <v>7267</v>
      </c>
      <c r="G870" s="36" t="s">
        <v>7283</v>
      </c>
      <c r="J870" s="36" t="s">
        <v>4475</v>
      </c>
      <c r="K870" s="36" t="s">
        <v>6280</v>
      </c>
      <c r="L870" s="36">
        <v>1</v>
      </c>
      <c r="N870" s="36"/>
      <c r="O870" s="131"/>
      <c r="P870" s="132"/>
      <c r="Q870" s="133"/>
      <c r="R870" s="42"/>
      <c r="S870" s="134"/>
      <c r="T870" s="135"/>
      <c r="U870" s="131"/>
      <c r="V870" s="136"/>
      <c r="W870" s="137"/>
      <c r="X870" s="138"/>
      <c r="Y870" s="42" t="s">
        <v>38</v>
      </c>
      <c r="Z870" s="135"/>
      <c r="AA870" s="139"/>
      <c r="AB870" s="28"/>
      <c r="AE870" s="36"/>
      <c r="AF870" s="36" t="s">
        <v>7284</v>
      </c>
      <c r="AI870" s="36" t="s">
        <v>7285</v>
      </c>
      <c r="AL870" s="36" t="s">
        <v>4475</v>
      </c>
      <c r="AM870" s="36" t="s">
        <v>6280</v>
      </c>
      <c r="AN870" s="36">
        <v>1</v>
      </c>
      <c r="AO870" s="37"/>
      <c r="AP870" s="36"/>
      <c r="AQ870" s="142"/>
      <c r="AR870" s="143"/>
      <c r="AS870" s="144"/>
      <c r="AT870" s="42"/>
      <c r="AU870" s="135"/>
      <c r="AV870" s="142"/>
      <c r="AW870" s="149"/>
      <c r="AX870" s="150"/>
      <c r="AY870" s="147"/>
      <c r="AZ870" s="42"/>
      <c r="BA870" s="135"/>
      <c r="BB870" s="148"/>
      <c r="BE870" s="37"/>
      <c r="BF870" s="36"/>
      <c r="BG870" s="36" t="s">
        <v>7286</v>
      </c>
    </row>
    <row r="871" spans="1:59" ht="204">
      <c r="A871" s="36" t="s">
        <v>7230</v>
      </c>
      <c r="B871" s="36" t="s">
        <v>7287</v>
      </c>
      <c r="C871" s="36" t="s">
        <v>7232</v>
      </c>
      <c r="D871" s="36">
        <v>244</v>
      </c>
      <c r="E871" s="36">
        <v>1</v>
      </c>
      <c r="F871" s="36" t="s">
        <v>7267</v>
      </c>
      <c r="G871" s="36" t="s">
        <v>7288</v>
      </c>
      <c r="J871" s="36" t="s">
        <v>4475</v>
      </c>
      <c r="K871" s="36" t="s">
        <v>6280</v>
      </c>
      <c r="L871" s="36">
        <v>2</v>
      </c>
      <c r="N871" s="36"/>
      <c r="O871" s="131"/>
      <c r="P871" s="132"/>
      <c r="Q871" s="133"/>
      <c r="R871" s="42"/>
      <c r="S871" s="134"/>
      <c r="T871" s="135"/>
      <c r="U871" s="131"/>
      <c r="V871" s="136"/>
      <c r="W871" s="137"/>
      <c r="X871" s="138"/>
      <c r="Y871" s="42" t="s">
        <v>4965</v>
      </c>
      <c r="Z871" s="135"/>
      <c r="AA871" s="139"/>
      <c r="AB871" s="28"/>
      <c r="AE871" s="36"/>
      <c r="AF871" s="36" t="s">
        <v>7289</v>
      </c>
      <c r="AI871" s="36" t="s">
        <v>7290</v>
      </c>
      <c r="AL871" s="36" t="s">
        <v>4475</v>
      </c>
      <c r="AM871" s="36" t="s">
        <v>6280</v>
      </c>
      <c r="AN871" s="36">
        <v>2</v>
      </c>
      <c r="AO871" s="37"/>
      <c r="AP871" s="36"/>
      <c r="AQ871" s="142"/>
      <c r="AR871" s="143"/>
      <c r="AS871" s="144"/>
      <c r="AT871" s="42"/>
      <c r="AU871" s="135"/>
      <c r="AV871" s="142"/>
      <c r="AW871" s="149"/>
      <c r="AX871" s="150"/>
      <c r="AY871" s="147"/>
      <c r="AZ871" s="42"/>
      <c r="BA871" s="135"/>
      <c r="BB871" s="148"/>
      <c r="BE871" s="37"/>
      <c r="BF871" s="36"/>
      <c r="BG871" s="36" t="s">
        <v>7350</v>
      </c>
    </row>
    <row r="872" spans="1:59" ht="84">
      <c r="A872" s="36" t="s">
        <v>7230</v>
      </c>
      <c r="B872" s="36" t="s">
        <v>7291</v>
      </c>
      <c r="C872" s="36" t="s">
        <v>7232</v>
      </c>
      <c r="D872" s="36">
        <v>245</v>
      </c>
      <c r="E872" s="36">
        <v>1</v>
      </c>
      <c r="F872" s="36" t="s">
        <v>7267</v>
      </c>
      <c r="G872" s="36" t="s">
        <v>7292</v>
      </c>
      <c r="J872" s="36" t="s">
        <v>4475</v>
      </c>
      <c r="K872" s="36" t="s">
        <v>6280</v>
      </c>
      <c r="L872" s="36">
        <v>3</v>
      </c>
      <c r="N872" s="36"/>
      <c r="O872" s="131"/>
      <c r="P872" s="132"/>
      <c r="Q872" s="133"/>
      <c r="R872" s="42"/>
      <c r="S872" s="134"/>
      <c r="T872" s="135"/>
      <c r="U872" s="131"/>
      <c r="V872" s="136"/>
      <c r="W872" s="137"/>
      <c r="X872" s="138"/>
      <c r="Y872" s="42" t="s">
        <v>38</v>
      </c>
      <c r="Z872" s="135"/>
      <c r="AA872" s="139"/>
      <c r="AB872" s="28"/>
      <c r="AE872" s="36"/>
      <c r="AF872" s="36" t="s">
        <v>7293</v>
      </c>
      <c r="AI872" s="36" t="s">
        <v>7294</v>
      </c>
      <c r="AL872" s="36" t="s">
        <v>4475</v>
      </c>
      <c r="AM872" s="36" t="s">
        <v>6280</v>
      </c>
      <c r="AN872" s="36">
        <v>3</v>
      </c>
      <c r="AO872" s="37"/>
      <c r="AP872" s="36"/>
      <c r="AQ872" s="142"/>
      <c r="AR872" s="143"/>
      <c r="AS872" s="144"/>
      <c r="AT872" s="42"/>
      <c r="AU872" s="135"/>
      <c r="AV872" s="142"/>
      <c r="AW872" s="149"/>
      <c r="AX872" s="150"/>
      <c r="AY872" s="147"/>
      <c r="AZ872" s="42"/>
      <c r="BA872" s="135"/>
      <c r="BB872" s="148"/>
      <c r="BE872" s="37"/>
      <c r="BF872" s="36"/>
      <c r="BG872" s="36" t="s">
        <v>5740</v>
      </c>
    </row>
    <row r="873" spans="1:59" ht="36">
      <c r="A873" s="36" t="s">
        <v>7230</v>
      </c>
      <c r="B873" s="36" t="s">
        <v>7295</v>
      </c>
      <c r="C873" s="36" t="s">
        <v>7232</v>
      </c>
      <c r="D873" s="36">
        <v>246</v>
      </c>
      <c r="E873" s="36">
        <v>1</v>
      </c>
      <c r="F873" s="36" t="s">
        <v>7267</v>
      </c>
      <c r="G873" s="36" t="s">
        <v>7296</v>
      </c>
      <c r="J873" s="36" t="s">
        <v>4475</v>
      </c>
      <c r="K873" s="36" t="s">
        <v>6280</v>
      </c>
      <c r="L873" s="36">
        <v>3</v>
      </c>
      <c r="N873" s="36"/>
      <c r="O873" s="131"/>
      <c r="P873" s="132"/>
      <c r="Q873" s="133"/>
      <c r="R873" s="42"/>
      <c r="S873" s="134"/>
      <c r="T873" s="135"/>
      <c r="U873" s="131"/>
      <c r="V873" s="136"/>
      <c r="W873" s="137"/>
      <c r="X873" s="138"/>
      <c r="Y873" s="42" t="s">
        <v>38</v>
      </c>
      <c r="Z873" s="135"/>
      <c r="AA873" s="139"/>
      <c r="AB873" s="28"/>
      <c r="AE873" s="36"/>
      <c r="AF873" s="36" t="s">
        <v>7297</v>
      </c>
      <c r="AI873" s="36" t="s">
        <v>7298</v>
      </c>
      <c r="AL873" s="36" t="s">
        <v>4475</v>
      </c>
      <c r="AM873" s="36" t="s">
        <v>6280</v>
      </c>
      <c r="AN873" s="36">
        <v>3</v>
      </c>
      <c r="AO873" s="37"/>
      <c r="AP873" s="36"/>
      <c r="AQ873" s="142"/>
      <c r="AR873" s="143"/>
      <c r="AS873" s="144"/>
      <c r="AT873" s="42"/>
      <c r="AU873" s="135"/>
      <c r="AV873" s="142"/>
      <c r="AW873" s="149"/>
      <c r="AX873" s="150"/>
      <c r="AY873" s="147"/>
      <c r="AZ873" s="42"/>
      <c r="BA873" s="135"/>
      <c r="BB873" s="148"/>
      <c r="BE873" s="37"/>
      <c r="BF873" s="36"/>
      <c r="BG873" s="36" t="s">
        <v>6066</v>
      </c>
    </row>
    <row r="874" spans="1:59" ht="36">
      <c r="A874" s="36" t="s">
        <v>7230</v>
      </c>
      <c r="B874" s="36" t="s">
        <v>7299</v>
      </c>
      <c r="C874" s="36" t="s">
        <v>7232</v>
      </c>
      <c r="D874" s="36">
        <v>247</v>
      </c>
      <c r="E874" s="36">
        <v>1</v>
      </c>
      <c r="F874" s="36" t="s">
        <v>7267</v>
      </c>
      <c r="G874" s="36" t="s">
        <v>7300</v>
      </c>
      <c r="J874" s="36" t="s">
        <v>31</v>
      </c>
      <c r="K874" s="36" t="s">
        <v>6280</v>
      </c>
      <c r="N874" s="36"/>
      <c r="O874" s="131"/>
      <c r="P874" s="132"/>
      <c r="Q874" s="133"/>
      <c r="R874" s="42"/>
      <c r="S874" s="134"/>
      <c r="T874" s="135"/>
      <c r="U874" s="131"/>
      <c r="V874" s="136"/>
      <c r="W874" s="137"/>
      <c r="X874" s="138"/>
      <c r="Y874" s="42"/>
      <c r="Z874" s="135"/>
      <c r="AA874" s="139"/>
      <c r="AB874" s="28"/>
      <c r="AE874" s="36"/>
      <c r="AF874" s="36" t="s">
        <v>7301</v>
      </c>
      <c r="AI874" s="36" t="s">
        <v>7302</v>
      </c>
      <c r="AL874" s="36" t="s">
        <v>31</v>
      </c>
      <c r="AM874" s="36" t="s">
        <v>6280</v>
      </c>
      <c r="AO874" s="37"/>
      <c r="AP874" s="36"/>
      <c r="AQ874" s="142"/>
      <c r="AR874" s="143"/>
      <c r="AS874" s="144"/>
      <c r="AT874" s="42"/>
      <c r="AU874" s="135"/>
      <c r="AV874" s="142"/>
      <c r="AW874" s="149"/>
      <c r="AX874" s="150"/>
      <c r="AY874" s="147">
        <v>1</v>
      </c>
      <c r="AZ874" s="42" t="s">
        <v>4965</v>
      </c>
      <c r="BA874" s="135"/>
      <c r="BB874" s="148"/>
      <c r="BE874" s="37"/>
      <c r="BF874" s="36"/>
      <c r="BG874" s="36" t="s">
        <v>7303</v>
      </c>
    </row>
    <row r="875" spans="1:59" ht="60">
      <c r="A875" s="36" t="s">
        <v>7230</v>
      </c>
      <c r="B875" s="36" t="s">
        <v>7304</v>
      </c>
      <c r="C875" s="36" t="s">
        <v>7232</v>
      </c>
      <c r="D875" s="36">
        <v>248</v>
      </c>
      <c r="E875" s="36">
        <v>2</v>
      </c>
      <c r="F875" s="36" t="s">
        <v>7267</v>
      </c>
      <c r="G875" s="36" t="s">
        <v>7300</v>
      </c>
      <c r="J875" s="36" t="s">
        <v>31</v>
      </c>
      <c r="K875" s="36" t="s">
        <v>6280</v>
      </c>
      <c r="N875" s="36"/>
      <c r="O875" s="131"/>
      <c r="P875" s="132"/>
      <c r="Q875" s="133"/>
      <c r="R875" s="42"/>
      <c r="S875" s="134"/>
      <c r="T875" s="135"/>
      <c r="U875" s="131"/>
      <c r="V875" s="136"/>
      <c r="W875" s="137"/>
      <c r="X875" s="138"/>
      <c r="Y875" s="42"/>
      <c r="Z875" s="135"/>
      <c r="AA875" s="139"/>
      <c r="AB875" s="28"/>
      <c r="AE875" s="36"/>
      <c r="AF875" s="36" t="s">
        <v>7301</v>
      </c>
      <c r="AI875" s="36" t="s">
        <v>7305</v>
      </c>
      <c r="AL875" s="36" t="s">
        <v>31</v>
      </c>
      <c r="AM875" s="36" t="s">
        <v>6280</v>
      </c>
      <c r="AO875" s="37"/>
      <c r="AP875" s="36"/>
      <c r="AQ875" s="142"/>
      <c r="AR875" s="143"/>
      <c r="AS875" s="144"/>
      <c r="AT875" s="42"/>
      <c r="AU875" s="135"/>
      <c r="AV875" s="142"/>
      <c r="AW875" s="149"/>
      <c r="AX875" s="150"/>
      <c r="AY875" s="147">
        <v>2</v>
      </c>
      <c r="AZ875" s="42">
        <v>0</v>
      </c>
      <c r="BA875" s="135"/>
      <c r="BB875" s="148"/>
      <c r="BE875" s="37"/>
      <c r="BF875" s="36"/>
      <c r="BG875" s="36" t="s">
        <v>7306</v>
      </c>
    </row>
    <row r="876" spans="1:59" ht="60">
      <c r="A876" s="36" t="s">
        <v>7230</v>
      </c>
      <c r="B876" s="36" t="s">
        <v>7307</v>
      </c>
      <c r="C876" s="36" t="s">
        <v>7232</v>
      </c>
      <c r="D876" s="36">
        <v>249</v>
      </c>
      <c r="E876" s="36">
        <v>1</v>
      </c>
      <c r="F876" s="36" t="s">
        <v>7267</v>
      </c>
      <c r="G876" s="36" t="s">
        <v>7300</v>
      </c>
      <c r="J876" s="36" t="s">
        <v>31</v>
      </c>
      <c r="K876" s="36" t="s">
        <v>6280</v>
      </c>
      <c r="N876" s="36"/>
      <c r="O876" s="131"/>
      <c r="P876" s="132"/>
      <c r="Q876" s="133"/>
      <c r="R876" s="42"/>
      <c r="S876" s="134"/>
      <c r="T876" s="135"/>
      <c r="U876" s="131"/>
      <c r="V876" s="136"/>
      <c r="W876" s="137"/>
      <c r="X876" s="138"/>
      <c r="Y876" s="42"/>
      <c r="Z876" s="135"/>
      <c r="AA876" s="139"/>
      <c r="AB876" s="28"/>
      <c r="AE876" s="36"/>
      <c r="AF876" s="36" t="s">
        <v>7301</v>
      </c>
      <c r="AI876" s="36" t="s">
        <v>7308</v>
      </c>
      <c r="AL876" s="36" t="s">
        <v>31</v>
      </c>
      <c r="AM876" s="36" t="s">
        <v>6280</v>
      </c>
      <c r="AO876" s="37"/>
      <c r="AP876" s="36"/>
      <c r="AQ876" s="142"/>
      <c r="AR876" s="143"/>
      <c r="AS876" s="144"/>
      <c r="AT876" s="42"/>
      <c r="AU876" s="135"/>
      <c r="AV876" s="142"/>
      <c r="AW876" s="149"/>
      <c r="AX876" s="150"/>
      <c r="AY876" s="147">
        <v>2</v>
      </c>
      <c r="AZ876" s="42" t="s">
        <v>4965</v>
      </c>
      <c r="BA876" s="135"/>
      <c r="BB876" s="148"/>
      <c r="BE876" s="37"/>
      <c r="BF876" s="36"/>
      <c r="BG876" s="36" t="s">
        <v>7309</v>
      </c>
    </row>
    <row r="877" spans="1:59" ht="60">
      <c r="A877" s="36" t="s">
        <v>7230</v>
      </c>
      <c r="B877" s="36" t="s">
        <v>7310</v>
      </c>
      <c r="C877" s="36" t="s">
        <v>7232</v>
      </c>
      <c r="D877" s="36">
        <v>250</v>
      </c>
      <c r="E877" s="36">
        <v>1</v>
      </c>
      <c r="F877" s="36" t="s">
        <v>7267</v>
      </c>
      <c r="G877" s="36" t="s">
        <v>7300</v>
      </c>
      <c r="J877" s="36" t="s">
        <v>31</v>
      </c>
      <c r="K877" s="36" t="s">
        <v>6280</v>
      </c>
      <c r="N877" s="36"/>
      <c r="O877" s="131"/>
      <c r="P877" s="132"/>
      <c r="Q877" s="133"/>
      <c r="R877" s="42"/>
      <c r="S877" s="134"/>
      <c r="T877" s="135"/>
      <c r="U877" s="131"/>
      <c r="V877" s="136"/>
      <c r="W877" s="137"/>
      <c r="X877" s="138"/>
      <c r="Y877" s="42"/>
      <c r="Z877" s="135"/>
      <c r="AA877" s="139"/>
      <c r="AB877" s="28"/>
      <c r="AE877" s="36"/>
      <c r="AF877" s="36" t="s">
        <v>7301</v>
      </c>
      <c r="AI877" s="36" t="s">
        <v>7311</v>
      </c>
      <c r="AL877" s="36" t="s">
        <v>31</v>
      </c>
      <c r="AM877" s="36" t="s">
        <v>6280</v>
      </c>
      <c r="AO877" s="37"/>
      <c r="AP877" s="36"/>
      <c r="AQ877" s="142"/>
      <c r="AR877" s="143"/>
      <c r="AS877" s="144"/>
      <c r="AT877" s="42"/>
      <c r="AU877" s="135"/>
      <c r="AV877" s="142"/>
      <c r="AW877" s="149"/>
      <c r="AX877" s="150"/>
      <c r="AY877" s="147">
        <v>3</v>
      </c>
      <c r="AZ877" s="42" t="s">
        <v>4965</v>
      </c>
      <c r="BA877" s="135"/>
      <c r="BB877" s="148">
        <v>1</v>
      </c>
      <c r="BE877" s="37"/>
      <c r="BF877" s="36"/>
      <c r="BG877" s="36" t="s">
        <v>7312</v>
      </c>
    </row>
    <row r="878" spans="1:59" ht="72">
      <c r="A878" s="36" t="s">
        <v>7230</v>
      </c>
      <c r="B878" s="36" t="s">
        <v>7313</v>
      </c>
      <c r="C878" s="36" t="s">
        <v>7232</v>
      </c>
      <c r="D878" s="36">
        <v>251</v>
      </c>
      <c r="E878" s="36">
        <v>1</v>
      </c>
      <c r="F878" s="36" t="s">
        <v>7267</v>
      </c>
      <c r="G878" s="36" t="s">
        <v>7300</v>
      </c>
      <c r="J878" s="36" t="s">
        <v>31</v>
      </c>
      <c r="K878" s="36" t="s">
        <v>6280</v>
      </c>
      <c r="N878" s="36"/>
      <c r="O878" s="131"/>
      <c r="P878" s="132"/>
      <c r="Q878" s="133"/>
      <c r="R878" s="42"/>
      <c r="S878" s="134"/>
      <c r="T878" s="135"/>
      <c r="U878" s="131"/>
      <c r="V878" s="136"/>
      <c r="W878" s="137"/>
      <c r="X878" s="138"/>
      <c r="Y878" s="42"/>
      <c r="Z878" s="135"/>
      <c r="AA878" s="139"/>
      <c r="AB878" s="28"/>
      <c r="AE878" s="36"/>
      <c r="AF878" s="36" t="s">
        <v>7301</v>
      </c>
      <c r="AI878" s="36" t="s">
        <v>7314</v>
      </c>
      <c r="AL878" s="36" t="s">
        <v>31</v>
      </c>
      <c r="AM878" s="36" t="s">
        <v>6280</v>
      </c>
      <c r="AO878" s="37"/>
      <c r="AP878" s="36"/>
      <c r="AQ878" s="142"/>
      <c r="AR878" s="143"/>
      <c r="AS878" s="144"/>
      <c r="AT878" s="42"/>
      <c r="AU878" s="135"/>
      <c r="AV878" s="142"/>
      <c r="AW878" s="149"/>
      <c r="AX878" s="150"/>
      <c r="AY878" s="147">
        <v>4</v>
      </c>
      <c r="AZ878" s="42" t="s">
        <v>4927</v>
      </c>
      <c r="BA878" s="135"/>
      <c r="BB878" s="148">
        <v>1</v>
      </c>
      <c r="BE878" s="37"/>
      <c r="BF878" s="36"/>
      <c r="BG878" s="36" t="s">
        <v>7315</v>
      </c>
    </row>
    <row r="879" spans="1:59" ht="72">
      <c r="A879" s="36" t="s">
        <v>7230</v>
      </c>
      <c r="B879" s="36" t="s">
        <v>7316</v>
      </c>
      <c r="C879" s="36" t="s">
        <v>7232</v>
      </c>
      <c r="D879" s="36">
        <v>252</v>
      </c>
      <c r="E879" s="36">
        <v>2</v>
      </c>
      <c r="F879" s="36" t="s">
        <v>7267</v>
      </c>
      <c r="G879" s="36" t="s">
        <v>7300</v>
      </c>
      <c r="J879" s="36" t="s">
        <v>31</v>
      </c>
      <c r="K879" s="36" t="s">
        <v>6280</v>
      </c>
      <c r="N879" s="36"/>
      <c r="O879" s="131"/>
      <c r="P879" s="132"/>
      <c r="Q879" s="133"/>
      <c r="R879" s="42"/>
      <c r="S879" s="134"/>
      <c r="T879" s="135"/>
      <c r="U879" s="131"/>
      <c r="V879" s="136"/>
      <c r="W879" s="137"/>
      <c r="X879" s="138"/>
      <c r="Y879" s="42"/>
      <c r="Z879" s="135"/>
      <c r="AA879" s="139"/>
      <c r="AB879" s="28"/>
      <c r="AE879" s="36"/>
      <c r="AF879" s="36" t="s">
        <v>7301</v>
      </c>
      <c r="AI879" s="36" t="s">
        <v>7317</v>
      </c>
      <c r="AL879" s="36" t="s">
        <v>31</v>
      </c>
      <c r="AM879" s="36" t="s">
        <v>6280</v>
      </c>
      <c r="AO879" s="37"/>
      <c r="AP879" s="36"/>
      <c r="AQ879" s="142"/>
      <c r="AR879" s="143"/>
      <c r="AS879" s="144"/>
      <c r="AT879" s="42"/>
      <c r="AU879" s="135"/>
      <c r="AV879" s="142"/>
      <c r="AW879" s="149"/>
      <c r="AX879" s="150"/>
      <c r="AY879" s="147">
        <v>3</v>
      </c>
      <c r="AZ879" s="42" t="s">
        <v>4965</v>
      </c>
      <c r="BA879" s="135"/>
      <c r="BB879" s="148"/>
      <c r="BE879" s="37"/>
      <c r="BF879" s="36"/>
      <c r="BG879" s="36" t="s">
        <v>7318</v>
      </c>
    </row>
    <row r="880" spans="1:59" ht="36">
      <c r="A880" s="36" t="s">
        <v>7230</v>
      </c>
      <c r="B880" s="36" t="s">
        <v>7319</v>
      </c>
      <c r="C880" s="36" t="s">
        <v>7232</v>
      </c>
      <c r="D880" s="36">
        <v>253</v>
      </c>
      <c r="E880" s="36">
        <v>2</v>
      </c>
      <c r="F880" s="36" t="s">
        <v>7267</v>
      </c>
      <c r="G880" s="36" t="s">
        <v>7300</v>
      </c>
      <c r="J880" s="36" t="s">
        <v>31</v>
      </c>
      <c r="K880" s="36" t="s">
        <v>6280</v>
      </c>
      <c r="N880" s="36"/>
      <c r="O880" s="131"/>
      <c r="P880" s="132"/>
      <c r="Q880" s="133"/>
      <c r="R880" s="42"/>
      <c r="S880" s="134"/>
      <c r="T880" s="135"/>
      <c r="U880" s="131"/>
      <c r="V880" s="136"/>
      <c r="W880" s="137"/>
      <c r="X880" s="138"/>
      <c r="Y880" s="158"/>
      <c r="Z880" s="135"/>
      <c r="AA880" s="139"/>
      <c r="AB880" s="28"/>
      <c r="AE880" s="36"/>
      <c r="AF880" s="36" t="s">
        <v>7301</v>
      </c>
      <c r="AI880" s="36" t="s">
        <v>7320</v>
      </c>
      <c r="AL880" s="36" t="s">
        <v>31</v>
      </c>
      <c r="AM880" s="36" t="s">
        <v>6280</v>
      </c>
      <c r="AO880" s="37"/>
      <c r="AP880" s="36"/>
      <c r="AQ880" s="142"/>
      <c r="AR880" s="143"/>
      <c r="AS880" s="144"/>
      <c r="AT880" s="42"/>
      <c r="AU880" s="135"/>
      <c r="AV880" s="142"/>
      <c r="AW880" s="149"/>
      <c r="AX880" s="150"/>
      <c r="AY880" s="147">
        <v>2</v>
      </c>
      <c r="AZ880" s="42" t="s">
        <v>4965</v>
      </c>
      <c r="BA880" s="135"/>
      <c r="BB880" s="148"/>
      <c r="BE880" s="37"/>
      <c r="BF880" s="36"/>
      <c r="BG880" s="36" t="s">
        <v>7321</v>
      </c>
    </row>
    <row r="881" spans="1:59" ht="72">
      <c r="A881" s="36" t="s">
        <v>7230</v>
      </c>
      <c r="B881" s="36" t="s">
        <v>7322</v>
      </c>
      <c r="C881" s="36" t="s">
        <v>7232</v>
      </c>
      <c r="D881" s="36">
        <v>254</v>
      </c>
      <c r="E881" s="36">
        <v>1</v>
      </c>
      <c r="F881" s="36" t="s">
        <v>7267</v>
      </c>
      <c r="G881" s="36" t="s">
        <v>7300</v>
      </c>
      <c r="J881" s="36" t="s">
        <v>31</v>
      </c>
      <c r="K881" s="36" t="s">
        <v>6280</v>
      </c>
      <c r="N881" s="36"/>
      <c r="O881" s="131"/>
      <c r="P881" s="132"/>
      <c r="Q881" s="133"/>
      <c r="R881" s="42"/>
      <c r="S881" s="134"/>
      <c r="T881" s="135"/>
      <c r="U881" s="131"/>
      <c r="V881" s="136"/>
      <c r="W881" s="137"/>
      <c r="X881" s="138"/>
      <c r="Y881" s="158"/>
      <c r="Z881" s="135"/>
      <c r="AA881" s="139"/>
      <c r="AB881" s="28"/>
      <c r="AE881" s="36"/>
      <c r="AF881" s="36" t="s">
        <v>7301</v>
      </c>
      <c r="AI881" s="36" t="s">
        <v>7323</v>
      </c>
      <c r="AL881" s="36" t="s">
        <v>31</v>
      </c>
      <c r="AM881" s="36" t="s">
        <v>6280</v>
      </c>
      <c r="AO881" s="37"/>
      <c r="AP881" s="36"/>
      <c r="AQ881" s="142"/>
      <c r="AR881" s="143"/>
      <c r="AS881" s="144"/>
      <c r="AT881" s="42"/>
      <c r="AU881" s="135"/>
      <c r="AV881" s="142"/>
      <c r="AW881" s="149"/>
      <c r="AX881" s="150"/>
      <c r="AY881" s="147">
        <v>2</v>
      </c>
      <c r="AZ881" s="42" t="s">
        <v>4927</v>
      </c>
      <c r="BA881" s="135"/>
      <c r="BB881" s="148">
        <v>1</v>
      </c>
      <c r="BE881" s="37"/>
      <c r="BF881" s="36"/>
      <c r="BG881" s="36" t="s">
        <v>7324</v>
      </c>
    </row>
    <row r="882" spans="1:59" ht="60">
      <c r="A882" s="36" t="s">
        <v>7230</v>
      </c>
      <c r="B882" s="36" t="s">
        <v>7325</v>
      </c>
      <c r="C882" s="36" t="s">
        <v>7232</v>
      </c>
      <c r="D882" s="36">
        <v>255</v>
      </c>
      <c r="E882" s="36">
        <v>1</v>
      </c>
      <c r="F882" s="36" t="s">
        <v>7267</v>
      </c>
      <c r="G882" s="36" t="s">
        <v>7300</v>
      </c>
      <c r="J882" s="36" t="s">
        <v>31</v>
      </c>
      <c r="K882" s="36" t="s">
        <v>6280</v>
      </c>
      <c r="N882" s="36"/>
      <c r="O882" s="131"/>
      <c r="P882" s="132"/>
      <c r="Q882" s="133"/>
      <c r="R882" s="42"/>
      <c r="S882" s="134"/>
      <c r="T882" s="135"/>
      <c r="U882" s="131"/>
      <c r="V882" s="136"/>
      <c r="W882" s="137"/>
      <c r="X882" s="138"/>
      <c r="Y882" s="42"/>
      <c r="Z882" s="135"/>
      <c r="AA882" s="139"/>
      <c r="AB882" s="28"/>
      <c r="AE882" s="36"/>
      <c r="AF882" s="36" t="s">
        <v>7301</v>
      </c>
      <c r="AI882" s="36" t="s">
        <v>7326</v>
      </c>
      <c r="AL882" s="36" t="s">
        <v>31</v>
      </c>
      <c r="AM882" s="36" t="s">
        <v>6280</v>
      </c>
      <c r="AP882" s="36"/>
      <c r="AQ882" s="131"/>
      <c r="AR882" s="132"/>
      <c r="AS882" s="133"/>
      <c r="AT882" s="42"/>
      <c r="AU882" s="135"/>
      <c r="AV882" s="131"/>
      <c r="AW882" s="136"/>
      <c r="AX882" s="137"/>
      <c r="AY882" s="138">
        <v>5</v>
      </c>
      <c r="AZ882" s="42" t="s">
        <v>4927</v>
      </c>
      <c r="BA882" s="135"/>
      <c r="BB882" s="139">
        <v>1</v>
      </c>
      <c r="BF882" s="36"/>
      <c r="BG882" s="36" t="s">
        <v>7327</v>
      </c>
    </row>
    <row r="883" spans="1:59" ht="36">
      <c r="A883" s="36" t="s">
        <v>7230</v>
      </c>
      <c r="B883" s="36" t="s">
        <v>7328</v>
      </c>
      <c r="C883" s="36" t="s">
        <v>7232</v>
      </c>
      <c r="D883" s="36">
        <v>256</v>
      </c>
      <c r="E883" s="36">
        <v>1</v>
      </c>
      <c r="F883" s="36" t="s">
        <v>7267</v>
      </c>
      <c r="G883" s="36" t="s">
        <v>7300</v>
      </c>
      <c r="J883" s="36" t="s">
        <v>31</v>
      </c>
      <c r="K883" s="36" t="s">
        <v>6280</v>
      </c>
      <c r="N883" s="36"/>
      <c r="O883" s="131"/>
      <c r="P883" s="132"/>
      <c r="Q883" s="133"/>
      <c r="R883" s="42"/>
      <c r="S883" s="134"/>
      <c r="T883" s="135"/>
      <c r="U883" s="131"/>
      <c r="V883" s="136"/>
      <c r="W883" s="137"/>
      <c r="X883" s="138"/>
      <c r="Y883" s="42"/>
      <c r="Z883" s="135"/>
      <c r="AA883" s="139"/>
      <c r="AB883" s="28"/>
      <c r="AE883" s="36"/>
      <c r="AF883" s="36" t="s">
        <v>7301</v>
      </c>
      <c r="AI883" s="36" t="s">
        <v>7329</v>
      </c>
      <c r="AL883" s="36" t="s">
        <v>31</v>
      </c>
      <c r="AM883" s="36" t="s">
        <v>6280</v>
      </c>
      <c r="AP883" s="36"/>
      <c r="AQ883" s="131"/>
      <c r="AR883" s="132"/>
      <c r="AS883" s="133"/>
      <c r="AT883" s="42"/>
      <c r="AU883" s="135"/>
      <c r="AV883" s="131"/>
      <c r="AW883" s="136"/>
      <c r="AX883" s="137"/>
      <c r="AY883" s="138">
        <v>7</v>
      </c>
      <c r="AZ883" s="42">
        <v>0</v>
      </c>
      <c r="BA883" s="135"/>
      <c r="BB883" s="139"/>
      <c r="BF883" s="36"/>
      <c r="BG883" s="36" t="s">
        <v>7330</v>
      </c>
    </row>
    <row r="884" spans="1:59" ht="60">
      <c r="A884" s="36" t="s">
        <v>7230</v>
      </c>
      <c r="B884" s="36" t="s">
        <v>7331</v>
      </c>
      <c r="C884" s="36" t="s">
        <v>7232</v>
      </c>
      <c r="D884" s="36">
        <v>257</v>
      </c>
      <c r="E884" s="36">
        <v>1</v>
      </c>
      <c r="F884" s="36" t="s">
        <v>7267</v>
      </c>
      <c r="G884" s="36" t="s">
        <v>7300</v>
      </c>
      <c r="J884" s="36" t="s">
        <v>31</v>
      </c>
      <c r="K884" s="36" t="s">
        <v>6280</v>
      </c>
      <c r="N884" s="36"/>
      <c r="O884" s="131"/>
      <c r="P884" s="132"/>
      <c r="Q884" s="133"/>
      <c r="R884" s="42"/>
      <c r="S884" s="134"/>
      <c r="T884" s="135"/>
      <c r="U884" s="131"/>
      <c r="V884" s="136"/>
      <c r="W884" s="137"/>
      <c r="X884" s="138"/>
      <c r="Y884" s="42"/>
      <c r="Z884" s="135"/>
      <c r="AA884" s="139"/>
      <c r="AB884" s="28"/>
      <c r="AE884" s="36"/>
      <c r="AF884" s="36" t="s">
        <v>7301</v>
      </c>
      <c r="AI884" s="36" t="s">
        <v>7332</v>
      </c>
      <c r="AL884" s="36" t="s">
        <v>31</v>
      </c>
      <c r="AM884" s="36" t="s">
        <v>6280</v>
      </c>
      <c r="AP884" s="36"/>
      <c r="AQ884" s="131"/>
      <c r="AR884" s="132"/>
      <c r="AS884" s="133"/>
      <c r="AT884" s="42"/>
      <c r="AU884" s="135"/>
      <c r="AV884" s="131"/>
      <c r="AW884" s="136"/>
      <c r="AX884" s="137"/>
      <c r="AY884" s="138">
        <v>4</v>
      </c>
      <c r="AZ884" s="42" t="s">
        <v>4965</v>
      </c>
      <c r="BA884" s="135"/>
      <c r="BB884" s="139">
        <v>1</v>
      </c>
      <c r="BF884" s="36"/>
      <c r="BG884" s="36" t="s">
        <v>7333</v>
      </c>
    </row>
    <row r="885" spans="1:59" ht="48">
      <c r="A885" s="36" t="s">
        <v>7230</v>
      </c>
      <c r="B885" s="36" t="s">
        <v>7334</v>
      </c>
      <c r="C885" s="36" t="s">
        <v>7232</v>
      </c>
      <c r="D885" s="36">
        <v>258</v>
      </c>
      <c r="E885" s="36">
        <v>3</v>
      </c>
      <c r="F885" s="36" t="s">
        <v>7267</v>
      </c>
      <c r="G885" s="36" t="s">
        <v>7335</v>
      </c>
      <c r="J885" s="36" t="s">
        <v>29</v>
      </c>
      <c r="K885" s="36" t="s">
        <v>6280</v>
      </c>
      <c r="N885" s="36"/>
      <c r="O885" s="131"/>
      <c r="P885" s="132"/>
      <c r="Q885" s="133">
        <v>3</v>
      </c>
      <c r="R885" s="42">
        <v>2</v>
      </c>
      <c r="S885" s="134"/>
      <c r="T885" s="135">
        <v>2</v>
      </c>
      <c r="U885" s="131"/>
      <c r="V885" s="136"/>
      <c r="W885" s="137">
        <v>1</v>
      </c>
      <c r="X885" s="138"/>
      <c r="Y885" s="42"/>
      <c r="Z885" s="135"/>
      <c r="AA885" s="139"/>
      <c r="AB885" s="28"/>
      <c r="AD885" s="36" t="s">
        <v>6656</v>
      </c>
      <c r="AE885" s="36"/>
      <c r="AF885" s="36" t="s">
        <v>7336</v>
      </c>
      <c r="AP885" s="36"/>
      <c r="AQ885" s="131"/>
      <c r="AR885" s="132"/>
      <c r="AS885" s="133"/>
      <c r="AT885" s="42"/>
      <c r="AU885" s="135"/>
      <c r="AV885" s="131"/>
      <c r="AW885" s="136"/>
      <c r="AX885" s="137"/>
      <c r="AY885" s="138"/>
      <c r="AZ885" s="42"/>
      <c r="BA885" s="135"/>
      <c r="BB885" s="139"/>
      <c r="BF885" s="36"/>
    </row>
    <row r="886" spans="1:59" ht="60">
      <c r="A886" s="36" t="s">
        <v>7230</v>
      </c>
      <c r="B886" s="36" t="s">
        <v>7337</v>
      </c>
      <c r="C886" s="36" t="s">
        <v>7232</v>
      </c>
      <c r="D886" s="36">
        <v>259</v>
      </c>
      <c r="E886" s="36">
        <v>3</v>
      </c>
      <c r="F886" s="36" t="s">
        <v>7267</v>
      </c>
      <c r="G886" s="36" t="s">
        <v>7338</v>
      </c>
      <c r="J886" s="36" t="s">
        <v>29</v>
      </c>
      <c r="K886" s="36" t="s">
        <v>6280</v>
      </c>
      <c r="N886" s="36"/>
      <c r="O886" s="131"/>
      <c r="P886" s="132"/>
      <c r="Q886" s="133">
        <v>3</v>
      </c>
      <c r="R886" s="42">
        <v>4</v>
      </c>
      <c r="S886" s="134"/>
      <c r="T886" s="135">
        <v>5</v>
      </c>
      <c r="U886" s="131"/>
      <c r="V886" s="136">
        <v>2</v>
      </c>
      <c r="W886" s="137">
        <v>1</v>
      </c>
      <c r="X886" s="138"/>
      <c r="Y886" s="42"/>
      <c r="Z886" s="135"/>
      <c r="AA886" s="139"/>
      <c r="AB886" s="28"/>
      <c r="AD886" s="36" t="s">
        <v>6638</v>
      </c>
      <c r="AE886" s="36"/>
      <c r="AF886" s="36" t="s">
        <v>7339</v>
      </c>
      <c r="AP886" s="36"/>
      <c r="AQ886" s="131"/>
      <c r="AR886" s="132"/>
      <c r="AS886" s="133"/>
      <c r="AT886" s="42"/>
      <c r="AU886" s="135"/>
      <c r="AV886" s="131"/>
      <c r="AW886" s="136"/>
      <c r="AX886" s="137"/>
      <c r="AY886" s="138"/>
      <c r="AZ886" s="42"/>
      <c r="BA886" s="135"/>
      <c r="BB886" s="139"/>
      <c r="BF886" s="36"/>
    </row>
    <row r="887" spans="1:59" ht="36">
      <c r="A887" s="36" t="s">
        <v>7230</v>
      </c>
      <c r="B887" s="36" t="s">
        <v>7340</v>
      </c>
      <c r="C887" s="36" t="s">
        <v>7232</v>
      </c>
      <c r="D887" s="36">
        <v>260</v>
      </c>
      <c r="E887" s="36">
        <v>3</v>
      </c>
      <c r="F887" s="36" t="s">
        <v>7267</v>
      </c>
      <c r="G887" s="36" t="s">
        <v>7341</v>
      </c>
      <c r="J887" s="36" t="s">
        <v>28</v>
      </c>
      <c r="K887" s="36" t="s">
        <v>6280</v>
      </c>
      <c r="N887" s="36"/>
      <c r="O887" s="131"/>
      <c r="P887" s="132"/>
      <c r="Q887" s="133"/>
      <c r="R887" s="42"/>
      <c r="S887" s="134"/>
      <c r="T887" s="135"/>
      <c r="U887" s="131"/>
      <c r="V887" s="136"/>
      <c r="W887" s="137"/>
      <c r="X887" s="138"/>
      <c r="Y887" s="42"/>
      <c r="Z887" s="135"/>
      <c r="AA887" s="139"/>
      <c r="AB887" s="28"/>
      <c r="AD887" s="36" t="s">
        <v>4335</v>
      </c>
      <c r="AE887" s="36"/>
      <c r="AF887" s="36" t="s">
        <v>7342</v>
      </c>
      <c r="AP887" s="36"/>
      <c r="AQ887" s="131"/>
      <c r="AR887" s="132"/>
      <c r="AS887" s="133"/>
      <c r="AT887" s="42"/>
      <c r="AU887" s="135"/>
      <c r="AV887" s="131"/>
      <c r="AW887" s="136"/>
      <c r="AX887" s="137"/>
      <c r="AY887" s="138"/>
      <c r="AZ887" s="42"/>
      <c r="BA887" s="135"/>
      <c r="BB887" s="139"/>
      <c r="BF887" s="36"/>
    </row>
    <row r="888" spans="1:59" ht="84">
      <c r="A888" s="36" t="s">
        <v>7230</v>
      </c>
      <c r="B888" s="36" t="s">
        <v>7343</v>
      </c>
      <c r="C888" s="36" t="s">
        <v>7232</v>
      </c>
      <c r="D888" s="36">
        <v>261</v>
      </c>
      <c r="E888" s="36">
        <v>3</v>
      </c>
      <c r="F888" s="36" t="s">
        <v>7267</v>
      </c>
      <c r="G888" s="36" t="s">
        <v>7344</v>
      </c>
      <c r="J888" s="36" t="s">
        <v>28</v>
      </c>
      <c r="K888" s="36" t="s">
        <v>6280</v>
      </c>
      <c r="N888" s="36"/>
      <c r="O888" s="131"/>
      <c r="P888" s="132"/>
      <c r="Q888" s="133"/>
      <c r="R888" s="42"/>
      <c r="S888" s="134"/>
      <c r="T888" s="135"/>
      <c r="U888" s="131"/>
      <c r="V888" s="136"/>
      <c r="W888" s="137"/>
      <c r="X888" s="138"/>
      <c r="Y888" s="42"/>
      <c r="Z888" s="135"/>
      <c r="AA888" s="139"/>
      <c r="AB888" s="28"/>
      <c r="AD888" s="36" t="s">
        <v>4335</v>
      </c>
      <c r="AE888" s="36"/>
      <c r="AF888" s="36" t="s">
        <v>7345</v>
      </c>
      <c r="AP888" s="36"/>
      <c r="AQ888" s="131"/>
      <c r="AR888" s="132"/>
      <c r="AS888" s="133"/>
      <c r="AT888" s="42"/>
      <c r="AU888" s="135"/>
      <c r="AV888" s="131"/>
      <c r="AW888" s="136"/>
      <c r="AX888" s="137"/>
      <c r="AY888" s="138"/>
      <c r="AZ888" s="42"/>
      <c r="BA888" s="135"/>
      <c r="BB888" s="139"/>
      <c r="BF888" s="36"/>
    </row>
    <row r="889" spans="1:59" ht="72">
      <c r="A889" s="36" t="s">
        <v>7230</v>
      </c>
      <c r="B889" s="36" t="s">
        <v>7346</v>
      </c>
      <c r="C889" s="36" t="s">
        <v>7232</v>
      </c>
      <c r="D889" s="36">
        <v>262</v>
      </c>
      <c r="E889" s="36">
        <v>3</v>
      </c>
      <c r="F889" s="36" t="s">
        <v>7267</v>
      </c>
      <c r="G889" s="36" t="s">
        <v>7347</v>
      </c>
      <c r="J889" s="36" t="s">
        <v>28</v>
      </c>
      <c r="K889" s="36" t="s">
        <v>6280</v>
      </c>
      <c r="N889" s="36"/>
      <c r="O889" s="131"/>
      <c r="P889" s="132"/>
      <c r="Q889" s="133"/>
      <c r="R889" s="42"/>
      <c r="S889" s="134"/>
      <c r="T889" s="135"/>
      <c r="U889" s="131"/>
      <c r="V889" s="136"/>
      <c r="W889" s="137"/>
      <c r="X889" s="138"/>
      <c r="Y889" s="42"/>
      <c r="Z889" s="135"/>
      <c r="AA889" s="139"/>
      <c r="AB889" s="28"/>
      <c r="AD889" s="36" t="s">
        <v>4333</v>
      </c>
      <c r="AE889" s="36"/>
      <c r="AF889" s="36" t="s">
        <v>7348</v>
      </c>
      <c r="AP889" s="36"/>
      <c r="AQ889" s="131"/>
      <c r="AR889" s="132"/>
      <c r="AS889" s="133"/>
      <c r="AT889" s="42"/>
      <c r="AU889" s="135"/>
      <c r="AV889" s="131"/>
      <c r="AW889" s="136"/>
      <c r="AX889" s="137"/>
      <c r="AY889" s="138"/>
      <c r="AZ889" s="42"/>
      <c r="BA889" s="135"/>
      <c r="BB889" s="139"/>
      <c r="BF889" s="36"/>
    </row>
    <row r="890" spans="1:59" ht="72">
      <c r="A890" s="36" t="s">
        <v>7351</v>
      </c>
      <c r="B890" s="36" t="s">
        <v>7352</v>
      </c>
      <c r="C890" s="36" t="s">
        <v>7487</v>
      </c>
      <c r="D890" s="37">
        <v>263</v>
      </c>
      <c r="E890" s="36">
        <v>2</v>
      </c>
      <c r="G890" s="36" t="s">
        <v>7353</v>
      </c>
      <c r="J890" s="36" t="s">
        <v>27</v>
      </c>
      <c r="K890" s="36" t="s">
        <v>4052</v>
      </c>
      <c r="L890" s="36">
        <v>0</v>
      </c>
      <c r="N890" s="75">
        <v>1</v>
      </c>
      <c r="P890" s="77">
        <v>1</v>
      </c>
      <c r="Q890" s="78">
        <v>1</v>
      </c>
      <c r="AB890" s="36" t="s">
        <v>4945</v>
      </c>
      <c r="AD890" s="36" t="s">
        <v>4161</v>
      </c>
      <c r="AF890" s="36" t="s">
        <v>7354</v>
      </c>
      <c r="AP890" s="86"/>
      <c r="AQ890" s="88"/>
      <c r="AR890" s="89"/>
      <c r="AS890" s="90"/>
      <c r="AV890" s="88"/>
      <c r="AW890" s="96"/>
      <c r="AX890" s="97"/>
      <c r="AY890" s="93"/>
      <c r="BB890" s="94"/>
    </row>
    <row r="891" spans="1:59" ht="84">
      <c r="A891" s="36" t="s">
        <v>7351</v>
      </c>
      <c r="B891" s="36" t="s">
        <v>7355</v>
      </c>
      <c r="C891" s="36" t="s">
        <v>7487</v>
      </c>
      <c r="D891" s="37">
        <v>264</v>
      </c>
      <c r="E891" s="36">
        <v>2</v>
      </c>
      <c r="G891" s="36" t="s">
        <v>7356</v>
      </c>
      <c r="J891" s="36" t="s">
        <v>4111</v>
      </c>
      <c r="K891" s="36" t="s">
        <v>4052</v>
      </c>
      <c r="L891" s="36">
        <v>3</v>
      </c>
      <c r="N891" s="75" t="s">
        <v>38</v>
      </c>
      <c r="AD891" s="36" t="s">
        <v>4143</v>
      </c>
      <c r="AF891" s="36" t="s">
        <v>7357</v>
      </c>
      <c r="AP891" s="86"/>
      <c r="AQ891" s="88"/>
      <c r="AR891" s="89"/>
      <c r="AS891" s="90"/>
      <c r="AV891" s="88"/>
      <c r="AW891" s="96"/>
      <c r="AX891" s="97"/>
      <c r="AY891" s="93"/>
      <c r="BB891" s="94"/>
    </row>
    <row r="892" spans="1:59" ht="36">
      <c r="A892" s="36" t="s">
        <v>7351</v>
      </c>
      <c r="B892" s="36" t="s">
        <v>7358</v>
      </c>
      <c r="C892" s="36" t="s">
        <v>7487</v>
      </c>
      <c r="D892" s="37">
        <v>265</v>
      </c>
      <c r="E892" s="36">
        <v>2</v>
      </c>
      <c r="G892" s="36" t="s">
        <v>7359</v>
      </c>
      <c r="J892" s="36" t="s">
        <v>27</v>
      </c>
      <c r="K892" s="36" t="s">
        <v>4053</v>
      </c>
      <c r="L892" s="36">
        <v>0</v>
      </c>
      <c r="N892" s="75">
        <v>0</v>
      </c>
      <c r="S892" s="126">
        <v>1</v>
      </c>
      <c r="AB892" s="36" t="s">
        <v>4062</v>
      </c>
      <c r="AD892" s="36" t="s">
        <v>4194</v>
      </c>
      <c r="AF892" s="36" t="s">
        <v>7360</v>
      </c>
      <c r="AP892" s="86"/>
      <c r="AQ892" s="88"/>
      <c r="AR892" s="89"/>
      <c r="AS892" s="90"/>
      <c r="AV892" s="88"/>
      <c r="AW892" s="96"/>
      <c r="AX892" s="97"/>
      <c r="AY892" s="93"/>
      <c r="BB892" s="94"/>
    </row>
    <row r="893" spans="1:59" ht="48">
      <c r="A893" s="36" t="s">
        <v>7351</v>
      </c>
      <c r="B893" s="36" t="s">
        <v>7361</v>
      </c>
      <c r="C893" s="36" t="s">
        <v>7487</v>
      </c>
      <c r="D893" s="37">
        <v>266</v>
      </c>
      <c r="E893" s="36">
        <v>2</v>
      </c>
      <c r="G893" s="36" t="s">
        <v>7362</v>
      </c>
      <c r="J893" s="36" t="s">
        <v>4111</v>
      </c>
      <c r="K893" s="36" t="s">
        <v>4053</v>
      </c>
      <c r="L893" s="36">
        <v>4</v>
      </c>
      <c r="N893" s="75">
        <v>3</v>
      </c>
      <c r="O893" s="76">
        <v>1</v>
      </c>
      <c r="P893" s="77">
        <v>1</v>
      </c>
      <c r="AB893" s="36" t="s">
        <v>6176</v>
      </c>
      <c r="AC893" s="36" t="s">
        <v>4232</v>
      </c>
      <c r="AD893" s="36" t="s">
        <v>4133</v>
      </c>
      <c r="AF893" s="36" t="s">
        <v>7363</v>
      </c>
      <c r="AP893" s="86"/>
      <c r="AQ893" s="88"/>
      <c r="AR893" s="89"/>
      <c r="AS893" s="90"/>
      <c r="AV893" s="88"/>
      <c r="AW893" s="96"/>
      <c r="AX893" s="97"/>
      <c r="AY893" s="93"/>
      <c r="BB893" s="94"/>
    </row>
    <row r="894" spans="1:59" ht="48">
      <c r="A894" s="36" t="s">
        <v>7351</v>
      </c>
      <c r="B894" s="36" t="s">
        <v>7364</v>
      </c>
      <c r="C894" s="36" t="s">
        <v>7487</v>
      </c>
      <c r="D894" s="37">
        <v>267</v>
      </c>
      <c r="E894" s="36">
        <v>2</v>
      </c>
      <c r="G894" s="36" t="s">
        <v>7365</v>
      </c>
      <c r="J894" s="36" t="s">
        <v>27</v>
      </c>
      <c r="K894" s="36" t="s">
        <v>4055</v>
      </c>
      <c r="L894" s="36">
        <v>0</v>
      </c>
      <c r="N894" s="75">
        <v>0</v>
      </c>
      <c r="R894" s="79">
        <v>2</v>
      </c>
      <c r="AB894" s="36" t="s">
        <v>4949</v>
      </c>
      <c r="AD894" s="36" t="s">
        <v>4226</v>
      </c>
      <c r="AF894" s="36" t="s">
        <v>7366</v>
      </c>
      <c r="AP894" s="86"/>
      <c r="AQ894" s="88"/>
      <c r="AR894" s="89"/>
      <c r="AS894" s="90"/>
      <c r="AV894" s="88"/>
      <c r="AW894" s="96"/>
      <c r="AX894" s="97"/>
      <c r="AY894" s="93"/>
      <c r="BB894" s="94"/>
    </row>
    <row r="895" spans="1:59" ht="72">
      <c r="A895" s="36" t="s">
        <v>7351</v>
      </c>
      <c r="B895" s="36" t="s">
        <v>7367</v>
      </c>
      <c r="C895" s="36" t="s">
        <v>7487</v>
      </c>
      <c r="D895" s="37">
        <v>268</v>
      </c>
      <c r="E895" s="36">
        <v>2</v>
      </c>
      <c r="G895" s="36" t="s">
        <v>7368</v>
      </c>
      <c r="J895" s="36" t="s">
        <v>4111</v>
      </c>
      <c r="K895" s="36" t="s">
        <v>4055</v>
      </c>
      <c r="L895" s="36">
        <v>4</v>
      </c>
      <c r="N895" s="75">
        <v>3</v>
      </c>
      <c r="O895" s="76">
        <v>1</v>
      </c>
      <c r="R895" s="79">
        <v>1</v>
      </c>
      <c r="AB895" s="36" t="s">
        <v>6042</v>
      </c>
      <c r="AC895" s="36" t="s">
        <v>4232</v>
      </c>
      <c r="AD895" s="36" t="s">
        <v>4133</v>
      </c>
      <c r="AF895" s="36" t="s">
        <v>7369</v>
      </c>
      <c r="AP895" s="86"/>
      <c r="AQ895" s="88"/>
      <c r="AR895" s="89"/>
      <c r="AS895" s="90"/>
      <c r="AV895" s="88"/>
      <c r="AW895" s="96"/>
      <c r="AX895" s="97"/>
      <c r="AY895" s="93"/>
      <c r="BB895" s="94"/>
    </row>
    <row r="896" spans="1:59" ht="36">
      <c r="A896" s="36" t="s">
        <v>7351</v>
      </c>
      <c r="B896" s="36" t="s">
        <v>7370</v>
      </c>
      <c r="C896" s="36" t="s">
        <v>7487</v>
      </c>
      <c r="D896" s="37">
        <v>269</v>
      </c>
      <c r="E896" s="36">
        <v>2</v>
      </c>
      <c r="G896" s="36" t="s">
        <v>7371</v>
      </c>
      <c r="H896" s="36" t="s">
        <v>7372</v>
      </c>
      <c r="I896" s="36" t="s">
        <v>4077</v>
      </c>
      <c r="J896" s="36" t="s">
        <v>4111</v>
      </c>
      <c r="K896" s="36" t="s">
        <v>4054</v>
      </c>
      <c r="L896" s="36">
        <v>0</v>
      </c>
      <c r="N896" s="75">
        <v>4</v>
      </c>
      <c r="O896" s="76">
        <v>1</v>
      </c>
      <c r="AB896" s="36" t="s">
        <v>4058</v>
      </c>
      <c r="AC896" s="36" t="s">
        <v>4129</v>
      </c>
      <c r="AD896" s="36" t="s">
        <v>4229</v>
      </c>
      <c r="AF896" s="36" t="s">
        <v>7373</v>
      </c>
      <c r="AP896" s="86"/>
      <c r="AQ896" s="88"/>
      <c r="AR896" s="89"/>
      <c r="AS896" s="90"/>
      <c r="AV896" s="88"/>
      <c r="AW896" s="96"/>
      <c r="AX896" s="97"/>
      <c r="AY896" s="93"/>
      <c r="BB896" s="94"/>
    </row>
    <row r="897" spans="1:59" ht="36">
      <c r="A897" s="36" t="s">
        <v>7351</v>
      </c>
      <c r="B897" s="36" t="s">
        <v>7374</v>
      </c>
      <c r="C897" s="36" t="s">
        <v>7487</v>
      </c>
      <c r="D897" s="37">
        <v>270</v>
      </c>
      <c r="E897" s="36">
        <v>2</v>
      </c>
      <c r="G897" s="36" t="s">
        <v>4527</v>
      </c>
      <c r="J897" s="36" t="s">
        <v>27</v>
      </c>
      <c r="K897" s="36" t="s">
        <v>4054</v>
      </c>
      <c r="L897" s="36">
        <v>2</v>
      </c>
      <c r="N897" s="75">
        <v>1</v>
      </c>
      <c r="S897" s="126">
        <v>1</v>
      </c>
      <c r="AB897" s="36" t="s">
        <v>4062</v>
      </c>
      <c r="AD897" s="36" t="s">
        <v>4528</v>
      </c>
      <c r="AF897" s="36" t="s">
        <v>7375</v>
      </c>
      <c r="AP897" s="86"/>
      <c r="AQ897" s="88"/>
      <c r="AR897" s="89"/>
      <c r="AS897" s="90"/>
      <c r="AV897" s="88"/>
      <c r="AW897" s="96"/>
      <c r="AX897" s="97"/>
      <c r="AY897" s="93"/>
      <c r="BB897" s="94"/>
    </row>
    <row r="898" spans="1:59" ht="48">
      <c r="A898" s="36" t="s">
        <v>7351</v>
      </c>
      <c r="B898" s="36" t="s">
        <v>7376</v>
      </c>
      <c r="C898" s="36" t="s">
        <v>7487</v>
      </c>
      <c r="D898" s="37">
        <v>271</v>
      </c>
      <c r="E898" s="36">
        <v>2</v>
      </c>
      <c r="G898" s="36" t="s">
        <v>4523</v>
      </c>
      <c r="J898" s="36" t="s">
        <v>4111</v>
      </c>
      <c r="K898" s="36" t="s">
        <v>4054</v>
      </c>
      <c r="L898" s="36">
        <v>3</v>
      </c>
      <c r="N898" s="75">
        <v>0</v>
      </c>
      <c r="O898" s="76">
        <v>1</v>
      </c>
      <c r="Q898" s="78">
        <v>1</v>
      </c>
      <c r="T898" s="81">
        <v>1</v>
      </c>
      <c r="U898" s="76">
        <v>3</v>
      </c>
      <c r="AB898" s="36" t="s">
        <v>6033</v>
      </c>
      <c r="AC898" s="36" t="s">
        <v>25</v>
      </c>
      <c r="AD898" s="36" t="s">
        <v>4524</v>
      </c>
      <c r="AF898" s="36" t="s">
        <v>7377</v>
      </c>
      <c r="AP898" s="86"/>
      <c r="AQ898" s="88"/>
      <c r="AR898" s="89"/>
      <c r="AS898" s="90"/>
      <c r="AV898" s="88"/>
      <c r="AW898" s="96"/>
      <c r="AX898" s="97"/>
      <c r="AY898" s="93"/>
      <c r="BB898" s="94"/>
    </row>
    <row r="899" spans="1:59" ht="48">
      <c r="A899" s="36" t="s">
        <v>7351</v>
      </c>
      <c r="B899" s="36" t="s">
        <v>7378</v>
      </c>
      <c r="C899" s="36" t="s">
        <v>7487</v>
      </c>
      <c r="D899" s="37">
        <v>272</v>
      </c>
      <c r="E899" s="36">
        <v>2</v>
      </c>
      <c r="G899" s="36" t="s">
        <v>7379</v>
      </c>
      <c r="J899" s="36" t="s">
        <v>4166</v>
      </c>
      <c r="K899" s="36" t="s">
        <v>4056</v>
      </c>
      <c r="L899" s="36">
        <v>0</v>
      </c>
      <c r="O899" s="76">
        <v>1</v>
      </c>
      <c r="Q899" s="78">
        <v>1</v>
      </c>
      <c r="R899" s="79">
        <v>1</v>
      </c>
      <c r="AB899" s="36" t="s">
        <v>7250</v>
      </c>
      <c r="AD899" s="36" t="s">
        <v>4266</v>
      </c>
      <c r="AF899" s="36" t="s">
        <v>7380</v>
      </c>
      <c r="AP899" s="86"/>
      <c r="AQ899" s="88"/>
      <c r="AR899" s="89"/>
      <c r="AS899" s="90"/>
      <c r="AV899" s="88"/>
      <c r="AW899" s="96"/>
      <c r="AX899" s="97"/>
      <c r="AY899" s="93"/>
      <c r="BB899" s="94"/>
    </row>
    <row r="900" spans="1:59">
      <c r="A900" s="36" t="s">
        <v>7351</v>
      </c>
      <c r="B900" s="36" t="s">
        <v>7381</v>
      </c>
      <c r="C900" s="36" t="s">
        <v>7487</v>
      </c>
      <c r="D900" s="37">
        <v>273</v>
      </c>
      <c r="E900" s="36">
        <v>2</v>
      </c>
      <c r="G900" s="36" t="s">
        <v>7382</v>
      </c>
      <c r="J900" s="36" t="s">
        <v>27</v>
      </c>
      <c r="K900" s="36" t="s">
        <v>4056</v>
      </c>
      <c r="L900" s="36">
        <v>3</v>
      </c>
      <c r="N900" s="75">
        <v>3</v>
      </c>
      <c r="AD900" s="36" t="s">
        <v>5659</v>
      </c>
      <c r="AF900" s="36" t="s">
        <v>7383</v>
      </c>
      <c r="AP900" s="86"/>
      <c r="AQ900" s="88"/>
      <c r="AR900" s="89"/>
      <c r="AS900" s="90"/>
      <c r="AV900" s="88"/>
      <c r="AW900" s="96"/>
      <c r="AX900" s="97"/>
      <c r="AY900" s="93"/>
      <c r="BB900" s="94"/>
    </row>
    <row r="901" spans="1:59" ht="108">
      <c r="A901" s="36" t="s">
        <v>7351</v>
      </c>
      <c r="B901" s="36" t="s">
        <v>7384</v>
      </c>
      <c r="C901" s="36" t="s">
        <v>7487</v>
      </c>
      <c r="D901" s="37">
        <v>274</v>
      </c>
      <c r="E901" s="36">
        <v>1</v>
      </c>
      <c r="F901" s="36" t="s">
        <v>6641</v>
      </c>
      <c r="G901" s="36" t="s">
        <v>6641</v>
      </c>
      <c r="J901" s="36" t="s">
        <v>4472</v>
      </c>
      <c r="K901" s="36" t="s">
        <v>6280</v>
      </c>
      <c r="AF901" s="36" t="s">
        <v>7385</v>
      </c>
      <c r="AI901" s="36" t="s">
        <v>6641</v>
      </c>
      <c r="AL901" s="36" t="s">
        <v>4472</v>
      </c>
      <c r="AM901" s="36" t="s">
        <v>6280</v>
      </c>
      <c r="AP901" s="86"/>
      <c r="AQ901" s="88"/>
      <c r="AR901" s="89"/>
      <c r="AS901" s="90"/>
      <c r="AV901" s="88"/>
      <c r="AW901" s="96"/>
      <c r="AX901" s="97"/>
      <c r="AY901" s="93"/>
      <c r="BB901" s="94"/>
      <c r="BG901" s="36" t="s">
        <v>7386</v>
      </c>
    </row>
    <row r="902" spans="1:59" ht="108">
      <c r="A902" s="36" t="s">
        <v>7351</v>
      </c>
      <c r="B902" s="36" t="s">
        <v>7387</v>
      </c>
      <c r="C902" s="36" t="s">
        <v>7487</v>
      </c>
      <c r="D902" s="37">
        <v>275</v>
      </c>
      <c r="E902" s="36">
        <v>1</v>
      </c>
      <c r="F902" s="36" t="s">
        <v>6641</v>
      </c>
      <c r="G902" s="36" t="s">
        <v>7388</v>
      </c>
      <c r="J902" s="36" t="s">
        <v>4473</v>
      </c>
      <c r="K902" s="36" t="s">
        <v>6280</v>
      </c>
      <c r="L902" s="36">
        <v>1</v>
      </c>
      <c r="Z902" s="81">
        <v>5</v>
      </c>
      <c r="AF902" s="36" t="s">
        <v>7389</v>
      </c>
      <c r="AI902" s="36" t="s">
        <v>7390</v>
      </c>
      <c r="AL902" s="36" t="s">
        <v>4473</v>
      </c>
      <c r="AM902" s="36" t="s">
        <v>6280</v>
      </c>
      <c r="AN902" s="36">
        <v>1</v>
      </c>
      <c r="AP902" s="86"/>
      <c r="AQ902" s="88"/>
      <c r="AR902" s="89"/>
      <c r="AS902" s="90"/>
      <c r="AV902" s="88"/>
      <c r="AW902" s="96"/>
      <c r="AX902" s="97"/>
      <c r="AY902" s="93"/>
      <c r="BB902" s="94"/>
      <c r="BG902" s="36" t="s">
        <v>7391</v>
      </c>
    </row>
    <row r="903" spans="1:59" ht="96">
      <c r="A903" s="36" t="s">
        <v>7351</v>
      </c>
      <c r="B903" s="36" t="s">
        <v>7392</v>
      </c>
      <c r="C903" s="36" t="s">
        <v>7487</v>
      </c>
      <c r="D903" s="37">
        <v>276</v>
      </c>
      <c r="E903" s="36">
        <v>1</v>
      </c>
      <c r="F903" s="36" t="s">
        <v>7393</v>
      </c>
      <c r="G903" s="36" t="s">
        <v>7394</v>
      </c>
      <c r="J903" s="36" t="s">
        <v>4473</v>
      </c>
      <c r="K903" s="36" t="s">
        <v>6280</v>
      </c>
      <c r="L903" s="36">
        <v>2</v>
      </c>
      <c r="Z903" s="81">
        <v>6</v>
      </c>
      <c r="AF903" s="36" t="s">
        <v>7395</v>
      </c>
      <c r="AI903" s="36" t="s">
        <v>7396</v>
      </c>
      <c r="AL903" s="36" t="s">
        <v>4473</v>
      </c>
      <c r="AM903" s="36" t="s">
        <v>6280</v>
      </c>
      <c r="AN903" s="36">
        <v>2</v>
      </c>
      <c r="AP903" s="86"/>
      <c r="AQ903" s="88"/>
      <c r="AR903" s="89"/>
      <c r="AS903" s="90"/>
      <c r="AV903" s="88"/>
      <c r="AW903" s="96"/>
      <c r="AX903" s="97"/>
      <c r="AY903" s="93"/>
      <c r="BB903" s="94"/>
      <c r="BG903" s="36" t="s">
        <v>7397</v>
      </c>
    </row>
    <row r="904" spans="1:59" ht="60">
      <c r="A904" s="36" t="s">
        <v>7351</v>
      </c>
      <c r="B904" s="36" t="s">
        <v>7398</v>
      </c>
      <c r="C904" s="36" t="s">
        <v>7487</v>
      </c>
      <c r="D904" s="37">
        <v>276</v>
      </c>
      <c r="E904" s="36">
        <v>1</v>
      </c>
      <c r="F904" s="36" t="s">
        <v>7399</v>
      </c>
      <c r="G904" s="36" t="s">
        <v>7394</v>
      </c>
      <c r="J904" s="36" t="s">
        <v>4473</v>
      </c>
      <c r="K904" s="36" t="s">
        <v>6280</v>
      </c>
      <c r="L904" s="36">
        <v>2</v>
      </c>
      <c r="Z904" s="81">
        <v>6</v>
      </c>
      <c r="AF904" s="36" t="s">
        <v>7395</v>
      </c>
      <c r="AI904" s="36" t="s">
        <v>6792</v>
      </c>
      <c r="AL904" s="36" t="s">
        <v>4473</v>
      </c>
      <c r="AM904" s="36" t="s">
        <v>6280</v>
      </c>
      <c r="AN904" s="36">
        <v>2</v>
      </c>
      <c r="AP904" s="86"/>
      <c r="AQ904" s="88"/>
      <c r="AR904" s="89"/>
      <c r="AS904" s="90"/>
      <c r="AV904" s="88"/>
      <c r="AW904" s="96"/>
      <c r="AX904" s="97"/>
      <c r="AY904" s="93"/>
      <c r="BB904" s="94"/>
      <c r="BG904" s="36" t="s">
        <v>7400</v>
      </c>
    </row>
    <row r="905" spans="1:59">
      <c r="A905" s="36" t="s">
        <v>7351</v>
      </c>
      <c r="B905" s="36" t="s">
        <v>7401</v>
      </c>
      <c r="C905" s="36" t="s">
        <v>7487</v>
      </c>
      <c r="D905" s="37">
        <v>277</v>
      </c>
      <c r="E905" s="36">
        <v>1</v>
      </c>
      <c r="F905" s="36" t="s">
        <v>6641</v>
      </c>
      <c r="G905" s="36" t="s">
        <v>7402</v>
      </c>
      <c r="J905" s="36" t="s">
        <v>4473</v>
      </c>
      <c r="K905" s="36" t="s">
        <v>6280</v>
      </c>
      <c r="L905" s="36">
        <v>3</v>
      </c>
      <c r="Z905" s="81">
        <v>8</v>
      </c>
      <c r="AF905" s="36" t="s">
        <v>7403</v>
      </c>
      <c r="AI905" s="36" t="s">
        <v>7404</v>
      </c>
      <c r="AL905" s="36" t="s">
        <v>4473</v>
      </c>
      <c r="AM905" s="36" t="s">
        <v>6280</v>
      </c>
      <c r="AN905" s="36">
        <v>3</v>
      </c>
      <c r="AP905" s="86"/>
      <c r="AQ905" s="88"/>
      <c r="AR905" s="89"/>
      <c r="AS905" s="90"/>
      <c r="AV905" s="88"/>
      <c r="AW905" s="96"/>
      <c r="AX905" s="97"/>
      <c r="AY905" s="93"/>
      <c r="BB905" s="94"/>
      <c r="BG905" s="36" t="s">
        <v>5341</v>
      </c>
    </row>
    <row r="906" spans="1:59" ht="108">
      <c r="A906" s="36" t="s">
        <v>7351</v>
      </c>
      <c r="B906" s="36" t="s">
        <v>7405</v>
      </c>
      <c r="C906" s="36" t="s">
        <v>7487</v>
      </c>
      <c r="D906" s="37">
        <v>278</v>
      </c>
      <c r="E906" s="36">
        <v>1</v>
      </c>
      <c r="F906" s="36" t="s">
        <v>6641</v>
      </c>
      <c r="G906" s="36" t="s">
        <v>4642</v>
      </c>
      <c r="J906" s="36" t="s">
        <v>4473</v>
      </c>
      <c r="K906" s="36" t="s">
        <v>6280</v>
      </c>
      <c r="L906" s="36">
        <v>1</v>
      </c>
      <c r="Z906" s="81">
        <v>5</v>
      </c>
      <c r="AF906" s="36" t="s">
        <v>7406</v>
      </c>
      <c r="AI906" s="36" t="s">
        <v>7407</v>
      </c>
      <c r="AL906" s="36" t="s">
        <v>4473</v>
      </c>
      <c r="AM906" s="36" t="s">
        <v>6280</v>
      </c>
      <c r="AN906" s="36">
        <v>1</v>
      </c>
      <c r="AP906" s="86"/>
      <c r="AQ906" s="88"/>
      <c r="AR906" s="89"/>
      <c r="AS906" s="90"/>
      <c r="AV906" s="88"/>
      <c r="AW906" s="96"/>
      <c r="AX906" s="97"/>
      <c r="AY906" s="93"/>
      <c r="BB906" s="94"/>
      <c r="BG906" s="36" t="s">
        <v>7408</v>
      </c>
    </row>
    <row r="907" spans="1:59" ht="96">
      <c r="A907" s="36" t="s">
        <v>7351</v>
      </c>
      <c r="B907" s="36" t="s">
        <v>7409</v>
      </c>
      <c r="C907" s="36" t="s">
        <v>7487</v>
      </c>
      <c r="D907" s="37">
        <v>279</v>
      </c>
      <c r="E907" s="36">
        <v>1</v>
      </c>
      <c r="F907" s="36" t="s">
        <v>7399</v>
      </c>
      <c r="G907" s="36" t="s">
        <v>7410</v>
      </c>
      <c r="J907" s="36" t="s">
        <v>4473</v>
      </c>
      <c r="K907" s="36" t="s">
        <v>6280</v>
      </c>
      <c r="L907" s="36">
        <v>2</v>
      </c>
      <c r="Z907" s="81">
        <v>6</v>
      </c>
      <c r="AF907" s="36" t="s">
        <v>7411</v>
      </c>
      <c r="AI907" s="36" t="s">
        <v>7396</v>
      </c>
      <c r="AL907" s="36" t="s">
        <v>4473</v>
      </c>
      <c r="AM907" s="36" t="s">
        <v>6280</v>
      </c>
      <c r="AN907" s="36">
        <v>2</v>
      </c>
      <c r="AP907" s="86"/>
      <c r="AQ907" s="88"/>
      <c r="AR907" s="89"/>
      <c r="AS907" s="90"/>
      <c r="AV907" s="88"/>
      <c r="AW907" s="96"/>
      <c r="AX907" s="97"/>
      <c r="AY907" s="93"/>
      <c r="BB907" s="94"/>
      <c r="BG907" s="36" t="s">
        <v>7412</v>
      </c>
    </row>
    <row r="908" spans="1:59" ht="60">
      <c r="A908" s="36" t="s">
        <v>7351</v>
      </c>
      <c r="B908" s="36" t="s">
        <v>7413</v>
      </c>
      <c r="C908" s="36" t="s">
        <v>7487</v>
      </c>
      <c r="D908" s="37">
        <v>279</v>
      </c>
      <c r="E908" s="36">
        <v>1</v>
      </c>
      <c r="F908" s="36" t="s">
        <v>7393</v>
      </c>
      <c r="G908" s="36" t="s">
        <v>7410</v>
      </c>
      <c r="J908" s="36" t="s">
        <v>4473</v>
      </c>
      <c r="K908" s="36" t="s">
        <v>6280</v>
      </c>
      <c r="L908" s="36">
        <v>2</v>
      </c>
      <c r="Z908" s="81">
        <v>6</v>
      </c>
      <c r="AF908" s="36" t="s">
        <v>7411</v>
      </c>
      <c r="AI908" s="36" t="s">
        <v>6792</v>
      </c>
      <c r="AL908" s="36" t="s">
        <v>4473</v>
      </c>
      <c r="AM908" s="36" t="s">
        <v>6280</v>
      </c>
      <c r="AN908" s="36">
        <v>2</v>
      </c>
      <c r="AP908" s="86"/>
      <c r="AQ908" s="88"/>
      <c r="AR908" s="89"/>
      <c r="AS908" s="90"/>
      <c r="AV908" s="88"/>
      <c r="AW908" s="96"/>
      <c r="AX908" s="97"/>
      <c r="AY908" s="93"/>
      <c r="BB908" s="94"/>
      <c r="BG908" s="36" t="s">
        <v>7414</v>
      </c>
    </row>
    <row r="909" spans="1:59">
      <c r="A909" s="36" t="s">
        <v>7351</v>
      </c>
      <c r="B909" s="36" t="s">
        <v>7415</v>
      </c>
      <c r="C909" s="36" t="s">
        <v>7487</v>
      </c>
      <c r="D909" s="37">
        <v>280</v>
      </c>
      <c r="E909" s="36">
        <v>1</v>
      </c>
      <c r="F909" s="36" t="s">
        <v>6641</v>
      </c>
      <c r="G909" s="36" t="s">
        <v>7416</v>
      </c>
      <c r="J909" s="36" t="s">
        <v>4473</v>
      </c>
      <c r="K909" s="36" t="s">
        <v>6280</v>
      </c>
      <c r="L909" s="36">
        <v>3</v>
      </c>
      <c r="Z909" s="81">
        <v>8</v>
      </c>
      <c r="AF909" s="36" t="s">
        <v>7417</v>
      </c>
      <c r="AI909" s="36" t="s">
        <v>7404</v>
      </c>
      <c r="AL909" s="36" t="s">
        <v>4473</v>
      </c>
      <c r="AM909" s="36" t="s">
        <v>6280</v>
      </c>
      <c r="AN909" s="36">
        <v>3</v>
      </c>
      <c r="AP909" s="86"/>
      <c r="AQ909" s="88"/>
      <c r="AR909" s="89"/>
      <c r="AS909" s="90"/>
      <c r="AV909" s="88"/>
      <c r="AW909" s="96"/>
      <c r="AX909" s="97"/>
      <c r="AY909" s="93"/>
      <c r="BB909" s="94"/>
      <c r="BG909" s="36" t="s">
        <v>5341</v>
      </c>
    </row>
    <row r="910" spans="1:59" ht="36">
      <c r="A910" s="36" t="s">
        <v>7351</v>
      </c>
      <c r="B910" s="36" t="s">
        <v>7418</v>
      </c>
      <c r="C910" s="36" t="s">
        <v>7487</v>
      </c>
      <c r="D910" s="37">
        <v>281</v>
      </c>
      <c r="E910" s="36">
        <v>1</v>
      </c>
      <c r="F910" s="36" t="s">
        <v>6641</v>
      </c>
      <c r="G910" s="36" t="s">
        <v>7419</v>
      </c>
      <c r="J910" s="36" t="s">
        <v>4475</v>
      </c>
      <c r="K910" s="36" t="s">
        <v>6280</v>
      </c>
      <c r="L910" s="36">
        <v>3</v>
      </c>
      <c r="Y910" s="79" t="s">
        <v>38</v>
      </c>
      <c r="AF910" s="36" t="s">
        <v>7420</v>
      </c>
      <c r="AI910" s="36" t="s">
        <v>7421</v>
      </c>
      <c r="AL910" s="36" t="s">
        <v>4475</v>
      </c>
      <c r="AM910" s="36" t="s">
        <v>6280</v>
      </c>
      <c r="AN910" s="36">
        <v>3</v>
      </c>
      <c r="AP910" s="86"/>
      <c r="AQ910" s="88"/>
      <c r="AR910" s="89"/>
      <c r="AS910" s="90"/>
      <c r="AV910" s="88"/>
      <c r="AW910" s="96"/>
      <c r="AX910" s="97"/>
      <c r="AY910" s="93"/>
      <c r="BB910" s="94"/>
      <c r="BG910" s="36" t="s">
        <v>5740</v>
      </c>
    </row>
    <row r="911" spans="1:59" ht="24">
      <c r="A911" s="36" t="s">
        <v>7351</v>
      </c>
      <c r="B911" s="36" t="s">
        <v>7422</v>
      </c>
      <c r="C911" s="36" t="s">
        <v>7487</v>
      </c>
      <c r="D911" s="37">
        <v>282</v>
      </c>
      <c r="E911" s="36">
        <v>1</v>
      </c>
      <c r="F911" s="36" t="s">
        <v>6641</v>
      </c>
      <c r="G911" s="36" t="s">
        <v>7423</v>
      </c>
      <c r="J911" s="36" t="s">
        <v>4475</v>
      </c>
      <c r="K911" s="36" t="s">
        <v>6280</v>
      </c>
      <c r="L911" s="36">
        <v>3</v>
      </c>
      <c r="Y911" s="79" t="s">
        <v>38</v>
      </c>
      <c r="AF911" s="36" t="s">
        <v>7424</v>
      </c>
      <c r="AI911" s="36" t="s">
        <v>7421</v>
      </c>
      <c r="AL911" s="36" t="s">
        <v>4475</v>
      </c>
      <c r="AM911" s="36" t="s">
        <v>6280</v>
      </c>
      <c r="AN911" s="36">
        <v>3</v>
      </c>
      <c r="AP911" s="86"/>
      <c r="AQ911" s="88"/>
      <c r="AR911" s="89"/>
      <c r="AS911" s="90"/>
      <c r="AV911" s="88"/>
      <c r="AW911" s="96"/>
      <c r="AX911" s="97"/>
      <c r="AY911" s="93"/>
      <c r="BB911" s="94"/>
      <c r="BG911" s="36" t="s">
        <v>6066</v>
      </c>
    </row>
    <row r="912" spans="1:59" ht="36">
      <c r="A912" s="36" t="s">
        <v>7351</v>
      </c>
      <c r="B912" s="36" t="s">
        <v>7425</v>
      </c>
      <c r="C912" s="36" t="s">
        <v>7487</v>
      </c>
      <c r="D912" s="37">
        <v>283</v>
      </c>
      <c r="E912" s="36">
        <v>1</v>
      </c>
      <c r="F912" s="36" t="s">
        <v>6641</v>
      </c>
      <c r="G912" s="36" t="s">
        <v>7426</v>
      </c>
      <c r="J912" s="36" t="s">
        <v>31</v>
      </c>
      <c r="K912" s="36" t="s">
        <v>6280</v>
      </c>
      <c r="AI912" s="36" t="s">
        <v>7426</v>
      </c>
      <c r="AL912" s="36" t="s">
        <v>31</v>
      </c>
      <c r="AM912" s="36" t="s">
        <v>6280</v>
      </c>
      <c r="AP912" s="86"/>
      <c r="AQ912" s="88"/>
      <c r="AR912" s="89"/>
      <c r="AS912" s="90"/>
      <c r="AV912" s="88"/>
      <c r="AW912" s="96"/>
      <c r="AX912" s="97"/>
      <c r="AY912" s="93">
        <v>3</v>
      </c>
      <c r="AZ912" s="79" t="s">
        <v>4927</v>
      </c>
      <c r="BB912" s="94"/>
      <c r="BG912" s="36" t="s">
        <v>7427</v>
      </c>
    </row>
    <row r="913" spans="1:59" ht="48">
      <c r="A913" s="36" t="s">
        <v>7351</v>
      </c>
      <c r="B913" s="36" t="s">
        <v>7428</v>
      </c>
      <c r="C913" s="36" t="s">
        <v>7487</v>
      </c>
      <c r="D913" s="37">
        <v>284</v>
      </c>
      <c r="E913" s="36">
        <v>1</v>
      </c>
      <c r="F913" s="36" t="s">
        <v>6641</v>
      </c>
      <c r="G913" s="36" t="s">
        <v>7429</v>
      </c>
      <c r="J913" s="36" t="s">
        <v>31</v>
      </c>
      <c r="K913" s="36" t="s">
        <v>6280</v>
      </c>
      <c r="AI913" s="36" t="s">
        <v>7429</v>
      </c>
      <c r="AL913" s="36" t="s">
        <v>31</v>
      </c>
      <c r="AM913" s="36" t="s">
        <v>6280</v>
      </c>
      <c r="AP913" s="86"/>
      <c r="AQ913" s="88"/>
      <c r="AR913" s="89"/>
      <c r="AS913" s="90"/>
      <c r="AV913" s="88"/>
      <c r="AW913" s="96"/>
      <c r="AX913" s="97"/>
      <c r="AY913" s="93">
        <v>1</v>
      </c>
      <c r="AZ913" s="79" t="s">
        <v>4927</v>
      </c>
      <c r="BB913" s="94"/>
      <c r="BG913" s="36" t="s">
        <v>7430</v>
      </c>
    </row>
    <row r="914" spans="1:59" ht="24">
      <c r="A914" s="36" t="s">
        <v>7351</v>
      </c>
      <c r="B914" s="36" t="s">
        <v>7431</v>
      </c>
      <c r="C914" s="36" t="s">
        <v>7487</v>
      </c>
      <c r="D914" s="37">
        <v>285</v>
      </c>
      <c r="E914" s="36">
        <v>1</v>
      </c>
      <c r="F914" s="36" t="s">
        <v>6641</v>
      </c>
      <c r="G914" s="36" t="s">
        <v>7432</v>
      </c>
      <c r="J914" s="36" t="s">
        <v>31</v>
      </c>
      <c r="K914" s="36" t="s">
        <v>6280</v>
      </c>
      <c r="AI914" s="36" t="s">
        <v>7432</v>
      </c>
      <c r="AL914" s="36" t="s">
        <v>31</v>
      </c>
      <c r="AM914" s="36" t="s">
        <v>6280</v>
      </c>
      <c r="AP914" s="86"/>
      <c r="AQ914" s="88"/>
      <c r="AR914" s="89"/>
      <c r="AS914" s="90"/>
      <c r="AV914" s="88"/>
      <c r="AW914" s="96"/>
      <c r="AX914" s="97"/>
      <c r="AY914" s="93">
        <v>2</v>
      </c>
      <c r="AZ914" s="79" t="s">
        <v>4965</v>
      </c>
      <c r="BB914" s="94">
        <v>1</v>
      </c>
      <c r="BG914" s="36" t="s">
        <v>7433</v>
      </c>
    </row>
    <row r="915" spans="1:59" ht="36">
      <c r="A915" s="36" t="s">
        <v>7351</v>
      </c>
      <c r="B915" s="36" t="s">
        <v>7434</v>
      </c>
      <c r="C915" s="36" t="s">
        <v>7487</v>
      </c>
      <c r="D915" s="37">
        <v>286</v>
      </c>
      <c r="E915" s="36">
        <v>1</v>
      </c>
      <c r="F915" s="36" t="s">
        <v>6641</v>
      </c>
      <c r="G915" s="36" t="s">
        <v>7432</v>
      </c>
      <c r="J915" s="36" t="s">
        <v>31</v>
      </c>
      <c r="K915" s="36" t="s">
        <v>6280</v>
      </c>
      <c r="AI915" s="36" t="s">
        <v>7432</v>
      </c>
      <c r="AL915" s="36" t="s">
        <v>31</v>
      </c>
      <c r="AM915" s="36" t="s">
        <v>6280</v>
      </c>
      <c r="AP915" s="86"/>
      <c r="AQ915" s="88"/>
      <c r="AR915" s="89"/>
      <c r="AS915" s="90"/>
      <c r="AV915" s="88"/>
      <c r="AW915" s="96"/>
      <c r="AX915" s="97"/>
      <c r="AY915" s="93">
        <v>4</v>
      </c>
      <c r="AZ915" s="79" t="s">
        <v>4927</v>
      </c>
      <c r="BB915" s="94">
        <v>1</v>
      </c>
      <c r="BG915" s="36" t="s">
        <v>7435</v>
      </c>
    </row>
    <row r="916" spans="1:59" ht="24">
      <c r="A916" s="36" t="s">
        <v>7351</v>
      </c>
      <c r="B916" s="36" t="s">
        <v>7436</v>
      </c>
      <c r="C916" s="36" t="s">
        <v>7487</v>
      </c>
      <c r="D916" s="37">
        <v>287</v>
      </c>
      <c r="E916" s="36">
        <v>1</v>
      </c>
      <c r="F916" s="36" t="s">
        <v>6641</v>
      </c>
      <c r="G916" s="36" t="s">
        <v>7437</v>
      </c>
      <c r="J916" s="36" t="s">
        <v>31</v>
      </c>
      <c r="K916" s="36" t="s">
        <v>6280</v>
      </c>
      <c r="AI916" s="36" t="s">
        <v>7437</v>
      </c>
      <c r="AL916" s="36" t="s">
        <v>31</v>
      </c>
      <c r="AM916" s="36" t="s">
        <v>6280</v>
      </c>
      <c r="AP916" s="86"/>
      <c r="AQ916" s="88"/>
      <c r="AR916" s="89"/>
      <c r="AS916" s="90"/>
      <c r="AV916" s="88"/>
      <c r="AW916" s="96"/>
      <c r="AX916" s="97"/>
      <c r="AY916" s="93">
        <v>2</v>
      </c>
      <c r="AZ916" s="79" t="s">
        <v>4965</v>
      </c>
      <c r="BB916" s="94">
        <v>1</v>
      </c>
      <c r="BG916" s="36" t="s">
        <v>7438</v>
      </c>
    </row>
    <row r="917" spans="1:59" ht="36">
      <c r="A917" s="36" t="s">
        <v>7351</v>
      </c>
      <c r="B917" s="36" t="s">
        <v>7439</v>
      </c>
      <c r="C917" s="36" t="s">
        <v>7487</v>
      </c>
      <c r="D917" s="37">
        <v>288</v>
      </c>
      <c r="E917" s="36">
        <v>1</v>
      </c>
      <c r="F917" s="36" t="s">
        <v>6641</v>
      </c>
      <c r="G917" s="36" t="s">
        <v>7437</v>
      </c>
      <c r="J917" s="36" t="s">
        <v>31</v>
      </c>
      <c r="K917" s="36" t="s">
        <v>6280</v>
      </c>
      <c r="AI917" s="36" t="s">
        <v>7437</v>
      </c>
      <c r="AL917" s="36" t="s">
        <v>31</v>
      </c>
      <c r="AM917" s="36" t="s">
        <v>6280</v>
      </c>
      <c r="AP917" s="86"/>
      <c r="AQ917" s="88"/>
      <c r="AR917" s="89"/>
      <c r="AS917" s="90"/>
      <c r="AV917" s="88"/>
      <c r="AW917" s="96"/>
      <c r="AX917" s="97"/>
      <c r="AY917" s="93">
        <v>4</v>
      </c>
      <c r="AZ917" s="79" t="s">
        <v>4927</v>
      </c>
      <c r="BB917" s="94">
        <v>1</v>
      </c>
      <c r="BG917" s="36" t="s">
        <v>7440</v>
      </c>
    </row>
    <row r="918" spans="1:59" ht="36">
      <c r="A918" s="36" t="s">
        <v>7351</v>
      </c>
      <c r="B918" s="36" t="s">
        <v>7441</v>
      </c>
      <c r="C918" s="36" t="s">
        <v>7487</v>
      </c>
      <c r="D918" s="37">
        <v>289</v>
      </c>
      <c r="E918" s="36">
        <v>1</v>
      </c>
      <c r="F918" s="36" t="s">
        <v>6641</v>
      </c>
      <c r="G918" s="36" t="s">
        <v>7442</v>
      </c>
      <c r="J918" s="36" t="s">
        <v>31</v>
      </c>
      <c r="K918" s="36" t="s">
        <v>6280</v>
      </c>
      <c r="AI918" s="36" t="s">
        <v>7442</v>
      </c>
      <c r="AL918" s="36" t="s">
        <v>31</v>
      </c>
      <c r="AM918" s="36" t="s">
        <v>6280</v>
      </c>
      <c r="AP918" s="86"/>
      <c r="AQ918" s="88"/>
      <c r="AR918" s="89"/>
      <c r="AS918" s="90"/>
      <c r="AV918" s="88"/>
      <c r="AW918" s="96"/>
      <c r="AX918" s="97"/>
      <c r="AY918" s="93">
        <v>4</v>
      </c>
      <c r="AZ918" s="79">
        <v>0</v>
      </c>
      <c r="BB918" s="94"/>
      <c r="BG918" s="36" t="s">
        <v>7443</v>
      </c>
    </row>
    <row r="919" spans="1:59" ht="36">
      <c r="A919" s="36" t="s">
        <v>7351</v>
      </c>
      <c r="B919" s="36" t="s">
        <v>7444</v>
      </c>
      <c r="C919" s="36" t="s">
        <v>7487</v>
      </c>
      <c r="D919" s="37">
        <v>290</v>
      </c>
      <c r="E919" s="36">
        <v>1</v>
      </c>
      <c r="F919" s="36" t="s">
        <v>6641</v>
      </c>
      <c r="G919" s="36" t="s">
        <v>7442</v>
      </c>
      <c r="J919" s="36" t="s">
        <v>31</v>
      </c>
      <c r="K919" s="36" t="s">
        <v>6280</v>
      </c>
      <c r="AI919" s="36" t="s">
        <v>7442</v>
      </c>
      <c r="AL919" s="36" t="s">
        <v>31</v>
      </c>
      <c r="AM919" s="36" t="s">
        <v>6280</v>
      </c>
      <c r="AP919" s="86"/>
      <c r="AQ919" s="88"/>
      <c r="AR919" s="89"/>
      <c r="AS919" s="90"/>
      <c r="AV919" s="88"/>
      <c r="AW919" s="96"/>
      <c r="AX919" s="97"/>
      <c r="AY919" s="93">
        <v>3</v>
      </c>
      <c r="AZ919" s="79">
        <v>0</v>
      </c>
      <c r="BB919" s="94"/>
      <c r="BG919" s="36" t="s">
        <v>7445</v>
      </c>
    </row>
    <row r="920" spans="1:59" ht="60">
      <c r="A920" s="36" t="s">
        <v>7351</v>
      </c>
      <c r="B920" s="36" t="s">
        <v>7446</v>
      </c>
      <c r="C920" s="36" t="s">
        <v>7487</v>
      </c>
      <c r="D920" s="37">
        <v>291</v>
      </c>
      <c r="E920" s="36">
        <v>1</v>
      </c>
      <c r="F920" s="36" t="s">
        <v>6641</v>
      </c>
      <c r="G920" s="36" t="s">
        <v>7447</v>
      </c>
      <c r="J920" s="36" t="s">
        <v>31</v>
      </c>
      <c r="K920" s="36" t="s">
        <v>6280</v>
      </c>
      <c r="AF920" s="36" t="s">
        <v>7448</v>
      </c>
      <c r="AI920" s="36" t="s">
        <v>7447</v>
      </c>
      <c r="AL920" s="36" t="s">
        <v>31</v>
      </c>
      <c r="AM920" s="36" t="s">
        <v>6280</v>
      </c>
      <c r="AP920" s="86"/>
      <c r="AQ920" s="88"/>
      <c r="AR920" s="89"/>
      <c r="AS920" s="90"/>
      <c r="AV920" s="88"/>
      <c r="AW920" s="96"/>
      <c r="AX920" s="97"/>
      <c r="AY920" s="93">
        <v>3</v>
      </c>
      <c r="AZ920" s="79" t="s">
        <v>4927</v>
      </c>
      <c r="BB920" s="94">
        <v>1</v>
      </c>
      <c r="BG920" s="36" t="s">
        <v>7449</v>
      </c>
    </row>
    <row r="921" spans="1:59" ht="24">
      <c r="A921" s="36" t="s">
        <v>7351</v>
      </c>
      <c r="B921" s="36" t="s">
        <v>7450</v>
      </c>
      <c r="C921" s="36" t="s">
        <v>7487</v>
      </c>
      <c r="D921" s="37">
        <v>292</v>
      </c>
      <c r="E921" s="36">
        <v>1</v>
      </c>
      <c r="F921" s="36" t="s">
        <v>6641</v>
      </c>
      <c r="G921" s="36" t="s">
        <v>7451</v>
      </c>
      <c r="J921" s="36" t="s">
        <v>31</v>
      </c>
      <c r="K921" s="36" t="s">
        <v>6280</v>
      </c>
      <c r="AI921" s="36" t="s">
        <v>7451</v>
      </c>
      <c r="AL921" s="36" t="s">
        <v>31</v>
      </c>
      <c r="AM921" s="36" t="s">
        <v>6280</v>
      </c>
      <c r="AP921" s="86"/>
      <c r="AQ921" s="88"/>
      <c r="AR921" s="89"/>
      <c r="AS921" s="90"/>
      <c r="AV921" s="88"/>
      <c r="AW921" s="96"/>
      <c r="AX921" s="97"/>
      <c r="AY921" s="93">
        <v>3</v>
      </c>
      <c r="AZ921" s="79" t="s">
        <v>4927</v>
      </c>
      <c r="BB921" s="94"/>
      <c r="BG921" s="36" t="s">
        <v>7452</v>
      </c>
    </row>
    <row r="922" spans="1:59" ht="24">
      <c r="A922" s="36" t="s">
        <v>7351</v>
      </c>
      <c r="B922" s="36" t="s">
        <v>7453</v>
      </c>
      <c r="C922" s="36" t="s">
        <v>7487</v>
      </c>
      <c r="D922" s="37">
        <v>293</v>
      </c>
      <c r="E922" s="36">
        <v>1</v>
      </c>
      <c r="F922" s="36" t="s">
        <v>6641</v>
      </c>
      <c r="G922" s="36" t="s">
        <v>7451</v>
      </c>
      <c r="J922" s="36" t="s">
        <v>31</v>
      </c>
      <c r="K922" s="36" t="s">
        <v>6280</v>
      </c>
      <c r="AI922" s="36" t="s">
        <v>7451</v>
      </c>
      <c r="AL922" s="36" t="s">
        <v>31</v>
      </c>
      <c r="AM922" s="36" t="s">
        <v>6280</v>
      </c>
      <c r="AP922" s="86"/>
      <c r="AQ922" s="88"/>
      <c r="AR922" s="89"/>
      <c r="AS922" s="90"/>
      <c r="AV922" s="88"/>
      <c r="AW922" s="96"/>
      <c r="AX922" s="97"/>
      <c r="AY922" s="93">
        <v>3</v>
      </c>
      <c r="AZ922" s="79" t="s">
        <v>4927</v>
      </c>
      <c r="BB922" s="94"/>
      <c r="BG922" s="36" t="s">
        <v>7454</v>
      </c>
    </row>
    <row r="923" spans="1:59" ht="24">
      <c r="A923" s="36" t="s">
        <v>7351</v>
      </c>
      <c r="B923" s="36" t="s">
        <v>7455</v>
      </c>
      <c r="C923" s="36" t="s">
        <v>7487</v>
      </c>
      <c r="D923" s="37">
        <v>294</v>
      </c>
      <c r="E923" s="36">
        <v>1</v>
      </c>
      <c r="F923" s="36" t="s">
        <v>6641</v>
      </c>
      <c r="G923" s="36" t="s">
        <v>7456</v>
      </c>
      <c r="J923" s="36" t="s">
        <v>31</v>
      </c>
      <c r="K923" s="36" t="s">
        <v>6280</v>
      </c>
      <c r="AI923" s="36" t="s">
        <v>7456</v>
      </c>
      <c r="AL923" s="36" t="s">
        <v>31</v>
      </c>
      <c r="AM923" s="36" t="s">
        <v>6280</v>
      </c>
      <c r="AP923" s="86"/>
      <c r="AQ923" s="88"/>
      <c r="AR923" s="89"/>
      <c r="AS923" s="90"/>
      <c r="AV923" s="88"/>
      <c r="AW923" s="96"/>
      <c r="AX923" s="97"/>
      <c r="AY923" s="93">
        <v>2</v>
      </c>
      <c r="AZ923" s="79" t="s">
        <v>4927</v>
      </c>
      <c r="BB923" s="94"/>
      <c r="BG923" s="36" t="s">
        <v>7457</v>
      </c>
    </row>
    <row r="924" spans="1:59" ht="48">
      <c r="A924" s="36" t="s">
        <v>7351</v>
      </c>
      <c r="B924" s="36" t="s">
        <v>7458</v>
      </c>
      <c r="C924" s="36" t="s">
        <v>7487</v>
      </c>
      <c r="D924" s="37">
        <v>295</v>
      </c>
      <c r="E924" s="36">
        <v>1</v>
      </c>
      <c r="F924" s="36" t="s">
        <v>6641</v>
      </c>
      <c r="G924" s="36" t="s">
        <v>7459</v>
      </c>
      <c r="J924" s="36" t="s">
        <v>31</v>
      </c>
      <c r="K924" s="36" t="s">
        <v>6280</v>
      </c>
      <c r="AI924" s="36" t="s">
        <v>7459</v>
      </c>
      <c r="AL924" s="36" t="s">
        <v>31</v>
      </c>
      <c r="AM924" s="36" t="s">
        <v>6280</v>
      </c>
      <c r="AP924" s="86"/>
      <c r="AQ924" s="88"/>
      <c r="AR924" s="89"/>
      <c r="AS924" s="90"/>
      <c r="AV924" s="88"/>
      <c r="AW924" s="96"/>
      <c r="AX924" s="97"/>
      <c r="AY924" s="93">
        <v>2</v>
      </c>
      <c r="AZ924" s="79" t="s">
        <v>4927</v>
      </c>
      <c r="BB924" s="94"/>
      <c r="BG924" s="36" t="s">
        <v>7460</v>
      </c>
    </row>
    <row r="925" spans="1:59" ht="36">
      <c r="A925" s="36" t="s">
        <v>7351</v>
      </c>
      <c r="B925" s="36" t="s">
        <v>7461</v>
      </c>
      <c r="C925" s="36" t="s">
        <v>7487</v>
      </c>
      <c r="D925" s="37">
        <v>296</v>
      </c>
      <c r="E925" s="36">
        <v>1</v>
      </c>
      <c r="F925" s="36" t="s">
        <v>7399</v>
      </c>
      <c r="G925" s="36" t="s">
        <v>7462</v>
      </c>
      <c r="J925" s="36" t="s">
        <v>31</v>
      </c>
      <c r="K925" s="36" t="s">
        <v>6280</v>
      </c>
      <c r="AF925" s="36" t="s">
        <v>7463</v>
      </c>
      <c r="AI925" s="36" t="s">
        <v>7462</v>
      </c>
      <c r="AJ925" s="36" t="s">
        <v>7464</v>
      </c>
      <c r="AL925" s="36" t="s">
        <v>31</v>
      </c>
      <c r="AM925" s="36" t="s">
        <v>6280</v>
      </c>
      <c r="AP925" s="86"/>
      <c r="AQ925" s="88"/>
      <c r="AR925" s="89"/>
      <c r="AS925" s="90"/>
      <c r="AV925" s="88"/>
      <c r="AW925" s="96"/>
      <c r="AX925" s="97"/>
      <c r="AY925" s="93">
        <v>3</v>
      </c>
      <c r="AZ925" s="79" t="s">
        <v>4965</v>
      </c>
      <c r="BB925" s="94"/>
      <c r="BG925" s="36" t="s">
        <v>7465</v>
      </c>
    </row>
    <row r="926" spans="1:59" ht="36">
      <c r="A926" s="36" t="s">
        <v>7351</v>
      </c>
      <c r="B926" s="36" t="s">
        <v>7466</v>
      </c>
      <c r="C926" s="36" t="s">
        <v>7487</v>
      </c>
      <c r="D926" s="37">
        <v>297</v>
      </c>
      <c r="E926" s="36">
        <v>1</v>
      </c>
      <c r="F926" s="36" t="s">
        <v>7393</v>
      </c>
      <c r="G926" s="36" t="s">
        <v>7462</v>
      </c>
      <c r="J926" s="36" t="s">
        <v>31</v>
      </c>
      <c r="K926" s="36" t="s">
        <v>6280</v>
      </c>
      <c r="AF926" s="36" t="s">
        <v>7463</v>
      </c>
      <c r="AI926" s="36" t="s">
        <v>7462</v>
      </c>
      <c r="AJ926" s="36" t="s">
        <v>7467</v>
      </c>
      <c r="AL926" s="36" t="s">
        <v>31</v>
      </c>
      <c r="AM926" s="36" t="s">
        <v>6280</v>
      </c>
      <c r="AP926" s="86"/>
      <c r="AQ926" s="88"/>
      <c r="AR926" s="89"/>
      <c r="AS926" s="90"/>
      <c r="AV926" s="88"/>
      <c r="AW926" s="96"/>
      <c r="AX926" s="97"/>
      <c r="AY926" s="93">
        <v>2</v>
      </c>
      <c r="AZ926" s="79" t="s">
        <v>4966</v>
      </c>
      <c r="BB926" s="94">
        <v>2</v>
      </c>
    </row>
    <row r="927" spans="1:59" ht="36">
      <c r="A927" s="36" t="s">
        <v>7351</v>
      </c>
      <c r="B927" s="36" t="s">
        <v>7468</v>
      </c>
      <c r="C927" s="36" t="s">
        <v>7487</v>
      </c>
      <c r="D927" s="37">
        <v>298</v>
      </c>
      <c r="E927" s="36">
        <v>1</v>
      </c>
      <c r="F927" s="36" t="s">
        <v>7393</v>
      </c>
      <c r="G927" s="36" t="s">
        <v>7469</v>
      </c>
      <c r="J927" s="36" t="s">
        <v>31</v>
      </c>
      <c r="K927" s="36" t="s">
        <v>6280</v>
      </c>
      <c r="AF927" s="36" t="s">
        <v>7470</v>
      </c>
      <c r="AI927" s="36" t="s">
        <v>7469</v>
      </c>
      <c r="AJ927" s="36" t="s">
        <v>7464</v>
      </c>
      <c r="AL927" s="36" t="s">
        <v>31</v>
      </c>
      <c r="AM927" s="36" t="s">
        <v>6280</v>
      </c>
      <c r="AP927" s="86"/>
      <c r="AQ927" s="88"/>
      <c r="AR927" s="89"/>
      <c r="AS927" s="90"/>
      <c r="AV927" s="88"/>
      <c r="AW927" s="96"/>
      <c r="AX927" s="97"/>
      <c r="AY927" s="93">
        <v>3</v>
      </c>
      <c r="AZ927" s="79" t="s">
        <v>4965</v>
      </c>
      <c r="BB927" s="94"/>
      <c r="BG927" s="36" t="s">
        <v>7471</v>
      </c>
    </row>
    <row r="928" spans="1:59" ht="36">
      <c r="A928" s="36" t="s">
        <v>7351</v>
      </c>
      <c r="B928" s="36" t="s">
        <v>7472</v>
      </c>
      <c r="C928" s="36" t="s">
        <v>7487</v>
      </c>
      <c r="D928" s="37">
        <v>299</v>
      </c>
      <c r="E928" s="36">
        <v>1</v>
      </c>
      <c r="F928" s="36" t="s">
        <v>7399</v>
      </c>
      <c r="G928" s="36" t="s">
        <v>7469</v>
      </c>
      <c r="J928" s="36" t="s">
        <v>31</v>
      </c>
      <c r="K928" s="36" t="s">
        <v>6280</v>
      </c>
      <c r="AF928" s="36" t="s">
        <v>7470</v>
      </c>
      <c r="AI928" s="36" t="s">
        <v>7469</v>
      </c>
      <c r="AJ928" s="36" t="s">
        <v>7473</v>
      </c>
      <c r="AL928" s="36" t="s">
        <v>31</v>
      </c>
      <c r="AM928" s="36" t="s">
        <v>6280</v>
      </c>
      <c r="AP928" s="86"/>
      <c r="AQ928" s="88"/>
      <c r="AR928" s="89"/>
      <c r="AS928" s="90"/>
      <c r="AV928" s="88"/>
      <c r="AW928" s="96"/>
      <c r="AX928" s="97"/>
      <c r="AY928" s="93">
        <v>2</v>
      </c>
      <c r="AZ928" s="79" t="s">
        <v>4966</v>
      </c>
      <c r="BB928" s="94">
        <v>2</v>
      </c>
    </row>
    <row r="929" spans="1:54" ht="24">
      <c r="A929" s="36" t="s">
        <v>7351</v>
      </c>
      <c r="B929" s="36" t="s">
        <v>7474</v>
      </c>
      <c r="C929" s="36" t="s">
        <v>7487</v>
      </c>
      <c r="D929" s="37">
        <v>300</v>
      </c>
      <c r="E929" s="36">
        <v>2</v>
      </c>
      <c r="F929" s="36" t="s">
        <v>6641</v>
      </c>
      <c r="G929" s="36" t="s">
        <v>7475</v>
      </c>
      <c r="J929" s="36" t="s">
        <v>29</v>
      </c>
      <c r="K929" s="36" t="s">
        <v>6280</v>
      </c>
      <c r="Q929" s="78">
        <v>4</v>
      </c>
      <c r="R929" s="79">
        <v>2</v>
      </c>
      <c r="T929" s="81">
        <v>4</v>
      </c>
      <c r="V929" s="82">
        <v>1</v>
      </c>
      <c r="W929" s="83">
        <v>2</v>
      </c>
      <c r="AD929" s="36" t="s">
        <v>6638</v>
      </c>
      <c r="AF929" s="36" t="s">
        <v>7476</v>
      </c>
      <c r="AP929" s="86"/>
      <c r="AQ929" s="88"/>
      <c r="AR929" s="89"/>
      <c r="AS929" s="90"/>
      <c r="AV929" s="88"/>
      <c r="AW929" s="96"/>
      <c r="AX929" s="97"/>
      <c r="AY929" s="93"/>
      <c r="BB929" s="94"/>
    </row>
    <row r="930" spans="1:54" ht="60">
      <c r="A930" s="36" t="s">
        <v>7351</v>
      </c>
      <c r="B930" s="36" t="s">
        <v>7477</v>
      </c>
      <c r="C930" s="36" t="s">
        <v>7487</v>
      </c>
      <c r="D930" s="37">
        <v>301</v>
      </c>
      <c r="E930" s="36">
        <v>2</v>
      </c>
      <c r="F930" s="36" t="s">
        <v>6641</v>
      </c>
      <c r="G930" s="36" t="s">
        <v>7478</v>
      </c>
      <c r="J930" s="36" t="s">
        <v>29</v>
      </c>
      <c r="K930" s="36" t="s">
        <v>6280</v>
      </c>
      <c r="Q930" s="78">
        <v>3</v>
      </c>
      <c r="R930" s="79">
        <v>4</v>
      </c>
      <c r="T930" s="81">
        <v>3</v>
      </c>
      <c r="V930" s="82">
        <v>1</v>
      </c>
      <c r="W930" s="83">
        <v>1</v>
      </c>
      <c r="AD930" s="36" t="s">
        <v>7479</v>
      </c>
      <c r="AF930" s="36" t="s">
        <v>7480</v>
      </c>
      <c r="AP930" s="86"/>
      <c r="AQ930" s="88"/>
      <c r="AR930" s="89"/>
      <c r="AS930" s="90"/>
      <c r="AV930" s="88"/>
      <c r="AW930" s="96"/>
      <c r="AX930" s="97"/>
      <c r="AY930" s="93"/>
      <c r="BB930" s="94"/>
    </row>
    <row r="931" spans="1:54" ht="60">
      <c r="A931" s="36" t="s">
        <v>7351</v>
      </c>
      <c r="B931" s="36" t="s">
        <v>7481</v>
      </c>
      <c r="C931" s="36" t="s">
        <v>7487</v>
      </c>
      <c r="D931" s="37">
        <v>302</v>
      </c>
      <c r="E931" s="36">
        <v>3</v>
      </c>
      <c r="F931" s="36" t="s">
        <v>6641</v>
      </c>
      <c r="G931" s="36" t="s">
        <v>7482</v>
      </c>
      <c r="J931" s="36" t="s">
        <v>28</v>
      </c>
      <c r="K931" s="36" t="s">
        <v>6280</v>
      </c>
      <c r="AD931" s="36" t="s">
        <v>4346</v>
      </c>
      <c r="AF931" s="36" t="s">
        <v>7483</v>
      </c>
      <c r="AP931" s="86"/>
      <c r="AQ931" s="88"/>
      <c r="AR931" s="89"/>
      <c r="AS931" s="90"/>
      <c r="AV931" s="88"/>
      <c r="AW931" s="96"/>
      <c r="AX931" s="97"/>
      <c r="AY931" s="93"/>
      <c r="BB931" s="94"/>
    </row>
    <row r="932" spans="1:54" ht="84">
      <c r="A932" s="36" t="s">
        <v>7351</v>
      </c>
      <c r="B932" s="36" t="s">
        <v>7484</v>
      </c>
      <c r="C932" s="36" t="s">
        <v>7487</v>
      </c>
      <c r="D932" s="37">
        <v>303</v>
      </c>
      <c r="E932" s="36">
        <v>3</v>
      </c>
      <c r="F932" s="36" t="s">
        <v>6641</v>
      </c>
      <c r="G932" s="36" t="s">
        <v>7485</v>
      </c>
      <c r="J932" s="36" t="s">
        <v>28</v>
      </c>
      <c r="K932" s="36" t="s">
        <v>6280</v>
      </c>
      <c r="AD932" s="36" t="s">
        <v>4346</v>
      </c>
      <c r="AF932" s="36" t="s">
        <v>7486</v>
      </c>
      <c r="AP932" s="86"/>
      <c r="AQ932" s="88"/>
      <c r="AR932" s="89"/>
      <c r="AS932" s="90"/>
      <c r="AV932" s="88"/>
      <c r="AW932" s="96"/>
      <c r="AX932" s="97"/>
      <c r="AY932" s="93"/>
      <c r="BB932" s="94"/>
    </row>
    <row r="933" spans="1:54">
      <c r="AP933" s="86"/>
      <c r="AQ933" s="88"/>
      <c r="AR933" s="89"/>
      <c r="AS933" s="90"/>
      <c r="AV933" s="88"/>
      <c r="AW933" s="96"/>
      <c r="AX933" s="97"/>
      <c r="AY933" s="93"/>
      <c r="BB933" s="94"/>
    </row>
    <row r="934" spans="1:54">
      <c r="AP934" s="86"/>
      <c r="AQ934" s="88"/>
      <c r="AR934" s="89"/>
      <c r="AS934" s="90"/>
      <c r="AV934" s="88"/>
      <c r="AW934" s="96"/>
      <c r="AX934" s="97"/>
      <c r="AY934" s="93"/>
      <c r="BB934" s="94"/>
    </row>
    <row r="935" spans="1:54">
      <c r="AP935" s="86"/>
      <c r="AQ935" s="88"/>
      <c r="AR935" s="89"/>
      <c r="AS935" s="90"/>
      <c r="AV935" s="88"/>
      <c r="AW935" s="96"/>
      <c r="AX935" s="97"/>
      <c r="AY935" s="93"/>
      <c r="BB935" s="94"/>
    </row>
    <row r="936" spans="1:54">
      <c r="AP936" s="86"/>
      <c r="AQ936" s="88"/>
      <c r="AR936" s="89"/>
      <c r="AS936" s="90"/>
      <c r="AV936" s="88"/>
      <c r="AW936" s="96"/>
      <c r="AX936" s="97"/>
      <c r="AY936" s="93"/>
      <c r="BB936" s="94"/>
    </row>
    <row r="937" spans="1:54">
      <c r="AP937" s="86"/>
      <c r="AQ937" s="88"/>
      <c r="AR937" s="89"/>
      <c r="AS937" s="90"/>
      <c r="AV937" s="88"/>
      <c r="AW937" s="96"/>
      <c r="AX937" s="97"/>
      <c r="AY937" s="93"/>
      <c r="BB937" s="94"/>
    </row>
    <row r="938" spans="1:54">
      <c r="AP938" s="86"/>
      <c r="AQ938" s="88"/>
      <c r="AR938" s="89"/>
      <c r="AS938" s="90"/>
      <c r="AV938" s="88"/>
      <c r="AW938" s="96"/>
      <c r="AX938" s="97"/>
      <c r="AY938" s="93"/>
      <c r="BB938" s="94"/>
    </row>
    <row r="939" spans="1:54">
      <c r="AP939" s="86"/>
      <c r="AQ939" s="88"/>
      <c r="AR939" s="89"/>
      <c r="AS939" s="90"/>
      <c r="AV939" s="88"/>
      <c r="AW939" s="96"/>
      <c r="AX939" s="97"/>
      <c r="AY939" s="93"/>
      <c r="BB939" s="94"/>
    </row>
    <row r="940" spans="1:54">
      <c r="AP940" s="86"/>
      <c r="AQ940" s="88"/>
      <c r="AR940" s="89"/>
      <c r="AS940" s="90"/>
      <c r="AV940" s="88"/>
      <c r="AW940" s="96"/>
      <c r="AX940" s="97"/>
      <c r="AY940" s="93"/>
      <c r="BB940" s="94"/>
    </row>
    <row r="941" spans="1:54">
      <c r="AP941" s="86"/>
      <c r="AQ941" s="88"/>
      <c r="AR941" s="89"/>
      <c r="AS941" s="90"/>
      <c r="AV941" s="88"/>
      <c r="AW941" s="96"/>
      <c r="AX941" s="97"/>
      <c r="AY941" s="93"/>
      <c r="BB941" s="94"/>
    </row>
    <row r="942" spans="1:54">
      <c r="AP942" s="86"/>
      <c r="AQ942" s="88"/>
      <c r="AR942" s="89"/>
      <c r="AS942" s="90"/>
      <c r="AV942" s="88"/>
      <c r="AW942" s="96"/>
      <c r="AX942" s="97"/>
      <c r="AY942" s="93"/>
      <c r="BB942" s="94"/>
    </row>
    <row r="943" spans="1:54">
      <c r="AP943" s="86"/>
      <c r="AQ943" s="88"/>
      <c r="AR943" s="89"/>
      <c r="AS943" s="90"/>
      <c r="AV943" s="88"/>
      <c r="AW943" s="96"/>
      <c r="AX943" s="97"/>
      <c r="AY943" s="93"/>
      <c r="BB943" s="94"/>
    </row>
    <row r="944" spans="1: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row r="1024" spans="42:54">
      <c r="AP1024" s="86"/>
      <c r="AQ1024" s="88"/>
      <c r="AR1024" s="89"/>
      <c r="AS1024" s="90"/>
      <c r="AV1024" s="88"/>
      <c r="AW1024" s="96"/>
      <c r="AX1024" s="97"/>
      <c r="AY1024" s="93"/>
      <c r="BB1024" s="94"/>
    </row>
    <row r="1025" spans="42:54">
      <c r="AP1025" s="86"/>
      <c r="AQ1025" s="88"/>
      <c r="AR1025" s="89"/>
      <c r="AS1025" s="90"/>
      <c r="AV1025" s="88"/>
      <c r="AW1025" s="96"/>
      <c r="AX1025" s="97"/>
      <c r="AY1025" s="93"/>
      <c r="BB1025" s="94"/>
    </row>
    <row r="1026" spans="42:54">
      <c r="AP1026" s="86"/>
      <c r="AQ1026" s="88"/>
      <c r="AR1026" s="89"/>
      <c r="AS1026" s="90"/>
      <c r="AV1026" s="88"/>
      <c r="AW1026" s="96"/>
      <c r="AX1026" s="97"/>
      <c r="AY1026" s="93"/>
      <c r="BB1026" s="94"/>
    </row>
    <row r="1027" spans="42:54">
      <c r="AP1027" s="86"/>
      <c r="AQ1027" s="88"/>
      <c r="AR1027" s="89"/>
      <c r="AS1027" s="90"/>
      <c r="AV1027" s="88"/>
      <c r="AW1027" s="96"/>
      <c r="AX1027" s="97"/>
      <c r="AY1027" s="93"/>
      <c r="BB1027" s="94"/>
    </row>
    <row r="1028" spans="42:54">
      <c r="AP1028" s="86"/>
      <c r="AQ1028" s="88"/>
      <c r="AR1028" s="89"/>
      <c r="AS1028" s="90"/>
      <c r="AV1028" s="88"/>
      <c r="AW1028" s="96"/>
      <c r="AX1028" s="97"/>
      <c r="AY1028" s="93"/>
      <c r="BB1028" s="94"/>
    </row>
    <row r="1029" spans="42:54">
      <c r="AP1029" s="86"/>
      <c r="AQ1029" s="88"/>
      <c r="AR1029" s="89"/>
      <c r="AS1029" s="90"/>
      <c r="AV1029" s="88"/>
      <c r="AW1029" s="96"/>
      <c r="AX1029" s="97"/>
      <c r="AY1029" s="93"/>
      <c r="BB1029" s="94"/>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1048576 K890:K1048576">
    <cfRule type="cellIs" dxfId="426" priority="427" operator="equal">
      <formula>"Seeker"</formula>
    </cfRule>
    <cfRule type="cellIs" dxfId="425" priority="428" operator="equal">
      <formula>"Neutral"</formula>
    </cfRule>
    <cfRule type="cellIs" dxfId="424" priority="429" operator="equal">
      <formula>"Rogue"</formula>
    </cfRule>
    <cfRule type="cellIs" dxfId="423" priority="430" operator="equal">
      <formula>"Guardian"</formula>
    </cfRule>
    <cfRule type="cellIs" dxfId="422" priority="431" operator="equal">
      <formula>"Survivor"</formula>
    </cfRule>
    <cfRule type="cellIs" dxfId="421" priority="432" operator="equal">
      <formula>"Mystic"</formula>
    </cfRule>
  </conditionalFormatting>
  <conditionalFormatting sqref="K2:K99 K101:K104 K234:K347">
    <cfRule type="cellIs" dxfId="420" priority="421" operator="equal">
      <formula>"seeker"</formula>
    </cfRule>
    <cfRule type="cellIs" dxfId="419" priority="422" operator="equal">
      <formula>"neutral"</formula>
    </cfRule>
    <cfRule type="cellIs" dxfId="418" priority="423" operator="equal">
      <formula>"rogue"</formula>
    </cfRule>
    <cfRule type="cellIs" dxfId="417" priority="424" operator="equal">
      <formula>"Guardian"</formula>
    </cfRule>
    <cfRule type="cellIs" dxfId="416" priority="425" operator="equal">
      <formula>"Survivor"</formula>
    </cfRule>
    <cfRule type="cellIs" dxfId="415" priority="426" operator="equal">
      <formula>"Mystic"</formula>
    </cfRule>
  </conditionalFormatting>
  <conditionalFormatting sqref="K134:K152 K158:K169 K171:K193 K105:K122 K195:K232 K124:K132">
    <cfRule type="cellIs" dxfId="414" priority="415" operator="equal">
      <formula>"seeker"</formula>
    </cfRule>
    <cfRule type="cellIs" dxfId="413" priority="416" operator="equal">
      <formula>"neutral"</formula>
    </cfRule>
    <cfRule type="cellIs" dxfId="412" priority="417" operator="equal">
      <formula>"rogue"</formula>
    </cfRule>
    <cfRule type="cellIs" dxfId="411" priority="418" operator="equal">
      <formula>"Guardian"</formula>
    </cfRule>
    <cfRule type="cellIs" dxfId="410" priority="419" operator="equal">
      <formula>"Survivor"</formula>
    </cfRule>
    <cfRule type="cellIs" dxfId="409" priority="420" operator="equal">
      <formula>"Mystic"</formula>
    </cfRule>
  </conditionalFormatting>
  <conditionalFormatting sqref="K100">
    <cfRule type="cellIs" dxfId="408" priority="409" operator="equal">
      <formula>"seeker"</formula>
    </cfRule>
    <cfRule type="cellIs" dxfId="407" priority="410" operator="equal">
      <formula>"neutral"</formula>
    </cfRule>
    <cfRule type="cellIs" dxfId="406" priority="411" operator="equal">
      <formula>"rogue"</formula>
    </cfRule>
    <cfRule type="cellIs" dxfId="405" priority="412" operator="equal">
      <formula>"Guardian"</formula>
    </cfRule>
    <cfRule type="cellIs" dxfId="404" priority="413" operator="equal">
      <formula>"Survivor"</formula>
    </cfRule>
    <cfRule type="cellIs" dxfId="403" priority="414" operator="equal">
      <formula>"Mystic"</formula>
    </cfRule>
  </conditionalFormatting>
  <conditionalFormatting sqref="AM112:AM116">
    <cfRule type="cellIs" dxfId="402" priority="403" operator="equal">
      <formula>"seeker"</formula>
    </cfRule>
    <cfRule type="cellIs" dxfId="401" priority="404" operator="equal">
      <formula>"neutral"</formula>
    </cfRule>
    <cfRule type="cellIs" dxfId="400" priority="405" operator="equal">
      <formula>"rogue"</formula>
    </cfRule>
    <cfRule type="cellIs" dxfId="399" priority="406" operator="equal">
      <formula>"Guardian"</formula>
    </cfRule>
    <cfRule type="cellIs" dxfId="398" priority="407" operator="equal">
      <formula>"Survivor"</formula>
    </cfRule>
    <cfRule type="cellIs" dxfId="397" priority="408" operator="equal">
      <formula>"Mystic"</formula>
    </cfRule>
  </conditionalFormatting>
  <conditionalFormatting sqref="AM130:AM131">
    <cfRule type="cellIs" dxfId="396" priority="397" operator="equal">
      <formula>"seeker"</formula>
    </cfRule>
    <cfRule type="cellIs" dxfId="395" priority="398" operator="equal">
      <formula>"neutral"</formula>
    </cfRule>
    <cfRule type="cellIs" dxfId="394" priority="399" operator="equal">
      <formula>"rogue"</formula>
    </cfRule>
    <cfRule type="cellIs" dxfId="393" priority="400" operator="equal">
      <formula>"Guardian"</formula>
    </cfRule>
    <cfRule type="cellIs" dxfId="392" priority="401" operator="equal">
      <formula>"Survivor"</formula>
    </cfRule>
    <cfRule type="cellIs" dxfId="391" priority="402" operator="equal">
      <formula>"Mystic"</formula>
    </cfRule>
  </conditionalFormatting>
  <conditionalFormatting sqref="AL133">
    <cfRule type="cellIs" dxfId="390" priority="391" operator="equal">
      <formula>"Seeker"</formula>
    </cfRule>
    <cfRule type="cellIs" dxfId="389" priority="392" operator="equal">
      <formula>"Neutral"</formula>
    </cfRule>
    <cfRule type="cellIs" dxfId="388" priority="393" operator="equal">
      <formula>"Rogue"</formula>
    </cfRule>
    <cfRule type="cellIs" dxfId="387" priority="394" operator="equal">
      <formula>"Guardian"</formula>
    </cfRule>
    <cfRule type="cellIs" dxfId="386" priority="395" operator="equal">
      <formula>"Survivor"</formula>
    </cfRule>
    <cfRule type="cellIs" dxfId="385" priority="396" operator="equal">
      <formula>"Mystic"</formula>
    </cfRule>
  </conditionalFormatting>
  <conditionalFormatting sqref="K133">
    <cfRule type="cellIs" dxfId="384" priority="385" operator="equal">
      <formula>"seeker"</formula>
    </cfRule>
    <cfRule type="cellIs" dxfId="383" priority="386" operator="equal">
      <formula>"neutral"</formula>
    </cfRule>
    <cfRule type="cellIs" dxfId="382" priority="387" operator="equal">
      <formula>"rogue"</formula>
    </cfRule>
    <cfRule type="cellIs" dxfId="381" priority="388" operator="equal">
      <formula>"Guardian"</formula>
    </cfRule>
    <cfRule type="cellIs" dxfId="380" priority="389" operator="equal">
      <formula>"Survivor"</formula>
    </cfRule>
    <cfRule type="cellIs" dxfId="379" priority="390" operator="equal">
      <formula>"Mystic"</formula>
    </cfRule>
  </conditionalFormatting>
  <conditionalFormatting sqref="AM151:AM152 AM158:AM159">
    <cfRule type="cellIs" dxfId="378" priority="379" operator="equal">
      <formula>"seeker"</formula>
    </cfRule>
    <cfRule type="cellIs" dxfId="377" priority="380" operator="equal">
      <formula>"neutral"</formula>
    </cfRule>
    <cfRule type="cellIs" dxfId="376" priority="381" operator="equal">
      <formula>"rogue"</formula>
    </cfRule>
    <cfRule type="cellIs" dxfId="375" priority="382" operator="equal">
      <formula>"Guardian"</formula>
    </cfRule>
    <cfRule type="cellIs" dxfId="374" priority="383" operator="equal">
      <formula>"Survivor"</formula>
    </cfRule>
    <cfRule type="cellIs" dxfId="373" priority="384" operator="equal">
      <formula>"Mystic"</formula>
    </cfRule>
  </conditionalFormatting>
  <conditionalFormatting sqref="K153">
    <cfRule type="cellIs" dxfId="372" priority="373" operator="equal">
      <formula>"seeker"</formula>
    </cfRule>
    <cfRule type="cellIs" dxfId="371" priority="374" operator="equal">
      <formula>"neutral"</formula>
    </cfRule>
    <cfRule type="cellIs" dxfId="370" priority="375" operator="equal">
      <formula>"rogue"</formula>
    </cfRule>
    <cfRule type="cellIs" dxfId="369" priority="376" operator="equal">
      <formula>"Guardian"</formula>
    </cfRule>
    <cfRule type="cellIs" dxfId="368" priority="377" operator="equal">
      <formula>"Survivor"</formula>
    </cfRule>
    <cfRule type="cellIs" dxfId="367" priority="378" operator="equal">
      <formula>"Mystic"</formula>
    </cfRule>
  </conditionalFormatting>
  <conditionalFormatting sqref="AM153">
    <cfRule type="cellIs" dxfId="366" priority="367" operator="equal">
      <formula>"seeker"</formula>
    </cfRule>
    <cfRule type="cellIs" dxfId="365" priority="368" operator="equal">
      <formula>"neutral"</formula>
    </cfRule>
    <cfRule type="cellIs" dxfId="364" priority="369" operator="equal">
      <formula>"rogue"</formula>
    </cfRule>
    <cfRule type="cellIs" dxfId="363" priority="370" operator="equal">
      <formula>"Guardian"</formula>
    </cfRule>
    <cfRule type="cellIs" dxfId="362" priority="371" operator="equal">
      <formula>"Survivor"</formula>
    </cfRule>
    <cfRule type="cellIs" dxfId="361" priority="372" operator="equal">
      <formula>"Mystic"</formula>
    </cfRule>
  </conditionalFormatting>
  <conditionalFormatting sqref="K154">
    <cfRule type="cellIs" dxfId="360" priority="361" operator="equal">
      <formula>"seeker"</formula>
    </cfRule>
    <cfRule type="cellIs" dxfId="359" priority="362" operator="equal">
      <formula>"neutral"</formula>
    </cfRule>
    <cfRule type="cellIs" dxfId="358" priority="363" operator="equal">
      <formula>"rogue"</formula>
    </cfRule>
    <cfRule type="cellIs" dxfId="357" priority="364" operator="equal">
      <formula>"Guardian"</formula>
    </cfRule>
    <cfRule type="cellIs" dxfId="356" priority="365" operator="equal">
      <formula>"Survivor"</formula>
    </cfRule>
    <cfRule type="cellIs" dxfId="355" priority="366" operator="equal">
      <formula>"Mystic"</formula>
    </cfRule>
  </conditionalFormatting>
  <conditionalFormatting sqref="AM154">
    <cfRule type="cellIs" dxfId="354" priority="355" operator="equal">
      <formula>"seeker"</formula>
    </cfRule>
    <cfRule type="cellIs" dxfId="353" priority="356" operator="equal">
      <formula>"neutral"</formula>
    </cfRule>
    <cfRule type="cellIs" dxfId="352" priority="357" operator="equal">
      <formula>"rogue"</formula>
    </cfRule>
    <cfRule type="cellIs" dxfId="351" priority="358" operator="equal">
      <formula>"Guardian"</formula>
    </cfRule>
    <cfRule type="cellIs" dxfId="350" priority="359" operator="equal">
      <formula>"Survivor"</formula>
    </cfRule>
    <cfRule type="cellIs" dxfId="349" priority="360" operator="equal">
      <formula>"Mystic"</formula>
    </cfRule>
  </conditionalFormatting>
  <conditionalFormatting sqref="K155">
    <cfRule type="cellIs" dxfId="348" priority="349" operator="equal">
      <formula>"seeker"</formula>
    </cfRule>
    <cfRule type="cellIs" dxfId="347" priority="350" operator="equal">
      <formula>"neutral"</formula>
    </cfRule>
    <cfRule type="cellIs" dxfId="346" priority="351" operator="equal">
      <formula>"rogue"</formula>
    </cfRule>
    <cfRule type="cellIs" dxfId="345" priority="352" operator="equal">
      <formula>"Guardian"</formula>
    </cfRule>
    <cfRule type="cellIs" dxfId="344" priority="353" operator="equal">
      <formula>"Survivor"</formula>
    </cfRule>
    <cfRule type="cellIs" dxfId="343" priority="354" operator="equal">
      <formula>"Mystic"</formula>
    </cfRule>
  </conditionalFormatting>
  <conditionalFormatting sqref="AM155">
    <cfRule type="cellIs" dxfId="342" priority="343" operator="equal">
      <formula>"seeker"</formula>
    </cfRule>
    <cfRule type="cellIs" dxfId="341" priority="344" operator="equal">
      <formula>"neutral"</formula>
    </cfRule>
    <cfRule type="cellIs" dxfId="340" priority="345" operator="equal">
      <formula>"rogue"</formula>
    </cfRule>
    <cfRule type="cellIs" dxfId="339" priority="346" operator="equal">
      <formula>"Guardian"</formula>
    </cfRule>
    <cfRule type="cellIs" dxfId="338" priority="347" operator="equal">
      <formula>"Survivor"</formula>
    </cfRule>
    <cfRule type="cellIs" dxfId="337" priority="348" operator="equal">
      <formula>"Mystic"</formula>
    </cfRule>
  </conditionalFormatting>
  <conditionalFormatting sqref="K156">
    <cfRule type="cellIs" dxfId="336" priority="337" operator="equal">
      <formula>"seeker"</formula>
    </cfRule>
    <cfRule type="cellIs" dxfId="335" priority="338" operator="equal">
      <formula>"neutral"</formula>
    </cfRule>
    <cfRule type="cellIs" dxfId="334" priority="339" operator="equal">
      <formula>"rogue"</formula>
    </cfRule>
    <cfRule type="cellIs" dxfId="333" priority="340" operator="equal">
      <formula>"Guardian"</formula>
    </cfRule>
    <cfRule type="cellIs" dxfId="332" priority="341" operator="equal">
      <formula>"Survivor"</formula>
    </cfRule>
    <cfRule type="cellIs" dxfId="331" priority="342" operator="equal">
      <formula>"Mystic"</formula>
    </cfRule>
  </conditionalFormatting>
  <conditionalFormatting sqref="AM156">
    <cfRule type="cellIs" dxfId="330" priority="331" operator="equal">
      <formula>"seeker"</formula>
    </cfRule>
    <cfRule type="cellIs" dxfId="329" priority="332" operator="equal">
      <formula>"neutral"</formula>
    </cfRule>
    <cfRule type="cellIs" dxfId="328" priority="333" operator="equal">
      <formula>"rogue"</formula>
    </cfRule>
    <cfRule type="cellIs" dxfId="327" priority="334" operator="equal">
      <formula>"Guardian"</formula>
    </cfRule>
    <cfRule type="cellIs" dxfId="326" priority="335" operator="equal">
      <formula>"Survivor"</formula>
    </cfRule>
    <cfRule type="cellIs" dxfId="325" priority="336" operator="equal">
      <formula>"Mystic"</formula>
    </cfRule>
  </conditionalFormatting>
  <conditionalFormatting sqref="K157">
    <cfRule type="cellIs" dxfId="324" priority="325" operator="equal">
      <formula>"seeker"</formula>
    </cfRule>
    <cfRule type="cellIs" dxfId="323" priority="326" operator="equal">
      <formula>"neutral"</formula>
    </cfRule>
    <cfRule type="cellIs" dxfId="322" priority="327" operator="equal">
      <formula>"rogue"</formula>
    </cfRule>
    <cfRule type="cellIs" dxfId="321" priority="328" operator="equal">
      <formula>"Guardian"</formula>
    </cfRule>
    <cfRule type="cellIs" dxfId="320" priority="329" operator="equal">
      <formula>"Survivor"</formula>
    </cfRule>
    <cfRule type="cellIs" dxfId="319" priority="330" operator="equal">
      <formula>"Mystic"</formula>
    </cfRule>
  </conditionalFormatting>
  <conditionalFormatting sqref="AM157">
    <cfRule type="cellIs" dxfId="318" priority="319" operator="equal">
      <formula>"seeker"</formula>
    </cfRule>
    <cfRule type="cellIs" dxfId="317" priority="320" operator="equal">
      <formula>"neutral"</formula>
    </cfRule>
    <cfRule type="cellIs" dxfId="316" priority="321" operator="equal">
      <formula>"rogue"</formula>
    </cfRule>
    <cfRule type="cellIs" dxfId="315" priority="322" operator="equal">
      <formula>"Guardian"</formula>
    </cfRule>
    <cfRule type="cellIs" dxfId="314" priority="323" operator="equal">
      <formula>"Survivor"</formula>
    </cfRule>
    <cfRule type="cellIs" dxfId="313" priority="324" operator="equal">
      <formula>"Mystic"</formula>
    </cfRule>
  </conditionalFormatting>
  <conditionalFormatting sqref="K170">
    <cfRule type="cellIs" dxfId="312" priority="313" operator="equal">
      <formula>"seeker"</formula>
    </cfRule>
    <cfRule type="cellIs" dxfId="311" priority="314" operator="equal">
      <formula>"neutral"</formula>
    </cfRule>
    <cfRule type="cellIs" dxfId="310" priority="315" operator="equal">
      <formula>"rogue"</formula>
    </cfRule>
    <cfRule type="cellIs" dxfId="309" priority="316" operator="equal">
      <formula>"Guardian"</formula>
    </cfRule>
    <cfRule type="cellIs" dxfId="308" priority="317" operator="equal">
      <formula>"Survivor"</formula>
    </cfRule>
    <cfRule type="cellIs" dxfId="307" priority="318" operator="equal">
      <formula>"Mystic"</formula>
    </cfRule>
  </conditionalFormatting>
  <conditionalFormatting sqref="AL190">
    <cfRule type="cellIs" dxfId="306" priority="301" operator="equal">
      <formula>"Seeker"</formula>
    </cfRule>
    <cfRule type="cellIs" dxfId="305" priority="302" operator="equal">
      <formula>"Neutral"</formula>
    </cfRule>
    <cfRule type="cellIs" dxfId="304" priority="303" operator="equal">
      <formula>"Rogue"</formula>
    </cfRule>
    <cfRule type="cellIs" dxfId="303" priority="304" operator="equal">
      <formula>"Guardian"</formula>
    </cfRule>
    <cfRule type="cellIs" dxfId="302" priority="305" operator="equal">
      <formula>"Survivor"</formula>
    </cfRule>
    <cfRule type="cellIs" dxfId="301" priority="306" operator="equal">
      <formula>"Mystic"</formula>
    </cfRule>
  </conditionalFormatting>
  <conditionalFormatting sqref="AM191">
    <cfRule type="cellIs" dxfId="300" priority="295" operator="equal">
      <formula>"seeker"</formula>
    </cfRule>
    <cfRule type="cellIs" dxfId="299" priority="296" operator="equal">
      <formula>"neutral"</formula>
    </cfRule>
    <cfRule type="cellIs" dxfId="298" priority="297" operator="equal">
      <formula>"rogue"</formula>
    </cfRule>
    <cfRule type="cellIs" dxfId="297" priority="298" operator="equal">
      <formula>"Guardian"</formula>
    </cfRule>
    <cfRule type="cellIs" dxfId="296" priority="299" operator="equal">
      <formula>"Survivor"</formula>
    </cfRule>
    <cfRule type="cellIs" dxfId="295" priority="300" operator="equal">
      <formula>"Mystic"</formula>
    </cfRule>
  </conditionalFormatting>
  <conditionalFormatting sqref="AM193">
    <cfRule type="cellIs" dxfId="294" priority="289" operator="equal">
      <formula>"seeker"</formula>
    </cfRule>
    <cfRule type="cellIs" dxfId="293" priority="290" operator="equal">
      <formula>"neutral"</formula>
    </cfRule>
    <cfRule type="cellIs" dxfId="292" priority="291" operator="equal">
      <formula>"rogue"</formula>
    </cfRule>
    <cfRule type="cellIs" dxfId="291" priority="292" operator="equal">
      <formula>"Guardian"</formula>
    </cfRule>
    <cfRule type="cellIs" dxfId="290" priority="293" operator="equal">
      <formula>"Survivor"</formula>
    </cfRule>
    <cfRule type="cellIs" dxfId="289" priority="294" operator="equal">
      <formula>"Mystic"</formula>
    </cfRule>
  </conditionalFormatting>
  <conditionalFormatting sqref="K194">
    <cfRule type="cellIs" dxfId="288" priority="283" operator="equal">
      <formula>"seeker"</formula>
    </cfRule>
    <cfRule type="cellIs" dxfId="287" priority="284" operator="equal">
      <formula>"neutral"</formula>
    </cfRule>
    <cfRule type="cellIs" dxfId="286" priority="285" operator="equal">
      <formula>"rogue"</formula>
    </cfRule>
    <cfRule type="cellIs" dxfId="285" priority="286" operator="equal">
      <formula>"Guardian"</formula>
    </cfRule>
    <cfRule type="cellIs" dxfId="284" priority="287" operator="equal">
      <formula>"Survivor"</formula>
    </cfRule>
    <cfRule type="cellIs" dxfId="283" priority="288" operator="equal">
      <formula>"Mystic"</formula>
    </cfRule>
  </conditionalFormatting>
  <conditionalFormatting sqref="AM195">
    <cfRule type="cellIs" dxfId="282" priority="277" operator="equal">
      <formula>"seeker"</formula>
    </cfRule>
    <cfRule type="cellIs" dxfId="281" priority="278" operator="equal">
      <formula>"neutral"</formula>
    </cfRule>
    <cfRule type="cellIs" dxfId="280" priority="279" operator="equal">
      <formula>"rogue"</formula>
    </cfRule>
    <cfRule type="cellIs" dxfId="279" priority="280" operator="equal">
      <formula>"Guardian"</formula>
    </cfRule>
    <cfRule type="cellIs" dxfId="278" priority="281" operator="equal">
      <formula>"Survivor"</formula>
    </cfRule>
    <cfRule type="cellIs" dxfId="277" priority="282" operator="equal">
      <formula>"Mystic"</formula>
    </cfRule>
  </conditionalFormatting>
  <conditionalFormatting sqref="AM194">
    <cfRule type="cellIs" dxfId="276" priority="271" operator="equal">
      <formula>"seeker"</formula>
    </cfRule>
    <cfRule type="cellIs" dxfId="275" priority="272" operator="equal">
      <formula>"neutral"</formula>
    </cfRule>
    <cfRule type="cellIs" dxfId="274" priority="273" operator="equal">
      <formula>"rogue"</formula>
    </cfRule>
    <cfRule type="cellIs" dxfId="273" priority="274" operator="equal">
      <formula>"Guardian"</formula>
    </cfRule>
    <cfRule type="cellIs" dxfId="272" priority="275" operator="equal">
      <formula>"Survivor"</formula>
    </cfRule>
    <cfRule type="cellIs" dxfId="271" priority="276" operator="equal">
      <formula>"Mystic"</formula>
    </cfRule>
  </conditionalFormatting>
  <conditionalFormatting sqref="AL3">
    <cfRule type="cellIs" dxfId="270" priority="265" operator="equal">
      <formula>"Seeker"</formula>
    </cfRule>
    <cfRule type="cellIs" dxfId="269" priority="266" operator="equal">
      <formula>"Neutral"</formula>
    </cfRule>
    <cfRule type="cellIs" dxfId="268" priority="267" operator="equal">
      <formula>"Rogue"</formula>
    </cfRule>
    <cfRule type="cellIs" dxfId="267" priority="268" operator="equal">
      <formula>"Guardian"</formula>
    </cfRule>
    <cfRule type="cellIs" dxfId="266" priority="269" operator="equal">
      <formula>"Survivor"</formula>
    </cfRule>
    <cfRule type="cellIs" dxfId="265" priority="270" operator="equal">
      <formula>"Mystic"</formula>
    </cfRule>
  </conditionalFormatting>
  <conditionalFormatting sqref="AL4">
    <cfRule type="cellIs" dxfId="264" priority="259" operator="equal">
      <formula>"Seeker"</formula>
    </cfRule>
    <cfRule type="cellIs" dxfId="263" priority="260" operator="equal">
      <formula>"Neutral"</formula>
    </cfRule>
    <cfRule type="cellIs" dxfId="262" priority="261" operator="equal">
      <formula>"Rogue"</formula>
    </cfRule>
    <cfRule type="cellIs" dxfId="261" priority="262" operator="equal">
      <formula>"Guardian"</formula>
    </cfRule>
    <cfRule type="cellIs" dxfId="260" priority="263" operator="equal">
      <formula>"Survivor"</formula>
    </cfRule>
    <cfRule type="cellIs" dxfId="259" priority="264" operator="equal">
      <formula>"Mystic"</formula>
    </cfRule>
  </conditionalFormatting>
  <conditionalFormatting sqref="AL5">
    <cfRule type="cellIs" dxfId="258" priority="253" operator="equal">
      <formula>"Seeker"</formula>
    </cfRule>
    <cfRule type="cellIs" dxfId="257" priority="254" operator="equal">
      <formula>"Neutral"</formula>
    </cfRule>
    <cfRule type="cellIs" dxfId="256" priority="255" operator="equal">
      <formula>"Rogue"</formula>
    </cfRule>
    <cfRule type="cellIs" dxfId="255" priority="256" operator="equal">
      <formula>"Guardian"</formula>
    </cfRule>
    <cfRule type="cellIs" dxfId="254" priority="257" operator="equal">
      <formula>"Survivor"</formula>
    </cfRule>
    <cfRule type="cellIs" dxfId="253" priority="258" operator="equal">
      <formula>"Mystic"</formula>
    </cfRule>
  </conditionalFormatting>
  <conditionalFormatting sqref="AL6">
    <cfRule type="cellIs" dxfId="252" priority="247" operator="equal">
      <formula>"Seeker"</formula>
    </cfRule>
    <cfRule type="cellIs" dxfId="251" priority="248" operator="equal">
      <formula>"Neutral"</formula>
    </cfRule>
    <cfRule type="cellIs" dxfId="250" priority="249" operator="equal">
      <formula>"Rogue"</formula>
    </cfRule>
    <cfRule type="cellIs" dxfId="249" priority="250" operator="equal">
      <formula>"Guardian"</formula>
    </cfRule>
    <cfRule type="cellIs" dxfId="248" priority="251" operator="equal">
      <formula>"Survivor"</formula>
    </cfRule>
    <cfRule type="cellIs" dxfId="247" priority="252" operator="equal">
      <formula>"Mystic"</formula>
    </cfRule>
  </conditionalFormatting>
  <conditionalFormatting sqref="AL122">
    <cfRule type="cellIs" dxfId="246" priority="241" operator="equal">
      <formula>"Seeker"</formula>
    </cfRule>
    <cfRule type="cellIs" dxfId="245" priority="242" operator="equal">
      <formula>"Neutral"</formula>
    </cfRule>
    <cfRule type="cellIs" dxfId="244" priority="243" operator="equal">
      <formula>"Rogue"</formula>
    </cfRule>
    <cfRule type="cellIs" dxfId="243" priority="244" operator="equal">
      <formula>"Guardian"</formula>
    </cfRule>
    <cfRule type="cellIs" dxfId="242" priority="245" operator="equal">
      <formula>"Survivor"</formula>
    </cfRule>
    <cfRule type="cellIs" dxfId="241" priority="246" operator="equal">
      <formula>"Mystic"</formula>
    </cfRule>
  </conditionalFormatting>
  <conditionalFormatting sqref="AL123">
    <cfRule type="cellIs" dxfId="240" priority="235" operator="equal">
      <formula>"Seeker"</formula>
    </cfRule>
    <cfRule type="cellIs" dxfId="239" priority="236" operator="equal">
      <formula>"Neutral"</formula>
    </cfRule>
    <cfRule type="cellIs" dxfId="238" priority="237" operator="equal">
      <formula>"Rogue"</formula>
    </cfRule>
    <cfRule type="cellIs" dxfId="237" priority="238" operator="equal">
      <formula>"Guardian"</formula>
    </cfRule>
    <cfRule type="cellIs" dxfId="236" priority="239" operator="equal">
      <formula>"Survivor"</formula>
    </cfRule>
    <cfRule type="cellIs" dxfId="235" priority="240" operator="equal">
      <formula>"Mystic"</formula>
    </cfRule>
  </conditionalFormatting>
  <conditionalFormatting sqref="J123">
    <cfRule type="cellIs" dxfId="234" priority="229" operator="equal">
      <formula>"Seeker"</formula>
    </cfRule>
    <cfRule type="cellIs" dxfId="233" priority="230" operator="equal">
      <formula>"Neutral"</formula>
    </cfRule>
    <cfRule type="cellIs" dxfId="232" priority="231" operator="equal">
      <formula>"Rogue"</formula>
    </cfRule>
    <cfRule type="cellIs" dxfId="231" priority="232" operator="equal">
      <formula>"Guardian"</formula>
    </cfRule>
    <cfRule type="cellIs" dxfId="230" priority="233" operator="equal">
      <formula>"Survivor"</formula>
    </cfRule>
    <cfRule type="cellIs" dxfId="229" priority="234" operator="equal">
      <formula>"Mystic"</formula>
    </cfRule>
  </conditionalFormatting>
  <conditionalFormatting sqref="AM253">
    <cfRule type="cellIs" dxfId="228" priority="223" operator="equal">
      <formula>"seeker"</formula>
    </cfRule>
    <cfRule type="cellIs" dxfId="227" priority="224" operator="equal">
      <formula>"neutral"</formula>
    </cfRule>
    <cfRule type="cellIs" dxfId="226" priority="225" operator="equal">
      <formula>"rogue"</formula>
    </cfRule>
    <cfRule type="cellIs" dxfId="225" priority="226" operator="equal">
      <formula>"Guardian"</formula>
    </cfRule>
    <cfRule type="cellIs" dxfId="224" priority="227" operator="equal">
      <formula>"Survivor"</formula>
    </cfRule>
    <cfRule type="cellIs" dxfId="223" priority="228" operator="equal">
      <formula>"Mystic"</formula>
    </cfRule>
  </conditionalFormatting>
  <conditionalFormatting sqref="AM254">
    <cfRule type="cellIs" dxfId="222" priority="217" operator="equal">
      <formula>"seeker"</formula>
    </cfRule>
    <cfRule type="cellIs" dxfId="221" priority="218" operator="equal">
      <formula>"neutral"</formula>
    </cfRule>
    <cfRule type="cellIs" dxfId="220" priority="219" operator="equal">
      <formula>"rogue"</formula>
    </cfRule>
    <cfRule type="cellIs" dxfId="219" priority="220" operator="equal">
      <formula>"Guardian"</formula>
    </cfRule>
    <cfRule type="cellIs" dxfId="218" priority="221" operator="equal">
      <formula>"Survivor"</formula>
    </cfRule>
    <cfRule type="cellIs" dxfId="217" priority="222" operator="equal">
      <formula>"Mystic"</formula>
    </cfRule>
  </conditionalFormatting>
  <conditionalFormatting sqref="AM255">
    <cfRule type="cellIs" dxfId="216" priority="211" operator="equal">
      <formula>"seeker"</formula>
    </cfRule>
    <cfRule type="cellIs" dxfId="215" priority="212" operator="equal">
      <formula>"neutral"</formula>
    </cfRule>
    <cfRule type="cellIs" dxfId="214" priority="213" operator="equal">
      <formula>"rogue"</formula>
    </cfRule>
    <cfRule type="cellIs" dxfId="213" priority="214" operator="equal">
      <formula>"Guardian"</formula>
    </cfRule>
    <cfRule type="cellIs" dxfId="212" priority="215" operator="equal">
      <formula>"Survivor"</formula>
    </cfRule>
    <cfRule type="cellIs" dxfId="211" priority="216" operator="equal">
      <formula>"Mystic"</formula>
    </cfRule>
  </conditionalFormatting>
  <conditionalFormatting sqref="AM256">
    <cfRule type="cellIs" dxfId="210" priority="205" operator="equal">
      <formula>"seeker"</formula>
    </cfRule>
    <cfRule type="cellIs" dxfId="209" priority="206" operator="equal">
      <formula>"neutral"</formula>
    </cfRule>
    <cfRule type="cellIs" dxfId="208" priority="207" operator="equal">
      <formula>"rogue"</formula>
    </cfRule>
    <cfRule type="cellIs" dxfId="207" priority="208" operator="equal">
      <formula>"Guardian"</formula>
    </cfRule>
    <cfRule type="cellIs" dxfId="206" priority="209" operator="equal">
      <formula>"Survivor"</formula>
    </cfRule>
    <cfRule type="cellIs" dxfId="205" priority="210" operator="equal">
      <formula>"Mystic"</formula>
    </cfRule>
  </conditionalFormatting>
  <conditionalFormatting sqref="AM252">
    <cfRule type="cellIs" dxfId="204" priority="199" operator="equal">
      <formula>"seeker"</formula>
    </cfRule>
    <cfRule type="cellIs" dxfId="203" priority="200" operator="equal">
      <formula>"neutral"</formula>
    </cfRule>
    <cfRule type="cellIs" dxfId="202" priority="201" operator="equal">
      <formula>"rogue"</formula>
    </cfRule>
    <cfRule type="cellIs" dxfId="201" priority="202" operator="equal">
      <formula>"Guardian"</formula>
    </cfRule>
    <cfRule type="cellIs" dxfId="200" priority="203" operator="equal">
      <formula>"Survivor"</formula>
    </cfRule>
    <cfRule type="cellIs" dxfId="199" priority="204" operator="equal">
      <formula>"Mystic"</formula>
    </cfRule>
  </conditionalFormatting>
  <conditionalFormatting sqref="AM383:AM387">
    <cfRule type="cellIs" dxfId="198" priority="193" operator="equal">
      <formula>"Seeker"</formula>
    </cfRule>
    <cfRule type="cellIs" dxfId="197" priority="194" operator="equal">
      <formula>"Neutral"</formula>
    </cfRule>
    <cfRule type="cellIs" dxfId="196" priority="195" operator="equal">
      <formula>"Rogue"</formula>
    </cfRule>
    <cfRule type="cellIs" dxfId="195" priority="196" operator="equal">
      <formula>"Guardian"</formula>
    </cfRule>
    <cfRule type="cellIs" dxfId="194" priority="197" operator="equal">
      <formula>"Survivor"</formula>
    </cfRule>
    <cfRule type="cellIs" dxfId="193" priority="198" operator="equal">
      <formula>"Mystic"</formula>
    </cfRule>
  </conditionalFormatting>
  <conditionalFormatting sqref="K383:K387">
    <cfRule type="cellIs" dxfId="192" priority="187" operator="equal">
      <formula>"seeker"</formula>
    </cfRule>
    <cfRule type="cellIs" dxfId="191" priority="188" operator="equal">
      <formula>"neutral"</formula>
    </cfRule>
    <cfRule type="cellIs" dxfId="190" priority="189" operator="equal">
      <formula>"rogue"</formula>
    </cfRule>
    <cfRule type="cellIs" dxfId="189" priority="190" operator="equal">
      <formula>"Guardian"</formula>
    </cfRule>
    <cfRule type="cellIs" dxfId="188" priority="191" operator="equal">
      <formula>"Survivor"</formula>
    </cfRule>
    <cfRule type="cellIs" dxfId="187" priority="192" operator="equal">
      <formula>"Mystic"</formula>
    </cfRule>
  </conditionalFormatting>
  <conditionalFormatting sqref="AM233">
    <cfRule type="cellIs" dxfId="186" priority="181" operator="equal">
      <formula>"Seeker"</formula>
    </cfRule>
    <cfRule type="cellIs" dxfId="185" priority="182" operator="equal">
      <formula>"Neutral"</formula>
    </cfRule>
    <cfRule type="cellIs" dxfId="184" priority="183" operator="equal">
      <formula>"Rogue"</formula>
    </cfRule>
    <cfRule type="cellIs" dxfId="183" priority="184" operator="equal">
      <formula>"Guardian"</formula>
    </cfRule>
    <cfRule type="cellIs" dxfId="182" priority="185" operator="equal">
      <formula>"Survivor"</formula>
    </cfRule>
    <cfRule type="cellIs" dxfId="181" priority="186" operator="equal">
      <formula>"Mystic"</formula>
    </cfRule>
  </conditionalFormatting>
  <conditionalFormatting sqref="K233">
    <cfRule type="cellIs" dxfId="180" priority="175" operator="equal">
      <formula>"seeker"</formula>
    </cfRule>
    <cfRule type="cellIs" dxfId="179" priority="176" operator="equal">
      <formula>"neutral"</formula>
    </cfRule>
    <cfRule type="cellIs" dxfId="178" priority="177" operator="equal">
      <formula>"rogue"</formula>
    </cfRule>
    <cfRule type="cellIs" dxfId="177" priority="178" operator="equal">
      <formula>"Guardian"</formula>
    </cfRule>
    <cfRule type="cellIs" dxfId="176" priority="179" operator="equal">
      <formula>"Survivor"</formula>
    </cfRule>
    <cfRule type="cellIs" dxfId="175" priority="180" operator="equal">
      <formula>"Mystic"</formula>
    </cfRule>
  </conditionalFormatting>
  <conditionalFormatting sqref="K388:K429 AM388:AM429">
    <cfRule type="cellIs" dxfId="174" priority="169" operator="equal">
      <formula>"seeker"</formula>
    </cfRule>
    <cfRule type="cellIs" dxfId="173" priority="170" operator="equal">
      <formula>"neutral"</formula>
    </cfRule>
    <cfRule type="cellIs" dxfId="172" priority="171" operator="equal">
      <formula>"rogue"</formula>
    </cfRule>
    <cfRule type="cellIs" dxfId="171" priority="172" operator="equal">
      <formula>"Guardian"</formula>
    </cfRule>
    <cfRule type="cellIs" dxfId="170" priority="173" operator="equal">
      <formula>"Survivor"</formula>
    </cfRule>
    <cfRule type="cellIs" dxfId="169" priority="174" operator="equal">
      <formula>"Mystic"</formula>
    </cfRule>
  </conditionalFormatting>
  <conditionalFormatting sqref="K430:K466 AM430:AM442 AM450:AM466">
    <cfRule type="cellIs" dxfId="168" priority="163" operator="equal">
      <formula>"seeker"</formula>
    </cfRule>
    <cfRule type="cellIs" dxfId="167" priority="164" operator="equal">
      <formula>"neutral"</formula>
    </cfRule>
    <cfRule type="cellIs" dxfId="166" priority="165" operator="equal">
      <formula>"rogue"</formula>
    </cfRule>
    <cfRule type="cellIs" dxfId="165" priority="166" operator="equal">
      <formula>"Guardian"</formula>
    </cfRule>
    <cfRule type="cellIs" dxfId="164" priority="167" operator="equal">
      <formula>"Survivor"</formula>
    </cfRule>
    <cfRule type="cellIs" dxfId="163" priority="168" operator="equal">
      <formula>"Mystic"</formula>
    </cfRule>
  </conditionalFormatting>
  <conditionalFormatting sqref="AM443:AM449">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AL737">
    <cfRule type="cellIs" dxfId="156" priority="121" operator="equal">
      <formula>"Seeker"</formula>
    </cfRule>
    <cfRule type="cellIs" dxfId="155" priority="122" operator="equal">
      <formula>"Neutral"</formula>
    </cfRule>
    <cfRule type="cellIs" dxfId="154" priority="123" operator="equal">
      <formula>"Rogue"</formula>
    </cfRule>
    <cfRule type="cellIs" dxfId="153" priority="124" operator="equal">
      <formula>"Guardian"</formula>
    </cfRule>
    <cfRule type="cellIs" dxfId="152" priority="125" operator="equal">
      <formula>"Survivor"</formula>
    </cfRule>
    <cfRule type="cellIs" dxfId="151" priority="126" operator="equal">
      <formula>"Mystic"</formula>
    </cfRule>
  </conditionalFormatting>
  <conditionalFormatting sqref="AL733 AL738:AL746 AL767:AL773">
    <cfRule type="cellIs" dxfId="150" priority="151" operator="equal">
      <formula>"Seeker"</formula>
    </cfRule>
    <cfRule type="cellIs" dxfId="149" priority="152" operator="equal">
      <formula>"Neutral"</formula>
    </cfRule>
    <cfRule type="cellIs" dxfId="148" priority="153" operator="equal">
      <formula>"Rogue"</formula>
    </cfRule>
    <cfRule type="cellIs" dxfId="147" priority="154" operator="equal">
      <formula>"Guardian"</formula>
    </cfRule>
    <cfRule type="cellIs" dxfId="146" priority="155" operator="equal">
      <formula>"Survivor"</formula>
    </cfRule>
    <cfRule type="cellIs" dxfId="145" priority="156" operator="equal">
      <formula>"Mystic"</formula>
    </cfRule>
  </conditionalFormatting>
  <conditionalFormatting sqref="K733:K773">
    <cfRule type="cellIs" dxfId="144" priority="145" operator="equal">
      <formula>"seeker"</formula>
    </cfRule>
    <cfRule type="cellIs" dxfId="143" priority="146" operator="equal">
      <formula>"neutral"</formula>
    </cfRule>
    <cfRule type="cellIs" dxfId="142" priority="147" operator="equal">
      <formula>"rogue"</formula>
    </cfRule>
    <cfRule type="cellIs" dxfId="141" priority="148" operator="equal">
      <formula>"Guardian"</formula>
    </cfRule>
    <cfRule type="cellIs" dxfId="140" priority="149" operator="equal">
      <formula>"Survivor"</formula>
    </cfRule>
    <cfRule type="cellIs" dxfId="139" priority="150" operator="equal">
      <formula>"Mystic"</formula>
    </cfRule>
  </conditionalFormatting>
  <conditionalFormatting sqref="AL734">
    <cfRule type="cellIs" dxfId="138" priority="139" operator="equal">
      <formula>"Seeker"</formula>
    </cfRule>
    <cfRule type="cellIs" dxfId="137" priority="140" operator="equal">
      <formula>"Neutral"</formula>
    </cfRule>
    <cfRule type="cellIs" dxfId="136" priority="141" operator="equal">
      <formula>"Rogue"</formula>
    </cfRule>
    <cfRule type="cellIs" dxfId="135" priority="142" operator="equal">
      <formula>"Guardian"</formula>
    </cfRule>
    <cfRule type="cellIs" dxfId="134" priority="143" operator="equal">
      <formula>"Survivor"</formula>
    </cfRule>
    <cfRule type="cellIs" dxfId="133" priority="144" operator="equal">
      <formula>"Mystic"</formula>
    </cfRule>
  </conditionalFormatting>
  <conditionalFormatting sqref="AL735">
    <cfRule type="cellIs" dxfId="132" priority="133" operator="equal">
      <formula>"Seeker"</formula>
    </cfRule>
    <cfRule type="cellIs" dxfId="131" priority="134" operator="equal">
      <formula>"Neutral"</formula>
    </cfRule>
    <cfRule type="cellIs" dxfId="130" priority="135" operator="equal">
      <formula>"Rogue"</formula>
    </cfRule>
    <cfRule type="cellIs" dxfId="129" priority="136" operator="equal">
      <formula>"Guardian"</formula>
    </cfRule>
    <cfRule type="cellIs" dxfId="128" priority="137" operator="equal">
      <formula>"Survivor"</formula>
    </cfRule>
    <cfRule type="cellIs" dxfId="127" priority="138" operator="equal">
      <formula>"Mystic"</formula>
    </cfRule>
  </conditionalFormatting>
  <conditionalFormatting sqref="AL736">
    <cfRule type="cellIs" dxfId="126" priority="127" operator="equal">
      <formula>"Seeker"</formula>
    </cfRule>
    <cfRule type="cellIs" dxfId="125" priority="128" operator="equal">
      <formula>"Neutral"</formula>
    </cfRule>
    <cfRule type="cellIs" dxfId="124" priority="129" operator="equal">
      <formula>"Rogue"</formula>
    </cfRule>
    <cfRule type="cellIs" dxfId="123" priority="130" operator="equal">
      <formula>"Guardian"</formula>
    </cfRule>
    <cfRule type="cellIs" dxfId="122" priority="131" operator="equal">
      <formula>"Survivor"</formula>
    </cfRule>
    <cfRule type="cellIs" dxfId="121" priority="132" operator="equal">
      <formula>"Mystic"</formula>
    </cfRule>
  </conditionalFormatting>
  <conditionalFormatting sqref="AM727:AM731">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727:K731">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M732">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K732">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863 AL865:AL881 AL855:AL860">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K865:K883 K889 K855:K863">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M861:AM862">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L864">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864">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882:AM883 AM889">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884">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884">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885">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885">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886">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886">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887">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AM887">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888">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888">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108">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96">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60">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60">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96">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108">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72">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108">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56">
      <c r="A798" s="3" t="s">
        <v>3799</v>
      </c>
      <c r="B798" s="5" t="s">
        <v>3421</v>
      </c>
      <c r="C798" s="3"/>
    </row>
    <row r="799" spans="1:3" ht="120">
      <c r="A799" s="3" t="s">
        <v>3800</v>
      </c>
      <c r="B799" s="5" t="s">
        <v>3422</v>
      </c>
      <c r="C799" s="3"/>
    </row>
    <row r="800" spans="1:3" ht="108">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20">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2018-03-02T00:06:54Z</dcterms:modified>
</cp:coreProperties>
</file>